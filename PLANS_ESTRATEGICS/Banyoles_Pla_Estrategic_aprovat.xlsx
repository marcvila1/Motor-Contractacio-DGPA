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Grups\Consorci\_Consorci_Estany\Area_tecnica\MDirectrius_Planeja_Ordena\04_GENCAT\Pla_Estratègic_EINBanyoles\05_Documents_Treball\"/>
    </mc:Choice>
  </mc:AlternateContent>
  <bookViews>
    <workbookView xWindow="-105" yWindow="-105" windowWidth="23250" windowHeight="12450" tabRatio="688" firstSheet="2" activeTab="4"/>
  </bookViews>
  <sheets>
    <sheet name="ESTRATÈGIA" sheetId="8" r:id="rId1"/>
    <sheet name="INSTRUCCIONS" sheetId="6" r:id="rId2"/>
    <sheet name="PRIORITZACIÓ" sheetId="7" r:id="rId3"/>
    <sheet name="Pla_Exercici" sheetId="17" r:id="rId4"/>
    <sheet name="PLA (2)" sheetId="14" r:id="rId5"/>
    <sheet name="Hoja2" sheetId="15" r:id="rId6"/>
    <sheet name="PLA" sheetId="3" r:id="rId7"/>
    <sheet name="Estadístiques" sheetId="19" r:id="rId8"/>
    <sheet name="VINCLE AMENAÇA_OBJ. OPERATIU" sheetId="9" r:id="rId9"/>
    <sheet name="Taxonomia Amenaces" sheetId="10" r:id="rId10"/>
    <sheet name="Llistes" sheetId="11" r:id="rId11"/>
    <sheet name="Full1" sheetId="5" r:id="rId12"/>
    <sheet name="APUNTS" sheetId="13" r:id="rId13"/>
    <sheet name="Personal" sheetId="18" r:id="rId14"/>
  </sheets>
  <externalReferences>
    <externalReference r:id="rId15"/>
  </externalReferences>
  <definedNames>
    <definedName name="_xlnm._FilterDatabase" localSheetId="6" hidden="1">PLA!$A$1:$AD$276</definedName>
    <definedName name="_xlnm._FilterDatabase" localSheetId="4" hidden="1">'PLA (2)'!$A$1:$AD$282</definedName>
    <definedName name="_xlnm._FilterDatabase" localSheetId="2" hidden="1">PRIORITZACIÓ!$B$21:$M$151</definedName>
    <definedName name="_xlnm.Print_Area" localSheetId="4">'PLA (2)'!$A$1:$AD$282</definedName>
  </definedNames>
  <calcPr calcId="162913" concurrentCalc="0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8" i="14" l="1"/>
  <c r="V57" i="14"/>
  <c r="V224" i="14"/>
  <c r="V223" i="14"/>
  <c r="M9" i="18"/>
  <c r="M8" i="18"/>
  <c r="M7" i="18"/>
  <c r="M6" i="18"/>
  <c r="M5" i="18"/>
  <c r="M4" i="18"/>
  <c r="H9" i="18"/>
  <c r="H8" i="18"/>
  <c r="H7" i="18"/>
  <c r="H6" i="18"/>
  <c r="H5" i="18"/>
  <c r="H4" i="18"/>
  <c r="D9" i="18"/>
  <c r="D8" i="18"/>
  <c r="D7" i="18"/>
  <c r="D6" i="18"/>
  <c r="D5" i="18"/>
  <c r="D4" i="18"/>
  <c r="V89" i="14"/>
  <c r="V88" i="14"/>
  <c r="V66" i="14"/>
  <c r="V65" i="14"/>
  <c r="X8" i="14"/>
  <c r="V7" i="3"/>
  <c r="V282" i="14"/>
  <c r="V281" i="14"/>
  <c r="V280" i="14"/>
  <c r="V279" i="14"/>
  <c r="V278" i="14"/>
  <c r="V277" i="14"/>
  <c r="V276" i="14"/>
  <c r="V275" i="14"/>
  <c r="V274" i="14"/>
  <c r="V273" i="14"/>
  <c r="V272" i="14"/>
  <c r="V271" i="14"/>
  <c r="V270" i="14"/>
  <c r="V269" i="14"/>
  <c r="V268" i="14"/>
  <c r="V267" i="14"/>
  <c r="V265" i="14"/>
  <c r="V266" i="14"/>
  <c r="V264" i="14"/>
  <c r="V263" i="14"/>
  <c r="X262" i="14"/>
  <c r="V262" i="14"/>
  <c r="X261" i="14"/>
  <c r="V261" i="14"/>
  <c r="X260" i="14"/>
  <c r="V260" i="14"/>
  <c r="X259" i="14"/>
  <c r="V259" i="14"/>
  <c r="X258" i="14"/>
  <c r="V258" i="14"/>
  <c r="V254" i="14"/>
  <c r="X257" i="14"/>
  <c r="V257" i="14"/>
  <c r="X256" i="14"/>
  <c r="V256" i="14"/>
  <c r="X255" i="14"/>
  <c r="V255" i="14"/>
  <c r="X253" i="14"/>
  <c r="V253" i="14"/>
  <c r="X252" i="14"/>
  <c r="V252" i="14"/>
  <c r="X251" i="14"/>
  <c r="V251" i="14"/>
  <c r="X250" i="14"/>
  <c r="V250" i="14"/>
  <c r="X249" i="14"/>
  <c r="V249" i="14"/>
  <c r="X248" i="14"/>
  <c r="V248" i="14"/>
  <c r="X247" i="14"/>
  <c r="V247" i="14"/>
  <c r="X246" i="14"/>
  <c r="V246" i="14"/>
  <c r="X245" i="14"/>
  <c r="V245" i="14"/>
  <c r="X244" i="14"/>
  <c r="V244" i="14"/>
  <c r="X243" i="14"/>
  <c r="V243" i="14"/>
  <c r="X242" i="14"/>
  <c r="V242" i="14"/>
  <c r="X241" i="14"/>
  <c r="V241" i="14"/>
  <c r="X240" i="14"/>
  <c r="V240" i="14"/>
  <c r="X239" i="14"/>
  <c r="V239" i="14"/>
  <c r="X238" i="14"/>
  <c r="V238" i="14"/>
  <c r="X237" i="14"/>
  <c r="V237" i="14"/>
  <c r="X236" i="14"/>
  <c r="V236" i="14"/>
  <c r="X235" i="14"/>
  <c r="V235" i="14"/>
  <c r="X234" i="14"/>
  <c r="V234" i="14"/>
  <c r="X233" i="14"/>
  <c r="V233" i="14"/>
  <c r="X232" i="14"/>
  <c r="V232" i="14"/>
  <c r="X231" i="14"/>
  <c r="V231" i="14"/>
  <c r="V230" i="14"/>
  <c r="X229" i="14"/>
  <c r="V229" i="14"/>
  <c r="X228" i="14"/>
  <c r="V228" i="14"/>
  <c r="X227" i="14"/>
  <c r="V227" i="14"/>
  <c r="X226" i="14"/>
  <c r="V226" i="14"/>
  <c r="V225" i="14"/>
  <c r="V222" i="14"/>
  <c r="V221" i="14"/>
  <c r="V220" i="14"/>
  <c r="V219" i="14"/>
  <c r="X218" i="14"/>
  <c r="V218" i="14"/>
  <c r="X217" i="14"/>
  <c r="V217" i="14"/>
  <c r="X216" i="14"/>
  <c r="V216" i="14"/>
  <c r="V215" i="14"/>
  <c r="V214" i="14"/>
  <c r="V213" i="14"/>
  <c r="V212" i="14"/>
  <c r="V211" i="14"/>
  <c r="V210" i="14"/>
  <c r="V209" i="14"/>
  <c r="V208" i="14"/>
  <c r="V207" i="14"/>
  <c r="V206" i="14"/>
  <c r="V205" i="14"/>
  <c r="V204" i="14"/>
  <c r="V203" i="14"/>
  <c r="V202" i="14"/>
  <c r="V201" i="14"/>
  <c r="V200" i="14"/>
  <c r="V199" i="14"/>
  <c r="V198" i="14"/>
  <c r="V197" i="14"/>
  <c r="V196" i="14"/>
  <c r="X195" i="14"/>
  <c r="V195" i="14"/>
  <c r="V194" i="14"/>
  <c r="V193" i="14"/>
  <c r="X192" i="14"/>
  <c r="V192" i="14"/>
  <c r="X191" i="14"/>
  <c r="V191" i="14"/>
  <c r="X190" i="14"/>
  <c r="V190" i="14"/>
  <c r="V189" i="14"/>
  <c r="V188" i="14"/>
  <c r="V187" i="14"/>
  <c r="V186" i="14"/>
  <c r="X185" i="14"/>
  <c r="V185" i="14"/>
  <c r="V184" i="14"/>
  <c r="V183" i="14"/>
  <c r="V182" i="14"/>
  <c r="V181" i="14"/>
  <c r="V180" i="14"/>
  <c r="V179" i="14"/>
  <c r="V178" i="14"/>
  <c r="V177" i="14"/>
  <c r="V176" i="14"/>
  <c r="V175" i="14"/>
  <c r="X174" i="14"/>
  <c r="V174" i="14"/>
  <c r="V173" i="14"/>
  <c r="V172" i="14"/>
  <c r="X171" i="14"/>
  <c r="V171" i="14"/>
  <c r="X170" i="14"/>
  <c r="V170" i="14"/>
  <c r="X169" i="14"/>
  <c r="V169" i="14"/>
  <c r="V168" i="14"/>
  <c r="X167" i="14"/>
  <c r="V167" i="14"/>
  <c r="V166" i="14"/>
  <c r="X165" i="14"/>
  <c r="V165" i="14"/>
  <c r="X164" i="14"/>
  <c r="V164" i="14"/>
  <c r="V163" i="14"/>
  <c r="V162" i="14"/>
  <c r="V161" i="14"/>
  <c r="V160" i="14"/>
  <c r="V151" i="14"/>
  <c r="V150" i="14"/>
  <c r="V149" i="14"/>
  <c r="V159" i="14"/>
  <c r="V158" i="14"/>
  <c r="V157" i="14"/>
  <c r="X156" i="14"/>
  <c r="V156" i="14"/>
  <c r="X155" i="14"/>
  <c r="V155" i="14"/>
  <c r="X154" i="14"/>
  <c r="V154" i="14"/>
  <c r="V153" i="14"/>
  <c r="V152" i="14"/>
  <c r="V148" i="14"/>
  <c r="V147" i="14"/>
  <c r="V146" i="14"/>
  <c r="X145" i="14"/>
  <c r="V145" i="14"/>
  <c r="V144" i="14"/>
  <c r="V143" i="14"/>
  <c r="V142" i="14"/>
  <c r="V141" i="14"/>
  <c r="V140" i="14"/>
  <c r="V139" i="14"/>
  <c r="V138" i="14"/>
  <c r="V137" i="14"/>
  <c r="V136" i="14"/>
  <c r="X135" i="14"/>
  <c r="V135" i="14"/>
  <c r="V134" i="14"/>
  <c r="V133" i="14"/>
  <c r="V132" i="14"/>
  <c r="V131" i="14"/>
  <c r="V130" i="14"/>
  <c r="V129" i="14"/>
  <c r="X128" i="14"/>
  <c r="V128" i="14"/>
  <c r="V127" i="14"/>
  <c r="V126" i="14"/>
  <c r="V125" i="14"/>
  <c r="V124" i="14"/>
  <c r="X123" i="14"/>
  <c r="V123" i="14"/>
  <c r="V122" i="14"/>
  <c r="V121" i="14"/>
  <c r="V120" i="14"/>
  <c r="V119" i="14"/>
  <c r="V118" i="14"/>
  <c r="X117" i="14"/>
  <c r="V117" i="14"/>
  <c r="V116" i="14"/>
  <c r="X115" i="14"/>
  <c r="V115" i="14"/>
  <c r="X114" i="14"/>
  <c r="V114" i="14"/>
  <c r="V113" i="14"/>
  <c r="X112" i="14"/>
  <c r="V112" i="14"/>
  <c r="V111" i="14"/>
  <c r="X110" i="14"/>
  <c r="V110" i="14"/>
  <c r="V109" i="14"/>
  <c r="V108" i="14"/>
  <c r="V107" i="14"/>
  <c r="V106" i="14"/>
  <c r="V105" i="14"/>
  <c r="V104" i="14"/>
  <c r="V103" i="14"/>
  <c r="X102" i="14"/>
  <c r="V102" i="14"/>
  <c r="V101" i="14"/>
  <c r="X100" i="14"/>
  <c r="V100" i="14"/>
  <c r="X99" i="14"/>
  <c r="V99" i="14"/>
  <c r="X98" i="14"/>
  <c r="V98" i="14"/>
  <c r="X97" i="14"/>
  <c r="V97" i="14"/>
  <c r="X96" i="14"/>
  <c r="V96" i="14"/>
  <c r="V95" i="14"/>
  <c r="V94" i="14"/>
  <c r="V93" i="14"/>
  <c r="X92" i="14"/>
  <c r="V92" i="14"/>
  <c r="X91" i="14"/>
  <c r="V91" i="14"/>
  <c r="V90" i="14"/>
  <c r="V87" i="14"/>
  <c r="V86" i="14"/>
  <c r="X85" i="14"/>
  <c r="V85" i="14"/>
  <c r="V84" i="14"/>
  <c r="V83" i="14"/>
  <c r="V82" i="14"/>
  <c r="X81" i="14"/>
  <c r="V81" i="14"/>
  <c r="V80" i="14"/>
  <c r="V79" i="14"/>
  <c r="V78" i="14"/>
  <c r="V77" i="14"/>
  <c r="V76" i="14"/>
  <c r="V75" i="14"/>
  <c r="V74" i="14"/>
  <c r="V73" i="14"/>
  <c r="V72" i="14"/>
  <c r="V71" i="14"/>
  <c r="V70" i="14"/>
  <c r="V69" i="14"/>
  <c r="V68" i="14"/>
  <c r="V67" i="14"/>
  <c r="V64" i="14"/>
  <c r="V63" i="14"/>
  <c r="V62" i="14"/>
  <c r="V61" i="14"/>
  <c r="V60" i="14"/>
  <c r="V59" i="14"/>
  <c r="V56" i="14"/>
  <c r="V55" i="14"/>
  <c r="V54" i="14"/>
  <c r="V53" i="14"/>
  <c r="V52" i="14"/>
  <c r="V51" i="14"/>
  <c r="X50" i="14"/>
  <c r="V50" i="14"/>
  <c r="X49" i="14"/>
  <c r="V49" i="14"/>
  <c r="V48" i="14"/>
  <c r="X47" i="14"/>
  <c r="V47" i="14"/>
  <c r="X46" i="14"/>
  <c r="V46" i="14"/>
  <c r="X45" i="14"/>
  <c r="V45" i="14"/>
  <c r="V44" i="14"/>
  <c r="V43" i="14"/>
  <c r="V42" i="14"/>
  <c r="V41" i="14"/>
  <c r="X40" i="14"/>
  <c r="V40" i="14"/>
  <c r="V39" i="14"/>
  <c r="X38" i="14"/>
  <c r="V38" i="14"/>
  <c r="V37" i="14"/>
  <c r="V36" i="14"/>
  <c r="V35" i="14"/>
  <c r="V34" i="14"/>
  <c r="V33" i="14"/>
  <c r="X32" i="14"/>
  <c r="V32" i="14"/>
  <c r="X31" i="14"/>
  <c r="V31" i="14"/>
  <c r="V30" i="14"/>
  <c r="X29" i="14"/>
  <c r="V29" i="14"/>
  <c r="X28" i="14"/>
  <c r="V28" i="14"/>
  <c r="X27" i="14"/>
  <c r="V27" i="14"/>
  <c r="X26" i="14"/>
  <c r="V26" i="14"/>
  <c r="V25" i="14"/>
  <c r="X24" i="14"/>
  <c r="V24" i="14"/>
  <c r="X23" i="14"/>
  <c r="V23" i="14"/>
  <c r="X22" i="14"/>
  <c r="V22" i="14"/>
  <c r="X21" i="14"/>
  <c r="V21" i="14"/>
  <c r="X20" i="14"/>
  <c r="V20" i="14"/>
  <c r="X19" i="14"/>
  <c r="V19" i="14"/>
  <c r="X18" i="14"/>
  <c r="V18" i="14"/>
  <c r="X17" i="14"/>
  <c r="V17" i="14"/>
  <c r="X16" i="14"/>
  <c r="V16" i="14"/>
  <c r="X15" i="14"/>
  <c r="V15" i="14"/>
  <c r="X14" i="14"/>
  <c r="V14" i="14"/>
  <c r="X13" i="14"/>
  <c r="V13" i="14"/>
  <c r="X12" i="14"/>
  <c r="V12" i="14"/>
  <c r="V11" i="14"/>
  <c r="X10" i="14"/>
  <c r="V10" i="14"/>
  <c r="X9" i="14"/>
  <c r="V9" i="14"/>
  <c r="X7" i="14"/>
  <c r="V7" i="14"/>
  <c r="X6" i="14"/>
  <c r="V6" i="14"/>
  <c r="X5" i="14"/>
  <c r="V5" i="14"/>
  <c r="X4" i="14"/>
  <c r="V4" i="14"/>
  <c r="X3" i="14"/>
  <c r="V3" i="14"/>
  <c r="X2" i="14"/>
  <c r="V2" i="14"/>
  <c r="V6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5" i="3"/>
  <c r="X214" i="3"/>
  <c r="J214" i="3"/>
  <c r="X213" i="3"/>
  <c r="J213" i="3"/>
  <c r="J215" i="3"/>
  <c r="J219" i="3"/>
  <c r="X187" i="3"/>
  <c r="X188" i="3"/>
  <c r="X186" i="3"/>
  <c r="X181" i="3"/>
  <c r="X166" i="3"/>
  <c r="X167" i="3"/>
  <c r="J168" i="3"/>
  <c r="X163" i="3"/>
  <c r="X161" i="3"/>
  <c r="J161" i="3"/>
  <c r="X148" i="3"/>
  <c r="X149" i="3"/>
  <c r="J176" i="3"/>
  <c r="J175" i="3"/>
  <c r="J174" i="3"/>
  <c r="J173" i="3"/>
  <c r="J172" i="3"/>
  <c r="X141" i="3"/>
  <c r="J133" i="3"/>
  <c r="J132" i="3"/>
  <c r="J123" i="3"/>
  <c r="J103" i="3"/>
  <c r="X96" i="3"/>
  <c r="J96" i="3"/>
  <c r="X94" i="3"/>
  <c r="J94" i="3"/>
  <c r="X95" i="3"/>
  <c r="J95" i="3"/>
  <c r="X93" i="3"/>
  <c r="J93" i="3"/>
  <c r="J46" i="3"/>
  <c r="J36" i="3"/>
  <c r="X34" i="3"/>
  <c r="J34" i="3"/>
  <c r="J27" i="3"/>
  <c r="X5" i="3"/>
  <c r="J82" i="3"/>
  <c r="J80" i="3"/>
  <c r="J81" i="3"/>
  <c r="J89" i="3"/>
  <c r="J85" i="3"/>
  <c r="J44" i="3"/>
  <c r="J39" i="3"/>
  <c r="J38" i="3"/>
  <c r="X31" i="3"/>
  <c r="J31" i="3"/>
  <c r="J28" i="3"/>
  <c r="X26" i="3"/>
  <c r="X28" i="3"/>
  <c r="X21" i="3"/>
  <c r="X22" i="3"/>
  <c r="X23" i="3"/>
  <c r="X24" i="3"/>
  <c r="X19" i="3"/>
  <c r="X20" i="3"/>
  <c r="J15" i="3"/>
  <c r="J14" i="3"/>
  <c r="J13" i="3"/>
  <c r="J271" i="3"/>
  <c r="J270" i="3"/>
  <c r="X254" i="3"/>
  <c r="X255" i="3"/>
  <c r="X256" i="3"/>
  <c r="X253" i="3"/>
  <c r="X252" i="3"/>
  <c r="X248" i="3"/>
  <c r="X249" i="3"/>
  <c r="X250" i="3"/>
  <c r="X247" i="3"/>
  <c r="X244" i="3"/>
  <c r="X245" i="3"/>
  <c r="X246" i="3"/>
  <c r="X242" i="3"/>
  <c r="X243" i="3"/>
  <c r="X240" i="3"/>
  <c r="X6" i="3"/>
  <c r="X241" i="3"/>
  <c r="X237" i="3"/>
  <c r="X238" i="3"/>
  <c r="X239" i="3"/>
  <c r="X234" i="3"/>
  <c r="X235" i="3"/>
  <c r="X236" i="3"/>
  <c r="X231" i="3"/>
  <c r="X232" i="3"/>
  <c r="X233" i="3"/>
  <c r="X227" i="3"/>
  <c r="X228" i="3"/>
  <c r="X229" i="3"/>
  <c r="X230" i="3"/>
  <c r="X18" i="3"/>
  <c r="X25" i="3"/>
  <c r="X29" i="3"/>
  <c r="X30" i="3"/>
  <c r="X33" i="3"/>
  <c r="X40" i="3"/>
  <c r="X42" i="3"/>
  <c r="X47" i="3"/>
  <c r="X48" i="3"/>
  <c r="X49" i="3"/>
  <c r="X51" i="3"/>
  <c r="X52" i="3"/>
  <c r="X79" i="3"/>
  <c r="X83" i="3"/>
  <c r="X87" i="3"/>
  <c r="X88" i="3"/>
  <c r="X92" i="3"/>
  <c r="X98" i="3"/>
  <c r="X106" i="3"/>
  <c r="X108" i="3"/>
  <c r="X110" i="3"/>
  <c r="X111" i="3"/>
  <c r="X113" i="3"/>
  <c r="X119" i="3"/>
  <c r="X124" i="3"/>
  <c r="X131" i="3"/>
  <c r="X147" i="3"/>
  <c r="X160" i="3"/>
  <c r="X165" i="3"/>
  <c r="X170" i="3"/>
  <c r="X191" i="3"/>
  <c r="X212" i="3"/>
  <c r="X220" i="3"/>
  <c r="X221" i="3"/>
  <c r="X222" i="3"/>
  <c r="X223" i="3"/>
  <c r="X225" i="3"/>
  <c r="X226" i="3"/>
  <c r="X14" i="3"/>
  <c r="X15" i="3"/>
  <c r="X16" i="3"/>
  <c r="X17" i="3"/>
  <c r="X12" i="3"/>
  <c r="X11" i="3"/>
  <c r="X10" i="3"/>
  <c r="X9" i="3"/>
  <c r="X8" i="3"/>
  <c r="X7" i="3"/>
  <c r="J10" i="3"/>
  <c r="J8" i="3"/>
  <c r="J7" i="3"/>
  <c r="J102" i="3"/>
  <c r="J100" i="3"/>
  <c r="J101" i="3"/>
  <c r="J5" i="3"/>
  <c r="J267" i="3"/>
  <c r="J268" i="3"/>
  <c r="J269" i="3"/>
  <c r="J274" i="3"/>
  <c r="J243" i="3"/>
  <c r="J244" i="3"/>
  <c r="J249" i="3"/>
  <c r="J276" i="3"/>
  <c r="J275" i="3"/>
  <c r="J272" i="3"/>
  <c r="J273" i="3"/>
  <c r="J265" i="3"/>
  <c r="J257" i="3"/>
  <c r="J255" i="3"/>
  <c r="J248" i="3"/>
  <c r="J246" i="3"/>
  <c r="J247" i="3"/>
  <c r="J88" i="3"/>
  <c r="J87" i="3"/>
  <c r="J91" i="3"/>
  <c r="J105" i="3"/>
  <c r="J253" i="3"/>
  <c r="J6" i="3"/>
  <c r="J11" i="3"/>
  <c r="B6" i="9"/>
  <c r="J12" i="3"/>
  <c r="B7" i="9"/>
  <c r="J16" i="3"/>
  <c r="B8" i="9"/>
  <c r="B9" i="9"/>
  <c r="B10" i="9"/>
  <c r="J29" i="3"/>
  <c r="B11" i="9"/>
  <c r="J30" i="3"/>
  <c r="B12" i="9"/>
  <c r="J32" i="3"/>
  <c r="B13" i="9"/>
  <c r="J33" i="3"/>
  <c r="B14" i="9"/>
  <c r="B15" i="9"/>
  <c r="J35" i="3"/>
  <c r="B16" i="9"/>
  <c r="B17" i="9"/>
  <c r="J37" i="3"/>
  <c r="B18" i="9"/>
  <c r="B19" i="9"/>
  <c r="J41" i="3"/>
  <c r="B20" i="9"/>
  <c r="J42" i="3"/>
  <c r="B21" i="9"/>
  <c r="J43" i="3"/>
  <c r="B22" i="9"/>
  <c r="B23" i="9"/>
  <c r="J45" i="3"/>
  <c r="B24" i="9"/>
  <c r="B25" i="9"/>
  <c r="J47" i="3"/>
  <c r="B26" i="9"/>
  <c r="J48" i="3"/>
  <c r="B27" i="9"/>
  <c r="J49" i="3"/>
  <c r="B28" i="9"/>
  <c r="J50" i="3"/>
  <c r="B29" i="9"/>
  <c r="J51" i="3"/>
  <c r="B30" i="9"/>
  <c r="B31" i="9"/>
  <c r="B32" i="9"/>
  <c r="J55" i="3"/>
  <c r="B33" i="9"/>
  <c r="J56" i="3"/>
  <c r="B34" i="9"/>
  <c r="J57" i="3"/>
  <c r="B35" i="9"/>
  <c r="J58" i="3"/>
  <c r="B36" i="9"/>
  <c r="J59" i="3"/>
  <c r="J60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3" i="3"/>
  <c r="J84" i="3"/>
  <c r="J86" i="3"/>
  <c r="J90" i="3"/>
  <c r="J92" i="3"/>
  <c r="J97" i="3"/>
  <c r="J98" i="3"/>
  <c r="J99" i="3"/>
  <c r="J104" i="3"/>
  <c r="J106" i="3"/>
  <c r="J107" i="3"/>
  <c r="J108" i="3"/>
  <c r="J109" i="3"/>
  <c r="J110" i="3"/>
  <c r="J111" i="3"/>
  <c r="J112" i="3"/>
  <c r="J113" i="3"/>
  <c r="J115" i="3"/>
  <c r="J116" i="3"/>
  <c r="J117" i="3"/>
  <c r="J118" i="3"/>
  <c r="J119" i="3"/>
  <c r="J120" i="3"/>
  <c r="J121" i="3"/>
  <c r="J122" i="3"/>
  <c r="J124" i="3"/>
  <c r="J125" i="3"/>
  <c r="J126" i="3"/>
  <c r="J127" i="3"/>
  <c r="J128" i="3"/>
  <c r="J130" i="3"/>
  <c r="J131" i="3"/>
  <c r="J134" i="3"/>
  <c r="J138" i="3"/>
  <c r="J139" i="3"/>
  <c r="J142" i="3"/>
  <c r="J144" i="3"/>
  <c r="J145" i="3"/>
  <c r="J146" i="3"/>
  <c r="J150" i="3"/>
  <c r="J151" i="3"/>
  <c r="J152" i="3"/>
  <c r="J153" i="3"/>
  <c r="J154" i="3"/>
  <c r="J155" i="3"/>
  <c r="J156" i="3"/>
  <c r="J157" i="3"/>
  <c r="J158" i="3"/>
  <c r="J159" i="3"/>
  <c r="J160" i="3"/>
  <c r="J162" i="3"/>
  <c r="J163" i="3"/>
  <c r="J164" i="3"/>
  <c r="J165" i="3"/>
  <c r="J166" i="3"/>
  <c r="J167" i="3"/>
  <c r="J169" i="3"/>
  <c r="J171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6" i="3"/>
  <c r="J217" i="3"/>
  <c r="J218" i="3"/>
  <c r="J220" i="3"/>
  <c r="J245" i="3"/>
  <c r="J250" i="3"/>
  <c r="J254" i="3"/>
  <c r="J256" i="3"/>
  <c r="J264" i="3"/>
  <c r="J266" i="3"/>
  <c r="J9" i="3"/>
  <c r="B5" i="9"/>
</calcChain>
</file>

<file path=xl/comments1.xml><?xml version="1.0" encoding="utf-8"?>
<comments xmlns="http://schemas.openxmlformats.org/spreadsheetml/2006/main">
  <authors>
    <author>Parpal Servole, Jordi</author>
  </authors>
  <commentList>
    <comment ref="G1" authorId="0" shapeId="0">
      <text>
        <r>
          <rPr>
            <b/>
            <sz val="9"/>
            <color indexed="81"/>
            <rFont val="Tahoma"/>
            <family val="2"/>
          </rPr>
          <t>Parpal Servole, Jordi:</t>
        </r>
        <r>
          <rPr>
            <sz val="9"/>
            <color indexed="81"/>
            <rFont val="Tahoma"/>
            <family val="2"/>
          </rPr>
          <t xml:space="preserve">
Els Parcs haurien d'optar per suprimir o modificar els objectius operatius que no es consideren obligats per a tots els Parcs (columna I)</t>
        </r>
      </text>
    </comment>
  </commentList>
</comments>
</file>

<file path=xl/comments2.xml><?xml version="1.0" encoding="utf-8"?>
<comments xmlns="http://schemas.openxmlformats.org/spreadsheetml/2006/main">
  <authors>
    <author>Parpal Servole, Jordi</author>
  </authors>
  <commentList>
    <comment ref="G4" authorId="0" shapeId="0">
      <text>
        <r>
          <rPr>
            <b/>
            <sz val="9"/>
            <color indexed="81"/>
            <rFont val="Tahoma"/>
            <family val="2"/>
          </rPr>
          <t>Parpal Servole, Jordi:</t>
        </r>
        <r>
          <rPr>
            <sz val="9"/>
            <color indexed="81"/>
            <rFont val="Tahoma"/>
            <family val="2"/>
          </rPr>
          <t xml:space="preserve">
Els Parcs haurien d'optar per suprimir o modificar els objectius operatius que no es consideren obligats per a tots els Parcs (columna I)</t>
        </r>
      </text>
    </comment>
  </commentList>
</comments>
</file>

<file path=xl/sharedStrings.xml><?xml version="1.0" encoding="utf-8"?>
<sst xmlns="http://schemas.openxmlformats.org/spreadsheetml/2006/main" count="13867" uniqueCount="1734">
  <si>
    <t xml:space="preserve">ESQUEMA CONCEPTUAL PER A LA ELABORACIÓ DEL PLA ESTRATÈGIC EN EL MARC </t>
  </si>
  <si>
    <t>DELS ESTÀNDARDS OBERTS PER A LA GESTIÓ ADAPTATIVA A CATALUNYA</t>
  </si>
  <si>
    <t>PESTANYA DE PRIORITZACIÓ</t>
  </si>
  <si>
    <t>Llistat elements:</t>
  </si>
  <si>
    <t>Tasca 1: Revisar el llistat d'elements prioritzats per tal d'avaluar si cal afegir-ne algun o treure'n algun. A la columna comentaris cal argumentar, breument, el perquè de la decisió.</t>
  </si>
  <si>
    <t>Llistat amenaces:</t>
  </si>
  <si>
    <t>Tasca 2: A partir de la taxonomia d'amenaces que es troba a la pestanya final, cal omplir les tres columnes (E, F i G) amb les tres principals amenaces per a la conservació de l'element. S'afegeixi una darrera columna per si hi ha amenaces que no es troben incloses a la taxonomia.</t>
  </si>
  <si>
    <t>PESTANYA DEL PLA</t>
  </si>
  <si>
    <t>Explicacions:</t>
  </si>
  <si>
    <t>7 Eixos temàtics</t>
  </si>
  <si>
    <t>Els objectius generals estan directament associats als objectius generals dels Plans de Protecció del medi naatural i del paisatge. NO ES PODEN RETOCAR</t>
  </si>
  <si>
    <t>Objectius estratègics: definits en un grup de treball intern de serveis Centrals i dels Parcs durant l'any 2023. NO ES PODEN RETOCAR</t>
  </si>
  <si>
    <t>Objectius operacionals: definits en un grup de treball intern de serveis Centrals i dels Parcs durant l'any 2023</t>
  </si>
  <si>
    <t>Tasques a realitzar:</t>
  </si>
  <si>
    <t>Objectius operacionals:</t>
  </si>
  <si>
    <t xml:space="preserve">El llistat d'objectius operacionals té una columna al costa (columna I) on s'indica si l'objectiu és obligatori de mantenir al Pla estratègic o no. </t>
  </si>
  <si>
    <t>Tasca 1: Columna I. Revisar els que es posa com a obligatoris per veure si són realment aplicables a l'espai o no.</t>
  </si>
  <si>
    <t>Tasca 2: Columna I. Revisar els que posa "Opcional" per identificar els que són aplicables o no a l'espai. O, també, determinar si algun d'ells seria aplicable o es pot concretar millor el redactat de l'objectiu.</t>
  </si>
  <si>
    <t xml:space="preserve">Tasca 3: Columna J. En ambdós casos, cal posar a la columna J, el redactat final de l'objectiu concretat a l'espai. En el cas de que l'objectiu s'elimina, posar "NA". Ara es reprodueix el redactat dels objectius operacionals derivats del grup de treball esmentat </t>
  </si>
  <si>
    <t>Tasca 4: Columna K. Per tots els casos en que hi ha modificació respecte al redactat original de l'objectiu operatiu -i, també, en el cas que es consideri que s'ha d'eliminar-, a la columna K cal redactar molt breument el motiu pel qual es prèn la decisió.</t>
  </si>
  <si>
    <t>Tasca 5: Columna L. Incloure un Si/No avaluant si l'objectiu operatiu podria tenir mesures a incorporar a la programació d'actuacions de l'espai (Si) o, per altra banda, el seu assoliment depèn d'altres òrgans, com l'ACA o altres serveis dins la DGPAMN (No).</t>
  </si>
  <si>
    <t>Tasca 6: Columna M. Definir la prioritat que hauria de tenir l'assoliment de l'objectiu (màxima, si cal assolir en els propers 4 anys, o altrament alta, mitja o baixa). També hi ha l'opció de prioritat a assolir a més llarg termini.</t>
  </si>
  <si>
    <t>Propostes genèriques d'accions:</t>
  </si>
  <si>
    <t xml:space="preserve">Tasca 7: Columna N. En aquest columna cal introduir les accions, de manera genèrica, que caldria aplicar a l'espai per tal d'assolir l'objectiu operatiu. No es tracta d'un llistat d'accions concretes si no, més aviat, accions generals que acabarien concretant-se en la programació anual. PER A INICIAR AMB LA TAULA US PODEU BASAR MOLT EN LA FEINA JA FETA DE PRIORITZACIÓ DE MESURES PEL MAP  </t>
  </si>
  <si>
    <t xml:space="preserve">En el cas dels objectius operatius que s'ha considerat que no són aplicables a l'espai, cal avaluar si podrien tenir alguna acció que sí tindria sentit d'incloure al Pla estratègic tot i que l'objectiu de manera global no hi ´seria d'aplicació. </t>
  </si>
  <si>
    <t>Indicadors:</t>
  </si>
  <si>
    <t>Tasca 8: Columna Q. Posar un indicar SMART per avaluar el compliment de la mesura proposada a la columna N</t>
  </si>
  <si>
    <t>Fites a assolir en 4 anys:</t>
  </si>
  <si>
    <t>Tasca 9: Posar un valor de l'indicador a asolir: valor mínim necessari (columna R) o valor desitjable (columna S).</t>
  </si>
  <si>
    <t>Hores de dedicació:</t>
  </si>
  <si>
    <t xml:space="preserve">Tasca 10: Columna T. Realitzar una aproximació el més acurada que es pugui de les hores del personal de gestió de l'espai que cal destinar per a la realització de l'acció. </t>
  </si>
  <si>
    <t>Àrea responsable:</t>
  </si>
  <si>
    <t>Tasca 11: Columna U. Indicar quina àrea de l'equip de gestió és responsable de coordinar l'execució de l'acció.</t>
  </si>
  <si>
    <t>Persona responsable:</t>
  </si>
  <si>
    <t>Tasca 12: Columna V. Indicar quina persona dins l'àrea seria l'encarregada.</t>
  </si>
  <si>
    <t>PESTANYA DEL VINCLE</t>
  </si>
  <si>
    <t>Definir vincle amenaça vs. Obj. Operatiu</t>
  </si>
  <si>
    <t xml:space="preserve">Tasca 1: Establir / Revisar el vincle entre les amenaces identificades a la pestanya de priorització i els objectius operatius definits a la columna J de la pestanya Pla. La columna B conté el llistat dels objectius operatius tal i com quedaran definits després de la vostra revisió. </t>
  </si>
  <si>
    <t xml:space="preserve">Tasca 2: En cas que es pugui, definir l'amenaça / factor / causa concret a la que atén l'objectiu definit al Pla. Poden ser més d'una. </t>
  </si>
  <si>
    <t xml:space="preserve"> És important que es visualitzi a quina amenaça es dirigeix l'objectiu operatiu que es proposa al Pla, tot i que, no sempre hi ha d'haver un vincle clar. Pot haver algun objectiu sense amenaça vinculada.</t>
  </si>
  <si>
    <t>Llistats corresponent a l'espai de Natura 2000 ES5120008"Estany de Banyoles"</t>
  </si>
  <si>
    <t>LLISTAT D'ELEMENTS PRESENT A L'ESPAI</t>
  </si>
  <si>
    <t>AMENACES PER A CADA ELEMENT</t>
  </si>
  <si>
    <t>Hàbitats d'interès comunitari</t>
  </si>
  <si>
    <t>Prioritzat</t>
  </si>
  <si>
    <t>CE</t>
  </si>
  <si>
    <t>Puntuació índex rellevància</t>
  </si>
  <si>
    <t>Comentaris en cas de canvi en la priorització</t>
  </si>
  <si>
    <t>Amenaça 1 segons taxonomia</t>
  </si>
  <si>
    <t>Amenaça 2 segons taxonomia</t>
  </si>
  <si>
    <t>Amenaça 3 segons taxonomia</t>
  </si>
  <si>
    <t>Altres amenaces</t>
  </si>
  <si>
    <t>Si</t>
  </si>
  <si>
    <t>No</t>
  </si>
  <si>
    <t>Nota: La priorització d'elements actual inclou els Elements Clau que es van determinar en l'instrument de gestió aprovat amb l'Acord de Govern 150/2014 (Annex 6)</t>
  </si>
  <si>
    <t>Aquest Acord era per les Zones Especials de Conservació, no per les ZEPA i, per tant, no es va fer l'exercici de priorització de les aus.</t>
  </si>
  <si>
    <t>Basses i tolls temporanis</t>
  </si>
  <si>
    <t>També inclou el primer quartil de l'exercici de la UIC per prioritzar els elements present a cada espai de Natura 2000, és a dir, el 25% dels</t>
  </si>
  <si>
    <t>Estanys càrstics amb guixos</t>
  </si>
  <si>
    <t>elements amb major índex de rellevància a l'espai. Veure document metodològic aquí:</t>
  </si>
  <si>
    <t>https://gencat.sharepoint.com/sites/Informaciiconeixementpatrimoninatural2/Documents%20compartits/Forms/AllItems.aspx?csf=1&amp;web=1&amp;e=3x4ZkK&amp;ovuser=3b9427dc%2Dd30e%2D43bc%2D8c06%2Dff7253676fec%2Cjordiparpal%40gencat%2Ecat&amp;OR=Teams%2DHL&amp;CT=1713942253212&amp;clic</t>
  </si>
  <si>
    <t xml:space="preserve">Jonqueres </t>
  </si>
  <si>
    <t>El llistat original d'elements prové dels llistats que genera l'ACTBIO i té en compte les espècies que surten al formulari normalitzat de dades (FND) de l'espai</t>
  </si>
  <si>
    <t>Prats de dall de terra baixa</t>
  </si>
  <si>
    <t>L'ENP considera com a prioritari com a zona d'expansió/buffer a l'entorn de zones humides</t>
  </si>
  <si>
    <t>7210p</t>
  </si>
  <si>
    <t>Aiguamolls calcari de mansega</t>
  </si>
  <si>
    <t>Vernedes i altres boscos de ribera</t>
  </si>
  <si>
    <t>És d'interès per l'ENP per la restauració de boscos de ribera en general</t>
  </si>
  <si>
    <t>92A0</t>
  </si>
  <si>
    <t>Alberedes, salzedes i altres boscos</t>
  </si>
  <si>
    <t>Ídem anterior</t>
  </si>
  <si>
    <t>Alzinars i carrascars</t>
  </si>
  <si>
    <t>Pinedes mediterrànies</t>
  </si>
  <si>
    <t>Si es pot fer compra de finques l'ENP també hi intervé</t>
  </si>
  <si>
    <t>Espècies presents a l'espai</t>
  </si>
  <si>
    <t>Aus</t>
  </si>
  <si>
    <t>Acrocephalus arundinaceus</t>
  </si>
  <si>
    <t>Acrocephalus melanopogon</t>
  </si>
  <si>
    <t>Actitis hypoleucos</t>
  </si>
  <si>
    <t>Alcedo atthis</t>
  </si>
  <si>
    <t>Amfibis</t>
  </si>
  <si>
    <t>Alytes obstetricans</t>
  </si>
  <si>
    <t>Com a millora d'hàbitat, actualització de la informació</t>
  </si>
  <si>
    <t>Anas acuta</t>
  </si>
  <si>
    <t>Anas clypeata</t>
  </si>
  <si>
    <t>Anas crecca</t>
  </si>
  <si>
    <t>Anas penelope</t>
  </si>
  <si>
    <t>Anas platyrhynchos</t>
  </si>
  <si>
    <t>Treball en termes d'afectació a cultius propers</t>
  </si>
  <si>
    <t>Anas querquedula</t>
  </si>
  <si>
    <t>Anas strepera</t>
  </si>
  <si>
    <t>Ardea alba</t>
  </si>
  <si>
    <t>Ardea cinerea</t>
  </si>
  <si>
    <t>Ardea purpurea</t>
  </si>
  <si>
    <t>Ardeola ralloides</t>
  </si>
  <si>
    <t>Aythya ferina</t>
  </si>
  <si>
    <t>Hi és com a hivernant</t>
  </si>
  <si>
    <t>Aythya fuligula</t>
  </si>
  <si>
    <t>EN</t>
  </si>
  <si>
    <t>Aythya nyroca</t>
  </si>
  <si>
    <t>VU</t>
  </si>
  <si>
    <t>Mamífers</t>
  </si>
  <si>
    <t>Barbastella barbastellus</t>
  </si>
  <si>
    <t>Peixos</t>
  </si>
  <si>
    <t>Barbus meridionalis</t>
  </si>
  <si>
    <t>Bubulcus ibis</t>
  </si>
  <si>
    <t>Buteo buteo</t>
  </si>
  <si>
    <t>Caprimulgus europaeus</t>
  </si>
  <si>
    <t>Flora</t>
  </si>
  <si>
    <t>Carex elata</t>
  </si>
  <si>
    <t>Invertebrats</t>
  </si>
  <si>
    <t>Cerambyx cerdo</t>
  </si>
  <si>
    <t>Certhia brachydactyla all others</t>
  </si>
  <si>
    <t>Charadrius dubius</t>
  </si>
  <si>
    <t>Chlidonias hybrida</t>
  </si>
  <si>
    <t>Chlidonias niger</t>
  </si>
  <si>
    <t>Ciconia ciconia</t>
  </si>
  <si>
    <t>Circus aeruginosus</t>
  </si>
  <si>
    <t>Luscinia svecica</t>
  </si>
  <si>
    <t>Egretta garzetta</t>
  </si>
  <si>
    <t>Rèptils</t>
  </si>
  <si>
    <t>Emys orbicularis</t>
  </si>
  <si>
    <t>Falco peregrinus</t>
  </si>
  <si>
    <t>Fulica atra</t>
  </si>
  <si>
    <t>L'espai les té com a indicadores del sistema</t>
  </si>
  <si>
    <t>Gallinago gallinago</t>
  </si>
  <si>
    <t>Gallinula chloropus</t>
  </si>
  <si>
    <t>Gelochelidon nilotica</t>
  </si>
  <si>
    <t>Graellsia isabellae</t>
  </si>
  <si>
    <t>Himantopus himantopus</t>
  </si>
  <si>
    <t>Hydrocoloeus minutus</t>
  </si>
  <si>
    <t>Ixobrychus minutus</t>
  </si>
  <si>
    <t>Lacerta bilineata</t>
  </si>
  <si>
    <t>Larus fuscus all others</t>
  </si>
  <si>
    <t>Larus ridibundus</t>
  </si>
  <si>
    <t>Lucanus cervus</t>
  </si>
  <si>
    <t>Lutra lutra</t>
  </si>
  <si>
    <t>Lymnocryptes minimus</t>
  </si>
  <si>
    <t>Mauremys leprosa</t>
  </si>
  <si>
    <t>Merops apiaster</t>
  </si>
  <si>
    <t>Milvus migrans</t>
  </si>
  <si>
    <t>Miniopterus schreibersii</t>
  </si>
  <si>
    <t>Muscicapa striata</t>
  </si>
  <si>
    <t>Myotis daubentonii</t>
  </si>
  <si>
    <t>Actualització de la informació (2008)</t>
  </si>
  <si>
    <t>Myotis capaccinii</t>
  </si>
  <si>
    <t>Myotis emarginatus</t>
  </si>
  <si>
    <t>Netta rufina</t>
  </si>
  <si>
    <t>Nyctalus leisleri</t>
  </si>
  <si>
    <t>Nycticorax nycticorax</t>
  </si>
  <si>
    <t>Otus scops</t>
  </si>
  <si>
    <t>Molt comú</t>
  </si>
  <si>
    <t>Oxygastra curtisii</t>
  </si>
  <si>
    <t>Es fan seguiments a través del CAR</t>
  </si>
  <si>
    <t>Pandion haliaetus</t>
  </si>
  <si>
    <t>Passer montanus</t>
  </si>
  <si>
    <t>Phalacrocorax carbo sinensis</t>
  </si>
  <si>
    <t>Plegadis falcinellus</t>
  </si>
  <si>
    <t>Pluvialis apricaria</t>
  </si>
  <si>
    <t>Porzana parva</t>
  </si>
  <si>
    <t>Porzana porzana</t>
  </si>
  <si>
    <t>Rallus aquaticus</t>
  </si>
  <si>
    <t>Rhinolophus ferrumequinum</t>
  </si>
  <si>
    <t>Rhinolophus hipposideros</t>
  </si>
  <si>
    <t>Saxicola torquatus</t>
  </si>
  <si>
    <t>Scolopax rusticola</t>
  </si>
  <si>
    <t>Streptopelia turtur</t>
  </si>
  <si>
    <t>Sylvia cantillans</t>
  </si>
  <si>
    <t>Tachybaptus ruficollis</t>
  </si>
  <si>
    <t>Thelypteris palustris</t>
  </si>
  <si>
    <t>Troglodytes troglodytes all others</t>
  </si>
  <si>
    <t>Tyto alba</t>
  </si>
  <si>
    <t>Es fa hacking</t>
  </si>
  <si>
    <t>Unio elongatulus</t>
  </si>
  <si>
    <t>Unio ravoisieri</t>
  </si>
  <si>
    <t>Upupa epops</t>
  </si>
  <si>
    <t>Vanellus vanellus</t>
  </si>
  <si>
    <t>Vertigo angustior</t>
  </si>
  <si>
    <t>Vertigo moulinsiana</t>
  </si>
  <si>
    <t>Zamenis longissimus</t>
  </si>
  <si>
    <t>Proserpinus proserpina</t>
  </si>
  <si>
    <t>Sí</t>
  </si>
  <si>
    <t>Millora de la informació i d'hàbitat</t>
  </si>
  <si>
    <t>Acrocephalus scirpaceus</t>
  </si>
  <si>
    <t>Epidalea calamita</t>
  </si>
  <si>
    <t>Eptesicus serotinus</t>
  </si>
  <si>
    <t>Genetta genetta</t>
  </si>
  <si>
    <t>Hyla meridionalis</t>
  </si>
  <si>
    <t>Mustela putorius</t>
  </si>
  <si>
    <t>Pelobates cultripes</t>
  </si>
  <si>
    <t>Pipistrellus pipistrellus</t>
  </si>
  <si>
    <t>Pipistrellus kulhi</t>
  </si>
  <si>
    <t>Pipistrellus pygmaeus</t>
  </si>
  <si>
    <t>Podarcis muralis</t>
  </si>
  <si>
    <t>Pelophilax perezi</t>
  </si>
  <si>
    <t>Triturus marmoratus</t>
  </si>
  <si>
    <t>Larus michahellis</t>
  </si>
  <si>
    <t>Larus argentatus</t>
  </si>
  <si>
    <t>Larus cachinnans</t>
  </si>
  <si>
    <t>Potamogeton perfoliatus</t>
  </si>
  <si>
    <t>Banyoles té la única població de Girona (en captivitat)</t>
  </si>
  <si>
    <t>Myriophillum verticillatum</t>
  </si>
  <si>
    <t>Najas marina</t>
  </si>
  <si>
    <t>Potamogeton schweinfurthii</t>
  </si>
  <si>
    <t>Gasterosteus aculeatus</t>
  </si>
  <si>
    <t>Reintroduccions de l'sp</t>
  </si>
  <si>
    <t>Felis sylvestris</t>
  </si>
  <si>
    <t>Mustela nivalis</t>
  </si>
  <si>
    <t>Athene noctua</t>
  </si>
  <si>
    <t>Arvicola sapidus</t>
  </si>
  <si>
    <t>Millora de la informació</t>
  </si>
  <si>
    <t>Salaria fluviatilis</t>
  </si>
  <si>
    <t>Treballs de control sobre EEI</t>
  </si>
  <si>
    <t>Potomida littoralis</t>
  </si>
  <si>
    <t>Cria en captivitat</t>
  </si>
  <si>
    <t>Anodonta anatina</t>
  </si>
  <si>
    <t>Aeshna afinis</t>
  </si>
  <si>
    <t>Aeschna isoceles</t>
  </si>
  <si>
    <t>Selysothemis nigra</t>
  </si>
  <si>
    <t>Hoplia coerulea</t>
  </si>
  <si>
    <t>Euphydrias aurinia</t>
  </si>
  <si>
    <t>Triops cancriformis</t>
  </si>
  <si>
    <t>Millors poblacions de Cat</t>
  </si>
  <si>
    <t>Vipera aspis</t>
  </si>
  <si>
    <t>Salamandra salamandra</t>
  </si>
  <si>
    <t>MODEL DE PLA ESTRATÈGIC PELS ENP</t>
  </si>
  <si>
    <t>Espai natural protegit:</t>
  </si>
  <si>
    <t>Estany de Banyoles</t>
  </si>
  <si>
    <t>Fita a assolir en 4 anys</t>
  </si>
  <si>
    <t>Gestió interna</t>
  </si>
  <si>
    <t>EIXOS</t>
  </si>
  <si>
    <t>OBJECTIUS Generals (PP)</t>
  </si>
  <si>
    <t>OBJECTIUS Estratègics</t>
  </si>
  <si>
    <t>OBJECTIUS operatius / Línia estratègica</t>
  </si>
  <si>
    <t>Comú / Específic</t>
  </si>
  <si>
    <t>Obligatori / Optatiu</t>
  </si>
  <si>
    <t>Objectiu operatiu concret a l'espai</t>
  </si>
  <si>
    <t>Explicació de la decisió presa en el cas de canvis respecte al llistat inicial (columna G)</t>
  </si>
  <si>
    <t>Objectiu amb mesures incorporables a la planificació anual de la gestió de l'espai?</t>
  </si>
  <si>
    <t>Prioritat</t>
  </si>
  <si>
    <t>Ordre</t>
  </si>
  <si>
    <t>Propostes d'accions</t>
  </si>
  <si>
    <t>Marc de referència</t>
  </si>
  <si>
    <t>Resultats derivats</t>
  </si>
  <si>
    <t>Indicadors</t>
  </si>
  <si>
    <t>Mínima</t>
  </si>
  <si>
    <t>Màxim (Desitjable)</t>
  </si>
  <si>
    <t xml:space="preserve">Total període hores </t>
  </si>
  <si>
    <t>Àrea responsable</t>
  </si>
  <si>
    <t>Persona responsable</t>
  </si>
  <si>
    <t>Contractació externa o mitjans propis</t>
  </si>
  <si>
    <t>Finançament</t>
  </si>
  <si>
    <t>NATURA</t>
  </si>
  <si>
    <t>CONSERVAR LA NATURA i restaurar els ecosistemes, els processos naturals i seminaturals, la biodiversitat i la geodiversitat associada.</t>
  </si>
  <si>
    <t>01.1</t>
  </si>
  <si>
    <t>Adequar i fer eficient la conservació dels elements objecte de gestió prioritària marcats per la DG a l'ENP</t>
  </si>
  <si>
    <t>01.1.1</t>
  </si>
  <si>
    <t>Implementar i executar plans de gestió específics per a hàbitats i espècies de conservació prioritària dins l'ENP</t>
  </si>
  <si>
    <t>Comú</t>
  </si>
  <si>
    <t xml:space="preserve">Obligatori </t>
  </si>
  <si>
    <t>ALTA</t>
  </si>
  <si>
    <r>
      <t xml:space="preserve">
Elaboració d'un pla de gestió de les tortugues aquàtiques autòctones a l'espai natural (</t>
    </r>
    <r>
      <rPr>
        <i/>
        <sz val="11"/>
        <rFont val="Calibri"/>
        <family val="2"/>
        <scheme val="minor"/>
      </rPr>
      <t xml:space="preserve">Emys orbicularis </t>
    </r>
    <r>
      <rPr>
        <sz val="11"/>
        <rFont val="Calibri"/>
        <family val="2"/>
        <scheme val="minor"/>
      </rPr>
      <t xml:space="preserve">i </t>
    </r>
    <r>
      <rPr>
        <i/>
        <sz val="11"/>
        <rFont val="Calibri"/>
        <family val="2"/>
        <scheme val="minor"/>
      </rPr>
      <t>Mauremys leprosa)</t>
    </r>
  </si>
  <si>
    <t>Àrea coordinació</t>
  </si>
  <si>
    <t>Contractació externa</t>
  </si>
  <si>
    <t>Fons propis</t>
  </si>
  <si>
    <t>X</t>
  </si>
  <si>
    <r>
      <t xml:space="preserve">
Elaboració d'un pla de gestió per la conservació i millora de les nàiades de l'espai natural </t>
    </r>
    <r>
      <rPr>
        <i/>
        <sz val="11"/>
        <rFont val="Calibri"/>
        <family val="2"/>
        <scheme val="minor"/>
      </rPr>
      <t>(Unio ravoisieri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Unio mancus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Potomida littoralis  i Anodonta anotina)</t>
    </r>
  </si>
  <si>
    <r>
      <rPr>
        <sz val="11"/>
        <color rgb="FF000000"/>
        <rFont val="Calibri"/>
        <family val="2"/>
        <scheme val="minor"/>
      </rPr>
      <t xml:space="preserve">
Elaboració d'un pla de gestió de la falguera dels pantans </t>
    </r>
    <r>
      <rPr>
        <i/>
        <sz val="11"/>
        <color rgb="FF000000"/>
        <rFont val="Calibri"/>
        <family val="2"/>
        <scheme val="minor"/>
      </rPr>
      <t>(Thelypteris palustris)</t>
    </r>
  </si>
  <si>
    <r>
      <t xml:space="preserve">
Elaboració d'un pla de gestió de potamogèton perfoliat </t>
    </r>
    <r>
      <rPr>
        <i/>
        <sz val="11"/>
        <rFont val="Calibri"/>
        <family val="2"/>
        <scheme val="minor"/>
      </rPr>
      <t>(Potamogeton perfoliatus)</t>
    </r>
  </si>
  <si>
    <t>MAP</t>
  </si>
  <si>
    <t>SFF: Elaboració de plans de gestió específics per a espècies de conservació prioritària i directrius de gestió d'hàbitats.
SFF/SENP: Definir a nivell de cluster quins son els que es poden elaborar conjuntament.</t>
  </si>
  <si>
    <t>01.1.2</t>
  </si>
  <si>
    <t>Adaptar i executar plans de gestió específics per a elements geològics de conservació prioritària dins l'ENP</t>
  </si>
  <si>
    <t>MITJANA</t>
  </si>
  <si>
    <t>Mitjans propis</t>
  </si>
  <si>
    <t>x</t>
  </si>
  <si>
    <t>Aplicació de les directrius de gestió de l'inventari de patrimoni geològic (ICGC)</t>
  </si>
  <si>
    <t>01.2</t>
  </si>
  <si>
    <t>01.2.1</t>
  </si>
  <si>
    <t>Implementar la metodologia de gestió adaptativa (Estàndards Oberts de Gestió Adaptativa a Catalunya) en tots els processos de l'ENP</t>
  </si>
  <si>
    <t>Obligatori</t>
  </si>
  <si>
    <t>MÀXIMA</t>
  </si>
  <si>
    <t>Redacció d'un protocol per tal d'incorporar la metodologia dels Estàndards Oberts pels processos més rellevants per a la conservació a l'espai</t>
  </si>
  <si>
    <t>ESNATURA</t>
  </si>
  <si>
    <t>SENP: Elaboració d'un manual per la implementació dels OSAM</t>
  </si>
  <si>
    <t>Intervenció</t>
  </si>
  <si>
    <t>Implementació del protocol per tal d'incorporar la metodologia dels Estàndards Oberts pels processos més rellevants per a la conservació a l'espai</t>
  </si>
  <si>
    <t>01.2.2</t>
  </si>
  <si>
    <t>Executar les mesures previstes en els plans de conservació o recuperació d'espècies amenaçades de forma coordinada amb el Servei de Flora i Fauna en l'àmbit de l'ENP</t>
  </si>
  <si>
    <t>Implicació i participació en la redacció dels plans de conservació /recuperació d'espècies amenaçades</t>
  </si>
  <si>
    <t xml:space="preserve">Nombre de reunions </t>
  </si>
  <si>
    <t xml:space="preserve">Execució de les accions dins els plans de recuperació/conservació aprovats que afectin l'espai </t>
  </si>
  <si>
    <t>Nombre d'accions executades</t>
  </si>
  <si>
    <t>Subjecte a ajuts</t>
  </si>
  <si>
    <t>MAP
Catàlegs</t>
  </si>
  <si>
    <t>SFF: Elaboració de plans de conservació o recuperació d'espècies protegides</t>
  </si>
  <si>
    <t>01.2.3</t>
  </si>
  <si>
    <t>Executar les mesures de gestió previstes en els plans de control i erradicació d'espècies exòtiques de forma coordinada amb el Servei de Flora i Fauna en l'àmbit de l'ENP</t>
  </si>
  <si>
    <t>Executar les mesures de control d'EEI</t>
  </si>
  <si>
    <t>Redacció del Pla tècnic de control del coipú (Myocastor coypus)</t>
  </si>
  <si>
    <t>Execució del Pla tècnic de control del coipú (Myocastor coypus)</t>
  </si>
  <si>
    <t>Redacció del Pla tècnic de control de la tortugues exòtiques</t>
  </si>
  <si>
    <t>Execució del Pla tècnic de control de la tortugues exòtiques</t>
  </si>
  <si>
    <t>Redacció del Pla tècnic de control de la flora exòtica invasora problemàtica a l'EIN</t>
  </si>
  <si>
    <t>Execució del Pla tècnic de control de la flora exòtica invasora problemàtica a l'EIN</t>
  </si>
  <si>
    <t>Redacció del Pla tècnic de control dels peixos exòtics</t>
  </si>
  <si>
    <t>Execució del Pla tècnic de control dels peixos exòtics</t>
  </si>
  <si>
    <t>ESNATURA
MAP</t>
  </si>
  <si>
    <t>SFF: Elaboració de plans de control i erradicació d'espècies exòtiques</t>
  </si>
  <si>
    <t>Trasllat a la DG de la informació recollida en el procés d'execució dels plans tècnics de control de les espècies exòtiques</t>
  </si>
  <si>
    <t>01.3</t>
  </si>
  <si>
    <t>Crear ecosistemes complexes, resilients, i d'alta biodiversitat per garantir la recuperació dels processos ecosistèmics</t>
  </si>
  <si>
    <t>01.3.1</t>
  </si>
  <si>
    <t>Identificar espais pel foment de la dinàmica natural i l'aprofitament no extractiu</t>
  </si>
  <si>
    <t>SENP/SFF: Definir criteris metodològics</t>
  </si>
  <si>
    <t>01.3.2</t>
  </si>
  <si>
    <t>Afavorir la maduresa dels sistemes forestals</t>
  </si>
  <si>
    <t>Específic</t>
  </si>
  <si>
    <t xml:space="preserve">Optatiu </t>
  </si>
  <si>
    <t>01.3.3</t>
  </si>
  <si>
    <t>Generar pertorbacions controlades</t>
  </si>
  <si>
    <t>01.3.4</t>
  </si>
  <si>
    <t xml:space="preserve">Restaurar la dinàmica natural dels rius </t>
  </si>
  <si>
    <t>01.3.5</t>
  </si>
  <si>
    <t>01.3.6</t>
  </si>
  <si>
    <t>Gestionar i intervenir en la dinàmica de poblacions de fauna que no tenen depredador natural</t>
  </si>
  <si>
    <t>01.4</t>
  </si>
  <si>
    <t>Alinear l'activitat de propietaris i gestors del territori amb la conservació, millora i restauració dels valors de l'ENP</t>
  </si>
  <si>
    <t>01.4.1</t>
  </si>
  <si>
    <t>01.4.2</t>
  </si>
  <si>
    <t>Fomentar bones pràctiques entre els col·lectius de propietaris i gestors del territori</t>
  </si>
  <si>
    <t>01.4.3</t>
  </si>
  <si>
    <t>Impulsar la coordinació amb els ens locals en la gestió finques públiques situades dins d’ENP</t>
  </si>
  <si>
    <t>ADAPTAR ELS ECOSISTEMES AL CANVI CLIMÀTIC i millorar-ne la resiliència en front dels riscos associats.</t>
  </si>
  <si>
    <t>02.1</t>
  </si>
  <si>
    <t>Planificar l'adaptació dels sistemes naturals al canvi climàtic</t>
  </si>
  <si>
    <t>02.1.1</t>
  </si>
  <si>
    <t>Adaptar i implementar el Pla d'adaptació de l'ENP al canvi climàtic</t>
  </si>
  <si>
    <t xml:space="preserve">OCCC/SENP: Elaboració del model de Pla d'adaptació dels ENP al canvi climàtic </t>
  </si>
  <si>
    <t>02.1.2</t>
  </si>
  <si>
    <t>Gestionar i planificar els recursos hídrics de l'ENP</t>
  </si>
  <si>
    <t>02.1.3</t>
  </si>
  <si>
    <t>Participar en la redacció i execució dels instruments d'ordenació forestal sostenible i per la conservació en finques públiques</t>
  </si>
  <si>
    <t>DGEFMN: Redacció d'IOF en finques públiques</t>
  </si>
  <si>
    <t>02.1.4</t>
  </si>
  <si>
    <t>Optatiu</t>
  </si>
  <si>
    <t>02.2</t>
  </si>
  <si>
    <t xml:space="preserve">Planificar la prevenció i extinció d’incendis forestals i la gestió del foc de forma coordinada amb els diferents agents del territori </t>
  </si>
  <si>
    <t>02.2.1</t>
  </si>
  <si>
    <t xml:space="preserve">Redactar i implementar el Pla de Prevenció d'Incendis </t>
  </si>
  <si>
    <t>Equip de PPI: Disseny del protocol de treball</t>
  </si>
  <si>
    <t>02.2.2</t>
  </si>
  <si>
    <t>02.2.3</t>
  </si>
  <si>
    <t>Treballar per a la prevenció d'incendis juntament amb els propietaris, ajuntaments, protecció civil, ADF i bombers.</t>
  </si>
  <si>
    <t>PROTEGIR LA BIODIVERSITAT, i especialment els elements fràgils i amenaçats, d’interès comunitari o de major interès natural.</t>
  </si>
  <si>
    <t>03.1</t>
  </si>
  <si>
    <t>Prevenir, minimitzar i compensar els impactes ambientals dels usos i activitats que es desenvolupin en l'àmbit de l'ENP</t>
  </si>
  <si>
    <t>03.1.1</t>
  </si>
  <si>
    <t>03.1.2</t>
  </si>
  <si>
    <t>Exercir un seguiment efectiu de les obres al Parc juntament amb les Oficines Territorials d'Acció i Avaluació Ambiental als efectes d'assegurar la correcta translació de la tutela administrativa.</t>
  </si>
  <si>
    <t>03.1.3</t>
  </si>
  <si>
    <t>Participar en la compensació d'impactes residuals durant els processos d'avaluació ambiental mitjançant la identificació de necessitats d'actuació prioritària dins i fora dels límits de l’ENP</t>
  </si>
  <si>
    <t>03.2</t>
  </si>
  <si>
    <t>Garantir el compliment dels objectius de conservació dotant l'ENP de la planificació adequada segons estableix la normativa vigent (Pla de Protecció, PRUG, plans específics...)</t>
  </si>
  <si>
    <t>03.2.1</t>
  </si>
  <si>
    <t>Participar en l'elaboració dels instruments de planificació de l'ENP</t>
  </si>
  <si>
    <t>SPEN: Elaboració del Pla rector d'usos i gestió.
SPEN: Elaboració del Pla rector d'usos i gestió</t>
  </si>
  <si>
    <t>03.3</t>
  </si>
  <si>
    <t>Vetllar pel manteniment dels cabals ecològics i la bona qualitat dels cursos fluvials de l'ENP de forma coordinada amb l'administració competent</t>
  </si>
  <si>
    <t>03.3.1</t>
  </si>
  <si>
    <t>Vetllar pel manteniment del cabal ecològic dels rius definit al Pla sectorial corresponent</t>
  </si>
  <si>
    <t>ACA/CHE: Determinar els cabals ecològics en espais naturals protegits</t>
  </si>
  <si>
    <t>03.3.3</t>
  </si>
  <si>
    <t>Avaluar i controlar les actuacions que produeixin drenatges, captacions o que puguin impedir l’arribada d’aigua tant superficial com freàtica</t>
  </si>
  <si>
    <t>03.3.4</t>
  </si>
  <si>
    <t>Vetllar pel compliment de la normativa de depuració dels efluents agroramaders, urbans i industrials que s'aboquen als cursos fluvials</t>
  </si>
  <si>
    <t>03.4</t>
  </si>
  <si>
    <t>Incrementar el patrimoni públic destinat a la conservació i millora del patrimoni natural</t>
  </si>
  <si>
    <t>03.4.1</t>
  </si>
  <si>
    <t xml:space="preserve">Identificar espais prioritaris per a la compra de terrenys de més valor dins l'ENP </t>
  </si>
  <si>
    <t>SENP/SPEN: Facilitar els criteris a seguir</t>
  </si>
  <si>
    <t>03.4.2</t>
  </si>
  <si>
    <t>Identificar espais prioritaris per a la gestió directa</t>
  </si>
  <si>
    <t xml:space="preserve"> CULTURA</t>
  </si>
  <si>
    <t>CONSERVAR ELS ELEMENTS CULTURALS materials i immaterials vinculats a la natura</t>
  </si>
  <si>
    <t>04.1</t>
  </si>
  <si>
    <t>Millorar el coneixement disponible sobre el patrimoni arquitectònic i cultural (material i immaterial) vinculat al patrimoni natural, el seu estat de conservació i els estils propis dels territoris de l'ENP</t>
  </si>
  <si>
    <t>04.1.1</t>
  </si>
  <si>
    <t>Elaborar l'inventari i cartografia de patrimoni cultural de l'ENP, que també inclogui el patrimoni etnològic i immaterial</t>
  </si>
  <si>
    <t>04.1.2</t>
  </si>
  <si>
    <t>Elaborar el catàleg lingüístic (localismes) de patrimoni natural, geografia popular, festes i activitats tradicionals de l'ENP</t>
  </si>
  <si>
    <t>04.1.3</t>
  </si>
  <si>
    <t>Elaborar la cartografia de la xarxa de camins ramaders i senders tradicionals de l'ENP</t>
  </si>
  <si>
    <t>04.2</t>
  </si>
  <si>
    <t>Conservar i gestionar el patrimoni cultural de l'ENP de forma coordinada amb els agents responsables i entitats de referència</t>
  </si>
  <si>
    <t>04.2.1</t>
  </si>
  <si>
    <t>Identificar els ens de referència en patrimoni cultural (entitats, associacions, museus i ecomuseus, etc.) en l'àmbit de l'ENP</t>
  </si>
  <si>
    <t>04.2.2</t>
  </si>
  <si>
    <t>Articular treballs conjunts entre l'ENP i representants, gestors o custodis del patrimoni cultural per a la seva protecció i millora</t>
  </si>
  <si>
    <t>04.2.3</t>
  </si>
  <si>
    <t>Coordinar i participar dels treballs de restauració arquitectònica i del patrimoni cultural</t>
  </si>
  <si>
    <t>04.2.4</t>
  </si>
  <si>
    <t>Disposar de personal especialitzat en patrimoni cultural</t>
  </si>
  <si>
    <t>04.3</t>
  </si>
  <si>
    <t>Potenciar la conservació i recuperació del patrimoni cultural material i immaterial de l'ENP</t>
  </si>
  <si>
    <t>04.3.1</t>
  </si>
  <si>
    <t xml:space="preserve">Recuperar i conservar el patrimoni cultural rural immaterial associat a les activitats i aprofitaments tradicionals </t>
  </si>
  <si>
    <t>04.3.2</t>
  </si>
  <si>
    <t>Recuperar i conservar el patrimoni cultural rural vinculat específicament a construccions de pedra en sec</t>
  </si>
  <si>
    <t>04.3.3</t>
  </si>
  <si>
    <t>04.3.4</t>
  </si>
  <si>
    <t>Identificar i conservar la diversitat domesticada de varietats agrícoles i ramaderes locals</t>
  </si>
  <si>
    <t>04.4</t>
  </si>
  <si>
    <t xml:space="preserve">Donar a conèixer els elements culturals com a valors del paisatge de l'ENP en les activitats d'ús públic </t>
  </si>
  <si>
    <t>04.4.1</t>
  </si>
  <si>
    <t>Integrar el patrimoni cultural als itineraris i cartelleria de l'ENP.</t>
  </si>
  <si>
    <t>04.4.2</t>
  </si>
  <si>
    <t>Incorporar el patrimoni cultural en els plans d’ús públic i educació ambiental per fomentar-ne la seva conservació i divulgació.</t>
  </si>
  <si>
    <t>04.4.3</t>
  </si>
  <si>
    <t>Formar el personal dels punts d’informació en els valors culturals de l'ENP</t>
  </si>
  <si>
    <t>PROTEGIR EL PAISATGE i la qualitat de l'ambient visual, sonor i lumínic.</t>
  </si>
  <si>
    <t>05.1</t>
  </si>
  <si>
    <t>Identificar els elements d'interès paisatgístic de l'espai</t>
  </si>
  <si>
    <t>05.1.1</t>
  </si>
  <si>
    <t xml:space="preserve">Elaborar un inventari d'elements d'interès paisatgístic de l'ENP d'acord amb el Catàleg de paisatge de la zona </t>
  </si>
  <si>
    <t>05.2</t>
  </si>
  <si>
    <t>Millorar la qualitat paisatgística</t>
  </si>
  <si>
    <t>05.2.1</t>
  </si>
  <si>
    <t>Desplegar actuacions de restauració dels elements d'interès paisatgístic degradats</t>
  </si>
  <si>
    <t>BAIXA</t>
  </si>
  <si>
    <t>05.2.2</t>
  </si>
  <si>
    <t>05.2.3</t>
  </si>
  <si>
    <t>Minimitzar la brutícia, deixalles, vandalisme i males praxis dins l'ENP</t>
  </si>
  <si>
    <t>05.3</t>
  </si>
  <si>
    <t>Protegir la qualitat acústica i lumínica de l'ENP</t>
  </si>
  <si>
    <t>05.3.1</t>
  </si>
  <si>
    <t>Promoure la certificació de qualitat del cel nocturn</t>
  </si>
  <si>
    <t>05.3.2</t>
  </si>
  <si>
    <t>Promoure la certificació de zones d'especial protecció de la qualitat acústica</t>
  </si>
  <si>
    <t xml:space="preserve">CONEIXEMENT </t>
  </si>
  <si>
    <t>MILLORAR EL CONEIXEMENT DE L'ENTORN, del patrimoni natural, cultural i social.</t>
  </si>
  <si>
    <t>06.1</t>
  </si>
  <si>
    <t>Identificar els objectes de gestió prioritària de l'ENP en el marc dels objectius de govern</t>
  </si>
  <si>
    <t>06.1.1</t>
  </si>
  <si>
    <t>Identificar i prioritzar els elements clau i d'interès per la gestió de la biodiversitat i geodiversitat de Catalunya es troben dins l'ENP (especies amenaçades, espècies exòtiques invasores,.. )</t>
  </si>
  <si>
    <t>UIC/SFF/SPEN: Definir criteris d'identificació d'elements interès.
UIC/SFF/SPEN: Definició dels objectes de conservació clau comuns a nivell de Xarxa d'ENP o clúster territorial</t>
  </si>
  <si>
    <t>06.1.2</t>
  </si>
  <si>
    <t>Definir espais fràgils i zones d'especial atenció</t>
  </si>
  <si>
    <t>SPEN: Inventari i cartografia d'espais fràgils i zones d'especial atenció</t>
  </si>
  <si>
    <t>06.2</t>
  </si>
  <si>
    <t>Conèixer l'estat de conservació i la seva tendència dels hàbitats, les espècies els elements de la gea i els processos ecològics com a eina per avaluar i optimitzar la gestió</t>
  </si>
  <si>
    <t>06.2.1</t>
  </si>
  <si>
    <t>Participar en l'elaboració de la cartografia que elabora la UIC</t>
  </si>
  <si>
    <t>Trasllat de la informació a través de seguiments del elements clau i altres d'espècies i hàbitats d'interès per la gestió a la UIC</t>
  </si>
  <si>
    <t>UIC: Coordinar i contractar l'elaboració de la cartografia</t>
  </si>
  <si>
    <t>06.2.2</t>
  </si>
  <si>
    <t>Conèixer i estudiar els processos naturals propis de l’espai, la seva funcionalitat, i ecologia en referència als ecosistemes</t>
  </si>
  <si>
    <t>Nombre de masses d'aigua on s'aplica el protocol</t>
  </si>
  <si>
    <t>06.2.3</t>
  </si>
  <si>
    <t>Conèixer els usos i factors de canvi rellevants en l'evolució dels elements de conservació, i avaluar els efectes que generen en l’espai (pressions i amenaces)</t>
  </si>
  <si>
    <t xml:space="preserve">SENP/UIC: Elaborar la classificació i cartografia de les pressions o factors de canvi sobre el medi natural </t>
  </si>
  <si>
    <t>06.2.4</t>
  </si>
  <si>
    <t>Conèixer l'impacte de les gestió de l'aigua, sobre la biodiversitat.</t>
  </si>
  <si>
    <t>06.2.5</t>
  </si>
  <si>
    <t>Participar en el coneixement de la tendència d'espècies plaga amb afectacions sobre ecosistemes o activitats econòmiques dins l'ENP</t>
  </si>
  <si>
    <t>06.2.6</t>
  </si>
  <si>
    <t>Conèixer la tendència d'espècies exòtiques invasores amb afectacions sobre ecosistemes o activitats econòmiques dins l'ENP</t>
  </si>
  <si>
    <t>06.2.7</t>
  </si>
  <si>
    <t>06.3</t>
  </si>
  <si>
    <t>06.3.1</t>
  </si>
  <si>
    <t>Participar en la definició del sistema estàndard de seguiment de flora, fauna i hàbitats de la DG</t>
  </si>
  <si>
    <t>UIC/SFF/SENP: Crear espais de participació
UIC/SFF: Definir el sistema estàndard de seguiment i el protocol d'aplicació</t>
  </si>
  <si>
    <t>06.3.2</t>
  </si>
  <si>
    <t>Adequar i executar el sistema de seguiment periòdic dels grups clau de l'ENP al sistema estàndard de seguiment</t>
  </si>
  <si>
    <t>UIC/SFF: Definir el sistema estàndard de seguiment i el protocol d'aplicació
UIC: Elaborar el protocol d'informació i coneixement</t>
  </si>
  <si>
    <t>06.3.3</t>
  </si>
  <si>
    <t xml:space="preserve">Mantenir una base de dades de seguiment de patrimoni natural de l'ENP actualitzada i ordenada </t>
  </si>
  <si>
    <t>06.3.4</t>
  </si>
  <si>
    <t>Participar en el grups de treball per a la definició i organització del SINATCAT</t>
  </si>
  <si>
    <t>UIC/SENP: Crear i coordinar una metodologia participativa per a la definició del SINATCAT</t>
  </si>
  <si>
    <t>06.4</t>
  </si>
  <si>
    <t>Incrementar el coneixement de qualitat mitjançant l’establiment de marcs de col·laboració, assessorament i suport amb centres de recerca, museus i entitats naturalistes per al desenvolupament de part de la seva activitat en l’ENP</t>
  </si>
  <si>
    <t>06.4.1</t>
  </si>
  <si>
    <t>Crear sinèrgies i col·laborar amb museus i equipaments de referència per definir línies d'actuació conjunta entre patrimoni cultural i natural</t>
  </si>
  <si>
    <t>SENP: Elaborar un mapa d'agents de referència</t>
  </si>
  <si>
    <t>06.4.2</t>
  </si>
  <si>
    <t>Establir acords amb les institucions de recerca i naturalistes per al desenvolupament d'estudis i inventaris dins l'ENP en el marc de les seves línies de recerca</t>
  </si>
  <si>
    <t>06.4.3</t>
  </si>
  <si>
    <t xml:space="preserve">Potenciar la ciència ciutadana en l’ENP com a eina per generar coneixement </t>
  </si>
  <si>
    <t>06.4.4</t>
  </si>
  <si>
    <t>SENP: Suport en l'organització de les jornades</t>
  </si>
  <si>
    <t>06.4.5</t>
  </si>
  <si>
    <t>Posar a disposició de la recerca, equipaments i serveis de l'ENP</t>
  </si>
  <si>
    <t>06.4.6</t>
  </si>
  <si>
    <t xml:space="preserve">Crear l'Observatori de recerca de l'ENP vinculat a l'Observatori del Patrimoni natural i la biodiversitat </t>
  </si>
  <si>
    <t>06.5</t>
  </si>
  <si>
    <t>Millorar el coneixement global de les dinàmiques d'usos antròpics de l’ENP</t>
  </si>
  <si>
    <t>06.5.1</t>
  </si>
  <si>
    <t>06.5.2</t>
  </si>
  <si>
    <t xml:space="preserve">Disposar de dades de freqüentació i perfil d'usuari en l'ENP i en especial en equipaments i en zones d'alta freqüentació segons el model de DG </t>
  </si>
  <si>
    <t>06.5.3</t>
  </si>
  <si>
    <t>Identificar les activitats i actors de l’espai.</t>
  </si>
  <si>
    <t>06.5.4</t>
  </si>
  <si>
    <t>Identificar en cartografia les males praxis i punts de massificació</t>
  </si>
  <si>
    <t>06.5.5</t>
  </si>
  <si>
    <t>06.5.6</t>
  </si>
  <si>
    <t>Identificar els impactes (positius i negatius) que generen les activitats d'ús públic dins l'ENP</t>
  </si>
  <si>
    <t xml:space="preserve">DESENVOLUPAMENT LOCAL </t>
  </si>
  <si>
    <t>FIXAR LA POBLACIÓ AL TERRITORI d'acord amb les oportunitats que generen els objectius de l'espai.</t>
  </si>
  <si>
    <t>07.1</t>
  </si>
  <si>
    <t>07.1.1</t>
  </si>
  <si>
    <t xml:space="preserve">Promoure i col·laborar en l'aplicació de Plans de Desenvolupament Local Sostenible </t>
  </si>
  <si>
    <t xml:space="preserve">APROFITAR ELS RECURSOS NATURALS DE FORMA SOSTENIBLE mitjançant desenvolupament dels aprofitaments tradicionals de forma compatible amb la conservació de l'espai </t>
  </si>
  <si>
    <t>08.1</t>
  </si>
  <si>
    <t>Impulsar models productius agraris i forestals per tal d'afavorir la conservació dels hàbitats i els paisatges modelats per aquestes, i contribuir a la millora socioeconòmica de les persones que la fan possible</t>
  </si>
  <si>
    <t>08.1.1</t>
  </si>
  <si>
    <t xml:space="preserve">Acompanyar i assessorar els productors agraris per millorar les tècniques productives agràries i afavorir la conservació dels hàbitats i paisatges </t>
  </si>
  <si>
    <t>08.1.2</t>
  </si>
  <si>
    <t xml:space="preserve">Oferir formació als productors agraris per millorar el seu coneixement sobre tècniques eficients i respectuoses amb la conservació del patrimoni natural i cultural </t>
  </si>
  <si>
    <t>08.1.3</t>
  </si>
  <si>
    <t>Promoure la recuperació i conservació de marges i punts d'aigua associats a la ramaderia i l'agricultura i d'interès per la biodiversitat</t>
  </si>
  <si>
    <t>08.2</t>
  </si>
  <si>
    <t>Promoure la coordinació amb els agents socioeconòmics del territori pel foment del desenvolupament sostenible de l'espai (sector primari i secundari)</t>
  </si>
  <si>
    <t>08.2.1</t>
  </si>
  <si>
    <t>Establir una relació contínua amb agents socioeconòmics del territori, i si s'escau, crear una Taula de desenvolupament local</t>
  </si>
  <si>
    <t>08.3</t>
  </si>
  <si>
    <t>Millorar la valorització i comercialització dels productes generats a l'ENP que contribueixen al desenvolupament socioeconòmic i la conservació del patrimoni de l'ENP</t>
  </si>
  <si>
    <t>08.3.1</t>
  </si>
  <si>
    <t>Implantar un distintiu de qualitat i compatibilitat amb la conservació dels productes de la Xarxa d'ENP o criteris de qualitat propis de l'ENP</t>
  </si>
  <si>
    <t>SENP: Crear una marca que identifiqui els productes agroalimentaris generats en els ENP</t>
  </si>
  <si>
    <t>08.3.2</t>
  </si>
  <si>
    <t>Integrar els productes i activitats locals de qualitat en l'oferta d'activitats d'informació i turístiques de l'ENP</t>
  </si>
  <si>
    <t>ESNATURA
CETS</t>
  </si>
  <si>
    <t>08.3.3</t>
  </si>
  <si>
    <t>Promoure fires d'artesania i productes locals de l'ENP</t>
  </si>
  <si>
    <t>08.3.4</t>
  </si>
  <si>
    <t xml:space="preserve">Generar aliances entre el sector primari, el turisme, la restauració i altres per fomentar la gastronomia local </t>
  </si>
  <si>
    <t>08.3.5</t>
  </si>
  <si>
    <t>08.3.6</t>
  </si>
  <si>
    <t>Elaborar una guia per promocionar els agents del territori que potencien i difonen els productes alimentaris locals i de qualitat (allotjaments, restaurants, cellers, establiments, elaboradors i productors)</t>
  </si>
  <si>
    <t>08.4</t>
  </si>
  <si>
    <t>Contribuir a una correcta planificació i gestió dels recursos cinegètics i piscícoles de forma compatible amb els valors de l'ENP</t>
  </si>
  <si>
    <t>08.4.1</t>
  </si>
  <si>
    <t>Treballar amb l'autoritat competent per garantir objectius de conservació d’espècies i hàbitats en la revisió dels Plans de Gestió Cinegètica</t>
  </si>
  <si>
    <t>08.4.2</t>
  </si>
  <si>
    <t>Col·laborar en la regulació i ordenació de la caça i la pesca en zones sensibles o amb risc d'afectació d'elements clau objecte de conservació</t>
  </si>
  <si>
    <t>08.4.3</t>
  </si>
  <si>
    <t>Donar suport en la gestió de poblacions que generen danys a les activitats econòmiques de l'ENP</t>
  </si>
  <si>
    <t>Gestió activa de l'ENP de poblacions que generen danys a les activitats econòmiques de l'ENP</t>
  </si>
  <si>
    <t xml:space="preserve">FOMENTAR UN TURISME SOSTENIBLE compatible amb la conservació de l'espai </t>
  </si>
  <si>
    <t>09.1</t>
  </si>
  <si>
    <t xml:space="preserve">Fomentar un model de turisme que promogui els valors dels espais naturals protegits d'acord amb els agents turístics del territori </t>
  </si>
  <si>
    <t>09.1.1</t>
  </si>
  <si>
    <t>Desplegar la Carta Europea de Turisme Sostenible (CETS)</t>
  </si>
  <si>
    <t>09.1.2</t>
  </si>
  <si>
    <t>Tramitar la certificació Biosphere</t>
  </si>
  <si>
    <t>09.2</t>
  </si>
  <si>
    <t>Promoure la coordinació amb els agents turístics del territori (empreses, industries, administració).</t>
  </si>
  <si>
    <t>09.2.1</t>
  </si>
  <si>
    <t xml:space="preserve">Treballar amb les empreses turístiques per trobar eines de canvi cap a un model de turisme sostenible i de qualitat </t>
  </si>
  <si>
    <t>09.2.2</t>
  </si>
  <si>
    <t>Crear productes i paquets turístics amb associacions d’empreses turístiques i operadors turístics</t>
  </si>
  <si>
    <t>ÚS PÚBLIC I SOCIAL</t>
  </si>
  <si>
    <t>ORDENAR ELS USOS I APROFITAMENTS per garantir l'equilibri de les activitats humanes amb la conservació de la biodiversitat</t>
  </si>
  <si>
    <t>10.1</t>
  </si>
  <si>
    <t>Estandarditzar de regulació d'usos i aprofitaments  en base al model de Pla de protecció</t>
  </si>
  <si>
    <t>10.1.1</t>
  </si>
  <si>
    <t>Establir un model de construcció a l'ENP en base al model de Pla de protecció</t>
  </si>
  <si>
    <t>SPEN: Elaborar model</t>
  </si>
  <si>
    <t>ORDENAR L'ÚS PÚBLIC I SOCIAL per a la protecció dels hàbitats, espècies i elements geològics</t>
  </si>
  <si>
    <t>11.1</t>
  </si>
  <si>
    <t>11.1.1</t>
  </si>
  <si>
    <t>Regular l'acampada i pernoctació  en base al model de Pla de protecció</t>
  </si>
  <si>
    <t>11.1.2</t>
  </si>
  <si>
    <t>Regular la circulació rodada no motoritzada en base al model de Pla de protecció</t>
  </si>
  <si>
    <t>11.1.3</t>
  </si>
  <si>
    <t>Regular l'escalada i alpinisme, barranquisme, i espeleologia  en base al model de Pla de protecció</t>
  </si>
  <si>
    <t>11.1.4</t>
  </si>
  <si>
    <t>Regular les curses i altres activitats esportives organitzades en base al model de Pla de protecció</t>
  </si>
  <si>
    <t>11.1.5</t>
  </si>
  <si>
    <t>Regular els enregistraments i l'observació de fauna i natura en base al model de Pla de protecció</t>
  </si>
  <si>
    <t>11.1.6</t>
  </si>
  <si>
    <t>Regular les activitats científiques en base al model de Pla de protecció</t>
  </si>
  <si>
    <t>11.1.7</t>
  </si>
  <si>
    <t>Regular les zones de bany</t>
  </si>
  <si>
    <t>11.1.8</t>
  </si>
  <si>
    <t>Regular l'enlairament i aterratge sense motor</t>
  </si>
  <si>
    <t>11.1.9</t>
  </si>
  <si>
    <t>Regular el submarinisme i l'snorkel</t>
  </si>
  <si>
    <t>11.1.10</t>
  </si>
  <si>
    <t>Regular les activitats aquàtiques i nàutiques i zones de fondeig</t>
  </si>
  <si>
    <t>11.1.11</t>
  </si>
  <si>
    <t>Regular la presència d'animals de companyia</t>
  </si>
  <si>
    <t>11.1.12</t>
  </si>
  <si>
    <t>11.2</t>
  </si>
  <si>
    <t>Disposar de la xarxa viària i itineraris oficials de l'ENP</t>
  </si>
  <si>
    <t>11.2.1</t>
  </si>
  <si>
    <t xml:space="preserve">Identificar i classificar la xarxa viària bàsica, secundària, senders i itineraris senyalitzats d'acord amb els ajuntaments </t>
  </si>
  <si>
    <t>Persones i natura: concretar criteris</t>
  </si>
  <si>
    <t>11.2.2</t>
  </si>
  <si>
    <t>Treballar conjuntament amb els principals canals d’informació de rutes  per prioritzar itineraris oficials dins l’ENP</t>
  </si>
  <si>
    <t>Persones i natura: Coordinació</t>
  </si>
  <si>
    <t>11.3</t>
  </si>
  <si>
    <t>Implementar el protocol estandarditzat basat en el pla per la regulació al accés, circulació i ús de la xarxa viària</t>
  </si>
  <si>
    <t>11.3.1</t>
  </si>
  <si>
    <t>Regular l'accés i la circulació</t>
  </si>
  <si>
    <t>11.3.2</t>
  </si>
  <si>
    <t>Regular la xarxa viària principal, secundària i restringida</t>
  </si>
  <si>
    <t>11.3.3</t>
  </si>
  <si>
    <t>Regular l'ús de drons, l'enlairament i l'aterratge</t>
  </si>
  <si>
    <t>11.3.4</t>
  </si>
  <si>
    <t>Aplicar limitacions temporals d'accés o circulació</t>
  </si>
  <si>
    <t>11.3.5</t>
  </si>
  <si>
    <t>11.4</t>
  </si>
  <si>
    <t>Enfortir la col·laboració i coordinació amb els agents d'ús públic (empreses, entitats i ajuntaments)</t>
  </si>
  <si>
    <t>11.4.1</t>
  </si>
  <si>
    <t>Implementar l'ordenació de l'ús públic en col·laboració amb els agents del territori</t>
  </si>
  <si>
    <t>11.4.2</t>
  </si>
  <si>
    <t>Promoció i acompanyament en l'ordenació de l'ús públic de l'ENP des de l'àmbit municipal</t>
  </si>
  <si>
    <t>11.5</t>
  </si>
  <si>
    <t>Mantenir i millorar la senyalització de l'ENP</t>
  </si>
  <si>
    <t>11.5.1</t>
  </si>
  <si>
    <t>Realitzar l'inventari de senyalètica de l'ENP</t>
  </si>
  <si>
    <t>11.5.2</t>
  </si>
  <si>
    <t xml:space="preserve">Implantar el programa de senyalització i manteniment </t>
  </si>
  <si>
    <t>Persones i natura: Revisió del manual de senyalització</t>
  </si>
  <si>
    <t>11.6</t>
  </si>
  <si>
    <t>Prevenir i gestionar els impactes derivats de la sobrefreqüentació</t>
  </si>
  <si>
    <t>11.6.1</t>
  </si>
  <si>
    <t xml:space="preserve">Potenciar la visita a espais alternatius dins de l'àmbit d'influència de l'espai natural per reduir la pressió en zones sensibles </t>
  </si>
  <si>
    <t>11.6.2</t>
  </si>
  <si>
    <t xml:space="preserve">Implementar les mesures extraordinàries de regulació de l'ús públic </t>
  </si>
  <si>
    <t>11.7</t>
  </si>
  <si>
    <t>11.7.1</t>
  </si>
  <si>
    <t>Adequar els principals accessos, aparcaments i centres d'interès amb un ús elevat</t>
  </si>
  <si>
    <t>11.7.2</t>
  </si>
  <si>
    <t>Disposar dels equipaments i infraestructures necessàries i accessibles per acollir, informar, facilitar la visita i garantir la seguretat dels visitants i la protecció de l'entorn</t>
  </si>
  <si>
    <t>11.7.3</t>
  </si>
  <si>
    <t>Desenvolupar el Pla d'acollida als visitants en base al model de la DG</t>
  </si>
  <si>
    <t>Persones i natura: model de protocol d'acollida</t>
  </si>
  <si>
    <t>11.7.4</t>
  </si>
  <si>
    <t>Adaptar els missatges a donar des d'oficines d’informació, pròpies i alienes, d'acord amb el model de la DG</t>
  </si>
  <si>
    <t>Persones i natura: Unifica missatges que s'incorporen en el model de protocol d'acollida</t>
  </si>
  <si>
    <t>11.8</t>
  </si>
  <si>
    <t>Garantir el compliment de la normativa dins els ENP, especialment en l'accés motoritzat, zones amb hiperfrequentació i elements amb aprofitament comercial</t>
  </si>
  <si>
    <t>11.8.1</t>
  </si>
  <si>
    <t>Elaborar i executar el Pla de vigilància de l’espai d'acord amb els cossos d’inspecció i seguretat</t>
  </si>
  <si>
    <t>11.8.2</t>
  </si>
  <si>
    <t>Millorar la coordinació amb els cossos de seguretat per efectuar accions de control i vigilància</t>
  </si>
  <si>
    <t>11.8.3</t>
  </si>
  <si>
    <t>Vetllar pel compliment d'informes i la vigilància tècnica de l'espai</t>
  </si>
  <si>
    <t>GESTIONAR ELS RISCOS NATURALS per a l'autoprotecció de la població local</t>
  </si>
  <si>
    <t>12.1</t>
  </si>
  <si>
    <t>Col·laborar amb les autoritats competents per a la gestió de riscos dins l’ENP</t>
  </si>
  <si>
    <t>12.1.1</t>
  </si>
  <si>
    <t>Ordenar el pla d’emergències</t>
  </si>
  <si>
    <t>12.1.2</t>
  </si>
  <si>
    <t>Contribuir a la protecció dels assentaments humans respecte dels riscos naturals</t>
  </si>
  <si>
    <t xml:space="preserve">EDUCACIÓ, VOLUNTARIAT I COMUNICACIÓ </t>
  </si>
  <si>
    <t>FORMAR I SENSIBILITZAR la població incrementant la valoració i estima social de l'ENP</t>
  </si>
  <si>
    <t>13.1</t>
  </si>
  <si>
    <t xml:space="preserve">Afavorir la vinculació entre la comunitat educativa de l'entorn i l'ENP </t>
  </si>
  <si>
    <t>13.1.1</t>
  </si>
  <si>
    <t>Definir el model de Xarxa d'Escoles de l'Espai Natural (XEEN) a l'ENP amb els agents educatius del territori</t>
  </si>
  <si>
    <t>PEEVA
ESNATURA</t>
  </si>
  <si>
    <t>13.1.2</t>
  </si>
  <si>
    <t>Desplegar el model de Xarxa d'Escoles de l'Espai Natural (XEEN) a l'ENP d'acord amb el model general</t>
  </si>
  <si>
    <t>SEA: Elabora model de xarxa</t>
  </si>
  <si>
    <t>13.1.3</t>
  </si>
  <si>
    <t xml:space="preserve">Formar i capacitar al professorat de la XEEN </t>
  </si>
  <si>
    <t>13.2</t>
  </si>
  <si>
    <t>Promoure una oferta pedagògica basada en metodologies innovadores i actives que estiguin alineades amb el currículum educatiu del Departament d'Educació</t>
  </si>
  <si>
    <t>13.2.1</t>
  </si>
  <si>
    <t>Adaptar i millorar l'oferta pedagògica de l'ENP generant situacions d'aprenentatge i treballs per projecte</t>
  </si>
  <si>
    <t>13.2.2</t>
  </si>
  <si>
    <t>Dissenyar projectes d'ApS ambiental i Ciència ciutadana i projectes compartits amb entitats del territori que s'incloguin dins de l'oferta pedagògica.</t>
  </si>
  <si>
    <t>13.2.3</t>
  </si>
  <si>
    <t>Elaborar recursos educatius sobre l’espai (que tinguin en compte les problemàtiques singulars del seu espai) i posar-los a disposició dels centres educatius</t>
  </si>
  <si>
    <t>13.2.4</t>
  </si>
  <si>
    <t>Oferir projectes de recerca vinculats a l'espai natural per a l'alumnat universitari i de la XEEN</t>
  </si>
  <si>
    <t>13.3</t>
  </si>
  <si>
    <t>Establir mecanismes estables de formació, treball i coordinació amb els col·lectius implicats en la sensibilització i l'educació dins el ENP</t>
  </si>
  <si>
    <t>13.3.1</t>
  </si>
  <si>
    <t>Establir un model de coordinació territorial amb agents clau de l'educació ambiental</t>
  </si>
  <si>
    <t>13.3.2</t>
  </si>
  <si>
    <t>Cercar i establir col·laboracions i projectes conjunts amb agents clau del territori</t>
  </si>
  <si>
    <t>13.3.3</t>
  </si>
  <si>
    <t>Elaborar formacions dirigides als informadors, educadors i altres prescriptors del territori</t>
  </si>
  <si>
    <t>SEA: Elabora propostes MODEL de programes de formació</t>
  </si>
  <si>
    <t>13.4</t>
  </si>
  <si>
    <t>Desplegar un programa de divulgació i sensibilització per a visitants</t>
  </si>
  <si>
    <t>13.4.1</t>
  </si>
  <si>
    <t>Desplegar en el territori les campanyes de sensibilització i bones pràctiques que s'impulsin des de la DG</t>
  </si>
  <si>
    <t>SEA: Elabora un document marc per unificar missatges i coordinar la difusió</t>
  </si>
  <si>
    <t>13.4.2</t>
  </si>
  <si>
    <t xml:space="preserve">Adaptar el programa de divulgació i sensibilització de l'ENP perquè incorpori una oferta d’activitats adequada per a famílies </t>
  </si>
  <si>
    <t>13.4.3</t>
  </si>
  <si>
    <t xml:space="preserve">Adaptar el programa de divulgació i sensibilització de l'ENP perquè incorpori una oferta d’activitats adequada per a altres perfils </t>
  </si>
  <si>
    <t>13.4.4</t>
  </si>
  <si>
    <t xml:space="preserve">Adaptar el programa de divulgació i sensibilització de l'ENP perquè incorpori una oferta d’activitats dirigida al lleure educatiu </t>
  </si>
  <si>
    <t>13.5</t>
  </si>
  <si>
    <t>Desplegar un programa de sensibilització i formació per als col·lectius del territori estratègics en la conservació de la natura</t>
  </si>
  <si>
    <t>13.5.1</t>
  </si>
  <si>
    <t>Identificar col·lectius estratègics implicats en la gestió i l'ús del territori</t>
  </si>
  <si>
    <t>13.5.2</t>
  </si>
  <si>
    <t>Executar els projectes de sensibilització i formació dirigits al sector turístic, esportiu i de lleure</t>
  </si>
  <si>
    <t>13.5.3</t>
  </si>
  <si>
    <t xml:space="preserve">Executar els projectes de sensibilització i formació dirigits als agents de lleure educatiu </t>
  </si>
  <si>
    <t>13.5.4</t>
  </si>
  <si>
    <t xml:space="preserve">Executar els projectes de sensibilització i formació dirigits als agents del sector primari </t>
  </si>
  <si>
    <t>13.5.5</t>
  </si>
  <si>
    <t>Elaborar i renovar periòdicament un programa d’educació ambiental adreçat a la població local que contribueixi a fomentar el sentiment de pertinença i la implicació en la conservació de l'ENP.</t>
  </si>
  <si>
    <t>13.6</t>
  </si>
  <si>
    <t xml:space="preserve">Fomentar accions de voluntariat per conservar el patrimoni natural i cultural </t>
  </si>
  <si>
    <t>13.6.1</t>
  </si>
  <si>
    <t>Identificar els programes, projectes i accions en marxa o previstos a l’ENP que poden rebre el suport del voluntariat</t>
  </si>
  <si>
    <t>13.6.2</t>
  </si>
  <si>
    <t>Establir un model de coordinació territorial amb agents clau del voluntariat ambiental</t>
  </si>
  <si>
    <t>ESNATURA
PEEVA</t>
  </si>
  <si>
    <t xml:space="preserve">SEA: Elabora Model de Taula de Voluntariat Ambiental </t>
  </si>
  <si>
    <t>13.7</t>
  </si>
  <si>
    <t xml:space="preserve">Treballar per a la universalitat de les accions d’educació, sensibilització i voluntariat ambiental </t>
  </si>
  <si>
    <t>13.7.1</t>
  </si>
  <si>
    <t>Dissenyar i adaptar activitats inclusives per a persones amb necessitats específiques</t>
  </si>
  <si>
    <t>13.7.2</t>
  </si>
  <si>
    <t>Formar el personal de l'ENP (informadors i personal que treballa de cara al públic) en accessibilitat, diversitat funcional i diversitat de gènere</t>
  </si>
  <si>
    <t>13.7.3</t>
  </si>
  <si>
    <t>Incorporar la perspectiva de gènere als continguts i activitats de l'ENP</t>
  </si>
  <si>
    <t>13.8</t>
  </si>
  <si>
    <t>Desplegar i adaptar el programa Salut i Natura de la DG en l'àmbit de l'ENP</t>
  </si>
  <si>
    <t>13.8.1</t>
  </si>
  <si>
    <t>Dissenyar, implementar i fomentar itineraris saludables dins dels itineraris oficials dels ENP i en la zona d'influència</t>
  </si>
  <si>
    <t>13.8.2</t>
  </si>
  <si>
    <t>Identificar els agents clau i els àmbits de col·laboració per implementar el binomi salut i natura</t>
  </si>
  <si>
    <t>13.8.3</t>
  </si>
  <si>
    <t xml:space="preserve">Incloure el concepte de salut i natura en els missatges educatius i comunicatius de l'ENP </t>
  </si>
  <si>
    <t>13.8.4</t>
  </si>
  <si>
    <t>Participar a les Taules territorials de Salut i Natura</t>
  </si>
  <si>
    <t>COMUNICAR I DIFONDRE ELS VALORS DE L'ENP, contribuint a l'educació ambiental de la societat</t>
  </si>
  <si>
    <t>14.1</t>
  </si>
  <si>
    <t>Augmentar el coneixement de l'ENP entre la població</t>
  </si>
  <si>
    <t>14.1.1</t>
  </si>
  <si>
    <t>Informar periòdicament sobre les tasques, projectes i actuacions que duu a terme l'ENP a la població</t>
  </si>
  <si>
    <t>Pla de comunicació</t>
  </si>
  <si>
    <t>SENP: Elaborar els productes comunicatius</t>
  </si>
  <si>
    <t>14.1.2</t>
  </si>
  <si>
    <t>Garantir l'accessibilitat i gestió del coneixement disponible sobre l'ENP</t>
  </si>
  <si>
    <t>14.2</t>
  </si>
  <si>
    <t>Conscienciar sobre els valors de l'ENP als diferents públics objectiu</t>
  </si>
  <si>
    <t>14.2.1</t>
  </si>
  <si>
    <t>Sensibilitzar als diferents agents sobre els valors de l'ENP</t>
  </si>
  <si>
    <t>SEA: Crear material divulgatiu</t>
  </si>
  <si>
    <t>14.3</t>
  </si>
  <si>
    <t xml:space="preserve">Disposar d'una comunicació ordenada efectiva, positiva i coordinada que arribi a la ciutadania i aquesta pugui reconèixer fàcilment </t>
  </si>
  <si>
    <t>14.3.1</t>
  </si>
  <si>
    <t>Optimitzar els canals de comunicació</t>
  </si>
  <si>
    <t>14.3.2</t>
  </si>
  <si>
    <t>Garantir l'harmonització de la comunicació com a Parc, Xarxa i Generalitat.</t>
  </si>
  <si>
    <t>GESTIÓ I ADMINISTRACIÓ</t>
  </si>
  <si>
    <t>ESTABLIR EL MARC PER A LA GOVERNANÇA i la gestió eficient de l'espai i la xarxa d'ENP</t>
  </si>
  <si>
    <t>15.1</t>
  </si>
  <si>
    <t>Disposar d'espais per a la participació de personal expert i agents del territori en la governança de l'ENP</t>
  </si>
  <si>
    <t>15.1.1</t>
  </si>
  <si>
    <t>Crear una taula de treball amb els agents prioritaris per a la gestió de l'ENP i els grups de treball temàtics necessaris</t>
  </si>
  <si>
    <t>Posar en funcionament el Consell Consultiu del Consorci de l'Estany previst en els Estatuts</t>
  </si>
  <si>
    <t>Direcció</t>
  </si>
  <si>
    <t>15.1.2</t>
  </si>
  <si>
    <t>Disposar d'assessorament científic en l'ENP</t>
  </si>
  <si>
    <t>Creació d'un llistat d'especialistes per l'assessorament en les diverses temàtiques de gestió a l'ENP</t>
  </si>
  <si>
    <t>Promoure reunions de treball amb especialistes científics relatius a elements d'interès en la gestió de l'Espai Natural (per exemple: hidrogeologia, elements geològics, espècies protegides, espècies exòtiques invasores, patrimoni arqueològic, etc.)</t>
  </si>
  <si>
    <t>15.1.3</t>
  </si>
  <si>
    <t>Incloure entitats i organismes científics i culturals de referència en els mecanismes de presa de decisions de l'ENP</t>
  </si>
  <si>
    <t>Objectiu operatiu inclòs dins a l'objectiu 15.1.1</t>
  </si>
  <si>
    <t>15.1.4</t>
  </si>
  <si>
    <t>Adaptar i desplegar el model de governança dels espais naturals protegits</t>
  </si>
  <si>
    <t>Redacció de la proposta del  Pla Estratègic de l'Espai Natural Protegit de l'Estany de Banyoles i platja d'Espolla  del CES  (2025-2029)</t>
  </si>
  <si>
    <t>SENP: Elaborar una proposta de model de governança dels espais naturals protegits</t>
  </si>
  <si>
    <t>Document redactat</t>
  </si>
  <si>
    <t>Aprovació del Pla Estratègic de l'Espai Natural Protegit de l'Estany de Banyoles i platja d'Espolla  pel  Consell Plenari del CES  (2025-2029)</t>
  </si>
  <si>
    <t>Presidència</t>
  </si>
  <si>
    <t>Redacció de la proposta del  Pla Estratègic de l'Espai Natural Protegit de l'Estany de Banyoles i platja d'Espolla  del CES  (2029-2032)</t>
  </si>
  <si>
    <t>Aprovació de la nova Pla Estratègic de l'Espai Natural Protegit de l'Estany de Banyoles i platja d'Espolla  pel  Consell Plenari del CES  (2029-2032)</t>
  </si>
  <si>
    <t>Redacció del Programa d'Actuacions anual</t>
  </si>
  <si>
    <t>Aprovació del Programa d'Actuacions anual</t>
  </si>
  <si>
    <t>Acord d'aprovació</t>
  </si>
  <si>
    <t>MILLORAR L'EFICIÈNCIA de la gestió administrativa</t>
  </si>
  <si>
    <t>16.1</t>
  </si>
  <si>
    <t>Optimitzar l'aplicació pressupostaria</t>
  </si>
  <si>
    <t>16.1.1</t>
  </si>
  <si>
    <t>Millorar el sistema de control de l'execució del pressupost, d'acord amb les indicacions de Serveis Centrals</t>
  </si>
  <si>
    <t>Millorar el sistema de control de l'execució del pressupost d'acord amb les indicacions de l'administració d'adscripció.</t>
  </si>
  <si>
    <t>Redacció proposta pressupost anual</t>
  </si>
  <si>
    <t>Aprovació pressupost anual</t>
  </si>
  <si>
    <t>Fiscalització de despeses</t>
  </si>
  <si>
    <t>Auditoria comptable anual</t>
  </si>
  <si>
    <t>Altres aportacions</t>
  </si>
  <si>
    <t>Redacció del document de la Liquidació Anual</t>
  </si>
  <si>
    <t>Aprovació del document de la Liquidació Anual</t>
  </si>
  <si>
    <t>Redacció del  document anual del Compte General</t>
  </si>
  <si>
    <t>Aprovació del  document anual del Compte General</t>
  </si>
  <si>
    <t>Millorar el sistema de control de l'execució del pressupost, d'acord amb les indicacions de Serveis Centrals de la Generalitat de Catalunya</t>
  </si>
  <si>
    <t>Participació en els espais de coordinació entre ENP per identificar les despeses comunes tramitables a càrrec del pressupost de la DG</t>
  </si>
  <si>
    <t>16.2</t>
  </si>
  <si>
    <t>Planificar i optimitzar els processos de contractació, concessió d'ajuts, i les col·laboracions amb ens públics i privats</t>
  </si>
  <si>
    <t>16.2.1</t>
  </si>
  <si>
    <t>Planificar i detectar les necessitats de contractació del l'ENP per a l'optimització dels contractes a nivell de Xarxa</t>
  </si>
  <si>
    <t>Detectar i planificar les necessitats de contractació del l'ENP per a l'optimització dels contractes a nivell de Xarxa o altres administracions</t>
  </si>
  <si>
    <t>Planificar les necessitats de contractació del l'ENP per a l'optimització dels contractes a nivell de Xarxa</t>
  </si>
  <si>
    <t xml:space="preserve">Detectar i planificar els processos de contractació conjunta per a la seva optimització.
</t>
  </si>
  <si>
    <t>SENP: Crear espais de coordinació entre ENP per detectar necessitats conjuntes.</t>
  </si>
  <si>
    <t>Contractació conjunta de necessitats comunes (llum, telecomunicacions, assegurances, combustibles, seguiments, vigilància, etc.)</t>
  </si>
  <si>
    <t>Nombre de contractes agrupats</t>
  </si>
  <si>
    <t>Secretaria</t>
  </si>
  <si>
    <t>Revisió amb una antelació mínima de 6 mesos les necessitats de contractació per augmentar l'eficiència de la tramitació i disposar d'un marge de maniobra davant qualsevol eventualitat</t>
  </si>
  <si>
    <t>Àrea d'administració</t>
  </si>
  <si>
    <t>16.2.2</t>
  </si>
  <si>
    <t>Planificar i detectar les tasques de convocatòries d'ajuts de l'ENP</t>
  </si>
  <si>
    <t>16.2.3</t>
  </si>
  <si>
    <t>Establir i renovar en temps i forma convenis de col·laboració, convenis marc, acords, protocols i altres instruments de col·laboració.</t>
  </si>
  <si>
    <t>UGA: Coordinar l'elaboració dels catàlegs col·lectius amb ENP, universitats i centres documentació</t>
  </si>
  <si>
    <t>Nombre d'acords establerts</t>
  </si>
  <si>
    <t>Renovació dels convenis caducats dins l'exercici</t>
  </si>
  <si>
    <t>16.3</t>
  </si>
  <si>
    <t>Agilitzar, incrementar l'eficiència  i incrementar l’assoliment dels procediments administratius</t>
  </si>
  <si>
    <t>16.3.1</t>
  </si>
  <si>
    <t>Optimitzar l'elaboració d'informes</t>
  </si>
  <si>
    <t xml:space="preserve">Elaboració d'informes interns de gestió administrativa
</t>
  </si>
  <si>
    <t>Nombre d'informes administratius</t>
  </si>
  <si>
    <t>16.3.2</t>
  </si>
  <si>
    <t xml:space="preserve">Elaboració d'informes interns tècnics
</t>
  </si>
  <si>
    <t>Nombre d'informes tècnics</t>
  </si>
  <si>
    <t>Assessorament en l'elaboració d'informes preceptius de la Generalitat o amb els ens integrants del Consorci</t>
  </si>
  <si>
    <t>Nombre d'expedients assessorats</t>
  </si>
  <si>
    <t>Adequar i actualitzar els procediments i tramitacions realitzats des de l'ENP als nous processos i eines conjuntes proposades des de Serveis Centrals</t>
  </si>
  <si>
    <t>Àrea tècnica</t>
  </si>
  <si>
    <t>Adequar i actualitzar els procediments i tramitacions realitzats des de l'ENP als nous processos i eines conjuntes proposades des de l'administració d'adscripció</t>
  </si>
  <si>
    <t xml:space="preserve">Implementació i actualització del gestor d'expedients </t>
  </si>
  <si>
    <t>UGA: Simplificació i optimització de formularis. Tipificació de peticions (tràmits específics)</t>
  </si>
  <si>
    <t>16.3.3</t>
  </si>
  <si>
    <t>Augmentar el coneixement de l'equip de treball en matèria de procediment administratiu</t>
  </si>
  <si>
    <t>Nombre de cursos</t>
  </si>
  <si>
    <t>16.3.4</t>
  </si>
  <si>
    <t>Garantir la transparència administrativa</t>
  </si>
  <si>
    <t>Nombre de sol·licituds</t>
  </si>
  <si>
    <t>16.3.5</t>
  </si>
  <si>
    <t>Millorar i mantenir el material i infraestructures de gestió</t>
  </si>
  <si>
    <t xml:space="preserve">Millora, manteniment dels equips informàtics i telecomunicacions i compra de material d'oficina </t>
  </si>
  <si>
    <t xml:space="preserve">Reparació i millora del material de la brigada:  EPIs, vehicles, tractors, eines i equips de treball de camp </t>
  </si>
  <si>
    <t>Tècnic coordinador</t>
  </si>
  <si>
    <t>16.4</t>
  </si>
  <si>
    <t>Ordenar l'estat dels béns patrimonials</t>
  </si>
  <si>
    <t>16.4.1</t>
  </si>
  <si>
    <t>Revisar l’estat dels béns patrimonials i la situació administrativa-legal dels equipaments del parc</t>
  </si>
  <si>
    <t>Revisar l’estat dels béns patrimonials i la situació administrativa-legal dels equipaments del Consorci</t>
  </si>
  <si>
    <t xml:space="preserve">Actualització de l'inventari de béns patrimonials del Consorci
          </t>
  </si>
  <si>
    <t>UGA: tramitar els expedients de cessió de titularitat, declaracions d'obra nova, compra, lloguer, etc.</t>
  </si>
  <si>
    <t>Gestora administrativa</t>
  </si>
  <si>
    <t>16.5</t>
  </si>
  <si>
    <t xml:space="preserve">Creació i actualització de l'inventari de les finques públiques en contracte de custòdia de gestió del Consorci 
          </t>
  </si>
  <si>
    <t>Tècnica</t>
  </si>
  <si>
    <t>16.4.2</t>
  </si>
  <si>
    <t>Tenir cobertes les pèrdues o danys materials del patrimoni de la Direcció General que hi ha a l'àmbit territorial del Parc, com a conseqüència de la materialització de qualsevol dels riscs emparats en el plec de prescripcions tècniques de la pòlissa.</t>
  </si>
  <si>
    <t>Tenir cobertes les pèrdues o danys materials del patrimoni del Consorci</t>
  </si>
  <si>
    <t>UGA: Tramitar les assegurances dels béns patrimonials.</t>
  </si>
  <si>
    <t>16.6</t>
  </si>
  <si>
    <t>Estructurar la gestió documental</t>
  </si>
  <si>
    <t>Millorar l'accessibilitat i la gestió documental del centre o punt de documentació de l'ENP</t>
  </si>
  <si>
    <t>Millorar l'accessibilitat i la gestió documental del Consorci</t>
  </si>
  <si>
    <t>Gestionar recursos humans</t>
  </si>
  <si>
    <t>16.6.1</t>
  </si>
  <si>
    <t>Gestió de la brigada de manteniment</t>
  </si>
  <si>
    <t>16.6.2</t>
  </si>
  <si>
    <t>Gestió de personal</t>
  </si>
  <si>
    <t xml:space="preserve">Vetlla perquè el Consorci disposi del personal necessari, amb la categoria adequada, per portar a terme les seves funcions
</t>
  </si>
  <si>
    <t>Nombre de persones que fan  les funcions que li pertoquen segons la seva categoria</t>
  </si>
  <si>
    <t>Director</t>
  </si>
  <si>
    <t xml:space="preserve">Organització i planificació de tasques entre els membres de l'equip </t>
  </si>
  <si>
    <t>Actualització de les fitxes de classificació dels llocs de treballs</t>
  </si>
  <si>
    <t>Procés selectiu pel nomenament d'un funcionari interí per programes</t>
  </si>
  <si>
    <t>Substitució del personal per la causa que sigui</t>
  </si>
  <si>
    <t>Nombre de persones que s'han substituït</t>
  </si>
  <si>
    <t xml:space="preserve">Benvinguda i formació del nou personal </t>
  </si>
  <si>
    <t>S'ha realitzat la benvinguda a nou personal</t>
  </si>
  <si>
    <t xml:space="preserve">Control temps de treball </t>
  </si>
  <si>
    <t>Gestionar imprevistos</t>
  </si>
  <si>
    <t>Establir un sistema d'estima real de les hores dedicades</t>
  </si>
  <si>
    <t>Funcionament de gestio basica</t>
  </si>
  <si>
    <t>Ordenança de pernoctació</t>
  </si>
  <si>
    <t>Establir xarxa dde camins per curses i activiats</t>
  </si>
  <si>
    <t>Millor informació cartografica de la info de taxons o habitats</t>
  </si>
  <si>
    <t>Millorar protocol de fluxes amb la UIC</t>
  </si>
  <si>
    <t>Ordenança d'activitats de l'Estany a Banyoles i a Fontcoberta</t>
  </si>
  <si>
    <t>Treballar amb projects per l'espai natural a les escoles</t>
  </si>
  <si>
    <t>Crear una xarxa de les escoles del ENP</t>
  </si>
  <si>
    <t>Existeix un pla estrategit per temes educatius. Demanar a la Cristina o Anna Estella</t>
  </si>
  <si>
    <t>Open standards sobre un pla de lluita invasores</t>
  </si>
  <si>
    <t>TAULA DE VINCLE ENTRE LES AMENACES I ELS OBJECTIUS OPERATIUS DE L'EIX DEL PATRIMONI NATURAL</t>
  </si>
  <si>
    <t>Eix 1. Natura</t>
  </si>
  <si>
    <t>Codi</t>
  </si>
  <si>
    <t>Objectius operatius</t>
  </si>
  <si>
    <t>Tipologia amenaça</t>
  </si>
  <si>
    <t>Amenaça concreta</t>
  </si>
  <si>
    <t>No especificada</t>
  </si>
  <si>
    <t>Espècies invasores i patògens</t>
  </si>
  <si>
    <t>01.2.4</t>
  </si>
  <si>
    <t>Gestió i modificació de sistemes naturals</t>
  </si>
  <si>
    <t>Canvi global i/o climàtic</t>
  </si>
  <si>
    <t>Extracció de recursos naturals</t>
  </si>
  <si>
    <t>Producció primària</t>
  </si>
  <si>
    <t>Grans pertorbacions naturals</t>
  </si>
  <si>
    <t>Infrastructures de transport i serveis</t>
  </si>
  <si>
    <t>03.3.2</t>
  </si>
  <si>
    <t>Polució</t>
  </si>
  <si>
    <t xml:space="preserve">Taxonomia d'Amenaces  - Xarxa d'ENP Catalunya </t>
  </si>
  <si>
    <t>Versió 1_revisada pels equips del PNAT Cap de Creus, PNAT Montgrí-Medes, PNAT els Ports, PNIN Poblet, PNAT Delta de l'Ebre, PNAT Alt Pirineu i PNAT Capçaleres del Ter i Freser</t>
  </si>
  <si>
    <r>
      <t xml:space="preserve">Font de dades 1: </t>
    </r>
    <r>
      <rPr>
        <u/>
        <sz val="10"/>
        <color rgb="FF1155CC"/>
        <rFont val="Arial"/>
        <family val="2"/>
      </rPr>
      <t xml:space="preserve">List of pressures and threats for reporting 2019-2024 v1.1 </t>
    </r>
    <r>
      <rPr>
        <sz val="10"/>
        <color rgb="FF000000"/>
        <rFont val="Calibri"/>
        <family val="2"/>
        <scheme val="minor"/>
      </rPr>
      <t>(Comissió Europea)</t>
    </r>
  </si>
  <si>
    <t>Font de dades 2: Llistat de pressions i amenaces del Pla de Protecció del Cadí-Moixeró, inspirat en el llistat de la Comissió Europea</t>
  </si>
  <si>
    <r>
      <t xml:space="preserve">Font de dades 3: </t>
    </r>
    <r>
      <rPr>
        <u/>
        <sz val="10"/>
        <color rgb="FF1155CC"/>
        <rFont val="Arial"/>
        <family val="2"/>
      </rPr>
      <t>IUCN/CMP Threats Classification v 3.3 (2016)</t>
    </r>
    <r>
      <rPr>
        <sz val="10"/>
        <color rgb="FF000000"/>
        <rFont val="Calibri"/>
        <family val="2"/>
        <scheme val="minor"/>
      </rPr>
      <t xml:space="preserve"> i v4.0 draft (2023)</t>
    </r>
  </si>
  <si>
    <t>Codi Amenaça</t>
  </si>
  <si>
    <t>Tipologia d'amenaça</t>
  </si>
  <si>
    <t>Nom Amenaça</t>
  </si>
  <si>
    <t>Exemples i descripció del grup</t>
  </si>
  <si>
    <t>Urbanització i edificació</t>
  </si>
  <si>
    <t>Urbanització residencial</t>
  </si>
  <si>
    <t>Construccions relacionades amb àrees residencials. Tot i que la normativa no permet noves construccions, existeixen edificacions fóra d'ordenació. També casos de remodelacions, reconstruccions o ampliacions d'edificis rurals per usos agrícoles, forestals, ramaders, recreatius, residencials, etc). Restauracions de cabanes i bordes que no deixen forats per ratpenats. cases forestals. Bordes que es canvien d'ús per hosteleria</t>
  </si>
  <si>
    <t>Urbanització comercial o industrial</t>
  </si>
  <si>
    <t>Àrees recretives i turístiques</t>
  </si>
  <si>
    <t>Refugis de muntanya que es remodelen, impacten etc</t>
  </si>
  <si>
    <t>Activitat agrícola</t>
  </si>
  <si>
    <t>Cultius annuals i perennes. Canvis de tipus de cultiu, secà a regadiu o al revés. Canvi d'usos del sòl com cultius de vinya a muntanya, Inclosos el cultiu de l'arròs amb substàncies biocides. Inclòs el cultiu de marihuana</t>
  </si>
  <si>
    <t>Plantacions forestals</t>
  </si>
  <si>
    <t>Ramaderia</t>
  </si>
  <si>
    <t>Ramaderia tan intensiva com extensiva i semi-intensiva (pastura de dia i nit en corral)</t>
  </si>
  <si>
    <t>Aqüicultura</t>
  </si>
  <si>
    <t>Aquicultura marina i d'aigua dolça, a l'interior o als voltants del parc</t>
  </si>
  <si>
    <t>Producció d'energia i mineria</t>
  </si>
  <si>
    <t xml:space="preserve">Activitats de la mineria </t>
  </si>
  <si>
    <t>Mineria de qualsevol tipus (a cel obert, marina, al·luvial com extracció d'àrids i còdols, subterrània), a l'interior o als voltants del parc. Extracció de torba i salines. Si aplica, extracció d'hidrocarburs terrestres o marins</t>
  </si>
  <si>
    <t>Producció d'energia renovable</t>
  </si>
  <si>
    <t>Centrals de producció d'energia renovable (molins eòlics terrestres o marins, instal·lacions solars, hidroelèctriques, geotèrmia inclosos els impactes de fauna contra les instal·lacions). A dins del parc o afectant connectors entre parcs</t>
  </si>
  <si>
    <t>Vials de transport</t>
  </si>
  <si>
    <t>Carreteres, pistes forestals, línies fèrries i cremalleres</t>
  </si>
  <si>
    <t>Conduccions</t>
  </si>
  <si>
    <t>Conduccions elèctriques, aqueductes, canals de rec, estacions de bombament, conduccions d'aigua o gas</t>
  </si>
  <si>
    <t>Infrastructures marines</t>
  </si>
  <si>
    <t>Rutes marines, canals, impactes de vaixells sobre balenes i infrastructura associada. Ports, pantalans, etc</t>
  </si>
  <si>
    <t>Tancaments i vallats</t>
  </si>
  <si>
    <t>Tancaments, valles perimetrals i parets de tota mena, en carreteres, per bestiar, estètiques, etc</t>
  </si>
  <si>
    <t>Caça i recol·lecció d'animals</t>
  </si>
  <si>
    <t>Caça i recolecció d'animals, ous, mel silvestre, etc ja sigui per subsistència, esport, tradició, comerç o de forma accidental</t>
  </si>
  <si>
    <t>Recol·lecció de vegetals</t>
  </si>
  <si>
    <t>Recolecció de plantes, bolets, resines, líquens, etc</t>
  </si>
  <si>
    <t xml:space="preserve">Treballs forestals </t>
  </si>
  <si>
    <t>Treball forestals de tota mena (arreu, selectiva, carboneig, aclarides, etc)</t>
  </si>
  <si>
    <t>Pesca i semblants</t>
  </si>
  <si>
    <t>Pesca i recollida de recursos aquàtics de tota mena i amb qualsevol tècnica (artesanal, xarxa, marisqueig, recollida de corall, pesca accidental, recreativa, etc)</t>
  </si>
  <si>
    <t>Molèsties</t>
  </si>
  <si>
    <t>Molèsties per activitats recreatives</t>
  </si>
  <si>
    <t>Per activitats recreatives al medi natural de qualsevol tipus (excursionisme, bicicleta, cavall, vehicles a motor, escalada, esquí de muntanya, acampada temporal, pernoctació, ornitòlegs, fotografs, esports nàutics, pesca turisme, àrees recreatives, drons, globus, parapents, buggy-kite, sobrevol amb helicòpters, amb ultralleugers, motos de neu, etc) i tan sigui esporàdica com recurrent</t>
  </si>
  <si>
    <t>Molèsties per activitats militars</t>
  </si>
  <si>
    <t>Activitats militars de qualsevol mena (camps militars, assajos amb artilleria, etc)</t>
  </si>
  <si>
    <t>Altres tipus de molèsties</t>
  </si>
  <si>
    <t>Qualsevol altra molèstia (per bany en rius i tolles, passeig de gossos, peregrinatges, aplecs, recerca sobre espècies, extraccions arqueològiques, vandalisme, tràfic de drogues, etc)</t>
  </si>
  <si>
    <t>Molèsties per activitats multitudinàries</t>
  </si>
  <si>
    <t>Activitats organitzades i multitudinàries, per exemple curses de muntanya, festivals, esdeveniments, filmacions, fins i tot enterraments</t>
  </si>
  <si>
    <t>Foc</t>
  </si>
  <si>
    <t>Foc, grans incendis forestals i supressió del foc, incloses activitats de restauració post-foc</t>
  </si>
  <si>
    <t>Gestió de l'aigua</t>
  </si>
  <si>
    <t>Moviments de terres i sediments</t>
  </si>
  <si>
    <t>Gestió i estabilització de terrenys i sediments (estabilització de dunes, construccions en litorals, remediació de sòls, restauració de mines, dragatges, moviments de sorres, etc)</t>
  </si>
  <si>
    <t>Modificació del clima</t>
  </si>
  <si>
    <t>Activitats per modificar el clima o processos naturals (prevenció de gelades, fertilització amb ferro a l'oceà, captura de carboni, etc)</t>
  </si>
  <si>
    <t>Gestió d'hàbitats</t>
  </si>
  <si>
    <t>Gestió d'hàbitats: gestió d'aigua dolça de rec i arrossars (que pot afectar a llacunes, etc), retirada de fustes en rius, desbrossades, creació d'esculls artificials, alimentació d'ocells, tancament de coves, barreres elèctriques</t>
  </si>
  <si>
    <t>Desaparició d'activitats tradicionals</t>
  </si>
  <si>
    <t>Desaparició de pràctiques tradicionals com pastura extensiva, canvi en el maneig de la pastura, la tipologia de bestiar, caça per control de predadors, etc</t>
  </si>
  <si>
    <t>Espècies invasores</t>
  </si>
  <si>
    <t>Espècies invasores com rates en illes, animals domèstics assilvestrats, musclo zebra, bambú, peixos introduïts com Phoxinus en estanys d'alta muntanya, etc</t>
  </si>
  <si>
    <t>Espècies desestabilitzades</t>
  </si>
  <si>
    <t>Espècies natives desestabilitzades com superpoblació de cèrvids, porcs senglars, manca de carnívors, blooms d'algues, plagues d'insectes, o amb impactes puntuals com predadors sobre espècies sensibles com colònies d'ocells, gall fer, etc</t>
  </si>
  <si>
    <t>Introducció de genotips aliens</t>
  </si>
  <si>
    <t>Material genètic introduït com cultius resistents a plagues, creuament de gat domèstic amb gat fer, restauracions d'hàbitats fetes amb varietats alienes, arbres o instectes modificats genèticament, aquicultura amb espècies no natives, etc</t>
  </si>
  <si>
    <t>Plagues i patògens</t>
  </si>
  <si>
    <t>Malalties que afecten conills, grip aviar, botulisme, castanyers, oliveres, cítrics, amfibis, etc</t>
  </si>
  <si>
    <t>Polució aquàtica</t>
  </si>
  <si>
    <t xml:space="preserve">Polució dissolta en aigua (aigües sèptiques, efluents industrials, pesticides, fertilitzants, efluents de la mineria, excès de nutrients en activitats de l'aquicultura, purins, potasses per desfer la neu en pistes i carreteres, etc </t>
  </si>
  <si>
    <t>Residus sòlids</t>
  </si>
  <si>
    <t>Residus sòlids de qualsevol orígen i en medi terrestre o marí, inclosos de la caça, pesca, agricultura, aqüicultura, del turisme, construcció, transport, xarxes fantasma i elements abandonats al medi</t>
  </si>
  <si>
    <t>Polució aèria</t>
  </si>
  <si>
    <t>Residus en medi aeri com partícules, gasos, o partícules radioactives</t>
  </si>
  <si>
    <t>Contaminació acústica, llumínica o per radiació</t>
  </si>
  <si>
    <t>Contaminació lumínica, tèrmica com efluents de centrals elèctriques en rius, acústica com soroll en aeroports o zones industrials o per escoles de formació de pilots d'helicòpters al Pirineu, camps electromagnètics en cables, sonars submarins, soroll i onades causades per embarcacions recreatives,  llums de les maquinàries a pistes d'esquí, il·luminació nocturna en estacions d'esquí, il·luminació de monuments, etc</t>
  </si>
  <si>
    <t>Pertorbacions d'origen geològic</t>
  </si>
  <si>
    <t>De tipus geològic com terratrèmols, esllavissades, allaus, erupcions volcàniques</t>
  </si>
  <si>
    <t>Pertorbacions d'origen metereològic</t>
  </si>
  <si>
    <t>Per fenòmens extrems com inundacions, temporals, pedregades, etc</t>
  </si>
  <si>
    <t>Impactes del canvi climàtic en sistemes físics i químics</t>
  </si>
  <si>
    <t>Canvis en sistemes físics i químics com acidificació d'oceans, augment del CO2 atmosfèric, pèrdua de sediments, colmatació de basses i llacunes, canvis en corrents marins, regressió de la línia de costa, subsidència del Delta, canvis en la cobertura de núvols, etc</t>
  </si>
  <si>
    <t>Impactes del canvi climàtic relatius a l'alteració del règim de temperatures</t>
  </si>
  <si>
    <t>Canvis en règims de temperatures: onades de calor o de fred, canvis en la temperatura del mar, fusió de glaceres, etc</t>
  </si>
  <si>
    <t>Impactes del canvi climàtic relatius a l'alteració del règim de precipitació i sequera</t>
  </si>
  <si>
    <t>Canvis en règims de precipitació i règims hidrològics com patrons de pluja, d'innivació, generant sequeres, increment de la severitat d'inundacions, reducció de la superfície de llacs i estanys, etc</t>
  </si>
  <si>
    <t>Pujada del nivell del mar</t>
  </si>
  <si>
    <t>Llista d'amenaces OS</t>
  </si>
  <si>
    <t>Si/No</t>
  </si>
  <si>
    <t>Dubtós</t>
  </si>
  <si>
    <t>Consell Plenari</t>
  </si>
  <si>
    <t>Miquel Noguer</t>
  </si>
  <si>
    <t>President</t>
  </si>
  <si>
    <t>Vice-presidència</t>
  </si>
  <si>
    <t>Albert Tubert</t>
  </si>
  <si>
    <t>Jordi Burch</t>
  </si>
  <si>
    <t>Director adjunt</t>
  </si>
  <si>
    <t>Rosa Maria Melero</t>
  </si>
  <si>
    <t>Secretària</t>
  </si>
  <si>
    <t>Anna Puig</t>
  </si>
  <si>
    <t>Interventora</t>
  </si>
  <si>
    <t>Miquel Campos</t>
  </si>
  <si>
    <t>Irene Camós</t>
  </si>
  <si>
    <t>Gerard Dalmau</t>
  </si>
  <si>
    <t>Treballador de camp</t>
  </si>
  <si>
    <t>Roc Artalejo</t>
  </si>
  <si>
    <t>Dolors Nevado</t>
  </si>
  <si>
    <t>Pel POA</t>
  </si>
  <si>
    <t>Redacció d'un document d'Identificació d'espais pel foment de la renaturalització i restauració del patrimoni natural i del medi físic de l'ENP</t>
  </si>
  <si>
    <t>Nombre de projectes</t>
  </si>
  <si>
    <t xml:space="preserve">Planificació i execució d'accions d'acceleració de la maduresa forestal en zones boscoses dins l'ENP a través de la compra </t>
  </si>
  <si>
    <t>Planificació i execució d'accions d'acceleració de la maduresa forestal en zones boscoses dins l'ENP a través de contractes de custòdia de finques</t>
  </si>
  <si>
    <t>Processos d'adquisició</t>
  </si>
  <si>
    <t>Contractes de custòdia signats</t>
  </si>
  <si>
    <t>Nombre d'actuacions</t>
  </si>
  <si>
    <t>Redacció de projectes per a la renaturalització de lleres i marges, i la creació de zones de laminació dins l'ENP</t>
  </si>
  <si>
    <t>Altres mitjans</t>
  </si>
  <si>
    <t>Coordinar i gestionar les propietats públiques o en règim de custòdia de l'espai</t>
  </si>
  <si>
    <t>Gestió de les finques públiques i en règim de custòdia de l'ENPE</t>
  </si>
  <si>
    <t>Contractació externa i mitjans propis</t>
  </si>
  <si>
    <t>Redacció d'un document tècnic pel foment de bones pràctiques en la organització d'esdeveniment lúdic-esportius dins de l'ENP</t>
  </si>
  <si>
    <t>Redacció d'un document tècnic pel foment de bones pràctiques en l'entrenament esportiu dins l'Estany de Banyoles</t>
  </si>
  <si>
    <t>El Consorci de l'Estany té definit en els seus estatus la gestió de les finques públiques i en custòdia i ho realitza des de la seva creació.</t>
  </si>
  <si>
    <t xml:space="preserve">Redacció d'Instrument d'Ordenació Forestal de la finca del Paratge de les Estunes
</t>
  </si>
  <si>
    <t xml:space="preserve">Redacció d'Instrument d'Ordenació Forestal de la finca del Torrent Mal 
</t>
  </si>
  <si>
    <t>No competents</t>
  </si>
  <si>
    <t>Nombre de visites d'inspecció relacionades amb els informes</t>
  </si>
  <si>
    <t>No correspon</t>
  </si>
  <si>
    <t>Nombre de reunions</t>
  </si>
  <si>
    <t>No estem d'acord en que aquest objectiu operatiu es trobi en aquest apartat. Hauria d'estar a l'EIX de Gestió i Administració dins l'OBJECTIU general 15 i amb un nou objectiu estratègic 15.0</t>
  </si>
  <si>
    <t>Vetllar pel manteniment ecològic dels recs i rieres del Pla sectorial corresponent</t>
  </si>
  <si>
    <t>Text adaptat a l'espai natural</t>
  </si>
  <si>
    <t xml:space="preserve">Sí </t>
  </si>
  <si>
    <t>Redacció d'un inventari de punts potencials d'emissió d'agroramaders o urbans que afecten l'espai natural</t>
  </si>
  <si>
    <t>Elaboració d'un catàleg de finques d'interès per a la conservació i/o renaturalització</t>
  </si>
  <si>
    <t>No s'aplica en aquest període</t>
  </si>
  <si>
    <t>S'adapta a l'ENP de Banyoles</t>
  </si>
  <si>
    <t>Disposar de la cartografia de la xarxa de camins i senders de l'ENP</t>
  </si>
  <si>
    <t>No aplica</t>
  </si>
  <si>
    <t>No aplica, competència municipal</t>
  </si>
  <si>
    <t>No aplica a l'ENP</t>
  </si>
  <si>
    <t>Espai de petita dimensió, no aplica</t>
  </si>
  <si>
    <t>Ja realitzat</t>
  </si>
  <si>
    <t>No aplica, no es disposa de punts d'informació. Els existents són municipals.</t>
  </si>
  <si>
    <t>Gestionar l'abandonament d'infraestructures i instal·lacions amb impactes sobre els valors de l'espai</t>
  </si>
  <si>
    <t>Participació en la definició dels objectes de conservació clau (hàbitats, espècies, processos i elements d’interès geològic) comuns a nivell de Xarxa d'ENP o clúster territorial</t>
  </si>
  <si>
    <t xml:space="preserve">Foment i coordinació dels estudis el règim hidrològic, la pol·linització, la tipificació i funcionament de les cadenes tròfiques pròpies de l’espai
</t>
  </si>
  <si>
    <t xml:space="preserve">Nombre d'estudis </t>
  </si>
  <si>
    <r>
      <t xml:space="preserve">
Elaboració d'un pla de gestió de </t>
    </r>
    <r>
      <rPr>
        <i/>
        <sz val="11"/>
        <rFont val="Calibri"/>
        <family val="2"/>
        <scheme val="minor"/>
      </rPr>
      <t>Vertigo moulinsiana</t>
    </r>
    <r>
      <rPr>
        <sz val="11"/>
        <rFont val="Calibri"/>
        <family val="2"/>
        <scheme val="minor"/>
      </rPr>
      <t xml:space="preserve"> i </t>
    </r>
    <r>
      <rPr>
        <i/>
        <sz val="11"/>
        <rFont val="Calibri"/>
        <family val="2"/>
        <scheme val="minor"/>
      </rPr>
      <t>Vertigo angustior</t>
    </r>
  </si>
  <si>
    <t>Elaboració de l'inventari de flora de l'ENP</t>
  </si>
  <si>
    <t xml:space="preserve">Elaboració de l'inventari d'elements geològics a l'ENP
</t>
  </si>
  <si>
    <t>Elaboració de l'inventari de fauna de l'ENP</t>
  </si>
  <si>
    <t>Seguiment de les poblacions de gavians a l'ENP</t>
  </si>
  <si>
    <t xml:space="preserve">Desplegar els objectius i tasques recollits en els instruments de referència i compromisos internacionals  </t>
  </si>
  <si>
    <t>Seguiment dels ajuts d’espais naturals i d’actuacions en espais de la XN2000.</t>
  </si>
  <si>
    <t>Fomentar acords de custòdia en espais d'alt valor dins l'ENP per a la gestió dels elements prioritaris</t>
  </si>
  <si>
    <t>Definir i planificar la gestió del foc per a la millora de l'ENP</t>
  </si>
  <si>
    <t xml:space="preserve">Assistència a reunions de coordinació amb la UIC per la definició dels sistemes de seguiment </t>
  </si>
  <si>
    <t>Execució del seguiment de tortuga d’estany (Emys orbicularis) i tortuga de rierol (Mauremys leprosa)</t>
  </si>
  <si>
    <t>Execució del seguiment de poblacions de nàiades a l'Estany, als recs, a la riera Canaleta i al riu Terri</t>
  </si>
  <si>
    <t>Execució del seguiment de la falguera dels pantans (Thelypteris palustris)</t>
  </si>
  <si>
    <r>
      <t xml:space="preserve">Execució del seguiment de </t>
    </r>
    <r>
      <rPr>
        <i/>
        <sz val="11"/>
        <rFont val="Calibri"/>
        <family val="2"/>
        <scheme val="minor"/>
      </rPr>
      <t>Carex elata</t>
    </r>
  </si>
  <si>
    <t>Elaboració del catàleg d’espècies de flora i fauna de l’Espai Natural Protegit de l’Estany de Banyoles</t>
  </si>
  <si>
    <t>Acords</t>
  </si>
  <si>
    <t>Adaptació del text a l'ENP</t>
  </si>
  <si>
    <t>Disposar de dades de freqüentació i perfil d'usuari en l'ENP i en especial en equipaments i en zones d'alta freqüentació</t>
  </si>
  <si>
    <t>Realització d'un catàleg sectoritzat d'activitats i grups d'interès de l'ENP</t>
  </si>
  <si>
    <t>Realització d'un estudi dels impactes que generen les activitats d'ús públic a l'ENP des d'un punt de vista socioeconòmic i de conservació del patrimoni natural i cultural</t>
  </si>
  <si>
    <t>Col·laboració en la definició i aplicació del Plans de Desenvolupament Local Sostenible que vulguin establir els ajuntaments de l'àmbit de l'ENP.</t>
  </si>
  <si>
    <t xml:space="preserve">Establiment de canals de comunicació i coordinació amb els agents socioeconòmics clau del territori (sector primari i secundari)
</t>
  </si>
  <si>
    <t>No aplica a l'espai</t>
  </si>
  <si>
    <t>S'ajusta la redacció a l'objectiu</t>
  </si>
  <si>
    <t>S'han establert</t>
  </si>
  <si>
    <t xml:space="preserve">Revisió del Pla Tècnic de Gestió de la Pesca a l'Estany de Banyoles </t>
  </si>
  <si>
    <t xml:space="preserve">Gestió directa d'espècies cinegètiques que generen danys a l'activitat agrària (senglar, cabirol, conill) amb col·laboració amb les Societats de Caçadors i amb el Cos d'Agents Rurals
</t>
  </si>
  <si>
    <t xml:space="preserve">Redacció d'un Pla de vigilància i control de les espècies cinegètiques a les zones de seguretat i refugi de fauna salvatge (senglar, cabirol i conill)  </t>
  </si>
  <si>
    <t xml:space="preserve">Aplicació del Pla de vigilància i control de les espècies cinegètiques a les zones de seguretat i refugi de fauna salvatge (senglar, cabirol i conill)  </t>
  </si>
  <si>
    <t>Operari de camp</t>
  </si>
  <si>
    <t xml:space="preserve">Establiment de canals de comunicació i coordinació amb els agents socioeconòmics clau del territori (sector terciari)
</t>
  </si>
  <si>
    <t>Creació i manteniment d'una base de dades amb el mapa d’agents socioeconòmics de l’ENP (sector terciari)</t>
  </si>
  <si>
    <t>Creació i manteniment d'una base de dades amb el mapa d’agents socioeconòmics de l’ENP (sector primari i secundari)</t>
  </si>
  <si>
    <t>Creació d'una base de dades per el registre d'activitats lúdic-esportives a l'ENP</t>
  </si>
  <si>
    <t>Treballar amb les empreses del sector lúdic-esportiu i turístic per impulsar el desenvolupament local sostenible</t>
  </si>
  <si>
    <t xml:space="preserve">S'adapta a l'ENP </t>
  </si>
  <si>
    <t>S'adapta a l'ENP</t>
  </si>
  <si>
    <t>Manteniment del mobiliari existent (passeres i ponts, miradors, senyals, tanques i barreres, papereres, etc.)</t>
  </si>
  <si>
    <t>Manteniment de la vegetació de prats i arbrat en zones concorregudes (segues d'alta intensitat, podes i retirada de restes vegetals)</t>
  </si>
  <si>
    <t>Manteniment de la xarxa de camins i carreteres tant pel que fa a la vegetació dels marges com del ferm</t>
  </si>
  <si>
    <t xml:space="preserve">Participació en el manteniment de les infraestructures esportives dins l'aigua de l'Estany de Banyoles </t>
  </si>
  <si>
    <t>Manteniment de la vegetació aquàtica en espais d'infraestructures esportives i d'activitats lúdic-esportives dins l'aigua de l'Estany de Banyoles</t>
  </si>
  <si>
    <t>Redacció d'un document per l'adaptació dels equipaments i infraestructures a persones amb diversitat funcional</t>
  </si>
  <si>
    <t xml:space="preserve">Establir un model de construcció a l'ENP </t>
  </si>
  <si>
    <t>El Consorci no n'és competent</t>
  </si>
  <si>
    <t>No aplica a l'ENP. No hi ha espais possibles</t>
  </si>
  <si>
    <t>Regular els enregistraments i l'observació de fauna i natura en base a la normativa de la Generalitat de Catalunya i els Ens locals</t>
  </si>
  <si>
    <t>Regular les curses i altres activitats esportives organitzades en base a la normativa dels Ens locals i la Generalitat de Catalunya</t>
  </si>
  <si>
    <t>Regular les activitats científiques en base a la normativa de la Generalitat de Catalunya i els Ens locals</t>
  </si>
  <si>
    <t>Redacció d'un document de directrius tècniques de bones pràctiques per les activitats d'educació ambiental i el lleure educatiu</t>
  </si>
  <si>
    <t xml:space="preserve">Creació d'una base de dades cartogràfica de la xarxa d'itineraris oficial i categoritzada per tipus d'ús per on es poden realitzar activitats (curses a peu, en bicicleta, etc.) </t>
  </si>
  <si>
    <t>Incorporació dels itineraris i punts d'interès a Wikiloc i Google Maps</t>
  </si>
  <si>
    <t>Només es pot fer amb normativa municipal</t>
  </si>
  <si>
    <t>Regulació existent en base al decret 166/1998 i la llei 9/1995</t>
  </si>
  <si>
    <t>Assistència a reunions</t>
  </si>
  <si>
    <t>Redacció d'un programa per la instal·lació i manteniment de la senyalètica de l'ENP</t>
  </si>
  <si>
    <t>Manteniment de la senyalització de l'ENP</t>
  </si>
  <si>
    <t>No aplicable a l'ENP</t>
  </si>
  <si>
    <t>El Consorci no n'és competent. S'adapta el text a l'espai</t>
  </si>
  <si>
    <t xml:space="preserve">Impulsar les mesures extraordinàries de regulació de l'ús públic </t>
  </si>
  <si>
    <t>Redactar un protocol tècnic de col·laboració amb els cossos d’inspecció i seguretat (Identificació dels punts clau de vigilància, el calendari i els recursos necessaris) i actualització anual</t>
  </si>
  <si>
    <t>Seguiment dels informes  que afecten l'ENP emesos pels Serveis Territorials de Girona (Direcció General) i dels ajuntaments</t>
  </si>
  <si>
    <t>El consorci no té capacitat de personal i econòmica per desenvolupar-ho.</t>
  </si>
  <si>
    <t xml:space="preserve">Contractació de un tècnic especialitzat per formar i capacitar el personal de la XEEN </t>
  </si>
  <si>
    <t>Contractació d'un tècnic especialitzat per desenvolupar el pla</t>
  </si>
  <si>
    <t xml:space="preserve">Contractació d'un tècnic especialitzat per desenvolupar el projecte educatiu de l'ENP  
</t>
  </si>
  <si>
    <t>Elaboració de materials per desenvolupar un curs de bon coneixedor de l'ENP</t>
  </si>
  <si>
    <t>Alumnes acollits</t>
  </si>
  <si>
    <t>Incorporació de la perspectiva de gènere als continguts i activitats de l'ENP</t>
  </si>
  <si>
    <t>Assistència a les Taules territorials de Salut i Natura</t>
  </si>
  <si>
    <t>Actualització i manteniment de l'apartat de la web dedicat a l'actualitat, projectes i publicacions</t>
  </si>
  <si>
    <t>Seminaris o congressos assistits</t>
  </si>
  <si>
    <t xml:space="preserve">Creació i manteniment d'un banc d’imatges i vídeos de l'ENP
</t>
  </si>
  <si>
    <t xml:space="preserve">Creació i manteniment d'un nou canal de comunicació via Instagram oficial del Consorci </t>
  </si>
  <si>
    <t xml:space="preserve">Aplicació dels manuals existents i vigents en quan a comunicació corporativa
</t>
  </si>
  <si>
    <t>Interès en algun sector de l'espai a la conca de recepció de l'estany com a alzinars de boscos madurs en recuperació</t>
  </si>
  <si>
    <t>SÍ</t>
  </si>
  <si>
    <t xml:space="preserve">Construcció i utilització de preses, canals, captacions, pous, dics, etc de qualsevol mena. Extracció / captacions d'aigua per rec, etc.  Construcció de basses per fer neu artificial. Dessaladores, potabilitzadores, depuradores, conduccions, trasvassaments, emissaris de salmorres, alteració de cabals, gestió de cabals en rius  </t>
  </si>
  <si>
    <t>Participar en les consultes dels processos d'Avaluació Ambiental que afectin directament o indirectament l’espai del ENP</t>
  </si>
  <si>
    <t>Vetllar per la regulació dels dragatges, canalitzacions o implantació d'activitats extractives que puguin modificar la llera i el cabal dels rius</t>
  </si>
  <si>
    <t>Redactar una proposta de directrius de protecció de marges dels camins i de regulació de tancats en el Sòl No Urbanitzable de l'ENP</t>
  </si>
  <si>
    <t>Regular les activitats d'educació ambiental i el lleure educatiu</t>
  </si>
  <si>
    <t>16.5.1</t>
  </si>
  <si>
    <t xml:space="preserve">
Execució d'actuacions pilot de gestió d'hàbitats oberts amb grans herbívors per la conservació de zones humides</t>
  </si>
  <si>
    <t>Assistència a reunions amb els òrgans competents de gestió de l'aigua (Ajuntament de Banyoles i ACA) aportant directrius de conservació del patrimoni natural i del medi físic</t>
  </si>
  <si>
    <t>Redacció d'un document tècnic pel foment de bones pràctiques en la gestió de prats i marges a favor dels pol·linitzadors dins l'ENP</t>
  </si>
  <si>
    <t xml:space="preserve">Realització d'una cartografia de detall del conjunt de l'ENP per classificar les zones d'especial atenció per a la gestió i conservació del patrimoni natural cultural </t>
  </si>
  <si>
    <t xml:space="preserve">Crear i desenvolupar jornades de recerca de l'ENP de forma anual on els diferents centres mostrin els estudis realitzats en l'ENP </t>
  </si>
  <si>
    <t xml:space="preserve">Fomentar i donar suport tècnic als Plans de desenvolupament socioeconòmic local sostenible dels municipis </t>
  </si>
  <si>
    <t>Disposar d'una diagnosi del teixit productiu local i un pla d’acció amb línies de treball i actuacions concretes per donar-li suport</t>
  </si>
  <si>
    <t>Elaborar una diagnosi del teixit productiu local i un pla d’acció amb línies de treball i actuacions concretes per donar-li suport</t>
  </si>
  <si>
    <t>Nombre de convenis renovats</t>
  </si>
  <si>
    <t>Formació interna de l'equip administratiu i tècnic de l'ENP per adquirir coneixements bàsics en temes prioritaris (comptabilitat, contractació, tramitació electrònica, accessibilitat i transparència, propietat intel·lectual) i processos de tramitació (peticions informació genèrica, sol·licituds accés informació ambiental)</t>
  </si>
  <si>
    <t>Activitat agricola</t>
  </si>
  <si>
    <t>Molèsties per activitats recretaives</t>
  </si>
  <si>
    <t>Treballs forestals</t>
  </si>
  <si>
    <t>GRUP</t>
  </si>
  <si>
    <t>CATÀLEG</t>
  </si>
  <si>
    <t>3170p</t>
  </si>
  <si>
    <t>91E0p</t>
  </si>
  <si>
    <t xml:space="preserve">Millora de la informació. </t>
  </si>
  <si>
    <r>
      <t xml:space="preserve">
Elaboració d'un pla de gestió de </t>
    </r>
    <r>
      <rPr>
        <i/>
        <sz val="11"/>
        <rFont val="Calibri"/>
        <family val="2"/>
        <scheme val="minor"/>
      </rPr>
      <t>Carex elatta</t>
    </r>
  </si>
  <si>
    <t>UIC: Suport en la creació de l'Observatori de recerca</t>
  </si>
  <si>
    <t>Participar en la definició del sistema estàndard de seguiment de l'ús públic amb el SENP</t>
  </si>
  <si>
    <t>SENP: Crear espais de participació. Definició del sistema estàndard de seguiment de l'ús públic</t>
  </si>
  <si>
    <t>SENP: Disseny i elaboració del sistema estandarditzat de presa de dades i seguiment de la freqüentació en ENP</t>
  </si>
  <si>
    <t>Adaptar i mantenir un registre d'activitats, actors i incidències en ús públic (curses, conflictes, queixes, etc)</t>
  </si>
  <si>
    <t>UIC: Disseny d'un model de registre d'activitats, actors i incidències en ús públic</t>
  </si>
  <si>
    <t>Estandarditzar regulació de l’ús públic i social en base al model acordat per govern</t>
  </si>
  <si>
    <t>Regular l'aparcament de vehicles</t>
  </si>
  <si>
    <t>Ordenar i estandarditzar els espais d'acollida de visitants i equipaments d'ús públic, i garantir un correcte servei d'atenció i acollida dels visitants</t>
  </si>
  <si>
    <t>SEA: Comparteix models de situacions d'aprenentatge i de projectes.</t>
  </si>
  <si>
    <t>Regularització de les retribucions del personal del Consorci segons les directrius de l'ens d'adscripció</t>
  </si>
  <si>
    <t>Executar les mesures de gestió directa previstes en els instruments de planificació per la conservació i la gestió adaptativa dels elements clau de l'ENP</t>
  </si>
  <si>
    <t xml:space="preserve">Col·laboració en l'obtenció de la informació necessària dins els espais per al desenvolupament dels Plans </t>
  </si>
  <si>
    <t>Obtenció de la informació necessària per avaluar el desenvolupament del pla tècnic de l'ENP</t>
  </si>
  <si>
    <t>Fomentar el paisatge en mosaic</t>
  </si>
  <si>
    <t xml:space="preserve">Fomentar la recuperació i conservació de l'arquitectura tradicional d'interès de les edificacions i construccions </t>
  </si>
  <si>
    <t>Objectiu no necessari en aquest eix. Cal traslladar-lo a mala praxis a l'eix de ús públic</t>
  </si>
  <si>
    <t>Depèn dels Serveis Centrals de la Direcció general si ens conviden a participar</t>
  </si>
  <si>
    <t>Directiva Habitats
Carta emplaçament
ESNATURA
Catàlegs</t>
  </si>
  <si>
    <t>Conèixer com millorar la connectivitat de forma coordinada amb altres ENP</t>
  </si>
  <si>
    <t xml:space="preserve">Estandarditzar els seguiments periòdics dels grups clau </t>
  </si>
  <si>
    <t>Adaptació del seguiment dels elements claus de l'ENP al Sistema estàndard de seguiment de la UIC</t>
  </si>
  <si>
    <t>Tècnic/a</t>
  </si>
  <si>
    <t>Bagra</t>
  </si>
  <si>
    <t>Barb</t>
  </si>
  <si>
    <t>Sense bagres ni barbs no hi ha nàiades</t>
  </si>
  <si>
    <t xml:space="preserve">
Execució de projectes de restauració per afavorir la conservació dels hàbitats i espècies d'interès a l'ENP</t>
  </si>
  <si>
    <t>Execució d'actuacions de control directe de poblacions de fauna cinegètica (senglar, cabirol, conill)  en zona de seguretat i refugi de fauna salvatge a l'ENP en coordinació amb Agents Rurals i Societats de caçadors</t>
  </si>
  <si>
    <t>Redacció d'un Pla d'adaptació de l'ENP al canvi climàtic</t>
  </si>
  <si>
    <t>Assistència i participació en meses de decisió per la prevenció d'incendis</t>
  </si>
  <si>
    <t>Assistència a reunions tècniques amb l'equip de la Oficina Territorial d'Acció i Avaluació Ambiental  dels Serveis Territorial de Girona i si s'escau, redacció d'informes</t>
  </si>
  <si>
    <t>Realització de visites als treballs informats per l'òrgan de gestió, en coordinació amb l'Oficina Territorial d'Avaluació Ambiental</t>
  </si>
  <si>
    <t>Realització de reunions tècniques amb el Servei de Planificació d'Espais Naturals de la Generalitat de Catalunya per l'elaboració d'instruments de planificació de l'ENP</t>
  </si>
  <si>
    <t>Realització de reunions amb la Comissió Tècnica per la gestió de l'aigua a l'Estany de Banyoles</t>
  </si>
  <si>
    <t>Realització del seguiment del cabal en els trams d'interès per la flora i la fauna dins l'ENP en situacions de sequera</t>
  </si>
  <si>
    <t>Redacció d'un inventari de captacions dins de l'ENP</t>
  </si>
  <si>
    <t>Redacció d'un inventari de finques públiques i conveniades del Consorci de l'Estany i establir els objectius generals de gestió directa</t>
  </si>
  <si>
    <t xml:space="preserve">Redacció d'un inventari de patrimoni cultural material i immaterial 
</t>
  </si>
  <si>
    <t>Elaboració de la cartografia de la xarxa de camins i senders de l'ENP</t>
  </si>
  <si>
    <t>Consideració del patrimoni cultural el les activitats d' educació ambiental per fomentar-ne la seva conservació i divulgació.</t>
  </si>
  <si>
    <t>Reforç de la senyalització si es detecten punts conflictius</t>
  </si>
  <si>
    <t xml:space="preserve">Realització d'un catàleg d'elements d'interès de geoconservació, la seva delimitació i establiment de criteris de gestió a l'ENP
</t>
  </si>
  <si>
    <t>Actualització del protocol d’índex ecològics de les diferents masses d’aigua</t>
  </si>
  <si>
    <t>Aplicació del protocol d’índex ecològics de les diferents masses d’aigua</t>
  </si>
  <si>
    <t xml:space="preserve">Realització d'un estudi d'avaluació de l'impacte del canvi climàtic en l'ENP i la seva capacitat d'adaptació i resiliència
</t>
  </si>
  <si>
    <t xml:space="preserve">Establiment d'un programa de seguiment de l’estat hidrològic de les masses d’aigua
</t>
  </si>
  <si>
    <t>Planificació d'estudis de forma coordinada amb el Servei Fauna i Flora</t>
  </si>
  <si>
    <r>
      <t xml:space="preserve">Realització d'un informe tècnic d'avaluació de les actuacions de control de l'espècie exòtica invasora </t>
    </r>
    <r>
      <rPr>
        <i/>
        <sz val="11"/>
        <rFont val="Calibri"/>
        <family val="2"/>
        <scheme val="minor"/>
      </rPr>
      <t xml:space="preserve">Myocastor coypus </t>
    </r>
    <r>
      <rPr>
        <sz val="11"/>
        <rFont val="Calibri"/>
        <family val="2"/>
        <scheme val="minor"/>
      </rPr>
      <t>i tendència a l'ENP</t>
    </r>
  </si>
  <si>
    <t>Realització d'un informe tècnic d'avaluació de les actuacions de control de les espècies de tortuga exòtiques invasores i tendència a l'ENP</t>
  </si>
  <si>
    <t>Realització d'un informe tècnic d'avaluació  de les actuacions de control de les espècies de flora exòtica invasora i tendència a l'ENP</t>
  </si>
  <si>
    <r>
      <t>Realització d'un informe tècnic d'avaluació  de les actuacions de control de les espècies de peixos exòtics invasors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i tendència a l'ENP</t>
    </r>
  </si>
  <si>
    <t>Ordenació, anàlisi i informatització de les dades de seguiment del patrimoni natural</t>
  </si>
  <si>
    <t>Assistència a les reunions de formació i coordinació amb el SINATCAT</t>
  </si>
  <si>
    <t>Establiment d'acords marc amb universitats per la realització de pràctiques o Treballs de Final de Grau o de Màster per a estudiants universitaris</t>
  </si>
  <si>
    <t>Organització d'unes jornades sobre el patrimoni natural i la seva gestió a l'Espai Natural de l'Estany</t>
  </si>
  <si>
    <t xml:space="preserve">Establiment d'acords amb centres de recerca i formació universitària per l'ús d'instal·lacions
</t>
  </si>
  <si>
    <t>Assistència a reunions de coordinació per la definició del sistema estàndard de seguiment de l'ús públic amb el Servei d'Espais Naturals Protegits de Catalunya</t>
  </si>
  <si>
    <t>Establiment del protocol de recollida de dades de freqüentació i perfil d'usuari a l'ENP</t>
  </si>
  <si>
    <t>Realització d'un inventari georreferenciat de punts de massificació i mala praxis de usos i visitants</t>
  </si>
  <si>
    <t xml:space="preserve">Redacció d'un Manual tècnic de bones pràctiques en ramaderia extensiva i recuperació i manteniment de pastures a l'ENP
</t>
  </si>
  <si>
    <t>Organització d'uns seminaris/jornada tècnica de formació del sector agrari per l'ús de pràctiques respectuoses amb la conservació del medi natural i cultural</t>
  </si>
  <si>
    <t xml:space="preserve">Redacció d'un Manual tècnic de bones pràctiques per la recuperació i conservació de marges i punts d'aigua associats a la ramaderia i l'agricultura i d'interès per la biodiversitat a l'ENP
</t>
  </si>
  <si>
    <t>Elaboració d'una diagnosi del teixit productiu local i un pla d’acció amb línies de treball i actuacions concretes per donar-li suport</t>
  </si>
  <si>
    <t>Establiment d'acords de col·laboració amb les Societats de Caçadors en la gestió de les espècies cinegètiques</t>
  </si>
  <si>
    <t>Ampliació de la delimitació del refugi de fauna salvatge de Can Morgat</t>
  </si>
  <si>
    <t xml:space="preserve">Creació d'un nou refugi de fauna salvatge a l'estany de la Platja d'Espolla </t>
  </si>
  <si>
    <t>Assessorament i ajuda tècnica als ajuntaments i als serveis tècnics de la Generalitat en el procés d'autorització de curses i altres activitats esportives organitzades dins l'ENP</t>
  </si>
  <si>
    <t>Assessorament i ajuda tècnica als ajuntaments i als serveis tècnics de la Generalitat en el procés d'autorització d'activitats científiques dins l'ENP</t>
  </si>
  <si>
    <t>Assessorament i ajuda tècnica als ajuntaments i als serveis tècnics de la Generalitat en el procés d'autorització d'enregistraments i observació de fauna i natura dins l'ENP</t>
  </si>
  <si>
    <t>Vigilància del compliment de la normativa d'accés motoritzat al medi natural</t>
  </si>
  <si>
    <t>Vigilància del compliment de la normativa regulatòria municipal</t>
  </si>
  <si>
    <t>Impuls perquè la Generalitat redacti un protocol de directrius de regulació de drons, d'enlairament i aterratge a l'ENP</t>
  </si>
  <si>
    <t>Treball conjunt amb els ajuntaments i vigilància del compliment de la normativa regulatòria municipal</t>
  </si>
  <si>
    <t>Realització d'una formació tècnica i debat sobre el Manual jurídic d'ús públic entre l'equip del Consorci de l'Estany i els equips municipals per la seva adaptació a l'ENP (per la definició de guies de bones pràctiques)</t>
  </si>
  <si>
    <t>Realització i actualització una base de dades SIG de l'inventari de senyalètica de l'ENP</t>
  </si>
  <si>
    <t>Realització de reunions de coordinació amb tècnics municipals i tècnics de la Generalitat per l'aplicació de mesures extraordinàries de regulació d'ús públic de l'ENP</t>
  </si>
  <si>
    <t>Redacció  del pla d’ordenació de l’acollida dels visitants i de participants en esdeveniments</t>
  </si>
  <si>
    <t xml:space="preserve">Elaboració d'un pla per definir el model de Xarxa d'Escoles de l'Espai Natura, agents educatius implicats i el projecte educatiu de l'ENP
</t>
  </si>
  <si>
    <t>Oferta de places a les Universitats i Centres Educatius per el desenvolupament de pràctiques curriculars i projectes de recerca i acompanyament de l'alumnat</t>
  </si>
  <si>
    <t>Participació en les campanyes de la Direcció General</t>
  </si>
  <si>
    <t>Redacció d'un programa de divulgació i sensibilització de l'ENP (famílies)</t>
  </si>
  <si>
    <t xml:space="preserve">Redacció d'un programa de divulgació i sensibilització de l'ENP (empreses, grups excursionistes, gent gran, activitats ludico-esportives,...)
 </t>
  </si>
  <si>
    <t xml:space="preserve">Identificació de col·lectius estratègics implicats en la gestió i l'ús del territori en la redacció del programa de divulgació i sensibilització de l'ENP </t>
  </si>
  <si>
    <t>Redacció d'un informe tècnic que identifiqui els programes, projectes i agents clau del voluntariat ambiental a l'ENP</t>
  </si>
  <si>
    <t xml:space="preserve">Comunicació a través de notes de premsa o rodes de premsa als Mitjans de Comunicació de projectes i activitats d'interès pel públic general </t>
  </si>
  <si>
    <t xml:space="preserve">Participació en seminaris i congressos
</t>
  </si>
  <si>
    <t xml:space="preserve">Elaboració de contingut per Instagram dels projectes i activitats d'interès
</t>
  </si>
  <si>
    <t xml:space="preserve">Prevenció amb una antelació mínima de 6 mesos les convocatòries d'ajuts per augmentar l'eficiència de la tramitació i disposar de marge de maniobra davant qualsevol eventualitat
</t>
  </si>
  <si>
    <t>Treball amb SSCC per adaptar les convocatòries d'ajuts a les necessitats de l'ENP</t>
  </si>
  <si>
    <t>Disposició d'un llistat actualitzat de convenis i altres instruments de col·laboració vigents i planificar les pròrrogues que es requereixin</t>
  </si>
  <si>
    <t>Establiment nous acords de col·laboració entre administracions, entitats privades i/o persones</t>
  </si>
  <si>
    <t>Optimització la comunicació i acompanyament durant els processos administratius amb els ens integrants del Consorci</t>
  </si>
  <si>
    <t>Difusió o permís a l'accés a la informació pública (Seu electrònica i a la WEB)</t>
  </si>
  <si>
    <t>Atenció a les sol·licituds d'informació</t>
  </si>
  <si>
    <t>Disposició de les assegurances de danys patrimonials (inclosos laboratori i magatzems), vehicles i de tercers</t>
  </si>
  <si>
    <t xml:space="preserve">Catalogació i digitalització del fons documental
</t>
  </si>
  <si>
    <t xml:space="preserve">Permís a l'accessibilitat documental al web de documents d'interès
</t>
  </si>
  <si>
    <t xml:space="preserve">Establiment d'un conveni de col·laboració amb l'ajuntament de Banyoles a través del Museu Darder, Centre d'interpretació de l'Estany pel foment i millora del fons de documentació l'ENP.
</t>
  </si>
  <si>
    <t>Disposició del conveni de delegació de la prestació del servei de manteniment i jardineria de les propietats públiques o en règim de custòdia gestionades pel Consorci</t>
  </si>
  <si>
    <t>Coordinació, planificació i seguiment de les tasques de la brigada de manteniment</t>
  </si>
  <si>
    <t>Realització de reunions de la Comissió de direcció</t>
  </si>
  <si>
    <t>Actualització anual de la valoració de riscos dels llocs de treball</t>
  </si>
  <si>
    <t>Disposició de les fitxes de normes de seguretat personal i d'equips i de productes i posar-ho en coneixement als treballadors</t>
  </si>
  <si>
    <t>Sí/No</t>
  </si>
  <si>
    <t>Pla executat</t>
  </si>
  <si>
    <t>Nombre de reunions / any</t>
  </si>
  <si>
    <t>aus</t>
  </si>
  <si>
    <t>Implementació de  bases de dades dels Serveis Centrals (SINATCAT, Harmony, etc)</t>
  </si>
  <si>
    <t>Aigües oligomesotròfiques calcàries amb vegetació bèntica de Chara spp.</t>
  </si>
  <si>
    <t>Rius mediterranis intermitents, amb gespes nitròfiles del Paspalo-Agrostidion</t>
  </si>
  <si>
    <t>Estanys naturals eutròfics amb vegetació natant (Hydrocharition) o poblaments submersos d'espigues d'aigua (Potamion)</t>
  </si>
  <si>
    <t>Herbassars higròfils, tant de marges i vorades com de l'alta muntanya</t>
  </si>
  <si>
    <t>Una de les poques i millors poblacions de Cat</t>
  </si>
  <si>
    <t>Està citada a l'espai i dins la Directiva Hàbitats</t>
  </si>
  <si>
    <t>Hores de dedicació (hores/anuals)</t>
  </si>
  <si>
    <t>Presència a l'espai i oportunitat per millorar el seu hàbitat</t>
  </si>
  <si>
    <t>Banyoles apareix com a àrea d'importància en el document de base del pla de recuperació de l'Espècie</t>
  </si>
  <si>
    <t>El seguiment del número de parelles reproductores pot ser indicador de l'estat ecològic dels ecosistemes aquàtics</t>
  </si>
  <si>
    <t>Presència de poblacions importants a l'ENP</t>
  </si>
  <si>
    <t>Molt present a l'espai</t>
  </si>
  <si>
    <t>Molt present als boscos de l'estany</t>
  </si>
  <si>
    <t>Libellula fulva</t>
  </si>
  <si>
    <t>Presència de la millor, i una de les poques, poblacions de Catalunya a l'ENP</t>
  </si>
  <si>
    <t>Molt present als boscos de l'ENP</t>
  </si>
  <si>
    <t>Presència a l'ENP de una de les poques i millors poblacions de Catalunya</t>
  </si>
  <si>
    <t>Es pot actuar per a la seva conservació</t>
  </si>
  <si>
    <t>Utilitza l'espai, pot ser sensible a atropellaments com altres mamífers (turó, mostela) i es pot actuar (passos de fauna, senyalització..)</t>
  </si>
  <si>
    <t xml:space="preserve">Depredador clau d'ecosistemes aquàtics, és interessant fer-ne un seguiment </t>
  </si>
  <si>
    <t>Present, molt escassa i d'estatus incert, es pot afavorir amb actuacions (herbassars, prats de dall, vedrunes…)</t>
  </si>
  <si>
    <t>Cavernícola, pot ocupar edificis i tenir hàbitats de campeig interessants a l'entorn de l'Estany</t>
  </si>
  <si>
    <t>Cavernícola però pot tenir hàbitats de campeig interessants a l'espai</t>
  </si>
  <si>
    <t>Squalius cephalus</t>
  </si>
  <si>
    <t>Sense bagres no hi ha nàiades</t>
  </si>
  <si>
    <t>El seguiment del número de parelles reproductores pot ser indicador de l'estat ecològic dels ecosistemes aquàtics, la pressió dels depredadors exòtics, les molèsties per ús públic etc.</t>
  </si>
  <si>
    <t>Població singular de terra baixa, on és escassa i interessant</t>
  </si>
  <si>
    <t>A l'espai hi ha un dormider d'esplugabous</t>
  </si>
  <si>
    <t xml:space="preserve">És d'interès per l'ENP </t>
  </si>
  <si>
    <t>És d'interès per l'ENP</t>
  </si>
  <si>
    <t>Id_OE</t>
  </si>
  <si>
    <t>Id_OG</t>
  </si>
  <si>
    <t>Id_OO</t>
  </si>
  <si>
    <t>Etiquetas de fila</t>
  </si>
  <si>
    <t>Total general</t>
  </si>
  <si>
    <t xml:space="preserve">
Elaboració d'un pla de gestió de les tortugues aquàtiques autòctones a l'espai natural (Emys orbicularis i Mauremys leprosa)</t>
  </si>
  <si>
    <t xml:space="preserve">
Elaboració d'un pla de gestió per la conservació i millora de les nàiades de l'espai natural (Unio ravoisieri, Unio mancus, Potomida littoralis  i Anodonta anotina)</t>
  </si>
  <si>
    <t xml:space="preserve">
Elaboració d'un pla de gestió de la falguera dels pantans (Thelypteris palustris)</t>
  </si>
  <si>
    <t>Execució del seguiment de Carex elata</t>
  </si>
  <si>
    <r>
      <t>Elaboració d'un pla de gestió de les tortugues aquàtiques autòctones a l'espai natural (</t>
    </r>
    <r>
      <rPr>
        <i/>
        <sz val="11"/>
        <rFont val="Calibri"/>
        <family val="2"/>
        <scheme val="minor"/>
      </rPr>
      <t xml:space="preserve">Emys orbicularis </t>
    </r>
    <r>
      <rPr>
        <sz val="11"/>
        <rFont val="Calibri"/>
        <family val="2"/>
        <scheme val="minor"/>
      </rPr>
      <t xml:space="preserve">i </t>
    </r>
    <r>
      <rPr>
        <i/>
        <sz val="11"/>
        <rFont val="Calibri"/>
        <family val="2"/>
        <scheme val="minor"/>
      </rPr>
      <t>Mauremys leprosa).</t>
    </r>
  </si>
  <si>
    <r>
      <t xml:space="preserve">Elaboració d'un pla de gestió per la conservació i millora de les nàiades de l'espai natural </t>
    </r>
    <r>
      <rPr>
        <i/>
        <sz val="11"/>
        <rFont val="Calibri"/>
        <family val="2"/>
        <scheme val="minor"/>
      </rPr>
      <t>(Unio ravoisieri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Unio mancus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Potomida littoralis  i Anodonta anotina).</t>
    </r>
  </si>
  <si>
    <r>
      <t xml:space="preserve">Elaboració d'un pla de gestió de potamogèton perfoliat </t>
    </r>
    <r>
      <rPr>
        <i/>
        <sz val="11"/>
        <rFont val="Calibri"/>
        <family val="2"/>
        <scheme val="minor"/>
      </rPr>
      <t>(Potamogeton perfoliatus).</t>
    </r>
  </si>
  <si>
    <t>Redacció del Pla tècnic de control del coipú (Myocastor coypus).</t>
  </si>
  <si>
    <t>Execució del Pla tècnic de control de la tortugues exòtiques.</t>
  </si>
  <si>
    <t>Redacció del Pla tècnic de control de la tortugues exòtiques.</t>
  </si>
  <si>
    <t>Execució del Pla tècnic de control del coipú (Myocastor coypus).</t>
  </si>
  <si>
    <t>Obtenció de la informació necessària per avaluar el desenvolupament dels plans tècnics de l'ENP.</t>
  </si>
  <si>
    <t>Planificació i execució d'accions d'acceleració de la maduresa forestal en zones boscoses dins l'ENP a través de contractes de custòdia de finques.</t>
  </si>
  <si>
    <t>Redacció de projectes per a la renaturalització de lleres i marges, i la creació de zones de laminació dins l'ENP.</t>
  </si>
  <si>
    <t>Redacció d'un Pla d'adaptació de l'ENP al canvi climàtic.</t>
  </si>
  <si>
    <t>Assistència a reunions amb els òrgans competents de gestió de l'aigua (Ajuntament de Banyoles i ACA) aportant directrius de conservació del patrimoni natural i del medi físic.</t>
  </si>
  <si>
    <t>Redacció d'un document tècnic pel foment de bones pràctiques en l'entrenament esportiu dins l'Estany de Banyoles.</t>
  </si>
  <si>
    <t>Redacció d'un document tècnic pel foment de bones pràctiques en la organització d'esdeveniment lúdic-esportius dins de l'ENP.</t>
  </si>
  <si>
    <t>Planificació i execució d'accions d'acceleració de la maduresa forestal en zones boscoses dins l'ENP a través de la compra.</t>
  </si>
  <si>
    <t xml:space="preserve">
Execució de projectes de restauració per afavorir la conservació dels hàbitats i espècies d'interès a l'ENP.</t>
  </si>
  <si>
    <t>Participació en la definició dels objectes de conservació clau (hàbitats, espècies, processos i elements d’interès geològic) comuns a nivell de Xarxa d'ENP o clúster territorial.</t>
  </si>
  <si>
    <t>Realització de visites als treballs informats per l'òrgan de gestió, en coordinació amb l'Oficina Territorial d'Avaluació Ambiental.</t>
  </si>
  <si>
    <t>Assistència i participació en meses de decisió per la prevenció d'incendis.</t>
  </si>
  <si>
    <r>
      <t xml:space="preserve">Elaboració d'un pla de gestió de la falguera dels pantans </t>
    </r>
    <r>
      <rPr>
        <i/>
        <sz val="11"/>
        <color rgb="FF000000"/>
        <rFont val="Calibri"/>
        <family val="2"/>
        <scheme val="minor"/>
      </rPr>
      <t>(Thelypteris palustris).</t>
    </r>
  </si>
  <si>
    <t>Afavorir la maduresa dels sistemes forestals.</t>
  </si>
  <si>
    <t>Generar pertorbacions controlades.</t>
  </si>
  <si>
    <t>Fomentar el paisatge en mosaic.</t>
  </si>
  <si>
    <t>Gestionar i intervenir en la dinàmica de poblacions de fauna que no tenen depredador natural.</t>
  </si>
  <si>
    <r>
      <t xml:space="preserve">Elaboració d'un pla de gestió de </t>
    </r>
    <r>
      <rPr>
        <i/>
        <sz val="11"/>
        <rFont val="Calibri"/>
        <family val="2"/>
        <scheme val="minor"/>
      </rPr>
      <t>Carex elata.</t>
    </r>
  </si>
  <si>
    <t>Optimitzar els canals de comunicació.</t>
  </si>
  <si>
    <t>Sensibilitzar als diferents agents sobre els valors de l'ENP.</t>
  </si>
  <si>
    <t>Garantir l'accessibilitat i gestió del coneixement disponible sobre l'ENP.</t>
  </si>
  <si>
    <t>Informar periòdicament sobre les tasques, projectes i actuacions que duu a terme l'ENP a la població.</t>
  </si>
  <si>
    <t>Incloure el concepte de salut i natura en els missatges educatius i comunicatius de l'ENP.</t>
  </si>
  <si>
    <t>Participar a les Taules territorials de Salut i Natura.</t>
  </si>
  <si>
    <t>Identificar els agents clau i els àmbits de col·laboració per implementar el binomi salut i natura.</t>
  </si>
  <si>
    <t>Dissenyar, implementar i fomentar itineraris saludables dins dels itineraris oficials dels ENP i en la zona d'influència.</t>
  </si>
  <si>
    <t>Incorporar la perspectiva de gènere als continguts i activitats de l'ENP.</t>
  </si>
  <si>
    <t>Formar el personal de l'ENP (informadors i personal que treballa de cara al públic) en accessibilitat, diversitat funcional i diversitat de gènere.</t>
  </si>
  <si>
    <t>Dissenyar i adaptar activitats inclusives per a persones amb necessitats específiques.</t>
  </si>
  <si>
    <t>Establir un model de coordinació territorial amb agents clau del voluntariat ambiental.</t>
  </si>
  <si>
    <t xml:space="preserve">Executar els projectes de sensibilització i formació dirigits als agents de lleure educatiu. </t>
  </si>
  <si>
    <t>Executar els projectes de sensibilització i formació dirigits al sector turístic, esportiu i de lleure.</t>
  </si>
  <si>
    <t>Identificar col·lectius estratègics implicats en la gestió i l'ús del territori.</t>
  </si>
  <si>
    <t>Desplegar en el territori les campanyes de sensibilització i bones pràctiques que s'impulsin des de la DG.</t>
  </si>
  <si>
    <t>Adaptar el programa de divulgació i sensibilització de l'ENP perquè incorpori una oferta d’activitats adequada per a famílies.</t>
  </si>
  <si>
    <t>Adaptar el programa de divulgació i sensibilització de l'ENP perquè incorpori una oferta d’activitats adequada per a altres perfils.</t>
  </si>
  <si>
    <t>Elaborar formacions dirigides als informadors, educadors i altres prescriptors del territori.</t>
  </si>
  <si>
    <t>Cercar i establir col·laboracions i projectes conjunts amb agents clau del territori.</t>
  </si>
  <si>
    <t>Adaptar i millorar l'oferta pedagògica de l'ENP generant situacions d'aprenentatge i treballs per projecte.</t>
  </si>
  <si>
    <t>Formar i capacitar al professorat de la XEEN.</t>
  </si>
  <si>
    <t>Ordenar el pla d’emergències.</t>
  </si>
  <si>
    <t>Vetllar pel compliment d'informes i la vigilància tècnica de l'espai.</t>
  </si>
  <si>
    <t>Millorar la coordinació amb els cossos de seguretat per efectuar accions de control i vigilància.</t>
  </si>
  <si>
    <t>Gestió de personal.</t>
  </si>
  <si>
    <t>Gestió de la brigada de manteniment.</t>
  </si>
  <si>
    <t>Millorar l'accessibilitat i la gestió documental del Consorci.</t>
  </si>
  <si>
    <t>Revisar l’estat dels béns patrimonials i la situació administrativa-legal dels equipaments del Consorci.</t>
  </si>
  <si>
    <t>Tenir cobertes les pèrdues o danys materials del patrimoni del Consorci.</t>
  </si>
  <si>
    <t>Millorar i mantenir el material i infraestructures de gestió.</t>
  </si>
  <si>
    <t>Augmentar el coneixement de l'equip de treball en matèria de procediment administratiu.</t>
  </si>
  <si>
    <t>Adequar i actualitzar els procediments i tramitacions realitzats des de l'ENP als nous processos i eines conjuntes proposades des de l'administració d'adscripció.</t>
  </si>
  <si>
    <t>Optimitzar l'elaboració d'informes.</t>
  </si>
  <si>
    <t>Adequar i actualitzar els procediments i tramitacions realitzats des de l'ENP als nous processos i eines conjuntes proposades des de Serveis Centrals.</t>
  </si>
  <si>
    <t>Planificar i detectar les tasques de convocatòries d'ajuts de l'ENP.</t>
  </si>
  <si>
    <t>Detectar i planificar les necessitats de contractació del l'ENP per a l'optimització dels contractes a nivell de Xarxa o altres administracions.</t>
  </si>
  <si>
    <t>Millorar el sistema de control de l'execució del pressupost, d'acord amb les indicacions de Serveis Centrals de la Generalitat de Catalunya.</t>
  </si>
  <si>
    <t>Adaptar i desplegar el model de governança dels espais naturals protegits.</t>
  </si>
  <si>
    <t>Disposar d'assessorament científic en l'ENP.</t>
  </si>
  <si>
    <t>Crear una taula de treball amb els agents prioritaris per a la gestió de l'ENP i els grups de treball temàtics necessaris.</t>
  </si>
  <si>
    <t>Elaborar i executar el Pla de vigilància de l’espai d'acord amb els cossos d’inspecció i seguretat.</t>
  </si>
  <si>
    <t>Adaptar els missatges a donar des d'oficines d’informació, pròpies i alienes, d'acord amb el model de la DG.</t>
  </si>
  <si>
    <t>Desenvolupar el Pla d'acollida als visitants en base al model de la DG.</t>
  </si>
  <si>
    <t>Disposar dels equipaments i infraestructures necessàries i accessibles per acollir, informar, facilitar la visita i garantir la seguretat dels visitants i la protecció de l'entorn.</t>
  </si>
  <si>
    <t>Adequar els principals accessos, aparcaments i centres d'interès amb un ús elevat.</t>
  </si>
  <si>
    <t>Impulsar les mesures extraordinàries de regulació de l'ús públic.</t>
  </si>
  <si>
    <t>Potenciar la visita a espais alternatius dins de l'àmbit d'influència de l'espai natural per reduir la pressió en zones sensibles.</t>
  </si>
  <si>
    <t>Implantar el programa de senyalització i manteniment.</t>
  </si>
  <si>
    <t>Realitzar l'inventari de senyalètica de l'ENP.</t>
  </si>
  <si>
    <t>Promoció i acompanyament en l'ordenació de l'ús públic de l'ENP des de l'àmbit municipal.</t>
  </si>
  <si>
    <t>Implementar l'ordenació de l'ús públic en col·laboració amb els agents del territori.</t>
  </si>
  <si>
    <t>Regular l'aparcament de vehicles.</t>
  </si>
  <si>
    <t>Aplicar limitacions temporals d'accés o circulació.</t>
  </si>
  <si>
    <t>Regular l'ús de drons, l'enlairament i l'aterratge.</t>
  </si>
  <si>
    <t>Regular l'accés i la circulació.</t>
  </si>
  <si>
    <t>Treballar conjuntament amb els principals canals d’informació de rutes  per prioritzar itineraris oficials dins l’ENP.</t>
  </si>
  <si>
    <t>Identificar i classificar la xarxa viària bàsica, secundària, senders i itineraris senyalitzats d'acord amb els ajuntaments.</t>
  </si>
  <si>
    <t>Regular les activitats científiques en base a la normativa de la Generalitat de Catalunya i els Ens locals.</t>
  </si>
  <si>
    <t>Regular la presència d'animals de companyia.</t>
  </si>
  <si>
    <t>Regular la xarxa viària principal, secundària i restringida.</t>
  </si>
  <si>
    <t>Regular el submarinisme i l'snorkel.</t>
  </si>
  <si>
    <t>Regular l'enlairament i aterratge sense motor.</t>
  </si>
  <si>
    <t>Regular les zones de bany.</t>
  </si>
  <si>
    <t>Regular els enregistraments i l'observació de fauna i natura en base a la normativa de la Generalitat de Catalunya i els Ens locals.</t>
  </si>
  <si>
    <t>Regular les curses i altres activitats esportives organitzades en base a la normativa dels Ens locals i la Generalitat de Catalunya.</t>
  </si>
  <si>
    <t>Regular les activitats aquàtiques i nàutiques i zones de fondeig.</t>
  </si>
  <si>
    <t>Regular la circulació rodada no motoritzada en base al model de Pla de protecció.</t>
  </si>
  <si>
    <t>Regular l'acampada i pernoctació  en base al model de Pla de protecció.</t>
  </si>
  <si>
    <t>Establir un model de construcció a l'ENP.</t>
  </si>
  <si>
    <t>Crear productes i paquets turístics amb associacions d’empreses turístiques i operadors turístics.</t>
  </si>
  <si>
    <t>Treballar amb les empreses del sector lúdic-esportiu i turístic per impulsar el desenvolupament local sostenible.</t>
  </si>
  <si>
    <t>Tramitar la certificació Biosphere.</t>
  </si>
  <si>
    <t>Desplegar la Carta Europea de Turisme Sostenible (CETS).</t>
  </si>
  <si>
    <t>Gestió activa de l'ENP de poblacions que generen danys a les activitats econòmiques de l'ENP.</t>
  </si>
  <si>
    <t>Col·laborar en la regulació i ordenació de la caça i la pesca en zones sensibles o amb risc d'afectació d'elements clau objecte de conservació.</t>
  </si>
  <si>
    <t>Generar aliances entre el sector primari, el turisme, la restauració i altres per fomentar la gastronomia local.</t>
  </si>
  <si>
    <t>Promoure fires d'artesania i productes locals de l'ENP.</t>
  </si>
  <si>
    <t>Promoure la recuperació i conservació de marges i punts d'aigua associats a la ramaderia i l'agricultura i d'interès per la biodiversitat.</t>
  </si>
  <si>
    <t>Oferir formació als productors agraris per millorar el seu coneixement sobre tècniques eficients i respectuoses amb la conservació del patrimoni natural i cultural.</t>
  </si>
  <si>
    <t>Identificar els impactes (positius i negatius) que generen les activitats d'ús públic dins l'ENP.</t>
  </si>
  <si>
    <t>Adaptar i mantenir un registre d'activitats, actors i incidències en ús públic (curses, conflictes, queixes, etc.).</t>
  </si>
  <si>
    <t>Identificar en cartografia les males praxis i punts de massificació.</t>
  </si>
  <si>
    <t>Posar a disposició de la recerca, equipaments i serveis de l'ENP.</t>
  </si>
  <si>
    <t>Crear i desenvolupar jornades de recerca de l'ENP de forma anual on els diferents centres mostrin els estudis realitzats en l'ENP.</t>
  </si>
  <si>
    <t>Potenciar la ciència ciutadana en l’ENP com a eina per generar coneixement.</t>
  </si>
  <si>
    <t>Establir acords amb les institucions de recerca i naturalistes per al desenvolupament d'estudis i inventaris dins l'ENP en el marc de les seves línies de recerca.</t>
  </si>
  <si>
    <t>Crear sinèrgies i col·laborar amb museus i equipaments de referència per definir línies d'actuació conjunta entre patrimoni cultural i natural.</t>
  </si>
  <si>
    <t>Participar en el grups de treball per a la definició i organització del SINATCAT.</t>
  </si>
  <si>
    <t>Mantenir una base de dades de seguiment de patrimoni natural de l'ENP actualitzada i ordenada.</t>
  </si>
  <si>
    <t>Adequar i executar el sistema de seguiment periòdic dels grups clau de l'ENP al sistema estàndard de seguiment.</t>
  </si>
  <si>
    <t>Conèixer la tendència d'espècies exòtiques invasores amb afectacions sobre ecosistemes o activitats econòmiques dins l'ENP.</t>
  </si>
  <si>
    <t>Participar en el coneixement de la tendència d'espècies plaga amb afectacions sobre ecosistemes o activitats econòmiques dins l'ENP.</t>
  </si>
  <si>
    <t>Conèixer els usos i factors de canvi rellevants en l'evolució dels elements de conservació, i avaluar els efectes que generen en l’espai (pressions i amenaces).</t>
  </si>
  <si>
    <t>Conèixer i estudiar els processos naturals propis de l’espai, la seva funcionalitat, i ecologia en referència als ecosistemes.</t>
  </si>
  <si>
    <t>Participar en l'elaboració de la cartografia que elabora la UIC.</t>
  </si>
  <si>
    <t>Definir espais fràgils i zones d'especial atenció.</t>
  </si>
  <si>
    <t>Establir un model de coordinació territorial amb agents clau de l'educació ambiental.</t>
  </si>
  <si>
    <t>Oferir projectes de recerca vinculats a l'espai natural per a l'alumnat universitari i de la XEEN.</t>
  </si>
  <si>
    <t>Elaborar recursos educatius sobre l’espai (que tinguin en compte les problemàtiques singulars del seu espai) i posar-los a disposició dels centres educatius.</t>
  </si>
  <si>
    <t>Desplegar el model de Xarxa d'Escoles de l'Espai Natural (XEEN) a l'ENP d'acord amb el model general.</t>
  </si>
  <si>
    <t>Regular les activitats d'educació ambiental i el lleure educatiu.</t>
  </si>
  <si>
    <t>Regular l'escalada i alpinisme, barranquisme, i espeleologia  en base al model de Pla de protecció.</t>
  </si>
  <si>
    <t>Treballar amb l'autoritat competent per garantir objectius de conservació d’espècies i hàbitats en la revisió dels Plans de Gestió Cinegètica.</t>
  </si>
  <si>
    <t>Elaborar una guia per promocionar els agents del territori que potencien i difonen els productes alimentaris locals i de qualitat (allotjaments, restaurants, cellers, establiments, elaboradors i productors).</t>
  </si>
  <si>
    <t>Disposar d'una diagnosi del teixit productiu local i un pla d’acció amb línies de treball i actuacions concretes per donar-li suport.</t>
  </si>
  <si>
    <t>Establir una relació contínua amb agents socioeconòmics del territori, i si s'escau, crear una Taula de desenvolupament local.</t>
  </si>
  <si>
    <t>Implantar un distintiu de qualitat i compatibilitat amb la conservació dels productes de la Xarxa d'ENP o criteris de qualitat propis de l'ENP.</t>
  </si>
  <si>
    <t>Integrar els productes i activitats locals de qualitat en l'oferta d'activitats d'informació i turístiques de l'ENP.</t>
  </si>
  <si>
    <t>Acompanyar i assessorar els productors agraris per millorar les tècniques productives agràries i afavorir la conservació dels hàbitats i paisatges.</t>
  </si>
  <si>
    <t>Promoure i col·laborar en l'aplicació de Plans de Desenvolupament Local Sostenible.</t>
  </si>
  <si>
    <t>Disposar de dades de freqüentació i perfil d'usuari en l'ENP i en especial en equipaments i en zones d'alta freqüentació.</t>
  </si>
  <si>
    <t>Crear l'Observatori de recerca de l'ENP vinculat a l'Observatori del Patrimoni natural i la biodiversitat.</t>
  </si>
  <si>
    <t>Participar en la definició del sistema estàndard de seguiment de flora, fauna i hàbitats de la DG.</t>
  </si>
  <si>
    <t>Conèixer com millorar la connectivitat de forma coordinada amb altres ENP.</t>
  </si>
  <si>
    <t>Identificar i prioritzar els elements clau i d'interès per la gestió de la biodiversitat i geodiversitat de Catalunya es troben dins l'ENP (especies amenaçades, espècies exòtiques invasores,..).</t>
  </si>
  <si>
    <t>Identificar i prioritzar els elements clau i d'interès per la gestió de la biodiversitat i geodiversitat de Catalunya es troben dins l'ENP (especies amenaçades, espècies exòtiques invasores, etc.).</t>
  </si>
  <si>
    <t>Identificar i prioritzar els elements clau i d'interès per la gestió de la biodiversitat i geodiversitat de Catalunya es troben dins l'ENP (especies amenaçades, espècies exòtiques invasores, etc).</t>
  </si>
  <si>
    <t>Identificar i prioritzar els elements clau i d'interès per la gestió de la biodiversitat i geodiversitat de Catalunya es troben dins l'ENP (especies amenaçades, espècies exòtiques invasores,  etc.).</t>
  </si>
  <si>
    <t>Promoure la certificació de zones d'especial protecció de la qualitat acústica.</t>
  </si>
  <si>
    <t>Promoure la certificació de qualitat del cel nocturn.</t>
  </si>
  <si>
    <t>Minimitzar la brutícia, deixalles, vandalisme i males praxis dins l'ENP.</t>
  </si>
  <si>
    <t>Gestionar l'abandonament d'infraestructures i instal·lacions amb impactes sobre els valors de l'espai.</t>
  </si>
  <si>
    <t>Desplegar actuacions de restauració dels elements d'interès paisatgístic degradats.</t>
  </si>
  <si>
    <t>Elaborar un inventari d'elements d'interès paisatgístic de l'ENP d'acord amb el Catàleg de paisatge de la zona.</t>
  </si>
  <si>
    <t>Formar el personal dels punts d’informació en els valors culturals de l'ENP.</t>
  </si>
  <si>
    <t>Identificar i conservar la diversitat domesticada de varietats agrícoles i ramaderes locals.</t>
  </si>
  <si>
    <t>Fomentar la recuperació i conservació de l'arquitectura tradicional d'interès de les edificacions i construccions.</t>
  </si>
  <si>
    <t>Recuperar i conservar el patrimoni cultural rural vinculat específicament a construccions de pedra en sec.</t>
  </si>
  <si>
    <t>Recuperar i conservar el patrimoni cultural rural immaterial associat a les activitats i aprofitaments tradicionals.</t>
  </si>
  <si>
    <t>Disposar de personal especialitzat en patrimoni cultural.</t>
  </si>
  <si>
    <t>Coordinar i participar dels treballs de restauració arquitectònica i del patrimoni cultural.</t>
  </si>
  <si>
    <t>Articular treballs conjunts entre l'ENP i representants, gestors o custodis del patrimoni cultural per a la seva protecció i millora.</t>
  </si>
  <si>
    <t>Identificar els ens de referència en patrimoni cultural (entitats, associacions, museus i ecomuseus, etc.) en l'àmbit de l'ENP.</t>
  </si>
  <si>
    <t>Disposar de la cartografia de la xarxa de camins i senders de l'ENP.</t>
  </si>
  <si>
    <t>Identificar espais prioritaris per a la gestió directa.</t>
  </si>
  <si>
    <t>Elaborar el catàleg lingüístic (localismes) de patrimoni natural, geografia popular, festes i activitats tradicionals de l'ENP.</t>
  </si>
  <si>
    <t>Elaborar l'inventari i cartografia de patrimoni cultural de l'ENP, que també inclogui el patrimoni etnològic i immaterial.</t>
  </si>
  <si>
    <t>Identificar espais prioritaris per a la compra de terrenys de més valor dins l'ENP.</t>
  </si>
  <si>
    <t>Vetllar pel compliment de la normativa de depuració dels efluents agroramaders, urbans i industrials que s'aboquen als cursos fluvials.</t>
  </si>
  <si>
    <t>Implementar i executar plans de gestió específics per a hàbitats i espècies de conservació prioritària dins l'ENP.</t>
  </si>
  <si>
    <t>Adaptar i executar plans de gestió específics per a elements geològics de conservació prioritària dins l'ENP.</t>
  </si>
  <si>
    <t>Executar les mesures previstes en els plans de conservació o recuperació d'espècies amenaçades de forma coordinada amb el Servei de Flora i Fauna en l'àmbit de l'ENP.</t>
  </si>
  <si>
    <t>Implementar la metodologia de gestió adaptativa (Estàndards Oberts de Gestió Adaptativa a Catalunya) en tots els processos de l'ENP.</t>
  </si>
  <si>
    <t>Desplegar els objectius i tasques recollits en els instruments de referència i compromisos internacionals .</t>
  </si>
  <si>
    <t>Identificar espais pel foment de la dinàmica natural i l'aprofitament no extractiu.</t>
  </si>
  <si>
    <t>Fomentar acords de custòdia en espais d'alt valor dins l'ENP per a la gestió dels elements prioritaris.</t>
  </si>
  <si>
    <t>Fomentar bones pràctiques entre els col·lectius de propietaris i gestors del territori.</t>
  </si>
  <si>
    <t>Coordinar i gestionar les propietats públiques o en règim de custòdia de l'espai.</t>
  </si>
  <si>
    <t>Participar en la redacció i execució dels instruments d'ordenació forestal sostenible i per la conservació en finques públiques.</t>
  </si>
  <si>
    <t>Redactar i implementar el Pla de Prevenció d'Incendis.</t>
  </si>
  <si>
    <t>Definir i planificar la gestió del foc per a la millora de l'ENP.</t>
  </si>
  <si>
    <t>Participar en les consultes dels processos d'Avaluació Ambiental que afectin directament o indirectament l’espai del ENP.</t>
  </si>
  <si>
    <t>Participar en la compensació d'impactes residuals durant els processos d'avaluació ambiental mitjançant la identificació de necessitats d'actuació prioritària dins i fora dels límits de l’ENP.</t>
  </si>
  <si>
    <t>Participar en l'elaboració dels instruments de planificació de l'ENP.</t>
  </si>
  <si>
    <t>Vetllar pel manteniment ecològic dels recs i rieres del Pla sectorial corresponent.</t>
  </si>
  <si>
    <t>Avaluar i controlar les actuacions que produeixin drenatges, captacions o que puguin impedir l’arribada d’aigua tant superficial com freàtica.</t>
  </si>
  <si>
    <t>Eix 01 - Natura</t>
  </si>
  <si>
    <t>Eix 02 - Cultura</t>
  </si>
  <si>
    <t>Eix 03 - Coneixement</t>
  </si>
  <si>
    <t>Eix 04 - Desenvolupament local</t>
  </si>
  <si>
    <t>Eix 05 - Ús públic i social</t>
  </si>
  <si>
    <t>Eix 06 - Educació, voluntariat i comunicació</t>
  </si>
  <si>
    <t>Eix 07 - Gestió i administració</t>
  </si>
  <si>
    <t>Màxima</t>
  </si>
  <si>
    <t>Alta</t>
  </si>
  <si>
    <t>Mitjana</t>
  </si>
  <si>
    <t>Baixa</t>
  </si>
  <si>
    <t>Fora de termini del Pla</t>
  </si>
  <si>
    <r>
      <t xml:space="preserve">Elaboració d'un pla de gestió dels microcargols </t>
    </r>
    <r>
      <rPr>
        <i/>
        <sz val="11"/>
        <rFont val="Calibri"/>
        <family val="2"/>
        <scheme val="minor"/>
      </rPr>
      <t>Vertigo moulinsiana</t>
    </r>
    <r>
      <rPr>
        <sz val="11"/>
        <rFont val="Calibri"/>
        <family val="2"/>
        <scheme val="minor"/>
      </rPr>
      <t xml:space="preserve"> i </t>
    </r>
    <r>
      <rPr>
        <i/>
        <sz val="11"/>
        <rFont val="Calibri"/>
        <family val="2"/>
        <scheme val="minor"/>
      </rPr>
      <t>Vertigo angustior.</t>
    </r>
  </si>
  <si>
    <t>Aplicació de les directrius de gestió de l'inventari de patrimoni geològic (ICGC).</t>
  </si>
  <si>
    <t>Redacció d'un protocol per tal d'incorporar la metodologia dels Estàndards Oberts pels processos més rellevants per a la conservació a l'espai.</t>
  </si>
  <si>
    <t>Implementació del protocol per tal d'incorporar la metodologia dels Estàndards Oberts de Gestió Adaptativa a Catalunya pels processos més rellevants per a la conservació a l'ENP.</t>
  </si>
  <si>
    <t>Implicació i participació en la redacció dels plans de conservació /recuperació d'espècies amenaçades.</t>
  </si>
  <si>
    <t>Execució de les accions dins els plans de recuperació/conservació aprovats que afectin l'ENP.</t>
  </si>
  <si>
    <t>Col·laboració en l'obtenció de la informació necessària dins l'ENP per al desenvolupament dels Plans de Conservació i Recuperació d'espècies amenaçades.</t>
  </si>
  <si>
    <t>Redacció del Pla tècnic de control dels peixos exòtics a l'Estany de Banyoles i zones humides del seu entorn.</t>
  </si>
  <si>
    <t>Execució del Pla tècnic de control dels peixos exòtics l'Estany de Banyoles i zones humides del seu entorn.</t>
  </si>
  <si>
    <t>Redacció d'un document d'Identificació d'espais pel foment de la renaturalització i restauració del patrimoni natural i del medi físic de l'ENP.</t>
  </si>
  <si>
    <t xml:space="preserve">
Execució d'actuacions pilot de gestió d'hàbitats oberts amb grans herbívors per a la conservació de zones humides.</t>
  </si>
  <si>
    <t>Execució d'actuacions de control directe de poblacions de fauna cinegètica (senglar, cabirol, conill)  a les zones de seguretat i refugi de fauna salvatge a l'ENP amb  coordinació amb el cos d'Agents Rurals i Societats de caçadors.</t>
  </si>
  <si>
    <t>Gestió de les finques públiques i en règim de custòdia de l'ENP.</t>
  </si>
  <si>
    <t>Assistència a reunions tècniques amb l'equip de la Oficina Territorial d'Acció i Avaluació Ambiental  dels Serveis Territorial de Girona, i si s'escau redacció d'informes.</t>
  </si>
  <si>
    <t>Realització de reunions tècniques amb el Servei de Planificació d'Espais Naturals de la Generalitat de Catalunya per l'elaboració d'instruments de planificació de l'ENP.</t>
  </si>
  <si>
    <t>Realització de reunions amb la Comissió Tècnica per la gestió de l'aigua a l'Estany de Banyoles.</t>
  </si>
  <si>
    <t>Realització del seguiment del cabal en els trams d'interès per la flora i la fauna dins l'ENP en situacions de sequera.</t>
  </si>
  <si>
    <t>Redacció d'un inventari de captacions dins de l'ENP.</t>
  </si>
  <si>
    <t>Elaboració d'un catàleg de finques d'interès per a la conservació i/o renaturalització dins l'ENP.</t>
  </si>
  <si>
    <t>Redacció d'un inventari de finques públiques i conveniades del Consorci de l'Estany i establir els objectius generals de gestió directa.</t>
  </si>
  <si>
    <t xml:space="preserve">Redacció d'un inventari de patrimoni cultural material i immaterial.
</t>
  </si>
  <si>
    <t>Elaboració de la cartografia de la xarxa de camins i senders de l'ENP.</t>
  </si>
  <si>
    <t>Consideració del patrimoni cultural en les activitats d'educació ambiental per fomentar-ne la seva conservació i divulgació.</t>
  </si>
  <si>
    <t>Reforç de la senyalització en punts conflictius.</t>
  </si>
  <si>
    <t xml:space="preserve">Elaboració de l'inventari d'elements geològics a l'ENP.
</t>
  </si>
  <si>
    <t>Elaboració de l'inventari de flora de l'ENP.</t>
  </si>
  <si>
    <t>Elaboració de l'inventari de fauna de l'ENP.</t>
  </si>
  <si>
    <t>Trasllat de la informació a través de seguiments del elements clau i altres d'espècies i hàbitats d'interès per la gestió a la Unitat d'Informació i Conservació (UIC).</t>
  </si>
  <si>
    <t xml:space="preserve">Realització d'un catàleg d'elements d'interès de geoconservació, la seva delimitació i establiment de criteris de gestió a l'ENP.
</t>
  </si>
  <si>
    <t>Actualització del protocol d’índex ecològics de les diferents masses d’aigua.</t>
  </si>
  <si>
    <t>Aplicació del protocol d’índex ecològics de les diferents masses d’aigua.</t>
  </si>
  <si>
    <t>Realització d'un estudi d'avaluació de l'impacte del canvi climàtic en l'ENP i la seva capacitat d'adaptació i resiliència.</t>
  </si>
  <si>
    <t xml:space="preserve">Establiment d'un programa de seguiment de l’estat hidrològic de les masses d’aigua.
</t>
  </si>
  <si>
    <t>Seguiment de les poblacions de gavians a l'ENP.</t>
  </si>
  <si>
    <t>Planificació d'estudis de forma coordinada amb el Servei Fauna i Flora.</t>
  </si>
  <si>
    <r>
      <t xml:space="preserve">Realització d'un informe tècnic d'avaluació de les actuacions de control de l'espècie exòtica invasora </t>
    </r>
    <r>
      <rPr>
        <i/>
        <sz val="11"/>
        <rFont val="Calibri"/>
        <family val="2"/>
        <scheme val="minor"/>
      </rPr>
      <t>Myocastor coypus</t>
    </r>
    <r>
      <rPr>
        <sz val="11"/>
        <rFont val="Calibri"/>
        <family val="2"/>
        <scheme val="minor"/>
      </rPr>
      <t>i tendència a l'ENP.</t>
    </r>
  </si>
  <si>
    <t>Realització d'un informe tècnic d'avaluació de les actuacions de control de les espècies de tortugues exòtiques invasores i tendència a l'ENP.</t>
  </si>
  <si>
    <t>Assistència a reunions de coordinació amb la UIC per la definició dels sistemes de seguiment.</t>
  </si>
  <si>
    <t>Adaptació del seguiment dels elements claus de l'ENP al Sistema estàndard de seguiment de la UIC.</t>
  </si>
  <si>
    <t>Execució del seguiment de poblacions de nàiades a l'Estany, als recs, a la riera Canaleta i al riu Terri.</t>
  </si>
  <si>
    <r>
      <t xml:space="preserve">Execució del seguiment de tortuga d’estany </t>
    </r>
    <r>
      <rPr>
        <i/>
        <sz val="11"/>
        <rFont val="Calibri"/>
        <family val="2"/>
        <scheme val="minor"/>
      </rPr>
      <t>(Emys</t>
    </r>
    <r>
      <rPr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orbicularis)</t>
    </r>
    <r>
      <rPr>
        <sz val="11"/>
        <rFont val="Calibri"/>
        <family val="2"/>
        <scheme val="minor"/>
      </rPr>
      <t xml:space="preserve"> i tortuga de rierol </t>
    </r>
    <r>
      <rPr>
        <i/>
        <sz val="11"/>
        <rFont val="Calibri"/>
        <family val="2"/>
        <scheme val="minor"/>
      </rPr>
      <t>(Mauremys</t>
    </r>
    <r>
      <rPr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leprosa).</t>
    </r>
  </si>
  <si>
    <r>
      <t xml:space="preserve">Execució del seguiment de la falguera dels pantans </t>
    </r>
    <r>
      <rPr>
        <i/>
        <sz val="11"/>
        <rFont val="Calibri"/>
        <family val="2"/>
        <scheme val="minor"/>
      </rPr>
      <t>(Thelypteris</t>
    </r>
    <r>
      <rPr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palustris).</t>
    </r>
  </si>
  <si>
    <r>
      <t xml:space="preserve">Execució del seguiment de </t>
    </r>
    <r>
      <rPr>
        <i/>
        <sz val="11"/>
        <rFont val="Calibri"/>
        <family val="2"/>
        <scheme val="minor"/>
      </rPr>
      <t>Carex elata.</t>
    </r>
  </si>
  <si>
    <t>Ordenació, anàlisi i informatització de les dades de seguiment del patrimoni natural.</t>
  </si>
  <si>
    <t>Elaboració del catàleg d’espècies de flora i fauna de l’Espai Natural Protegit de l’Estany de Banyoles.</t>
  </si>
  <si>
    <t>Assistència a les reunions de formació i coordinació amb el SINATCAT.</t>
  </si>
  <si>
    <t xml:space="preserve">Establiment d'acords amb centres de recerca i formació universitària per l'ús d'instal·lacions.
</t>
  </si>
  <si>
    <t>Assistència a reunions de coordinació per la definició del sistema estàndard de seguiment de l'ús públic amb el Servei d'Espais Naturals Protegits de Catalunya.</t>
  </si>
  <si>
    <t>Establiment del protocol de recollida de dades de freqüentació i perfil d'usuari a l'ENP.</t>
  </si>
  <si>
    <t>Realització d'un catàleg sectoritzat d'activitats i grups d'interès de l'ENP.</t>
  </si>
  <si>
    <t>Realització d'un inventari georreferenciat de punts de massificació i mala praxis de usos i visitants.</t>
  </si>
  <si>
    <t>Creació d'una base de dades per el registre d'activitats lúdic-esportives a l'ENP.</t>
  </si>
  <si>
    <t>Realització d'un estudi dels impactes que generen les activitats d'ús públic a l'ENP des d'un punt de vista socioeconòmic i de conservació del patrimoni natural i cultural.</t>
  </si>
  <si>
    <t>Organització d'uns seminaris/jornada tècnica de formació del sector agrari per l'ús de pràctiques respectuoses amb la conservació del medi natural i cultural.</t>
  </si>
  <si>
    <t xml:space="preserve">Redacció d'un manual tècnic de bones pràctiques en ramaderia extensiva i recuperació i manteniment de pastures a l'ENP.
</t>
  </si>
  <si>
    <t xml:space="preserve">Redacció d'un manual tècnic de bones pràctiques per la recuperació i conservació de marges i punts d'aigua associats a la ramaderia i l'agricultura i d'interès per la biodiversitat a l'ENP
</t>
  </si>
  <si>
    <t>Creació i manteniment d'una base de dades amb el mapa d’agents socioeconòmics de l’ENP (sector primari i secundari).</t>
  </si>
  <si>
    <t>Establiment de canals de comunicació i coordinació amb els agents socioeconòmics clau del territori (sector primari i secundari).</t>
  </si>
  <si>
    <t>Elaboració d'una diagnosi del teixit productiu local i un pla d’acció amb línies de treball i actuacions concretes per donar-li suport.</t>
  </si>
  <si>
    <t>Redacció d'un Pla de vigilància i control de les espècies cinegètiques a les zones de seguretat i refugi de fauna salvatge (senglar, cabirol i conill).</t>
  </si>
  <si>
    <t>Revisió del Pla Tècnic de Gestió de la Pesca a l'Estany de Banyoles.</t>
  </si>
  <si>
    <t>Creació d'un nou refugi de fauna salvatge a l'estany de la Platja d'Espolla.</t>
  </si>
  <si>
    <t>Ampliació de la delimitació del refugi de fauna salvatge de Can Morgat.</t>
  </si>
  <si>
    <t>Aplicació del Pla de vigilància i control de les espècies cinegètiques a les zones de seguretat i refugi de fauna salvatge (senglar, cabirol i conill).</t>
  </si>
  <si>
    <t>Creació i manteniment d'una base de dades amb el mapa d’agents socioeconòmics de l’ENP (sector terciari).</t>
  </si>
  <si>
    <t xml:space="preserve">Establiment de canals de comunicació i coordinació amb els agents socioeconòmics clau del territori (sector terciari).
</t>
  </si>
  <si>
    <t>Redactar una proposta de directrius de protecció de marges dels camins i de regulació de tancats en el Sòl No Urbanitzable de l'ENP.</t>
  </si>
  <si>
    <t>Redacció d'un document de directrius tècniques de bones pràctiques per les activitats d'educació ambiental i el lleure educatiu.</t>
  </si>
  <si>
    <t>Assessorament i ajuda tècnica als ajuntaments i als serveis tècnics de la Generalitat en el procés d'autorització de curses i altres activitats esportives organitzades dins l'ENP.</t>
  </si>
  <si>
    <t>Assessorament i ajuda tècnica als ajuntaments i als serveis tècnics de la Generalitat en el procés d'autorització d'enregistraments i observació de fauna i natura dins l'ENP.</t>
  </si>
  <si>
    <t>Creació d'una base de dades cartogràfica de la xarxa d'itineraris oficial i categoritzada per tipus d'ús per on es poden realitzar activitats (curses a peu, en bicicleta, etc.).</t>
  </si>
  <si>
    <t>Incorporació dels itineraris i punts d'interès a Wikiloc i Google Maps.</t>
  </si>
  <si>
    <t>Vigilància del compliment de la normativa d'accés motoritzat al medi natural.</t>
  </si>
  <si>
    <t>Vigilància del compliment de la normativa regulatòria municipal.</t>
  </si>
  <si>
    <t>Assessorament i ajuda tècnica als ajuntaments i als serveis tècnics de la Generalitat en el procés d'autorització d'activitats científiques dins l'ENP.</t>
  </si>
  <si>
    <t>Impuls perquè la Generalitat redacti un protocol de directrius de regulació de drons, d'enlairament i aterratge a l'ENP.</t>
  </si>
  <si>
    <t>Treball conjunt amb els ajuntaments i vigilància del compliment de la normativa regulatòria municipal.</t>
  </si>
  <si>
    <t>Realització d'una formació tècnica i debat sobre el Manual jurídic d'ús públic entre l'equip del Consorci de l'Estany i els equips municipals per la seva adaptació a l'ENP (per la definició de guies de bones pràctiques).</t>
  </si>
  <si>
    <t>Realització i actualització una base de dades SIG de l'inventari de senyalètica de l'ENP.</t>
  </si>
  <si>
    <t>Redacció d'un programa per la instal·lació i manteniment de la senyalètica de l'ENP.</t>
  </si>
  <si>
    <t>Manteniment de la senyalització de l'ENP.</t>
  </si>
  <si>
    <t>Manteniment de la xarxa de camins i carreteres tant pel que fa a la vegetació dels marges com del ferm.</t>
  </si>
  <si>
    <t>Manteniment del mobiliari existent (passeres i ponts, miradors, senyals, tanques i barreres, papereres, etc.).</t>
  </si>
  <si>
    <t>Manteniment de la vegetació de prats i arbrat en zones concorregudes (segues d'alta intensitat, podes i retirada de restes vegetals).</t>
  </si>
  <si>
    <t>Participació en el manteniment de les infraestructures esportives dins l'aigua de l'Estany de Banyoles .</t>
  </si>
  <si>
    <t>Manteniment de la vegetació aquàtica en espais d'infraestructures esportives i d'activitats lúdic-esportives dins l'aigua de l'Estany de Banyoles.</t>
  </si>
  <si>
    <t>Redacció d'un document per l'adaptació dels equipaments i infraestructures a persones amb diversitat funcional.</t>
  </si>
  <si>
    <t>Redactar un protocol tècnic de col·laboració amb els cossos d’inspecció i seguretat (Identificació dels punts clau de vigilància, el calendari i els recursos necessaris) i actualització anual.</t>
  </si>
  <si>
    <t>Seguiment dels informes  que afecten l'ENP emesos pels Serveis Territorials de Girona (Direcció General) i dels ajuntaments.</t>
  </si>
  <si>
    <t xml:space="preserve">Elaboració d'un pla per definir el model de Xarxa d'Escoles de l'Espai Natura, agents educatius implicats i el projecte educatiu de l'ENP.
</t>
  </si>
  <si>
    <t>Contractació d'un tècnic especialitzat per desenvolupar el pla.</t>
  </si>
  <si>
    <t>Oferta de places a les Universitats i Centres Educatius per el desenvolupament de pràctiques curriculars i projectes de recerca i acompanyament de l'alumnat.</t>
  </si>
  <si>
    <t>Elaboració de materials per desenvolupar un curs de bon coneixedor de l'ENP.</t>
  </si>
  <si>
    <t>Participació en les campanyes de la Direcció General.</t>
  </si>
  <si>
    <t>Redacció d'un programa de divulgació i sensibilització de l'ENP (famílies).</t>
  </si>
  <si>
    <t xml:space="preserve">Redacció d'un programa de divulgació i sensibilització de l'ENP (empreses, grups excursionistes, gent gran, activitats ludico-esportives, etc.).
 </t>
  </si>
  <si>
    <t>Redacció d'un informe tècnic que identifiqui els programes, projectes i agents clau del voluntariat ambiental a l'ENP.</t>
  </si>
  <si>
    <t>Incorporació de la perspectiva de gènere als continguts i activitats de l'ENP.</t>
  </si>
  <si>
    <t>Assistència a les Taules territorials de Salut i Natura.</t>
  </si>
  <si>
    <t>Actualització i manteniment de l'apartat de la web dedicat a l'actualitat, projectes i publicacions.</t>
  </si>
  <si>
    <t xml:space="preserve">Elaboració de contingut per Instagram dels projectes i activitats d'interès.
</t>
  </si>
  <si>
    <t>Creació i manteniment d'un banc d’imatges i vídeos de l'ENP.</t>
  </si>
  <si>
    <t xml:space="preserve">Participació en seminaris i congressos.
</t>
  </si>
  <si>
    <t>Comunicació a través de notes de premsa o rodes de premsa als Mitjans de Comunicació de projectes i activitats d'interès pel públic general.</t>
  </si>
  <si>
    <t>Creació i manteniment d'un nou canal de comunicació via Instagram oficial del Consorci de l'Estany l'ENP.</t>
  </si>
  <si>
    <t>Promoure reunions de treball amb especialistes científics relatius a elements d'interès en la gestió de l'Espai Natural (per exemple: hidrogeologia, elements geològics, espècies protegides, espècies exòtiques invasores, patrimoni arqueològic, etc.).</t>
  </si>
  <si>
    <t>Aprovació del Pla Estratègic de l'Espai Natural Protegit de l'Estany de Banyoles i platja d'Espolla  pel  Consell Plenari del CES  (2026-2029).</t>
  </si>
  <si>
    <t>Redacció del Programa d'Actuacions anual.</t>
  </si>
  <si>
    <t>Aprovació del Programa d'Actuacions anual.</t>
  </si>
  <si>
    <t>Aprovació pressupost anual.</t>
  </si>
  <si>
    <t>Fiscalització de despeses.</t>
  </si>
  <si>
    <t>Auditoria comptable anual.</t>
  </si>
  <si>
    <t>Contractació conjunta de necessitats comunes (llum, telecomunicacions, assegurances, combustibles, seguiments, vigilància, etc.).</t>
  </si>
  <si>
    <t>Revisió amb una antelació mínima de 6 mesos les necessitats de contractació per augmentar l'eficiència de la tramitació i disposar d'un marge de maniobra davant qualsevol eventualitat.</t>
  </si>
  <si>
    <t xml:space="preserve">Prevenció amb una antelació mínima de 6 mesos les convocatòries d'ajuts per augmentar l'eficiència de la tramitació i disposar de marge de maniobra davant qualsevol eventualitat.
</t>
  </si>
  <si>
    <t>Treball amb SSCC per adaptar les convocatòries d'ajuts a les necessitats de l'ENP.</t>
  </si>
  <si>
    <t>Disposició d'un llistat actualitzat de convenis i altres instruments de col·laboració vigents i planificar les pròrrogues que es requereixin.</t>
  </si>
  <si>
    <t xml:space="preserve">Elaboració d'informes interns tècnics.
</t>
  </si>
  <si>
    <t xml:space="preserve">Elaboració d'informes interns de gestió administrativa.
</t>
  </si>
  <si>
    <t>Implementació de  bases de dades dels Serveis Centrals (SINATCAT, Harmony, etc).</t>
  </si>
  <si>
    <t>Renovació dels convenis caducats dins l'exercici.</t>
  </si>
  <si>
    <t>Establiment nous acords de col·laboració entre administracions, entitats privades i/o persones.</t>
  </si>
  <si>
    <t>Implementació i actualització del gestor d'expedients.</t>
  </si>
  <si>
    <t>Formació interna de l'equip administratiu i tècnic de l'ENP per adquirir coneixements bàsics en temes prioritaris (comptabilitat, contractació, tramitació electrònica, accessibilitat i transparència, propietat intel·lectual) i processos de tramitació (peticions informació genèrica, sol·licituds accés informació ambiental).</t>
  </si>
  <si>
    <t>Difusió o permís a l'accés a la informació pública (Seu electrònica i a la WEB).</t>
  </si>
  <si>
    <t>Atenció a les sol·licituds d'informació.</t>
  </si>
  <si>
    <t>Millora, manteniment dels equips informàtics i telecomunicacions i compra de material d'oficina.</t>
  </si>
  <si>
    <t>Reparació i millora del material de la brigada:  EPIs, vehicles, tractors, eines i equips de treball de camp.</t>
  </si>
  <si>
    <t xml:space="preserve">Actualització de l'inventari de béns patrimonials del Consorci de l'Estany.          </t>
  </si>
  <si>
    <t xml:space="preserve">Creació i actualització de l'inventari de les finques públiques en contracte de custòdia de gestió del Consorci de l'Estany. 
          </t>
  </si>
  <si>
    <t xml:space="preserve">Catalogació i digitalització del fons documental.
</t>
  </si>
  <si>
    <t xml:space="preserve">Permís a l'accessibilitat documental al web de documents d'interès.
</t>
  </si>
  <si>
    <t>Realització de reunions de la Comissió de direcció.</t>
  </si>
  <si>
    <t>Organització i planificació de tasques entre els membres de l'equip d'administració i tècnic.</t>
  </si>
  <si>
    <t>Actualització de les fitxes de classificació dels llocs de treballs.</t>
  </si>
  <si>
    <t>Procés selectiu pel nomenament d'un funcionari interí per programes.</t>
  </si>
  <si>
    <t>Regularització de les retribucions del personal del Consorci segons les directrius de l'ens d'adscripció.</t>
  </si>
  <si>
    <t>Substitució del personal per la causa que sigui.</t>
  </si>
  <si>
    <t>Benvinguda i formació del nou personal.</t>
  </si>
  <si>
    <t>Control temps de treball.</t>
  </si>
  <si>
    <t>Actualització anual de la valoració de riscos dels llocs de treball.</t>
  </si>
  <si>
    <t>Disposició de les fitxes de normes de seguretat personal i d'equips i de productes i posar-ho en coneixement als treballadors.</t>
  </si>
  <si>
    <t>OG 01</t>
  </si>
  <si>
    <t>OG 02</t>
  </si>
  <si>
    <t>OG 03</t>
  </si>
  <si>
    <t>OG 04</t>
  </si>
  <si>
    <t>OG 05</t>
  </si>
  <si>
    <t>OG 06</t>
  </si>
  <si>
    <t>OG 07</t>
  </si>
  <si>
    <t>OG 08</t>
  </si>
  <si>
    <t>OG 09</t>
  </si>
  <si>
    <t>OG 10</t>
  </si>
  <si>
    <t>OG 11</t>
  </si>
  <si>
    <t>OG 12</t>
  </si>
  <si>
    <t>OG 13</t>
  </si>
  <si>
    <t>OG 14</t>
  </si>
  <si>
    <t>OG 15</t>
  </si>
  <si>
    <t>OG 16</t>
  </si>
  <si>
    <t>Elaboració d'un pla de gestió de peixos autòctons protegits (Barbus meridionalis, Salariopsis fluviatilis i Gasterosteus aculeatus) i altres d'interès per a les nàiades.</t>
  </si>
  <si>
    <t xml:space="preserve">Redacció d'un instrument per l'ordenació forestal a favor de la conservació de la biodiversitat al paratge de les Estunes.
</t>
  </si>
  <si>
    <t xml:space="preserve">Redacció d'un instrument per l'ordenació forestal a favor de la conservació de la biodiversitat a la finca de Mas Torrentmal i puig Clarà.
</t>
  </si>
  <si>
    <t>Participació tècnica en la reordenació de l'entorn immediat de l'església de Santa Maria de Porqueres.</t>
  </si>
  <si>
    <t>Millora i manteniment de la font del Camp de Baix (can Morgat).</t>
  </si>
  <si>
    <t>Adequació i protecció de les mines del clot de les Deus (Porqueres).</t>
  </si>
  <si>
    <t xml:space="preserve">Foment i col.laboració en estudis del sistema hidrogoeològic de la zona lacustre de l'Estany de Banyoles.
</t>
  </si>
  <si>
    <t>Nombre participacions</t>
  </si>
  <si>
    <t xml:space="preserve">Realització d'un catàleg de espècies de la flora orientat al forment dels pol.linitzadors a l'ENP en diferents hàbitats i determinar espais per impulsar canvis d'usos.
</t>
  </si>
  <si>
    <t>Personal</t>
  </si>
  <si>
    <t>Administrativa de gestió</t>
  </si>
  <si>
    <t>Tècnic 1</t>
  </si>
  <si>
    <t>Tècnic 2</t>
  </si>
  <si>
    <t>Oficial 1a 1</t>
  </si>
  <si>
    <t>Oficial 1a 2</t>
  </si>
  <si>
    <t>Dies/any</t>
  </si>
  <si>
    <t>Caps de setmana</t>
  </si>
  <si>
    <t>Dies/Cap de setmana</t>
  </si>
  <si>
    <t>Vacances</t>
  </si>
  <si>
    <t>AP</t>
  </si>
  <si>
    <t>Festes administratives</t>
  </si>
  <si>
    <t>Dies laborables</t>
  </si>
  <si>
    <t>Hores totals</t>
  </si>
  <si>
    <t>Hores Jornada hivern</t>
  </si>
  <si>
    <t>Hores jornada estiu</t>
  </si>
  <si>
    <t>Dies periode hivern</t>
  </si>
  <si>
    <t>Dies periode estiu</t>
  </si>
  <si>
    <t xml:space="preserve"> </t>
  </si>
  <si>
    <t>Executar les mesures de gestió previstes en els plans de control i eradicació d'espècies exòtiques de forma coordinada amb el Servei de Flora i Fauna en l'àmbit de l'ENP</t>
  </si>
  <si>
    <t>Redacció del Pla tècnic de control de la flora exòtica invasora problemàtica a l'ENP.</t>
  </si>
  <si>
    <t>Execució del Pla tècnic de control de la flora exòtica invasora problemàtica a l'ENP.</t>
  </si>
  <si>
    <t xml:space="preserve">Trasllat de la informació recollida en el procés d'execució dels plans tècnics de control de les espècies exòtiques a Direcció General de Planificació Ambiental de la Generalitat de Catalunya. </t>
  </si>
  <si>
    <t>Restaurar la dinàmica natural dels rius i estanys.</t>
  </si>
  <si>
    <t>Exercir un seguiment efectiu de les obres a l'ENP juntament amb les Oficines Territorials d'Acció i Avaluació Ambiental als efectes d'assegurar la correcta translació de la tutela administrativa.</t>
  </si>
  <si>
    <t>Redacció d'un inventari de punts potencials d'emissió d'efluents agroramaders o urbans que afecten a l'ENP.</t>
  </si>
  <si>
    <t>Integrar el patrimoni cultural als itineraris i senyalètica de l'ENP.</t>
  </si>
  <si>
    <t>Tenir en compte en nova senyalètica els elements del patrimoni cultural i manteniment d'aquests elements a la senyalètica existent.</t>
  </si>
  <si>
    <t>Realització d'una cartografia de detall del conjunt de l'ENP per classificar les zones d'especial atenció per a la gestió i conservació del patrimoni natural i cultural.</t>
  </si>
  <si>
    <t>Realització d'un informe tècnic d'avaluació de les actuacions de control de les espècies de flora exòtica invasora i tendència a l'ENP.</t>
  </si>
  <si>
    <t>Realització d'un informe tècnic d'avaluació de les actuacions de control de les espècies de peixos exòtics invasors i tendència a l'ENP.</t>
  </si>
  <si>
    <t>Organització d'unes jornades sobre el patrimoni natural i la seva gestió a l'Espai Natural Protegit.</t>
  </si>
  <si>
    <t xml:space="preserve">Estudi del sistema de llacunes de can Morgat i del sector de la Puda al llarg del temps per avaluar els canvis en els procesos de colonització i la seva funcionalitat ecològica.
</t>
  </si>
  <si>
    <t>Establiment d'acords marc amb universitats per la realització de pràctiques o treballs de final de Grau o de Màster per a estudiants universitaris.</t>
  </si>
  <si>
    <t>Redacció del pla d’ordenació de l’acollida dels visitants i de participants en esdeveniments.</t>
  </si>
  <si>
    <t>Contractació de un tècnic especialitzat per formar i capacitar el personal de la XEEN.</t>
  </si>
  <si>
    <t xml:space="preserve">Contractació d'un tècnic especialitzat per desenvolupar el projecte educatiu de l'ENP.
</t>
  </si>
  <si>
    <t>Redacció de la proposta del  Pla Estratègic de l'Espai Natural Protegit de l'Estany de Banyoles i platja d'Espolla del CES (2026-2029).</t>
  </si>
  <si>
    <t>Redacció de la proposta del Pla Estratègic de l'Espai Natural Protegit de l'Estany de Banyoles i platja d'Espolla del CES (2029-2032).</t>
  </si>
  <si>
    <t>Aprovació de la nova Pla Estratègic de l'Espai Natural Protegit de l'Estany de Banyoles i platja d'Espolla pel Consell Plenari del CES (2029-2032).</t>
  </si>
  <si>
    <t>Redacció proposta pressupost anual.</t>
  </si>
  <si>
    <t>Aprovació del document de la Liquidació anual.</t>
  </si>
  <si>
    <t>Redacció del document de la Liquidació anual.</t>
  </si>
  <si>
    <t>Aprovació del document anual del Compte general.</t>
  </si>
  <si>
    <t>Redacció del document anual del Compte general.</t>
  </si>
  <si>
    <t>Participació en els espais de coordinació entre ENP per identificar les despeses comunes tramitables a càrrec del pressupost de la Direcció General de Planificació Ambiental (GENCAT).</t>
  </si>
  <si>
    <t>Optimització la comunicació i acompanyament durant els processos administratius amb els ens integrants del Consorci.</t>
  </si>
  <si>
    <t>Disposició de les assegurances de danys patrimonials (inclosos laboratori i magatzems), vehicles, embarcacions i de tercers.</t>
  </si>
  <si>
    <t>Disposició de l’acord de delegació de la prestació del servei de manteniment i jardineria de les propietats públiques o en règim de custòdia gestionades pel Consorci i el conveni de regulació de la delegació</t>
  </si>
  <si>
    <t xml:space="preserve">Vetllar perquè el Consorci disposi del personal necessari, amb la categoria adequada, per portar a terme les seves funcions.
</t>
  </si>
  <si>
    <t>Impuls i manteniment de la celebració anual de la Festa de l'Estany</t>
  </si>
  <si>
    <t>Número de publicacions</t>
  </si>
  <si>
    <t>2</t>
  </si>
  <si>
    <t>Editar números del conte d'en Blauet esgotats.</t>
  </si>
  <si>
    <t>Editar un nou conte d'en Blauet vinculat al Laboratori de nàiades de l'Espai Natural.</t>
  </si>
  <si>
    <t>Potenciar la inversió i la millora les instal·lacions del Laboratori de cria de nàiades de l’Estany de Banyoles</t>
  </si>
  <si>
    <t>Impulsar el Laboratori de cria de nàiades de l’Estany de Banyoles com un centre de recerca i producció de nàiades i peixos hostes a nivell Català.</t>
  </si>
  <si>
    <t>Cuenta de Propostes d'accions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</si>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</sst>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</font>
    <font>
      <u/>
      <sz val="11"/>
      <color theme="1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color rgb="FF222222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32">
    <fill>
      <patternFill patternType="none"/>
    </fill>
    <fill>
      <patternFill patternType="gray125"/>
    </fill>
    <fill>
      <patternFill patternType="solid">
        <fgColor rgb="FFBCBF00"/>
        <bgColor indexed="64"/>
      </patternFill>
    </fill>
    <fill>
      <patternFill patternType="solid">
        <fgColor rgb="FF00ABD4"/>
        <bgColor indexed="64"/>
      </patternFill>
    </fill>
    <fill>
      <patternFill patternType="solid">
        <fgColor rgb="FFF85C26"/>
        <bgColor indexed="64"/>
      </patternFill>
    </fill>
    <fill>
      <patternFill patternType="solid">
        <fgColor rgb="FFFABC2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94A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3D9B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3E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CF3"/>
        <bgColor indexed="64"/>
      </patternFill>
    </fill>
  </fills>
  <borders count="108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8"/>
      </left>
      <right/>
      <top style="thin">
        <color rgb="FF00B0F0"/>
      </top>
      <bottom/>
      <diagonal/>
    </border>
    <border>
      <left/>
      <right style="thin">
        <color theme="8"/>
      </right>
      <top style="thin">
        <color rgb="FF00B0F0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8497B0"/>
      </right>
      <top/>
      <bottom/>
      <diagonal/>
    </border>
    <border>
      <left style="thin">
        <color rgb="FF8497B0"/>
      </left>
      <right/>
      <top style="thin">
        <color rgb="FF8497B0"/>
      </top>
      <bottom/>
      <diagonal/>
    </border>
    <border>
      <left style="thin">
        <color rgb="FF8497B0"/>
      </left>
      <right/>
      <top/>
      <bottom/>
      <diagonal/>
    </border>
    <border>
      <left style="thin">
        <color rgb="FF8497B0"/>
      </left>
      <right/>
      <top style="thin">
        <color rgb="FF8497B0"/>
      </top>
      <bottom style="thin">
        <color rgb="FF8497B0"/>
      </bottom>
      <diagonal/>
    </border>
    <border>
      <left/>
      <right style="thin">
        <color rgb="FF8497B0"/>
      </right>
      <top style="thin">
        <color theme="3" tint="0.39994506668294322"/>
      </top>
      <bottom/>
      <diagonal/>
    </border>
    <border>
      <left style="thin">
        <color rgb="FF8497B0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 style="thin">
        <color rgb="FF8497B0"/>
      </left>
      <right/>
      <top/>
      <bottom style="thin">
        <color theme="3" tint="0.39994506668294322"/>
      </bottom>
      <diagonal/>
    </border>
    <border>
      <left/>
      <right style="thin">
        <color theme="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6"/>
      </bottom>
      <diagonal/>
    </border>
    <border>
      <left style="thin">
        <color theme="4"/>
      </left>
      <right/>
      <top style="thin">
        <color theme="5"/>
      </top>
      <bottom style="thin">
        <color theme="4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/>
      <right style="thin">
        <color theme="8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 style="thin">
        <color theme="8"/>
      </right>
      <top/>
      <bottom style="thin">
        <color theme="8" tint="-0.24994659260841701"/>
      </bottom>
      <diagonal/>
    </border>
    <border>
      <left/>
      <right/>
      <top/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/>
      <top/>
      <bottom style="thin">
        <color theme="5"/>
      </bottom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9"/>
      </top>
      <bottom/>
      <diagonal/>
    </border>
    <border>
      <left/>
      <right/>
      <top/>
      <bottom style="thin">
        <color theme="3" tint="0.39994506668294322"/>
      </bottom>
      <diagonal/>
    </border>
    <border>
      <left/>
      <right/>
      <top style="thin">
        <color rgb="FF8497B0"/>
      </top>
      <bottom/>
      <diagonal/>
    </border>
    <border>
      <left/>
      <right/>
      <top style="thin">
        <color rgb="FF8497B0"/>
      </top>
      <bottom style="thin">
        <color rgb="FF8497B0"/>
      </bottom>
      <diagonal/>
    </border>
    <border>
      <left/>
      <right/>
      <top/>
      <bottom style="thin">
        <color rgb="FF8497B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B0F0"/>
      </top>
      <bottom/>
      <diagonal/>
    </border>
    <border>
      <left/>
      <right style="thin">
        <color indexed="64"/>
      </right>
      <top/>
      <bottom style="thin">
        <color rgb="FF00B0F0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thin">
        <color indexed="64"/>
      </right>
      <top style="thin">
        <color theme="6"/>
      </top>
      <bottom/>
      <diagonal/>
    </border>
    <border>
      <left/>
      <right style="thin">
        <color indexed="64"/>
      </right>
      <top/>
      <bottom style="thin">
        <color theme="6"/>
      </bottom>
      <diagonal/>
    </border>
    <border>
      <left style="thin">
        <color theme="4"/>
      </left>
      <right/>
      <top/>
      <bottom style="thin">
        <color theme="6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5"/>
      </bottom>
      <diagonal/>
    </border>
    <border>
      <left/>
      <right style="thin">
        <color indexed="64"/>
      </right>
      <top style="thin">
        <color theme="5"/>
      </top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 style="thin">
        <color theme="3" tint="0.39994506668294322"/>
      </bottom>
      <diagonal/>
    </border>
    <border>
      <left/>
      <right style="thin">
        <color rgb="FF8497B0"/>
      </right>
      <top/>
      <bottom style="thin">
        <color theme="3" tint="0.39994506668294322"/>
      </bottom>
      <diagonal/>
    </border>
    <border>
      <left style="thin">
        <color theme="9"/>
      </left>
      <right/>
      <top/>
      <bottom style="thin">
        <color theme="3" tint="0.39994506668294322"/>
      </bottom>
      <diagonal/>
    </border>
    <border>
      <left/>
      <right style="thin">
        <color indexed="64"/>
      </right>
      <top style="thin">
        <color theme="9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3">
    <xf numFmtId="0" fontId="0" fillId="0" borderId="0"/>
    <xf numFmtId="0" fontId="21" fillId="0" borderId="0"/>
    <xf numFmtId="0" fontId="29" fillId="0" borderId="0" applyNumberFormat="0" applyFill="0" applyBorder="0" applyAlignment="0" applyProtection="0"/>
  </cellStyleXfs>
  <cellXfs count="454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49" fontId="4" fillId="7" borderId="0" xfId="0" applyNumberFormat="1" applyFont="1" applyFill="1" applyAlignment="1">
      <alignment horizontal="center" vertical="top" wrapText="1"/>
    </xf>
    <xf numFmtId="49" fontId="3" fillId="13" borderId="18" xfId="0" applyNumberFormat="1" applyFont="1" applyFill="1" applyBorder="1" applyAlignment="1">
      <alignment horizontal="center" vertical="center" wrapText="1"/>
    </xf>
    <xf numFmtId="49" fontId="3" fillId="17" borderId="3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1" borderId="35" xfId="0" applyFont="1" applyFill="1" applyBorder="1" applyAlignment="1">
      <alignment vertical="center" wrapText="1"/>
    </xf>
    <xf numFmtId="49" fontId="3" fillId="21" borderId="35" xfId="0" applyNumberFormat="1" applyFont="1" applyFill="1" applyBorder="1" applyAlignment="1">
      <alignment horizontal="center" vertical="center" wrapText="1"/>
    </xf>
    <xf numFmtId="0" fontId="3" fillId="23" borderId="41" xfId="0" applyFont="1" applyFill="1" applyBorder="1" applyAlignment="1">
      <alignment horizontal="center" vertical="center" wrapText="1"/>
    </xf>
    <xf numFmtId="0" fontId="3" fillId="23" borderId="39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6" borderId="1" xfId="0" applyNumberFormat="1" applyFont="1" applyFill="1" applyBorder="1" applyAlignment="1">
      <alignment horizontal="center" vertical="top" wrapText="1"/>
    </xf>
    <xf numFmtId="49" fontId="4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top" wrapText="1"/>
    </xf>
    <xf numFmtId="49" fontId="4" fillId="5" borderId="0" xfId="0" applyNumberFormat="1" applyFont="1" applyFill="1" applyAlignment="1">
      <alignment horizontal="center" vertical="top" wrapText="1"/>
    </xf>
    <xf numFmtId="0" fontId="3" fillId="15" borderId="26" xfId="0" applyFont="1" applyFill="1" applyBorder="1" applyAlignment="1">
      <alignment horizontal="center" vertical="top"/>
    </xf>
    <xf numFmtId="0" fontId="3" fillId="15" borderId="23" xfId="0" applyFont="1" applyFill="1" applyBorder="1" applyAlignment="1">
      <alignment horizontal="center" vertical="top"/>
    </xf>
    <xf numFmtId="0" fontId="3" fillId="9" borderId="7" xfId="0" applyFont="1" applyFill="1" applyBorder="1" applyAlignment="1">
      <alignment horizontal="center" vertical="top"/>
    </xf>
    <xf numFmtId="0" fontId="3" fillId="9" borderId="8" xfId="0" applyFont="1" applyFill="1" applyBorder="1" applyAlignment="1">
      <alignment horizontal="center" vertical="top"/>
    </xf>
    <xf numFmtId="0" fontId="3" fillId="14" borderId="13" xfId="0" applyFont="1" applyFill="1" applyBorder="1" applyAlignment="1">
      <alignment horizontal="center" vertical="top"/>
    </xf>
    <xf numFmtId="0" fontId="3" fillId="14" borderId="14" xfId="0" applyFont="1" applyFill="1" applyBorder="1" applyAlignment="1">
      <alignment horizontal="left" vertical="top" wrapText="1"/>
    </xf>
    <xf numFmtId="0" fontId="3" fillId="11" borderId="11" xfId="0" applyFont="1" applyFill="1" applyBorder="1" applyAlignment="1">
      <alignment horizontal="left" vertical="top" wrapText="1"/>
    </xf>
    <xf numFmtId="0" fontId="3" fillId="11" borderId="12" xfId="0" applyFont="1" applyFill="1" applyBorder="1" applyAlignment="1">
      <alignment horizontal="center" vertical="top"/>
    </xf>
    <xf numFmtId="0" fontId="3" fillId="23" borderId="38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vertical="top" wrapText="1"/>
    </xf>
    <xf numFmtId="0" fontId="3" fillId="14" borderId="13" xfId="0" applyFont="1" applyFill="1" applyBorder="1" applyAlignment="1">
      <alignment vertical="top"/>
    </xf>
    <xf numFmtId="0" fontId="3" fillId="14" borderId="15" xfId="0" applyFont="1" applyFill="1" applyBorder="1" applyAlignment="1">
      <alignment vertical="top"/>
    </xf>
    <xf numFmtId="0" fontId="3" fillId="15" borderId="25" xfId="0" applyFont="1" applyFill="1" applyBorder="1" applyAlignment="1">
      <alignment vertical="top"/>
    </xf>
    <xf numFmtId="49" fontId="3" fillId="16" borderId="21" xfId="0" applyNumberFormat="1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vertical="top" wrapText="1"/>
    </xf>
    <xf numFmtId="0" fontId="3" fillId="14" borderId="16" xfId="0" applyFont="1" applyFill="1" applyBorder="1" applyAlignment="1">
      <alignment vertical="top" wrapText="1"/>
    </xf>
    <xf numFmtId="0" fontId="3" fillId="11" borderId="10" xfId="0" applyFont="1" applyFill="1" applyBorder="1" applyAlignment="1">
      <alignment vertical="top"/>
    </xf>
    <xf numFmtId="0" fontId="3" fillId="15" borderId="22" xfId="0" applyFont="1" applyFill="1" applyBorder="1" applyAlignment="1">
      <alignment vertical="top" wrapText="1"/>
    </xf>
    <xf numFmtId="0" fontId="3" fillId="20" borderId="44" xfId="0" applyFont="1" applyFill="1" applyBorder="1" applyAlignment="1">
      <alignment vertical="top" wrapText="1"/>
    </xf>
    <xf numFmtId="0" fontId="3" fillId="20" borderId="45" xfId="0" applyFont="1" applyFill="1" applyBorder="1" applyAlignment="1">
      <alignment vertical="top" wrapText="1"/>
    </xf>
    <xf numFmtId="0" fontId="3" fillId="20" borderId="47" xfId="0" applyFont="1" applyFill="1" applyBorder="1" applyAlignment="1">
      <alignment vertical="top"/>
    </xf>
    <xf numFmtId="0" fontId="3" fillId="20" borderId="48" xfId="0" applyFont="1" applyFill="1" applyBorder="1" applyAlignment="1">
      <alignment vertical="top"/>
    </xf>
    <xf numFmtId="0" fontId="3" fillId="15" borderId="55" xfId="0" applyFont="1" applyFill="1" applyBorder="1" applyAlignment="1">
      <alignment horizontal="center" vertical="top" wrapText="1"/>
    </xf>
    <xf numFmtId="0" fontId="3" fillId="15" borderId="56" xfId="0" applyFont="1" applyFill="1" applyBorder="1" applyAlignment="1">
      <alignment horizontal="center" vertical="top" wrapText="1"/>
    </xf>
    <xf numFmtId="0" fontId="3" fillId="15" borderId="57" xfId="0" applyFont="1" applyFill="1" applyBorder="1" applyAlignment="1">
      <alignment horizontal="center" vertical="top" wrapText="1"/>
    </xf>
    <xf numFmtId="0" fontId="3" fillId="15" borderId="58" xfId="0" applyFont="1" applyFill="1" applyBorder="1" applyAlignment="1">
      <alignment horizontal="center" vertical="top" wrapText="1"/>
    </xf>
    <xf numFmtId="0" fontId="3" fillId="22" borderId="40" xfId="0" applyFont="1" applyFill="1" applyBorder="1" applyAlignment="1">
      <alignment vertical="top" wrapText="1"/>
    </xf>
    <xf numFmtId="0" fontId="3" fillId="22" borderId="36" xfId="0" applyFont="1" applyFill="1" applyBorder="1" applyAlignment="1">
      <alignment vertical="top" wrapText="1"/>
    </xf>
    <xf numFmtId="0" fontId="3" fillId="19" borderId="42" xfId="0" applyFont="1" applyFill="1" applyBorder="1" applyAlignment="1">
      <alignment vertical="top"/>
    </xf>
    <xf numFmtId="0" fontId="0" fillId="0" borderId="0" xfId="0" applyAlignment="1">
      <alignment wrapText="1"/>
    </xf>
    <xf numFmtId="0" fontId="3" fillId="0" borderId="60" xfId="0" applyFont="1" applyBorder="1" applyAlignment="1">
      <alignment vertical="top" wrapText="1"/>
    </xf>
    <xf numFmtId="49" fontId="16" fillId="0" borderId="0" xfId="0" applyNumberFormat="1" applyFont="1" applyAlignment="1">
      <alignment horizontal="left"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49" fontId="16" fillId="0" borderId="0" xfId="0" applyNumberFormat="1" applyFont="1" applyAlignment="1">
      <alignment horizontal="center" vertical="top" wrapText="1"/>
    </xf>
    <xf numFmtId="49" fontId="16" fillId="0" borderId="0" xfId="0" applyNumberFormat="1" applyFont="1" applyAlignment="1">
      <alignment horizontal="right" vertical="top"/>
    </xf>
    <xf numFmtId="0" fontId="4" fillId="18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/>
    </xf>
    <xf numFmtId="49" fontId="5" fillId="18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10" borderId="9" xfId="0" applyFont="1" applyFill="1" applyBorder="1" applyAlignment="1">
      <alignment vertical="center" wrapText="1"/>
    </xf>
    <xf numFmtId="0" fontId="3" fillId="13" borderId="20" xfId="0" applyFont="1" applyFill="1" applyBorder="1" applyAlignment="1">
      <alignment vertical="center" wrapText="1"/>
    </xf>
    <xf numFmtId="0" fontId="6" fillId="16" borderId="63" xfId="0" applyFont="1" applyFill="1" applyBorder="1" applyAlignment="1">
      <alignment vertical="center" wrapText="1"/>
    </xf>
    <xf numFmtId="0" fontId="3" fillId="17" borderId="34" xfId="0" applyFont="1" applyFill="1" applyBorder="1" applyAlignment="1">
      <alignment horizontal="left" vertical="center" wrapText="1"/>
    </xf>
    <xf numFmtId="0" fontId="3" fillId="23" borderId="42" xfId="0" applyFont="1" applyFill="1" applyBorder="1" applyAlignment="1">
      <alignment horizontal="left" vertical="center" wrapText="1"/>
    </xf>
    <xf numFmtId="0" fontId="3" fillId="23" borderId="68" xfId="0" applyFont="1" applyFill="1" applyBorder="1" applyAlignment="1">
      <alignment vertical="center" wrapText="1"/>
    </xf>
    <xf numFmtId="0" fontId="3" fillId="23" borderId="0" xfId="0" applyFont="1" applyFill="1" applyAlignment="1">
      <alignment vertical="center" wrapText="1"/>
    </xf>
    <xf numFmtId="0" fontId="3" fillId="23" borderId="0" xfId="0" applyFont="1" applyFill="1" applyAlignment="1">
      <alignment horizontal="left" vertical="center" wrapText="1"/>
    </xf>
    <xf numFmtId="0" fontId="3" fillId="23" borderId="69" xfId="0" applyFont="1" applyFill="1" applyBorder="1" applyAlignment="1">
      <alignment vertical="center" wrapText="1"/>
    </xf>
    <xf numFmtId="0" fontId="5" fillId="18" borderId="60" xfId="0" applyFont="1" applyFill="1" applyBorder="1" applyAlignment="1">
      <alignment horizontal="center" vertical="center" wrapText="1"/>
    </xf>
    <xf numFmtId="0" fontId="5" fillId="18" borderId="60" xfId="0" applyFont="1" applyFill="1" applyBorder="1" applyAlignment="1">
      <alignment horizontal="center" vertical="center"/>
    </xf>
    <xf numFmtId="0" fontId="5" fillId="0" borderId="60" xfId="0" applyFont="1" applyBorder="1" applyAlignment="1">
      <alignment horizontal="left" vertical="center" wrapText="1"/>
    </xf>
    <xf numFmtId="0" fontId="5" fillId="0" borderId="60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/>
    </xf>
    <xf numFmtId="0" fontId="4" fillId="18" borderId="60" xfId="0" applyFont="1" applyFill="1" applyBorder="1" applyAlignment="1">
      <alignment horizontal="center" vertical="center"/>
    </xf>
    <xf numFmtId="0" fontId="4" fillId="18" borderId="60" xfId="0" applyFont="1" applyFill="1" applyBorder="1" applyAlignment="1">
      <alignment horizontal="center" vertical="center" wrapText="1"/>
    </xf>
    <xf numFmtId="0" fontId="3" fillId="18" borderId="60" xfId="0" applyFont="1" applyFill="1" applyBorder="1" applyAlignment="1">
      <alignment horizontal="center" vertical="center" wrapText="1"/>
    </xf>
    <xf numFmtId="0" fontId="3" fillId="18" borderId="60" xfId="0" applyFont="1" applyFill="1" applyBorder="1" applyAlignment="1">
      <alignment horizontal="left" vertical="center" wrapText="1"/>
    </xf>
    <xf numFmtId="0" fontId="3" fillId="18" borderId="60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left" vertical="center" wrapText="1"/>
    </xf>
    <xf numFmtId="0" fontId="3" fillId="0" borderId="60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18" borderId="60" xfId="0" applyFill="1" applyBorder="1" applyAlignment="1">
      <alignment horizontal="center" vertical="center"/>
    </xf>
    <xf numFmtId="0" fontId="0" fillId="18" borderId="60" xfId="0" applyFill="1" applyBorder="1" applyAlignment="1">
      <alignment horizontal="left" vertical="center" wrapText="1"/>
    </xf>
    <xf numFmtId="0" fontId="0" fillId="0" borderId="60" xfId="0" applyBorder="1" applyAlignment="1">
      <alignment vertical="top"/>
    </xf>
    <xf numFmtId="0" fontId="3" fillId="0" borderId="60" xfId="0" applyFont="1" applyBorder="1" applyAlignment="1">
      <alignment vertical="top"/>
    </xf>
    <xf numFmtId="0" fontId="1" fillId="18" borderId="60" xfId="0" applyFont="1" applyFill="1" applyBorder="1" applyAlignment="1">
      <alignment horizontal="left" vertical="center" wrapText="1"/>
    </xf>
    <xf numFmtId="0" fontId="0" fillId="18" borderId="60" xfId="0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11" fillId="18" borderId="60" xfId="0" applyFont="1" applyFill="1" applyBorder="1" applyAlignment="1">
      <alignment horizontal="left" vertical="center" wrapText="1"/>
    </xf>
    <xf numFmtId="0" fontId="3" fillId="0" borderId="60" xfId="0" applyFont="1" applyBorder="1" applyAlignment="1">
      <alignment horizontal="left" vertical="top" wrapText="1"/>
    </xf>
    <xf numFmtId="0" fontId="3" fillId="0" borderId="60" xfId="0" quotePrefix="1" applyFont="1" applyBorder="1" applyAlignment="1">
      <alignment vertical="top" wrapText="1"/>
    </xf>
    <xf numFmtId="0" fontId="6" fillId="0" borderId="60" xfId="0" applyFont="1" applyBorder="1" applyAlignment="1">
      <alignment vertical="top"/>
    </xf>
    <xf numFmtId="0" fontId="8" fillId="0" borderId="60" xfId="0" applyFont="1" applyBorder="1" applyAlignment="1">
      <alignment vertical="top" wrapText="1"/>
    </xf>
    <xf numFmtId="0" fontId="11" fillId="18" borderId="60" xfId="0" applyFont="1" applyFill="1" applyBorder="1" applyAlignment="1">
      <alignment horizontal="center" vertical="center" wrapText="1"/>
    </xf>
    <xf numFmtId="0" fontId="11" fillId="0" borderId="60" xfId="0" applyFont="1" applyBorder="1" applyAlignment="1">
      <alignment vertical="top" wrapText="1"/>
    </xf>
    <xf numFmtId="0" fontId="10" fillId="18" borderId="60" xfId="0" applyFont="1" applyFill="1" applyBorder="1" applyAlignment="1">
      <alignment horizontal="left" vertical="center" wrapText="1"/>
    </xf>
    <xf numFmtId="0" fontId="9" fillId="0" borderId="60" xfId="0" applyFont="1" applyBorder="1" applyAlignment="1">
      <alignment vertical="top" wrapText="1"/>
    </xf>
    <xf numFmtId="0" fontId="11" fillId="18" borderId="60" xfId="0" applyFont="1" applyFill="1" applyBorder="1" applyAlignment="1">
      <alignment horizontal="center" vertical="center"/>
    </xf>
    <xf numFmtId="0" fontId="6" fillId="18" borderId="60" xfId="0" applyFont="1" applyFill="1" applyBorder="1" applyAlignment="1">
      <alignment horizontal="left" vertical="center" wrapText="1"/>
    </xf>
    <xf numFmtId="0" fontId="0" fillId="0" borderId="60" xfId="0" applyBorder="1" applyAlignment="1">
      <alignment vertical="top" wrapText="1"/>
    </xf>
    <xf numFmtId="0" fontId="4" fillId="0" borderId="60" xfId="0" applyFont="1" applyBorder="1" applyAlignment="1">
      <alignment horizontal="center" vertical="center" wrapText="1"/>
    </xf>
    <xf numFmtId="0" fontId="6" fillId="0" borderId="60" xfId="0" applyFont="1" applyBorder="1" applyAlignment="1">
      <alignment vertical="top" wrapText="1"/>
    </xf>
    <xf numFmtId="0" fontId="4" fillId="24" borderId="0" xfId="0" applyFont="1" applyFill="1" applyAlignment="1">
      <alignment wrapText="1"/>
    </xf>
    <xf numFmtId="0" fontId="0" fillId="24" borderId="0" xfId="0" applyFill="1" applyAlignment="1">
      <alignment wrapText="1"/>
    </xf>
    <xf numFmtId="0" fontId="4" fillId="24" borderId="0" xfId="0" applyFont="1" applyFill="1"/>
    <xf numFmtId="0" fontId="20" fillId="0" borderId="0" xfId="0" applyFont="1"/>
    <xf numFmtId="0" fontId="4" fillId="0" borderId="0" xfId="0" applyFont="1"/>
    <xf numFmtId="0" fontId="15" fillId="0" borderId="0" xfId="0" applyFont="1"/>
    <xf numFmtId="0" fontId="0" fillId="0" borderId="60" xfId="0" applyBorder="1"/>
    <xf numFmtId="0" fontId="0" fillId="0" borderId="74" xfId="0" applyBorder="1"/>
    <xf numFmtId="0" fontId="15" fillId="0" borderId="75" xfId="0" applyFont="1" applyBorder="1" applyAlignment="1">
      <alignment horizontal="center"/>
    </xf>
    <xf numFmtId="0" fontId="15" fillId="0" borderId="76" xfId="0" applyFont="1" applyBorder="1" applyAlignment="1">
      <alignment horizontal="center"/>
    </xf>
    <xf numFmtId="0" fontId="15" fillId="0" borderId="77" xfId="0" applyFont="1" applyBorder="1" applyAlignment="1">
      <alignment horizontal="center" wrapText="1"/>
    </xf>
    <xf numFmtId="0" fontId="22" fillId="0" borderId="0" xfId="1" applyFont="1" applyAlignment="1">
      <alignment vertical="center"/>
    </xf>
    <xf numFmtId="0" fontId="23" fillId="0" borderId="0" xfId="1" applyFont="1" applyAlignment="1">
      <alignment horizontal="left" vertical="center"/>
    </xf>
    <xf numFmtId="0" fontId="23" fillId="0" borderId="0" xfId="1" applyFont="1" applyAlignment="1">
      <alignment vertical="center"/>
    </xf>
    <xf numFmtId="0" fontId="23" fillId="0" borderId="0" xfId="1" applyFont="1" applyAlignment="1">
      <alignment vertical="center" wrapText="1"/>
    </xf>
    <xf numFmtId="0" fontId="21" fillId="0" borderId="0" xfId="1"/>
    <xf numFmtId="0" fontId="24" fillId="0" borderId="0" xfId="1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7" fillId="25" borderId="0" xfId="1" applyFont="1" applyFill="1" applyAlignment="1">
      <alignment horizontal="center" vertical="top" wrapText="1"/>
    </xf>
    <xf numFmtId="0" fontId="7" fillId="25" borderId="0" xfId="1" applyFont="1" applyFill="1" applyAlignment="1">
      <alignment horizontal="left" vertical="top" wrapText="1"/>
    </xf>
    <xf numFmtId="0" fontId="7" fillId="25" borderId="0" xfId="1" applyFont="1" applyFill="1" applyAlignment="1">
      <alignment vertical="top" wrapText="1"/>
    </xf>
    <xf numFmtId="0" fontId="23" fillId="0" borderId="0" xfId="1" applyFont="1" applyAlignment="1">
      <alignment horizontal="center" vertical="top" wrapText="1"/>
    </xf>
    <xf numFmtId="0" fontId="23" fillId="0" borderId="0" xfId="1" applyFont="1" applyAlignment="1">
      <alignment vertical="top" wrapText="1"/>
    </xf>
    <xf numFmtId="0" fontId="23" fillId="0" borderId="0" xfId="1" applyFont="1" applyAlignment="1">
      <alignment vertical="top"/>
    </xf>
    <xf numFmtId="0" fontId="27" fillId="26" borderId="0" xfId="1" applyFont="1" applyFill="1" applyAlignment="1">
      <alignment horizontal="center" vertical="top" wrapText="1"/>
    </xf>
    <xf numFmtId="0" fontId="23" fillId="0" borderId="0" xfId="1" applyFont="1" applyAlignment="1">
      <alignment horizontal="left" vertical="top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0" fontId="23" fillId="0" borderId="0" xfId="1" applyFont="1" applyAlignment="1">
      <alignment horizontal="center" vertical="center" wrapText="1"/>
    </xf>
    <xf numFmtId="0" fontId="28" fillId="26" borderId="0" xfId="1" applyFont="1" applyFill="1" applyAlignment="1">
      <alignment horizontal="center" vertical="center" wrapText="1"/>
    </xf>
    <xf numFmtId="0" fontId="0" fillId="0" borderId="74" xfId="0" applyBorder="1" applyAlignment="1">
      <alignment wrapText="1"/>
    </xf>
    <xf numFmtId="0" fontId="15" fillId="0" borderId="76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80" xfId="0" applyBorder="1"/>
    <xf numFmtId="0" fontId="4" fillId="16" borderId="83" xfId="0" applyFont="1" applyFill="1" applyBorder="1"/>
    <xf numFmtId="0" fontId="4" fillId="16" borderId="84" xfId="0" applyFont="1" applyFill="1" applyBorder="1"/>
    <xf numFmtId="0" fontId="0" fillId="0" borderId="85" xfId="0" applyBorder="1"/>
    <xf numFmtId="0" fontId="29" fillId="0" borderId="0" xfId="2"/>
    <xf numFmtId="0" fontId="19" fillId="0" borderId="0" xfId="0" applyFont="1" applyAlignment="1">
      <alignment wrapText="1"/>
    </xf>
    <xf numFmtId="0" fontId="18" fillId="18" borderId="60" xfId="0" applyFont="1" applyFill="1" applyBorder="1" applyAlignment="1">
      <alignment vertical="top" wrapText="1"/>
    </xf>
    <xf numFmtId="0" fontId="0" fillId="0" borderId="60" xfId="0" applyBorder="1" applyAlignment="1">
      <alignment wrapText="1"/>
    </xf>
    <xf numFmtId="9" fontId="8" fillId="0" borderId="60" xfId="0" applyNumberFormat="1" applyFont="1" applyBorder="1" applyAlignment="1">
      <alignment horizontal="center" vertical="top" wrapText="1"/>
    </xf>
    <xf numFmtId="0" fontId="8" fillId="0" borderId="60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79" xfId="0" applyBorder="1" applyAlignment="1">
      <alignment horizontal="center"/>
    </xf>
    <xf numFmtId="0" fontId="4" fillId="16" borderId="83" xfId="0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4" fillId="16" borderId="86" xfId="0" applyFont="1" applyFill="1" applyBorder="1" applyAlignment="1">
      <alignment wrapText="1"/>
    </xf>
    <xf numFmtId="0" fontId="0" fillId="0" borderId="60" xfId="0" applyBorder="1" applyAlignment="1">
      <alignment horizontal="center" wrapText="1"/>
    </xf>
    <xf numFmtId="0" fontId="3" fillId="10" borderId="61" xfId="0" applyFont="1" applyFill="1" applyBorder="1" applyAlignment="1">
      <alignment horizontal="left" vertical="center" wrapText="1"/>
    </xf>
    <xf numFmtId="49" fontId="3" fillId="10" borderId="6" xfId="0" applyNumberFormat="1" applyFont="1" applyFill="1" applyBorder="1" applyAlignment="1">
      <alignment horizontal="center" vertical="center" wrapText="1"/>
    </xf>
    <xf numFmtId="49" fontId="3" fillId="10" borderId="7" xfId="0" applyNumberFormat="1" applyFont="1" applyFill="1" applyBorder="1" applyAlignment="1">
      <alignment horizontal="center" vertical="center" wrapText="1"/>
    </xf>
    <xf numFmtId="0" fontId="3" fillId="23" borderId="37" xfId="0" applyFont="1" applyFill="1" applyBorder="1" applyAlignment="1">
      <alignment horizontal="center" vertical="center" wrapText="1"/>
    </xf>
    <xf numFmtId="0" fontId="3" fillId="23" borderId="68" xfId="0" applyFont="1" applyFill="1" applyBorder="1" applyAlignment="1">
      <alignment horizontal="left" vertical="center" wrapText="1"/>
    </xf>
    <xf numFmtId="0" fontId="3" fillId="23" borderId="70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center" vertical="top"/>
    </xf>
    <xf numFmtId="0" fontId="3" fillId="9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top" wrapText="1"/>
    </xf>
    <xf numFmtId="0" fontId="3" fillId="21" borderId="0" xfId="0" applyFont="1" applyFill="1" applyAlignment="1">
      <alignment horizontal="left" vertical="center" wrapText="1"/>
    </xf>
    <xf numFmtId="49" fontId="3" fillId="10" borderId="8" xfId="0" applyNumberFormat="1" applyFont="1" applyFill="1" applyBorder="1" applyAlignment="1">
      <alignment horizontal="center" vertical="center" wrapText="1"/>
    </xf>
    <xf numFmtId="0" fontId="3" fillId="18" borderId="31" xfId="0" applyFont="1" applyFill="1" applyBorder="1" applyAlignment="1">
      <alignment horizontal="left" vertical="top" wrapText="1"/>
    </xf>
    <xf numFmtId="0" fontId="3" fillId="17" borderId="0" xfId="0" applyFont="1" applyFill="1" applyAlignment="1">
      <alignment horizontal="left" vertical="center" wrapText="1"/>
    </xf>
    <xf numFmtId="0" fontId="3" fillId="17" borderId="59" xfId="0" applyFont="1" applyFill="1" applyBorder="1" applyAlignment="1">
      <alignment horizontal="left" vertical="center" wrapText="1"/>
    </xf>
    <xf numFmtId="49" fontId="3" fillId="17" borderId="30" xfId="0" applyNumberFormat="1" applyFont="1" applyFill="1" applyBorder="1" applyAlignment="1">
      <alignment horizontal="center" vertical="center" wrapText="1"/>
    </xf>
    <xf numFmtId="49" fontId="3" fillId="17" borderId="32" xfId="0" applyNumberFormat="1" applyFont="1" applyFill="1" applyBorder="1" applyAlignment="1">
      <alignment horizontal="center" vertical="center" wrapText="1"/>
    </xf>
    <xf numFmtId="0" fontId="3" fillId="13" borderId="63" xfId="0" applyFont="1" applyFill="1" applyBorder="1" applyAlignment="1">
      <alignment horizontal="left" vertical="center" wrapText="1"/>
    </xf>
    <xf numFmtId="0" fontId="3" fillId="13" borderId="64" xfId="0" applyFont="1" applyFill="1" applyBorder="1" applyAlignment="1">
      <alignment horizontal="left" vertical="center" wrapText="1"/>
    </xf>
    <xf numFmtId="0" fontId="3" fillId="14" borderId="15" xfId="0" applyFont="1" applyFill="1" applyBorder="1" applyAlignment="1">
      <alignment horizontal="center" vertical="top"/>
    </xf>
    <xf numFmtId="49" fontId="3" fillId="13" borderId="13" xfId="0" applyNumberFormat="1" applyFont="1" applyFill="1" applyBorder="1" applyAlignment="1">
      <alignment horizontal="center" vertical="center" wrapText="1"/>
    </xf>
    <xf numFmtId="49" fontId="3" fillId="13" borderId="15" xfId="0" applyNumberFormat="1" applyFont="1" applyFill="1" applyBorder="1" applyAlignment="1">
      <alignment horizontal="center" vertical="center" wrapText="1"/>
    </xf>
    <xf numFmtId="49" fontId="3" fillId="13" borderId="17" xfId="0" applyNumberFormat="1" applyFont="1" applyFill="1" applyBorder="1" applyAlignment="1">
      <alignment horizontal="center" vertical="center" wrapText="1"/>
    </xf>
    <xf numFmtId="0" fontId="6" fillId="17" borderId="66" xfId="0" applyFont="1" applyFill="1" applyBorder="1" applyAlignment="1">
      <alignment horizontal="left" vertical="center" wrapText="1"/>
    </xf>
    <xf numFmtId="0" fontId="3" fillId="17" borderId="66" xfId="0" applyFont="1" applyFill="1" applyBorder="1" applyAlignment="1">
      <alignment horizontal="left" vertical="center" wrapText="1"/>
    </xf>
    <xf numFmtId="0" fontId="3" fillId="17" borderId="29" xfId="0" applyFont="1" applyFill="1" applyBorder="1" applyAlignment="1">
      <alignment horizontal="center" vertical="center"/>
    </xf>
    <xf numFmtId="0" fontId="3" fillId="17" borderId="30" xfId="0" applyFont="1" applyFill="1" applyBorder="1" applyAlignment="1">
      <alignment horizontal="center" vertical="center"/>
    </xf>
    <xf numFmtId="0" fontId="3" fillId="17" borderId="32" xfId="0" applyFont="1" applyFill="1" applyBorder="1" applyAlignment="1">
      <alignment horizontal="center" vertical="center"/>
    </xf>
    <xf numFmtId="0" fontId="11" fillId="17" borderId="66" xfId="0" applyFont="1" applyFill="1" applyBorder="1" applyAlignment="1">
      <alignment horizontal="left" vertical="center" wrapText="1"/>
    </xf>
    <xf numFmtId="0" fontId="12" fillId="17" borderId="66" xfId="0" applyFont="1" applyFill="1" applyBorder="1" applyAlignment="1">
      <alignment horizontal="left" vertical="center" wrapText="1"/>
    </xf>
    <xf numFmtId="49" fontId="3" fillId="16" borderId="26" xfId="0" applyNumberFormat="1" applyFont="1" applyFill="1" applyBorder="1" applyAlignment="1">
      <alignment horizontal="center" vertical="center" wrapText="1"/>
    </xf>
    <xf numFmtId="49" fontId="3" fillId="16" borderId="25" xfId="0" applyNumberFormat="1" applyFont="1" applyFill="1" applyBorder="1" applyAlignment="1">
      <alignment horizontal="center" vertical="center" wrapText="1"/>
    </xf>
    <xf numFmtId="0" fontId="3" fillId="16" borderId="27" xfId="0" applyFont="1" applyFill="1" applyBorder="1" applyAlignment="1">
      <alignment horizontal="left" vertical="center" wrapText="1"/>
    </xf>
    <xf numFmtId="0" fontId="3" fillId="16" borderId="65" xfId="0" applyFont="1" applyFill="1" applyBorder="1" applyAlignment="1">
      <alignment horizontal="left" vertical="center" wrapText="1"/>
    </xf>
    <xf numFmtId="0" fontId="3" fillId="21" borderId="54" xfId="0" applyFont="1" applyFill="1" applyBorder="1" applyAlignment="1">
      <alignment horizontal="center" vertical="center"/>
    </xf>
    <xf numFmtId="0" fontId="3" fillId="21" borderId="61" xfId="0" applyFont="1" applyFill="1" applyBorder="1" applyAlignment="1">
      <alignment vertical="center" wrapText="1"/>
    </xf>
    <xf numFmtId="0" fontId="3" fillId="21" borderId="50" xfId="0" applyFont="1" applyFill="1" applyBorder="1" applyAlignment="1">
      <alignment vertical="center" wrapText="1"/>
    </xf>
    <xf numFmtId="49" fontId="3" fillId="17" borderId="29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top" wrapText="1"/>
    </xf>
    <xf numFmtId="0" fontId="3" fillId="14" borderId="16" xfId="0" applyFont="1" applyFill="1" applyBorder="1" applyAlignment="1">
      <alignment horizontal="left" vertical="top" wrapText="1"/>
    </xf>
    <xf numFmtId="49" fontId="3" fillId="21" borderId="52" xfId="0" applyNumberFormat="1" applyFont="1" applyFill="1" applyBorder="1" applyAlignment="1">
      <alignment horizontal="center" vertical="center" wrapText="1"/>
    </xf>
    <xf numFmtId="0" fontId="3" fillId="20" borderId="52" xfId="0" applyFont="1" applyFill="1" applyBorder="1" applyAlignment="1">
      <alignment horizontal="center" vertical="top"/>
    </xf>
    <xf numFmtId="0" fontId="3" fillId="20" borderId="0" xfId="0" applyFont="1" applyFill="1" applyAlignment="1">
      <alignment horizontal="center" vertical="top"/>
    </xf>
    <xf numFmtId="0" fontId="3" fillId="20" borderId="51" xfId="0" applyFont="1" applyFill="1" applyBorder="1" applyAlignment="1">
      <alignment horizontal="left" vertical="top" wrapText="1"/>
    </xf>
    <xf numFmtId="0" fontId="3" fillId="20" borderId="45" xfId="0" applyFont="1" applyFill="1" applyBorder="1" applyAlignment="1">
      <alignment horizontal="left" vertical="top" wrapText="1"/>
    </xf>
    <xf numFmtId="49" fontId="3" fillId="21" borderId="19" xfId="0" applyNumberFormat="1" applyFont="1" applyFill="1" applyBorder="1" applyAlignment="1">
      <alignment horizontal="center" vertical="center" wrapText="1"/>
    </xf>
    <xf numFmtId="0" fontId="3" fillId="21" borderId="52" xfId="0" applyFont="1" applyFill="1" applyBorder="1" applyAlignment="1">
      <alignment horizontal="left" vertical="center" wrapText="1"/>
    </xf>
    <xf numFmtId="0" fontId="3" fillId="19" borderId="42" xfId="0" applyFont="1" applyFill="1" applyBorder="1" applyAlignment="1">
      <alignment horizontal="center" vertical="top"/>
    </xf>
    <xf numFmtId="0" fontId="3" fillId="18" borderId="30" xfId="0" applyFont="1" applyFill="1" applyBorder="1" applyAlignment="1">
      <alignment horizontal="center" vertical="top"/>
    </xf>
    <xf numFmtId="0" fontId="3" fillId="18" borderId="32" xfId="0" applyFont="1" applyFill="1" applyBorder="1" applyAlignment="1">
      <alignment horizontal="center" vertical="top"/>
    </xf>
    <xf numFmtId="0" fontId="3" fillId="23" borderId="43" xfId="0" applyFont="1" applyFill="1" applyBorder="1" applyAlignment="1">
      <alignment horizontal="center" vertical="center" wrapText="1"/>
    </xf>
    <xf numFmtId="0" fontId="3" fillId="15" borderId="28" xfId="0" applyFont="1" applyFill="1" applyBorder="1" applyAlignment="1">
      <alignment horizontal="left" vertical="top" wrapText="1"/>
    </xf>
    <xf numFmtId="0" fontId="3" fillId="15" borderId="24" xfId="0" applyFont="1" applyFill="1" applyBorder="1" applyAlignment="1">
      <alignment horizontal="left" vertical="top" wrapText="1"/>
    </xf>
    <xf numFmtId="0" fontId="3" fillId="23" borderId="67" xfId="0" applyFont="1" applyFill="1" applyBorder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49" fontId="3" fillId="16" borderId="23" xfId="0" applyNumberFormat="1" applyFont="1" applyFill="1" applyBorder="1" applyAlignment="1">
      <alignment horizontal="center" vertical="center" wrapText="1"/>
    </xf>
    <xf numFmtId="0" fontId="3" fillId="16" borderId="27" xfId="0" applyFont="1" applyFill="1" applyBorder="1" applyAlignment="1">
      <alignment horizontal="center" vertical="center"/>
    </xf>
    <xf numFmtId="0" fontId="3" fillId="16" borderId="65" xfId="0" applyFont="1" applyFill="1" applyBorder="1" applyAlignment="1">
      <alignment horizontal="center" vertical="center"/>
    </xf>
    <xf numFmtId="49" fontId="3" fillId="21" borderId="48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10" borderId="61" xfId="0" applyFont="1" applyFill="1" applyBorder="1" applyAlignment="1">
      <alignment vertical="center" wrapText="1"/>
    </xf>
    <xf numFmtId="49" fontId="3" fillId="10" borderId="6" xfId="0" applyNumberFormat="1" applyFont="1" applyFill="1" applyBorder="1" applyAlignment="1">
      <alignment vertical="center" wrapText="1"/>
    </xf>
    <xf numFmtId="0" fontId="3" fillId="16" borderId="87" xfId="0" applyFont="1" applyFill="1" applyBorder="1" applyAlignment="1">
      <alignment horizontal="left" vertical="center" wrapText="1"/>
    </xf>
    <xf numFmtId="0" fontId="3" fillId="16" borderId="88" xfId="0" applyFont="1" applyFill="1" applyBorder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3" fillId="13" borderId="89" xfId="0" applyFont="1" applyFill="1" applyBorder="1" applyAlignment="1">
      <alignment horizontal="left" vertical="center" wrapText="1"/>
    </xf>
    <xf numFmtId="0" fontId="3" fillId="13" borderId="88" xfId="0" applyFont="1" applyFill="1" applyBorder="1" applyAlignment="1">
      <alignment horizontal="left" vertical="center" wrapText="1"/>
    </xf>
    <xf numFmtId="0" fontId="3" fillId="13" borderId="63" xfId="0" applyFont="1" applyFill="1" applyBorder="1" applyAlignment="1">
      <alignment vertical="center" wrapText="1"/>
    </xf>
    <xf numFmtId="0" fontId="3" fillId="13" borderId="90" xfId="0" applyFont="1" applyFill="1" applyBorder="1" applyAlignment="1">
      <alignment vertical="center" wrapText="1"/>
    </xf>
    <xf numFmtId="0" fontId="3" fillId="13" borderId="88" xfId="0" applyFont="1" applyFill="1" applyBorder="1" applyAlignment="1">
      <alignment vertical="center" wrapText="1"/>
    </xf>
    <xf numFmtId="49" fontId="3" fillId="12" borderId="91" xfId="0" applyNumberFormat="1" applyFont="1" applyFill="1" applyBorder="1" applyAlignment="1">
      <alignment horizontal="center" vertical="center" wrapText="1"/>
    </xf>
    <xf numFmtId="49" fontId="3" fillId="12" borderId="12" xfId="0" applyNumberFormat="1" applyFont="1" applyFill="1" applyBorder="1" applyAlignment="1">
      <alignment horizontal="center" vertical="center" wrapText="1"/>
    </xf>
    <xf numFmtId="0" fontId="3" fillId="12" borderId="53" xfId="0" applyFont="1" applyFill="1" applyBorder="1" applyAlignment="1">
      <alignment vertical="center" wrapText="1"/>
    </xf>
    <xf numFmtId="0" fontId="3" fillId="12" borderId="92" xfId="0" applyFont="1" applyFill="1" applyBorder="1" applyAlignment="1">
      <alignment vertical="center" wrapText="1"/>
    </xf>
    <xf numFmtId="0" fontId="3" fillId="12" borderId="88" xfId="0" applyFont="1" applyFill="1" applyBorder="1" applyAlignment="1">
      <alignment vertical="center" wrapText="1"/>
    </xf>
    <xf numFmtId="0" fontId="3" fillId="12" borderId="19" xfId="0" applyFont="1" applyFill="1" applyBorder="1" applyAlignment="1">
      <alignment vertical="center" wrapText="1"/>
    </xf>
    <xf numFmtId="0" fontId="3" fillId="12" borderId="93" xfId="0" applyFont="1" applyFill="1" applyBorder="1" applyAlignment="1">
      <alignment vertical="center" wrapText="1"/>
    </xf>
    <xf numFmtId="49" fontId="3" fillId="12" borderId="10" xfId="0" applyNumberFormat="1" applyFont="1" applyFill="1" applyBorder="1" applyAlignment="1">
      <alignment horizontal="center" vertical="center" wrapText="1"/>
    </xf>
    <xf numFmtId="0" fontId="3" fillId="12" borderId="0" xfId="0" applyFont="1" applyFill="1" applyAlignment="1">
      <alignment vertical="center" wrapText="1"/>
    </xf>
    <xf numFmtId="49" fontId="3" fillId="21" borderId="94" xfId="0" applyNumberFormat="1" applyFont="1" applyFill="1" applyBorder="1" applyAlignment="1">
      <alignment horizontal="center" vertical="center" wrapText="1"/>
    </xf>
    <xf numFmtId="0" fontId="3" fillId="21" borderId="93" xfId="0" applyFont="1" applyFill="1" applyBorder="1" applyAlignment="1">
      <alignment horizontal="left" vertical="center" wrapText="1"/>
    </xf>
    <xf numFmtId="0" fontId="3" fillId="21" borderId="95" xfId="0" applyFont="1" applyFill="1" applyBorder="1" applyAlignment="1">
      <alignment horizontal="left" vertical="center" wrapText="1"/>
    </xf>
    <xf numFmtId="0" fontId="3" fillId="21" borderId="88" xfId="0" applyFont="1" applyFill="1" applyBorder="1" applyAlignment="1">
      <alignment horizontal="left" vertical="center" wrapText="1"/>
    </xf>
    <xf numFmtId="0" fontId="3" fillId="10" borderId="96" xfId="0" applyFont="1" applyFill="1" applyBorder="1" applyAlignment="1">
      <alignment vertical="center" wrapText="1"/>
    </xf>
    <xf numFmtId="49" fontId="3" fillId="10" borderId="8" xfId="0" applyNumberFormat="1" applyFont="1" applyFill="1" applyBorder="1" applyAlignment="1">
      <alignment vertical="center" wrapText="1"/>
    </xf>
    <xf numFmtId="49" fontId="3" fillId="10" borderId="7" xfId="0" applyNumberFormat="1" applyFont="1" applyFill="1" applyBorder="1" applyAlignment="1">
      <alignment vertical="center" wrapText="1"/>
    </xf>
    <xf numFmtId="0" fontId="3" fillId="10" borderId="88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0" borderId="97" xfId="0" applyFont="1" applyFill="1" applyBorder="1" applyAlignment="1">
      <alignment vertical="center" wrapText="1"/>
    </xf>
    <xf numFmtId="0" fontId="3" fillId="10" borderId="62" xfId="0" applyFont="1" applyFill="1" applyBorder="1" applyAlignment="1">
      <alignment vertical="center" wrapText="1"/>
    </xf>
    <xf numFmtId="0" fontId="3" fillId="10" borderId="0" xfId="0" applyFont="1" applyFill="1" applyAlignment="1">
      <alignment horizontal="left" vertical="center" wrapText="1"/>
    </xf>
    <xf numFmtId="0" fontId="3" fillId="10" borderId="97" xfId="0" applyFont="1" applyFill="1" applyBorder="1" applyAlignment="1">
      <alignment horizontal="left" vertical="center" wrapText="1"/>
    </xf>
    <xf numFmtId="0" fontId="3" fillId="10" borderId="88" xfId="0" applyFont="1" applyFill="1" applyBorder="1" applyAlignment="1">
      <alignment horizontal="left" vertical="center" wrapText="1"/>
    </xf>
    <xf numFmtId="0" fontId="3" fillId="10" borderId="96" xfId="0" applyFont="1" applyFill="1" applyBorder="1" applyAlignment="1">
      <alignment horizontal="left" vertical="center" wrapText="1"/>
    </xf>
    <xf numFmtId="0" fontId="3" fillId="21" borderId="47" xfId="0" applyFont="1" applyFill="1" applyBorder="1" applyAlignment="1">
      <alignment horizontal="center" vertical="center"/>
    </xf>
    <xf numFmtId="0" fontId="3" fillId="21" borderId="0" xfId="0" applyFont="1" applyFill="1" applyAlignment="1">
      <alignment vertical="center" wrapText="1"/>
    </xf>
    <xf numFmtId="0" fontId="3" fillId="21" borderId="97" xfId="0" applyFont="1" applyFill="1" applyBorder="1" applyAlignment="1">
      <alignment vertical="center" wrapText="1"/>
    </xf>
    <xf numFmtId="0" fontId="3" fillId="21" borderId="49" xfId="0" applyFont="1" applyFill="1" applyBorder="1" applyAlignment="1">
      <alignment horizontal="center" vertical="center"/>
    </xf>
    <xf numFmtId="0" fontId="3" fillId="21" borderId="52" xfId="0" applyFont="1" applyFill="1" applyBorder="1" applyAlignment="1">
      <alignment horizontal="center" vertical="center"/>
    </xf>
    <xf numFmtId="0" fontId="3" fillId="21" borderId="48" xfId="0" applyFont="1" applyFill="1" applyBorder="1" applyAlignment="1">
      <alignment horizontal="center" vertical="center"/>
    </xf>
    <xf numFmtId="0" fontId="3" fillId="21" borderId="98" xfId="0" applyFont="1" applyFill="1" applyBorder="1" applyAlignment="1">
      <alignment vertical="center" wrapText="1"/>
    </xf>
    <xf numFmtId="0" fontId="3" fillId="21" borderId="52" xfId="0" applyFont="1" applyFill="1" applyBorder="1" applyAlignment="1">
      <alignment vertical="center" wrapText="1"/>
    </xf>
    <xf numFmtId="0" fontId="3" fillId="21" borderId="88" xfId="0" applyFont="1" applyFill="1" applyBorder="1" applyAlignment="1">
      <alignment vertical="center" wrapText="1"/>
    </xf>
    <xf numFmtId="0" fontId="3" fillId="20" borderId="46" xfId="0" applyFont="1" applyFill="1" applyBorder="1" applyAlignment="1">
      <alignment vertical="top" wrapText="1"/>
    </xf>
    <xf numFmtId="0" fontId="3" fillId="20" borderId="49" xfId="0" applyFont="1" applyFill="1" applyBorder="1" applyAlignment="1">
      <alignment vertical="top"/>
    </xf>
    <xf numFmtId="0" fontId="3" fillId="11" borderId="99" xfId="0" applyFont="1" applyFill="1" applyBorder="1" applyAlignment="1">
      <alignment horizontal="left" vertical="top" wrapText="1"/>
    </xf>
    <xf numFmtId="0" fontId="3" fillId="18" borderId="100" xfId="0" applyFont="1" applyFill="1" applyBorder="1" applyAlignment="1">
      <alignment horizontal="left" vertical="top" wrapText="1"/>
    </xf>
    <xf numFmtId="0" fontId="3" fillId="18" borderId="29" xfId="0" applyFont="1" applyFill="1" applyBorder="1" applyAlignment="1">
      <alignment horizontal="center" vertical="top"/>
    </xf>
    <xf numFmtId="0" fontId="3" fillId="18" borderId="101" xfId="0" applyFont="1" applyFill="1" applyBorder="1" applyAlignment="1">
      <alignment horizontal="left" vertical="top" wrapText="1"/>
    </xf>
    <xf numFmtId="0" fontId="3" fillId="19" borderId="67" xfId="0" applyFont="1" applyFill="1" applyBorder="1" applyAlignment="1">
      <alignment horizontal="center" vertical="top"/>
    </xf>
    <xf numFmtId="0" fontId="3" fillId="19" borderId="0" xfId="0" applyFont="1" applyFill="1" applyAlignment="1">
      <alignment horizontal="center" vertical="top"/>
    </xf>
    <xf numFmtId="0" fontId="3" fillId="19" borderId="102" xfId="0" applyFont="1" applyFill="1" applyBorder="1" applyAlignment="1">
      <alignment horizontal="left" vertical="top" wrapText="1"/>
    </xf>
    <xf numFmtId="0" fontId="3" fillId="19" borderId="0" xfId="0" applyFont="1" applyFill="1" applyAlignment="1">
      <alignment horizontal="left" vertical="top" wrapText="1"/>
    </xf>
    <xf numFmtId="0" fontId="3" fillId="19" borderId="40" xfId="0" applyFont="1" applyFill="1" applyBorder="1" applyAlignment="1">
      <alignment horizontal="left" vertical="top" wrapText="1"/>
    </xf>
    <xf numFmtId="0" fontId="3" fillId="19" borderId="36" xfId="0" applyFont="1" applyFill="1" applyBorder="1" applyAlignment="1">
      <alignment horizontal="left" vertical="top" wrapText="1"/>
    </xf>
    <xf numFmtId="0" fontId="3" fillId="19" borderId="0" xfId="0" applyFont="1" applyFill="1" applyAlignment="1">
      <alignment vertical="top"/>
    </xf>
    <xf numFmtId="49" fontId="3" fillId="17" borderId="103" xfId="0" applyNumberFormat="1" applyFont="1" applyFill="1" applyBorder="1" applyAlignment="1">
      <alignment horizontal="center" vertical="center" wrapText="1"/>
    </xf>
    <xf numFmtId="0" fontId="3" fillId="17" borderId="10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0" fillId="0" borderId="60" xfId="0" applyBorder="1" applyAlignment="1">
      <alignment horizontal="center" vertical="top"/>
    </xf>
    <xf numFmtId="0" fontId="1" fillId="0" borderId="60" xfId="0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60" xfId="0" applyBorder="1" applyAlignment="1">
      <alignment horizontal="center" vertical="top" wrapText="1"/>
    </xf>
    <xf numFmtId="0" fontId="3" fillId="0" borderId="60" xfId="0" applyFont="1" applyBorder="1" applyAlignment="1">
      <alignment horizontal="center" vertical="top" wrapText="1"/>
    </xf>
    <xf numFmtId="0" fontId="0" fillId="18" borderId="0" xfId="0" applyFill="1" applyAlignment="1">
      <alignment horizontal="center" vertical="center"/>
    </xf>
    <xf numFmtId="0" fontId="3" fillId="18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60" xfId="0" applyBorder="1" applyAlignment="1">
      <alignment horizontal="left" vertical="center" wrapText="1"/>
    </xf>
    <xf numFmtId="0" fontId="3" fillId="0" borderId="60" xfId="0" applyFont="1" applyBorder="1" applyAlignment="1">
      <alignment horizontal="center" vertical="top"/>
    </xf>
    <xf numFmtId="0" fontId="0" fillId="0" borderId="60" xfId="0" applyBorder="1" applyAlignment="1">
      <alignment horizontal="center" vertical="center" wrapText="1"/>
    </xf>
    <xf numFmtId="9" fontId="3" fillId="0" borderId="60" xfId="0" applyNumberFormat="1" applyFont="1" applyBorder="1" applyAlignment="1">
      <alignment horizontal="center" vertical="top" wrapText="1"/>
    </xf>
    <xf numFmtId="0" fontId="32" fillId="0" borderId="60" xfId="0" applyFont="1" applyBorder="1" applyAlignment="1">
      <alignment vertical="top" wrapText="1"/>
    </xf>
    <xf numFmtId="49" fontId="4" fillId="27" borderId="1" xfId="0" applyNumberFormat="1" applyFont="1" applyFill="1" applyBorder="1" applyAlignment="1">
      <alignment horizontal="center" vertical="top" wrapText="1"/>
    </xf>
    <xf numFmtId="0" fontId="11" fillId="9" borderId="3" xfId="0" applyFont="1" applyFill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23" fillId="0" borderId="60" xfId="1" applyFont="1" applyBorder="1" applyAlignment="1">
      <alignment vertical="top" wrapText="1"/>
    </xf>
    <xf numFmtId="0" fontId="23" fillId="0" borderId="60" xfId="0" applyFont="1" applyBorder="1"/>
    <xf numFmtId="0" fontId="0" fillId="0" borderId="0" xfId="0" applyAlignment="1">
      <alignment horizontal="center" wrapText="1"/>
    </xf>
    <xf numFmtId="0" fontId="4" fillId="16" borderId="60" xfId="0" applyFont="1" applyFill="1" applyBorder="1" applyAlignment="1">
      <alignment horizontal="center" wrapText="1"/>
    </xf>
    <xf numFmtId="0" fontId="4" fillId="16" borderId="60" xfId="0" applyFont="1" applyFill="1" applyBorder="1" applyAlignment="1">
      <alignment wrapText="1"/>
    </xf>
    <xf numFmtId="0" fontId="3" fillId="0" borderId="60" xfId="0" applyFont="1" applyBorder="1" applyAlignment="1">
      <alignment horizontal="center"/>
    </xf>
    <xf numFmtId="0" fontId="3" fillId="0" borderId="60" xfId="0" applyFont="1" applyBorder="1" applyAlignment="1">
      <alignment horizontal="center" wrapText="1"/>
    </xf>
    <xf numFmtId="0" fontId="23" fillId="0" borderId="60" xfId="0" applyFont="1" applyBorder="1" applyAlignment="1">
      <alignment wrapText="1"/>
    </xf>
    <xf numFmtId="1" fontId="0" fillId="0" borderId="60" xfId="0" applyNumberFormat="1" applyBorder="1" applyAlignment="1">
      <alignment wrapText="1"/>
    </xf>
    <xf numFmtId="0" fontId="0" fillId="0" borderId="60" xfId="0" applyBorder="1" applyAlignment="1">
      <alignment horizontal="left"/>
    </xf>
    <xf numFmtId="0" fontId="3" fillId="0" borderId="60" xfId="0" applyFont="1" applyBorder="1" applyAlignment="1">
      <alignment horizontal="left"/>
    </xf>
    <xf numFmtId="0" fontId="0" fillId="0" borderId="73" xfId="0" applyBorder="1" applyAlignment="1">
      <alignment horizontal="left"/>
    </xf>
    <xf numFmtId="0" fontId="4" fillId="0" borderId="0" xfId="0" applyFont="1" applyAlignment="1">
      <alignment horizontal="center" wrapText="1"/>
    </xf>
    <xf numFmtId="0" fontId="0" fillId="0" borderId="88" xfId="0" applyBorder="1" applyAlignment="1">
      <alignment horizontal="center"/>
    </xf>
    <xf numFmtId="0" fontId="4" fillId="0" borderId="88" xfId="0" applyFont="1" applyBorder="1" applyAlignment="1">
      <alignment horizontal="center" wrapText="1"/>
    </xf>
    <xf numFmtId="0" fontId="3" fillId="0" borderId="107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9" fontId="3" fillId="0" borderId="60" xfId="0" applyNumberFormat="1" applyFont="1" applyBorder="1" applyAlignment="1">
      <alignment horizontal="left" vertical="top" wrapText="1"/>
    </xf>
    <xf numFmtId="0" fontId="0" fillId="0" borderId="60" xfId="0" applyBorder="1" applyAlignment="1">
      <alignment horizontal="left" vertical="top"/>
    </xf>
    <xf numFmtId="0" fontId="0" fillId="0" borderId="60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60" xfId="0" applyBorder="1" applyAlignment="1">
      <alignment horizontal="left" wrapText="1"/>
    </xf>
    <xf numFmtId="0" fontId="23" fillId="0" borderId="0" xfId="0" applyFont="1" applyAlignment="1">
      <alignment wrapText="1"/>
    </xf>
    <xf numFmtId="0" fontId="34" fillId="0" borderId="0" xfId="0" applyFont="1"/>
    <xf numFmtId="49" fontId="5" fillId="18" borderId="60" xfId="0" applyNumberFormat="1" applyFont="1" applyFill="1" applyBorder="1" applyAlignment="1">
      <alignment horizontal="center" vertical="center" wrapText="1"/>
    </xf>
    <xf numFmtId="49" fontId="4" fillId="6" borderId="60" xfId="0" applyNumberFormat="1" applyFont="1" applyFill="1" applyBorder="1" applyAlignment="1">
      <alignment horizontal="center" vertical="top" wrapText="1"/>
    </xf>
    <xf numFmtId="49" fontId="4" fillId="27" borderId="60" xfId="0" applyNumberFormat="1" applyFont="1" applyFill="1" applyBorder="1" applyAlignment="1">
      <alignment horizontal="center" vertical="top" wrapText="1"/>
    </xf>
    <xf numFmtId="0" fontId="8" fillId="0" borderId="60" xfId="0" applyFont="1" applyBorder="1" applyAlignment="1">
      <alignment horizontal="center" vertical="top"/>
    </xf>
    <xf numFmtId="49" fontId="4" fillId="7" borderId="60" xfId="0" applyNumberFormat="1" applyFont="1" applyFill="1" applyBorder="1" applyAlignment="1">
      <alignment horizontal="center" vertical="top" wrapText="1"/>
    </xf>
    <xf numFmtId="49" fontId="4" fillId="2" borderId="60" xfId="0" applyNumberFormat="1" applyFont="1" applyFill="1" applyBorder="1" applyAlignment="1">
      <alignment horizontal="center" vertical="top" wrapText="1"/>
    </xf>
    <xf numFmtId="49" fontId="4" fillId="3" borderId="60" xfId="0" applyNumberFormat="1" applyFont="1" applyFill="1" applyBorder="1" applyAlignment="1">
      <alignment horizontal="center" vertical="top" wrapText="1"/>
    </xf>
    <xf numFmtId="49" fontId="4" fillId="4" borderId="60" xfId="0" applyNumberFormat="1" applyFont="1" applyFill="1" applyBorder="1" applyAlignment="1">
      <alignment horizontal="center" vertical="top" wrapText="1"/>
    </xf>
    <xf numFmtId="49" fontId="4" fillId="5" borderId="60" xfId="0" applyNumberFormat="1" applyFont="1" applyFill="1" applyBorder="1" applyAlignment="1">
      <alignment horizontal="center" vertical="top" wrapText="1"/>
    </xf>
    <xf numFmtId="49" fontId="4" fillId="0" borderId="60" xfId="0" applyNumberFormat="1" applyFont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60" xfId="0" applyFont="1" applyBorder="1" applyAlignment="1">
      <alignment horizontal="center" vertical="center"/>
    </xf>
    <xf numFmtId="49" fontId="3" fillId="10" borderId="60" xfId="0" applyNumberFormat="1" applyFont="1" applyFill="1" applyBorder="1" applyAlignment="1">
      <alignment horizontal="center" vertical="top" wrapText="1"/>
    </xf>
    <xf numFmtId="49" fontId="3" fillId="21" borderId="60" xfId="0" applyNumberFormat="1" applyFont="1" applyFill="1" applyBorder="1" applyAlignment="1">
      <alignment horizontal="center" vertical="top" wrapText="1"/>
    </xf>
    <xf numFmtId="49" fontId="3" fillId="12" borderId="60" xfId="0" applyNumberFormat="1" applyFont="1" applyFill="1" applyBorder="1" applyAlignment="1">
      <alignment horizontal="center" vertical="top" wrapText="1"/>
    </xf>
    <xf numFmtId="49" fontId="3" fillId="13" borderId="60" xfId="0" applyNumberFormat="1" applyFont="1" applyFill="1" applyBorder="1" applyAlignment="1">
      <alignment horizontal="center" vertical="top" wrapText="1"/>
    </xf>
    <xf numFmtId="49" fontId="3" fillId="16" borderId="60" xfId="0" applyNumberFormat="1" applyFont="1" applyFill="1" applyBorder="1" applyAlignment="1">
      <alignment horizontal="center" vertical="top" wrapText="1"/>
    </xf>
    <xf numFmtId="49" fontId="3" fillId="17" borderId="60" xfId="0" applyNumberFormat="1" applyFont="1" applyFill="1" applyBorder="1" applyAlignment="1">
      <alignment horizontal="center" vertical="top" wrapText="1"/>
    </xf>
    <xf numFmtId="49" fontId="3" fillId="0" borderId="60" xfId="0" applyNumberFormat="1" applyFont="1" applyBorder="1" applyAlignment="1">
      <alignment horizontal="center" vertical="top" wrapText="1"/>
    </xf>
    <xf numFmtId="0" fontId="3" fillId="0" borderId="60" xfId="0" applyFont="1" applyBorder="1" applyAlignment="1">
      <alignment horizontal="left" vertical="top"/>
    </xf>
    <xf numFmtId="49" fontId="3" fillId="0" borderId="60" xfId="0" applyNumberFormat="1" applyFont="1" applyBorder="1" applyAlignment="1">
      <alignment horizontal="left" vertical="top" wrapText="1"/>
    </xf>
    <xf numFmtId="49" fontId="3" fillId="0" borderId="60" xfId="0" applyNumberFormat="1" applyFont="1" applyBorder="1" applyAlignment="1">
      <alignment horizontal="left" vertical="top"/>
    </xf>
    <xf numFmtId="49" fontId="3" fillId="0" borderId="60" xfId="0" quotePrefix="1" applyNumberFormat="1" applyFont="1" applyBorder="1" applyAlignment="1">
      <alignment horizontal="left" vertical="top" wrapText="1"/>
    </xf>
    <xf numFmtId="49" fontId="6" fillId="0" borderId="60" xfId="0" applyNumberFormat="1" applyFont="1" applyBorder="1" applyAlignment="1">
      <alignment horizontal="left" vertical="top" wrapText="1"/>
    </xf>
    <xf numFmtId="49" fontId="8" fillId="0" borderId="60" xfId="0" applyNumberFormat="1" applyFont="1" applyBorder="1" applyAlignment="1">
      <alignment horizontal="left" vertical="top" wrapText="1"/>
    </xf>
    <xf numFmtId="49" fontId="11" fillId="0" borderId="60" xfId="0" applyNumberFormat="1" applyFont="1" applyBorder="1" applyAlignment="1">
      <alignment horizontal="left" vertical="top" wrapText="1"/>
    </xf>
    <xf numFmtId="49" fontId="4" fillId="18" borderId="60" xfId="0" applyNumberFormat="1" applyFont="1" applyFill="1" applyBorder="1" applyAlignment="1">
      <alignment horizontal="center" vertical="center" wrapText="1"/>
    </xf>
    <xf numFmtId="49" fontId="7" fillId="8" borderId="60" xfId="0" applyNumberFormat="1" applyFont="1" applyFill="1" applyBorder="1" applyAlignment="1">
      <alignment horizontal="center" vertical="top" wrapText="1"/>
    </xf>
    <xf numFmtId="49" fontId="5" fillId="18" borderId="60" xfId="0" applyNumberFormat="1" applyFont="1" applyFill="1" applyBorder="1" applyAlignment="1">
      <alignment horizontal="center" vertical="center"/>
    </xf>
    <xf numFmtId="49" fontId="5" fillId="0" borderId="60" xfId="0" applyNumberFormat="1" applyFont="1" applyBorder="1" applyAlignment="1">
      <alignment horizontal="center" vertical="center" wrapText="1"/>
    </xf>
    <xf numFmtId="49" fontId="3" fillId="9" borderId="60" xfId="0" applyNumberFormat="1" applyFont="1" applyFill="1" applyBorder="1" applyAlignment="1">
      <alignment horizontal="center" vertical="top"/>
    </xf>
    <xf numFmtId="49" fontId="3" fillId="9" borderId="60" xfId="0" applyNumberFormat="1" applyFont="1" applyFill="1" applyBorder="1" applyAlignment="1">
      <alignment vertical="top" wrapText="1"/>
    </xf>
    <xf numFmtId="49" fontId="3" fillId="10" borderId="60" xfId="0" applyNumberFormat="1" applyFont="1" applyFill="1" applyBorder="1" applyAlignment="1">
      <alignment horizontal="left" vertical="top" wrapText="1"/>
    </xf>
    <xf numFmtId="49" fontId="3" fillId="18" borderId="60" xfId="0" applyNumberFormat="1" applyFont="1" applyFill="1" applyBorder="1" applyAlignment="1">
      <alignment horizontal="left" vertical="top" wrapText="1"/>
    </xf>
    <xf numFmtId="49" fontId="3" fillId="18" borderId="60" xfId="0" applyNumberFormat="1" applyFont="1" applyFill="1" applyBorder="1" applyAlignment="1">
      <alignment horizontal="center" vertical="top"/>
    </xf>
    <xf numFmtId="49" fontId="11" fillId="9" borderId="60" xfId="0" applyNumberFormat="1" applyFont="1" applyFill="1" applyBorder="1" applyAlignment="1">
      <alignment vertical="top" wrapText="1"/>
    </xf>
    <xf numFmtId="49" fontId="3" fillId="9" borderId="60" xfId="0" applyNumberFormat="1" applyFont="1" applyFill="1" applyBorder="1" applyAlignment="1">
      <alignment horizontal="left" vertical="top" wrapText="1"/>
    </xf>
    <xf numFmtId="49" fontId="3" fillId="20" borderId="60" xfId="0" applyNumberFormat="1" applyFont="1" applyFill="1" applyBorder="1" applyAlignment="1">
      <alignment horizontal="center" vertical="top"/>
    </xf>
    <xf numFmtId="49" fontId="3" fillId="20" borderId="60" xfId="0" applyNumberFormat="1" applyFont="1" applyFill="1" applyBorder="1" applyAlignment="1">
      <alignment vertical="top" wrapText="1"/>
    </xf>
    <xf numFmtId="49" fontId="3" fillId="21" borderId="60" xfId="0" applyNumberFormat="1" applyFont="1" applyFill="1" applyBorder="1" applyAlignment="1">
      <alignment horizontal="center" vertical="top"/>
    </xf>
    <xf numFmtId="49" fontId="3" fillId="21" borderId="60" xfId="0" applyNumberFormat="1" applyFont="1" applyFill="1" applyBorder="1" applyAlignment="1">
      <alignment horizontal="left" vertical="top" wrapText="1"/>
    </xf>
    <xf numFmtId="49" fontId="3" fillId="20" borderId="60" xfId="0" applyNumberFormat="1" applyFont="1" applyFill="1" applyBorder="1" applyAlignment="1">
      <alignment horizontal="left" vertical="top" wrapText="1"/>
    </xf>
    <xf numFmtId="49" fontId="3" fillId="11" borderId="60" xfId="0" applyNumberFormat="1" applyFont="1" applyFill="1" applyBorder="1" applyAlignment="1">
      <alignment horizontal="center" vertical="top"/>
    </xf>
    <xf numFmtId="49" fontId="3" fillId="11" borderId="60" xfId="0" applyNumberFormat="1" applyFont="1" applyFill="1" applyBorder="1" applyAlignment="1">
      <alignment horizontal="left" vertical="top" wrapText="1"/>
    </xf>
    <xf numFmtId="49" fontId="3" fillId="12" borderId="60" xfId="0" applyNumberFormat="1" applyFont="1" applyFill="1" applyBorder="1" applyAlignment="1">
      <alignment horizontal="left" vertical="top" wrapText="1"/>
    </xf>
    <xf numFmtId="49" fontId="3" fillId="14" borderId="60" xfId="0" applyNumberFormat="1" applyFont="1" applyFill="1" applyBorder="1" applyAlignment="1">
      <alignment horizontal="center" vertical="top"/>
    </xf>
    <xf numFmtId="49" fontId="3" fillId="14" borderId="60" xfId="0" applyNumberFormat="1" applyFont="1" applyFill="1" applyBorder="1" applyAlignment="1">
      <alignment horizontal="left" vertical="top" wrapText="1"/>
    </xf>
    <xf numFmtId="49" fontId="3" fillId="13" borderId="60" xfId="0" applyNumberFormat="1" applyFont="1" applyFill="1" applyBorder="1" applyAlignment="1">
      <alignment horizontal="left" vertical="top" wrapText="1"/>
    </xf>
    <xf numFmtId="49" fontId="3" fillId="14" borderId="60" xfId="0" applyNumberFormat="1" applyFont="1" applyFill="1" applyBorder="1" applyAlignment="1">
      <alignment vertical="top" wrapText="1"/>
    </xf>
    <xf numFmtId="49" fontId="3" fillId="15" borderId="60" xfId="0" applyNumberFormat="1" applyFont="1" applyFill="1" applyBorder="1" applyAlignment="1">
      <alignment horizontal="center" vertical="top"/>
    </xf>
    <xf numFmtId="49" fontId="3" fillId="15" borderId="60" xfId="0" applyNumberFormat="1" applyFont="1" applyFill="1" applyBorder="1" applyAlignment="1">
      <alignment vertical="top" wrapText="1"/>
    </xf>
    <xf numFmtId="49" fontId="6" fillId="16" borderId="60" xfId="0" applyNumberFormat="1" applyFont="1" applyFill="1" applyBorder="1" applyAlignment="1">
      <alignment horizontal="left" vertical="top" wrapText="1"/>
    </xf>
    <xf numFmtId="49" fontId="3" fillId="15" borderId="60" xfId="0" applyNumberFormat="1" applyFont="1" applyFill="1" applyBorder="1" applyAlignment="1">
      <alignment horizontal="left" vertical="top" wrapText="1"/>
    </xf>
    <xf numFmtId="49" fontId="3" fillId="16" borderId="60" xfId="0" applyNumberFormat="1" applyFont="1" applyFill="1" applyBorder="1" applyAlignment="1">
      <alignment horizontal="left" vertical="top" wrapText="1"/>
    </xf>
    <xf numFmtId="49" fontId="3" fillId="16" borderId="60" xfId="0" applyNumberFormat="1" applyFont="1" applyFill="1" applyBorder="1" applyAlignment="1">
      <alignment horizontal="left" vertical="top"/>
    </xf>
    <xf numFmtId="49" fontId="3" fillId="15" borderId="60" xfId="0" applyNumberFormat="1" applyFont="1" applyFill="1" applyBorder="1" applyAlignment="1">
      <alignment horizontal="center" vertical="top" wrapText="1"/>
    </xf>
    <xf numFmtId="49" fontId="3" fillId="17" borderId="60" xfId="0" applyNumberFormat="1" applyFont="1" applyFill="1" applyBorder="1" applyAlignment="1">
      <alignment horizontal="left" vertical="top" wrapText="1"/>
    </xf>
    <xf numFmtId="49" fontId="6" fillId="17" borderId="60" xfId="0" applyNumberFormat="1" applyFont="1" applyFill="1" applyBorder="1" applyAlignment="1">
      <alignment horizontal="left" vertical="top" wrapText="1"/>
    </xf>
    <xf numFmtId="49" fontId="11" fillId="17" borderId="60" xfId="0" applyNumberFormat="1" applyFont="1" applyFill="1" applyBorder="1" applyAlignment="1">
      <alignment horizontal="left" vertical="top" wrapText="1"/>
    </xf>
    <xf numFmtId="49" fontId="3" fillId="17" borderId="60" xfId="0" applyNumberFormat="1" applyFont="1" applyFill="1" applyBorder="1" applyAlignment="1">
      <alignment horizontal="center" vertical="top"/>
    </xf>
    <xf numFmtId="49" fontId="12" fillId="17" borderId="60" xfId="0" applyNumberFormat="1" applyFont="1" applyFill="1" applyBorder="1" applyAlignment="1">
      <alignment horizontal="left" vertical="top" wrapText="1"/>
    </xf>
    <xf numFmtId="49" fontId="3" fillId="19" borderId="60" xfId="0" applyNumberFormat="1" applyFont="1" applyFill="1" applyBorder="1" applyAlignment="1">
      <alignment horizontal="center" vertical="top"/>
    </xf>
    <xf numFmtId="49" fontId="3" fillId="19" borderId="60" xfId="0" applyNumberFormat="1" applyFont="1" applyFill="1" applyBorder="1" applyAlignment="1">
      <alignment horizontal="left" vertical="top" wrapText="1"/>
    </xf>
    <xf numFmtId="49" fontId="3" fillId="23" borderId="60" xfId="0" applyNumberFormat="1" applyFont="1" applyFill="1" applyBorder="1" applyAlignment="1">
      <alignment horizontal="center" vertical="top" wrapText="1"/>
    </xf>
    <xf numFmtId="49" fontId="3" fillId="23" borderId="60" xfId="0" applyNumberFormat="1" applyFont="1" applyFill="1" applyBorder="1" applyAlignment="1">
      <alignment horizontal="left" vertical="top" wrapText="1"/>
    </xf>
    <xf numFmtId="49" fontId="3" fillId="22" borderId="60" xfId="0" applyNumberFormat="1" applyFont="1" applyFill="1" applyBorder="1" applyAlignment="1">
      <alignment vertical="top" wrapText="1"/>
    </xf>
    <xf numFmtId="49" fontId="3" fillId="0" borderId="60" xfId="0" applyNumberFormat="1" applyFont="1" applyBorder="1" applyAlignment="1">
      <alignment horizontal="center" vertical="top"/>
    </xf>
    <xf numFmtId="49" fontId="3" fillId="0" borderId="60" xfId="0" applyNumberFormat="1" applyFont="1" applyBorder="1" applyAlignment="1">
      <alignment vertical="top" wrapText="1"/>
    </xf>
    <xf numFmtId="49" fontId="3" fillId="28" borderId="60" xfId="0" applyNumberFormat="1" applyFont="1" applyFill="1" applyBorder="1" applyAlignment="1">
      <alignment horizontal="center" vertical="top" wrapText="1"/>
    </xf>
    <xf numFmtId="49" fontId="3" fillId="28" borderId="60" xfId="0" applyNumberFormat="1" applyFont="1" applyFill="1" applyBorder="1" applyAlignment="1">
      <alignment horizontal="left" vertical="top" wrapText="1"/>
    </xf>
    <xf numFmtId="49" fontId="3" fillId="28" borderId="60" xfId="0" applyNumberFormat="1" applyFont="1" applyFill="1" applyBorder="1" applyAlignment="1">
      <alignment horizontal="center" vertical="top"/>
    </xf>
    <xf numFmtId="49" fontId="3" fillId="12" borderId="60" xfId="0" applyNumberFormat="1" applyFont="1" applyFill="1" applyBorder="1" applyAlignment="1">
      <alignment horizontal="center" vertical="top"/>
    </xf>
    <xf numFmtId="49" fontId="0" fillId="28" borderId="60" xfId="0" applyNumberFormat="1" applyFill="1" applyBorder="1" applyAlignment="1">
      <alignment horizontal="center" vertical="top"/>
    </xf>
    <xf numFmtId="49" fontId="3" fillId="29" borderId="60" xfId="0" applyNumberFormat="1" applyFont="1" applyFill="1" applyBorder="1" applyAlignment="1">
      <alignment horizontal="center" vertical="top" wrapText="1"/>
    </xf>
    <xf numFmtId="49" fontId="3" fillId="29" borderId="60" xfId="0" applyNumberFormat="1" applyFont="1" applyFill="1" applyBorder="1" applyAlignment="1">
      <alignment horizontal="left" vertical="top" wrapText="1"/>
    </xf>
    <xf numFmtId="49" fontId="3" fillId="29" borderId="60" xfId="0" applyNumberFormat="1" applyFont="1" applyFill="1" applyBorder="1" applyAlignment="1">
      <alignment horizontal="center" vertical="top"/>
    </xf>
    <xf numFmtId="49" fontId="11" fillId="29" borderId="60" xfId="0" applyNumberFormat="1" applyFont="1" applyFill="1" applyBorder="1" applyAlignment="1">
      <alignment horizontal="left" vertical="top" wrapText="1"/>
    </xf>
    <xf numFmtId="49" fontId="3" fillId="30" borderId="60" xfId="0" applyNumberFormat="1" applyFont="1" applyFill="1" applyBorder="1" applyAlignment="1">
      <alignment horizontal="left" vertical="top" wrapText="1"/>
    </xf>
    <xf numFmtId="49" fontId="3" fillId="30" borderId="60" xfId="0" applyNumberFormat="1" applyFont="1" applyFill="1" applyBorder="1" applyAlignment="1">
      <alignment horizontal="center" vertical="top"/>
    </xf>
    <xf numFmtId="49" fontId="3" fillId="30" borderId="60" xfId="0" applyNumberFormat="1" applyFont="1" applyFill="1" applyBorder="1" applyAlignment="1">
      <alignment horizontal="center" vertical="top" wrapText="1"/>
    </xf>
    <xf numFmtId="49" fontId="11" fillId="31" borderId="60" xfId="0" applyNumberFormat="1" applyFont="1" applyFill="1" applyBorder="1" applyAlignment="1">
      <alignment horizontal="center" vertical="top" wrapText="1"/>
    </xf>
    <xf numFmtId="49" fontId="3" fillId="31" borderId="60" xfId="0" applyNumberFormat="1" applyFont="1" applyFill="1" applyBorder="1" applyAlignment="1">
      <alignment horizontal="left" vertical="top" wrapText="1"/>
    </xf>
    <xf numFmtId="49" fontId="3" fillId="31" borderId="60" xfId="0" applyNumberFormat="1" applyFont="1" applyFill="1" applyBorder="1" applyAlignment="1">
      <alignment horizontal="center" vertical="top"/>
    </xf>
    <xf numFmtId="49" fontId="11" fillId="31" borderId="60" xfId="0" applyNumberFormat="1" applyFont="1" applyFill="1" applyBorder="1" applyAlignment="1">
      <alignment horizontal="left" vertical="top" wrapText="1"/>
    </xf>
    <xf numFmtId="49" fontId="3" fillId="31" borderId="60" xfId="0" applyNumberFormat="1" applyFont="1" applyFill="1" applyBorder="1" applyAlignment="1">
      <alignment horizontal="center" vertical="top" wrapText="1"/>
    </xf>
    <xf numFmtId="49" fontId="11" fillId="31" borderId="60" xfId="0" applyNumberFormat="1" applyFont="1" applyFill="1" applyBorder="1" applyAlignment="1">
      <alignment horizontal="center" vertical="top"/>
    </xf>
    <xf numFmtId="49" fontId="6" fillId="30" borderId="60" xfId="0" applyNumberFormat="1" applyFont="1" applyFill="1" applyBorder="1" applyAlignment="1">
      <alignment horizontal="left" vertical="top" wrapText="1"/>
    </xf>
    <xf numFmtId="49" fontId="4" fillId="0" borderId="60" xfId="0" applyNumberFormat="1" applyFont="1" applyBorder="1" applyAlignment="1">
      <alignment horizontal="center" vertical="center"/>
    </xf>
    <xf numFmtId="49" fontId="0" fillId="0" borderId="60" xfId="0" applyNumberFormat="1" applyBorder="1" applyAlignment="1">
      <alignment horizontal="center" vertical="top"/>
    </xf>
    <xf numFmtId="49" fontId="5" fillId="0" borderId="60" xfId="0" applyNumberFormat="1" applyFont="1" applyBorder="1" applyAlignment="1">
      <alignment horizontal="center" vertical="top" wrapText="1"/>
    </xf>
    <xf numFmtId="49" fontId="3" fillId="0" borderId="60" xfId="0" quotePrefix="1" applyNumberFormat="1" applyFont="1" applyBorder="1" applyAlignment="1">
      <alignment horizontal="center" vertical="top" wrapText="1"/>
    </xf>
    <xf numFmtId="49" fontId="6" fillId="0" borderId="60" xfId="0" applyNumberFormat="1" applyFont="1" applyBorder="1" applyAlignment="1">
      <alignment horizontal="center" vertical="top"/>
    </xf>
    <xf numFmtId="49" fontId="8" fillId="0" borderId="60" xfId="0" applyNumberFormat="1" applyFont="1" applyBorder="1" applyAlignment="1">
      <alignment horizontal="center" vertical="top" wrapText="1"/>
    </xf>
    <xf numFmtId="49" fontId="9" fillId="0" borderId="60" xfId="0" applyNumberFormat="1" applyFont="1" applyBorder="1" applyAlignment="1">
      <alignment horizontal="center" vertical="top" wrapText="1"/>
    </xf>
    <xf numFmtId="49" fontId="11" fillId="0" borderId="60" xfId="0" applyNumberFormat="1" applyFont="1" applyBorder="1" applyAlignment="1">
      <alignment horizontal="center" vertical="top" wrapText="1"/>
    </xf>
    <xf numFmtId="49" fontId="0" fillId="0" borderId="60" xfId="0" applyNumberFormat="1" applyBorder="1" applyAlignment="1">
      <alignment horizontal="center" vertical="top" wrapText="1"/>
    </xf>
    <xf numFmtId="0" fontId="4" fillId="0" borderId="60" xfId="0" applyFont="1" applyBorder="1" applyAlignment="1">
      <alignment horizontal="left" vertical="top" wrapText="1"/>
    </xf>
    <xf numFmtId="0" fontId="0" fillId="0" borderId="60" xfId="0" applyFont="1" applyBorder="1" applyAlignment="1">
      <alignment horizontal="center" vertical="top" wrapText="1"/>
    </xf>
    <xf numFmtId="0" fontId="0" fillId="0" borderId="60" xfId="0" applyFont="1" applyBorder="1" applyAlignment="1">
      <alignment horizontal="center" vertical="top"/>
    </xf>
    <xf numFmtId="49" fontId="3" fillId="0" borderId="60" xfId="0" applyNumberFormat="1" applyFont="1" applyFill="1" applyBorder="1" applyAlignment="1">
      <alignment horizontal="left" vertical="top" wrapText="1"/>
    </xf>
    <xf numFmtId="0" fontId="35" fillId="0" borderId="0" xfId="0" applyFont="1"/>
    <xf numFmtId="0" fontId="36" fillId="0" borderId="0" xfId="0" applyFont="1"/>
    <xf numFmtId="0" fontId="36" fillId="0" borderId="0" xfId="0" applyFont="1" applyAlignment="1">
      <alignment horizontal="center" vertical="top"/>
    </xf>
    <xf numFmtId="0" fontId="36" fillId="0" borderId="0" xfId="0" applyFont="1" applyAlignment="1">
      <alignment horizontal="center" vertical="top" wrapText="1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wrapText="1"/>
    </xf>
    <xf numFmtId="0" fontId="4" fillId="0" borderId="105" xfId="0" applyFont="1" applyBorder="1" applyAlignment="1">
      <alignment horizontal="left" wrapText="1"/>
    </xf>
    <xf numFmtId="0" fontId="4" fillId="0" borderId="106" xfId="0" applyFont="1" applyBorder="1" applyAlignment="1">
      <alignment horizontal="left" wrapText="1"/>
    </xf>
    <xf numFmtId="0" fontId="4" fillId="0" borderId="78" xfId="0" applyFont="1" applyBorder="1" applyAlignment="1">
      <alignment horizontal="center"/>
    </xf>
    <xf numFmtId="0" fontId="4" fillId="0" borderId="81" xfId="0" applyFont="1" applyBorder="1" applyAlignment="1">
      <alignment horizontal="center"/>
    </xf>
    <xf numFmtId="0" fontId="4" fillId="0" borderId="82" xfId="0" applyFont="1" applyBorder="1" applyAlignment="1">
      <alignment horizontal="center"/>
    </xf>
    <xf numFmtId="0" fontId="4" fillId="0" borderId="71" xfId="0" applyFont="1" applyBorder="1" applyAlignment="1">
      <alignment horizontal="center" vertical="top"/>
    </xf>
    <xf numFmtId="0" fontId="4" fillId="0" borderId="73" xfId="0" applyFont="1" applyBorder="1" applyAlignment="1">
      <alignment horizontal="center" vertical="top"/>
    </xf>
    <xf numFmtId="0" fontId="4" fillId="0" borderId="72" xfId="0" applyFont="1" applyBorder="1" applyAlignment="1">
      <alignment horizontal="center" vertical="top"/>
    </xf>
    <xf numFmtId="0" fontId="23" fillId="0" borderId="0" xfId="1" applyFont="1" applyAlignment="1">
      <alignment horizontal="center" vertical="top"/>
    </xf>
    <xf numFmtId="0" fontId="21" fillId="0" borderId="0" xfId="1"/>
    <xf numFmtId="0" fontId="23" fillId="0" borderId="0" xfId="1" applyFont="1" applyAlignment="1">
      <alignment horizontal="left" vertical="top" wrapText="1"/>
    </xf>
  </cellXfs>
  <cellStyles count="3">
    <cellStyle name="Hipervínculo" xfId="2" builtinId="8"/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CF3"/>
      <color rgb="FFFFF3EF"/>
      <color rgb="FFAE8055"/>
      <color rgb="FFDCC8B6"/>
      <color rgb="FFC5A385"/>
      <color rgb="FF3D9B35"/>
      <color rgb="FFFABC20"/>
      <color rgb="FFF85C26"/>
      <color rgb="FF00ABD4"/>
      <color rgb="FFBCB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20159</xdr:colOff>
      <xdr:row>34</xdr:row>
      <xdr:rowOff>45176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944959" cy="52013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a76e87e12926911/NATURA_MONTFRED/1_PROJECTES/PROJECTES_2024/45_PLANS%20ESTRATEGICS%20ALBERA%20i%20BANYOLES/ALBERA/Albera%20Pla%20Estrat&#232;gic%202025-29_rev_t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ATÈGIA"/>
      <sheetName val="INSTRUCCIONS"/>
      <sheetName val="PRIORITZACIÓ"/>
      <sheetName val="Full2"/>
      <sheetName val="Analisi_Prioritat_Grup"/>
      <sheetName val="PLA"/>
      <sheetName val="Transposicio_Pla_Doc"/>
      <sheetName val="Calcul_Indicadors"/>
      <sheetName val="VINCLE AMENAÇA_OBJ. OPERATIU"/>
      <sheetName val="Taxonomia Amenaces"/>
      <sheetName val="Llistes"/>
      <sheetName val="Ful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K2" t="str">
            <v>Administració</v>
          </cell>
          <cell r="L2" t="str">
            <v>Pilar Sanllehí</v>
          </cell>
        </row>
        <row r="3">
          <cell r="K3" t="str">
            <v>Direcció</v>
          </cell>
          <cell r="L3" t="str">
            <v>Gerard Carrion</v>
          </cell>
        </row>
        <row r="4">
          <cell r="K4" t="str">
            <v>Manteniment</v>
          </cell>
          <cell r="L4" t="str">
            <v>Sergi Roura</v>
          </cell>
        </row>
        <row r="5">
          <cell r="K5" t="str">
            <v>Patrimoni natural</v>
          </cell>
          <cell r="L5" t="str">
            <v>Pau Federico</v>
          </cell>
        </row>
        <row r="6">
          <cell r="K6" t="str">
            <v>Ús públic i educació ambiental</v>
          </cell>
          <cell r="L6" t="str">
            <v>Ivan Bustamante</v>
          </cell>
        </row>
        <row r="7">
          <cell r="K7" t="str">
            <v>XN2000</v>
          </cell>
          <cell r="L7" t="str">
            <v>Montse Pascual</v>
          </cell>
        </row>
      </sheetData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quel Campos" refreshedDate="46199.458782175927" createdVersion="6" refreshedVersion="6" minRefreshableVersion="3" recordCount="281">
  <cacheSource type="worksheet">
    <worksheetSource ref="A1:J282" sheet="PLA (2)"/>
  </cacheSource>
  <cacheFields count="10">
    <cacheField name="EIXOS" numFmtId="49">
      <sharedItems containsBlank="1" count="15">
        <s v="Eix 01 - Natura"/>
        <s v="Eix 02 - Cultura"/>
        <s v="Eix 03 - Coneixement"/>
        <s v="Eix 04 - Desenvolupament local"/>
        <s v="Eix 05 - Ús públic i social"/>
        <s v="Eix 06 - Educació, voluntariat i comunicació"/>
        <s v="Eix 07 - Gestió i administració"/>
        <s v="GESTIÓ I ADMINISTRACIÓ" u="1"/>
        <m u="1"/>
        <s v="EDUCACIÓ, VOLUNTARIAT I COMUNICACIÓ " u="1"/>
        <s v="CONEIXEMENT " u="1"/>
        <s v="NATURA" u="1"/>
        <s v="DESENVOLUPAMENT LOCAL " u="1"/>
        <s v=" CULTURA" u="1"/>
        <s v="ÚS PÚBLIC I SOCIAL" u="1"/>
      </sharedItems>
    </cacheField>
    <cacheField name="Id_OG" numFmtId="49">
      <sharedItems/>
    </cacheField>
    <cacheField name="OBJECTIUS Generals (PP)" numFmtId="49">
      <sharedItems count="16">
        <s v="CONSERVAR LA NATURA i restaurar els ecosistemes, els processos naturals i seminaturals, la biodiversitat i la geodiversitat associada."/>
        <s v="ADAPTAR ELS ECOSISTEMES AL CANVI CLIMÀTIC i millorar-ne la resiliència en front dels riscos associats."/>
        <s v="PROTEGIR LA BIODIVERSITAT, i especialment els elements fràgils i amenaçats, d’interès comunitari o de major interès natural."/>
        <s v="CONSERVAR ELS ELEMENTS CULTURALS materials i immaterials vinculats a la natura"/>
        <s v="PROTEGIR EL PAISATGE i la qualitat de l'ambient visual, sonor i lumínic."/>
        <s v="MILLORAR EL CONEIXEMENT DE L'ENTORN, del patrimoni natural, cultural i social."/>
        <s v="FIXAR LA POBLACIÓ AL TERRITORI d'acord amb les oportunitats que generen els objectius de l'espai."/>
        <s v="APROFITAR ELS RECURSOS NATURALS DE FORMA SOSTENIBLE mitjançant desenvolupament dels aprofitaments tradicionals de forma compatible amb la conservació de l'espai "/>
        <s v="FOMENTAR UN TURISME SOSTENIBLE compatible amb la conservació de l'espai "/>
        <s v="ORDENAR ELS USOS I APROFITAMENTS per garantir l'equilibri de les activitats humanes amb la conservació de la biodiversitat"/>
        <s v="ORDENAR L'ÚS PÚBLIC I SOCIAL per a la protecció dels hàbitats, espècies i elements geològics"/>
        <s v="GESTIONAR ELS RISCOS NATURALS per a l'autoprotecció de la població local"/>
        <s v="FORMAR I SENSIBILITZAR la població incrementant la valoració i estima social de l'ENP"/>
        <s v="COMUNICAR I DIFONDRE ELS VALORS DE L'ENP, contribuint a l'educació ambiental de la societat"/>
        <s v="ESTABLIR EL MARC PER A LA GOVERNANÇA i la gestió eficient de l'espai i la xarxa d'ENP"/>
        <s v="MILLORAR L'EFICIÈNCIA de la gestió administrativa"/>
      </sharedItems>
    </cacheField>
    <cacheField name="Id_OE" numFmtId="49">
      <sharedItems/>
    </cacheField>
    <cacheField name="OBJECTIUS Estratègics" numFmtId="49">
      <sharedItems containsBlank="1" count="58">
        <s v="Adequar i fer eficient la conservació dels elements objecte de gestió prioritària marcats per la DG a l'ENP"/>
        <s v="Executar les mesures de gestió directa previstes en els instruments de planificació per la conservació i la gestió adaptativa dels elements clau de l'ENP"/>
        <s v="Crear ecosistemes complexes, resilients, i d'alta biodiversitat per garantir la recuperació dels processos ecosistèmics"/>
        <s v="Alinear l'activitat de propietaris i gestors del territori amb la conservació, millora i restauració dels valors de l'ENP"/>
        <s v="Planificar l'adaptació dels sistemes naturals al canvi climàtic"/>
        <s v="Planificar la prevenció i extinció d’incendis forestals i la gestió del foc de forma coordinada amb els diferents agents del territori "/>
        <s v="Prevenir, minimitzar i compensar els impactes ambientals dels usos i activitats que es desenvolupin en l'àmbit de l'ENP"/>
        <s v="Garantir el compliment dels objectius de conservació dotant l'ENP de la planificació adequada segons estableix la normativa vigent (Pla de Protecció, PRUG, plans específics...)"/>
        <s v="Vetllar pel manteniment dels cabals ecològics i la bona qualitat dels cursos fluvials de l'ENP de forma coordinada amb l'administració competent"/>
        <s v="Incrementar el patrimoni públic destinat a la conservació i millora del patrimoni natural"/>
        <s v="Millorar el coneixement disponible sobre el patrimoni arquitectònic i cultural (material i immaterial) vinculat al patrimoni natural, el seu estat de conservació i els estils propis dels territoris de l'ENP"/>
        <s v="Conservar i gestionar el patrimoni cultural de l'ENP de forma coordinada amb els agents responsables i entitats de referència"/>
        <s v="Potenciar la conservació i recuperació del patrimoni cultural material i immaterial de l'ENP"/>
        <s v="Donar a conèixer els elements culturals com a valors del paisatge de l'ENP en les activitats d'ús públic "/>
        <s v="Identificar els elements d'interès paisatgístic de l'espai"/>
        <s v="Millorar la qualitat paisatgística"/>
        <s v="Protegir la qualitat acústica i lumínica de l'ENP"/>
        <s v="Identificar els objectes de gestió prioritària de l'ENP en el marc dels objectius de govern"/>
        <s v="Conèixer l'estat de conservació i la seva tendència dels hàbitats, les espècies els elements de la gea i els processos ecològics com a eina per avaluar i optimitzar la gestió"/>
        <s v="Estandarditzar els seguiments periòdics dels grups clau "/>
        <s v="Incrementar el coneixement de qualitat mitjançant l’establiment de marcs de col·laboració, assessorament i suport amb centres de recerca, museus i entitats naturalistes per al desenvolupament de part de la seva activitat en l’ENP"/>
        <s v="Millorar el coneixement global de les dinàmiques d'usos antròpics de l’ENP"/>
        <s v="Fomentar i donar suport tècnic als Plans de desenvolupament socioeconòmic local sostenible dels municipis "/>
        <s v="Impulsar models productius agraris i forestals per tal d'afavorir la conservació dels hàbitats i els paisatges modelats per aquestes, i contribuir a la millora socioeconòmica de les persones que la fan possible"/>
        <s v="Promoure la coordinació amb els agents socioeconòmics del territori pel foment del desenvolupament sostenible de l'espai (sector primari i secundari)"/>
        <s v="Millorar la valorització i comercialització dels productes generats a l'ENP que contribueixen al desenvolupament socioeconòmic i la conservació del patrimoni de l'ENP"/>
        <s v="Contribuir a una correcta planificació i gestió dels recursos cinegètics i piscícoles de forma compatible amb els valors de l'ENP"/>
        <s v="Fomentar un model de turisme que promogui els valors dels espais naturals protegits d'acord amb els agents turístics del territori "/>
        <s v="Promoure la coordinació amb els agents turístics del territori (empreses, industries, administració)."/>
        <s v="Estandarditzar de regulació d'usos i aprofitaments  en base al model de Pla de protecció"/>
        <s v="Estandarditzar regulació de l’ús públic i social en base al model acordat per govern"/>
        <s v="Disposar de la xarxa viària i itineraris oficials de l'ENP"/>
        <s v="Implementar el protocol estandarditzat basat en el pla per la regulació al accés, circulació i ús de la xarxa viària"/>
        <s v="Enfortir la col·laboració i coordinació amb els agents d'ús públic (empreses, entitats i ajuntaments)"/>
        <s v="Mantenir i millorar la senyalització de l'ENP"/>
        <s v="Prevenir i gestionar els impactes derivats de la sobrefreqüentació"/>
        <s v="Ordenar i estandarditzar els espais d'acollida de visitants i equipaments d'ús públic, i garantir un correcte servei d'atenció i acollida dels visitants"/>
        <s v="Garantir el compliment de la normativa dins els ENP, especialment en l'accés motoritzat, zones amb hiperfrequentació i elements amb aprofitament comercial"/>
        <s v="Col·laborar amb les autoritats competents per a la gestió de riscos dins l’ENP"/>
        <s v="Afavorir la vinculació entre la comunitat educativa de l'entorn i l'ENP "/>
        <s v="Promoure una oferta pedagògica basada en metodologies innovadores i actives que estiguin alineades amb el currículum educatiu del Departament d'Educació"/>
        <s v="Establir mecanismes estables de formació, treball i coordinació amb els col·lectius implicats en la sensibilització i l'educació dins el ENP"/>
        <s v="Desplegar un programa de divulgació i sensibilització per a visitants"/>
        <s v="Desplegar un programa de sensibilització i formació per als col·lectius del territori estratègics en la conservació de la natura"/>
        <s v="Fomentar accions de voluntariat per conservar el patrimoni natural i cultural "/>
        <s v="Treballar per a la universalitat de les accions d’educació, sensibilització i voluntariat ambiental "/>
        <s v="Desplegar i adaptar el programa Salut i Natura de la DG en l'àmbit de l'ENP"/>
        <s v="Augmentar el coneixement de l'ENP entre la població"/>
        <s v="Conscienciar sobre els valors de l'ENP als diferents públics objectiu"/>
        <s v="Disposar d'una comunicació ordenada efectiva, positiva i coordinada que arribi a la ciutadania i aquesta pugui reconèixer fàcilment "/>
        <s v="Disposar d'espais per a la participació de personal expert i agents del territori en la governança de l'ENP"/>
        <s v="Optimitzar l'aplicació pressupostaria"/>
        <s v="Planificar i optimitzar els processos de contractació, concessió d'ajuts, i les col·laboracions amb ens públics i privats"/>
        <s v="Agilitzar, incrementar l'eficiència  i incrementar l’assoliment dels procediments administratius"/>
        <s v="Ordenar l'estat dels béns patrimonials"/>
        <s v="Estructurar la gestió documental"/>
        <s v="Gestionar recursos humans"/>
        <m u="1"/>
      </sharedItems>
    </cacheField>
    <cacheField name="Id_OO" numFmtId="49">
      <sharedItems/>
    </cacheField>
    <cacheField name="OBJECTIUS operatius / Línia estratègica" numFmtId="49">
      <sharedItems count="180">
        <s v="Implementar i executar plans de gestió específics per a hàbitats i espècies de conservació prioritària dins l'ENP"/>
        <s v="Adaptar i executar plans de gestió específics per a elements geològics de conservació prioritària dins l'ENP"/>
        <s v="Implementar la metodologia de gestió adaptativa (Estàndards Oberts de Gestió Adaptativa a Catalunya) en tots els processos de l'ENP"/>
        <s v="Executar les mesures previstes en els plans de conservació o recuperació d'espècies amenaçades de forma coordinada amb el Servei de Flora i Fauna en l'àmbit de l'ENP"/>
        <s v="Executar les mesures de gestió previstes en els plans de control i erradicació d'espècies exòtiques de forma coordinada amb el Servei de Flora i Fauna en l'àmbit de l'ENP"/>
        <s v="Desplegar els objectius i tasques recollits en els instruments de referència i compromisos internacionals  "/>
        <s v="Identificar espais pel foment de la dinàmica natural i l'aprofitament no extractiu"/>
        <s v="Afavorir la maduresa dels sistemes forestals"/>
        <s v="Generar pertorbacions controlades"/>
        <s v="Restaurar la dinàmica natural dels rius "/>
        <s v="Fomentar el paisatge en mosaic"/>
        <s v="Gestionar i intervenir en la dinàmica de poblacions de fauna que no tenen depredador natural"/>
        <s v="Fomentar acords de custòdia en espais d'alt valor dins l'ENP per a la gestió dels elements prioritaris"/>
        <s v="Fomentar bones pràctiques entre els col·lectius de propietaris i gestors del territori"/>
        <s v="Impulsar la coordinació amb els ens locals en la gestió finques públiques situades dins d’ENP"/>
        <s v="Adaptar i implementar el Pla d'adaptació de l'ENP al canvi climàtic"/>
        <s v="Gestionar i planificar els recursos hídrics de l'ENP"/>
        <s v="Participar en la redacció i execució dels instruments d'ordenació forestal sostenible i per la conservació en finques públiques"/>
        <s v="Redactar i implementar el Pla de Prevenció d'Incendis "/>
        <s v="Definir i planificar la gestió del foc per a la millora de l'ENP"/>
        <s v="Treballar per a la prevenció d'incendis juntament amb els propietaris, ajuntaments, protecció civil, ADF i bombers."/>
        <s v="Participar en les consultes dels processos d'Avaluació Ambiental que afectin directament o indirectament l’espai del ENP"/>
        <s v="Exercir un seguiment efectiu de les obres al Parc juntament amb les Oficines Territorials d'Acció i Avaluació Ambiental als efectes d'assegurar la correcta translació de la tutela administrativa."/>
        <s v="Participar en la compensació d'impactes residuals durant els processos d'avaluació ambiental mitjançant la identificació de necessitats d'actuació prioritària dins i fora dels límits de l’ENP"/>
        <s v="Participar en l'elaboració dels instruments de planificació de l'ENP"/>
        <s v="Vetllar pel manteniment del cabal ecològic dels rius definit al Pla sectorial corresponent"/>
        <s v="Vetllar per la regulació dels dragatges, canalitzacions o implantació d'activitats extractives que puguin modificar la llera i el cabal dels rius"/>
        <s v="Avaluar i controlar les actuacions que produeixin drenatges, captacions o que puguin impedir l’arribada d’aigua tant superficial com freàtica"/>
        <s v="Vetllar pel compliment de la normativa de depuració dels efluents agroramaders, urbans i industrials que s'aboquen als cursos fluvials"/>
        <s v="Identificar espais prioritaris per a la compra de terrenys de més valor dins l'ENP "/>
        <s v="Identificar espais prioritaris per a la gestió directa"/>
        <s v="Elaborar l'inventari i cartografia de patrimoni cultural de l'ENP, que també inclogui el patrimoni etnològic i immaterial"/>
        <s v="Elaborar el catàleg lingüístic (localismes) de patrimoni natural, geografia popular, festes i activitats tradicionals de l'ENP"/>
        <s v="Elaborar la cartografia de la xarxa de camins ramaders i senders tradicionals de l'ENP"/>
        <s v="Identificar els ens de referència en patrimoni cultural (entitats, associacions, museus i ecomuseus, etc.) en l'àmbit de l'ENP"/>
        <s v="Articular treballs conjunts entre l'ENP i representants, gestors o custodis del patrimoni cultural per a la seva protecció i millora"/>
        <s v="Coordinar i participar dels treballs de restauració arquitectònica i del patrimoni cultural"/>
        <s v="Disposar de personal especialitzat en patrimoni cultural"/>
        <s v="Recuperar i conservar el patrimoni cultural rural immaterial associat a les activitats i aprofitaments tradicionals "/>
        <s v="Recuperar i conservar el patrimoni cultural rural vinculat específicament a construccions de pedra en sec"/>
        <s v="Fomentar la recuperació i conservació de l'arquitectura tradicional d'interès de les edificacions i construccions "/>
        <s v="Identificar i conservar la diversitat domesticada de varietats agrícoles i ramaderes locals"/>
        <s v="Integrar el patrimoni cultural als itineraris i cartelleria de l'ENP."/>
        <s v="Incorporar el patrimoni cultural en els plans d’ús públic i educació ambiental per fomentar-ne la seva conservació i divulgació."/>
        <s v="Formar el personal dels punts d’informació en els valors culturals de l'ENP"/>
        <s v="Elaborar un inventari d'elements d'interès paisatgístic de l'ENP d'acord amb el Catàleg de paisatge de la zona "/>
        <s v="Desplegar actuacions de restauració dels elements d'interès paisatgístic degradats"/>
        <s v="Gestionar l'abandonament d'infraestructures i instal·lacions amb impactes sobre els valors de l'espai"/>
        <s v="Minimitzar la brutícia, deixalles, vandalisme i males praxis dins l'ENP"/>
        <s v="Promoure la certificació de qualitat del cel nocturn"/>
        <s v="Promoure la certificació de zones d'especial protecció de la qualitat acústica"/>
        <s v="Identificar i prioritzar els elements clau i d'interès per la gestió de la biodiversitat i geodiversitat de Catalunya es troben dins l'ENP (especies amenaçades, espècies exòtiques invasores,.. )"/>
        <s v="Definir espais fràgils i zones d'especial atenció"/>
        <s v="Participar en l'elaboració de la cartografia que elabora la UIC"/>
        <s v="Conèixer i estudiar els processos naturals propis de l’espai, la seva funcionalitat, i ecologia en referència als ecosistemes"/>
        <s v="Conèixer els usos i factors de canvi rellevants en l'evolució dels elements de conservació, i avaluar els efectes que generen en l’espai (pressions i amenaces)"/>
        <s v="Conèixer l'impacte de les gestió de l'aigua, sobre la biodiversitat."/>
        <s v="Participar en el coneixement de la tendència d'espècies plaga amb afectacions sobre ecosistemes o activitats econòmiques dins l'ENP"/>
        <s v="Conèixer la tendència d'espècies exòtiques invasores amb afectacions sobre ecosistemes o activitats econòmiques dins l'ENP"/>
        <s v="Conèixer com millorar la connectivitat de forma coordinada amb altres ENP"/>
        <s v="Participar en la definició del sistema estàndard de seguiment de flora, fauna i hàbitats de la DG"/>
        <s v="Adequar i executar el sistema de seguiment periòdic dels grups clau de l'ENP al sistema estàndard de seguiment"/>
        <s v="Mantenir una base de dades de seguiment de patrimoni natural de l'ENP actualitzada i ordenada "/>
        <s v="Participar en el grups de treball per a la definició i organització del SINATCAT"/>
        <s v="Crear sinèrgies i col·laborar amb museus i equipaments de referència per definir línies d'actuació conjunta entre patrimoni cultural i natural"/>
        <s v="Establir acords amb les institucions de recerca i naturalistes per al desenvolupament d'estudis i inventaris dins l'ENP en el marc de les seves línies de recerca"/>
        <s v="Potenciar la ciència ciutadana en l’ENP com a eina per generar coneixement "/>
        <s v="Crear i desenvolupar jornades de recerca de l'ENP de forma anual on els diferents centres mostrin els estudis realitzats en l'ENP "/>
        <s v="Posar a disposició de la recerca, equipaments i serveis de l'ENP"/>
        <s v="Crear l'Observatori de recerca de l'ENP vinculat a l'Observatori del Patrimoni natural i la biodiversitat "/>
        <s v="Participar en la definició del sistema estàndard de seguiment de l'ús públic amb el SENP"/>
        <s v="Disposar de dades de freqüentació i perfil d'usuari en l'ENP i en especial en equipaments i en zones d'alta freqüentació segons el model de DG "/>
        <s v="Identificar les activitats i actors de l’espai."/>
        <s v="Identificar en cartografia les males praxis i punts de massificació"/>
        <s v="Adaptar i mantenir un registre d'activitats, actors i incidències en ús públic (curses, conflictes, queixes, etc)"/>
        <s v="Identificar els impactes (positius i negatius) que generen les activitats d'ús públic dins l'ENP"/>
        <s v="Promoure i col·laborar en l'aplicació de Plans de Desenvolupament Local Sostenible "/>
        <s v="Acompanyar i assessorar els productors agraris per millorar les tècniques productives agràries i afavorir la conservació dels hàbitats i paisatges "/>
        <s v="Oferir formació als productors agraris per millorar el seu coneixement sobre tècniques eficients i respectuoses amb la conservació del patrimoni natural i cultural "/>
        <s v="Promoure la recuperació i conservació de marges i punts d'aigua associats a la ramaderia i l'agricultura i d'interès per la biodiversitat"/>
        <s v="Establir una relació contínua amb agents socioeconòmics del territori, i si s'escau, crear una Taula de desenvolupament local"/>
        <s v="Implantar un distintiu de qualitat i compatibilitat amb la conservació dels productes de la Xarxa d'ENP o criteris de qualitat propis de l'ENP"/>
        <s v="Integrar els productes i activitats locals de qualitat en l'oferta d'activitats d'informació i turístiques de l'ENP"/>
        <s v="Promoure fires d'artesania i productes locals de l'ENP"/>
        <s v="Generar aliances entre el sector primari, el turisme, la restauració i altres per fomentar la gastronomia local "/>
        <s v="Elaborar una diagnosi del teixit productiu local i un pla d’acció amb línies de treball i actuacions concretes per donar-li suport"/>
        <s v="Elaborar una guia per promocionar els agents del territori que potencien i difonen els productes alimentaris locals i de qualitat (allotjaments, restaurants, cellers, establiments, elaboradors i productors)"/>
        <s v="Treballar amb l'autoritat competent per garantir objectius de conservació d’espècies i hàbitats en la revisió dels Plans de Gestió Cinegètica"/>
        <s v="Col·laborar en la regulació i ordenació de la caça i la pesca en zones sensibles o amb risc d'afectació d'elements clau objecte de conservació"/>
        <s v="Donar suport en la gestió de poblacions que generen danys a les activitats econòmiques de l'ENP"/>
        <s v="Desplegar la Carta Europea de Turisme Sostenible (CETS)"/>
        <s v="Tramitar la certificació Biosphere"/>
        <s v="Treballar amb les empreses turístiques per trobar eines de canvi cap a un model de turisme sostenible i de qualitat "/>
        <s v="Crear productes i paquets turístics amb associacions d’empreses turístiques i operadors turístics"/>
        <s v="Establir un model de construcció a l'ENP en base al model de Pla de protecció"/>
        <s v="Regular l'acampada i pernoctació  en base al model de Pla de protecció"/>
        <s v="Regular les activitats aquàtiques i nàutiques i zones de fondeig"/>
        <s v="Regular la presència d'animals de companyia"/>
        <s v="Regular les activitats d'educació ambiental i el lleure educatiu"/>
        <s v="Regular la circulació rodada no motoritzada en base al model de Pla de protecció"/>
        <s v="Regular l'escalada i alpinisme, barranquisme, i espeleologia  en base al model de Pla de protecció"/>
        <s v="Regular les curses i altres activitats esportives organitzades en base al model de Pla de protecció"/>
        <s v="Regular els enregistraments i l'observació de fauna i natura en base al model de Pla de protecció"/>
        <s v="Regular les activitats científiques en base al model de Pla de protecció"/>
        <s v="Regular les zones de bany"/>
        <s v="Regular l'enlairament i aterratge sense motor"/>
        <s v="Regular el submarinisme i l'snorkel"/>
        <s v="Identificar i classificar la xarxa viària bàsica, secundària, senders i itineraris senyalitzats d'acord amb els ajuntaments "/>
        <s v="Treballar conjuntament amb els principals canals d’informació de rutes  per prioritzar itineraris oficials dins l’ENP"/>
        <s v="Regular l'accés i la circulació"/>
        <s v="Regular la xarxa viària principal, secundària i restringida"/>
        <s v="Regular l'ús de drons, l'enlairament i l'aterratge"/>
        <s v="Aplicar limitacions temporals d'accés o circulació"/>
        <s v="Regular l'aparcament de vehicles"/>
        <s v="Implementar l'ordenació de l'ús públic en col·laboració amb els agents del territori"/>
        <s v="Promoció i acompanyament en l'ordenació de l'ús públic de l'ENP des de l'àmbit municipal"/>
        <s v="Realitzar l'inventari de senyalètica de l'ENP"/>
        <s v="Implantar el programa de senyalització i manteniment "/>
        <s v="Potenciar la visita a espais alternatius dins de l'àmbit d'influència de l'espai natural per reduir la pressió en zones sensibles "/>
        <s v="Implementar les mesures extraordinàries de regulació de l'ús públic "/>
        <s v="Adequar els principals accessos, aparcaments i centres d'interès amb un ús elevat"/>
        <s v="Disposar dels equipaments i infraestructures necessàries i accessibles per acollir, informar, facilitar la visita i garantir la seguretat dels visitants i la protecció de l'entorn"/>
        <s v="Desenvolupar el Pla d'acollida als visitants en base al model de la DG"/>
        <s v="Adaptar els missatges a donar des d'oficines d’informació, pròpies i alienes, d'acord amb el model de la DG"/>
        <s v="Elaborar i executar el Pla de vigilància de l’espai d'acord amb els cossos d’inspecció i seguretat"/>
        <s v="Millorar la coordinació amb els cossos de seguretat per efectuar accions de control i vigilància"/>
        <s v="Vetllar pel compliment d'informes i la vigilància tècnica de l'espai"/>
        <s v="Ordenar el pla d’emergències"/>
        <s v="Contribuir a la protecció dels assentaments humans respecte dels riscos naturals"/>
        <s v="Definir el model de Xarxa d'Escoles de l'Espai Natural (XEEN) a l'ENP amb els agents educatius del territori"/>
        <s v="Desplegar el model de Xarxa d'Escoles de l'Espai Natural (XEEN) a l'ENP d'acord amb el model general"/>
        <s v="Formar i capacitar al professorat de la XEEN "/>
        <s v="Adaptar i millorar l'oferta pedagògica de l'ENP generant situacions d'aprenentatge i treballs per projecte"/>
        <s v="Dissenyar projectes d'ApS ambiental i Ciència ciutadana i projectes compartits amb entitats del territori que s'incloguin dins de l'oferta pedagògica."/>
        <s v="Elaborar recursos educatius sobre l’espai (que tinguin en compte les problemàtiques singulars del seu espai) i posar-los a disposició dels centres educatius"/>
        <s v="Oferir projectes de recerca vinculats a l'espai natural per a l'alumnat universitari i de la XEEN"/>
        <s v="Establir un model de coordinació territorial amb agents clau de l'educació ambiental"/>
        <s v="Cercar i establir col·laboracions i projectes conjunts amb agents clau del territori"/>
        <s v="Elaborar formacions dirigides als informadors, educadors i altres prescriptors del territori"/>
        <s v="Desplegar en el territori les campanyes de sensibilització i bones pràctiques que s'impulsin des de la DG"/>
        <s v="Adaptar el programa de divulgació i sensibilització de l'ENP perquè incorpori una oferta d’activitats adequada per a famílies "/>
        <s v="Adaptar el programa de divulgació i sensibilització de l'ENP perquè incorpori una oferta d’activitats adequada per a altres perfils "/>
        <s v="Adaptar el programa de divulgació i sensibilització de l'ENP perquè incorpori una oferta d’activitats dirigida al lleure educatiu "/>
        <s v="Identificar col·lectius estratègics implicats en la gestió i l'ús del territori"/>
        <s v="Executar els projectes de sensibilització i formació dirigits al sector turístic, esportiu i de lleure"/>
        <s v="Executar els projectes de sensibilització i formació dirigits als agents de lleure educatiu "/>
        <s v="Executar els projectes de sensibilització i formació dirigits als agents del sector primari "/>
        <s v="Elaborar i renovar periòdicament un programa d’educació ambiental adreçat a la població local que contribueixi a fomentar el sentiment de pertinença i la implicació en la conservació de l'ENP."/>
        <s v="Identificar els programes, projectes i accions en marxa o previstos a l’ENP que poden rebre el suport del voluntariat"/>
        <s v="Establir un model de coordinació territorial amb agents clau del voluntariat ambiental"/>
        <s v="Dissenyar i adaptar activitats inclusives per a persones amb necessitats específiques"/>
        <s v="Formar el personal de l'ENP (informadors i personal que treballa de cara al públic) en accessibilitat, diversitat funcional i diversitat de gènere"/>
        <s v="Incorporar la perspectiva de gènere als continguts i activitats de l'ENP"/>
        <s v="Dissenyar, implementar i fomentar itineraris saludables dins dels itineraris oficials dels ENP i en la zona d'influència"/>
        <s v="Identificar els agents clau i els àmbits de col·laboració per implementar el binomi salut i natura"/>
        <s v="Incloure el concepte de salut i natura en els missatges educatius i comunicatius de l'ENP "/>
        <s v="Participar a les Taules territorials de Salut i Natura"/>
        <s v="Informar periòdicament sobre les tasques, projectes i actuacions que duu a terme l'ENP a la població"/>
        <s v="Garantir l'accessibilitat i gestió del coneixement disponible sobre l'ENP"/>
        <s v="Sensibilitzar als diferents agents sobre els valors de l'ENP"/>
        <s v="Optimitzar els canals de comunicació"/>
        <s v="Garantir l'harmonització de la comunicació com a Parc, Xarxa i Generalitat."/>
        <s v="Crear una taula de treball amb els agents prioritaris per a la gestió de l'ENP i els grups de treball temàtics necessaris"/>
        <s v="Disposar d'assessorament científic en l'ENP"/>
        <s v="Incloure entitats i organismes científics i culturals de referència en els mecanismes de presa de decisions de l'ENP"/>
        <s v="Adaptar i desplegar el model de governança dels espais naturals protegits"/>
        <s v="Millorar el sistema de control de l'execució del pressupost, d'acord amb les indicacions de Serveis Centrals"/>
        <s v="Planificar i detectar les necessitats de contractació del l'ENP per a l'optimització dels contractes a nivell de Xarxa"/>
        <s v="Planificar i detectar les tasques de convocatòries d'ajuts de l'ENP"/>
        <s v="Establir i renovar en temps i forma convenis de col·laboració, convenis marc, acords, protocols i altres instruments de col·laboració."/>
        <s v="Adequar i actualitzar els procediments i tramitacions realitzats des de l'ENP als nous processos i eines conjuntes proposades des de Serveis Centrals"/>
        <s v="Optimitzar l'elaboració d'informes"/>
        <s v="Augmentar el coneixement de l'equip de treball en matèria de procediment administratiu"/>
        <s v="Garantir la transparència administrativa"/>
        <s v="Millorar i mantenir el material i infraestructures de gestió"/>
        <s v="Revisar l’estat dels béns patrimonials i la situació administrativa-legal dels equipaments del parc"/>
        <s v="Tenir cobertes les pèrdues o danys materials del patrimoni de la Direcció General que hi ha a l'àmbit territorial del Parc, com a conseqüència de la materialització de qualsevol dels riscs emparats en el plec de prescripcions tècniques de la pòlissa."/>
        <s v="Millorar l'accessibilitat i la gestió documental del centre o punt de documentació de l'ENP"/>
        <s v="Gestió de la brigada de manteniment"/>
        <s v="Gestió de personal"/>
      </sharedItems>
    </cacheField>
    <cacheField name="Comú / Específic" numFmtId="49">
      <sharedItems containsBlank="1"/>
    </cacheField>
    <cacheField name="Obligatori / Optatiu" numFmtId="49">
      <sharedItems containsBlank="1"/>
    </cacheField>
    <cacheField name="Objectiu operatiu concret a l'espai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quel Campos" refreshedDate="46202.607162499997" createdVersion="6" refreshedVersion="6" minRefreshableVersion="3" recordCount="281">
  <cacheSource type="worksheet">
    <worksheetSource name="_xlnm.Print_Area" sheet="PLA (2)"/>
  </cacheSource>
  <cacheFields count="30">
    <cacheField name="EIXOS" numFmtId="49">
      <sharedItems count="7">
        <s v="Eix 01 - Natura"/>
        <s v="Eix 02 - Cultura"/>
        <s v="Eix 03 - Coneixement"/>
        <s v="Eix 04 - Desenvolupament local"/>
        <s v="Eix 05 - Ús públic i social"/>
        <s v="Eix 06 - Educació, voluntariat i comunicació"/>
        <s v="Eix 07 - Gestió i administració"/>
      </sharedItems>
    </cacheField>
    <cacheField name="Id_OG" numFmtId="49">
      <sharedItems/>
    </cacheField>
    <cacheField name="OBJECTIUS Generals (PP)" numFmtId="49">
      <sharedItems/>
    </cacheField>
    <cacheField name="Id_OE" numFmtId="49">
      <sharedItems/>
    </cacheField>
    <cacheField name="OBJECTIUS Estratègics" numFmtId="49">
      <sharedItems/>
    </cacheField>
    <cacheField name="Id_OO" numFmtId="49">
      <sharedItems/>
    </cacheField>
    <cacheField name="OBJECTIUS operatius / Línia estratègica" numFmtId="49">
      <sharedItems/>
    </cacheField>
    <cacheField name="Comú / Específic" numFmtId="49">
      <sharedItems containsBlank="1"/>
    </cacheField>
    <cacheField name="Obligatori / Optatiu" numFmtId="49">
      <sharedItems containsBlank="1"/>
    </cacheField>
    <cacheField name="Objectiu operatiu concret a l'espai" numFmtId="49">
      <sharedItems containsBlank="1"/>
    </cacheField>
    <cacheField name="Explicació de la decisió presa en el cas de canvis respecte al llistat inicial (columna G)" numFmtId="0">
      <sharedItems containsBlank="1"/>
    </cacheField>
    <cacheField name="Objectiu amb mesures incorporables a la planificació anual de la gestió de l'espai?" numFmtId="49">
      <sharedItems containsBlank="1"/>
    </cacheField>
    <cacheField name="Prioritat" numFmtId="49">
      <sharedItems containsBlank="1"/>
    </cacheField>
    <cacheField name="Ordre" numFmtId="0">
      <sharedItems containsString="0" containsBlank="1" containsNumber="1" containsInteger="1" minValue="0" maxValue="7"/>
    </cacheField>
    <cacheField name="Propostes d'accions" numFmtId="49">
      <sharedItems containsBlank="1" count="216" longText="1">
        <s v="Elaboració d'un pla de gestió de les tortugues aquàtiques autòctones a l'espai natural (Emys orbicularis i Mauremys leprosa)."/>
        <s v="Elaboració d'un pla de gestió per la conservació i millora de les nàiades de l'espai natural (Unio ravoisieri, Unio mancus, Potomida littoralis  i Anodonta anotina)."/>
        <s v="Elaboració d'un pla de gestió de la falguera dels pantans (Thelypteris palustris)."/>
        <s v="Elaboració d'un pla de gestió de Carex elata."/>
        <s v="Elaboració d'un pla de gestió de potamogèton perfoliat (Potamogeton perfoliatus)."/>
        <s v="Elaboració d'un pla de gestió dels microcargols Vertigo moulinsiana i Vertigo angustior."/>
        <s v="Elaboració d'un pla de gestió de peixos autòctons protegits (Barbus meridionalis, Salariopsis fluviatilis i Gasterosteus aculeatus) i altres d'interès per a les nàiades."/>
        <s v="Aplicació de les directrius de gestió de l'inventari de patrimoni geològic (ICGC)."/>
        <s v="Redacció d'un protocol per tal d'incorporar la metodologia dels Estàndards Oberts pels processos més rellevants per a la conservació a l'espai."/>
        <s v="Implementació del protocol per tal d'incorporar la metodologia dels Estàndards Oberts de Gestió Adaptativa a Catalunya pels processos més rellevants per a la conservació a l'ENP."/>
        <s v="Implicació i participació en la redacció dels plans de conservació /recuperació d'espècies amenaçades."/>
        <s v="Execució de les accions dins els plans de recuperació/conservació aprovats que afectin l'ENP."/>
        <s v="Col·laboració en l'obtenció de la informació necessària dins l'ENP per al desenvolupament dels Plans de Conservació i Recuperació d'espècies amenaçades."/>
        <s v="Redacció del Pla tècnic de control del coipú (Myocastor coypus)."/>
        <s v="Execució del Pla tècnic de control del coipú (Myocastor coypus)."/>
        <s v="Redacció del Pla tècnic de control de la tortugues exòtiques."/>
        <s v="Execució del Pla tècnic de control de la tortugues exòtiques."/>
        <s v="Redacció del Pla tècnic de control de la flora exòtica invasora problemàtica a l'ENP."/>
        <s v="Execució del Pla tècnic de control de la flora exòtica invasora problemàtica a l'ENP."/>
        <s v="Redacció del Pla tècnic de control dels peixos exòtics a l'Estany de Banyoles i zones humides del seu entorn."/>
        <s v="Execució del Pla tècnic de control dels peixos exòtics l'Estany de Banyoles i zones humides del seu entorn."/>
        <s v="Obtenció de la informació necessària per avaluar el desenvolupament dels plans tècnics de l'ENP."/>
        <s v="Trasllat de la informació recollida en el procés d'execució dels plans tècnics de control de les espècies exòtiques a Direcció General de Planificació Ambiental de la Generalitat de Catalunya. "/>
        <m/>
        <s v="Redacció d'un document d'Identificació d'espais pel foment de la renaturalització i restauració del patrimoni natural i del medi físic de l'ENP."/>
        <s v="_x000a_Execució de projectes de restauració per afavorir la conservació dels hàbitats i espècies d'interès a l'ENP."/>
        <s v="Planificació i execució d'accions d'acceleració de la maduresa forestal en zones boscoses dins l'ENP a través de la compra."/>
        <s v="Planificació i execució d'accions d'acceleració de la maduresa forestal en zones boscoses dins l'ENP a través de contractes de custòdia de finques."/>
        <s v="_x000a_Execució d'actuacions pilot de gestió d'hàbitats oberts amb grans herbívors per a la conservació de zones humides."/>
        <s v="Redacció de projectes per a la renaturalització de lleres i marges, i la creació de zones de laminació dins l'ENP."/>
        <s v="Execució d'actuacions de control directe de poblacions de fauna cinegètica (senglar, cabirol, conill)  a les zones de seguretat i refugi de fauna salvatge a l'ENP amb  coordinació amb el cos d'Agents Rurals i Societats de caçadors."/>
        <s v="Redacció d'un document tècnic pel foment de bones pràctiques en la gestió de prats i marges a favor dels pol·linitzadors dins l'ENP"/>
        <s v="Redacció d'un document tècnic pel foment de bones pràctiques en la organització d'esdeveniment lúdic-esportius dins de l'ENP."/>
        <s v="Redacció d'un document tècnic pel foment de bones pràctiques en l'entrenament esportiu dins l'Estany de Banyoles."/>
        <s v="Gestió de les finques públiques i en règim de custòdia de l'ENP."/>
        <s v="Redacció d'un Pla d'adaptació de l'ENP al canvi climàtic."/>
        <s v="Assistència a reunions amb els òrgans competents de gestió de l'aigua (Ajuntament de Banyoles i ACA) aportant directrius de conservació del patrimoni natural i del medi físic."/>
        <s v="Redacció d'un instrument per l'ordenació forestal a favor de la conservació de la biodiversitat a la finca de Mas Torrentmal i puig Clarà._x000a_"/>
        <s v="Redacció d'un instrument per l'ordenació forestal a favor de la conservació de la biodiversitat al paratge de les Estunes._x000a_"/>
        <s v="Assistència i participació en meses de decisió per la prevenció d'incendis."/>
        <s v="Assistència a reunions tècniques amb l'equip de la Oficina Territorial d'Acció i Avaluació Ambiental  dels Serveis Territorial de Girona, i si s'escau redacció d'informes."/>
        <s v="Realització de visites als treballs informats per l'òrgan de gestió, en coordinació amb l'Oficina Territorial d'Avaluació Ambiental."/>
        <s v="Realització de reunions tècniques amb el Servei de Planificació d'Espais Naturals de la Generalitat de Catalunya per l'elaboració d'instruments de planificació de l'ENP."/>
        <s v="Realització de reunions amb la Comissió Tècnica per la gestió de l'aigua a l'Estany de Banyoles."/>
        <s v="Realització del seguiment del cabal en els trams d'interès per la flora i la fauna dins l'ENP en situacions de sequera."/>
        <s v="Redacció d'un inventari de captacions dins de l'ENP."/>
        <s v="Redacció d'un inventari de punts potencials d'emissió d'efluents agroramaders o urbans que afecten a l'ENP."/>
        <s v="Elaboració d'un catàleg de finques d'interès per a la conservació i/o renaturalització dins l'ENP."/>
        <s v="Redacció d'un inventari de finques públiques i conveniades del Consorci de l'Estany i establir els objectius generals de gestió directa."/>
        <s v="Potenciar la inversió i la millora les instal·lacions del Laboratori de cria de nàiades de l’Estany de Banyoles"/>
        <s v="Impulsar el Laboratori de cria de nàiades de l’Estany de Banyoles com un centre de recerca i producció de nàiades i peixos hostes a nivell Català."/>
        <s v="Redacció d'un inventari de patrimoni cultural material i immaterial._x000a_"/>
        <s v="Elaboració de la cartografia de la xarxa de camins i senders de l'ENP."/>
        <s v="Participació tècnica en la reordenació de l'entorn immediat de l'església de Santa Maria de Porqueres."/>
        <s v="Millora i manteniment de la font del Camp de Baix (can Morgat)."/>
        <s v="Adequació i protecció de les mines del clot de les Deus (Porqueres)."/>
        <s v="Tenir en compte en nova senyalètica els elements del patrimoni cultural i manteniment d'aquests elements a la senyalètica existent."/>
        <s v="Consideració del patrimoni cultural en les activitats d'educació ambiental per fomentar-ne la seva conservació i divulgació."/>
        <s v="Reforç de la senyalització en punts conflictius."/>
        <s v="Participació en la definició dels objectes de conservació clau (hàbitats, espècies, processos i elements d’interès geològic) comuns a nivell de Xarxa d'ENP o clúster territorial."/>
        <s v="Elaboració de l'inventari d'elements geològics a l'ENP._x000a_"/>
        <s v="Elaboració de l'inventari de flora de l'ENP."/>
        <s v="Elaboració de l'inventari de fauna de l'ENP."/>
        <s v="Realització d'una cartografia de detall del conjunt de l'ENP per classificar les zones d'especial atenció per a la gestió i conservació del patrimoni natural i cultural."/>
        <s v="Trasllat de la informació a través de seguiments del elements clau i altres d'espècies i hàbitats d'interès per la gestió a la Unitat d'Informació i Conservació (UIC)."/>
        <s v="Foment i col.laboració en estudis del sistema hidrogoeològic de la zona lacustre de l'Estany de Banyoles._x000a_"/>
        <s v="Realització d'un catàleg de espècies de la flora orientat al forment dels pol.linitzadors a l'ENP en diferents hàbitats i determinar espais per impulsar canvis d'usos._x000a_"/>
        <s v="Estudi del sistema de llacunes de can Morgat i del sector de la Puda al llarg del temps per avaluar els canvis en els procesos de colonització i la seva funcionalitat ecològica._x000a_"/>
        <s v="Realització d'un catàleg d'elements d'interès de geoconservació, la seva delimitació i establiment de criteris de gestió a l'ENP._x000a_"/>
        <s v="Actualització del protocol d’índex ecològics de les diferents masses d’aigua."/>
        <s v="Aplicació del protocol d’índex ecològics de les diferents masses d’aigua."/>
        <s v="Realització d'un estudi d'avaluació de l'impacte del canvi climàtic en l'ENP i la seva capacitat d'adaptació i resiliència."/>
        <s v="Establiment d'un programa de seguiment de l’estat hidrològic de les masses d’aigua._x000a_"/>
        <s v="Seguiment de les poblacions de gavians a l'ENP."/>
        <s v="Planificació d'estudis de forma coordinada amb el Servei Fauna i Flora."/>
        <s v="Realització d'un informe tècnic d'avaluació de les actuacions de control de l'espècie exòtica invasora Myocastor coypusi tendència a l'ENP."/>
        <s v="Realització d'un informe tècnic d'avaluació de les actuacions de control de les espècies de tortugues exòtiques invasores i tendència a l'ENP."/>
        <s v="Realització d'un informe tècnic d'avaluació de les actuacions de control de les espècies de flora exòtica invasora i tendència a l'ENP."/>
        <s v="Realització d'un informe tècnic d'avaluació de les actuacions de control de les espècies de peixos exòtics invasors i tendència a l'ENP."/>
        <s v="Assistència a reunions de coordinació amb la UIC per la definició dels sistemes de seguiment."/>
        <s v="Adaptació del seguiment dels elements claus de l'ENP al Sistema estàndard de seguiment de la UIC."/>
        <s v="Execució del seguiment de poblacions de nàiades a l'Estany, als recs, a la riera Canaleta i al riu Terri."/>
        <s v="Execució del seguiment de tortuga d’estany (Emys orbicularis) i tortuga de rierol (Mauremys leprosa)."/>
        <s v="Execució del seguiment de la falguera dels pantans (Thelypteris palustris)."/>
        <s v="Execució del seguiment de Carex elata."/>
        <s v="Ordenació, anàlisi i informatització de les dades de seguiment del patrimoni natural."/>
        <s v="Elaboració del catàleg d’espècies de flora i fauna de l’Espai Natural Protegit de l’Estany de Banyoles."/>
        <s v="Assistència a les reunions de formació i coordinació amb el SINATCAT."/>
        <s v="Establiment d'acords marc amb universitats per la realització de pràctiques o treballs de final de Grau o de Màster per a estudiants universitaris."/>
        <s v="Organització d'unes jornades sobre el patrimoni natural i la seva gestió a l'Espai Natural Protegit."/>
        <s v="Establiment d'acords amb centres de recerca i formació universitària per l'ús d'instal·lacions._x000a_"/>
        <s v="Assistència a reunions de coordinació per la definició del sistema estàndard de seguiment de l'ús públic amb el Servei d'Espais Naturals Protegits de Catalunya."/>
        <s v="Establiment del protocol de recollida de dades de freqüentació i perfil d'usuari a l'ENP."/>
        <s v="Realització d'un catàleg sectoritzat d'activitats i grups d'interès de l'ENP."/>
        <s v="Realització d'un inventari georreferenciat de punts de massificació i mala praxis de usos i visitants."/>
        <s v="Creació d'una base de dades per el registre d'activitats lúdic-esportives a l'ENP."/>
        <s v="Realització d'un estudi dels impactes que generen les activitats d'ús públic a l'ENP des d'un punt de vista socioeconòmic i de conservació del patrimoni natural i cultural."/>
        <s v="Col·laboració en la definició i aplicació del Plans de Desenvolupament Local Sostenible que vulguin establir els ajuntaments de l'àmbit de l'ENP."/>
        <s v="Redacció d'un manual tècnic de bones pràctiques en ramaderia extensiva i recuperació i manteniment de pastures a l'ENP._x000a_"/>
        <s v="Organització d'uns seminaris/jornada tècnica de formació del sector agrari per l'ús de pràctiques respectuoses amb la conservació del medi natural i cultural."/>
        <s v="Redacció d'un manual tècnic de bones pràctiques per la recuperació i conservació de marges i punts d'aigua associats a la ramaderia i l'agricultura i d'interès per la biodiversitat a l'ENP_x000a_"/>
        <s v="Creació i manteniment d'una base de dades amb el mapa d’agents socioeconòmics de l’ENP (sector primari i secundari)."/>
        <s v="Establiment de canals de comunicació i coordinació amb els agents socioeconòmics clau del territori (sector primari i secundari)."/>
        <s v="Elaboració d'una diagnosi del teixit productiu local i un pla d’acció amb línies de treball i actuacions concretes per donar-li suport."/>
        <s v="Establiment d'acords de col·laboració amb les Societats de Caçadors en la gestió de les espècies cinegètiques"/>
        <s v="Ampliació de la delimitació del refugi de fauna salvatge de Can Morgat."/>
        <s v="Creació d'un nou refugi de fauna salvatge a l'estany de la Platja d'Espolla."/>
        <s v="Revisió del Pla Tècnic de Gestió de la Pesca a l'Estany de Banyoles."/>
        <s v="Redacció d'un Pla de vigilància i control de les espècies cinegètiques a les zones de seguretat i refugi de fauna salvatge (senglar, cabirol i conill)."/>
        <s v="Aplicació del Pla de vigilància i control de les espècies cinegètiques a les zones de seguretat i refugi de fauna salvatge (senglar, cabirol i conill)."/>
        <s v="Gestió directa d'espècies cinegètiques que generen danys a l'activitat agrària (senglar, cabirol, conill) amb col·laboració amb les Societats de Caçadors i amb el Cos d'Agents Rurals_x000a_"/>
        <s v="Creació i manteniment d'una base de dades amb el mapa d’agents socioeconòmics de l’ENP (sector terciari)."/>
        <s v="Establiment de canals de comunicació i coordinació amb els agents socioeconòmics clau del territori (sector terciari)._x000a_"/>
        <s v="Redactar una proposta de directrius de protecció de marges dels camins i de regulació de tancats en el Sòl No Urbanitzable de l'ENP."/>
        <s v="Redacció d'un document de directrius tècniques de bones pràctiques per les activitats d'educació ambiental i el lleure educatiu."/>
        <s v="Assessorament i ajuda tècnica als ajuntaments i als serveis tècnics de la Generalitat en el procés d'autorització de curses i altres activitats esportives organitzades dins l'ENP."/>
        <s v="Assessorament i ajuda tècnica als ajuntaments i als serveis tècnics de la Generalitat en el procés d'autorització d'enregistraments i observació de fauna i natura dins l'ENP."/>
        <s v="Assessorament i ajuda tècnica als ajuntaments i als serveis tècnics de la Generalitat en el procés d'autorització d'activitats científiques dins l'ENP."/>
        <s v="Creació d'una base de dades cartogràfica de la xarxa d'itineraris oficial i categoritzada per tipus d'ús per on es poden realitzar activitats (curses a peu, en bicicleta, etc.)."/>
        <s v="Incorporació dels itineraris i punts d'interès a Wikiloc i Google Maps."/>
        <s v="Vigilància del compliment de la normativa d'accés motoritzat al medi natural."/>
        <s v="Vigilància del compliment de la normativa regulatòria municipal."/>
        <s v="Impuls perquè la Generalitat redacti un protocol de directrius de regulació de drons, d'enlairament i aterratge a l'ENP."/>
        <s v="Treball conjunt amb els ajuntaments i vigilància del compliment de la normativa regulatòria municipal."/>
        <s v="Realització d'una formació tècnica i debat sobre el Manual jurídic d'ús públic entre l'equip del Consorci de l'Estany i els equips municipals per la seva adaptació a l'ENP (per la definició de guies de bones pràctiques)."/>
        <s v="Realització i actualització una base de dades SIG de l'inventari de senyalètica de l'ENP."/>
        <s v="Redacció d'un programa per la instal·lació i manteniment de la senyalètica de l'ENP."/>
        <s v="Manteniment de la senyalització de l'ENP."/>
        <s v="Realització de reunions de coordinació amb tècnics municipals i tècnics de la Generalitat per l'aplicació de mesures extraordinàries de regulació d'ús públic de l'ENP"/>
        <s v="Redacció del pla d’ordenació de l’acollida dels visitants i de participants en esdeveniments."/>
        <s v="Manteniment de la xarxa de camins i carreteres tant pel que fa a la vegetació dels marges com del ferm."/>
        <s v="Manteniment del mobiliari existent (passeres i ponts, miradors, senyals, tanques i barreres, papereres, etc.)."/>
        <s v="Manteniment de la vegetació de prats i arbrat en zones concorregudes (segues d'alta intensitat, podes i retirada de restes vegetals)."/>
        <s v="Participació en el manteniment de les infraestructures esportives dins l'aigua de l'Estany de Banyoles ."/>
        <s v="Manteniment de la vegetació aquàtica en espais d'infraestructures esportives i d'activitats lúdic-esportives dins l'aigua de l'Estany de Banyoles."/>
        <s v="Redacció d'un document per l'adaptació dels equipaments i infraestructures a persones amb diversitat funcional."/>
        <s v="Redactar un protocol tècnic de col·laboració amb els cossos d’inspecció i seguretat (Identificació dels punts clau de vigilància, el calendari i els recursos necessaris) i actualització anual."/>
        <s v="Seguiment dels informes  que afecten l'ENP emesos pels Serveis Territorials de Girona (Direcció General) i dels ajuntaments."/>
        <s v="Elaboració d'un pla per definir el model de Xarxa d'Escoles de l'Espai Natura, agents educatius implicats i el projecte educatiu de l'ENP._x000a_"/>
        <s v="Contractació d'un tècnic especialitzat per desenvolupar el pla."/>
        <s v="Contractació de un tècnic especialitzat per formar i capacitar el personal de la XEEN."/>
        <s v="Contractació d'un tècnic especialitzat per desenvolupar el projecte educatiu de l'ENP._x000a_"/>
        <s v="Oferta de places a les Universitats i Centres Educatius per el desenvolupament de pràctiques curriculars i projectes de recerca i acompanyament de l'alumnat."/>
        <s v="Elaboració de materials per desenvolupar un curs de bon coneixedor de l'ENP."/>
        <s v="Participació en les campanyes de la Direcció General."/>
        <s v="Redacció d'un programa de divulgació i sensibilització de l'ENP (famílies)."/>
        <s v="Redacció d'un programa de divulgació i sensibilització de l'ENP (empreses, grups excursionistes, gent gran, activitats ludico-esportives, etc.)._x000a_ "/>
        <s v="Identificació de col·lectius estratègics implicats en la gestió i l'ús del territori en la redacció del programa de divulgació i sensibilització de l'ENP "/>
        <s v="Redacció d'un informe tècnic que identifiqui els programes, projectes i agents clau del voluntariat ambiental a l'ENP."/>
        <s v="Incorporació de la perspectiva de gènere als continguts i activitats de l'ENP."/>
        <s v="Assistència a les Taules territorials de Salut i Natura."/>
        <s v="Comunicació a través de notes de premsa o rodes de premsa als Mitjans de Comunicació de projectes i activitats d'interès pel públic general."/>
        <s v="Participació en seminaris i congressos._x000a_"/>
        <s v="Creació i manteniment d'un banc d’imatges i vídeos de l'ENP."/>
        <s v="Elaboració de contingut per Instagram dels projectes i activitats d'interès._x000a_"/>
        <s v="Actualització i manteniment de l'apartat de la web dedicat a l'actualitat, projectes i publicacions."/>
        <s v="Impuls i manteniment de la celebració anual de la Festa de l'Estany"/>
        <s v="Editar un nou conte d'en Blauet vinculat al Laboratori de nàiades de l'Espai Natural."/>
        <s v="Editar números del conte d'en Blauet esgotats."/>
        <s v="Creació i manteniment d'un nou canal de comunicació via Instagram oficial del Consorci de l'Estany l'ENP."/>
        <s v="Aplicació dels manuals existents i vigents en quan a comunicació corporativa_x000a_"/>
        <s v="Posar en funcionament el Consell Consultiu del Consorci de l'Estany previst en els Estatuts"/>
        <s v="Creació d'un llistat d'especialistes per l'assessorament en les diverses temàtiques de gestió a l'ENP"/>
        <s v="Promoure reunions de treball amb especialistes científics relatius a elements d'interès en la gestió de l'Espai Natural (per exemple: hidrogeologia, elements geològics, espècies protegides, espècies exòtiques invasores, patrimoni arqueològic, etc.)."/>
        <s v="Redacció de la proposta del  Pla Estratègic de l'Espai Natural Protegit de l'Estany de Banyoles i platja d'Espolla del CES (2026-2029)."/>
        <s v="Aprovació del Pla Estratègic de l'Espai Natural Protegit de l'Estany de Banyoles i platja d'Espolla  pel  Consell Plenari del CES  (2026-2029)."/>
        <s v="Redacció de la proposta del Pla Estratègic de l'Espai Natural Protegit de l'Estany de Banyoles i platja d'Espolla del CES (2029-2032)."/>
        <s v="Aprovació de la nova Pla Estratègic de l'Espai Natural Protegit de l'Estany de Banyoles i platja d'Espolla pel Consell Plenari del CES (2029-2032)."/>
        <s v="Redacció del Programa d'Actuacions anual."/>
        <s v="Aprovació del Programa d'Actuacions anual."/>
        <s v="Redacció proposta pressupost anual."/>
        <s v="Aprovació pressupost anual."/>
        <s v="Fiscalització de despeses."/>
        <s v="Auditoria comptable anual."/>
        <s v="Redacció del document de la Liquidació anual."/>
        <s v="Aprovació del document de la Liquidació anual."/>
        <s v="Redacció del document anual del Compte general."/>
        <s v="Aprovació del document anual del Compte general."/>
        <s v="Participació en els espais de coordinació entre ENP per identificar les despeses comunes tramitables a càrrec del pressupost de la Direcció General de Planificació Ambiental (GENCAT)."/>
        <s v="Detectar i planificar els processos de contractació conjunta per a la seva optimització._x000a_"/>
        <s v="Contractació conjunta de necessitats comunes (llum, telecomunicacions, assegurances, combustibles, seguiments, vigilància, etc.)."/>
        <s v="Revisió amb una antelació mínima de 6 mesos les necessitats de contractació per augmentar l'eficiència de la tramitació i disposar d'un marge de maniobra davant qualsevol eventualitat."/>
        <s v="Prevenció amb una antelació mínima de 6 mesos les convocatòries d'ajuts per augmentar l'eficiència de la tramitació i disposar de marge de maniobra davant qualsevol eventualitat._x000a_"/>
        <s v="Treball amb SSCC per adaptar les convocatòries d'ajuts a les necessitats de l'ENP."/>
        <s v="Disposició d'un llistat actualitzat de convenis i altres instruments de col·laboració vigents i planificar les pròrrogues que es requereixin."/>
        <s v="Establiment nous acords de col·laboració entre administracions, entitats privades i/o persones."/>
        <s v="Renovació dels convenis caducats dins l'exercici."/>
        <s v="Implementació de  bases de dades dels Serveis Centrals (SINATCAT, Harmony, etc)."/>
        <s v="Elaboració d'informes interns de gestió administrativa._x000a_"/>
        <s v="Elaboració d'informes interns tècnics._x000a_"/>
        <s v="Optimització la comunicació i acompanyament durant els processos administratius amb els ens integrants del Consorci."/>
        <s v="Implementació i actualització del gestor d'expedients."/>
        <s v="Formació interna de l'equip administratiu i tècnic de l'ENP per adquirir coneixements bàsics en temes prioritaris (comptabilitat, contractació, tramitació electrònica, accessibilitat i transparència, propietat intel·lectual) i processos de tramitació (peticions informació genèrica, sol·licituds accés informació ambiental)."/>
        <s v="Difusió o permís a l'accés a la informació pública (Seu electrònica i a la WEB)."/>
        <s v="Atenció a les sol·licituds d'informació."/>
        <s v="Millora, manteniment dels equips informàtics i telecomunicacions i compra de material d'oficina."/>
        <s v="Reparació i millora del material de la brigada:  EPIs, vehicles, tractors, eines i equips de treball de camp."/>
        <s v="Actualització de l'inventari de béns patrimonials del Consorci de l'Estany.          "/>
        <s v="Disposició de les assegurances de danys patrimonials (inclosos laboratori i magatzems), vehicles, embarcacions i de tercers."/>
        <s v="Creació i actualització de l'inventari de les finques públiques en contracte de custòdia de gestió del Consorci de l'Estany. _x000a_          "/>
        <s v="Catalogació i digitalització del fons documental._x000a_"/>
        <s v="Permís a l'accessibilitat documental al web de documents d'interès._x000a_"/>
        <s v="Establiment d'un conveni de col·laboració amb l'ajuntament de Banyoles a través del Museu Darder, Centre d'interpretació de l'Estany pel foment i millora del fons de documentació l'ENP._x000a_"/>
        <s v="Disposició de l’acord de delegació de la prestació del servei de manteniment i jardineria de les propietats públiques o en règim de custòdia gestionades pel Consorci i el conveni de regulació de la delegació"/>
        <s v="Coordinació, planificació i seguiment de les tasques de la brigada de manteniment"/>
        <s v="Vetllar perquè el Consorci disposi del personal necessari, amb la categoria adequada, per portar a terme les seves funcions._x000a_"/>
        <s v="Realització de reunions de la Comissió de direcció."/>
        <s v="Organització i planificació de tasques entre els membres de l'equip d'administració i tècnic."/>
        <s v="Actualització de les fitxes de classificació dels llocs de treballs."/>
        <s v="Procés selectiu pel nomenament d'un funcionari interí per programes."/>
        <s v="Regularització de les retribucions del personal del Consorci segons les directrius de l'ens d'adscripció."/>
        <s v="Substitució del personal per la causa que sigui."/>
        <s v="Benvinguda i formació del nou personal."/>
        <s v="Control temps de treball."/>
        <s v="Actualització anual de la valoració de riscos dels llocs de treball."/>
        <s v="Disposició de les fitxes de normes de seguretat personal i d'equips i de productes i posar-ho en coneixement als treballadors."/>
      </sharedItems>
    </cacheField>
    <cacheField name="Marc de referència" numFmtId="0">
      <sharedItems containsBlank="1"/>
    </cacheField>
    <cacheField name="Resultats derivats" numFmtId="0">
      <sharedItems containsBlank="1" containsMixedTypes="1" containsNumber="1" containsInteger="1" minValue="1" maxValue="1"/>
    </cacheField>
    <cacheField name="Indicadors" numFmtId="0">
      <sharedItems containsBlank="1"/>
    </cacheField>
    <cacheField name="Mínima" numFmtId="0">
      <sharedItems containsString="0" containsBlank="1" containsNumber="1" containsInteger="1" minValue="0" maxValue="4"/>
    </cacheField>
    <cacheField name="Màxim (Desitjable)" numFmtId="49">
      <sharedItems containsBlank="1" containsMixedTypes="1" containsNumber="1" containsInteger="1" minValue="0" maxValue="125"/>
    </cacheField>
    <cacheField name="Hores de dedicació (hores/anuals)" numFmtId="0">
      <sharedItems containsNonDate="0" containsString="0" containsBlank="1"/>
    </cacheField>
    <cacheField name="Total període hores " numFmtId="0">
      <sharedItems containsSemiMixedTypes="0" containsString="0" containsNumber="1" containsInteger="1" minValue="0" maxValue="0"/>
    </cacheField>
    <cacheField name="Àrea responsable" numFmtId="0">
      <sharedItems containsBlank="1"/>
    </cacheField>
    <cacheField name="Persona responsable" numFmtId="0">
      <sharedItems containsBlank="1"/>
    </cacheField>
    <cacheField name="Contractació externa o mitjans propis" numFmtId="0">
      <sharedItems containsBlank="1"/>
    </cacheField>
    <cacheField name="Finançament" numFmtId="0">
      <sharedItems containsBlank="1"/>
    </cacheField>
    <cacheField name="2026" numFmtId="0">
      <sharedItems containsBlank="1"/>
    </cacheField>
    <cacheField name="2027" numFmtId="0">
      <sharedItems containsBlank="1"/>
    </cacheField>
    <cacheField name="2028" numFmtId="0">
      <sharedItems containsBlank="1"/>
    </cacheField>
    <cacheField name="2029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">
  <r>
    <x v="0"/>
    <s v="OG 01"/>
    <x v="0"/>
    <s v="01.1"/>
    <x v="0"/>
    <s v="01.1.1"/>
    <x v="0"/>
    <s v="Comú"/>
    <s v="Obligatori "/>
    <s v="Implementar i executar plans de gestió específics per a hàbitats i espècies de conservació prioritària dins l'ENP."/>
  </r>
  <r>
    <x v="0"/>
    <s v="OG 01"/>
    <x v="0"/>
    <s v="01.1"/>
    <x v="0"/>
    <s v="01.1.1"/>
    <x v="0"/>
    <s v="Comú"/>
    <s v="Obligatori "/>
    <s v="Implementar i executar plans de gestió específics per a hàbitats i espècies de conservació prioritària dins l'ENP."/>
  </r>
  <r>
    <x v="0"/>
    <s v="OG 01"/>
    <x v="0"/>
    <s v="01.1"/>
    <x v="0"/>
    <s v="01.1.1"/>
    <x v="0"/>
    <s v="Comú"/>
    <s v="Obligatori "/>
    <s v="Implementar i executar plans de gestió específics per a hàbitats i espècies de conservació prioritària dins l'ENP."/>
  </r>
  <r>
    <x v="0"/>
    <s v="OG 01"/>
    <x v="0"/>
    <s v="01.1"/>
    <x v="0"/>
    <s v="01.1.1"/>
    <x v="0"/>
    <s v="Comú"/>
    <s v="Obligatori "/>
    <s v="Implementar i executar plans de gestió específics per a hàbitats i espècies de conservació prioritària dins l'ENP."/>
  </r>
  <r>
    <x v="0"/>
    <s v="OG 01"/>
    <x v="0"/>
    <s v="01.1"/>
    <x v="0"/>
    <s v="01.1.1"/>
    <x v="0"/>
    <s v="Comú"/>
    <s v="Obligatori "/>
    <s v="Implementar i executar plans de gestió específics per a hàbitats i espècies de conservació prioritària dins l'ENP."/>
  </r>
  <r>
    <x v="0"/>
    <s v="OG 01"/>
    <x v="0"/>
    <s v="01.1"/>
    <x v="0"/>
    <s v="01.1.1"/>
    <x v="0"/>
    <s v="Comú"/>
    <s v="Obligatori "/>
    <s v="Implementar i executar plans de gestió específics per a hàbitats i espècies de conservació prioritària dins l'ENP."/>
  </r>
  <r>
    <x v="0"/>
    <s v="OG 01"/>
    <x v="0"/>
    <s v="01.1"/>
    <x v="0"/>
    <s v="01.1.1"/>
    <x v="0"/>
    <s v="Comú"/>
    <s v="Obligatori "/>
    <s v="Implementar i executar plans de gestió específics per a hàbitats i espècies de conservació prioritària dins l'ENP."/>
  </r>
  <r>
    <x v="0"/>
    <s v="OG 01"/>
    <x v="0"/>
    <s v="01.1"/>
    <x v="0"/>
    <s v="01.1.2"/>
    <x v="1"/>
    <s v="Comú"/>
    <s v="Obligatori "/>
    <s v="Adaptar i executar plans de gestió específics per a elements geològics de conservació prioritària dins l'ENP."/>
  </r>
  <r>
    <x v="0"/>
    <s v="OG 01"/>
    <x v="0"/>
    <s v="01.2"/>
    <x v="1"/>
    <s v="01.2.1"/>
    <x v="2"/>
    <s v="Comú"/>
    <s v="Obligatori"/>
    <s v="Implementar la metodologia de gestió adaptativa (Estàndards Oberts de Gestió Adaptativa a Catalunya) en tots els processos de l'ENP."/>
  </r>
  <r>
    <x v="0"/>
    <s v="OG 01"/>
    <x v="0"/>
    <s v="01.2"/>
    <x v="1"/>
    <s v="01.2.1"/>
    <x v="2"/>
    <s v="Comú"/>
    <s v="Obligatori"/>
    <s v="Implementar la metodologia de gestió adaptativa (Estàndards Oberts de Gestió Adaptativa a Catalunya) en tots els processos de l'ENP."/>
  </r>
  <r>
    <x v="0"/>
    <s v="OG 01"/>
    <x v="0"/>
    <s v="01.2"/>
    <x v="1"/>
    <s v="01.2.2"/>
    <x v="3"/>
    <s v="Comú"/>
    <s v="Obligatori "/>
    <s v="Executar les mesures previstes en els plans de conservació o recuperació d'espècies amenaçades de forma coordinada amb el Servei de Flora i Fauna en l'àmbit de l'ENP."/>
  </r>
  <r>
    <x v="0"/>
    <s v="OG 01"/>
    <x v="0"/>
    <s v="01.2"/>
    <x v="1"/>
    <s v="01.2.2"/>
    <x v="3"/>
    <s v="Comú"/>
    <s v="Obligatori "/>
    <s v="Executar les mesures previstes en els plans de conservació o recuperació d'espècies amenaçades de forma coordinada amb el Servei de Flora i Fauna en l'àmbit de l'ENP."/>
  </r>
  <r>
    <x v="0"/>
    <s v="OG 01"/>
    <x v="0"/>
    <s v="01.2"/>
    <x v="1"/>
    <s v="01.2.2"/>
    <x v="3"/>
    <s v="Comú"/>
    <s v="Obligatori "/>
    <s v="Executar les mesures previstes en els plans de conservació o recuperació d'espècies amenaçades de forma coordinada amb el Servei de Flora i Fauna en l'àmbit de l'ENP.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3"/>
    <x v="4"/>
    <s v="Comú"/>
    <s v="Obligatori "/>
    <s v="Executar les mesures de gestió previstes en els plans de control i eradicació d'espècies exòtiques de forma coordinada amb el Servei de Flora i Fauna en l'àmbit de l'ENP"/>
  </r>
  <r>
    <x v="0"/>
    <s v="OG 01"/>
    <x v="0"/>
    <s v="01.2"/>
    <x v="1"/>
    <s v="01.2.4"/>
    <x v="5"/>
    <s v="Específic"/>
    <s v="Optatiu "/>
    <s v="Desplegar els objectius i tasques recollits en els instruments de referència i compromisos internacionals ."/>
  </r>
  <r>
    <x v="0"/>
    <s v="OG 01"/>
    <x v="0"/>
    <s v="01.3"/>
    <x v="2"/>
    <s v="01.3.1"/>
    <x v="6"/>
    <s v="Comú"/>
    <s v="Obligatori "/>
    <s v="Identificar espais pel foment de la dinàmica natural i l'aprofitament no extractiu."/>
  </r>
  <r>
    <x v="0"/>
    <s v="OG 01"/>
    <x v="0"/>
    <s v="01.3"/>
    <x v="2"/>
    <s v="01.3.1"/>
    <x v="6"/>
    <s v="Comú"/>
    <s v="Obligatori "/>
    <s v="Identificar espais pel foment de la dinàmica natural i l'aprofitament no extractiu."/>
  </r>
  <r>
    <x v="0"/>
    <s v="OG 01"/>
    <x v="0"/>
    <s v="01.3"/>
    <x v="2"/>
    <s v="01.3.2"/>
    <x v="7"/>
    <s v="Específic"/>
    <s v="Optatiu "/>
    <s v="Afavorir la maduresa dels sistemes forestals."/>
  </r>
  <r>
    <x v="0"/>
    <s v="OG 01"/>
    <x v="0"/>
    <s v="01.3"/>
    <x v="2"/>
    <s v="01.3.2"/>
    <x v="7"/>
    <s v="Específic"/>
    <s v="Optatiu "/>
    <s v="Afavorir la maduresa dels sistemes forestals."/>
  </r>
  <r>
    <x v="0"/>
    <s v="OG 01"/>
    <x v="0"/>
    <s v="01.3"/>
    <x v="2"/>
    <s v="01.3.3"/>
    <x v="8"/>
    <s v="Específic"/>
    <s v="Optatiu "/>
    <s v="Generar pertorbacions controlades."/>
  </r>
  <r>
    <x v="0"/>
    <s v="OG 01"/>
    <x v="0"/>
    <s v="01.3"/>
    <x v="2"/>
    <s v="01.3.4"/>
    <x v="9"/>
    <s v="Específic"/>
    <s v="Optatiu "/>
    <s v="Restaurar la dinàmica natural dels rius i estanys."/>
  </r>
  <r>
    <x v="0"/>
    <s v="OG 01"/>
    <x v="0"/>
    <s v="01.3"/>
    <x v="2"/>
    <s v="01.3.5"/>
    <x v="10"/>
    <s v="Específic"/>
    <s v="Obligatori"/>
    <s v="Fomentar el paisatge en mosaic."/>
  </r>
  <r>
    <x v="0"/>
    <s v="OG 01"/>
    <x v="0"/>
    <s v="01.3"/>
    <x v="2"/>
    <s v="01.3.6"/>
    <x v="11"/>
    <s v="Específic"/>
    <s v="Optatiu "/>
    <s v="Gestionar i intervenir en la dinàmica de poblacions de fauna que no tenen depredador natural."/>
  </r>
  <r>
    <x v="0"/>
    <s v="OG 01"/>
    <x v="0"/>
    <s v="01.4"/>
    <x v="3"/>
    <s v="01.4.1"/>
    <x v="12"/>
    <s v="Comú"/>
    <s v="Obligatori"/>
    <s v="Fomentar acords de custòdia en espais d'alt valor dins l'ENP per a la gestió dels elements prioritaris."/>
  </r>
  <r>
    <x v="0"/>
    <s v="OG 01"/>
    <x v="0"/>
    <s v="01.4"/>
    <x v="3"/>
    <s v="01.4.2"/>
    <x v="13"/>
    <s v="Comú"/>
    <s v="Optatiu "/>
    <s v="Fomentar bones pràctiques entre els col·lectius de propietaris i gestors del territori"/>
  </r>
  <r>
    <x v="0"/>
    <s v="OG 01"/>
    <x v="0"/>
    <s v="01.4"/>
    <x v="3"/>
    <s v="01.4.2"/>
    <x v="13"/>
    <s v="Comú"/>
    <s v="Optatiu "/>
    <s v="Fomentar bones pràctiques entre els col·lectius de propietaris i gestors del territori."/>
  </r>
  <r>
    <x v="0"/>
    <s v="OG 01"/>
    <x v="0"/>
    <s v="01.4"/>
    <x v="3"/>
    <s v="01.4.2"/>
    <x v="13"/>
    <s v="Comú"/>
    <s v="Optatiu "/>
    <s v="Fomentar bones pràctiques entre els col·lectius de propietaris i gestors del territori."/>
  </r>
  <r>
    <x v="0"/>
    <s v="OG 01"/>
    <x v="0"/>
    <s v="01.4"/>
    <x v="3"/>
    <s v="01.4.3"/>
    <x v="14"/>
    <s v="Específic"/>
    <s v="Optatiu "/>
    <s v="Coordinar i gestionar les propietats públiques o en règim de custòdia de l'espai."/>
  </r>
  <r>
    <x v="0"/>
    <s v="OG 02"/>
    <x v="1"/>
    <s v="02.1"/>
    <x v="4"/>
    <s v="02.1.1"/>
    <x v="15"/>
    <s v="Comú"/>
    <s v="Obligatori "/>
    <s v="Adaptar i implementar el Pla d'adaptació de l'ENP al canvi climàtic"/>
  </r>
  <r>
    <x v="0"/>
    <s v="OG 02"/>
    <x v="1"/>
    <s v="02.1"/>
    <x v="4"/>
    <s v="02.1.2"/>
    <x v="16"/>
    <s v="Comú"/>
    <s v="Obligatori"/>
    <s v="Gestionar i planificar els recursos hídrics de l'ENP"/>
  </r>
  <r>
    <x v="0"/>
    <s v="OG 02"/>
    <x v="1"/>
    <s v="02.1"/>
    <x v="4"/>
    <s v="02.1.3"/>
    <x v="17"/>
    <s v="Específic"/>
    <s v="Optatiu "/>
    <s v="Participar en la redacció i execució dels instruments d'ordenació forestal sostenible i per la conservació en finques públiques."/>
  </r>
  <r>
    <x v="0"/>
    <s v="OG 02"/>
    <x v="1"/>
    <s v="02.1"/>
    <x v="4"/>
    <s v="02.1.3"/>
    <x v="17"/>
    <s v="Específic"/>
    <s v="Optatiu "/>
    <s v="Participar en la redacció i execució dels instruments d'ordenació forestal sostenible i per la conservació en finques públiques."/>
  </r>
  <r>
    <x v="0"/>
    <s v="OG 02"/>
    <x v="1"/>
    <s v="02.2"/>
    <x v="5"/>
    <s v="02.2.1"/>
    <x v="18"/>
    <s v="Comú"/>
    <s v="Obligatori "/>
    <s v="Redactar i implementar el Pla de Prevenció d'Incendis."/>
  </r>
  <r>
    <x v="0"/>
    <s v="OG 02"/>
    <x v="1"/>
    <s v="02.2"/>
    <x v="5"/>
    <s v="02.2.2"/>
    <x v="19"/>
    <s v="Específic"/>
    <s v="Obligatori"/>
    <s v="Definir i planificar la gestió del foc per a la millora de l'ENP."/>
  </r>
  <r>
    <x v="0"/>
    <s v="OG 02"/>
    <x v="1"/>
    <s v="02.2"/>
    <x v="5"/>
    <s v="02.2.3"/>
    <x v="20"/>
    <s v="Comú"/>
    <s v="Obligatori "/>
    <s v="Treballar per a la prevenció d'incendis juntament amb els propietaris, ajuntaments, protecció civil, ADF i bombers."/>
  </r>
  <r>
    <x v="0"/>
    <s v="OG 03"/>
    <x v="2"/>
    <s v="03.1"/>
    <x v="6"/>
    <s v="03.1.1"/>
    <x v="21"/>
    <s v="Comú"/>
    <s v="Obligatori"/>
    <s v="Participar en les consultes dels processos d'Avaluació Ambiental que afectin directament o indirectament l’espai del ENP."/>
  </r>
  <r>
    <x v="0"/>
    <s v="OG 03"/>
    <x v="2"/>
    <s v="03.1"/>
    <x v="6"/>
    <s v="03.1.2"/>
    <x v="22"/>
    <s v="Comú"/>
    <s v="Obligatori"/>
    <s v="Exercir un seguiment efectiu de les obres a l'ENP juntament amb les Oficines Territorials d'Acció i Avaluació Ambiental als efectes d'assegurar la correcta translació de la tutela administrativa."/>
  </r>
  <r>
    <x v="0"/>
    <s v="OG 03"/>
    <x v="2"/>
    <s v="03.1"/>
    <x v="6"/>
    <s v="03.1.3"/>
    <x v="23"/>
    <s v="Comú"/>
    <s v="Optatiu "/>
    <s v="Participar en la compensació d'impactes residuals durant els processos d'avaluació ambiental mitjançant la identificació de necessitats d'actuació prioritària dins i fora dels límits de l’ENP."/>
  </r>
  <r>
    <x v="0"/>
    <s v="OG 03"/>
    <x v="2"/>
    <s v="03.2"/>
    <x v="7"/>
    <s v="03.2.1"/>
    <x v="24"/>
    <s v="Comú"/>
    <s v="Obligatori"/>
    <s v="Participar en l'elaboració dels instruments de planificació de l'ENP."/>
  </r>
  <r>
    <x v="0"/>
    <s v="OG 03"/>
    <x v="2"/>
    <s v="03.3"/>
    <x v="8"/>
    <s v="03.3.1"/>
    <x v="25"/>
    <s v="Específic"/>
    <s v="Obligatori"/>
    <s v="Vetllar pel manteniment ecològic dels recs i rieres del Pla sectorial corresponent."/>
  </r>
  <r>
    <x v="0"/>
    <s v="OG 03"/>
    <x v="2"/>
    <s v="03.3"/>
    <x v="8"/>
    <s v="03.3.1"/>
    <x v="25"/>
    <s v="Específic"/>
    <s v="Obligatori"/>
    <s v="Vetllar pel manteniment ecològic dels recs i rieres del Pla sectorial corresponent."/>
  </r>
  <r>
    <x v="0"/>
    <s v="OG 03"/>
    <x v="2"/>
    <s v="03.3"/>
    <x v="8"/>
    <s v="03.3.2"/>
    <x v="26"/>
    <s v="Específic"/>
    <s v="Optatiu"/>
    <m/>
  </r>
  <r>
    <x v="0"/>
    <s v="OG 03"/>
    <x v="2"/>
    <s v="03.3"/>
    <x v="8"/>
    <s v="03.3.3"/>
    <x v="27"/>
    <s v="Específic"/>
    <s v="Optatiu "/>
    <s v="Avaluar i controlar les actuacions que produeixin drenatges, captacions o que puguin impedir l’arribada d’aigua tant superficial com freàtica."/>
  </r>
  <r>
    <x v="0"/>
    <s v="OG 03"/>
    <x v="2"/>
    <s v="03.3"/>
    <x v="8"/>
    <s v="03.3.4"/>
    <x v="28"/>
    <s v="Específic"/>
    <s v="Optatiu "/>
    <s v="Vetllar pel compliment de la normativa de depuració dels efluents agroramaders, urbans i industrials que s'aboquen als cursos fluvials."/>
  </r>
  <r>
    <x v="0"/>
    <s v="OG 03"/>
    <x v="2"/>
    <s v="03.4"/>
    <x v="9"/>
    <s v="03.4.1"/>
    <x v="29"/>
    <s v="Comú"/>
    <s v="Optatiu "/>
    <s v="Identificar espais prioritaris per a la compra de terrenys de més valor dins l'ENP."/>
  </r>
  <r>
    <x v="0"/>
    <s v="OG 03"/>
    <x v="2"/>
    <s v="03.4"/>
    <x v="9"/>
    <s v="03.4.2"/>
    <x v="30"/>
    <s v="Comú"/>
    <s v="Optatiu"/>
    <s v="Identificar espais prioritaris per a la gestió directa."/>
  </r>
  <r>
    <x v="0"/>
    <s v="OG 03"/>
    <x v="2"/>
    <s v="03.4"/>
    <x v="9"/>
    <s v="03.4.2"/>
    <x v="30"/>
    <s v="Comú"/>
    <s v="Optatiu"/>
    <s v="Identificar espais prioritaris per a la gestió directa."/>
  </r>
  <r>
    <x v="0"/>
    <s v="OG 03"/>
    <x v="2"/>
    <s v="03.4"/>
    <x v="9"/>
    <s v="03.4.2"/>
    <x v="30"/>
    <s v="Comú"/>
    <s v="Optatiu"/>
    <s v="Identificar espais prioritaris per a la gestió directa."/>
  </r>
  <r>
    <x v="1"/>
    <s v="OG 04"/>
    <x v="3"/>
    <s v="04.1"/>
    <x v="10"/>
    <s v="04.1.1"/>
    <x v="31"/>
    <s v="Comú"/>
    <s v="Optatiu"/>
    <s v="Elaborar l'inventari i cartografia de patrimoni cultural de l'ENP, que també inclogui el patrimoni etnològic i immaterial."/>
  </r>
  <r>
    <x v="1"/>
    <s v="OG 04"/>
    <x v="3"/>
    <s v="04.1"/>
    <x v="10"/>
    <s v="04.1.2"/>
    <x v="32"/>
    <s v="Comú"/>
    <s v="Optatiu"/>
    <s v="Elaborar el catàleg lingüístic (localismes) de patrimoni natural, geografia popular, festes i activitats tradicionals de l'ENP."/>
  </r>
  <r>
    <x v="1"/>
    <s v="OG 04"/>
    <x v="3"/>
    <s v="04.1"/>
    <x v="10"/>
    <s v="04.1.3"/>
    <x v="33"/>
    <s v="Comú"/>
    <s v="Optatiu"/>
    <s v="Disposar de la cartografia de la xarxa de camins i senders de l'ENP."/>
  </r>
  <r>
    <x v="1"/>
    <s v="OG 04"/>
    <x v="3"/>
    <s v="04.2"/>
    <x v="11"/>
    <s v="04.2.1"/>
    <x v="34"/>
    <s v="Comú"/>
    <s v="Obligatori"/>
    <s v="Identificar els ens de referència en patrimoni cultural (entitats, associacions, museus i ecomuseus, etc.) en l'àmbit de l'ENP."/>
  </r>
  <r>
    <x v="1"/>
    <s v="OG 04"/>
    <x v="3"/>
    <s v="04.2"/>
    <x v="11"/>
    <s v="04.2.2"/>
    <x v="35"/>
    <s v="Comú"/>
    <s v="Optatiu"/>
    <s v="Articular treballs conjunts entre l'ENP i representants, gestors o custodis del patrimoni cultural per a la seva protecció i millora."/>
  </r>
  <r>
    <x v="1"/>
    <s v="OG 04"/>
    <x v="3"/>
    <s v="04.2"/>
    <x v="11"/>
    <s v="04.2.3"/>
    <x v="36"/>
    <s v="Comú"/>
    <s v="Optatiu"/>
    <s v="Coordinar i participar dels treballs de restauració arquitectònica i del patrimoni cultural."/>
  </r>
  <r>
    <x v="1"/>
    <s v="OG 04"/>
    <x v="3"/>
    <s v="04.2"/>
    <x v="11"/>
    <s v="04.2.3"/>
    <x v="36"/>
    <s v="Comú"/>
    <s v="Optatiu"/>
    <s v="Coordinar i participar dels treballs de restauració arquitectònica i del patrimoni cultural."/>
  </r>
  <r>
    <x v="1"/>
    <s v="OG 04"/>
    <x v="3"/>
    <s v="04.2"/>
    <x v="11"/>
    <s v="04.2.3"/>
    <x v="36"/>
    <s v="Comú"/>
    <s v="Optatiu"/>
    <s v="Coordinar i participar dels treballs de restauració arquitectònica i del patrimoni cultural."/>
  </r>
  <r>
    <x v="1"/>
    <s v="OG 04"/>
    <x v="3"/>
    <s v="04.2"/>
    <x v="11"/>
    <s v="04.2.4"/>
    <x v="37"/>
    <s v="Comú"/>
    <s v="Obligatori "/>
    <s v="Disposar de personal especialitzat en patrimoni cultural."/>
  </r>
  <r>
    <x v="1"/>
    <s v="OG 04"/>
    <x v="3"/>
    <s v="04.3"/>
    <x v="12"/>
    <s v="04.3.1"/>
    <x v="38"/>
    <s v="Comú"/>
    <s v="Obligatori "/>
    <s v="Recuperar i conservar el patrimoni cultural rural immaterial associat a les activitats i aprofitaments tradicionals."/>
  </r>
  <r>
    <x v="1"/>
    <s v="OG 04"/>
    <x v="3"/>
    <s v="04.3"/>
    <x v="12"/>
    <s v="04.3.2"/>
    <x v="39"/>
    <s v="Específic"/>
    <s v="Obligatori "/>
    <s v="Recuperar i conservar el patrimoni cultural rural vinculat específicament a construccions de pedra en sec."/>
  </r>
  <r>
    <x v="1"/>
    <s v="OG 04"/>
    <x v="3"/>
    <s v="04.3"/>
    <x v="12"/>
    <s v="04.3.3"/>
    <x v="40"/>
    <s v="Comú"/>
    <s v="Optatiu "/>
    <s v="Fomentar la recuperació i conservació de l'arquitectura tradicional d'interès de les edificacions i construccions."/>
  </r>
  <r>
    <x v="1"/>
    <s v="OG 04"/>
    <x v="3"/>
    <s v="04.3"/>
    <x v="12"/>
    <s v="04.3.4"/>
    <x v="41"/>
    <s v="Comú"/>
    <s v="Obligatori"/>
    <s v="Identificar i conservar la diversitat domesticada de varietats agrícoles i ramaderes locals."/>
  </r>
  <r>
    <x v="1"/>
    <s v="OG 04"/>
    <x v="3"/>
    <s v="04.4"/>
    <x v="13"/>
    <s v="04.4.1"/>
    <x v="42"/>
    <s v="Comú"/>
    <s v="Obligatori "/>
    <s v="Integrar el patrimoni cultural als itineraris i senyalètica de l'ENP."/>
  </r>
  <r>
    <x v="1"/>
    <s v="OG 04"/>
    <x v="3"/>
    <s v="04.4"/>
    <x v="13"/>
    <s v="04.4.2"/>
    <x v="43"/>
    <s v="Comú"/>
    <s v="Obligatori "/>
    <s v="Incorporar el patrimoni cultural en els plans d’ús públic i educació ambiental per fomentar-ne la seva conservació i divulgació."/>
  </r>
  <r>
    <x v="1"/>
    <s v="OG 04"/>
    <x v="3"/>
    <s v="04.4"/>
    <x v="13"/>
    <s v="04.4.3"/>
    <x v="44"/>
    <s v="Comú"/>
    <s v="Obligatori "/>
    <s v="Formar el personal dels punts d’informació en els valors culturals de l'ENP."/>
  </r>
  <r>
    <x v="1"/>
    <s v="OG 05"/>
    <x v="4"/>
    <s v="05.1"/>
    <x v="14"/>
    <s v="05.1.1"/>
    <x v="45"/>
    <s v="Comú"/>
    <s v="Optatiu"/>
    <s v="Elaborar un inventari d'elements d'interès paisatgístic de l'ENP d'acord amb el Catàleg de paisatge de la zona."/>
  </r>
  <r>
    <x v="1"/>
    <s v="OG 05"/>
    <x v="4"/>
    <s v="05.2"/>
    <x v="15"/>
    <s v="05.2.1"/>
    <x v="46"/>
    <s v="Comú"/>
    <s v="Optatiu"/>
    <s v="Desplegar actuacions de restauració dels elements d'interès paisatgístic degradats."/>
  </r>
  <r>
    <x v="1"/>
    <s v="OG 05"/>
    <x v="4"/>
    <s v="05.2"/>
    <x v="15"/>
    <s v="05.2.2"/>
    <x v="47"/>
    <m/>
    <m/>
    <s v="Gestionar l'abandonament d'infraestructures i instal·lacions amb impactes sobre els valors de l'espai."/>
  </r>
  <r>
    <x v="1"/>
    <s v="OG 05"/>
    <x v="4"/>
    <s v="05.2"/>
    <x v="15"/>
    <s v="05.2.3"/>
    <x v="48"/>
    <s v="Comú"/>
    <s v="Obligatori"/>
    <s v="Minimitzar la brutícia, deixalles, vandalisme i males praxis dins l'ENP."/>
  </r>
  <r>
    <x v="1"/>
    <s v="OG 05"/>
    <x v="4"/>
    <s v="05.3"/>
    <x v="16"/>
    <s v="05.3.1"/>
    <x v="49"/>
    <s v="Específic"/>
    <s v="Optatiu"/>
    <s v="Promoure la certificació de qualitat del cel nocturn."/>
  </r>
  <r>
    <x v="1"/>
    <s v="OG 05"/>
    <x v="4"/>
    <s v="05.3"/>
    <x v="16"/>
    <s v="05.3.2"/>
    <x v="50"/>
    <s v="Específic"/>
    <s v="Optatiu"/>
    <s v="Promoure la certificació de zones d'especial protecció de la qualitat acústica."/>
  </r>
  <r>
    <x v="2"/>
    <s v="OG 06"/>
    <x v="5"/>
    <s v="06.1"/>
    <x v="17"/>
    <s v="06.1.1"/>
    <x v="51"/>
    <s v="Comú"/>
    <s v="Obligatori"/>
    <s v="Identificar i prioritzar els elements clau i d'interès per la gestió de la biodiversitat i geodiversitat de Catalunya es troben dins l'ENP (especies amenaçades, espècies exòtiques invasores,  etc.)."/>
  </r>
  <r>
    <x v="2"/>
    <s v="OG 06"/>
    <x v="5"/>
    <s v="06.1"/>
    <x v="17"/>
    <s v="06.1.1"/>
    <x v="51"/>
    <s v="Comú"/>
    <s v="Obligatori"/>
    <s v="Identificar i prioritzar els elements clau i d'interès per la gestió de la biodiversitat i geodiversitat de Catalunya es troben dins l'ENP (especies amenaçades, espècies exòtiques invasores,..)."/>
  </r>
  <r>
    <x v="2"/>
    <s v="OG 06"/>
    <x v="5"/>
    <s v="06.1"/>
    <x v="17"/>
    <s v="06.1.1"/>
    <x v="51"/>
    <s v="Comú"/>
    <s v="Obligatori"/>
    <s v="Identificar i prioritzar els elements clau i d'interès per la gestió de la biodiversitat i geodiversitat de Catalunya es troben dins l'ENP (especies amenaçades, espècies exòtiques invasores, etc)."/>
  </r>
  <r>
    <x v="2"/>
    <s v="OG 06"/>
    <x v="5"/>
    <s v="06.1"/>
    <x v="17"/>
    <s v="06.1.1"/>
    <x v="51"/>
    <s v="Comú"/>
    <s v="Obligatori"/>
    <s v="Identificar i prioritzar els elements clau i d'interès per la gestió de la biodiversitat i geodiversitat de Catalunya es troben dins l'ENP (especies amenaçades, espècies exòtiques invasores, etc.)."/>
  </r>
  <r>
    <x v="2"/>
    <s v="OG 06"/>
    <x v="5"/>
    <s v="06.1"/>
    <x v="17"/>
    <s v="06.1.2"/>
    <x v="52"/>
    <s v="Comú"/>
    <s v="Obligatori"/>
    <s v="Definir espais fràgils i zones d'especial atenció."/>
  </r>
  <r>
    <x v="2"/>
    <s v="OG 06"/>
    <x v="5"/>
    <s v="06.2"/>
    <x v="18"/>
    <s v="06.2.1"/>
    <x v="53"/>
    <s v="Comú"/>
    <s v="Obligatori"/>
    <s v="Participar en l'elaboració de la cartografia que elabora la UIC."/>
  </r>
  <r>
    <x v="2"/>
    <s v="OG 06"/>
    <x v="5"/>
    <s v="06.2"/>
    <x v="18"/>
    <s v="06.2.2"/>
    <x v="54"/>
    <s v="Comú"/>
    <s v="Obligatori"/>
    <s v="Conèixer i estudiar els processos naturals propis de l’espai, la seva funcionalitat, i ecologia en referència als ecosistemes."/>
  </r>
  <r>
    <x v="2"/>
    <s v="OG 06"/>
    <x v="5"/>
    <s v="06.2"/>
    <x v="18"/>
    <s v="06.2.2"/>
    <x v="54"/>
    <s v="Comú"/>
    <s v="Obligatori"/>
    <s v="Conèixer i estudiar els processos naturals propis de l’espai, la seva funcionalitat, i ecologia en referència als ecosistemes."/>
  </r>
  <r>
    <x v="2"/>
    <s v="OG 06"/>
    <x v="5"/>
    <s v="06.2"/>
    <x v="18"/>
    <s v="06.2.2"/>
    <x v="54"/>
    <s v="Comú"/>
    <s v="Obligatori"/>
    <s v="Conèixer i estudiar els processos naturals propis de l’espai, la seva funcionalitat, i ecologia en referència als ecosistemes."/>
  </r>
  <r>
    <x v="2"/>
    <s v="OG 06"/>
    <x v="5"/>
    <s v="06.2"/>
    <x v="18"/>
    <s v="06.2.2"/>
    <x v="54"/>
    <s v="Comú"/>
    <s v="Obligatori"/>
    <s v="Conèixer i estudiar els processos naturals propis de l’espai, la seva funcionalitat, i ecologia en referència als ecosistemes."/>
  </r>
  <r>
    <x v="2"/>
    <s v="OG 06"/>
    <x v="5"/>
    <s v="06.2"/>
    <x v="18"/>
    <s v="06.2.2"/>
    <x v="54"/>
    <s v="Comú"/>
    <s v="Obligatori"/>
    <s v="Conèixer i estudiar els processos naturals propis de l’espai, la seva funcionalitat, i ecologia en referència als ecosistemes."/>
  </r>
  <r>
    <x v="2"/>
    <s v="OG 06"/>
    <x v="5"/>
    <s v="06.2"/>
    <x v="18"/>
    <s v="06.2.2"/>
    <x v="54"/>
    <s v="Comú"/>
    <s v="Obligatori"/>
    <s v="Conèixer i estudiar els processos naturals propis de l’espai, la seva funcionalitat, i ecologia en referència als ecosistemes."/>
  </r>
  <r>
    <x v="2"/>
    <s v="OG 06"/>
    <x v="5"/>
    <s v="06.2"/>
    <x v="18"/>
    <s v="06.2.3"/>
    <x v="55"/>
    <s v="Comú"/>
    <s v="Obligatori"/>
    <s v="Conèixer els usos i factors de canvi rellevants en l'evolució dels elements de conservació, i avaluar els efectes que generen en l’espai (pressions i amenaces)."/>
  </r>
  <r>
    <x v="2"/>
    <s v="OG 06"/>
    <x v="5"/>
    <s v="06.2"/>
    <x v="18"/>
    <s v="06.2.4"/>
    <x v="56"/>
    <s v="Comú"/>
    <s v="Optatiu"/>
    <s v="Conèixer l'impacte de les gestió de l'aigua, sobre la biodiversitat."/>
  </r>
  <r>
    <x v="2"/>
    <s v="OG 06"/>
    <x v="5"/>
    <s v="06.2"/>
    <x v="18"/>
    <s v="06.2.5"/>
    <x v="57"/>
    <s v="Comú"/>
    <s v="Optatiu"/>
    <s v="Participar en el coneixement de la tendència d'espècies plaga amb afectacions sobre ecosistemes o activitats econòmiques dins l'ENP."/>
  </r>
  <r>
    <x v="2"/>
    <s v="OG 06"/>
    <x v="5"/>
    <s v="06.2"/>
    <x v="18"/>
    <s v="06.2.6"/>
    <x v="58"/>
    <s v="Comú"/>
    <s v="Obligatori"/>
    <s v="Conèixer la tendència d'espècies exòtiques invasores amb afectacions sobre ecosistemes o activitats econòmiques dins l'ENP."/>
  </r>
  <r>
    <x v="2"/>
    <s v="OG 06"/>
    <x v="5"/>
    <s v="06.2"/>
    <x v="18"/>
    <s v="06.2.6"/>
    <x v="58"/>
    <s v="Comú"/>
    <s v="Obligatori"/>
    <s v="Conèixer la tendència d'espècies exòtiques invasores amb afectacions sobre ecosistemes o activitats econòmiques dins l'ENP"/>
  </r>
  <r>
    <x v="2"/>
    <s v="OG 06"/>
    <x v="5"/>
    <s v="06.2"/>
    <x v="18"/>
    <s v="06.2.6"/>
    <x v="58"/>
    <s v="Comú"/>
    <s v="Obligatori"/>
    <s v="Conèixer la tendència d'espècies exòtiques invasores amb afectacions sobre ecosistemes o activitats econòmiques dins l'ENP."/>
  </r>
  <r>
    <x v="2"/>
    <s v="OG 06"/>
    <x v="5"/>
    <s v="06.2"/>
    <x v="18"/>
    <s v="06.2.6"/>
    <x v="58"/>
    <s v="Comú"/>
    <s v="Obligatori"/>
    <s v="Conèixer la tendència d'espècies exòtiques invasores amb afectacions sobre ecosistemes o activitats econòmiques dins l'ENP."/>
  </r>
  <r>
    <x v="2"/>
    <s v="OG 06"/>
    <x v="5"/>
    <s v="06.2"/>
    <x v="18"/>
    <s v="06.2.6"/>
    <x v="58"/>
    <s v="Comú"/>
    <s v="Obligatori"/>
    <s v="Conèixer la tendència d'espècies exòtiques invasores amb afectacions sobre ecosistemes o activitats econòmiques dins l'ENP."/>
  </r>
  <r>
    <x v="2"/>
    <s v="OG 06"/>
    <x v="5"/>
    <s v="06.2"/>
    <x v="18"/>
    <s v="06.2.7"/>
    <x v="59"/>
    <s v="Comú"/>
    <s v="Optatiu"/>
    <s v="Conèixer com millorar la connectivitat de forma coordinada amb altres ENP."/>
  </r>
  <r>
    <x v="2"/>
    <s v="OG 06"/>
    <x v="5"/>
    <s v="06.3"/>
    <x v="19"/>
    <s v="06.3.1"/>
    <x v="60"/>
    <s v="Comú"/>
    <s v="Obligatori"/>
    <s v="Participar en la definició del sistema estàndard de seguiment de flora, fauna i hàbitats de la DG."/>
  </r>
  <r>
    <x v="2"/>
    <s v="OG 06"/>
    <x v="5"/>
    <s v="06.3"/>
    <x v="19"/>
    <s v="06.3.2"/>
    <x v="61"/>
    <s v="Comú"/>
    <s v="Obligatori"/>
    <s v="Adequar i executar el sistema de seguiment periòdic dels grups clau de l'ENP al sistema estàndard de seguiment."/>
  </r>
  <r>
    <x v="2"/>
    <s v="OG 06"/>
    <x v="5"/>
    <s v="06.3"/>
    <x v="19"/>
    <s v="06.3.2"/>
    <x v="61"/>
    <s v="Comú"/>
    <s v="Obligatori"/>
    <s v="Adequar i executar el sistema de seguiment periòdic dels grups clau de l'ENP al sistema estàndard de seguiment."/>
  </r>
  <r>
    <x v="2"/>
    <s v="OG 06"/>
    <x v="5"/>
    <s v="06.3"/>
    <x v="19"/>
    <s v="06.3.2"/>
    <x v="61"/>
    <s v="Comú"/>
    <s v="Obligatori"/>
    <s v="Adequar i executar el sistema de seguiment periòdic dels grups clau de l'ENP al sistema estàndard de seguiment."/>
  </r>
  <r>
    <x v="2"/>
    <s v="OG 06"/>
    <x v="5"/>
    <s v="06.3"/>
    <x v="19"/>
    <s v="06.3.2"/>
    <x v="61"/>
    <s v="Comú"/>
    <s v="Obligatori"/>
    <s v="Adequar i executar el sistema de seguiment periòdic dels grups clau de l'ENP al sistema estàndard de seguiment."/>
  </r>
  <r>
    <x v="2"/>
    <s v="OG 06"/>
    <x v="5"/>
    <s v="06.3"/>
    <x v="19"/>
    <s v="06.3.2"/>
    <x v="61"/>
    <s v="Comú"/>
    <s v="Obligatori"/>
    <s v="Adequar i executar el sistema de seguiment periòdic dels grups clau de l'ENP al sistema estàndard de seguiment."/>
  </r>
  <r>
    <x v="2"/>
    <s v="OG 06"/>
    <x v="5"/>
    <s v="06.3"/>
    <x v="19"/>
    <s v="06.3.3"/>
    <x v="62"/>
    <s v="Comú"/>
    <s v="Obligatori"/>
    <s v="Mantenir una base de dades de seguiment de patrimoni natural de l'ENP actualitzada i ordenada."/>
  </r>
  <r>
    <x v="2"/>
    <s v="OG 06"/>
    <x v="5"/>
    <s v="06.3"/>
    <x v="19"/>
    <s v="06.3.3"/>
    <x v="62"/>
    <s v="Comú"/>
    <s v="Obligatori"/>
    <s v="Mantenir una base de dades de seguiment de patrimoni natural de l'ENP actualitzada i ordenada."/>
  </r>
  <r>
    <x v="2"/>
    <s v="OG 06"/>
    <x v="5"/>
    <s v="06.3"/>
    <x v="19"/>
    <s v="06.3.4"/>
    <x v="63"/>
    <s v="Comú"/>
    <s v="Obligatori"/>
    <s v="Participar en el grups de treball per a la definició i organització del SINATCAT."/>
  </r>
  <r>
    <x v="2"/>
    <s v="OG 06"/>
    <x v="5"/>
    <s v="06.4"/>
    <x v="20"/>
    <s v="06.4.1"/>
    <x v="64"/>
    <s v="Comú"/>
    <s v="Optatiu"/>
    <s v="Crear sinèrgies i col·laborar amb museus i equipaments de referència per definir línies d'actuació conjunta entre patrimoni cultural i natural."/>
  </r>
  <r>
    <x v="2"/>
    <s v="OG 06"/>
    <x v="5"/>
    <s v="06.4"/>
    <x v="20"/>
    <s v="06.4.2"/>
    <x v="65"/>
    <s v="Comú"/>
    <s v="Optatiu"/>
    <s v="Establir acords amb les institucions de recerca i naturalistes per al desenvolupament d'estudis i inventaris dins l'ENP en el marc de les seves línies de recerca."/>
  </r>
  <r>
    <x v="2"/>
    <s v="OG 06"/>
    <x v="5"/>
    <s v="06.4"/>
    <x v="20"/>
    <s v="06.4.3"/>
    <x v="66"/>
    <s v="Comú"/>
    <s v="Optatiu"/>
    <s v="Potenciar la ciència ciutadana en l’ENP com a eina per generar coneixement."/>
  </r>
  <r>
    <x v="2"/>
    <s v="OG 06"/>
    <x v="5"/>
    <s v="06.4"/>
    <x v="20"/>
    <s v="06.4.4"/>
    <x v="67"/>
    <s v="Comú"/>
    <s v="Optatiu"/>
    <s v="Crear i desenvolupar jornades de recerca de l'ENP de forma anual on els diferents centres mostrin els estudis realitzats en l'ENP."/>
  </r>
  <r>
    <x v="2"/>
    <s v="OG 06"/>
    <x v="5"/>
    <s v="06.4"/>
    <x v="20"/>
    <s v="06.4.5"/>
    <x v="68"/>
    <s v="Comú"/>
    <s v="Optatiu"/>
    <s v="Posar a disposició de la recerca, equipaments i serveis de l'ENP."/>
  </r>
  <r>
    <x v="2"/>
    <s v="OG 06"/>
    <x v="5"/>
    <s v="06.4"/>
    <x v="20"/>
    <s v="06.4.6"/>
    <x v="69"/>
    <s v="Comú"/>
    <s v="Optatiu"/>
    <s v="Crear l'Observatori de recerca de l'ENP vinculat a l'Observatori del Patrimoni natural i la biodiversitat."/>
  </r>
  <r>
    <x v="2"/>
    <s v="OG 06"/>
    <x v="5"/>
    <s v="06.5"/>
    <x v="21"/>
    <s v="06.5.1"/>
    <x v="70"/>
    <s v="Comú"/>
    <s v="Obligatori"/>
    <s v="Participar en la definició del sistema estàndard de seguiment de l'ús públic amb el SENP"/>
  </r>
  <r>
    <x v="2"/>
    <s v="OG 06"/>
    <x v="5"/>
    <s v="06.5"/>
    <x v="21"/>
    <s v="06.5.2"/>
    <x v="71"/>
    <s v="Comú"/>
    <s v="Obligatori"/>
    <s v="Disposar de dades de freqüentació i perfil d'usuari en l'ENP i en especial en equipaments i en zones d'alta freqüentació."/>
  </r>
  <r>
    <x v="2"/>
    <s v="OG 06"/>
    <x v="5"/>
    <s v="06.5"/>
    <x v="21"/>
    <s v="06.5.3"/>
    <x v="72"/>
    <s v="Comú"/>
    <s v="Obligatori"/>
    <s v="Identificar les activitats i actors de l’espai."/>
  </r>
  <r>
    <x v="2"/>
    <s v="OG 06"/>
    <x v="5"/>
    <s v="06.5"/>
    <x v="21"/>
    <s v="06.5.4"/>
    <x v="73"/>
    <m/>
    <m/>
    <s v="Identificar en cartografia les males praxis i punts de massificació."/>
  </r>
  <r>
    <x v="2"/>
    <s v="OG 06"/>
    <x v="5"/>
    <s v="06.5"/>
    <x v="21"/>
    <s v="06.5.5"/>
    <x v="74"/>
    <s v="Comú"/>
    <s v="Obligatori"/>
    <s v="Adaptar i mantenir un registre d'activitats, actors i incidències en ús públic (curses, conflictes, queixes, etc.)."/>
  </r>
  <r>
    <x v="2"/>
    <s v="OG 06"/>
    <x v="5"/>
    <s v="06.5"/>
    <x v="21"/>
    <s v="06.5.6"/>
    <x v="75"/>
    <s v="Comú"/>
    <s v="Obligatori"/>
    <s v="Identificar els impactes (positius i negatius) que generen les activitats d'ús públic dins l'ENP."/>
  </r>
  <r>
    <x v="3"/>
    <s v="OG 07"/>
    <x v="6"/>
    <s v="07.1"/>
    <x v="22"/>
    <s v="07.1.1"/>
    <x v="76"/>
    <s v="Comú"/>
    <s v="Obligatori "/>
    <s v="Promoure i col·laborar en l'aplicació de Plans de Desenvolupament Local Sostenible."/>
  </r>
  <r>
    <x v="3"/>
    <s v="OG 08"/>
    <x v="7"/>
    <s v="08.1"/>
    <x v="23"/>
    <s v="08.1.1"/>
    <x v="77"/>
    <s v="Comú"/>
    <s v="Obligatori "/>
    <s v="Acompanyar i assessorar els productors agraris per millorar les tècniques productives agràries i afavorir la conservació dels hàbitats i paisatges."/>
  </r>
  <r>
    <x v="3"/>
    <s v="OG 08"/>
    <x v="7"/>
    <s v="08.1"/>
    <x v="23"/>
    <s v="08.1.2"/>
    <x v="78"/>
    <s v="Comú"/>
    <s v="Obligatori "/>
    <s v="Oferir formació als productors agraris per millorar el seu coneixement sobre tècniques eficients i respectuoses amb la conservació del patrimoni natural i cultural."/>
  </r>
  <r>
    <x v="3"/>
    <s v="OG 08"/>
    <x v="7"/>
    <s v="08.1"/>
    <x v="23"/>
    <s v="08.1.3"/>
    <x v="79"/>
    <s v="Específic"/>
    <s v="Optatiu"/>
    <s v="Promoure la recuperació i conservació de marges i punts d'aigua associats a la ramaderia i l'agricultura i d'interès per la biodiversitat."/>
  </r>
  <r>
    <x v="3"/>
    <s v="OG 08"/>
    <x v="7"/>
    <s v="08.2"/>
    <x v="24"/>
    <s v="08.2.1"/>
    <x v="80"/>
    <m/>
    <m/>
    <s v="Establir una relació contínua amb agents socioeconòmics del territori, i si s'escau, crear una Taula de desenvolupament local."/>
  </r>
  <r>
    <x v="3"/>
    <s v="OG 08"/>
    <x v="7"/>
    <s v="08.2"/>
    <x v="24"/>
    <s v="08.2.1"/>
    <x v="80"/>
    <m/>
    <m/>
    <s v="Establir una relació contínua amb agents socioeconòmics del territori, i si s'escau, crear una Taula de desenvolupament local."/>
  </r>
  <r>
    <x v="3"/>
    <s v="OG 08"/>
    <x v="7"/>
    <s v="08.3"/>
    <x v="25"/>
    <s v="08.3.1"/>
    <x v="81"/>
    <s v="Comú"/>
    <s v="Optatiu"/>
    <s v="Implantar un distintiu de qualitat i compatibilitat amb la conservació dels productes de la Xarxa d'ENP o criteris de qualitat propis de l'ENP."/>
  </r>
  <r>
    <x v="3"/>
    <s v="OG 08"/>
    <x v="7"/>
    <s v="08.3"/>
    <x v="25"/>
    <s v="08.3.2"/>
    <x v="82"/>
    <s v="Comú"/>
    <s v="Obligatori"/>
    <s v="Integrar els productes i activitats locals de qualitat en l'oferta d'activitats d'informació i turístiques de l'ENP."/>
  </r>
  <r>
    <x v="3"/>
    <s v="OG 08"/>
    <x v="7"/>
    <s v="08.3"/>
    <x v="25"/>
    <s v="08.3.3"/>
    <x v="83"/>
    <s v="Comú"/>
    <s v="Optatiu"/>
    <s v="Promoure fires d'artesania i productes locals de l'ENP."/>
  </r>
  <r>
    <x v="3"/>
    <s v="OG 08"/>
    <x v="7"/>
    <s v="08.3"/>
    <x v="25"/>
    <s v="08.3.4"/>
    <x v="84"/>
    <s v="Comú"/>
    <s v="Optatiu"/>
    <s v="Generar aliances entre el sector primari, el turisme, la restauració i altres per fomentar la gastronomia local."/>
  </r>
  <r>
    <x v="3"/>
    <s v="OG 08"/>
    <x v="7"/>
    <s v="08.3"/>
    <x v="25"/>
    <s v="08.3.5"/>
    <x v="85"/>
    <s v="Comú"/>
    <s v="Optatiu"/>
    <s v="Disposar d'una diagnosi del teixit productiu local i un pla d’acció amb línies de treball i actuacions concretes per donar-li suport."/>
  </r>
  <r>
    <x v="3"/>
    <s v="OG 08"/>
    <x v="7"/>
    <s v="08.3"/>
    <x v="25"/>
    <s v="08.3.6"/>
    <x v="86"/>
    <s v="Comú"/>
    <s v="Optatiu"/>
    <s v="Elaborar una guia per promocionar els agents del territori que potencien i difonen els productes alimentaris locals i de qualitat (allotjaments, restaurants, cellers, establiments, elaboradors i productors)."/>
  </r>
  <r>
    <x v="3"/>
    <s v="OG 08"/>
    <x v="7"/>
    <s v="08.4"/>
    <x v="26"/>
    <s v="08.4.1"/>
    <x v="87"/>
    <s v="Comú"/>
    <s v="Obligatori"/>
    <s v="Treballar amb l'autoritat competent per garantir objectius de conservació d’espècies i hàbitats en la revisió dels Plans de Gestió Cinegètica."/>
  </r>
  <r>
    <x v="3"/>
    <s v="OG 08"/>
    <x v="7"/>
    <s v="08.4"/>
    <x v="26"/>
    <s v="08.4.2"/>
    <x v="88"/>
    <s v="Comú"/>
    <s v="Obligatori"/>
    <s v="Col·laborar en la regulació i ordenació de la caça i la pesca en zones sensibles o amb risc d'afectació d'elements clau objecte de conservació."/>
  </r>
  <r>
    <x v="3"/>
    <s v="OG 08"/>
    <x v="7"/>
    <s v="08.4"/>
    <x v="26"/>
    <s v="08.4.2"/>
    <x v="88"/>
    <s v="Comú"/>
    <s v="Obligatori"/>
    <s v="Col·laborar en la regulació i ordenació de la caça i la pesca en zones sensibles o amb risc d'afectació d'elements clau objecte de conservació."/>
  </r>
  <r>
    <x v="3"/>
    <s v="OG 08"/>
    <x v="7"/>
    <s v="08.4"/>
    <x v="26"/>
    <s v="08.4.2"/>
    <x v="88"/>
    <s v="Comú"/>
    <s v="Obligatori"/>
    <s v="Col·laborar en la regulació i ordenació de la caça i la pesca en zones sensibles o amb risc d'afectació d'elements clau objecte de conservació."/>
  </r>
  <r>
    <x v="3"/>
    <s v="OG 08"/>
    <x v="7"/>
    <s v="08.4"/>
    <x v="26"/>
    <s v="08.4.3"/>
    <x v="89"/>
    <s v="Comú"/>
    <s v="Obligatori"/>
    <s v="Gestió activa de l'ENP de poblacions que generen danys a les activitats econòmiques de l'ENP."/>
  </r>
  <r>
    <x v="3"/>
    <s v="OG 08"/>
    <x v="7"/>
    <s v="08.4"/>
    <x v="26"/>
    <s v="08.4.3"/>
    <x v="89"/>
    <s v="Comú"/>
    <s v="Obligatori"/>
    <s v="Gestió activa de l'ENP de poblacions que generen danys a les activitats econòmiques de l'ENP."/>
  </r>
  <r>
    <x v="3"/>
    <s v="OG 08"/>
    <x v="7"/>
    <s v="08.4"/>
    <x v="26"/>
    <s v="08.4.3"/>
    <x v="89"/>
    <s v="Comú"/>
    <s v="Obligatori"/>
    <s v="Gestió activa de l'ENP de poblacions que generen danys a les activitats econòmiques de l'ENP."/>
  </r>
  <r>
    <x v="3"/>
    <s v="OG 09"/>
    <x v="8"/>
    <s v="09.1"/>
    <x v="27"/>
    <s v="09.1.1"/>
    <x v="90"/>
    <s v="Comú"/>
    <s v="Optatiu"/>
    <s v="Desplegar la Carta Europea de Turisme Sostenible (CETS)."/>
  </r>
  <r>
    <x v="3"/>
    <s v="OG 09"/>
    <x v="8"/>
    <s v="09.1"/>
    <x v="27"/>
    <s v="09.1.2"/>
    <x v="91"/>
    <s v="Comú"/>
    <s v="Optatiu"/>
    <s v="Tramitar la certificació Biosphere."/>
  </r>
  <r>
    <x v="3"/>
    <s v="OG 09"/>
    <x v="8"/>
    <s v="09.2"/>
    <x v="28"/>
    <s v="09.2.1"/>
    <x v="92"/>
    <s v="Comú"/>
    <s v="Optatiu"/>
    <s v="Treballar amb les empreses del sector lúdic-esportiu i turístic per impulsar el desenvolupament local sostenible."/>
  </r>
  <r>
    <x v="3"/>
    <s v="OG 09"/>
    <x v="8"/>
    <s v="09.2"/>
    <x v="28"/>
    <s v="09.2.1"/>
    <x v="92"/>
    <s v="Comú"/>
    <s v="Optatiu"/>
    <s v="Treballar amb les empreses del sector lúdic-esportiu i turístic per impulsar el desenvolupament local sostenible."/>
  </r>
  <r>
    <x v="3"/>
    <s v="OG 09"/>
    <x v="8"/>
    <s v="09.2"/>
    <x v="28"/>
    <s v="09.2.2"/>
    <x v="93"/>
    <s v="Comú"/>
    <s v="Optatiu"/>
    <s v="Crear productes i paquets turístics amb associacions d’empreses turístiques i operadors turístics."/>
  </r>
  <r>
    <x v="4"/>
    <s v="OG 10"/>
    <x v="9"/>
    <s v="10.1"/>
    <x v="29"/>
    <s v="10.1.1"/>
    <x v="94"/>
    <s v="Comú"/>
    <s v="Obligatori"/>
    <s v="Establir un model de construcció a l'ENP."/>
  </r>
  <r>
    <x v="4"/>
    <s v="OG 11"/>
    <x v="10"/>
    <s v="11.1"/>
    <x v="30"/>
    <s v="11.1.1"/>
    <x v="95"/>
    <s v="Comú"/>
    <s v="Obligatori"/>
    <s v="Regular l'acampada i pernoctació  en base al model de Pla de protecció."/>
  </r>
  <r>
    <x v="4"/>
    <s v="OG 11"/>
    <x v="10"/>
    <s v="11.1"/>
    <x v="30"/>
    <s v="11.1.10"/>
    <x v="96"/>
    <s v="Específic"/>
    <s v="Obligatori"/>
    <s v="Regular les activitats aquàtiques i nàutiques i zones de fondeig."/>
  </r>
  <r>
    <x v="4"/>
    <s v="OG 11"/>
    <x v="10"/>
    <s v="11.1"/>
    <x v="30"/>
    <s v="11.1.11"/>
    <x v="97"/>
    <s v="Comú"/>
    <s v="Obligatori"/>
    <s v="Regular la presència d'animals de companyia."/>
  </r>
  <r>
    <x v="4"/>
    <s v="OG 11"/>
    <x v="10"/>
    <s v="11.1"/>
    <x v="30"/>
    <s v="11.1.12"/>
    <x v="98"/>
    <s v="Comú"/>
    <s v="Obligatori"/>
    <s v="Regular les activitats d'educació ambiental i el lleure educatiu."/>
  </r>
  <r>
    <x v="4"/>
    <s v="OG 11"/>
    <x v="10"/>
    <s v="11.1"/>
    <x v="30"/>
    <s v="11.1.2"/>
    <x v="99"/>
    <s v="Comú"/>
    <s v="Obligatori"/>
    <s v="Regular la circulació rodada no motoritzada en base al model de Pla de protecció."/>
  </r>
  <r>
    <x v="4"/>
    <s v="OG 11"/>
    <x v="10"/>
    <s v="11.1"/>
    <x v="30"/>
    <s v="11.1.3"/>
    <x v="100"/>
    <s v="Específic"/>
    <s v="Obligatori"/>
    <s v="Regular l'escalada i alpinisme, barranquisme, i espeleologia  en base al model de Pla de protecció."/>
  </r>
  <r>
    <x v="4"/>
    <s v="OG 11"/>
    <x v="10"/>
    <s v="11.1"/>
    <x v="30"/>
    <s v="11.1.4"/>
    <x v="101"/>
    <s v="Comú"/>
    <s v="Obligatori"/>
    <s v="Regular les curses i altres activitats esportives organitzades en base a la normativa dels Ens locals i la Generalitat de Catalunya."/>
  </r>
  <r>
    <x v="4"/>
    <s v="OG 11"/>
    <x v="10"/>
    <s v="11.1"/>
    <x v="30"/>
    <s v="11.1.5"/>
    <x v="102"/>
    <s v="Comú"/>
    <s v="Obligatori"/>
    <s v="Regular els enregistraments i l'observació de fauna i natura en base a la normativa de la Generalitat de Catalunya i els Ens locals."/>
  </r>
  <r>
    <x v="4"/>
    <s v="OG 11"/>
    <x v="10"/>
    <s v="11.1"/>
    <x v="30"/>
    <s v="11.1.6"/>
    <x v="103"/>
    <s v="Comú"/>
    <s v="Obligatori"/>
    <s v="Regular les activitats científiques en base a la normativa de la Generalitat de Catalunya i els Ens locals."/>
  </r>
  <r>
    <x v="4"/>
    <s v="OG 11"/>
    <x v="10"/>
    <s v="11.1"/>
    <x v="30"/>
    <s v="11.1.7"/>
    <x v="104"/>
    <s v="Específic"/>
    <s v="Obligatori"/>
    <s v="Regular les zones de bany."/>
  </r>
  <r>
    <x v="4"/>
    <s v="OG 11"/>
    <x v="10"/>
    <s v="11.1"/>
    <x v="30"/>
    <s v="11.1.8"/>
    <x v="105"/>
    <s v="Específic"/>
    <s v="Obligatori"/>
    <s v="Regular l'enlairament i aterratge sense motor."/>
  </r>
  <r>
    <x v="4"/>
    <s v="OG 11"/>
    <x v="10"/>
    <s v="11.1"/>
    <x v="30"/>
    <s v="11.1.9"/>
    <x v="106"/>
    <s v="Específic"/>
    <s v="Obligatori"/>
    <s v="Regular el submarinisme i l'snorkel."/>
  </r>
  <r>
    <x v="4"/>
    <s v="OG 11"/>
    <x v="10"/>
    <s v="11.2"/>
    <x v="31"/>
    <s v="11.2.1"/>
    <x v="107"/>
    <s v="Comú"/>
    <s v="Obligatori"/>
    <s v="Identificar i classificar la xarxa viària bàsica, secundària, senders i itineraris senyalitzats d'acord amb els ajuntaments."/>
  </r>
  <r>
    <x v="4"/>
    <s v="OG 11"/>
    <x v="10"/>
    <s v="11.2"/>
    <x v="31"/>
    <s v="11.2.2"/>
    <x v="108"/>
    <s v="Comú"/>
    <s v="Obligatori"/>
    <s v="Treballar conjuntament amb els principals canals d’informació de rutes  per prioritzar itineraris oficials dins l’ENP."/>
  </r>
  <r>
    <x v="4"/>
    <s v="OG 11"/>
    <x v="10"/>
    <s v="11.3"/>
    <x v="32"/>
    <s v="11.3.1"/>
    <x v="109"/>
    <s v="Comú"/>
    <s v="Obligatori"/>
    <s v="Regular l'accés i la circulació."/>
  </r>
  <r>
    <x v="4"/>
    <s v="OG 11"/>
    <x v="10"/>
    <s v="11.3"/>
    <x v="32"/>
    <s v="11.3.2"/>
    <x v="110"/>
    <s v="Comú"/>
    <s v="Obligatori"/>
    <s v="Regular la xarxa viària principal, secundària i restringida."/>
  </r>
  <r>
    <x v="4"/>
    <s v="OG 11"/>
    <x v="10"/>
    <s v="11.3"/>
    <x v="32"/>
    <s v="11.3.3"/>
    <x v="111"/>
    <s v="Específic"/>
    <s v="Obligatori"/>
    <s v="Regular l'ús de drons, l'enlairament i l'aterratge."/>
  </r>
  <r>
    <x v="4"/>
    <s v="OG 11"/>
    <x v="10"/>
    <s v="11.3"/>
    <x v="32"/>
    <s v="11.3.3"/>
    <x v="111"/>
    <s v="Específic"/>
    <s v="Obligatori"/>
    <s v="Regular l'ús de drons, l'enlairament i l'aterratge."/>
  </r>
  <r>
    <x v="4"/>
    <s v="OG 11"/>
    <x v="10"/>
    <s v="11.3"/>
    <x v="32"/>
    <s v="11.3.4"/>
    <x v="112"/>
    <s v="Comú"/>
    <s v="Obligatori"/>
    <s v="Aplicar limitacions temporals d'accés o circulació."/>
  </r>
  <r>
    <x v="4"/>
    <s v="OG 11"/>
    <x v="10"/>
    <s v="11.3"/>
    <x v="32"/>
    <s v="11.3.5"/>
    <x v="113"/>
    <s v="Comú"/>
    <s v="Obligatori"/>
    <s v="Regular l'aparcament de vehicles."/>
  </r>
  <r>
    <x v="4"/>
    <s v="OG 11"/>
    <x v="10"/>
    <s v="11.4"/>
    <x v="33"/>
    <s v="11.4.1"/>
    <x v="114"/>
    <s v="Comú"/>
    <s v="Obligatori"/>
    <s v="Implementar l'ordenació de l'ús públic en col·laboració amb els agents del territori."/>
  </r>
  <r>
    <x v="4"/>
    <s v="OG 11"/>
    <x v="10"/>
    <s v="11.4"/>
    <x v="33"/>
    <s v="11.4.2"/>
    <x v="115"/>
    <s v="Comú"/>
    <s v="Obligatori"/>
    <s v="Promoció i acompanyament en l'ordenació de l'ús públic de l'ENP des de l'àmbit municipal."/>
  </r>
  <r>
    <x v="4"/>
    <s v="OG 11"/>
    <x v="10"/>
    <s v="11.5"/>
    <x v="34"/>
    <s v="11.5.1"/>
    <x v="116"/>
    <s v="Comú"/>
    <s v="Obligatori"/>
    <s v="Realitzar l'inventari de senyalètica de l'ENP."/>
  </r>
  <r>
    <x v="4"/>
    <s v="OG 11"/>
    <x v="10"/>
    <s v="11.5"/>
    <x v="34"/>
    <s v="11.5.2"/>
    <x v="117"/>
    <s v="Comú"/>
    <s v="Obligatori"/>
    <s v="Implantar el programa de senyalització i manteniment."/>
  </r>
  <r>
    <x v="4"/>
    <s v="OG 11"/>
    <x v="10"/>
    <s v="11.5"/>
    <x v="34"/>
    <s v="11.5.2"/>
    <x v="117"/>
    <s v="Comú"/>
    <s v="Obligatori"/>
    <s v="Implantar el programa de senyalització i manteniment."/>
  </r>
  <r>
    <x v="4"/>
    <s v="OG 11"/>
    <x v="10"/>
    <s v="11.6"/>
    <x v="35"/>
    <s v="11.6.1"/>
    <x v="118"/>
    <s v="Comú"/>
    <s v="Optatiu"/>
    <s v="Potenciar la visita a espais alternatius dins de l'àmbit d'influència de l'espai natural per reduir la pressió en zones sensibles."/>
  </r>
  <r>
    <x v="4"/>
    <s v="OG 11"/>
    <x v="10"/>
    <s v="11.6"/>
    <x v="35"/>
    <s v="11.6.2"/>
    <x v="119"/>
    <s v="Comú"/>
    <s v="Optatiu"/>
    <s v="Impulsar les mesures extraordinàries de regulació de l'ús públic."/>
  </r>
  <r>
    <x v="4"/>
    <s v="OG 11"/>
    <x v="10"/>
    <s v="11.7"/>
    <x v="36"/>
    <s v="11.7.1"/>
    <x v="120"/>
    <s v="Comú"/>
    <s v="Obligatori"/>
    <s v="Adequar els principals accessos, aparcaments i centres d'interès amb un ús elevat."/>
  </r>
  <r>
    <x v="4"/>
    <s v="OG 11"/>
    <x v="10"/>
    <s v="11.7"/>
    <x v="36"/>
    <s v="11.7.2"/>
    <x v="121"/>
    <s v="Comú"/>
    <s v="Obligatori"/>
    <s v="Disposar dels equipaments i infraestructures necessàries i accessibles per acollir, informar, facilitar la visita i garantir la seguretat dels visitants i la protecció de l'entorn."/>
  </r>
  <r>
    <x v="4"/>
    <s v="OG 11"/>
    <x v="10"/>
    <s v="11.7"/>
    <x v="36"/>
    <s v="11.7.2"/>
    <x v="121"/>
    <s v="Comú"/>
    <s v="Obligatori"/>
    <s v="Disposar dels equipaments i infraestructures necessàries i accessibles per acollir, informar, facilitar la visita i garantir la seguretat dels visitants i la protecció de l'entorn."/>
  </r>
  <r>
    <x v="4"/>
    <s v="OG 11"/>
    <x v="10"/>
    <s v="11.7"/>
    <x v="36"/>
    <s v="11.7.2"/>
    <x v="121"/>
    <s v="Comú"/>
    <s v="Obligatori"/>
    <s v="Disposar dels equipaments i infraestructures necessàries i accessibles per acollir, informar, facilitar la visita i garantir la seguretat dels visitants i la protecció de l'entorn."/>
  </r>
  <r>
    <x v="4"/>
    <s v="OG 11"/>
    <x v="10"/>
    <s v="11.7"/>
    <x v="36"/>
    <s v="11.7.2"/>
    <x v="121"/>
    <s v="Comú"/>
    <s v="Obligatori"/>
    <s v="Disposar dels equipaments i infraestructures necessàries i accessibles per acollir, informar, facilitar la visita i garantir la seguretat dels visitants i la protecció de l'entorn."/>
  </r>
  <r>
    <x v="4"/>
    <s v="OG 11"/>
    <x v="10"/>
    <s v="11.7"/>
    <x v="36"/>
    <s v="11.7.2"/>
    <x v="121"/>
    <s v="Comú"/>
    <s v="Obligatori"/>
    <s v="Disposar dels equipaments i infraestructures necessàries i accessibles per acollir, informar, facilitar la visita i garantir la seguretat dels visitants i la protecció de l'entorn."/>
  </r>
  <r>
    <x v="4"/>
    <s v="OG 11"/>
    <x v="10"/>
    <s v="11.7"/>
    <x v="36"/>
    <s v="11.7.2"/>
    <x v="121"/>
    <s v="Comú"/>
    <s v="Obligatori"/>
    <s v="Disposar dels equipaments i infraestructures necessàries i accessibles per acollir, informar, facilitar la visita i garantir la seguretat dels visitants i la protecció de l'entorn."/>
  </r>
  <r>
    <x v="4"/>
    <s v="OG 11"/>
    <x v="10"/>
    <s v="11.7"/>
    <x v="36"/>
    <s v="11.7.3"/>
    <x v="122"/>
    <s v="Comú"/>
    <s v="Obligatori"/>
    <s v="Desenvolupar el Pla d'acollida als visitants en base al model de la DG."/>
  </r>
  <r>
    <x v="4"/>
    <s v="OG 11"/>
    <x v="10"/>
    <s v="11.7"/>
    <x v="36"/>
    <s v="11.7.4"/>
    <x v="123"/>
    <s v="Comú"/>
    <s v="Obligatori"/>
    <s v="Adaptar els missatges a donar des d'oficines d’informació, pròpies i alienes, d'acord amb el model de la DG."/>
  </r>
  <r>
    <x v="4"/>
    <s v="OG 11"/>
    <x v="10"/>
    <s v="11.8"/>
    <x v="37"/>
    <s v="11.8.1"/>
    <x v="124"/>
    <s v="Comú"/>
    <s v="Optatiu"/>
    <s v="Elaborar i executar el Pla de vigilància de l’espai d'acord amb els cossos d’inspecció i seguretat."/>
  </r>
  <r>
    <x v="4"/>
    <s v="OG 11"/>
    <x v="10"/>
    <s v="11.8"/>
    <x v="37"/>
    <s v="11.8.2"/>
    <x v="125"/>
    <s v="Comú"/>
    <s v="Obligatori"/>
    <s v="Millorar la coordinació amb els cossos de seguretat per efectuar accions de control i vigilància."/>
  </r>
  <r>
    <x v="4"/>
    <s v="OG 11"/>
    <x v="10"/>
    <s v="11.8"/>
    <x v="37"/>
    <s v="11.8.3"/>
    <x v="126"/>
    <s v="Comú"/>
    <s v="Obligatori"/>
    <s v="Vetllar pel compliment d'informes i la vigilància tècnica de l'espai."/>
  </r>
  <r>
    <x v="4"/>
    <s v="OG 12"/>
    <x v="11"/>
    <s v="12.1"/>
    <x v="38"/>
    <s v="12.1.1"/>
    <x v="127"/>
    <s v="Comú"/>
    <s v="Obligatori"/>
    <s v="Ordenar el pla d’emergències."/>
  </r>
  <r>
    <x v="4"/>
    <s v="OG 12"/>
    <x v="11"/>
    <s v="12.1"/>
    <x v="38"/>
    <s v="12.1.2"/>
    <x v="128"/>
    <s v="Comú"/>
    <s v="Obligatori"/>
    <s v="Contribuir a la protecció dels assentaments humans respecte dels riscos naturals"/>
  </r>
  <r>
    <x v="5"/>
    <s v="OG 13"/>
    <x v="12"/>
    <s v="13.1"/>
    <x v="39"/>
    <s v="13.1.1"/>
    <x v="129"/>
    <s v="Comú"/>
    <s v="Obligatori"/>
    <s v="Definir el model de Xarxa d'Escoles de l'Espai Natural (XEEN) a l'ENP amb els agents educatius del territori"/>
  </r>
  <r>
    <x v="5"/>
    <s v="OG 13"/>
    <x v="12"/>
    <s v="13.1"/>
    <x v="39"/>
    <s v="13.1.2"/>
    <x v="130"/>
    <s v="Comú"/>
    <s v="Obligatori"/>
    <s v="Desplegar el model de Xarxa d'Escoles de l'Espai Natural (XEEN) a l'ENP d'acord amb el model general."/>
  </r>
  <r>
    <x v="5"/>
    <s v="OG 13"/>
    <x v="12"/>
    <s v="13.1"/>
    <x v="39"/>
    <s v="13.1.3"/>
    <x v="131"/>
    <s v="Comú"/>
    <s v="Obligatori"/>
    <s v="Formar i capacitar al professorat de la XEEN."/>
  </r>
  <r>
    <x v="5"/>
    <s v="OG 13"/>
    <x v="12"/>
    <s v="13.2"/>
    <x v="40"/>
    <s v="13.2.1"/>
    <x v="132"/>
    <s v="Comú"/>
    <s v="Obligatori"/>
    <s v="Adaptar i millorar l'oferta pedagògica de l'ENP generant situacions d'aprenentatge i treballs per projecte."/>
  </r>
  <r>
    <x v="5"/>
    <s v="OG 13"/>
    <x v="12"/>
    <s v="13.2"/>
    <x v="40"/>
    <s v="13.2.2"/>
    <x v="133"/>
    <s v="Comú"/>
    <s v="Optatiu"/>
    <s v="Dissenyar projectes d'ApS ambiental i Ciència ciutadana i projectes compartits amb entitats del territori que s'incloguin dins de l'oferta pedagògica."/>
  </r>
  <r>
    <x v="5"/>
    <s v="OG 13"/>
    <x v="12"/>
    <s v="13.2"/>
    <x v="40"/>
    <s v="13.2.3"/>
    <x v="134"/>
    <s v="Comú"/>
    <s v="Optatiu"/>
    <s v="Elaborar recursos educatius sobre l’espai (que tinguin en compte les problemàtiques singulars del seu espai) i posar-los a disposició dels centres educatius."/>
  </r>
  <r>
    <x v="5"/>
    <s v="OG 13"/>
    <x v="12"/>
    <s v="13.2"/>
    <x v="40"/>
    <s v="13.2.4"/>
    <x v="135"/>
    <s v="Comú"/>
    <s v="Optatiu"/>
    <s v="Oferir projectes de recerca vinculats a l'espai natural per a l'alumnat universitari i de la XEEN."/>
  </r>
  <r>
    <x v="5"/>
    <s v="OG 13"/>
    <x v="12"/>
    <s v="13.3"/>
    <x v="41"/>
    <s v="13.3.1"/>
    <x v="136"/>
    <s v="Comú"/>
    <s v="Obligatori"/>
    <s v="Establir un model de coordinació territorial amb agents clau de l'educació ambiental."/>
  </r>
  <r>
    <x v="5"/>
    <s v="OG 13"/>
    <x v="12"/>
    <s v="13.3"/>
    <x v="41"/>
    <s v="13.3.2"/>
    <x v="137"/>
    <s v="Comú"/>
    <s v="Obligatori"/>
    <s v="Cercar i establir col·laboracions i projectes conjunts amb agents clau del territori."/>
  </r>
  <r>
    <x v="5"/>
    <s v="OG 13"/>
    <x v="12"/>
    <s v="13.3"/>
    <x v="41"/>
    <s v="13.3.3"/>
    <x v="138"/>
    <s v="Comú"/>
    <s v="Obligatori"/>
    <s v="Elaborar formacions dirigides als informadors, educadors i altres prescriptors del territori."/>
  </r>
  <r>
    <x v="5"/>
    <s v="OG 13"/>
    <x v="12"/>
    <s v="13.4"/>
    <x v="42"/>
    <s v="13.4.1"/>
    <x v="139"/>
    <s v="Comú"/>
    <s v="Obligatori"/>
    <s v="Desplegar en el territori les campanyes de sensibilització i bones pràctiques que s'impulsin des de la DG."/>
  </r>
  <r>
    <x v="5"/>
    <s v="OG 13"/>
    <x v="12"/>
    <s v="13.4"/>
    <x v="42"/>
    <s v="13.4.2"/>
    <x v="140"/>
    <s v="Comú"/>
    <s v="Optatiu"/>
    <s v="Adaptar el programa de divulgació i sensibilització de l'ENP perquè incorpori una oferta d’activitats adequada per a famílies."/>
  </r>
  <r>
    <x v="5"/>
    <s v="OG 13"/>
    <x v="12"/>
    <s v="13.4"/>
    <x v="42"/>
    <s v="13.4.3"/>
    <x v="141"/>
    <s v="Comú"/>
    <s v="Optatiu"/>
    <s v="Adaptar el programa de divulgació i sensibilització de l'ENP perquè incorpori una oferta d’activitats adequada per a altres perfils."/>
  </r>
  <r>
    <x v="5"/>
    <s v="OG 13"/>
    <x v="12"/>
    <s v="13.4"/>
    <x v="42"/>
    <s v="13.4.4"/>
    <x v="142"/>
    <s v="Comú"/>
    <s v="Optatiu"/>
    <s v="Adaptar el programa de divulgació i sensibilització de l'ENP perquè incorpori una oferta d’activitats dirigida al lleure educatiu "/>
  </r>
  <r>
    <x v="5"/>
    <s v="OG 13"/>
    <x v="12"/>
    <s v="13.5"/>
    <x v="43"/>
    <s v="13.5.1"/>
    <x v="143"/>
    <s v="Comú"/>
    <s v="Obligatori"/>
    <s v="Identificar col·lectius estratègics implicats en la gestió i l'ús del territori."/>
  </r>
  <r>
    <x v="5"/>
    <s v="OG 13"/>
    <x v="12"/>
    <s v="13.5"/>
    <x v="43"/>
    <s v="13.5.2"/>
    <x v="144"/>
    <s v="Comú"/>
    <s v="Optatiu"/>
    <s v="Executar els projectes de sensibilització i formació dirigits al sector turístic, esportiu i de lleure."/>
  </r>
  <r>
    <x v="5"/>
    <s v="OG 13"/>
    <x v="12"/>
    <s v="13.5"/>
    <x v="43"/>
    <s v="13.5.3"/>
    <x v="145"/>
    <s v="Comú"/>
    <s v="Optatiu"/>
    <s v="Executar els projectes de sensibilització i formació dirigits als agents de lleure educatiu. "/>
  </r>
  <r>
    <x v="5"/>
    <s v="OG 13"/>
    <x v="12"/>
    <s v="13.5"/>
    <x v="43"/>
    <s v="13.5.4"/>
    <x v="146"/>
    <s v="Comú"/>
    <s v="Optatiu"/>
    <s v="Executar els projectes de sensibilització i formació dirigits als agents del sector primari "/>
  </r>
  <r>
    <x v="5"/>
    <s v="OG 13"/>
    <x v="12"/>
    <s v="13.5"/>
    <x v="43"/>
    <s v="13.5.5"/>
    <x v="147"/>
    <s v="Comú"/>
    <s v="Obligatori"/>
    <s v="Elaborar i renovar periòdicament un programa d’educació ambiental adreçat a la població local que contribueixi a fomentar el sentiment de pertinença i la implicació en la conservació de l'ENP."/>
  </r>
  <r>
    <x v="5"/>
    <s v="OG 13"/>
    <x v="12"/>
    <s v="13.6"/>
    <x v="44"/>
    <s v="13.6.1"/>
    <x v="148"/>
    <s v="Comú"/>
    <s v="Obligatori"/>
    <s v="Identificar els programes, projectes i accions en marxa o previstos a l’ENP que poden rebre el suport del voluntariat"/>
  </r>
  <r>
    <x v="5"/>
    <s v="OG 13"/>
    <x v="12"/>
    <s v="13.6"/>
    <x v="44"/>
    <s v="13.6.2"/>
    <x v="149"/>
    <s v="Comú"/>
    <s v="Obligatori"/>
    <s v="Establir un model de coordinació territorial amb agents clau del voluntariat ambiental."/>
  </r>
  <r>
    <x v="5"/>
    <s v="OG 13"/>
    <x v="12"/>
    <s v="13.7"/>
    <x v="45"/>
    <s v="13.7.1"/>
    <x v="150"/>
    <s v="Comú"/>
    <s v="Obligatori"/>
    <s v="Dissenyar i adaptar activitats inclusives per a persones amb necessitats específiques."/>
  </r>
  <r>
    <x v="5"/>
    <s v="OG 13"/>
    <x v="12"/>
    <s v="13.7"/>
    <x v="45"/>
    <s v="13.7.2"/>
    <x v="151"/>
    <s v="Comú"/>
    <s v="Optatiu"/>
    <s v="Formar el personal de l'ENP (informadors i personal que treballa de cara al públic) en accessibilitat, diversitat funcional i diversitat de gènere."/>
  </r>
  <r>
    <x v="5"/>
    <s v="OG 13"/>
    <x v="12"/>
    <s v="13.7"/>
    <x v="45"/>
    <s v="13.7.3"/>
    <x v="152"/>
    <s v="Comú"/>
    <s v="Obligatori"/>
    <s v="Incorporar la perspectiva de gènere als continguts i activitats de l'ENP."/>
  </r>
  <r>
    <x v="5"/>
    <s v="OG 13"/>
    <x v="12"/>
    <s v="13.8"/>
    <x v="46"/>
    <s v="13.8.1"/>
    <x v="153"/>
    <s v="Comú"/>
    <s v="Optatiu"/>
    <s v="Dissenyar, implementar i fomentar itineraris saludables dins dels itineraris oficials dels ENP i en la zona d'influència."/>
  </r>
  <r>
    <x v="5"/>
    <s v="OG 13"/>
    <x v="12"/>
    <s v="13.8"/>
    <x v="46"/>
    <s v="13.8.2"/>
    <x v="154"/>
    <s v="Comú"/>
    <s v="Optatiu"/>
    <s v="Identificar els agents clau i els àmbits de col·laboració per implementar el binomi salut i natura."/>
  </r>
  <r>
    <x v="5"/>
    <s v="OG 13"/>
    <x v="12"/>
    <s v="13.8"/>
    <x v="46"/>
    <s v="13.8.3"/>
    <x v="155"/>
    <s v="Comú"/>
    <s v="Optatiu"/>
    <s v="Incloure el concepte de salut i natura en els missatges educatius i comunicatius de l'ENP."/>
  </r>
  <r>
    <x v="5"/>
    <s v="OG 13"/>
    <x v="12"/>
    <s v="13.8"/>
    <x v="46"/>
    <s v="13.8.4"/>
    <x v="156"/>
    <s v="Comú"/>
    <s v="Optatiu"/>
    <s v="Participar a les Taules territorials de Salut i Natura."/>
  </r>
  <r>
    <x v="5"/>
    <s v="OG 14"/>
    <x v="13"/>
    <s v="14.1"/>
    <x v="47"/>
    <s v="14.1.1"/>
    <x v="157"/>
    <s v="Comú"/>
    <s v="Obligatori"/>
    <s v="Informar periòdicament sobre les tasques, projectes i actuacions que duu a terme l'ENP a la població."/>
  </r>
  <r>
    <x v="5"/>
    <s v="OG 14"/>
    <x v="13"/>
    <s v="14.1"/>
    <x v="47"/>
    <s v="14.1.1"/>
    <x v="157"/>
    <s v="Comú"/>
    <s v="Obligatori"/>
    <s v="Informar periòdicament sobre les tasques, projectes i actuacions que duu a terme l'ENP a la població."/>
  </r>
  <r>
    <x v="5"/>
    <s v="OG 14"/>
    <x v="13"/>
    <s v="14.1"/>
    <x v="47"/>
    <s v="14.1.1"/>
    <x v="157"/>
    <s v="Comú"/>
    <s v="Obligatori"/>
    <s v="Informar periòdicament sobre les tasques, projectes i actuacions que duu a terme l'ENP a la població."/>
  </r>
  <r>
    <x v="5"/>
    <s v="OG 14"/>
    <x v="13"/>
    <s v="14.1"/>
    <x v="47"/>
    <s v="14.1.1"/>
    <x v="157"/>
    <s v="Comú"/>
    <s v="Obligatori"/>
    <s v="Informar periòdicament sobre les tasques, projectes i actuacions que duu a terme l'ENP a la població."/>
  </r>
  <r>
    <x v="5"/>
    <s v="OG 14"/>
    <x v="13"/>
    <s v="14.1"/>
    <x v="47"/>
    <s v="14.1.2"/>
    <x v="158"/>
    <s v="Comú"/>
    <s v="Obligatori"/>
    <s v="Garantir l'accessibilitat i gestió del coneixement disponible sobre l'ENP."/>
  </r>
  <r>
    <x v="5"/>
    <s v="OG 14"/>
    <x v="13"/>
    <s v="14.2"/>
    <x v="48"/>
    <s v="14.2.1"/>
    <x v="159"/>
    <s v="Comú"/>
    <s v="Obligatori"/>
    <s v="Sensibilitzar als diferents agents sobre els valors de l'ENP."/>
  </r>
  <r>
    <x v="5"/>
    <s v="OG 14"/>
    <x v="13"/>
    <s v="14.2"/>
    <x v="48"/>
    <s v="14.2.1"/>
    <x v="159"/>
    <s v="Comú"/>
    <s v="Obligatori"/>
    <s v="Sensibilitzar als diferents agents sobre els valors de l'ENP."/>
  </r>
  <r>
    <x v="5"/>
    <s v="OG 14"/>
    <x v="13"/>
    <s v="14.2"/>
    <x v="48"/>
    <s v="14.2.1"/>
    <x v="159"/>
    <s v="Comú"/>
    <s v="Obligatori"/>
    <s v="Sensibilitzar als diferents agents sobre els valors de l'ENP."/>
  </r>
  <r>
    <x v="5"/>
    <s v="OG 14"/>
    <x v="13"/>
    <s v="14.3"/>
    <x v="49"/>
    <s v="14.3.1"/>
    <x v="160"/>
    <s v="Comú"/>
    <s v="Obligatori"/>
    <s v="Optimitzar els canals de comunicació."/>
  </r>
  <r>
    <x v="5"/>
    <s v="OG 14"/>
    <x v="13"/>
    <s v="14.3"/>
    <x v="49"/>
    <s v="14.3.2"/>
    <x v="161"/>
    <s v="Comú"/>
    <s v="Obligatori"/>
    <s v="Garantir l'harmonització de la comunicació com a Parc, Xarxa i Generalitat."/>
  </r>
  <r>
    <x v="6"/>
    <s v="OG 15"/>
    <x v="14"/>
    <s v="15.1"/>
    <x v="50"/>
    <s v="15.1.1"/>
    <x v="162"/>
    <s v="Comú"/>
    <s v="Optatiu"/>
    <s v="Crear una taula de treball amb els agents prioritaris per a la gestió de l'ENP i els grups de treball temàtics necessaris."/>
  </r>
  <r>
    <x v="6"/>
    <s v="OG 15"/>
    <x v="14"/>
    <s v="15.1"/>
    <x v="50"/>
    <s v="15.1.2"/>
    <x v="163"/>
    <s v="Comú"/>
    <s v="Optatiu"/>
    <s v="Disposar d'assessorament científic en l'ENP."/>
  </r>
  <r>
    <x v="6"/>
    <s v="OG 15"/>
    <x v="14"/>
    <s v="15.1"/>
    <x v="50"/>
    <s v="15.1.2"/>
    <x v="163"/>
    <s v="Comú"/>
    <s v="Optatiu"/>
    <s v="Disposar d'assessorament científic en l'ENP."/>
  </r>
  <r>
    <x v="6"/>
    <s v="OG 15"/>
    <x v="14"/>
    <s v="15.1"/>
    <x v="50"/>
    <s v="15.1.3"/>
    <x v="164"/>
    <s v="Comú"/>
    <s v="Optatiu"/>
    <m/>
  </r>
  <r>
    <x v="6"/>
    <s v="OG 15"/>
    <x v="14"/>
    <s v="15.1"/>
    <x v="50"/>
    <s v="15.1.4"/>
    <x v="165"/>
    <s v="Comú"/>
    <s v="Obligatori"/>
    <s v="Adaptar i desplegar el model de governança dels espais naturals protegits."/>
  </r>
  <r>
    <x v="6"/>
    <s v="OG 15"/>
    <x v="14"/>
    <s v="15.1"/>
    <x v="50"/>
    <s v="15.1.4"/>
    <x v="165"/>
    <s v="Comú"/>
    <s v="Obligatori"/>
    <s v="Adaptar i desplegar el model de governança dels espais naturals protegits."/>
  </r>
  <r>
    <x v="6"/>
    <s v="OG 15"/>
    <x v="14"/>
    <s v="15.1"/>
    <x v="50"/>
    <s v="15.1.4"/>
    <x v="165"/>
    <s v="Comú"/>
    <s v="Obligatori"/>
    <s v="Adaptar i desplegar el model de governança dels espais naturals protegits."/>
  </r>
  <r>
    <x v="6"/>
    <s v="OG 15"/>
    <x v="14"/>
    <s v="15.1"/>
    <x v="50"/>
    <s v="15.1.4"/>
    <x v="165"/>
    <s v="Comú"/>
    <s v="Obligatori"/>
    <s v="Adaptar i desplegar el model de governança dels espais naturals protegits."/>
  </r>
  <r>
    <x v="6"/>
    <s v="OG 15"/>
    <x v="14"/>
    <s v="15.1"/>
    <x v="50"/>
    <s v="15.1.4"/>
    <x v="165"/>
    <s v="Comú"/>
    <s v="Obligatori"/>
    <s v="Adaptar i desplegar el model de governança dels espais naturals protegits."/>
  </r>
  <r>
    <x v="6"/>
    <s v="OG 15"/>
    <x v="14"/>
    <s v="15.1"/>
    <x v="50"/>
    <s v="15.1.4"/>
    <x v="165"/>
    <s v="Comú"/>
    <s v="Obligatori"/>
    <s v="Adaptar i desplegar el model de governança dels espais naturals protegits"/>
  </r>
  <r>
    <x v="6"/>
    <s v="OG 16"/>
    <x v="15"/>
    <s v="16.1"/>
    <x v="51"/>
    <s v="16.1.1"/>
    <x v="166"/>
    <s v="Comú"/>
    <s v="Obligatori"/>
    <s v="Millorar el sistema de control de l'execució del pressupost d'acord amb les indicacions de l'administració d'adscripció."/>
  </r>
  <r>
    <x v="6"/>
    <s v="OG 16"/>
    <x v="15"/>
    <s v="16.1"/>
    <x v="51"/>
    <s v="16.1.1"/>
    <x v="166"/>
    <s v="Comú"/>
    <s v="Obligatori"/>
    <s v="Millorar el sistema de control de l'execució del pressupost d'acord amb les indicacions de l'administració d'adscripció."/>
  </r>
  <r>
    <x v="6"/>
    <s v="OG 16"/>
    <x v="15"/>
    <s v="16.1"/>
    <x v="51"/>
    <s v="16.1.1"/>
    <x v="166"/>
    <s v="Comú"/>
    <s v="Obligatori"/>
    <s v="Millorar el sistema de control de l'execució del pressupost d'acord amb les indicacions de l'administració d'adscripció."/>
  </r>
  <r>
    <x v="6"/>
    <s v="OG 16"/>
    <x v="15"/>
    <s v="16.1"/>
    <x v="51"/>
    <s v="16.1.1"/>
    <x v="166"/>
    <s v="Comú"/>
    <s v="Obligatori"/>
    <s v="Millorar el sistema de control de l'execució del pressupost d'acord amb les indicacions de l'administració d'adscripció."/>
  </r>
  <r>
    <x v="6"/>
    <s v="OG 16"/>
    <x v="15"/>
    <s v="16.1"/>
    <x v="51"/>
    <s v="16.1.1"/>
    <x v="166"/>
    <s v="Comú"/>
    <s v="Obligatori"/>
    <s v="Millorar el sistema de control de l'execució del pressupost d'acord amb les indicacions de l'administració d'adscripció."/>
  </r>
  <r>
    <x v="6"/>
    <s v="OG 16"/>
    <x v="15"/>
    <s v="16.1"/>
    <x v="51"/>
    <s v="16.1.1"/>
    <x v="166"/>
    <s v="Comú"/>
    <s v="Obligatori"/>
    <s v="Millorar el sistema de control de l'execució del pressupost d'acord amb les indicacions de l'administració d'adscripció."/>
  </r>
  <r>
    <x v="6"/>
    <s v="OG 16"/>
    <x v="15"/>
    <s v="16.1"/>
    <x v="51"/>
    <s v="16.1.1"/>
    <x v="166"/>
    <s v="Comú"/>
    <s v="Obligatori"/>
    <s v="Millorar el sistema de control de l'execució del pressupost d'acord amb les indicacions de l'administració d'adscripció."/>
  </r>
  <r>
    <x v="6"/>
    <s v="OG 16"/>
    <x v="15"/>
    <s v="16.1"/>
    <x v="51"/>
    <s v="16.1.1"/>
    <x v="166"/>
    <s v="Comú"/>
    <s v="Obligatori"/>
    <s v="Millorar el sistema de control de l'execució del pressupost d'acord amb les indicacions de l'administració d'adscripció."/>
  </r>
  <r>
    <x v="6"/>
    <s v="OG 16"/>
    <x v="15"/>
    <s v="16.1"/>
    <x v="51"/>
    <s v="16.1.1"/>
    <x v="166"/>
    <s v="Comú"/>
    <s v="Obligatori"/>
    <s v="Millorar el sistema de control de l'execució del pressupost, d'acord amb les indicacions de Serveis Centrals de la Generalitat de Catalunya."/>
  </r>
  <r>
    <x v="6"/>
    <s v="OG 16"/>
    <x v="15"/>
    <s v="16.2"/>
    <x v="52"/>
    <s v="16.2.1"/>
    <x v="167"/>
    <s v="Comú"/>
    <s v="Obligatori"/>
    <s v="Detectar i planificar les necessitats de contractació del l'ENP per a l'optimització dels contractes a nivell de Xarxa o altres administracions."/>
  </r>
  <r>
    <x v="6"/>
    <s v="OG 16"/>
    <x v="15"/>
    <s v="16.2"/>
    <x v="52"/>
    <s v="16.2.1"/>
    <x v="167"/>
    <s v="Comú"/>
    <s v="Obligatori"/>
    <s v="Detectar i planificar les necessitats de contractació del l'ENP per a l'optimització dels contractes a nivell de Xarxa o altres administracions."/>
  </r>
  <r>
    <x v="6"/>
    <s v="OG 16"/>
    <x v="15"/>
    <s v="16.2"/>
    <x v="52"/>
    <s v="16.2.1"/>
    <x v="167"/>
    <s v="Comú"/>
    <s v="Obligatori"/>
    <s v="Detectar i planificar les necessitats de contractació del l'ENP per a l'optimització dels contractes a nivell de Xarxa o altres administracions."/>
  </r>
  <r>
    <x v="6"/>
    <s v="OG 16"/>
    <x v="15"/>
    <s v="16.2"/>
    <x v="52"/>
    <s v="16.2.2"/>
    <x v="168"/>
    <s v="Comú"/>
    <s v="Obligatori"/>
    <s v="Planificar i detectar les tasques de convocatòries d'ajuts de l'ENP."/>
  </r>
  <r>
    <x v="6"/>
    <s v="OG 16"/>
    <x v="15"/>
    <s v="16.2"/>
    <x v="52"/>
    <s v="16.2.2"/>
    <x v="168"/>
    <s v="Comú"/>
    <s v="Obligatori"/>
    <s v="Planificar i detectar les tasques de convocatòries d'ajuts de l'ENP."/>
  </r>
  <r>
    <x v="6"/>
    <s v="OG 16"/>
    <x v="15"/>
    <s v="16.2"/>
    <x v="52"/>
    <s v="16.2.3"/>
    <x v="169"/>
    <s v="Comú"/>
    <s v="Obligatori"/>
    <s v="Establir i renovar en temps i forma convenis de col·laboració, convenis marc, acords, protocols i altres instruments de col·laboració."/>
  </r>
  <r>
    <x v="6"/>
    <s v="OG 16"/>
    <x v="15"/>
    <s v="16.2"/>
    <x v="52"/>
    <s v="16.2.3"/>
    <x v="169"/>
    <s v="Comú"/>
    <s v="Obligatori"/>
    <s v="Establir i renovar en temps i forma convenis de col·laboració, convenis marc, acords, protocols i altres instruments de col·laboració."/>
  </r>
  <r>
    <x v="6"/>
    <s v="OG 16"/>
    <x v="15"/>
    <s v="16.2"/>
    <x v="52"/>
    <s v="16.2.3"/>
    <x v="169"/>
    <s v="Comú"/>
    <s v="Obligatori"/>
    <s v="Establir i renovar en temps i forma convenis de col·laboració, convenis marc, acords, protocols i altres instruments de col·laboració."/>
  </r>
  <r>
    <x v="6"/>
    <s v="OG 16"/>
    <x v="15"/>
    <s v="16.3"/>
    <x v="53"/>
    <s v="16.3.2"/>
    <x v="170"/>
    <s v="Comú"/>
    <s v="Obligatori"/>
    <s v="Adequar i actualitzar els procediments i tramitacions realitzats des de l'ENP als nous processos i eines conjuntes proposades des de Serveis Centrals."/>
  </r>
  <r>
    <x v="6"/>
    <s v="OG 16"/>
    <x v="15"/>
    <s v="16.3"/>
    <x v="53"/>
    <s v="16.3.1"/>
    <x v="171"/>
    <s v="Comú"/>
    <s v="Obligatori"/>
    <s v="Optimitzar l'elaboració d'informes."/>
  </r>
  <r>
    <x v="6"/>
    <s v="OG 16"/>
    <x v="15"/>
    <s v="16.3"/>
    <x v="53"/>
    <s v="16.3.1"/>
    <x v="171"/>
    <s v="Comú"/>
    <s v="Obligatori"/>
    <s v="Optimitzar l'elaboració d'informes."/>
  </r>
  <r>
    <x v="6"/>
    <s v="OG 16"/>
    <x v="15"/>
    <s v="16.3"/>
    <x v="53"/>
    <s v="16.3.1"/>
    <x v="171"/>
    <s v="Comú"/>
    <s v="Obligatori"/>
    <s v="Optimitzar l'elaboració d'informes."/>
  </r>
  <r>
    <x v="6"/>
    <s v="OG 16"/>
    <x v="15"/>
    <s v="16.3"/>
    <x v="53"/>
    <s v="16.3.2"/>
    <x v="170"/>
    <s v="Comú"/>
    <s v="Obligatori"/>
    <s v="Adequar i actualitzar els procediments i tramitacions realitzats des de l'ENP als nous processos i eines conjuntes proposades des de l'administració d'adscripció."/>
  </r>
  <r>
    <x v="6"/>
    <s v="OG 16"/>
    <x v="15"/>
    <s v="16.3"/>
    <x v="53"/>
    <s v="16.3.3"/>
    <x v="172"/>
    <s v="Comú"/>
    <s v="Obligatori"/>
    <s v="Augmentar el coneixement de l'equip de treball en matèria de procediment administratiu."/>
  </r>
  <r>
    <x v="6"/>
    <s v="OG 16"/>
    <x v="15"/>
    <s v="16.3"/>
    <x v="53"/>
    <s v="16.3.4"/>
    <x v="173"/>
    <s v="Específic"/>
    <s v="Obligatori"/>
    <s v="Garantir la transparència administrativa"/>
  </r>
  <r>
    <x v="6"/>
    <s v="OG 16"/>
    <x v="15"/>
    <s v="16.3"/>
    <x v="53"/>
    <s v="16.3.4"/>
    <x v="173"/>
    <s v="Específic"/>
    <s v="Obligatori"/>
    <s v="Garantir la transparència administrativa"/>
  </r>
  <r>
    <x v="6"/>
    <s v="OG 16"/>
    <x v="15"/>
    <s v="16.3"/>
    <x v="53"/>
    <s v="16.3.5"/>
    <x v="174"/>
    <s v="Comú"/>
    <s v="Optatiu"/>
    <s v="Millorar i mantenir el material i infraestructures de gestió."/>
  </r>
  <r>
    <x v="6"/>
    <s v="OG 16"/>
    <x v="15"/>
    <s v="16.3"/>
    <x v="53"/>
    <s v="16.3.5"/>
    <x v="174"/>
    <s v="Comú"/>
    <s v="Optatiu"/>
    <s v="Millorar i mantenir el material i infraestructures de gestió."/>
  </r>
  <r>
    <x v="6"/>
    <s v="OG 16"/>
    <x v="15"/>
    <s v="16.4"/>
    <x v="54"/>
    <s v="16.4.1"/>
    <x v="175"/>
    <s v="Comú"/>
    <s v="Obligatori"/>
    <s v="Revisar l’estat dels béns patrimonials i la situació administrativa-legal dels equipaments del Consorci."/>
  </r>
  <r>
    <x v="6"/>
    <s v="OG 16"/>
    <x v="15"/>
    <s v="16.4"/>
    <x v="54"/>
    <s v="16.4.2"/>
    <x v="176"/>
    <s v="Comú"/>
    <s v="Obligatori"/>
    <s v="Tenir cobertes les pèrdues o danys materials del patrimoni del Consorci."/>
  </r>
  <r>
    <x v="6"/>
    <s v="OG 16"/>
    <x v="15"/>
    <s v="16.4"/>
    <x v="54"/>
    <s v="16.4.1"/>
    <x v="175"/>
    <s v="Comú"/>
    <s v="Obligatori"/>
    <s v="Revisar l’estat dels béns patrimonials i la situació administrativa-legal dels equipaments del Consorci."/>
  </r>
  <r>
    <x v="6"/>
    <s v="OG 16"/>
    <x v="15"/>
    <s v="16.5"/>
    <x v="55"/>
    <s v="16.5.1"/>
    <x v="177"/>
    <s v="Comú"/>
    <s v="Obligatori"/>
    <s v="Millorar l'accessibilitat i la gestió documental del Consorci."/>
  </r>
  <r>
    <x v="6"/>
    <s v="OG 16"/>
    <x v="15"/>
    <s v="16.5"/>
    <x v="55"/>
    <s v="16.5.1"/>
    <x v="177"/>
    <s v="Comú"/>
    <s v="Obligatori"/>
    <s v="Millorar l'accessibilitat i la gestió documental del Consorci."/>
  </r>
  <r>
    <x v="6"/>
    <s v="OG 16"/>
    <x v="15"/>
    <s v="16.5"/>
    <x v="55"/>
    <s v="16.5.1"/>
    <x v="177"/>
    <s v="Comú"/>
    <s v="Obligatori"/>
    <s v="Millorar l'accessibilitat i la gestió documental del Consorci."/>
  </r>
  <r>
    <x v="6"/>
    <s v="OG 16"/>
    <x v="15"/>
    <s v="16.6"/>
    <x v="56"/>
    <s v="16.6.1"/>
    <x v="178"/>
    <s v="Específic"/>
    <s v="Obligatori"/>
    <s v="Gestió de la brigada de manteniment."/>
  </r>
  <r>
    <x v="6"/>
    <s v="OG 16"/>
    <x v="15"/>
    <s v="16.6"/>
    <x v="56"/>
    <s v="16.6.1"/>
    <x v="178"/>
    <s v="Específic"/>
    <s v="Obligatori"/>
    <s v="Gestió de la brigada de manteniment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  <r>
    <x v="6"/>
    <s v="OG 16"/>
    <x v="15"/>
    <s v="16.6"/>
    <x v="56"/>
    <s v="16.6.2"/>
    <x v="179"/>
    <s v="Específic"/>
    <s v="Obligatori"/>
    <s v="Gestió de personal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1">
  <r>
    <x v="0"/>
    <s v="OG 01"/>
    <s v="CONSERVAR LA NATURA i restaurar els ecosistemes, els processos naturals i seminaturals, la biodiversitat i la geodiversitat associada."/>
    <s v="01.1"/>
    <s v="Adequar i fer eficient la conservació dels elements objecte de gestió prioritària marcats per la DG a l'ENP"/>
    <s v="01.1.1"/>
    <s v="Implementar i executar plans de gestió específics per a hàbitats i espècies de conservació prioritària dins l'ENP"/>
    <s v="Comú"/>
    <s v="Obligatori "/>
    <s v="Implementar i executar plans de gestió específics per a hàbitats i espècies de conservació prioritària dins l'ENP."/>
    <m/>
    <s v="Si"/>
    <s v="Baixa"/>
    <m/>
    <x v="0"/>
    <m/>
    <m/>
    <s v="Sí/No"/>
    <m/>
    <s v="Sí"/>
    <m/>
    <n v="0"/>
    <s v="Àrea coordinació"/>
    <s v="Tècnic coordinador"/>
    <s v="Contractació externa"/>
    <s v="Fons propis"/>
    <m/>
    <m/>
    <s v="X"/>
    <m/>
  </r>
  <r>
    <x v="0"/>
    <s v="OG 01"/>
    <s v="CONSERVAR LA NATURA i restaurar els ecosistemes, els processos naturals i seminaturals, la biodiversitat i la geodiversitat associada."/>
    <s v="01.1"/>
    <s v="Adequar i fer eficient la conservació dels elements objecte de gestió prioritària marcats per la DG a l'ENP"/>
    <s v="01.1.1"/>
    <s v="Implementar i executar plans de gestió específics per a hàbitats i espècies de conservació prioritària dins l'ENP"/>
    <s v="Comú"/>
    <s v="Obligatori "/>
    <s v="Implementar i executar plans de gestió específics per a hàbitats i espècies de conservació prioritària dins l'ENP."/>
    <m/>
    <s v="Si"/>
    <s v="Alta"/>
    <m/>
    <x v="1"/>
    <m/>
    <m/>
    <s v="Sí/No"/>
    <m/>
    <s v="Sí"/>
    <m/>
    <n v="0"/>
    <s v="Àrea coordinació"/>
    <s v="Tècnic coordinador"/>
    <s v="Contractació externa"/>
    <s v="Fons propis"/>
    <s v="X"/>
    <m/>
    <m/>
    <m/>
  </r>
  <r>
    <x v="0"/>
    <s v="OG 01"/>
    <s v="CONSERVAR LA NATURA i restaurar els ecosistemes, els processos naturals i seminaturals, la biodiversitat i la geodiversitat associada."/>
    <s v="01.1"/>
    <s v="Adequar i fer eficient la conservació dels elements objecte de gestió prioritària marcats per la DG a l'ENP"/>
    <s v="01.1.1"/>
    <s v="Implementar i executar plans de gestió específics per a hàbitats i espècies de conservació prioritària dins l'ENP"/>
    <s v="Comú"/>
    <s v="Obligatori "/>
    <s v="Implementar i executar plans de gestió específics per a hàbitats i espècies de conservació prioritària dins l'ENP."/>
    <m/>
    <s v="Si"/>
    <s v="Alta"/>
    <m/>
    <x v="2"/>
    <m/>
    <m/>
    <s v="Sí/No"/>
    <m/>
    <s v="Sí"/>
    <m/>
    <n v="0"/>
    <s v="Àrea coordinació"/>
    <s v="Tècnic coordinador"/>
    <s v="Contractació externa"/>
    <s v="Fons propis"/>
    <m/>
    <s v="X"/>
    <m/>
    <m/>
  </r>
  <r>
    <x v="0"/>
    <s v="OG 01"/>
    <s v="CONSERVAR LA NATURA i restaurar els ecosistemes, els processos naturals i seminaturals, la biodiversitat i la geodiversitat associada."/>
    <s v="01.1"/>
    <s v="Adequar i fer eficient la conservació dels elements objecte de gestió prioritària marcats per la DG a l'ENP"/>
    <s v="01.1.1"/>
    <s v="Implementar i executar plans de gestió específics per a hàbitats i espècies de conservació prioritària dins l'ENP"/>
    <s v="Comú"/>
    <s v="Obligatori "/>
    <s v="Implementar i executar plans de gestió específics per a hàbitats i espècies de conservació prioritària dins l'ENP."/>
    <m/>
    <s v="Si"/>
    <s v="Alta"/>
    <m/>
    <x v="3"/>
    <m/>
    <m/>
    <s v="Sí/No"/>
    <m/>
    <s v="Sí"/>
    <m/>
    <n v="0"/>
    <s v="Àrea coordinació"/>
    <s v="Tècnic coordinador"/>
    <s v="Contractació externa"/>
    <s v="Fons propis"/>
    <m/>
    <m/>
    <s v="X"/>
    <m/>
  </r>
  <r>
    <x v="0"/>
    <s v="OG 01"/>
    <s v="CONSERVAR LA NATURA i restaurar els ecosistemes, els processos naturals i seminaturals, la biodiversitat i la geodiversitat associada."/>
    <s v="01.1"/>
    <s v="Adequar i fer eficient la conservació dels elements objecte de gestió prioritària marcats per la DG a l'ENP"/>
    <s v="01.1.1"/>
    <s v="Implementar i executar plans de gestió específics per a hàbitats i espècies de conservació prioritària dins l'ENP"/>
    <s v="Comú"/>
    <s v="Obligatori "/>
    <s v="Implementar i executar plans de gestió específics per a hàbitats i espècies de conservació prioritària dins l'ENP."/>
    <m/>
    <s v="Si"/>
    <s v="Alta"/>
    <m/>
    <x v="4"/>
    <s v="MAP"/>
    <s v="SFF: Elaboració de plans de gestió específics per a espècies de conservació prioritària i directrius de gestió d'hàbitats._x000a_SFF/SENP: Definir a nivell de cluster quins son els que es poden elaborar conjuntament."/>
    <s v="Sí/No"/>
    <m/>
    <s v="Sí"/>
    <m/>
    <n v="0"/>
    <s v="Àrea coordinació"/>
    <s v="Tècnic coordinador"/>
    <s v="Contractació externa"/>
    <s v="Fons propis"/>
    <m/>
    <m/>
    <s v="X"/>
    <m/>
  </r>
  <r>
    <x v="0"/>
    <s v="OG 01"/>
    <s v="CONSERVAR LA NATURA i restaurar els ecosistemes, els processos naturals i seminaturals, la biodiversitat i la geodiversitat associada."/>
    <s v="01.1"/>
    <s v="Adequar i fer eficient la conservació dels elements objecte de gestió prioritària marcats per la DG a l'ENP"/>
    <s v="01.1.1"/>
    <s v="Implementar i executar plans de gestió específics per a hàbitats i espècies de conservació prioritària dins l'ENP"/>
    <s v="Comú"/>
    <s v="Obligatori "/>
    <s v="Implementar i executar plans de gestió específics per a hàbitats i espècies de conservació prioritària dins l'ENP."/>
    <m/>
    <s v="Si"/>
    <s v="Alta"/>
    <m/>
    <x v="5"/>
    <m/>
    <m/>
    <s v="Sí/No"/>
    <m/>
    <s v="Sí"/>
    <m/>
    <n v="0"/>
    <s v="Àrea coordinació"/>
    <s v="Tècnic coordinador"/>
    <s v="Contractació externa"/>
    <s v="Fons propis"/>
    <m/>
    <m/>
    <s v="X"/>
    <m/>
  </r>
  <r>
    <x v="0"/>
    <s v="OG 01"/>
    <s v="CONSERVAR LA NATURA i restaurar els ecosistemes, els processos naturals i seminaturals, la biodiversitat i la geodiversitat associada."/>
    <s v="01.1"/>
    <s v="Adequar i fer eficient la conservació dels elements objecte de gestió prioritària marcats per la DG a l'ENP"/>
    <s v="01.1.1"/>
    <s v="Implementar i executar plans de gestió específics per a hàbitats i espècies de conservació prioritària dins l'ENP"/>
    <s v="Comú"/>
    <s v="Obligatori "/>
    <s v="Implementar i executar plans de gestió específics per a hàbitats i espècies de conservació prioritària dins l'ENP."/>
    <m/>
    <s v="Si"/>
    <s v="Alta"/>
    <m/>
    <x v="6"/>
    <m/>
    <m/>
    <s v="Sí/No"/>
    <m/>
    <s v="Si"/>
    <m/>
    <n v="0"/>
    <s v="Àrea coordinació"/>
    <s v="Tècnic coordinador"/>
    <s v="Mitjans propis"/>
    <s v="Fons propis"/>
    <m/>
    <s v="X"/>
    <m/>
    <m/>
  </r>
  <r>
    <x v="0"/>
    <s v="OG 01"/>
    <s v="CONSERVAR LA NATURA i restaurar els ecosistemes, els processos naturals i seminaturals, la biodiversitat i la geodiversitat associada."/>
    <s v="01.1"/>
    <s v="Adequar i fer eficient la conservació dels elements objecte de gestió prioritària marcats per la DG a l'ENP"/>
    <s v="01.1.2"/>
    <s v="Adaptar i executar plans de gestió específics per a elements geològics de conservació prioritària dins l'ENP"/>
    <s v="Comú"/>
    <s v="Obligatori "/>
    <s v="Adaptar i executar plans de gestió específics per a elements geològics de conservació prioritària dins l'ENP."/>
    <m/>
    <s v="Si"/>
    <s v="Mitjana"/>
    <m/>
    <x v="7"/>
    <m/>
    <m/>
    <s v="Sí/No"/>
    <m/>
    <s v="Sí"/>
    <m/>
    <n v="0"/>
    <s v="Àrea coordinació"/>
    <s v="Tècnic coordinador"/>
    <s v="Mitjans propis"/>
    <s v="Fons propis"/>
    <m/>
    <m/>
    <s v="X"/>
    <m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1"/>
    <s v="Implementar la metodologia de gestió adaptativa (Estàndards Oberts de Gestió Adaptativa a Catalunya) en tots els processos de l'ENP"/>
    <s v="Comú"/>
    <s v="Obligatori"/>
    <s v="Implementar la metodologia de gestió adaptativa (Estàndards Oberts de Gestió Adaptativa a Catalunya) en tots els processos de l'ENP."/>
    <m/>
    <s v="Si"/>
    <s v="Màxima"/>
    <m/>
    <x v="8"/>
    <s v="ESNATURA"/>
    <s v="SENP: Elaboració d'un manual per la implementació dels OSAM"/>
    <s v="Sí/No"/>
    <m/>
    <s v="Sí"/>
    <m/>
    <n v="0"/>
    <s v="Intervenció"/>
    <s v="Interventora"/>
    <m/>
    <m/>
    <m/>
    <s v="X"/>
    <m/>
    <m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1"/>
    <s v="Implementar la metodologia de gestió adaptativa (Estàndards Oberts de Gestió Adaptativa a Catalunya) en tots els processos de l'ENP"/>
    <s v="Comú"/>
    <s v="Obligatori"/>
    <s v="Implementar la metodologia de gestió adaptativa (Estàndards Oberts de Gestió Adaptativa a Catalunya) en tots els processos de l'ENP."/>
    <m/>
    <s v="Si"/>
    <s v="Màxima"/>
    <m/>
    <x v="9"/>
    <m/>
    <m/>
    <s v="Sí/No"/>
    <m/>
    <s v="Sí"/>
    <m/>
    <n v="0"/>
    <m/>
    <m/>
    <m/>
    <m/>
    <m/>
    <m/>
    <m/>
    <m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2"/>
    <s v="Executar les mesures previstes en els plans de conservació o recuperació d'espècies amenaçades de forma coordinada amb el Servei de Flora i Fauna en l'àmbit de l'ENP"/>
    <s v="Comú"/>
    <s v="Obligatori "/>
    <s v="Executar les mesures previstes en els plans de conservació o recuperació d'espècies amenaçades de forma coordinada amb el Servei de Flora i Fauna en l'àmbit de l'ENP."/>
    <m/>
    <s v="No"/>
    <s v="Màxima"/>
    <m/>
    <x v="10"/>
    <m/>
    <m/>
    <s v="Nombre de reunions "/>
    <n v="2"/>
    <n v="4"/>
    <m/>
    <n v="0"/>
    <s v="Àrea coordinació"/>
    <s v="Tècnic coordinador"/>
    <s v="Mitjans propis"/>
    <s v="Fons propis"/>
    <s v="X"/>
    <s v="X"/>
    <s v="X"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2"/>
    <s v="Executar les mesures previstes en els plans de conservació o recuperació d'espècies amenaçades de forma coordinada amb el Servei de Flora i Fauna en l'àmbit de l'ENP"/>
    <s v="Comú"/>
    <s v="Obligatori "/>
    <s v="Executar les mesures previstes en els plans de conservació o recuperació d'espècies amenaçades de forma coordinada amb el Servei de Flora i Fauna en l'àmbit de l'ENP."/>
    <m/>
    <s v="Si"/>
    <s v="Màxima"/>
    <m/>
    <x v="11"/>
    <m/>
    <m/>
    <s v="Nombre d'accions executades"/>
    <n v="1"/>
    <n v="3"/>
    <m/>
    <n v="0"/>
    <s v="Àrea coordinació"/>
    <s v="Tècnic coordinador"/>
    <s v="Contractació externa"/>
    <s v="Subjecte a ajuts"/>
    <m/>
    <s v="X"/>
    <s v="X"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2"/>
    <s v="Executar les mesures previstes en els plans de conservació o recuperació d'espècies amenaçades de forma coordinada amb el Servei de Flora i Fauna en l'àmbit de l'ENP"/>
    <s v="Comú"/>
    <s v="Obligatori "/>
    <s v="Executar les mesures previstes en els plans de conservació o recuperació d'espècies amenaçades de forma coordinada amb el Servei de Flora i Fauna en l'àmbit de l'ENP."/>
    <m/>
    <s v="Si"/>
    <s v="Màxima"/>
    <m/>
    <x v="12"/>
    <s v="MAP_x000a_Catàlegs"/>
    <s v="SFF: Elaboració de plans de conservació o recuperació d'espècies protegides"/>
    <s v="Sí/No"/>
    <m/>
    <s v="Sí"/>
    <m/>
    <n v="0"/>
    <s v="Àrea coordinació"/>
    <s v="Tècnic coordinador"/>
    <s v="Mitjans propis"/>
    <s v="Fons propis"/>
    <s v="X"/>
    <s v="X"/>
    <s v="X"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13"/>
    <m/>
    <m/>
    <s v="Sí/No"/>
    <m/>
    <s v="Sí"/>
    <m/>
    <n v="0"/>
    <s v="Àrea coordinació"/>
    <s v="Tècnic coordinador"/>
    <s v="Mitjans propis"/>
    <s v="Fons propis"/>
    <s v="X"/>
    <m/>
    <m/>
    <m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14"/>
    <m/>
    <m/>
    <s v="Pla executat"/>
    <n v="4"/>
    <n v="4"/>
    <m/>
    <n v="0"/>
    <s v="Àrea coordinació"/>
    <s v="Tècnic coordinador"/>
    <s v="Mitjans propis"/>
    <s v="Fons propis"/>
    <s v="X"/>
    <s v="X"/>
    <s v="X"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15"/>
    <m/>
    <m/>
    <s v="Sí/No"/>
    <m/>
    <s v="Sí"/>
    <m/>
    <n v="0"/>
    <s v="Àrea coordinació"/>
    <s v="Tècnic coordinador"/>
    <s v="Mitjans propis"/>
    <s v="Fons propis"/>
    <m/>
    <m/>
    <s v="X"/>
    <m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16"/>
    <m/>
    <m/>
    <s v="Pla executat"/>
    <n v="4"/>
    <n v="4"/>
    <m/>
    <n v="0"/>
    <s v="Àrea coordinació"/>
    <s v="Tècnic coordinador"/>
    <s v="Mitjans propis"/>
    <s v="Fons propis"/>
    <m/>
    <m/>
    <s v="X"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17"/>
    <m/>
    <m/>
    <s v="Sí/No"/>
    <m/>
    <s v="Sí"/>
    <m/>
    <n v="0"/>
    <s v="Àrea coordinació"/>
    <s v="Tècnic coordinador"/>
    <s v="Mitjans propis"/>
    <s v="Fons propis"/>
    <m/>
    <s v="X"/>
    <m/>
    <m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18"/>
    <m/>
    <m/>
    <s v="Pla executat"/>
    <n v="4"/>
    <n v="4"/>
    <m/>
    <n v="0"/>
    <s v="Àrea coordinació"/>
    <s v="Tècnic coordinador"/>
    <s v="Mitjans propis"/>
    <s v="Subjecte a ajuts"/>
    <m/>
    <m/>
    <s v="X"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19"/>
    <m/>
    <m/>
    <s v="Sí/No"/>
    <m/>
    <s v="Sí"/>
    <m/>
    <n v="0"/>
    <s v="Àrea coordinació"/>
    <s v="Tècnic coordinador"/>
    <s v="Mitjans propis"/>
    <s v="Fons propis"/>
    <s v="X"/>
    <m/>
    <m/>
    <m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20"/>
    <m/>
    <m/>
    <s v="Pla executat"/>
    <n v="4"/>
    <n v="4"/>
    <m/>
    <n v="0"/>
    <s v="Àrea coordinació"/>
    <s v="Tècnic coordinador"/>
    <s v="Mitjans propis"/>
    <s v="Subjecte a ajuts"/>
    <m/>
    <s v="X"/>
    <s v="X"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No"/>
    <s v="Màxima"/>
    <m/>
    <x v="21"/>
    <s v="ESNATURA_x000a_MAP"/>
    <s v="SFF: Elaboració de plans de control i erradicació d'espècies exòtiques"/>
    <s v="Sí/No"/>
    <m/>
    <s v="Sí"/>
    <m/>
    <n v="0"/>
    <s v="Àrea coordinació"/>
    <s v="Tècnic coordinador"/>
    <s v="Mitjans propis"/>
    <s v="Fons propis"/>
    <m/>
    <s v="X"/>
    <m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3"/>
    <s v="Executar les mesures de gestió previstes en els plans de control i erradicació d'espècies exòtiques de forma coordinada amb el Servei de Flora i Fauna en l'àmbit de l'ENP"/>
    <s v="Comú"/>
    <s v="Obligatori "/>
    <s v="Executar les mesures de gestió previstes en els plans de control i eradicació d'espècies exòtiques de forma coordinada amb el Servei de Flora i Fauna en l'àmbit de l'ENP"/>
    <m/>
    <s v="Si"/>
    <s v="Màxima"/>
    <m/>
    <x v="22"/>
    <m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0"/>
    <s v="OG 01"/>
    <s v="CONSERVAR LA NATURA i restaurar els ecosistemes, els processos naturals i seminaturals, la biodiversitat i la geodiversitat associada."/>
    <s v="01.2"/>
    <s v="Executar les mesures de gestió directa previstes en els instruments de planificació per la conservació i la gestió adaptativa dels elements clau de l'ENP"/>
    <s v="01.2.4"/>
    <s v="Desplegar els objectius i tasques recollits en els instruments de referència i compromisos internacionals  "/>
    <s v="Específic"/>
    <s v="Optatiu "/>
    <s v="Desplegar els objectius i tasques recollits en els instruments de referència i compromisos internacionals ."/>
    <s v="No aplica"/>
    <m/>
    <s v="Mitjana"/>
    <m/>
    <x v="23"/>
    <m/>
    <s v="Seguiment dels ajuts d’espais naturals i d’actuacions en espais de la XN2000."/>
    <m/>
    <m/>
    <m/>
    <m/>
    <n v="0"/>
    <m/>
    <m/>
    <m/>
    <m/>
    <m/>
    <m/>
    <m/>
    <m/>
  </r>
  <r>
    <x v="0"/>
    <s v="OG 01"/>
    <s v="CONSERVAR LA NATURA i restaurar els ecosistemes, els processos naturals i seminaturals, la biodiversitat i la geodiversitat associada."/>
    <s v="01.3"/>
    <s v="Crear ecosistemes complexes, resilients, i d'alta biodiversitat per garantir la recuperació dels processos ecosistèmics"/>
    <s v="01.3.1"/>
    <s v="Identificar espais pel foment de la dinàmica natural i l'aprofitament no extractiu"/>
    <s v="Comú"/>
    <s v="Obligatori "/>
    <s v="Identificar espais pel foment de la dinàmica natural i l'aprofitament no extractiu."/>
    <m/>
    <s v="Si"/>
    <s v="Mitjana"/>
    <m/>
    <x v="24"/>
    <m/>
    <m/>
    <s v="Sí/No"/>
    <m/>
    <s v="Sí"/>
    <m/>
    <n v="0"/>
    <s v="Àrea coordinació"/>
    <s v="Tècnic coordinador"/>
    <s v="Mitjans propis"/>
    <s v="Fons propis"/>
    <s v="X"/>
    <m/>
    <m/>
    <m/>
  </r>
  <r>
    <x v="0"/>
    <s v="OG 01"/>
    <s v="CONSERVAR LA NATURA i restaurar els ecosistemes, els processos naturals i seminaturals, la biodiversitat i la geodiversitat associada."/>
    <s v="01.3"/>
    <s v="Crear ecosistemes complexes, resilients, i d'alta biodiversitat per garantir la recuperació dels processos ecosistèmics"/>
    <s v="01.3.1"/>
    <s v="Identificar espais pel foment de la dinàmica natural i l'aprofitament no extractiu"/>
    <s v="Comú"/>
    <s v="Obligatori "/>
    <s v="Identificar espais pel foment de la dinàmica natural i l'aprofitament no extractiu."/>
    <m/>
    <s v="Si"/>
    <s v="Mitjana"/>
    <m/>
    <x v="25"/>
    <s v="ESNATURA"/>
    <s v="SENP/SFF: Definir criteris metodològics"/>
    <s v="Nombre de projectes"/>
    <n v="1"/>
    <n v="2"/>
    <m/>
    <n v="0"/>
    <s v="Àrea coordinació"/>
    <s v="Tècnic coordinador"/>
    <s v="Contractació externa"/>
    <s v="Subjecte a ajuts"/>
    <s v="X"/>
    <s v="X"/>
    <s v="X"/>
    <s v="X"/>
  </r>
  <r>
    <x v="0"/>
    <s v="OG 01"/>
    <s v="CONSERVAR LA NATURA i restaurar els ecosistemes, els processos naturals i seminaturals, la biodiversitat i la geodiversitat associada."/>
    <s v="01.3"/>
    <s v="Crear ecosistemes complexes, resilients, i d'alta biodiversitat per garantir la recuperació dels processos ecosistèmics"/>
    <s v="01.3.2"/>
    <s v="Afavorir la maduresa dels sistemes forestals"/>
    <s v="Específic"/>
    <s v="Optatiu "/>
    <s v="Afavorir la maduresa dels sistemes forestals."/>
    <m/>
    <s v="Si"/>
    <s v="Alta"/>
    <m/>
    <x v="26"/>
    <s v="MAP"/>
    <s v="SENP/SFF: Definir criteris metodològics"/>
    <s v="Processos d'adquisició"/>
    <n v="1"/>
    <n v="1"/>
    <m/>
    <n v="0"/>
    <s v="Àrea coordinació"/>
    <s v="Tècnic coordinador"/>
    <s v="Mitjans propis"/>
    <s v="Subjecte a ajuts"/>
    <s v="X"/>
    <s v="X"/>
    <m/>
    <m/>
  </r>
  <r>
    <x v="0"/>
    <s v="OG 01"/>
    <s v="CONSERVAR LA NATURA i restaurar els ecosistemes, els processos naturals i seminaturals, la biodiversitat i la geodiversitat associada."/>
    <s v="01.3"/>
    <s v="Crear ecosistemes complexes, resilients, i d'alta biodiversitat per garantir la recuperació dels processos ecosistèmics"/>
    <s v="01.3.2"/>
    <s v="Afavorir la maduresa dels sistemes forestals"/>
    <s v="Específic"/>
    <s v="Optatiu "/>
    <s v="Afavorir la maduresa dels sistemes forestals."/>
    <m/>
    <s v="Si"/>
    <s v="Alta"/>
    <m/>
    <x v="27"/>
    <s v="MAP"/>
    <s v="SENP/SFF: Definir criteris metodològics"/>
    <s v="Contractes de custòdia signats"/>
    <n v="0"/>
    <n v="1"/>
    <m/>
    <n v="0"/>
    <s v="Àrea coordinació"/>
    <s v="Tècnic coordinador"/>
    <s v="Mitjans propis"/>
    <s v="Fons propis"/>
    <m/>
    <s v="X"/>
    <m/>
    <s v="X"/>
  </r>
  <r>
    <x v="0"/>
    <s v="OG 01"/>
    <s v="CONSERVAR LA NATURA i restaurar els ecosistemes, els processos naturals i seminaturals, la biodiversitat i la geodiversitat associada."/>
    <s v="01.3"/>
    <s v="Crear ecosistemes complexes, resilients, i d'alta biodiversitat per garantir la recuperació dels processos ecosistèmics"/>
    <s v="01.3.3"/>
    <s v="Generar pertorbacions controlades"/>
    <s v="Específic"/>
    <s v="Optatiu "/>
    <s v="Generar pertorbacions controlades."/>
    <m/>
    <s v="Si"/>
    <s v="Mitjana"/>
    <m/>
    <x v="28"/>
    <s v="MAP"/>
    <s v="SENP/SFF: Definir criteris metodològics"/>
    <s v="Nombre d'actuacions"/>
    <n v="1"/>
    <n v="2"/>
    <m/>
    <n v="0"/>
    <s v="Àrea tècnica"/>
    <s v="Tècnic/a"/>
    <s v="Mitjans propis"/>
    <s v="Fons propis"/>
    <s v="X"/>
    <s v="X"/>
    <s v="X"/>
    <s v="X"/>
  </r>
  <r>
    <x v="0"/>
    <s v="OG 01"/>
    <s v="CONSERVAR LA NATURA i restaurar els ecosistemes, els processos naturals i seminaturals, la biodiversitat i la geodiversitat associada."/>
    <s v="01.3"/>
    <s v="Crear ecosistemes complexes, resilients, i d'alta biodiversitat per garantir la recuperació dels processos ecosistèmics"/>
    <s v="01.3.4"/>
    <s v="Restaurar la dinàmica natural dels rius "/>
    <s v="Específic"/>
    <s v="Optatiu "/>
    <s v="Restaurar la dinàmica natural dels rius i estanys."/>
    <m/>
    <s v="Si"/>
    <s v="Mitjana"/>
    <m/>
    <x v="29"/>
    <s v="MAP"/>
    <s v="SENP/SFF: Definir criteris metodològics"/>
    <s v="Nombre de projectes"/>
    <n v="1"/>
    <n v="2"/>
    <m/>
    <n v="0"/>
    <s v="Àrea coordinació"/>
    <s v="Tècnic coordinador"/>
    <s v="Mitjans propis"/>
    <s v="Subjecte a ajuts"/>
    <m/>
    <s v="X"/>
    <m/>
    <s v="X"/>
  </r>
  <r>
    <x v="0"/>
    <s v="OG 01"/>
    <s v="CONSERVAR LA NATURA i restaurar els ecosistemes, els processos naturals i seminaturals, la biodiversitat i la geodiversitat associada."/>
    <s v="01.3"/>
    <s v="Crear ecosistemes complexes, resilients, i d'alta biodiversitat per garantir la recuperació dels processos ecosistèmics"/>
    <s v="01.3.5"/>
    <s v="Fomentar el paisatge en mosaic"/>
    <s v="Específic"/>
    <s v="Obligatori"/>
    <s v="Fomentar el paisatge en mosaic."/>
    <s v="No aplica"/>
    <m/>
    <s v="Alta"/>
    <m/>
    <x v="23"/>
    <m/>
    <m/>
    <m/>
    <m/>
    <m/>
    <m/>
    <n v="0"/>
    <m/>
    <s v=""/>
    <m/>
    <m/>
    <m/>
    <m/>
    <m/>
    <m/>
  </r>
  <r>
    <x v="0"/>
    <s v="OG 01"/>
    <s v="CONSERVAR LA NATURA i restaurar els ecosistemes, els processos naturals i seminaturals, la biodiversitat i la geodiversitat associada."/>
    <s v="01.3"/>
    <s v="Crear ecosistemes complexes, resilients, i d'alta biodiversitat per garantir la recuperació dels processos ecosistèmics"/>
    <s v="01.3.6"/>
    <s v="Gestionar i intervenir en la dinàmica de poblacions de fauna que no tenen depredador natural"/>
    <s v="Específic"/>
    <s v="Optatiu "/>
    <s v="Gestionar i intervenir en la dinàmica de poblacions de fauna que no tenen depredador natural."/>
    <m/>
    <s v="Si"/>
    <s v="Mitjana"/>
    <m/>
    <x v="30"/>
    <m/>
    <s v="SENP/SFF: Definir criteris metodològics"/>
    <s v="Nombre d'actuacions"/>
    <n v="4"/>
    <n v="8"/>
    <m/>
    <n v="0"/>
    <s v="Àrea tècnica"/>
    <s v="Tècnic/a"/>
    <s v="Altres mitjans"/>
    <s v="Altres aportacions"/>
    <s v="X"/>
    <s v="X"/>
    <s v="X"/>
    <s v="X"/>
  </r>
  <r>
    <x v="0"/>
    <s v="OG 01"/>
    <s v="CONSERVAR LA NATURA i restaurar els ecosistemes, els processos naturals i seminaturals, la biodiversitat i la geodiversitat associada."/>
    <s v="01.4"/>
    <s v="Alinear l'activitat de propietaris i gestors del territori amb la conservació, millora i restauració dels valors de l'ENP"/>
    <s v="01.4.1"/>
    <s v="Fomentar acords de custòdia en espais d'alt valor dins l'ENP per a la gestió dels elements prioritaris"/>
    <s v="Comú"/>
    <s v="Obligatori"/>
    <s v="Fomentar acords de custòdia en espais d'alt valor dins l'ENP per a la gestió dels elements prioritaris."/>
    <s v="No aplica"/>
    <m/>
    <s v="Màxima"/>
    <m/>
    <x v="23"/>
    <m/>
    <m/>
    <m/>
    <m/>
    <m/>
    <m/>
    <n v="0"/>
    <m/>
    <m/>
    <m/>
    <m/>
    <m/>
    <m/>
    <m/>
    <m/>
  </r>
  <r>
    <x v="0"/>
    <s v="OG 01"/>
    <s v="CONSERVAR LA NATURA i restaurar els ecosistemes, els processos naturals i seminaturals, la biodiversitat i la geodiversitat associada."/>
    <s v="01.4"/>
    <s v="Alinear l'activitat de propietaris i gestors del territori amb la conservació, millora i restauració dels valors de l'ENP"/>
    <s v="01.4.2"/>
    <s v="Fomentar bones pràctiques entre els col·lectius de propietaris i gestors del territori"/>
    <s v="Comú"/>
    <s v="Optatiu "/>
    <s v="Fomentar bones pràctiques entre els col·lectius de propietaris i gestors del territori"/>
    <m/>
    <s v="Si"/>
    <s v="Alta"/>
    <m/>
    <x v="31"/>
    <m/>
    <m/>
    <s v="Sí/No"/>
    <m/>
    <s v="Sí"/>
    <m/>
    <n v="0"/>
    <s v="Àrea tècnica"/>
    <s v="Tècnic/a"/>
    <s v="Contractació externa"/>
    <s v="Subjecte a ajuts"/>
    <m/>
    <m/>
    <s v="X"/>
    <m/>
  </r>
  <r>
    <x v="0"/>
    <s v="OG 01"/>
    <s v="CONSERVAR LA NATURA i restaurar els ecosistemes, els processos naturals i seminaturals, la biodiversitat i la geodiversitat associada."/>
    <s v="01.4"/>
    <s v="Alinear l'activitat de propietaris i gestors del territori amb la conservació, millora i restauració dels valors de l'ENP"/>
    <s v="01.4.2"/>
    <s v="Fomentar bones pràctiques entre els col·lectius de propietaris i gestors del territori"/>
    <s v="Comú"/>
    <s v="Optatiu "/>
    <s v="Fomentar bones pràctiques entre els col·lectius de propietaris i gestors del territori."/>
    <m/>
    <s v="Si"/>
    <s v="Alta"/>
    <m/>
    <x v="32"/>
    <m/>
    <m/>
    <s v="Sí/No"/>
    <m/>
    <s v="Sí"/>
    <m/>
    <n v="0"/>
    <s v="Àrea tècnica"/>
    <s v="Tècnic/a"/>
    <s v="Contractació externa"/>
    <s v="Subjecte a ajuts"/>
    <m/>
    <m/>
    <s v="X"/>
    <m/>
  </r>
  <r>
    <x v="0"/>
    <s v="OG 01"/>
    <s v="CONSERVAR LA NATURA i restaurar els ecosistemes, els processos naturals i seminaturals, la biodiversitat i la geodiversitat associada."/>
    <s v="01.4"/>
    <s v="Alinear l'activitat de propietaris i gestors del territori amb la conservació, millora i restauració dels valors de l'ENP"/>
    <s v="01.4.2"/>
    <s v="Fomentar bones pràctiques entre els col·lectius de propietaris i gestors del territori"/>
    <s v="Comú"/>
    <s v="Optatiu "/>
    <s v="Fomentar bones pràctiques entre els col·lectius de propietaris i gestors del territori."/>
    <m/>
    <s v="Si"/>
    <s v="Alta"/>
    <m/>
    <x v="33"/>
    <m/>
    <m/>
    <s v="Sí/No"/>
    <m/>
    <s v="Sí"/>
    <m/>
    <n v="0"/>
    <s v="Àrea tècnica"/>
    <s v="Tècnic/a"/>
    <s v="Contractació externa"/>
    <s v="Subjecte a ajuts"/>
    <m/>
    <s v="X"/>
    <m/>
    <m/>
  </r>
  <r>
    <x v="0"/>
    <s v="OG 01"/>
    <s v="CONSERVAR LA NATURA i restaurar els ecosistemes, els processos naturals i seminaturals, la biodiversitat i la geodiversitat associada."/>
    <s v="01.4"/>
    <s v="Alinear l'activitat de propietaris i gestors del territori amb la conservació, millora i restauració dels valors de l'ENP"/>
    <s v="01.4.3"/>
    <s v="Impulsar la coordinació amb els ens locals en la gestió finques públiques situades dins d’ENP"/>
    <s v="Específic"/>
    <s v="Optatiu "/>
    <s v="Coordinar i gestionar les propietats públiques o en règim de custòdia de l'espai."/>
    <s v="El Consorci de l'Estany té definit en els seus estatus la gestió de les finques públiques i en custòdia i ho realitza des de la seva creació."/>
    <s v="Si"/>
    <s v="Màxima"/>
    <m/>
    <x v="34"/>
    <s v="ESNATURA"/>
    <m/>
    <s v="Sí/No"/>
    <m/>
    <s v="Sí"/>
    <m/>
    <n v="0"/>
    <s v="Àrea coordinació"/>
    <s v="Tècnic coordinador"/>
    <s v="Contractació externa i mitjans propis"/>
    <s v="Fons propis"/>
    <s v="X"/>
    <s v="X"/>
    <s v="X"/>
    <s v="X"/>
  </r>
  <r>
    <x v="0"/>
    <s v="OG 02"/>
    <s v="ADAPTAR ELS ECOSISTEMES AL CANVI CLIMÀTIC i millorar-ne la resiliència en front dels riscos associats."/>
    <s v="02.1"/>
    <s v="Planificar l'adaptació dels sistemes naturals al canvi climàtic"/>
    <s v="02.1.1"/>
    <s v="Adaptar i implementar el Pla d'adaptació de l'ENP al canvi climàtic"/>
    <s v="Comú"/>
    <s v="Obligatori "/>
    <s v="Adaptar i implementar el Pla d'adaptació de l'ENP al canvi climàtic"/>
    <m/>
    <s v="Si"/>
    <s v="Alta"/>
    <m/>
    <x v="35"/>
    <m/>
    <s v="OCCC/SENP: Elaboració del model de Pla d'adaptació dels ENP al canvi climàtic "/>
    <s v="Sí/No"/>
    <m/>
    <s v="Sí"/>
    <m/>
    <n v="0"/>
    <s v="Àrea tècnica"/>
    <s v="Tècnic/a"/>
    <s v="Contractació externa"/>
    <s v="Fons propis"/>
    <m/>
    <m/>
    <m/>
    <s v="X"/>
  </r>
  <r>
    <x v="0"/>
    <s v="OG 02"/>
    <s v="ADAPTAR ELS ECOSISTEMES AL CANVI CLIMÀTIC i millorar-ne la resiliència en front dels riscos associats."/>
    <s v="02.1"/>
    <s v="Planificar l'adaptació dels sistemes naturals al canvi climàtic"/>
    <s v="02.1.2"/>
    <s v="Gestionar i planificar els recursos hídrics de l'ENP"/>
    <s v="Comú"/>
    <s v="Obligatori"/>
    <s v="Gestionar i planificar els recursos hídrics de l'ENP"/>
    <m/>
    <s v="Si"/>
    <s v="Alta"/>
    <m/>
    <x v="36"/>
    <m/>
    <m/>
    <s v="Nombre de reunions "/>
    <n v="4"/>
    <n v="8"/>
    <m/>
    <n v="0"/>
    <s v="Àrea coordinació"/>
    <s v="Tècnic coordinador"/>
    <s v="Mitjans propis"/>
    <s v="Fons propis"/>
    <s v="X"/>
    <s v="X"/>
    <s v="X"/>
    <s v="X"/>
  </r>
  <r>
    <x v="0"/>
    <s v="OG 02"/>
    <s v="ADAPTAR ELS ECOSISTEMES AL CANVI CLIMÀTIC i millorar-ne la resiliència en front dels riscos associats."/>
    <s v="02.1"/>
    <s v="Planificar l'adaptació dels sistemes naturals al canvi climàtic"/>
    <s v="02.1.3"/>
    <s v="Participar en la redacció i execució dels instruments d'ordenació forestal sostenible i per la conservació en finques públiques"/>
    <s v="Específic"/>
    <s v="Optatiu "/>
    <s v="Participar en la redacció i execució dels instruments d'ordenació forestal sostenible i per la conservació en finques públiques."/>
    <m/>
    <s v="Si"/>
    <s v="Mitjana"/>
    <m/>
    <x v="37"/>
    <m/>
    <s v="DGEFMN: Redacció d'IOF en finques públiques"/>
    <s v="Sí/No"/>
    <m/>
    <s v="Sí"/>
    <m/>
    <n v="0"/>
    <s v="Àrea tècnica"/>
    <s v="Tècnic/a"/>
    <s v="Contractació externa"/>
    <s v="Fons propis"/>
    <m/>
    <s v="X"/>
    <m/>
    <m/>
  </r>
  <r>
    <x v="0"/>
    <s v="OG 02"/>
    <s v="ADAPTAR ELS ECOSISTEMES AL CANVI CLIMÀTIC i millorar-ne la resiliència en front dels riscos associats."/>
    <s v="02.1"/>
    <s v="Planificar l'adaptació dels sistemes naturals al canvi climàtic"/>
    <s v="02.1.3"/>
    <s v="Participar en la redacció i execució dels instruments d'ordenació forestal sostenible i per la conservació en finques públiques"/>
    <s v="Específic"/>
    <s v="Optatiu "/>
    <s v="Participar en la redacció i execució dels instruments d'ordenació forestal sostenible i per la conservació en finques públiques."/>
    <m/>
    <s v="Si"/>
    <s v="Mitjana"/>
    <m/>
    <x v="38"/>
    <m/>
    <s v="DGEFMN: Redacció d'IOF en finques públiques"/>
    <s v="Sí/No"/>
    <m/>
    <s v="Sí"/>
    <m/>
    <n v="0"/>
    <s v="Àrea tècnica"/>
    <s v="Tècnic/a"/>
    <s v="Contractació externa"/>
    <s v="Fons propis"/>
    <m/>
    <m/>
    <s v="X"/>
    <m/>
  </r>
  <r>
    <x v="0"/>
    <s v="OG 02"/>
    <s v="ADAPTAR ELS ECOSISTEMES AL CANVI CLIMÀTIC i millorar-ne la resiliència en front dels riscos associats."/>
    <s v="02.2"/>
    <s v="Planificar la prevenció i extinció d’incendis forestals i la gestió del foc de forma coordinada amb els diferents agents del territori "/>
    <s v="02.2.1"/>
    <s v="Redactar i implementar el Pla de Prevenció d'Incendis "/>
    <s v="Comú"/>
    <s v="Obligatori "/>
    <s v="Redactar i implementar el Pla de Prevenció d'Incendis."/>
    <s v="No s'aplica en aquest període"/>
    <m/>
    <s v="Alta"/>
    <m/>
    <x v="23"/>
    <s v="ESNATURA"/>
    <s v="Equip de PPI: Disseny del protocol de treball"/>
    <m/>
    <m/>
    <m/>
    <m/>
    <n v="0"/>
    <m/>
    <m/>
    <m/>
    <m/>
    <m/>
    <m/>
    <m/>
    <m/>
  </r>
  <r>
    <x v="0"/>
    <s v="OG 02"/>
    <s v="ADAPTAR ELS ECOSISTEMES AL CANVI CLIMÀTIC i millorar-ne la resiliència en front dels riscos associats."/>
    <s v="02.2"/>
    <s v="Planificar la prevenció i extinció d’incendis forestals i la gestió del foc de forma coordinada amb els diferents agents del territori "/>
    <s v="02.2.2"/>
    <s v="Definir i planificar la gestió del foc per a la millora de l'ENP"/>
    <s v="Específic"/>
    <s v="Obligatori"/>
    <s v="Definir i planificar la gestió del foc per a la millora de l'ENP."/>
    <s v="No aplica"/>
    <m/>
    <s v="Alta"/>
    <m/>
    <x v="23"/>
    <m/>
    <m/>
    <m/>
    <m/>
    <m/>
    <m/>
    <n v="0"/>
    <m/>
    <m/>
    <m/>
    <m/>
    <m/>
    <m/>
    <m/>
    <m/>
  </r>
  <r>
    <x v="0"/>
    <s v="OG 02"/>
    <s v="ADAPTAR ELS ECOSISTEMES AL CANVI CLIMÀTIC i millorar-ne la resiliència en front dels riscos associats."/>
    <s v="02.2"/>
    <s v="Planificar la prevenció i extinció d’incendis forestals i la gestió del foc de forma coordinada amb els diferents agents del territori "/>
    <s v="02.2.3"/>
    <s v="Treballar per a la prevenció d'incendis juntament amb els propietaris, ajuntaments, protecció civil, ADF i bombers."/>
    <s v="Comú"/>
    <s v="Obligatori "/>
    <s v="Treballar per a la prevenció d'incendis juntament amb els propietaris, ajuntaments, protecció civil, ADF i bombers."/>
    <m/>
    <s v="Si"/>
    <s v="Mitjana"/>
    <m/>
    <x v="39"/>
    <m/>
    <m/>
    <s v="Nombre de reunions"/>
    <n v="2"/>
    <n v="4"/>
    <m/>
    <n v="0"/>
    <s v="Direcció"/>
    <s v="Director"/>
    <s v="Mitjans propis"/>
    <s v="Fons propis"/>
    <s v="X"/>
    <s v="X"/>
    <s v="X"/>
    <s v="X"/>
  </r>
  <r>
    <x v="0"/>
    <s v="OG 03"/>
    <s v="PROTEGIR LA BIODIVERSITAT, i especialment els elements fràgils i amenaçats, d’interès comunitari o de major interès natural."/>
    <s v="03.1"/>
    <s v="Prevenir, minimitzar i compensar els impactes ambientals dels usos i activitats que es desenvolupin en l'àmbit de l'ENP"/>
    <s v="03.1.1"/>
    <s v="Participar en les consultes dels processos d'Avaluació Ambiental que afectin directament o indirectament l’espai del ENP"/>
    <s v="Comú"/>
    <s v="Obligatori"/>
    <s v="Participar en les consultes dels processos d'Avaluació Ambiental que afectin directament o indirectament l’espai del ENP."/>
    <m/>
    <s v="Si"/>
    <s v="Mitjana"/>
    <m/>
    <x v="40"/>
    <m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0"/>
    <s v="OG 03"/>
    <s v="PROTEGIR LA BIODIVERSITAT, i especialment els elements fràgils i amenaçats, d’interès comunitari o de major interès natural."/>
    <s v="03.1"/>
    <s v="Prevenir, minimitzar i compensar els impactes ambientals dels usos i activitats que es desenvolupin en l'àmbit de l'ENP"/>
    <s v="03.1.2"/>
    <s v="Exercir un seguiment efectiu de les obres al Parc juntament amb les Oficines Territorials d'Acció i Avaluació Ambiental als efectes d'assegurar la correcta translació de la tutela administrativa."/>
    <s v="Comú"/>
    <s v="Obligatori"/>
    <s v="Exercir un seguiment efectiu de les obres a l'ENP juntament amb les Oficines Territorials d'Acció i Avaluació Ambiental als efectes d'assegurar la correcta translació de la tutela administrativa."/>
    <m/>
    <s v="Si"/>
    <s v="Mitjana"/>
    <m/>
    <x v="41"/>
    <m/>
    <m/>
    <s v="Nombre de visites d'inspecció relacionades amb els informes"/>
    <n v="1"/>
    <n v="4"/>
    <m/>
    <n v="0"/>
    <s v="Àrea coordinació"/>
    <s v="Tècnic coordinador"/>
    <s v="Mitjans propis"/>
    <s v="Fons propis"/>
    <s v="X"/>
    <s v="X"/>
    <s v="X"/>
    <s v="X"/>
  </r>
  <r>
    <x v="0"/>
    <s v="OG 03"/>
    <s v="PROTEGIR LA BIODIVERSITAT, i especialment els elements fràgils i amenaçats, d’interès comunitari o de major interès natural."/>
    <s v="03.1"/>
    <s v="Prevenir, minimitzar i compensar els impactes ambientals dels usos i activitats que es desenvolupin en l'àmbit de l'ENP"/>
    <s v="03.1.3"/>
    <s v="Participar en la compensació d'impactes residuals durant els processos d'avaluació ambiental mitjançant la identificació de necessitats d'actuació prioritària dins i fora dels límits de l’ENP"/>
    <s v="Comú"/>
    <s v="Optatiu "/>
    <s v="Participar en la compensació d'impactes residuals durant els processos d'avaluació ambiental mitjançant la identificació de necessitats d'actuació prioritària dins i fora dels límits de l’ENP."/>
    <s v="No correspon"/>
    <m/>
    <s v="Mitjana"/>
    <m/>
    <x v="23"/>
    <m/>
    <m/>
    <m/>
    <m/>
    <m/>
    <m/>
    <n v="0"/>
    <m/>
    <m/>
    <m/>
    <m/>
    <m/>
    <m/>
    <m/>
    <m/>
  </r>
  <r>
    <x v="0"/>
    <s v="OG 03"/>
    <s v="PROTEGIR LA BIODIVERSITAT, i especialment els elements fràgils i amenaçats, d’interès comunitari o de major interès natural."/>
    <s v="03.2"/>
    <s v="Garantir el compliment dels objectius de conservació dotant l'ENP de la planificació adequada segons estableix la normativa vigent (Pla de Protecció, PRUG, plans específics...)"/>
    <s v="03.2.1"/>
    <s v="Participar en l'elaboració dels instruments de planificació de l'ENP"/>
    <s v="Comú"/>
    <s v="Obligatori"/>
    <s v="Participar en l'elaboració dels instruments de planificació de l'ENP."/>
    <s v="No estem d'acord en que aquest objectiu operatiu es trobi en aquest apartat. Hauria d'estar a l'EIX de Gestió i Administració dins l'OBJECTIU general 15 i amb un nou objectiu estratègic 15.0"/>
    <s v="Si"/>
    <s v="Màxima"/>
    <m/>
    <x v="42"/>
    <m/>
    <s v="SPEN: Elaboració del Pla rector d'usos i gestió._x000a_SPEN: Elaboració del Pla rector d'usos i gestió"/>
    <s v="Nombre de reunions"/>
    <n v="1"/>
    <n v="4"/>
    <m/>
    <n v="0"/>
    <s v="Direcció"/>
    <s v="Director"/>
    <s v="Mitjans propis"/>
    <s v="Fons propis"/>
    <s v="X"/>
    <s v="X"/>
    <s v="X"/>
    <s v="X"/>
  </r>
  <r>
    <x v="0"/>
    <s v="OG 03"/>
    <s v="PROTEGIR LA BIODIVERSITAT, i especialment els elements fràgils i amenaçats, d’interès comunitari o de major interès natural."/>
    <s v="03.3"/>
    <s v="Vetllar pel manteniment dels cabals ecològics i la bona qualitat dels cursos fluvials de l'ENP de forma coordinada amb l'administració competent"/>
    <s v="03.3.1"/>
    <s v="Vetllar pel manteniment del cabal ecològic dels rius definit al Pla sectorial corresponent"/>
    <s v="Específic"/>
    <s v="Obligatori"/>
    <s v="Vetllar pel manteniment ecològic dels recs i rieres del Pla sectorial corresponent."/>
    <s v="Text adaptat a l'espai natural"/>
    <s v="No"/>
    <s v="Alta"/>
    <m/>
    <x v="43"/>
    <s v="ESNATURA"/>
    <s v="ACA/CHE: Determinar els cabals ecològics en espais naturals protegits"/>
    <s v="Nombre de reunions"/>
    <n v="1"/>
    <n v="4"/>
    <m/>
    <n v="0"/>
    <s v="Àrea coordinació"/>
    <s v="Tècnic coordinador"/>
    <s v="Mitjans propis"/>
    <s v="Fons propis"/>
    <s v="X"/>
    <s v="X"/>
    <s v="X"/>
    <s v="X"/>
  </r>
  <r>
    <x v="0"/>
    <s v="OG 03"/>
    <s v="PROTEGIR LA BIODIVERSITAT, i especialment els elements fràgils i amenaçats, d’interès comunitari o de major interès natural."/>
    <s v="03.3"/>
    <s v="Vetllar pel manteniment dels cabals ecològics i la bona qualitat dels cursos fluvials de l'ENP de forma coordinada amb l'administració competent"/>
    <s v="03.3.1"/>
    <s v="Vetllar pel manteniment del cabal ecològic dels rius definit al Pla sectorial corresponent"/>
    <s v="Específic"/>
    <s v="Obligatori"/>
    <s v="Vetllar pel manteniment ecològic dels recs i rieres del Pla sectorial corresponent."/>
    <s v="Text adaptat a l'espai natural"/>
    <s v="Si"/>
    <s v="Alta"/>
    <m/>
    <x v="44"/>
    <s v="ESNATURA"/>
    <s v="ACA/CHE: Determinar els cabals ecològics en espais naturals protegits"/>
    <s v="Sí/No"/>
    <m/>
    <s v="Sí "/>
    <m/>
    <n v="0"/>
    <s v="Àrea tècnica"/>
    <s v="Tècnic/a"/>
    <s v="Mitjans propis"/>
    <s v="Fons propis"/>
    <s v="X"/>
    <s v="X"/>
    <s v="X"/>
    <s v="X"/>
  </r>
  <r>
    <x v="0"/>
    <s v="OG 03"/>
    <s v="PROTEGIR LA BIODIVERSITAT, i especialment els elements fràgils i amenaçats, d’interès comunitari o de major interès natural."/>
    <s v="03.3"/>
    <s v="Vetllar pel manteniment dels cabals ecològics i la bona qualitat dels cursos fluvials de l'ENP de forma coordinada amb l'administració competent"/>
    <s v="03.3.2"/>
    <s v="Vetllar per la regulació dels dragatges, canalitzacions o implantació d'activitats extractives que puguin modificar la llera i el cabal dels rius"/>
    <s v="Específic"/>
    <s v="Optatiu"/>
    <m/>
    <s v="No correspon"/>
    <m/>
    <m/>
    <m/>
    <x v="23"/>
    <m/>
    <m/>
    <m/>
    <m/>
    <m/>
    <m/>
    <n v="0"/>
    <m/>
    <m/>
    <m/>
    <m/>
    <m/>
    <m/>
    <m/>
    <m/>
  </r>
  <r>
    <x v="0"/>
    <s v="OG 03"/>
    <s v="PROTEGIR LA BIODIVERSITAT, i especialment els elements fràgils i amenaçats, d’interès comunitari o de major interès natural."/>
    <s v="03.3"/>
    <s v="Vetllar pel manteniment dels cabals ecològics i la bona qualitat dels cursos fluvials de l'ENP de forma coordinada amb l'administració competent"/>
    <s v="03.3.3"/>
    <s v="Avaluar i controlar les actuacions que produeixin drenatges, captacions o que puguin impedir l’arribada d’aigua tant superficial com freàtica"/>
    <s v="Específic"/>
    <s v="Optatiu "/>
    <s v="Avaluar i controlar les actuacions que produeixin drenatges, captacions o que puguin impedir l’arribada d’aigua tant superficial com freàtica."/>
    <m/>
    <s v="Si"/>
    <s v="Alta"/>
    <m/>
    <x v="45"/>
    <m/>
    <m/>
    <s v="Sí/No"/>
    <m/>
    <s v="Sí"/>
    <m/>
    <n v="0"/>
    <s v="Àrea tècnica"/>
    <s v="Tècnic/a"/>
    <s v="Mitjans propis"/>
    <s v="Fons propis"/>
    <m/>
    <m/>
    <s v="X"/>
    <m/>
  </r>
  <r>
    <x v="0"/>
    <s v="OG 03"/>
    <s v="PROTEGIR LA BIODIVERSITAT, i especialment els elements fràgils i amenaçats, d’interès comunitari o de major interès natural."/>
    <s v="03.3"/>
    <s v="Vetllar pel manteniment dels cabals ecològics i la bona qualitat dels cursos fluvials de l'ENP de forma coordinada amb l'administració competent"/>
    <s v="03.3.4"/>
    <s v="Vetllar pel compliment de la normativa de depuració dels efluents agroramaders, urbans i industrials que s'aboquen als cursos fluvials"/>
    <s v="Específic"/>
    <s v="Optatiu "/>
    <s v="Vetllar pel compliment de la normativa de depuració dels efluents agroramaders, urbans i industrials que s'aboquen als cursos fluvials."/>
    <m/>
    <s v="Si"/>
    <s v="Alta"/>
    <m/>
    <x v="46"/>
    <m/>
    <m/>
    <s v="Sí/No"/>
    <m/>
    <s v="Sí"/>
    <m/>
    <n v="0"/>
    <s v="Àrea tècnica"/>
    <s v="Tècnic/a"/>
    <s v="Mitjans propis"/>
    <s v="Fons propis"/>
    <m/>
    <m/>
    <m/>
    <s v="X"/>
  </r>
  <r>
    <x v="0"/>
    <s v="OG 03"/>
    <s v="PROTEGIR LA BIODIVERSITAT, i especialment els elements fràgils i amenaçats, d’interès comunitari o de major interès natural."/>
    <s v="03.4"/>
    <s v="Incrementar el patrimoni públic destinat a la conservació i millora del patrimoni natural"/>
    <s v="03.4.1"/>
    <s v="Identificar espais prioritaris per a la compra de terrenys de més valor dins l'ENP "/>
    <s v="Comú"/>
    <s v="Optatiu "/>
    <s v="Identificar espais prioritaris per a la compra de terrenys de més valor dins l'ENP."/>
    <m/>
    <s v="Si"/>
    <s v="Alta"/>
    <m/>
    <x v="47"/>
    <m/>
    <s v="SENP/SPEN: Facilitar els criteris a seguir"/>
    <s v="Sí/No"/>
    <m/>
    <s v="Sí"/>
    <m/>
    <n v="0"/>
    <s v="Àrea tècnica"/>
    <s v="Tècnic/a"/>
    <s v="Mitjans propis"/>
    <s v="Fons propis"/>
    <s v="X"/>
    <m/>
    <m/>
    <m/>
  </r>
  <r>
    <x v="0"/>
    <s v="OG 03"/>
    <s v="PROTEGIR LA BIODIVERSITAT, i especialment els elements fràgils i amenaçats, d’interès comunitari o de major interès natural."/>
    <s v="03.4"/>
    <s v="Incrementar el patrimoni públic destinat a la conservació i millora del patrimoni natural"/>
    <s v="03.4.2"/>
    <s v="Identificar espais prioritaris per a la gestió directa"/>
    <s v="Comú"/>
    <s v="Optatiu"/>
    <s v="Identificar espais prioritaris per a la gestió directa."/>
    <m/>
    <s v="Si"/>
    <s v="Alta"/>
    <m/>
    <x v="48"/>
    <m/>
    <s v="SENP/SPEN: Facilitar els criteris a seguir"/>
    <s v="Sí/No"/>
    <m/>
    <s v="Sí"/>
    <m/>
    <n v="0"/>
    <s v="Àrea tècnica"/>
    <s v="Tècnic/a"/>
    <s v="Mitjans propis"/>
    <s v="Fons propis"/>
    <s v="X"/>
    <m/>
    <m/>
    <m/>
  </r>
  <r>
    <x v="0"/>
    <s v="OG 03"/>
    <s v="PROTEGIR LA BIODIVERSITAT, i especialment els elements fràgils i amenaçats, d’interès comunitari o de major interès natural."/>
    <s v="03.4"/>
    <s v="Incrementar el patrimoni públic destinat a la conservació i millora del patrimoni natural"/>
    <s v="03.4.2"/>
    <s v="Identificar espais prioritaris per a la gestió directa"/>
    <s v="Comú"/>
    <s v="Optatiu"/>
    <s v="Identificar espais prioritaris per a la gestió directa."/>
    <m/>
    <s v="Si"/>
    <s v="Alta"/>
    <m/>
    <x v="49"/>
    <m/>
    <s v="SENP/SPEN: Facilitar els criteris a seguir"/>
    <s v="Sí/No"/>
    <m/>
    <s v="Sí"/>
    <m/>
    <n v="0"/>
    <s v="Àrea tècnica"/>
    <s v="Tècnic/a"/>
    <s v="Mitjans propis"/>
    <s v="Fons propis"/>
    <s v="X"/>
    <s v="X"/>
    <s v="X"/>
    <s v="X"/>
  </r>
  <r>
    <x v="0"/>
    <s v="OG 03"/>
    <s v="PROTEGIR LA BIODIVERSITAT, i especialment els elements fràgils i amenaçats, d’interès comunitari o de major interès natural."/>
    <s v="03.4"/>
    <s v="Incrementar el patrimoni públic destinat a la conservació i millora del patrimoni natural"/>
    <s v="03.4.2"/>
    <s v="Identificar espais prioritaris per a la gestió directa"/>
    <s v="Comú"/>
    <s v="Optatiu"/>
    <s v="Identificar espais prioritaris per a la gestió directa."/>
    <m/>
    <s v="Si"/>
    <s v="Alta"/>
    <m/>
    <x v="50"/>
    <m/>
    <s v="SENP/SPEN: Facilitar els criteris a seguir"/>
    <s v="Sí/No"/>
    <m/>
    <s v="Sí"/>
    <m/>
    <n v="0"/>
    <s v="Àrea tècnica"/>
    <s v="Tècnic/a"/>
    <s v="Mitjans propis"/>
    <s v="Fons propis"/>
    <s v="X"/>
    <s v="X"/>
    <s v="X"/>
    <s v="X"/>
  </r>
  <r>
    <x v="1"/>
    <s v="OG 04"/>
    <s v="CONSERVAR ELS ELEMENTS CULTURALS materials i immaterials vinculats a la natura"/>
    <s v="04.1"/>
    <s v="Millorar el coneixement disponible sobre el patrimoni arquitectònic i cultural (material i immaterial) vinculat al patrimoni natural, el seu estat de conservació i els estils propis dels territoris de l'ENP"/>
    <s v="04.1.1"/>
    <s v="Elaborar l'inventari i cartografia de patrimoni cultural de l'ENP, que també inclogui el patrimoni etnològic i immaterial"/>
    <s v="Comú"/>
    <s v="Optatiu"/>
    <s v="Elaborar l'inventari i cartografia de patrimoni cultural de l'ENP, que també inclogui el patrimoni etnològic i immaterial."/>
    <m/>
    <s v="Si"/>
    <s v="Mitjana"/>
    <m/>
    <x v="51"/>
    <m/>
    <m/>
    <s v="Sí/No"/>
    <m/>
    <s v="Sí"/>
    <m/>
    <n v="0"/>
    <s v="Àrea tècnica"/>
    <s v="Tècnic/a"/>
    <s v="Contractació externa"/>
    <s v="Fons propis"/>
    <m/>
    <m/>
    <m/>
    <s v="X"/>
  </r>
  <r>
    <x v="1"/>
    <s v="OG 04"/>
    <s v="CONSERVAR ELS ELEMENTS CULTURALS materials i immaterials vinculats a la natura"/>
    <s v="04.1"/>
    <s v="Millorar el coneixement disponible sobre el patrimoni arquitectònic i cultural (material i immaterial) vinculat al patrimoni natural, el seu estat de conservació i els estils propis dels territoris de l'ENP"/>
    <s v="04.1.2"/>
    <s v="Elaborar el catàleg lingüístic (localismes) de patrimoni natural, geografia popular, festes i activitats tradicionals de l'ENP"/>
    <s v="Comú"/>
    <s v="Optatiu"/>
    <s v="Elaborar el catàleg lingüístic (localismes) de patrimoni natural, geografia popular, festes i activitats tradicionals de l'ENP."/>
    <s v="No s'aplica en aquest període"/>
    <m/>
    <s v="Mitjana"/>
    <m/>
    <x v="23"/>
    <m/>
    <m/>
    <m/>
    <m/>
    <m/>
    <m/>
    <n v="0"/>
    <m/>
    <m/>
    <m/>
    <m/>
    <m/>
    <m/>
    <m/>
    <m/>
  </r>
  <r>
    <x v="1"/>
    <s v="OG 04"/>
    <s v="CONSERVAR ELS ELEMENTS CULTURALS materials i immaterials vinculats a la natura"/>
    <s v="04.1"/>
    <s v="Millorar el coneixement disponible sobre el patrimoni arquitectònic i cultural (material i immaterial) vinculat al patrimoni natural, el seu estat de conservació i els estils propis dels territoris de l'ENP"/>
    <s v="04.1.3"/>
    <s v="Elaborar la cartografia de la xarxa de camins ramaders i senders tradicionals de l'ENP"/>
    <s v="Comú"/>
    <s v="Optatiu"/>
    <s v="Disposar de la cartografia de la xarxa de camins i senders de l'ENP."/>
    <s v="S'adapta a l'ENP de Banyoles"/>
    <s v="Si"/>
    <s v="Mitjana"/>
    <m/>
    <x v="52"/>
    <m/>
    <m/>
    <s v="Sí/No"/>
    <m/>
    <s v="Sí"/>
    <m/>
    <n v="0"/>
    <s v="Àrea tècnica"/>
    <s v="Tècnic/a"/>
    <s v="Contractació externa"/>
    <s v="Fons propis"/>
    <m/>
    <s v="X"/>
    <m/>
    <m/>
  </r>
  <r>
    <x v="1"/>
    <s v="OG 04"/>
    <s v="CONSERVAR ELS ELEMENTS CULTURALS materials i immaterials vinculats a la natura"/>
    <s v="04.2"/>
    <s v="Conservar i gestionar el patrimoni cultural de l'ENP de forma coordinada amb els agents responsables i entitats de referència"/>
    <s v="04.2.1"/>
    <s v="Identificar els ens de referència en patrimoni cultural (entitats, associacions, museus i ecomuseus, etc.) en l'àmbit de l'ENP"/>
    <s v="Comú"/>
    <s v="Obligatori"/>
    <s v="Identificar els ens de referència en patrimoni cultural (entitats, associacions, museus i ecomuseus, etc.) en l'àmbit de l'ENP."/>
    <s v="No aplica"/>
    <m/>
    <s v="Mitjana"/>
    <m/>
    <x v="23"/>
    <m/>
    <m/>
    <m/>
    <m/>
    <m/>
    <m/>
    <n v="0"/>
    <m/>
    <m/>
    <m/>
    <m/>
    <m/>
    <m/>
    <m/>
    <m/>
  </r>
  <r>
    <x v="1"/>
    <s v="OG 04"/>
    <s v="CONSERVAR ELS ELEMENTS CULTURALS materials i immaterials vinculats a la natura"/>
    <s v="04.2"/>
    <s v="Conservar i gestionar el patrimoni cultural de l'ENP de forma coordinada amb els agents responsables i entitats de referència"/>
    <s v="04.2.2"/>
    <s v="Articular treballs conjunts entre l'ENP i representants, gestors o custodis del patrimoni cultural per a la seva protecció i millora"/>
    <s v="Comú"/>
    <s v="Optatiu"/>
    <s v="Articular treballs conjunts entre l'ENP i representants, gestors o custodis del patrimoni cultural per a la seva protecció i millora."/>
    <s v="No s'aplica en aquest període"/>
    <m/>
    <s v="Mitjana"/>
    <m/>
    <x v="23"/>
    <m/>
    <m/>
    <m/>
    <m/>
    <m/>
    <m/>
    <n v="0"/>
    <m/>
    <m/>
    <m/>
    <m/>
    <m/>
    <m/>
    <m/>
    <m/>
  </r>
  <r>
    <x v="1"/>
    <s v="OG 04"/>
    <s v="CONSERVAR ELS ELEMENTS CULTURALS materials i immaterials vinculats a la natura"/>
    <s v="04.2"/>
    <s v="Conservar i gestionar el patrimoni cultural de l'ENP de forma coordinada amb els agents responsables i entitats de referència"/>
    <s v="04.2.3"/>
    <s v="Coordinar i participar dels treballs de restauració arquitectònica i del patrimoni cultural"/>
    <s v="Comú"/>
    <s v="Optatiu"/>
    <s v="Coordinar i participar dels treballs de restauració arquitectònica i del patrimoni cultural."/>
    <m/>
    <m/>
    <s v="Mitjana"/>
    <m/>
    <x v="53"/>
    <m/>
    <m/>
    <s v="Sí/No"/>
    <m/>
    <s v="Sí"/>
    <m/>
    <n v="0"/>
    <s v="Àrea tècnica"/>
    <s v="Tècnic/a"/>
    <s v="Mitjans propis"/>
    <s v="Fons propis"/>
    <s v="X"/>
    <s v="X"/>
    <s v="X"/>
    <m/>
  </r>
  <r>
    <x v="1"/>
    <s v="OG 04"/>
    <s v="CONSERVAR ELS ELEMENTS CULTURALS materials i immaterials vinculats a la natura"/>
    <s v="04.2"/>
    <s v="Conservar i gestionar el patrimoni cultural de l'ENP de forma coordinada amb els agents responsables i entitats de referència"/>
    <s v="04.2.3"/>
    <s v="Coordinar i participar dels treballs de restauració arquitectònica i del patrimoni cultural"/>
    <s v="Comú"/>
    <s v="Optatiu"/>
    <s v="Coordinar i participar dels treballs de restauració arquitectònica i del patrimoni cultural."/>
    <m/>
    <m/>
    <s v="Mitjana"/>
    <m/>
    <x v="54"/>
    <m/>
    <m/>
    <s v="Sí/No"/>
    <m/>
    <s v="Sí"/>
    <m/>
    <n v="0"/>
    <s v="Àrea tècnica"/>
    <s v="Tècnic/a"/>
    <s v="Mitjans propis"/>
    <s v="Fons propis"/>
    <s v="X"/>
    <s v="X"/>
    <s v="X"/>
    <s v="X"/>
  </r>
  <r>
    <x v="1"/>
    <s v="OG 04"/>
    <s v="CONSERVAR ELS ELEMENTS CULTURALS materials i immaterials vinculats a la natura"/>
    <s v="04.2"/>
    <s v="Conservar i gestionar el patrimoni cultural de l'ENP de forma coordinada amb els agents responsables i entitats de referència"/>
    <s v="04.2.3"/>
    <s v="Coordinar i participar dels treballs de restauració arquitectònica i del patrimoni cultural"/>
    <s v="Comú"/>
    <s v="Optatiu"/>
    <s v="Coordinar i participar dels treballs de restauració arquitectònica i del patrimoni cultural."/>
    <m/>
    <m/>
    <s v="Mitjana"/>
    <m/>
    <x v="55"/>
    <m/>
    <m/>
    <s v="Sí/No"/>
    <m/>
    <s v="Sí"/>
    <m/>
    <n v="0"/>
    <s v="Àrea tècnica"/>
    <s v="Tècnic/a"/>
    <s v="Contractació externa"/>
    <s v="Fons propis"/>
    <m/>
    <s v="X"/>
    <s v="X"/>
    <s v="X"/>
  </r>
  <r>
    <x v="1"/>
    <s v="OG 04"/>
    <s v="CONSERVAR ELS ELEMENTS CULTURALS materials i immaterials vinculats a la natura"/>
    <s v="04.2"/>
    <s v="Conservar i gestionar el patrimoni cultural de l'ENP de forma coordinada amb els agents responsables i entitats de referència"/>
    <s v="04.2.4"/>
    <s v="Disposar de personal especialitzat en patrimoni cultural"/>
    <s v="Comú"/>
    <s v="Obligatori "/>
    <s v="Disposar de personal especialitzat en patrimoni cultural."/>
    <s v="No s'aplica en aquest període"/>
    <m/>
    <s v="Mitjana"/>
    <m/>
    <x v="23"/>
    <m/>
    <m/>
    <m/>
    <m/>
    <m/>
    <m/>
    <n v="0"/>
    <m/>
    <m/>
    <m/>
    <m/>
    <m/>
    <m/>
    <m/>
    <m/>
  </r>
  <r>
    <x v="1"/>
    <s v="OG 04"/>
    <s v="CONSERVAR ELS ELEMENTS CULTURALS materials i immaterials vinculats a la natura"/>
    <s v="04.3"/>
    <s v="Potenciar la conservació i recuperació del patrimoni cultural material i immaterial de l'ENP"/>
    <s v="04.3.1"/>
    <s v="Recuperar i conservar el patrimoni cultural rural immaterial associat a les activitats i aprofitaments tradicionals "/>
    <s v="Comú"/>
    <s v="Obligatori "/>
    <s v="Recuperar i conservar el patrimoni cultural rural immaterial associat a les activitats i aprofitaments tradicionals."/>
    <s v="No s'aplica en aquest període"/>
    <m/>
    <s v="Mitjana"/>
    <m/>
    <x v="23"/>
    <s v="MAP"/>
    <m/>
    <m/>
    <m/>
    <m/>
    <m/>
    <n v="0"/>
    <m/>
    <m/>
    <m/>
    <m/>
    <m/>
    <m/>
    <m/>
    <m/>
  </r>
  <r>
    <x v="1"/>
    <s v="OG 04"/>
    <s v="CONSERVAR ELS ELEMENTS CULTURALS materials i immaterials vinculats a la natura"/>
    <s v="04.3"/>
    <s v="Potenciar la conservació i recuperació del patrimoni cultural material i immaterial de l'ENP"/>
    <s v="04.3.2"/>
    <s v="Recuperar i conservar el patrimoni cultural rural vinculat específicament a construccions de pedra en sec"/>
    <s v="Específic"/>
    <s v="Obligatori "/>
    <s v="Recuperar i conservar el patrimoni cultural rural vinculat específicament a construccions de pedra en sec."/>
    <s v="No aplica a l'ENP"/>
    <m/>
    <s v="Mitjana"/>
    <m/>
    <x v="23"/>
    <s v="MAP"/>
    <m/>
    <m/>
    <m/>
    <m/>
    <m/>
    <n v="0"/>
    <m/>
    <m/>
    <m/>
    <m/>
    <m/>
    <m/>
    <m/>
    <m/>
  </r>
  <r>
    <x v="1"/>
    <s v="OG 04"/>
    <s v="CONSERVAR ELS ELEMENTS CULTURALS materials i immaterials vinculats a la natura"/>
    <s v="04.3"/>
    <s v="Potenciar la conservació i recuperació del patrimoni cultural material i immaterial de l'ENP"/>
    <s v="04.3.3"/>
    <s v="Fomentar la recuperació i conservació de l'arquitectura tradicional d'interès de les edificacions i construccions "/>
    <s v="Comú"/>
    <s v="Optatiu "/>
    <s v="Fomentar la recuperació i conservació de l'arquitectura tradicional d'interès de les edificacions i construccions."/>
    <s v="No competents"/>
    <m/>
    <s v="Mitjana"/>
    <m/>
    <x v="23"/>
    <m/>
    <m/>
    <m/>
    <m/>
    <m/>
    <m/>
    <n v="0"/>
    <m/>
    <m/>
    <m/>
    <m/>
    <m/>
    <m/>
    <m/>
    <m/>
  </r>
  <r>
    <x v="1"/>
    <s v="OG 04"/>
    <s v="CONSERVAR ELS ELEMENTS CULTURALS materials i immaterials vinculats a la natura"/>
    <s v="04.3"/>
    <s v="Potenciar la conservació i recuperació del patrimoni cultural material i immaterial de l'ENP"/>
    <s v="04.3.4"/>
    <s v="Identificar i conservar la diversitat domesticada de varietats agrícoles i ramaderes locals"/>
    <s v="Comú"/>
    <s v="Obligatori"/>
    <s v="Identificar i conservar la diversitat domesticada de varietats agrícoles i ramaderes locals."/>
    <s v="Espai de petita dimensió, no aplica"/>
    <m/>
    <s v="Mitjana"/>
    <m/>
    <x v="23"/>
    <s v="ESNATURA"/>
    <m/>
    <m/>
    <m/>
    <m/>
    <m/>
    <n v="0"/>
    <m/>
    <m/>
    <m/>
    <m/>
    <m/>
    <m/>
    <m/>
    <m/>
  </r>
  <r>
    <x v="1"/>
    <s v="OG 04"/>
    <s v="CONSERVAR ELS ELEMENTS CULTURALS materials i immaterials vinculats a la natura"/>
    <s v="04.4"/>
    <s v="Donar a conèixer els elements culturals com a valors del paisatge de l'ENP en les activitats d'ús públic "/>
    <s v="04.4.1"/>
    <s v="Integrar el patrimoni cultural als itineraris i cartelleria de l'ENP."/>
    <s v="Comú"/>
    <s v="Obligatori "/>
    <s v="Integrar el patrimoni cultural als itineraris i senyalètica de l'ENP."/>
    <m/>
    <m/>
    <s v="Mitjana"/>
    <m/>
    <x v="56"/>
    <m/>
    <m/>
    <s v="Sí/No"/>
    <m/>
    <s v="Si"/>
    <m/>
    <n v="0"/>
    <s v="Àrea tècnica"/>
    <s v="Tècnic/a"/>
    <s v="Mitjans propis"/>
    <s v="Fons propis"/>
    <s v="X"/>
    <s v="X"/>
    <s v="X"/>
    <s v="X"/>
  </r>
  <r>
    <x v="1"/>
    <s v="OG 04"/>
    <s v="CONSERVAR ELS ELEMENTS CULTURALS materials i immaterials vinculats a la natura"/>
    <s v="04.4"/>
    <s v="Donar a conèixer els elements culturals com a valors del paisatge de l'ENP en les activitats d'ús públic "/>
    <s v="04.4.2"/>
    <s v="Incorporar el patrimoni cultural en els plans d’ús públic i educació ambiental per fomentar-ne la seva conservació i divulgació."/>
    <s v="Comú"/>
    <s v="Obligatori "/>
    <s v="Incorporar el patrimoni cultural en els plans d’ús públic i educació ambiental per fomentar-ne la seva conservació i divulgació."/>
    <m/>
    <s v="Si"/>
    <s v="Mitjana"/>
    <m/>
    <x v="57"/>
    <m/>
    <m/>
    <s v="Sí/No"/>
    <m/>
    <s v="Sí"/>
    <m/>
    <n v="0"/>
    <s v="Àrea tècnica"/>
    <s v="Tècnic/a"/>
    <s v="Mitjans propis"/>
    <s v="Fons propis"/>
    <s v="X"/>
    <s v="X"/>
    <s v="X"/>
    <s v="X"/>
  </r>
  <r>
    <x v="1"/>
    <s v="OG 04"/>
    <s v="CONSERVAR ELS ELEMENTS CULTURALS materials i immaterials vinculats a la natura"/>
    <s v="04.4"/>
    <s v="Donar a conèixer els elements culturals com a valors del paisatge de l'ENP en les activitats d'ús públic "/>
    <s v="04.4.3"/>
    <s v="Formar el personal dels punts d’informació en els valors culturals de l'ENP"/>
    <s v="Comú"/>
    <s v="Obligatori "/>
    <s v="Formar el personal dels punts d’informació en els valors culturals de l'ENP."/>
    <s v="No aplica, no es disposa de punts d'informació. Els existents són municipals."/>
    <m/>
    <s v="Mitjana"/>
    <m/>
    <x v="23"/>
    <m/>
    <m/>
    <m/>
    <m/>
    <m/>
    <m/>
    <n v="0"/>
    <m/>
    <m/>
    <m/>
    <m/>
    <m/>
    <m/>
    <m/>
    <m/>
  </r>
  <r>
    <x v="1"/>
    <s v="OG 05"/>
    <s v="PROTEGIR EL PAISATGE i la qualitat de l'ambient visual, sonor i lumínic."/>
    <s v="05.1"/>
    <s v="Identificar els elements d'interès paisatgístic de l'espai"/>
    <s v="05.1.1"/>
    <s v="Elaborar un inventari d'elements d'interès paisatgístic de l'ENP d'acord amb el Catàleg de paisatge de la zona "/>
    <s v="Comú"/>
    <s v="Optatiu"/>
    <s v="Elaborar un inventari d'elements d'interès paisatgístic de l'ENP d'acord amb el Catàleg de paisatge de la zona."/>
    <s v="No s'aplica en aquest període"/>
    <m/>
    <s v="Mitjana"/>
    <m/>
    <x v="23"/>
    <m/>
    <m/>
    <m/>
    <m/>
    <m/>
    <m/>
    <n v="0"/>
    <m/>
    <m/>
    <m/>
    <m/>
    <m/>
    <m/>
    <m/>
    <m/>
  </r>
  <r>
    <x v="1"/>
    <s v="OG 05"/>
    <s v="PROTEGIR EL PAISATGE i la qualitat de l'ambient visual, sonor i lumínic."/>
    <s v="05.2"/>
    <s v="Millorar la qualitat paisatgística"/>
    <s v="05.2.1"/>
    <s v="Desplegar actuacions de restauració dels elements d'interès paisatgístic degradats"/>
    <s v="Comú"/>
    <s v="Optatiu"/>
    <s v="Desplegar actuacions de restauració dels elements d'interès paisatgístic degradats."/>
    <s v="No s'aplica en aquest període"/>
    <m/>
    <s v="Baixa"/>
    <m/>
    <x v="23"/>
    <m/>
    <m/>
    <m/>
    <m/>
    <m/>
    <m/>
    <n v="0"/>
    <m/>
    <m/>
    <m/>
    <m/>
    <m/>
    <m/>
    <m/>
    <m/>
  </r>
  <r>
    <x v="1"/>
    <s v="OG 05"/>
    <s v="PROTEGIR EL PAISATGE i la qualitat de l'ambient visual, sonor i lumínic."/>
    <s v="05.2"/>
    <s v="Millorar la qualitat paisatgística"/>
    <s v="05.2.2"/>
    <s v="Gestionar l'abandonament d'infraestructures i instal·lacions amb impactes sobre els valors de l'espai"/>
    <m/>
    <m/>
    <s v="Gestionar l'abandonament d'infraestructures i instal·lacions amb impactes sobre els valors de l'espai."/>
    <s v="No aplica"/>
    <m/>
    <s v="Mitjana"/>
    <m/>
    <x v="23"/>
    <m/>
    <m/>
    <m/>
    <m/>
    <m/>
    <m/>
    <n v="0"/>
    <m/>
    <m/>
    <m/>
    <m/>
    <m/>
    <m/>
    <m/>
    <m/>
  </r>
  <r>
    <x v="1"/>
    <s v="OG 05"/>
    <s v="PROTEGIR EL PAISATGE i la qualitat de l'ambient visual, sonor i lumínic."/>
    <s v="05.2"/>
    <s v="Millorar la qualitat paisatgística"/>
    <s v="05.2.3"/>
    <s v="Minimitzar la brutícia, deixalles, vandalisme i males praxis dins l'ENP"/>
    <s v="Comú"/>
    <s v="Obligatori"/>
    <s v="Minimitzar la brutícia, deixalles, vandalisme i males praxis dins l'ENP."/>
    <s v="Objectiu no necessari en aquest eix. Cal traslladar-lo a mala praxis a l'eix de ús públic"/>
    <s v="Si"/>
    <s v="Mitjana"/>
    <m/>
    <x v="58"/>
    <m/>
    <m/>
    <s v="Sí/No"/>
    <m/>
    <s v="Sí"/>
    <m/>
    <n v="0"/>
    <s v="Àrea tècnica"/>
    <s v="Tècnic/a"/>
    <s v="Mitjans propis"/>
    <s v="Fons propis"/>
    <s v="X"/>
    <s v="X"/>
    <s v="X"/>
    <s v="X"/>
  </r>
  <r>
    <x v="1"/>
    <s v="OG 05"/>
    <s v="PROTEGIR EL PAISATGE i la qualitat de l'ambient visual, sonor i lumínic."/>
    <s v="05.3"/>
    <s v="Protegir la qualitat acústica i lumínica de l'ENP"/>
    <s v="05.3.1"/>
    <s v="Promoure la certificació de qualitat del cel nocturn"/>
    <s v="Específic"/>
    <s v="Optatiu"/>
    <s v="Promoure la certificació de qualitat del cel nocturn."/>
    <s v="No s'aplica en aquest període"/>
    <m/>
    <s v="Mitjana"/>
    <m/>
    <x v="23"/>
    <s v="ESNATURA"/>
    <m/>
    <m/>
    <m/>
    <m/>
    <m/>
    <n v="0"/>
    <m/>
    <m/>
    <m/>
    <m/>
    <m/>
    <m/>
    <m/>
    <m/>
  </r>
  <r>
    <x v="1"/>
    <s v="OG 05"/>
    <s v="PROTEGIR EL PAISATGE i la qualitat de l'ambient visual, sonor i lumínic."/>
    <s v="05.3"/>
    <s v="Protegir la qualitat acústica i lumínica de l'ENP"/>
    <s v="05.3.2"/>
    <s v="Promoure la certificació de zones d'especial protecció de la qualitat acústica"/>
    <s v="Específic"/>
    <s v="Optatiu"/>
    <s v="Promoure la certificació de zones d'especial protecció de la qualitat acústica."/>
    <s v="No s'aplica en aquest període"/>
    <m/>
    <s v="Mitjana"/>
    <m/>
    <x v="23"/>
    <s v="ESNATURA"/>
    <m/>
    <m/>
    <m/>
    <m/>
    <m/>
    <n v="0"/>
    <m/>
    <m/>
    <m/>
    <m/>
    <m/>
    <m/>
    <m/>
    <m/>
  </r>
  <r>
    <x v="2"/>
    <s v="OG 06"/>
    <s v="MILLORAR EL CONEIXEMENT DE L'ENTORN, del patrimoni natural, cultural i social."/>
    <s v="06.1"/>
    <s v="Identificar els objectes de gestió prioritària de l'ENP en el marc dels objectius de govern"/>
    <s v="06.1.1"/>
    <s v="Identificar i prioritzar els elements clau i d'interès per la gestió de la biodiversitat i geodiversitat de Catalunya es troben dins l'ENP (especies amenaçades, espècies exòtiques invasores,.. )"/>
    <s v="Comú"/>
    <s v="Obligatori"/>
    <s v="Identificar i prioritzar els elements clau i d'interès per la gestió de la biodiversitat i geodiversitat de Catalunya es troben dins l'ENP (especies amenaçades, espècies exòtiques invasores,  etc.)."/>
    <s v="Depèn dels Serveis Centrals de la Direcció general si ens conviden a participar"/>
    <s v="No"/>
    <s v="Màxima"/>
    <m/>
    <x v="59"/>
    <s v="Directiva Habitats_x000a_Carta emplaçament_x000a_ESNATURA_x000a_Catàlegs"/>
    <s v="UIC/SFF/SPEN: Definir criteris d'identificació d'elements interès._x000a_UIC/SFF/SPEN: Definició dels objectes de conservació clau comuns a nivell de Xarxa d'ENP o clúster territorial"/>
    <s v="Nombre de reunions"/>
    <n v="2"/>
    <n v="4"/>
    <m/>
    <n v="0"/>
    <s v="Àrea coordinació"/>
    <s v="Tècnic coordinador"/>
    <s v="Mitjans propis"/>
    <s v="Fons propis"/>
    <s v="X"/>
    <s v="X"/>
    <s v="X"/>
    <s v="X"/>
  </r>
  <r>
    <x v="2"/>
    <s v="OG 06"/>
    <s v="MILLORAR EL CONEIXEMENT DE L'ENTORN, del patrimoni natural, cultural i social."/>
    <s v="06.1"/>
    <s v="Identificar els objectes de gestió prioritària de l'ENP en el marc dels objectius de govern"/>
    <s v="06.1.1"/>
    <s v="Identificar i prioritzar els elements clau i d'interès per la gestió de la biodiversitat i geodiversitat de Catalunya es troben dins l'ENP (especies amenaçades, espècies exòtiques invasores,.. )"/>
    <s v="Comú"/>
    <s v="Obligatori"/>
    <s v="Identificar i prioritzar els elements clau i d'interès per la gestió de la biodiversitat i geodiversitat de Catalunya es troben dins l'ENP (especies amenaçades, espècies exòtiques invasores,..)."/>
    <m/>
    <s v="Si"/>
    <s v="Màxima"/>
    <m/>
    <x v="60"/>
    <m/>
    <m/>
    <s v="Sí/No"/>
    <m/>
    <s v="Sí"/>
    <m/>
    <n v="0"/>
    <s v="Àrea tècnica"/>
    <s v="Tècnic/a"/>
    <s v="Mitjans propis"/>
    <s v="Fons propis"/>
    <m/>
    <m/>
    <m/>
    <s v="X"/>
  </r>
  <r>
    <x v="2"/>
    <s v="OG 06"/>
    <s v="MILLORAR EL CONEIXEMENT DE L'ENTORN, del patrimoni natural, cultural i social."/>
    <s v="06.1"/>
    <s v="Identificar els objectes de gestió prioritària de l'ENP en el marc dels objectius de govern"/>
    <s v="06.1.1"/>
    <s v="Identificar i prioritzar els elements clau i d'interès per la gestió de la biodiversitat i geodiversitat de Catalunya es troben dins l'ENP (especies amenaçades, espècies exòtiques invasores,.. )"/>
    <s v="Comú"/>
    <s v="Obligatori"/>
    <s v="Identificar i prioritzar els elements clau i d'interès per la gestió de la biodiversitat i geodiversitat de Catalunya es troben dins l'ENP (especies amenaçades, espècies exòtiques invasores, etc)."/>
    <m/>
    <s v="Si"/>
    <s v="Màxima"/>
    <m/>
    <x v="61"/>
    <s v="Directiva Habitats_x000a_Carta emplaçament_x000a_ESNATURA_x000a_Catàlegs"/>
    <s v="UIC/SFF/SPEN: Definir criteris d'identificació d'elements interès._x000a_UIC/SFF/SPEN: Definició dels objectes de conservació clau comuns a nivell de Xarxa d'ENP o clúster territorial"/>
    <s v="Sí/No"/>
    <m/>
    <s v="Sí"/>
    <m/>
    <n v="0"/>
    <s v="Àrea tècnica"/>
    <s v="Tècnic/a"/>
    <s v="Mitjans propis"/>
    <s v="Fons propis"/>
    <m/>
    <m/>
    <s v="X"/>
    <m/>
  </r>
  <r>
    <x v="2"/>
    <s v="OG 06"/>
    <s v="MILLORAR EL CONEIXEMENT DE L'ENTORN, del patrimoni natural, cultural i social."/>
    <s v="06.1"/>
    <s v="Identificar els objectes de gestió prioritària de l'ENP en el marc dels objectius de govern"/>
    <s v="06.1.1"/>
    <s v="Identificar i prioritzar els elements clau i d'interès per la gestió de la biodiversitat i geodiversitat de Catalunya es troben dins l'ENP (especies amenaçades, espècies exòtiques invasores,.. )"/>
    <s v="Comú"/>
    <s v="Obligatori"/>
    <s v="Identificar i prioritzar els elements clau i d'interès per la gestió de la biodiversitat i geodiversitat de Catalunya es troben dins l'ENP (especies amenaçades, espècies exòtiques invasores, etc.)."/>
    <m/>
    <s v="Si"/>
    <s v="Màxima"/>
    <m/>
    <x v="62"/>
    <s v="Directiva Habitats_x000a_Carta emplaçament_x000a_ESNATURA_x000a_Catàlegs"/>
    <s v="UIC/SFF/SPEN: Definir criteris d'identificació d'elements interès._x000a_UIC/SFF/SPEN: Definició dels objectes de conservació clau comuns a nivell de Xarxa d'ENP o clúster territorial"/>
    <s v="Sí/No"/>
    <m/>
    <s v="Sí"/>
    <m/>
    <n v="0"/>
    <s v="Àrea tècnica"/>
    <s v="Tècnic/a"/>
    <s v="Mitjans propis"/>
    <s v="Fons propis"/>
    <m/>
    <s v="X"/>
    <m/>
    <m/>
  </r>
  <r>
    <x v="2"/>
    <s v="OG 06"/>
    <s v="MILLORAR EL CONEIXEMENT DE L'ENTORN, del patrimoni natural, cultural i social."/>
    <s v="06.1"/>
    <s v="Identificar els objectes de gestió prioritària de l'ENP en el marc dels objectius de govern"/>
    <s v="06.1.2"/>
    <s v="Definir espais fràgils i zones d'especial atenció"/>
    <s v="Comú"/>
    <s v="Obligatori"/>
    <s v="Definir espais fràgils i zones d'especial atenció."/>
    <m/>
    <s v="Si"/>
    <s v="Màxima"/>
    <m/>
    <x v="63"/>
    <m/>
    <s v="SPEN: Inventari i cartografia d'espais fràgils i zones d'especial atenció"/>
    <s v="Sí/No"/>
    <m/>
    <s v="Sí"/>
    <m/>
    <n v="0"/>
    <s v="Àrea coordinació"/>
    <s v="Tècnic coordinador"/>
    <s v="Contractació externa"/>
    <s v="Fons propis"/>
    <m/>
    <m/>
    <s v="X"/>
    <m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1"/>
    <s v="Participar en l'elaboració de la cartografia que elabora la UIC"/>
    <s v="Comú"/>
    <s v="Obligatori"/>
    <s v="Participar en l'elaboració de la cartografia que elabora la UIC."/>
    <m/>
    <s v="Si"/>
    <s v="Alta"/>
    <m/>
    <x v="64"/>
    <s v="ESNATURA"/>
    <s v="UIC: Coordinar i contractar l'elaboració de la cartografia"/>
    <s v="Sí/No"/>
    <m/>
    <s v="Sí"/>
    <m/>
    <n v="0"/>
    <s v="Àrea tècnica"/>
    <s v="Tècnic/a"/>
    <s v="Mitjans propis"/>
    <s v="Fons propis"/>
    <s v="X"/>
    <s v="X"/>
    <s v="X"/>
    <s v="X"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2"/>
    <s v="Conèixer i estudiar els processos naturals propis de l’espai, la seva funcionalitat, i ecologia en referència als ecosistemes"/>
    <s v="Comú"/>
    <s v="Obligatori"/>
    <s v="Conèixer i estudiar els processos naturals propis de l’espai, la seva funcionalitat, i ecologia en referència als ecosistemes."/>
    <m/>
    <s v="Si"/>
    <s v="Mitjana"/>
    <m/>
    <x v="65"/>
    <m/>
    <m/>
    <s v="Nombre participacions"/>
    <n v="2"/>
    <n v="4"/>
    <m/>
    <n v="0"/>
    <s v="Àrea tècnica"/>
    <s v="Tècnic/a"/>
    <s v="Mitjans propis"/>
    <s v="Fons propis"/>
    <s v="X"/>
    <s v="X"/>
    <s v="X"/>
    <s v="X"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2"/>
    <s v="Conèixer i estudiar els processos naturals propis de l’espai, la seva funcionalitat, i ecologia en referència als ecosistemes"/>
    <s v="Comú"/>
    <s v="Obligatori"/>
    <s v="Conèixer i estudiar els processos naturals propis de l’espai, la seva funcionalitat, i ecologia en referència als ecosistemes."/>
    <m/>
    <s v="Si"/>
    <s v="Mitjana"/>
    <m/>
    <x v="66"/>
    <m/>
    <m/>
    <s v="Sí/No"/>
    <m/>
    <s v="Si"/>
    <m/>
    <n v="0"/>
    <s v="Àrea tècnica"/>
    <s v="Tècnic/a"/>
    <s v="Contractació externa"/>
    <s v="Fons propis"/>
    <m/>
    <s v="X"/>
    <m/>
    <m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2"/>
    <s v="Conèixer i estudiar els processos naturals propis de l’espai, la seva funcionalitat, i ecologia en referència als ecosistemes"/>
    <s v="Comú"/>
    <s v="Obligatori"/>
    <s v="Conèixer i estudiar els processos naturals propis de l’espai, la seva funcionalitat, i ecologia en referència als ecosistemes."/>
    <m/>
    <s v="Si"/>
    <s v="Mitjana"/>
    <m/>
    <x v="67"/>
    <m/>
    <m/>
    <s v="Sí/No"/>
    <m/>
    <s v="Sí"/>
    <m/>
    <n v="0"/>
    <s v="Àrea tècnica"/>
    <s v="Tècnic/a"/>
    <s v="Mitjans propis"/>
    <s v="Fons propis"/>
    <s v="X"/>
    <s v="X"/>
    <m/>
    <m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2"/>
    <s v="Conèixer i estudiar els processos naturals propis de l’espai, la seva funcionalitat, i ecologia en referència als ecosistemes"/>
    <s v="Comú"/>
    <s v="Obligatori"/>
    <s v="Conèixer i estudiar els processos naturals propis de l’espai, la seva funcionalitat, i ecologia en referència als ecosistemes."/>
    <m/>
    <s v="Si"/>
    <s v="Mitjana"/>
    <m/>
    <x v="68"/>
    <m/>
    <m/>
    <s v="Sí/No"/>
    <m/>
    <s v="Sí"/>
    <m/>
    <n v="0"/>
    <s v="Àrea tècnica"/>
    <s v="Tècnic/a"/>
    <s v="Contractació externa"/>
    <s v="Fons propis"/>
    <m/>
    <m/>
    <m/>
    <s v="X"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2"/>
    <s v="Conèixer i estudiar els processos naturals propis de l’espai, la seva funcionalitat, i ecologia en referència als ecosistemes"/>
    <s v="Comú"/>
    <s v="Obligatori"/>
    <s v="Conèixer i estudiar els processos naturals propis de l’espai, la seva funcionalitat, i ecologia en referència als ecosistemes."/>
    <m/>
    <s v="Si"/>
    <s v="Mitjana"/>
    <m/>
    <x v="69"/>
    <m/>
    <m/>
    <s v="Sí/No"/>
    <m/>
    <s v="Sí"/>
    <m/>
    <n v="0"/>
    <s v="Àrea coordinació"/>
    <s v="Tècnic coordinador"/>
    <s v="Contractació externa"/>
    <s v="Fons propis"/>
    <m/>
    <s v="X"/>
    <m/>
    <m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2"/>
    <s v="Conèixer i estudiar els processos naturals propis de l’espai, la seva funcionalitat, i ecologia en referència als ecosistemes"/>
    <s v="Comú"/>
    <s v="Obligatori"/>
    <s v="Conèixer i estudiar els processos naturals propis de l’espai, la seva funcionalitat, i ecologia en referència als ecosistemes."/>
    <m/>
    <s v="Si"/>
    <m/>
    <m/>
    <x v="70"/>
    <m/>
    <m/>
    <s v="Nombre de masses d'aigua on s'aplica el protocol"/>
    <n v="2"/>
    <n v="5"/>
    <m/>
    <n v="0"/>
    <s v="Àrea coordinació"/>
    <s v="Tècnic coordinador"/>
    <s v="Contractació externa"/>
    <s v="Fons propis"/>
    <m/>
    <m/>
    <s v="X"/>
    <s v="X"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3"/>
    <s v="Conèixer els usos i factors de canvi rellevants en l'evolució dels elements de conservació, i avaluar els efectes que generen en l’espai (pressions i amenaces)"/>
    <s v="Comú"/>
    <s v="Obligatori"/>
    <s v="Conèixer els usos i factors de canvi rellevants en l'evolució dels elements de conservació, i avaluar els efectes que generen en l’espai (pressions i amenaces)."/>
    <m/>
    <s v="Si"/>
    <s v="Alta"/>
    <m/>
    <x v="71"/>
    <s v="ESNATURA"/>
    <s v="SENP/UIC: Elaborar la classificació i cartografia de les pressions o factors de canvi sobre el medi natural "/>
    <s v="Sí/No"/>
    <m/>
    <s v="Sí"/>
    <m/>
    <n v="0"/>
    <s v="Àrea tècnica"/>
    <s v="Tècnic/a"/>
    <s v="Contractació externa"/>
    <s v="Fons propis"/>
    <m/>
    <s v="X"/>
    <m/>
    <m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4"/>
    <s v="Conèixer l'impacte de les gestió de l'aigua, sobre la biodiversitat."/>
    <s v="Comú"/>
    <s v="Optatiu"/>
    <s v="Conèixer l'impacte de les gestió de l'aigua, sobre la biodiversitat."/>
    <m/>
    <s v="Si"/>
    <s v="Mitjana"/>
    <m/>
    <x v="72"/>
    <m/>
    <m/>
    <s v="Sí/No"/>
    <m/>
    <s v="Sí"/>
    <m/>
    <n v="0"/>
    <s v="Àrea tècnica"/>
    <s v="Tècnic/a"/>
    <s v="Contractació externa"/>
    <s v="Fons propis"/>
    <m/>
    <m/>
    <s v="X"/>
    <m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5"/>
    <s v="Participar en el coneixement de la tendència d'espècies plaga amb afectacions sobre ecosistemes o activitats econòmiques dins l'ENP"/>
    <s v="Comú"/>
    <s v="Optatiu"/>
    <s v="Participar en el coneixement de la tendència d'espècies plaga amb afectacions sobre ecosistemes o activitats econòmiques dins l'ENP."/>
    <m/>
    <s v="Si"/>
    <m/>
    <m/>
    <x v="73"/>
    <m/>
    <m/>
    <s v="Sí/No"/>
    <m/>
    <s v="Sí"/>
    <m/>
    <n v="0"/>
    <s v="Àrea tècnica"/>
    <s v="Tècnic/a"/>
    <s v="Mitjans propis"/>
    <s v="Altres aportacions"/>
    <s v="X"/>
    <m/>
    <s v="X"/>
    <m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6"/>
    <s v="Conèixer la tendència d'espècies exòtiques invasores amb afectacions sobre ecosistemes o activitats econòmiques dins l'ENP"/>
    <s v="Comú"/>
    <s v="Obligatori"/>
    <s v="Conèixer la tendència d'espècies exòtiques invasores amb afectacions sobre ecosistemes o activitats econòmiques dins l'ENP."/>
    <m/>
    <s v="Si"/>
    <s v="Alta"/>
    <m/>
    <x v="74"/>
    <s v="ESNATURA"/>
    <m/>
    <s v="Nombre de reunions"/>
    <n v="2"/>
    <n v="4"/>
    <m/>
    <n v="0"/>
    <s v="Àrea coordinació"/>
    <s v="Tècnic coordinador"/>
    <s v="Mitjans propis"/>
    <s v="Fons propis"/>
    <s v="X"/>
    <s v="X"/>
    <s v="X"/>
    <s v="X"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6"/>
    <s v="Conèixer la tendència d'espècies exòtiques invasores amb afectacions sobre ecosistemes o activitats econòmiques dins l'ENP"/>
    <s v="Comú"/>
    <s v="Obligatori"/>
    <s v="Conèixer la tendència d'espècies exòtiques invasores amb afectacions sobre ecosistemes o activitats econòmiques dins l'ENP"/>
    <m/>
    <s v="Si"/>
    <s v="Alta"/>
    <m/>
    <x v="75"/>
    <s v="ESNATURA"/>
    <m/>
    <s v="Sí/No"/>
    <m/>
    <s v="Sí"/>
    <m/>
    <n v="0"/>
    <s v="Àrea coordinació"/>
    <s v="Tècnic coordinador"/>
    <s v="Mitjans propis"/>
    <s v="Fons propis"/>
    <s v="X"/>
    <m/>
    <s v="X"/>
    <m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6"/>
    <s v="Conèixer la tendència d'espècies exòtiques invasores amb afectacions sobre ecosistemes o activitats econòmiques dins l'ENP"/>
    <s v="Comú"/>
    <s v="Obligatori"/>
    <s v="Conèixer la tendència d'espècies exòtiques invasores amb afectacions sobre ecosistemes o activitats econòmiques dins l'ENP."/>
    <m/>
    <s v="Si"/>
    <s v="Alta"/>
    <m/>
    <x v="76"/>
    <s v="ESNATURA"/>
    <m/>
    <s v="Sí/No"/>
    <m/>
    <s v="Sí"/>
    <m/>
    <n v="0"/>
    <s v="Àrea coordinació"/>
    <s v="Tècnic coordinador"/>
    <s v="Mitjans propis"/>
    <s v="Fons propis"/>
    <m/>
    <s v="X"/>
    <m/>
    <s v="X"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6"/>
    <s v="Conèixer la tendència d'espècies exòtiques invasores amb afectacions sobre ecosistemes o activitats econòmiques dins l'ENP"/>
    <s v="Comú"/>
    <s v="Obligatori"/>
    <s v="Conèixer la tendència d'espècies exòtiques invasores amb afectacions sobre ecosistemes o activitats econòmiques dins l'ENP."/>
    <m/>
    <s v="Si"/>
    <s v="Alta"/>
    <m/>
    <x v="77"/>
    <s v="ESNATURA"/>
    <m/>
    <s v="Sí/No"/>
    <m/>
    <s v="Sí"/>
    <m/>
    <n v="0"/>
    <s v="Àrea coordinació"/>
    <s v="Tècnic coordinador"/>
    <s v="Mitjans propis"/>
    <s v="Fons propis"/>
    <m/>
    <s v="X"/>
    <m/>
    <s v="X"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6"/>
    <s v="Conèixer la tendència d'espècies exòtiques invasores amb afectacions sobre ecosistemes o activitats econòmiques dins l'ENP"/>
    <s v="Comú"/>
    <s v="Obligatori"/>
    <s v="Conèixer la tendència d'espècies exòtiques invasores amb afectacions sobre ecosistemes o activitats econòmiques dins l'ENP."/>
    <m/>
    <s v="Si"/>
    <s v="Alta"/>
    <m/>
    <x v="78"/>
    <s v="ESNATURA"/>
    <m/>
    <s v="Sí/No"/>
    <m/>
    <s v="Sí"/>
    <m/>
    <n v="0"/>
    <s v="Àrea coordinació"/>
    <s v="Tècnic coordinador"/>
    <s v="Mitjans propis"/>
    <s v="Fons propis"/>
    <s v="X"/>
    <m/>
    <m/>
    <s v="X"/>
  </r>
  <r>
    <x v="2"/>
    <s v="OG 06"/>
    <s v="MILLORAR EL CONEIXEMENT DE L'ENTORN, del patrimoni natural, cultural i social."/>
    <s v="06.2"/>
    <s v="Conèixer l'estat de conservació i la seva tendència dels hàbitats, les espècies els elements de la gea i els processos ecològics com a eina per avaluar i optimitzar la gestió"/>
    <s v="06.2.7"/>
    <s v="Conèixer com millorar la connectivitat de forma coordinada amb altres ENP"/>
    <s v="Comú"/>
    <s v="Optatiu"/>
    <s v="Conèixer com millorar la connectivitat de forma coordinada amb altres ENP."/>
    <s v="No s'aplica en aquest període"/>
    <m/>
    <s v="Alta"/>
    <m/>
    <x v="23"/>
    <s v="ESNATURA"/>
    <m/>
    <m/>
    <m/>
    <m/>
    <m/>
    <n v="0"/>
    <m/>
    <m/>
    <m/>
    <m/>
    <m/>
    <m/>
    <m/>
    <m/>
  </r>
  <r>
    <x v="2"/>
    <s v="OG 06"/>
    <s v="MILLORAR EL CONEIXEMENT DE L'ENTORN, del patrimoni natural, cultural i social."/>
    <s v="06.3"/>
    <s v="Estandarditzar els seguiments periòdics dels grups clau "/>
    <s v="06.3.1"/>
    <s v="Participar en la definició del sistema estàndard de seguiment de flora, fauna i hàbitats de la DG"/>
    <s v="Comú"/>
    <s v="Obligatori"/>
    <s v="Participar en la definició del sistema estàndard de seguiment de flora, fauna i hàbitats de la DG."/>
    <m/>
    <s v="No"/>
    <s v="Alta"/>
    <m/>
    <x v="79"/>
    <s v="ESNATURA"/>
    <s v="UIC/SFF/SENP: Crear espais de participació_x000a_UIC/SFF: Definir el sistema estàndard de seguiment i el protocol d'aplicació"/>
    <s v="Nombre de reunions"/>
    <n v="1"/>
    <n v="2"/>
    <m/>
    <n v="0"/>
    <s v="Àrea coordinació"/>
    <s v="Tècnic coordinador"/>
    <s v="Mitjans propis"/>
    <s v="Fons propis"/>
    <s v="X"/>
    <m/>
    <s v="X"/>
    <m/>
  </r>
  <r>
    <x v="2"/>
    <s v="OG 06"/>
    <s v="MILLORAR EL CONEIXEMENT DE L'ENTORN, del patrimoni natural, cultural i social."/>
    <s v="06.3"/>
    <s v="Estandarditzar els seguiments periòdics dels grups clau "/>
    <s v="06.3.2"/>
    <s v="Adequar i executar el sistema de seguiment periòdic dels grups clau de l'ENP al sistema estàndard de seguiment"/>
    <s v="Comú"/>
    <s v="Obligatori"/>
    <s v="Adequar i executar el sistema de seguiment periòdic dels grups clau de l'ENP al sistema estàndard de seguiment."/>
    <m/>
    <s v="Si"/>
    <s v="Alta"/>
    <m/>
    <x v="80"/>
    <s v="ESNATURA"/>
    <s v="UIC/SFF: Definir el sistema estàndard de seguiment i el protocol d'aplicació_x000a_UIC: Elaborar el protocol d'informació i coneixement"/>
    <s v="Sí/No"/>
    <m/>
    <s v="Sí"/>
    <m/>
    <n v="0"/>
    <s v="Àrea tècnica"/>
    <s v="Tècnic/a"/>
    <s v="Mitjans propis"/>
    <s v="Fons propis"/>
    <s v="X"/>
    <s v="X"/>
    <s v="X"/>
    <s v="X"/>
  </r>
  <r>
    <x v="2"/>
    <s v="OG 06"/>
    <s v="MILLORAR EL CONEIXEMENT DE L'ENTORN, del patrimoni natural, cultural i social."/>
    <s v="06.3"/>
    <s v="Estandarditzar els seguiments periòdics dels grups clau "/>
    <s v="06.3.2"/>
    <s v="Adequar i executar el sistema de seguiment periòdic dels grups clau de l'ENP al sistema estàndard de seguiment"/>
    <s v="Comú"/>
    <s v="Obligatori"/>
    <s v="Adequar i executar el sistema de seguiment periòdic dels grups clau de l'ENP al sistema estàndard de seguiment."/>
    <m/>
    <s v="Si"/>
    <s v="Alta"/>
    <m/>
    <x v="81"/>
    <m/>
    <m/>
    <s v="Sí/No"/>
    <m/>
    <s v="Sí"/>
    <m/>
    <n v="0"/>
    <s v="Àrea tècnica"/>
    <s v="Tècnic/a"/>
    <s v="Mitjans propis"/>
    <s v="Fons propis"/>
    <s v="X"/>
    <s v="X"/>
    <s v="X"/>
    <s v="X"/>
  </r>
  <r>
    <x v="2"/>
    <s v="OG 06"/>
    <s v="MILLORAR EL CONEIXEMENT DE L'ENTORN, del patrimoni natural, cultural i social."/>
    <s v="06.3"/>
    <s v="Estandarditzar els seguiments periòdics dels grups clau "/>
    <s v="06.3.2"/>
    <s v="Adequar i executar el sistema de seguiment periòdic dels grups clau de l'ENP al sistema estàndard de seguiment"/>
    <s v="Comú"/>
    <s v="Obligatori"/>
    <s v="Adequar i executar el sistema de seguiment periòdic dels grups clau de l'ENP al sistema estàndard de seguiment."/>
    <m/>
    <s v="Si"/>
    <s v="Alta"/>
    <m/>
    <x v="82"/>
    <m/>
    <m/>
    <s v="Sí/No"/>
    <m/>
    <s v="Sí"/>
    <m/>
    <n v="0"/>
    <s v="Àrea tècnica"/>
    <s v="Tècnic/a"/>
    <s v="Mitjans propis"/>
    <s v="Fons propis"/>
    <m/>
    <s v="X"/>
    <m/>
    <s v="X"/>
  </r>
  <r>
    <x v="2"/>
    <s v="OG 06"/>
    <s v="MILLORAR EL CONEIXEMENT DE L'ENTORN, del patrimoni natural, cultural i social."/>
    <s v="06.3"/>
    <s v="Estandarditzar els seguiments periòdics dels grups clau "/>
    <s v="06.3.2"/>
    <s v="Adequar i executar el sistema de seguiment periòdic dels grups clau de l'ENP al sistema estàndard de seguiment"/>
    <s v="Comú"/>
    <s v="Obligatori"/>
    <s v="Adequar i executar el sistema de seguiment periòdic dels grups clau de l'ENP al sistema estàndard de seguiment."/>
    <m/>
    <s v="Si"/>
    <s v="Alta"/>
    <m/>
    <x v="83"/>
    <m/>
    <m/>
    <s v="Sí/No"/>
    <m/>
    <s v="Sí"/>
    <m/>
    <n v="0"/>
    <s v="Àrea tècnica"/>
    <s v="Tècnic/a"/>
    <s v="Mitjans propis"/>
    <s v="Fons propis"/>
    <s v="X"/>
    <m/>
    <s v="X"/>
    <m/>
  </r>
  <r>
    <x v="2"/>
    <s v="OG 06"/>
    <s v="MILLORAR EL CONEIXEMENT DE L'ENTORN, del patrimoni natural, cultural i social."/>
    <s v="06.3"/>
    <s v="Estandarditzar els seguiments periòdics dels grups clau "/>
    <s v="06.3.2"/>
    <s v="Adequar i executar el sistema de seguiment periòdic dels grups clau de l'ENP al sistema estàndard de seguiment"/>
    <s v="Comú"/>
    <s v="Obligatori"/>
    <s v="Adequar i executar el sistema de seguiment periòdic dels grups clau de l'ENP al sistema estàndard de seguiment."/>
    <m/>
    <s v="Si"/>
    <s v="Alta"/>
    <m/>
    <x v="84"/>
    <m/>
    <m/>
    <s v="Sí/No"/>
    <m/>
    <s v="Sí"/>
    <m/>
    <n v="0"/>
    <s v="Àrea tècnica"/>
    <s v="Tècnic/a"/>
    <s v="Mitjans propis"/>
    <s v="Fons propis"/>
    <s v="X"/>
    <m/>
    <s v="X"/>
    <m/>
  </r>
  <r>
    <x v="2"/>
    <s v="OG 06"/>
    <s v="MILLORAR EL CONEIXEMENT DE L'ENTORN, del patrimoni natural, cultural i social."/>
    <s v="06.3"/>
    <s v="Estandarditzar els seguiments periòdics dels grups clau "/>
    <s v="06.3.3"/>
    <s v="Mantenir una base de dades de seguiment de patrimoni natural de l'ENP actualitzada i ordenada "/>
    <s v="Comú"/>
    <s v="Obligatori"/>
    <s v="Mantenir una base de dades de seguiment de patrimoni natural de l'ENP actualitzada i ordenada."/>
    <m/>
    <s v="Si"/>
    <s v="Mitjana"/>
    <m/>
    <x v="85"/>
    <m/>
    <m/>
    <s v="Sí/No"/>
    <m/>
    <s v="Sí"/>
    <m/>
    <n v="0"/>
    <s v="Àrea tècnica"/>
    <s v="Tècnic/a"/>
    <s v="Mitjans propis"/>
    <s v="Fons propis"/>
    <s v="X"/>
    <s v="X"/>
    <s v="X"/>
    <s v="X"/>
  </r>
  <r>
    <x v="2"/>
    <s v="OG 06"/>
    <s v="MILLORAR EL CONEIXEMENT DE L'ENTORN, del patrimoni natural, cultural i social."/>
    <s v="06.3"/>
    <s v="Estandarditzar els seguiments periòdics dels grups clau "/>
    <s v="06.3.3"/>
    <s v="Mantenir una base de dades de seguiment de patrimoni natural de l'ENP actualitzada i ordenada "/>
    <s v="Comú"/>
    <s v="Obligatori"/>
    <s v="Mantenir una base de dades de seguiment de patrimoni natural de l'ENP actualitzada i ordenada."/>
    <m/>
    <s v="Si"/>
    <s v="Mitjana"/>
    <m/>
    <x v="86"/>
    <m/>
    <m/>
    <s v="Sí/No"/>
    <m/>
    <s v="Sí"/>
    <m/>
    <n v="0"/>
    <s v="Àrea tècnica"/>
    <s v="Tècnic/a"/>
    <s v="Contractació externa"/>
    <s v="Fons propis"/>
    <m/>
    <s v="X"/>
    <m/>
    <m/>
  </r>
  <r>
    <x v="2"/>
    <s v="OG 06"/>
    <s v="MILLORAR EL CONEIXEMENT DE L'ENTORN, del patrimoni natural, cultural i social."/>
    <s v="06.3"/>
    <s v="Estandarditzar els seguiments periòdics dels grups clau "/>
    <s v="06.3.4"/>
    <s v="Participar en el grups de treball per a la definició i organització del SINATCAT"/>
    <s v="Comú"/>
    <s v="Obligatori"/>
    <s v="Participar en el grups de treball per a la definició i organització del SINATCAT."/>
    <m/>
    <s v="Si"/>
    <s v="Mitjana"/>
    <m/>
    <x v="87"/>
    <m/>
    <s v="UIC/SENP: Crear i coordinar una metodologia participativa per a la definició del SINATCAT"/>
    <s v="Nombre de reunions"/>
    <n v="1"/>
    <n v="4"/>
    <m/>
    <n v="0"/>
    <s v="Àrea coordinació"/>
    <s v="Tècnic coordinador"/>
    <s v="Mitjans propis"/>
    <s v="Fons propis"/>
    <s v="X"/>
    <s v="X"/>
    <s v="X"/>
    <s v="X"/>
  </r>
  <r>
    <x v="2"/>
    <s v="OG 06"/>
    <s v="MILLORAR EL CONEIXEMENT DE L'ENTORN, del patrimoni natural, cultural i social."/>
    <s v="06.4"/>
    <s v="Incrementar el coneixement de qualitat mitjançant l’establiment de marcs de col·laboració, assessorament i suport amb centres de recerca, museus i entitats naturalistes per al desenvolupament de part de la seva activitat en l’ENP"/>
    <s v="06.4.1"/>
    <s v="Crear sinèrgies i col·laborar amb museus i equipaments de referència per definir línies d'actuació conjunta entre patrimoni cultural i natural"/>
    <s v="Comú"/>
    <s v="Optatiu"/>
    <s v="Crear sinèrgies i col·laborar amb museus i equipaments de referència per definir línies d'actuació conjunta entre patrimoni cultural i natural."/>
    <s v="No s'aplica en aquest període"/>
    <m/>
    <s v="Mitjana"/>
    <m/>
    <x v="23"/>
    <m/>
    <s v="SENP: Elaborar un mapa d'agents de referència"/>
    <m/>
    <m/>
    <m/>
    <m/>
    <n v="0"/>
    <m/>
    <m/>
    <m/>
    <m/>
    <m/>
    <m/>
    <m/>
    <m/>
  </r>
  <r>
    <x v="2"/>
    <s v="OG 06"/>
    <s v="MILLORAR EL CONEIXEMENT DE L'ENTORN, del patrimoni natural, cultural i social."/>
    <s v="06.4"/>
    <s v="Incrementar el coneixement de qualitat mitjançant l’establiment de marcs de col·laboració, assessorament i suport amb centres de recerca, museus i entitats naturalistes per al desenvolupament de part de la seva activitat en l’ENP"/>
    <s v="06.4.2"/>
    <s v="Establir acords amb les institucions de recerca i naturalistes per al desenvolupament d'estudis i inventaris dins l'ENP en el marc de les seves línies de recerca"/>
    <s v="Comú"/>
    <s v="Optatiu"/>
    <s v="Establir acords amb les institucions de recerca i naturalistes per al desenvolupament d'estudis i inventaris dins l'ENP en el marc de les seves línies de recerca."/>
    <m/>
    <s v="Si"/>
    <s v="Mitjana"/>
    <m/>
    <x v="88"/>
    <m/>
    <s v="SENP: Elaborar un mapa d'agents de referència"/>
    <s v="Acords"/>
    <n v="1"/>
    <n v="4"/>
    <m/>
    <n v="0"/>
    <s v="Àrea coordinació"/>
    <s v="Tècnic coordinador"/>
    <s v="Mitjans propis"/>
    <s v="Fons propis"/>
    <s v="X"/>
    <s v="X"/>
    <s v="X"/>
    <s v="X"/>
  </r>
  <r>
    <x v="2"/>
    <s v="OG 06"/>
    <s v="MILLORAR EL CONEIXEMENT DE L'ENTORN, del patrimoni natural, cultural i social."/>
    <s v="06.4"/>
    <s v="Incrementar el coneixement de qualitat mitjançant l’establiment de marcs de col·laboració, assessorament i suport amb centres de recerca, museus i entitats naturalistes per al desenvolupament de part de la seva activitat en l’ENP"/>
    <s v="06.4.3"/>
    <s v="Potenciar la ciència ciutadana en l’ENP com a eina per generar coneixement "/>
    <s v="Comú"/>
    <s v="Optatiu"/>
    <s v="Potenciar la ciència ciutadana en l’ENP com a eina per generar coneixement."/>
    <s v="No s'aplica en aquest període"/>
    <m/>
    <s v="Mitjana"/>
    <m/>
    <x v="23"/>
    <m/>
    <m/>
    <m/>
    <m/>
    <m/>
    <m/>
    <n v="0"/>
    <m/>
    <m/>
    <m/>
    <m/>
    <m/>
    <m/>
    <m/>
    <m/>
  </r>
  <r>
    <x v="2"/>
    <s v="OG 06"/>
    <s v="MILLORAR EL CONEIXEMENT DE L'ENTORN, del patrimoni natural, cultural i social."/>
    <s v="06.4"/>
    <s v="Incrementar el coneixement de qualitat mitjançant l’establiment de marcs de col·laboració, assessorament i suport amb centres de recerca, museus i entitats naturalistes per al desenvolupament de part de la seva activitat en l’ENP"/>
    <s v="06.4.4"/>
    <s v="Crear i desenvolupar jornades de recerca de l'ENP de forma anual on els diferents centres mostrin els estudis realitzats en l'ENP "/>
    <s v="Comú"/>
    <s v="Optatiu"/>
    <s v="Crear i desenvolupar jornades de recerca de l'ENP de forma anual on els diferents centres mostrin els estudis realitzats en l'ENP."/>
    <m/>
    <s v="Si"/>
    <s v="Mitjana"/>
    <m/>
    <x v="89"/>
    <m/>
    <s v="SENP: Suport en l'organització de les jornades"/>
    <s v="Sí/No"/>
    <m/>
    <s v="Sí"/>
    <m/>
    <n v="0"/>
    <s v="Àrea coordinació"/>
    <s v="Tècnic coordinador"/>
    <s v="Mitjans propis"/>
    <s v="Fons propis"/>
    <m/>
    <m/>
    <m/>
    <s v="X"/>
  </r>
  <r>
    <x v="2"/>
    <s v="OG 06"/>
    <s v="MILLORAR EL CONEIXEMENT DE L'ENTORN, del patrimoni natural, cultural i social."/>
    <s v="06.4"/>
    <s v="Incrementar el coneixement de qualitat mitjançant l’establiment de marcs de col·laboració, assessorament i suport amb centres de recerca, museus i entitats naturalistes per al desenvolupament de part de la seva activitat en l’ENP"/>
    <s v="06.4.5"/>
    <s v="Posar a disposició de la recerca, equipaments i serveis de l'ENP"/>
    <s v="Comú"/>
    <s v="Optatiu"/>
    <s v="Posar a disposició de la recerca, equipaments i serveis de l'ENP."/>
    <m/>
    <s v="Si"/>
    <s v="Mitjana"/>
    <m/>
    <x v="90"/>
    <s v="ESNATURA"/>
    <m/>
    <s v="Acords"/>
    <n v="1"/>
    <n v="2"/>
    <m/>
    <n v="0"/>
    <s v="Àrea coordinació"/>
    <s v="Tècnic coordinador"/>
    <s v="Mitjans propis"/>
    <s v="Fons propis"/>
    <m/>
    <s v="X"/>
    <s v="X"/>
    <s v="X"/>
  </r>
  <r>
    <x v="2"/>
    <s v="OG 06"/>
    <s v="MILLORAR EL CONEIXEMENT DE L'ENTORN, del patrimoni natural, cultural i social."/>
    <s v="06.4"/>
    <s v="Incrementar el coneixement de qualitat mitjançant l’establiment de marcs de col·laboració, assessorament i suport amb centres de recerca, museus i entitats naturalistes per al desenvolupament de part de la seva activitat en l’ENP"/>
    <s v="06.4.6"/>
    <s v="Crear l'Observatori de recerca de l'ENP vinculat a l'Observatori del Patrimoni natural i la biodiversitat "/>
    <s v="Comú"/>
    <s v="Optatiu"/>
    <s v="Crear l'Observatori de recerca de l'ENP vinculat a l'Observatori del Patrimoni natural i la biodiversitat."/>
    <s v="No s'aplica en aquest període"/>
    <m/>
    <s v="Mitjana"/>
    <m/>
    <x v="23"/>
    <m/>
    <s v="UIC: Suport en la creació de l'Observatori de recerca"/>
    <m/>
    <m/>
    <m/>
    <m/>
    <n v="0"/>
    <m/>
    <m/>
    <m/>
    <m/>
    <m/>
    <m/>
    <m/>
    <m/>
  </r>
  <r>
    <x v="2"/>
    <s v="OG 06"/>
    <s v="MILLORAR EL CONEIXEMENT DE L'ENTORN, del patrimoni natural, cultural i social."/>
    <s v="06.5"/>
    <s v="Millorar el coneixement global de les dinàmiques d'usos antròpics de l’ENP"/>
    <s v="06.5.1"/>
    <s v="Participar en la definició del sistema estàndard de seguiment de l'ús públic amb el SENP"/>
    <s v="Comú"/>
    <s v="Obligatori"/>
    <s v="Participar en la definició del sistema estàndard de seguiment de l'ús públic amb el SENP"/>
    <m/>
    <s v="No"/>
    <s v="Mitjana"/>
    <m/>
    <x v="91"/>
    <m/>
    <s v="SENP: Crear espais de participació. Definició del sistema estàndard de seguiment de l'ús públic"/>
    <s v="Nombre de reunions"/>
    <n v="1"/>
    <n v="4"/>
    <m/>
    <n v="0"/>
    <s v="Àrea coordinació"/>
    <s v="Tècnic coordinador"/>
    <s v="Mitjans propis"/>
    <s v="Fons propis"/>
    <s v="X"/>
    <s v="X"/>
    <s v="X"/>
    <s v="X"/>
  </r>
  <r>
    <x v="2"/>
    <s v="OG 06"/>
    <s v="MILLORAR EL CONEIXEMENT DE L'ENTORN, del patrimoni natural, cultural i social."/>
    <s v="06.5"/>
    <s v="Millorar el coneixement global de les dinàmiques d'usos antròpics de l’ENP"/>
    <s v="06.5.2"/>
    <s v="Disposar de dades de freqüentació i perfil d'usuari en l'ENP i en especial en equipaments i en zones d'alta freqüentació segons el model de DG "/>
    <s v="Comú"/>
    <s v="Obligatori"/>
    <s v="Disposar de dades de freqüentació i perfil d'usuari en l'ENP i en especial en equipaments i en zones d'alta freqüentació."/>
    <s v="Adaptació del text a l'ENP"/>
    <s v="Si"/>
    <s v="Màxima"/>
    <m/>
    <x v="92"/>
    <m/>
    <s v="SENP: Disseny i elaboració del sistema estandarditzat de presa de dades i seguiment de la freqüentació en ENP"/>
    <s v="Sí/No"/>
    <m/>
    <s v="Sí"/>
    <m/>
    <n v="0"/>
    <s v="Àrea tècnica"/>
    <s v="Tècnic/a"/>
    <s v="Mitjans propis"/>
    <s v="Fons propis"/>
    <m/>
    <m/>
    <s v="X"/>
    <m/>
  </r>
  <r>
    <x v="2"/>
    <s v="OG 06"/>
    <s v="MILLORAR EL CONEIXEMENT DE L'ENTORN, del patrimoni natural, cultural i social."/>
    <s v="06.5"/>
    <s v="Millorar el coneixement global de les dinàmiques d'usos antròpics de l’ENP"/>
    <s v="06.5.3"/>
    <s v="Identificar les activitats i actors de l’espai."/>
    <s v="Comú"/>
    <s v="Obligatori"/>
    <s v="Identificar les activitats i actors de l’espai."/>
    <m/>
    <s v="Si"/>
    <s v="Mitjana"/>
    <m/>
    <x v="93"/>
    <m/>
    <m/>
    <s v="Sí/No"/>
    <m/>
    <s v="Sí"/>
    <m/>
    <n v="0"/>
    <s v="Àrea tècnica"/>
    <s v="Tècnic/a"/>
    <s v="Mitjans propis"/>
    <s v="Fons propis"/>
    <m/>
    <m/>
    <s v="X"/>
    <m/>
  </r>
  <r>
    <x v="2"/>
    <s v="OG 06"/>
    <s v="MILLORAR EL CONEIXEMENT DE L'ENTORN, del patrimoni natural, cultural i social."/>
    <s v="06.5"/>
    <s v="Millorar el coneixement global de les dinàmiques d'usos antròpics de l’ENP"/>
    <s v="06.5.4"/>
    <s v="Identificar en cartografia les males praxis i punts de massificació"/>
    <m/>
    <m/>
    <s v="Identificar en cartografia les males praxis i punts de massificació."/>
    <m/>
    <s v="Si"/>
    <s v="Mitjana"/>
    <m/>
    <x v="94"/>
    <m/>
    <m/>
    <s v="Sí/No"/>
    <m/>
    <s v="Sí"/>
    <m/>
    <n v="0"/>
    <s v="Àrea tècnica"/>
    <s v="Tècnic/a"/>
    <s v="Contractació externa"/>
    <s v="Fons propis"/>
    <s v="X"/>
    <m/>
    <m/>
    <m/>
  </r>
  <r>
    <x v="2"/>
    <s v="OG 06"/>
    <s v="MILLORAR EL CONEIXEMENT DE L'ENTORN, del patrimoni natural, cultural i social."/>
    <s v="06.5"/>
    <s v="Millorar el coneixement global de les dinàmiques d'usos antròpics de l’ENP"/>
    <s v="06.5.5"/>
    <s v="Adaptar i mantenir un registre d'activitats, actors i incidències en ús públic (curses, conflictes, queixes, etc)"/>
    <s v="Comú"/>
    <s v="Obligatori"/>
    <s v="Adaptar i mantenir un registre d'activitats, actors i incidències en ús públic (curses, conflictes, queixes, etc.)."/>
    <m/>
    <s v="Si"/>
    <s v="Mitjana"/>
    <m/>
    <x v="95"/>
    <m/>
    <s v="UIC: Disseny d'un model de registre d'activitats, actors i incidències en ús públic"/>
    <s v="Sí/No"/>
    <m/>
    <s v="Sí"/>
    <m/>
    <n v="0"/>
    <s v="Àrea tècnica"/>
    <s v="Tècnic/a"/>
    <s v="Contractació externa"/>
    <s v="Fons propis"/>
    <m/>
    <s v="X"/>
    <m/>
    <m/>
  </r>
  <r>
    <x v="2"/>
    <s v="OG 06"/>
    <s v="MILLORAR EL CONEIXEMENT DE L'ENTORN, del patrimoni natural, cultural i social."/>
    <s v="06.5"/>
    <s v="Millorar el coneixement global de les dinàmiques d'usos antròpics de l’ENP"/>
    <s v="06.5.6"/>
    <s v="Identificar els impactes (positius i negatius) que generen les activitats d'ús públic dins l'ENP"/>
    <s v="Comú"/>
    <s v="Obligatori"/>
    <s v="Identificar els impactes (positius i negatius) que generen les activitats d'ús públic dins l'ENP."/>
    <m/>
    <s v="Si"/>
    <s v="Alta"/>
    <m/>
    <x v="96"/>
    <s v="ESNATURA"/>
    <m/>
    <s v="Sí/No"/>
    <m/>
    <s v="Sí"/>
    <m/>
    <n v="0"/>
    <s v="Àrea tècnica"/>
    <s v="Tècnic/a"/>
    <s v="Contractació externa"/>
    <s v="Fons propis"/>
    <m/>
    <m/>
    <s v="X"/>
    <m/>
  </r>
  <r>
    <x v="3"/>
    <s v="OG 07"/>
    <s v="FIXAR LA POBLACIÓ AL TERRITORI d'acord amb les oportunitats que generen els objectius de l'espai."/>
    <s v="07.1"/>
    <s v="Fomentar i donar suport tècnic als Plans de desenvolupament socioeconòmic local sostenible dels municipis "/>
    <s v="07.1.1"/>
    <s v="Promoure i col·laborar en l'aplicació de Plans de Desenvolupament Local Sostenible "/>
    <s v="Comú"/>
    <s v="Obligatori "/>
    <s v="Promoure i col·laborar en l'aplicació de Plans de Desenvolupament Local Sostenible."/>
    <m/>
    <s v="No"/>
    <s v="Mitjana"/>
    <m/>
    <x v="97"/>
    <m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3"/>
    <s v="OG 08"/>
    <s v="APROFITAR ELS RECURSOS NATURALS DE FORMA SOSTENIBLE mitjançant desenvolupament dels aprofitaments tradicionals de forma compatible amb la conservació de l'espai "/>
    <s v="08.1"/>
    <s v="Impulsar models productius agraris i forestals per tal d'afavorir la conservació dels hàbitats i els paisatges modelats per aquestes, i contribuir a la millora socioeconòmica de les persones que la fan possible"/>
    <s v="08.1.1"/>
    <s v="Acompanyar i assessorar els productors agraris per millorar les tècniques productives agràries i afavorir la conservació dels hàbitats i paisatges "/>
    <s v="Comú"/>
    <s v="Obligatori "/>
    <s v="Acompanyar i assessorar els productors agraris per millorar les tècniques productives agràries i afavorir la conservació dels hàbitats i paisatges."/>
    <m/>
    <s v="Si"/>
    <s v="Mitjana"/>
    <m/>
    <x v="98"/>
    <m/>
    <m/>
    <s v="Sí/No"/>
    <m/>
    <s v="Sí"/>
    <m/>
    <n v="0"/>
    <s v="Àrea tècnica"/>
    <s v="Tècnic/a"/>
    <s v="Contractació externa"/>
    <s v="Fons propis"/>
    <m/>
    <m/>
    <s v="X"/>
    <m/>
  </r>
  <r>
    <x v="3"/>
    <s v="OG 08"/>
    <s v="APROFITAR ELS RECURSOS NATURALS DE FORMA SOSTENIBLE mitjançant desenvolupament dels aprofitaments tradicionals de forma compatible amb la conservació de l'espai "/>
    <s v="08.1"/>
    <s v="Impulsar models productius agraris i forestals per tal d'afavorir la conservació dels hàbitats i els paisatges modelats per aquestes, i contribuir a la millora socioeconòmica de les persones que la fan possible"/>
    <s v="08.1.2"/>
    <s v="Oferir formació als productors agraris per millorar el seu coneixement sobre tècniques eficients i respectuoses amb la conservació del patrimoni natural i cultural "/>
    <s v="Comú"/>
    <s v="Obligatori "/>
    <s v="Oferir formació als productors agraris per millorar el seu coneixement sobre tècniques eficients i respectuoses amb la conservació del patrimoni natural i cultural."/>
    <m/>
    <s v="Si"/>
    <s v="Mitjana"/>
    <m/>
    <x v="99"/>
    <m/>
    <m/>
    <s v="Sí/No"/>
    <m/>
    <s v="Sí"/>
    <m/>
    <n v="0"/>
    <s v="Àrea tècnica"/>
    <s v="Tècnic/a"/>
    <s v="Contractació externa"/>
    <s v="Fons propis"/>
    <m/>
    <s v="X"/>
    <m/>
    <m/>
  </r>
  <r>
    <x v="3"/>
    <s v="OG 08"/>
    <s v="APROFITAR ELS RECURSOS NATURALS DE FORMA SOSTENIBLE mitjançant desenvolupament dels aprofitaments tradicionals de forma compatible amb la conservació de l'espai "/>
    <s v="08.1"/>
    <s v="Impulsar models productius agraris i forestals per tal d'afavorir la conservació dels hàbitats i els paisatges modelats per aquestes, i contribuir a la millora socioeconòmica de les persones que la fan possible"/>
    <s v="08.1.3"/>
    <s v="Promoure la recuperació i conservació de marges i punts d'aigua associats a la ramaderia i l'agricultura i d'interès per la biodiversitat"/>
    <s v="Específic"/>
    <s v="Optatiu"/>
    <s v="Promoure la recuperació i conservació de marges i punts d'aigua associats a la ramaderia i l'agricultura i d'interès per la biodiversitat."/>
    <m/>
    <s v="Si"/>
    <s v="Mitjana"/>
    <m/>
    <x v="100"/>
    <m/>
    <m/>
    <s v="Sí/No"/>
    <m/>
    <s v="Sí"/>
    <m/>
    <n v="0"/>
    <s v="Àrea tècnica"/>
    <s v="Tècnic/a"/>
    <s v="Contractació externa"/>
    <s v="Fons propis"/>
    <m/>
    <m/>
    <s v="X"/>
    <m/>
  </r>
  <r>
    <x v="3"/>
    <s v="OG 08"/>
    <s v="APROFITAR ELS RECURSOS NATURALS DE FORMA SOSTENIBLE mitjançant desenvolupament dels aprofitaments tradicionals de forma compatible amb la conservació de l'espai "/>
    <s v="08.2"/>
    <s v="Promoure la coordinació amb els agents socioeconòmics del territori pel foment del desenvolupament sostenible de l'espai (sector primari i secundari)"/>
    <s v="08.2.1"/>
    <s v="Establir una relació contínua amb agents socioeconòmics del territori, i si s'escau, crear una Taula de desenvolupament local"/>
    <m/>
    <m/>
    <s v="Establir una relació contínua amb agents socioeconòmics del territori, i si s'escau, crear una Taula de desenvolupament local."/>
    <m/>
    <s v="Si"/>
    <s v="Alta"/>
    <m/>
    <x v="101"/>
    <s v="ESNATURA"/>
    <m/>
    <s v="Sí/No"/>
    <m/>
    <s v="Sí"/>
    <m/>
    <n v="0"/>
    <s v="Àrea tècnica"/>
    <s v="Tècnic/a"/>
    <s v="Mitjans propis"/>
    <s v="Fons propis"/>
    <s v="X"/>
    <s v="X"/>
    <s v="X"/>
    <s v="X"/>
  </r>
  <r>
    <x v="3"/>
    <s v="OG 08"/>
    <s v="APROFITAR ELS RECURSOS NATURALS DE FORMA SOSTENIBLE mitjançant desenvolupament dels aprofitaments tradicionals de forma compatible amb la conservació de l'espai "/>
    <s v="08.2"/>
    <s v="Promoure la coordinació amb els agents socioeconòmics del territori pel foment del desenvolupament sostenible de l'espai (sector primari i secundari)"/>
    <s v="08.2.1"/>
    <s v="Establir una relació contínua amb agents socioeconòmics del territori, i si s'escau, crear una Taula de desenvolupament local"/>
    <m/>
    <m/>
    <s v="Establir una relació contínua amb agents socioeconòmics del territori, i si s'escau, crear una Taula de desenvolupament local."/>
    <m/>
    <s v="Si"/>
    <s v="Alta"/>
    <m/>
    <x v="102"/>
    <s v="ESNATURA"/>
    <m/>
    <s v="Nombre de reunions"/>
    <n v="2"/>
    <n v="3"/>
    <m/>
    <n v="0"/>
    <s v="Àrea coordinació"/>
    <s v="Tècnic coordinador"/>
    <s v="Mitjans propis"/>
    <s v="Fons propis"/>
    <s v="X"/>
    <s v="X"/>
    <s v="X"/>
    <s v="X"/>
  </r>
  <r>
    <x v="3"/>
    <s v="OG 08"/>
    <s v="APROFITAR ELS RECURSOS NATURALS DE FORMA SOSTENIBLE mitjançant desenvolupament dels aprofitaments tradicionals de forma compatible amb la conservació de l'espai "/>
    <s v="08.3"/>
    <s v="Millorar la valorització i comercialització dels productes generats a l'ENP que contribueixen al desenvolupament socioeconòmic i la conservació del patrimoni de l'ENP"/>
    <s v="08.3.1"/>
    <s v="Implantar un distintiu de qualitat i compatibilitat amb la conservació dels productes de la Xarxa d'ENP o criteris de qualitat propis de l'ENP"/>
    <s v="Comú"/>
    <s v="Optatiu"/>
    <s v="Implantar un distintiu de qualitat i compatibilitat amb la conservació dels productes de la Xarxa d'ENP o criteris de qualitat propis de l'ENP."/>
    <s v="No aplica a l'espai"/>
    <m/>
    <s v="Mitjana"/>
    <m/>
    <x v="23"/>
    <s v="ESNATURA"/>
    <s v="SENP: Crear una marca que identifiqui els productes agroalimentaris generats en els ENP"/>
    <m/>
    <m/>
    <m/>
    <m/>
    <n v="0"/>
    <m/>
    <m/>
    <m/>
    <m/>
    <m/>
    <m/>
    <m/>
    <m/>
  </r>
  <r>
    <x v="3"/>
    <s v="OG 08"/>
    <s v="APROFITAR ELS RECURSOS NATURALS DE FORMA SOSTENIBLE mitjançant desenvolupament dels aprofitaments tradicionals de forma compatible amb la conservació de l'espai "/>
    <s v="08.3"/>
    <s v="Millorar la valorització i comercialització dels productes generats a l'ENP que contribueixen al desenvolupament socioeconòmic i la conservació del patrimoni de l'ENP"/>
    <s v="08.3.2"/>
    <s v="Integrar els productes i activitats locals de qualitat en l'oferta d'activitats d'informació i turístiques de l'ENP"/>
    <s v="Comú"/>
    <s v="Obligatori"/>
    <s v="Integrar els productes i activitats locals de qualitat en l'oferta d'activitats d'informació i turístiques de l'ENP."/>
    <s v="No aplica a l'espai"/>
    <m/>
    <s v="Mitjana"/>
    <m/>
    <x v="23"/>
    <s v="ESNATURA_x000a_CETS"/>
    <m/>
    <m/>
    <m/>
    <m/>
    <m/>
    <n v="0"/>
    <m/>
    <m/>
    <m/>
    <m/>
    <m/>
    <m/>
    <m/>
    <m/>
  </r>
  <r>
    <x v="3"/>
    <s v="OG 08"/>
    <s v="APROFITAR ELS RECURSOS NATURALS DE FORMA SOSTENIBLE mitjançant desenvolupament dels aprofitaments tradicionals de forma compatible amb la conservació de l'espai "/>
    <s v="08.3"/>
    <s v="Millorar la valorització i comercialització dels productes generats a l'ENP que contribueixen al desenvolupament socioeconòmic i la conservació del patrimoni de l'ENP"/>
    <s v="08.3.3"/>
    <s v="Promoure fires d'artesania i productes locals de l'ENP"/>
    <s v="Comú"/>
    <s v="Optatiu"/>
    <s v="Promoure fires d'artesania i productes locals de l'ENP."/>
    <s v="No aplica a l'espai"/>
    <m/>
    <s v="Baixa"/>
    <m/>
    <x v="23"/>
    <m/>
    <m/>
    <m/>
    <m/>
    <m/>
    <m/>
    <n v="0"/>
    <m/>
    <m/>
    <m/>
    <m/>
    <m/>
    <m/>
    <m/>
    <m/>
  </r>
  <r>
    <x v="3"/>
    <s v="OG 08"/>
    <s v="APROFITAR ELS RECURSOS NATURALS DE FORMA SOSTENIBLE mitjançant desenvolupament dels aprofitaments tradicionals de forma compatible amb la conservació de l'espai "/>
    <s v="08.3"/>
    <s v="Millorar la valorització i comercialització dels productes generats a l'ENP que contribueixen al desenvolupament socioeconòmic i la conservació del patrimoni de l'ENP"/>
    <s v="08.3.4"/>
    <s v="Generar aliances entre el sector primari, el turisme, la restauració i altres per fomentar la gastronomia local "/>
    <s v="Comú"/>
    <s v="Optatiu"/>
    <s v="Generar aliances entre el sector primari, el turisme, la restauració i altres per fomentar la gastronomia local."/>
    <s v="No aplica a l'espai"/>
    <m/>
    <s v="Mitjana"/>
    <m/>
    <x v="23"/>
    <s v="ESNATURA_x000a_CETS"/>
    <m/>
    <m/>
    <m/>
    <m/>
    <m/>
    <n v="0"/>
    <m/>
    <m/>
    <m/>
    <m/>
    <m/>
    <m/>
    <m/>
    <m/>
  </r>
  <r>
    <x v="3"/>
    <s v="OG 08"/>
    <s v="APROFITAR ELS RECURSOS NATURALS DE FORMA SOSTENIBLE mitjançant desenvolupament dels aprofitaments tradicionals de forma compatible amb la conservació de l'espai "/>
    <s v="08.3"/>
    <s v="Millorar la valorització i comercialització dels productes generats a l'ENP que contribueixen al desenvolupament socioeconòmic i la conservació del patrimoni de l'ENP"/>
    <s v="08.3.5"/>
    <s v="Elaborar una diagnosi del teixit productiu local i un pla d’acció amb línies de treball i actuacions concretes per donar-li suport"/>
    <s v="Comú"/>
    <s v="Optatiu"/>
    <s v="Disposar d'una diagnosi del teixit productiu local i un pla d’acció amb línies de treball i actuacions concretes per donar-li suport."/>
    <s v="S'ajusta la redacció a l'objectiu"/>
    <s v="Si"/>
    <s v="Mitjana"/>
    <m/>
    <x v="103"/>
    <s v="ESNATURA"/>
    <m/>
    <s v="Sí/No"/>
    <m/>
    <s v="Sí"/>
    <m/>
    <n v="0"/>
    <s v="Àrea tècnica"/>
    <s v="Tècnic/a"/>
    <s v="Contractació externa"/>
    <s v="Fons propis"/>
    <m/>
    <m/>
    <s v="X"/>
    <m/>
  </r>
  <r>
    <x v="3"/>
    <s v="OG 08"/>
    <s v="APROFITAR ELS RECURSOS NATURALS DE FORMA SOSTENIBLE mitjançant desenvolupament dels aprofitaments tradicionals de forma compatible amb la conservació de l'espai "/>
    <s v="08.3"/>
    <s v="Millorar la valorització i comercialització dels productes generats a l'ENP que contribueixen al desenvolupament socioeconòmic i la conservació del patrimoni de l'ENP"/>
    <s v="08.3.6"/>
    <s v="Elaborar una guia per promocionar els agents del territori que potencien i difonen els productes alimentaris locals i de qualitat (allotjaments, restaurants, cellers, establiments, elaboradors i productors)"/>
    <s v="Comú"/>
    <s v="Optatiu"/>
    <s v="Elaborar una guia per promocionar els agents del territori que potencien i difonen els productes alimentaris locals i de qualitat (allotjaments, restaurants, cellers, establiments, elaboradors i productors)."/>
    <s v="No aplica a l'espai"/>
    <m/>
    <s v="Baixa"/>
    <m/>
    <x v="23"/>
    <m/>
    <m/>
    <m/>
    <m/>
    <m/>
    <m/>
    <n v="0"/>
    <m/>
    <m/>
    <m/>
    <m/>
    <m/>
    <m/>
    <m/>
    <m/>
  </r>
  <r>
    <x v="3"/>
    <s v="OG 08"/>
    <s v="APROFITAR ELS RECURSOS NATURALS DE FORMA SOSTENIBLE mitjançant desenvolupament dels aprofitaments tradicionals de forma compatible amb la conservació de l'espai "/>
    <s v="08.4"/>
    <s v="Contribuir a una correcta planificació i gestió dels recursos cinegètics i piscícoles de forma compatible amb els valors de l'ENP"/>
    <s v="08.4.1"/>
    <s v="Treballar amb l'autoritat competent per garantir objectius de conservació d’espècies i hàbitats en la revisió dels Plans de Gestió Cinegètica"/>
    <s v="Comú"/>
    <s v="Obligatori"/>
    <s v="Treballar amb l'autoritat competent per garantir objectius de conservació d’espècies i hàbitats en la revisió dels Plans de Gestió Cinegètica."/>
    <m/>
    <s v="Si"/>
    <s v="Mitjana"/>
    <m/>
    <x v="104"/>
    <s v="MAP"/>
    <m/>
    <s v="S'han establert"/>
    <n v="1"/>
    <n v="2"/>
    <m/>
    <n v="0"/>
    <s v="Direcció"/>
    <s v="Director"/>
    <s v="Mitjans propis"/>
    <s v="Fons propis"/>
    <m/>
    <s v="X"/>
    <m/>
    <m/>
  </r>
  <r>
    <x v="3"/>
    <s v="OG 08"/>
    <s v="APROFITAR ELS RECURSOS NATURALS DE FORMA SOSTENIBLE mitjançant desenvolupament dels aprofitaments tradicionals de forma compatible amb la conservació de l'espai "/>
    <s v="08.4"/>
    <s v="Contribuir a una correcta planificació i gestió dels recursos cinegètics i piscícoles de forma compatible amb els valors de l'ENP"/>
    <s v="08.4.2"/>
    <s v="Col·laborar en la regulació i ordenació de la caça i la pesca en zones sensibles o amb risc d'afectació d'elements clau objecte de conservació"/>
    <s v="Comú"/>
    <s v="Obligatori"/>
    <s v="Col·laborar en la regulació i ordenació de la caça i la pesca en zones sensibles o amb risc d'afectació d'elements clau objecte de conservació."/>
    <m/>
    <s v="Si"/>
    <s v="Alta"/>
    <m/>
    <x v="105"/>
    <s v="MAP"/>
    <m/>
    <s v="Sí/No"/>
    <m/>
    <s v="Sí"/>
    <m/>
    <n v="0"/>
    <s v="Àrea tècnica"/>
    <s v="Tècnic/a"/>
    <s v="Mitjans propis"/>
    <s v="Fons propis"/>
    <m/>
    <s v="X"/>
    <s v="X"/>
    <m/>
  </r>
  <r>
    <x v="3"/>
    <s v="OG 08"/>
    <s v="APROFITAR ELS RECURSOS NATURALS DE FORMA SOSTENIBLE mitjançant desenvolupament dels aprofitaments tradicionals de forma compatible amb la conservació de l'espai "/>
    <s v="08.4"/>
    <s v="Contribuir a una correcta planificació i gestió dels recursos cinegètics i piscícoles de forma compatible amb els valors de l'ENP"/>
    <s v="08.4.2"/>
    <s v="Col·laborar en la regulació i ordenació de la caça i la pesca en zones sensibles o amb risc d'afectació d'elements clau objecte de conservació"/>
    <s v="Comú"/>
    <s v="Obligatori"/>
    <s v="Col·laborar en la regulació i ordenació de la caça i la pesca en zones sensibles o amb risc d'afectació d'elements clau objecte de conservació."/>
    <m/>
    <s v="Si"/>
    <s v="Alta"/>
    <m/>
    <x v="106"/>
    <s v="MAP"/>
    <m/>
    <s v="Sí/No"/>
    <m/>
    <s v="Sí"/>
    <m/>
    <n v="0"/>
    <s v="Àrea tècnica"/>
    <s v="Tècnic/a"/>
    <s v="Mitjans propis"/>
    <s v="Fons propis"/>
    <m/>
    <s v="X"/>
    <s v="X"/>
    <m/>
  </r>
  <r>
    <x v="3"/>
    <s v="OG 08"/>
    <s v="APROFITAR ELS RECURSOS NATURALS DE FORMA SOSTENIBLE mitjançant desenvolupament dels aprofitaments tradicionals de forma compatible amb la conservació de l'espai "/>
    <s v="08.4"/>
    <s v="Contribuir a una correcta planificació i gestió dels recursos cinegètics i piscícoles de forma compatible amb els valors de l'ENP"/>
    <s v="08.4.2"/>
    <s v="Col·laborar en la regulació i ordenació de la caça i la pesca en zones sensibles o amb risc d'afectació d'elements clau objecte de conservació"/>
    <s v="Comú"/>
    <s v="Obligatori"/>
    <s v="Col·laborar en la regulació i ordenació de la caça i la pesca en zones sensibles o amb risc d'afectació d'elements clau objecte de conservació."/>
    <m/>
    <s v="Si"/>
    <s v="Alta"/>
    <m/>
    <x v="107"/>
    <s v="MAP"/>
    <m/>
    <s v="Sí/No"/>
    <m/>
    <s v="Sí"/>
    <m/>
    <n v="0"/>
    <s v="Àrea tècnica"/>
    <s v="Tècnic/a"/>
    <s v="Mitjans propis"/>
    <s v="Fons propis"/>
    <m/>
    <m/>
    <s v="X"/>
    <m/>
  </r>
  <r>
    <x v="3"/>
    <s v="OG 08"/>
    <s v="APROFITAR ELS RECURSOS NATURALS DE FORMA SOSTENIBLE mitjançant desenvolupament dels aprofitaments tradicionals de forma compatible amb la conservació de l'espai "/>
    <s v="08.4"/>
    <s v="Contribuir a una correcta planificació i gestió dels recursos cinegètics i piscícoles de forma compatible amb els valors de l'ENP"/>
    <s v="08.4.3"/>
    <s v="Donar suport en la gestió de poblacions que generen danys a les activitats econòmiques de l'ENP"/>
    <s v="Comú"/>
    <s v="Obligatori"/>
    <s v="Gestió activa de l'ENP de poblacions que generen danys a les activitats econòmiques de l'ENP."/>
    <m/>
    <s v="Si"/>
    <s v="Mitjana"/>
    <m/>
    <x v="108"/>
    <m/>
    <m/>
    <s v="Sí/No"/>
    <m/>
    <s v="Sí"/>
    <m/>
    <n v="0"/>
    <s v="Àrea tècnica"/>
    <s v="Tècnic/a"/>
    <s v="Contractació externa"/>
    <s v="Fons propis"/>
    <m/>
    <s v="X"/>
    <m/>
    <m/>
  </r>
  <r>
    <x v="3"/>
    <s v="OG 08"/>
    <s v="APROFITAR ELS RECURSOS NATURALS DE FORMA SOSTENIBLE mitjançant desenvolupament dels aprofitaments tradicionals de forma compatible amb la conservació de l'espai "/>
    <s v="08.4"/>
    <s v="Contribuir a una correcta planificació i gestió dels recursos cinegètics i piscícoles de forma compatible amb els valors de l'ENP"/>
    <s v="08.4.3"/>
    <s v="Donar suport en la gestió de poblacions que generen danys a les activitats econòmiques de l'ENP"/>
    <s v="Comú"/>
    <s v="Obligatori"/>
    <s v="Gestió activa de l'ENP de poblacions que generen danys a les activitats econòmiques de l'ENP."/>
    <m/>
    <s v="Si"/>
    <s v="Mitjana"/>
    <m/>
    <x v="109"/>
    <m/>
    <m/>
    <s v="Sí/No"/>
    <m/>
    <s v="Sí"/>
    <m/>
    <n v="0"/>
    <s v="Àrea tècnica"/>
    <s v="Operari de camp"/>
    <s v="Mitjans propis"/>
    <s v="Fons propis"/>
    <m/>
    <m/>
    <s v="X"/>
    <s v="X"/>
  </r>
  <r>
    <x v="3"/>
    <s v="OG 08"/>
    <s v="APROFITAR ELS RECURSOS NATURALS DE FORMA SOSTENIBLE mitjançant desenvolupament dels aprofitaments tradicionals de forma compatible amb la conservació de l'espai "/>
    <s v="08.4"/>
    <s v="Contribuir a una correcta planificació i gestió dels recursos cinegètics i piscícoles de forma compatible amb els valors de l'ENP"/>
    <s v="08.4.3"/>
    <s v="Donar suport en la gestió de poblacions que generen danys a les activitats econòmiques de l'ENP"/>
    <s v="Comú"/>
    <s v="Obligatori"/>
    <s v="Gestió activa de l'ENP de poblacions que generen danys a les activitats econòmiques de l'ENP."/>
    <m/>
    <s v="Si"/>
    <s v="Mitjana"/>
    <m/>
    <x v="110"/>
    <m/>
    <m/>
    <s v="Nombre d'actuacions"/>
    <n v="4"/>
    <n v="8"/>
    <m/>
    <n v="0"/>
    <s v="Àrea tècnica"/>
    <s v="Tècnic/a"/>
    <s v="Mitjans propis"/>
    <s v="Fons propis"/>
    <s v="X"/>
    <s v="X"/>
    <s v="X"/>
    <s v="X"/>
  </r>
  <r>
    <x v="3"/>
    <s v="OG 09"/>
    <s v="FOMENTAR UN TURISME SOSTENIBLE compatible amb la conservació de l'espai "/>
    <s v="09.1"/>
    <s v="Fomentar un model de turisme que promogui els valors dels espais naturals protegits d'acord amb els agents turístics del territori "/>
    <s v="09.1.1"/>
    <s v="Desplegar la Carta Europea de Turisme Sostenible (CETS)"/>
    <s v="Comú"/>
    <s v="Optatiu"/>
    <s v="Desplegar la Carta Europea de Turisme Sostenible (CETS)."/>
    <s v="No s'aplica en aquest període"/>
    <m/>
    <s v="Alta"/>
    <m/>
    <x v="23"/>
    <s v="ESNATURA"/>
    <m/>
    <m/>
    <m/>
    <m/>
    <m/>
    <n v="0"/>
    <m/>
    <m/>
    <m/>
    <m/>
    <m/>
    <m/>
    <m/>
    <m/>
  </r>
  <r>
    <x v="3"/>
    <s v="OG 09"/>
    <s v="FOMENTAR UN TURISME SOSTENIBLE compatible amb la conservació de l'espai "/>
    <s v="09.1"/>
    <s v="Fomentar un model de turisme que promogui els valors dels espais naturals protegits d'acord amb els agents turístics del territori "/>
    <s v="09.1.2"/>
    <s v="Tramitar la certificació Biosphere"/>
    <s v="Comú"/>
    <s v="Optatiu"/>
    <s v="Tramitar la certificació Biosphere."/>
    <s v="No s'aplica en aquest període"/>
    <m/>
    <s v="Mitjana"/>
    <m/>
    <x v="23"/>
    <m/>
    <m/>
    <m/>
    <m/>
    <m/>
    <m/>
    <n v="0"/>
    <m/>
    <m/>
    <m/>
    <m/>
    <m/>
    <m/>
    <m/>
    <m/>
  </r>
  <r>
    <x v="3"/>
    <s v="OG 09"/>
    <s v="FOMENTAR UN TURISME SOSTENIBLE compatible amb la conservació de l'espai "/>
    <s v="09.2"/>
    <s v="Promoure la coordinació amb els agents turístics del territori (empreses, industries, administració)."/>
    <s v="09.2.1"/>
    <s v="Treballar amb les empreses turístiques per trobar eines de canvi cap a un model de turisme sostenible i de qualitat "/>
    <s v="Comú"/>
    <s v="Optatiu"/>
    <s v="Treballar amb les empreses del sector lúdic-esportiu i turístic per impulsar el desenvolupament local sostenible."/>
    <s v="S'adapta a l'ENP"/>
    <s v="Si"/>
    <s v="Mitjana"/>
    <m/>
    <x v="111"/>
    <s v="ESNATURA"/>
    <m/>
    <s v="Sí/No"/>
    <m/>
    <s v="Sí"/>
    <m/>
    <n v="0"/>
    <s v="Àrea tècnica"/>
    <s v="Tècnic/a"/>
    <s v="Mitjans propis"/>
    <s v="Fons propis"/>
    <m/>
    <s v="X"/>
    <s v="X"/>
    <s v="X"/>
  </r>
  <r>
    <x v="3"/>
    <s v="OG 09"/>
    <s v="FOMENTAR UN TURISME SOSTENIBLE compatible amb la conservació de l'espai "/>
    <s v="09.2"/>
    <s v="Promoure la coordinació amb els agents turístics del territori (empreses, industries, administració)."/>
    <s v="09.2.1"/>
    <s v="Treballar amb les empreses turístiques per trobar eines de canvi cap a un model de turisme sostenible i de qualitat "/>
    <s v="Comú"/>
    <s v="Optatiu"/>
    <s v="Treballar amb les empreses del sector lúdic-esportiu i turístic per impulsar el desenvolupament local sostenible."/>
    <s v="S'adapta a l'ENP "/>
    <s v="Si"/>
    <s v="Mitjana"/>
    <m/>
    <x v="112"/>
    <s v="ESNATURA"/>
    <m/>
    <s v="Nombre de reunions"/>
    <n v="2"/>
    <n v="3"/>
    <m/>
    <n v="0"/>
    <s v="Àrea coordinació"/>
    <s v="Tècnic coordinador"/>
    <s v="Mitjans propis"/>
    <s v="Fons propis"/>
    <m/>
    <s v="X"/>
    <s v="X"/>
    <s v="X"/>
  </r>
  <r>
    <x v="3"/>
    <s v="OG 09"/>
    <s v="FOMENTAR UN TURISME SOSTENIBLE compatible amb la conservació de l'espai "/>
    <s v="09.2"/>
    <s v="Promoure la coordinació amb els agents turístics del territori (empreses, industries, administració)."/>
    <s v="09.2.2"/>
    <s v="Crear productes i paquets turístics amb associacions d’empreses turístiques i operadors turístics"/>
    <s v="Comú"/>
    <s v="Optatiu"/>
    <s v="Crear productes i paquets turístics amb associacions d’empreses turístiques i operadors turístics."/>
    <s v="No aplica"/>
    <m/>
    <s v="Mitjana"/>
    <m/>
    <x v="23"/>
    <s v="ESNATURA"/>
    <m/>
    <m/>
    <m/>
    <m/>
    <m/>
    <n v="0"/>
    <m/>
    <m/>
    <m/>
    <m/>
    <m/>
    <m/>
    <m/>
    <m/>
  </r>
  <r>
    <x v="4"/>
    <s v="OG 10"/>
    <s v="ORDENAR ELS USOS I APROFITAMENTS per garantir l'equilibri de les activitats humanes amb la conservació de la biodiversitat"/>
    <s v="10.1"/>
    <s v="Estandarditzar de regulació d'usos i aprofitaments  en base al model de Pla de protecció"/>
    <s v="10.1.1"/>
    <s v="Establir un model de construcció a l'ENP en base al model de Pla de protecció"/>
    <s v="Comú"/>
    <s v="Obligatori"/>
    <s v="Establir un model de construcció a l'ENP."/>
    <s v="S'adapta a l'ENP "/>
    <s v="Si"/>
    <s v="Alta"/>
    <m/>
    <x v="113"/>
    <m/>
    <s v="SPEN: Elaborar model"/>
    <s v="Sí/No"/>
    <m/>
    <s v="Sí"/>
    <m/>
    <n v="0"/>
    <s v="Àrea tècnica"/>
    <s v="Tècnic/a"/>
    <s v="Contractació externa"/>
    <s v="Fons propis"/>
    <m/>
    <s v="X"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1"/>
    <s v="Regular l'acampada i pernoctació  en base al model de Pla de protecció"/>
    <s v="Comú"/>
    <s v="Obligatori"/>
    <s v="Regular l'acampada i pernoctació  en base al model de Pla de protecció."/>
    <s v="El Consorci no n'és competent"/>
    <m/>
    <s v="Alt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10"/>
    <s v="Regular les activitats aquàtiques i nàutiques i zones de fondeig"/>
    <s v="Específic"/>
    <s v="Obligatori"/>
    <s v="Regular les activitats aquàtiques i nàutiques i zones de fondeig."/>
    <s v="El Consorci no n'és competent"/>
    <m/>
    <s v="Alt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11"/>
    <s v="Regular la presència d'animals de companyia"/>
    <s v="Comú"/>
    <s v="Obligatori"/>
    <s v="Regular la presència d'animals de companyia."/>
    <s v="El Consorci no n'és competent"/>
    <m/>
    <s v="Alt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12"/>
    <s v="Regular les activitats d'educació ambiental i el lleure educatiu"/>
    <s v="Comú"/>
    <s v="Obligatori"/>
    <s v="Regular les activitats d'educació ambiental i el lleure educatiu."/>
    <m/>
    <s v="Si"/>
    <s v="Mitjana"/>
    <m/>
    <x v="114"/>
    <m/>
    <s v="SPEN: Elaborar model"/>
    <s v="Sí/No"/>
    <m/>
    <s v="Sí"/>
    <m/>
    <n v="0"/>
    <s v="Àrea tècnica"/>
    <s v="Tècnic/a"/>
    <s v="Contractació externa"/>
    <s v="Fons propis"/>
    <m/>
    <s v="X"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2"/>
    <s v="Regular la circulació rodada no motoritzada en base al model de Pla de protecció"/>
    <s v="Comú"/>
    <s v="Obligatori"/>
    <s v="Regular la circulació rodada no motoritzada en base al model de Pla de protecció."/>
    <s v="El Consorci no n'és competent"/>
    <m/>
    <s v="Màxim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3"/>
    <s v="Regular l'escalada i alpinisme, barranquisme, i espeleologia  en base al model de Pla de protecció"/>
    <s v="Específic"/>
    <s v="Obligatori"/>
    <s v="Regular l'escalada i alpinisme, barranquisme, i espeleologia  en base al model de Pla de protecció."/>
    <s v="No aplica a l'ENP. No hi ha espais possibles"/>
    <m/>
    <s v="Màxim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4"/>
    <s v="Regular les curses i altres activitats esportives organitzades en base al model de Pla de protecció"/>
    <s v="Comú"/>
    <s v="Obligatori"/>
    <s v="Regular les curses i altres activitats esportives organitzades en base a la normativa dels Ens locals i la Generalitat de Catalunya."/>
    <s v="S'adapta a l'ENP"/>
    <s v="No"/>
    <s v="Màxima"/>
    <m/>
    <x v="115"/>
    <m/>
    <s v="SPEN: Elaborar model"/>
    <s v="Sí/No"/>
    <m/>
    <s v="Sí"/>
    <m/>
    <n v="0"/>
    <s v="Àrea coordinació"/>
    <s v="Tècnic coordinador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5"/>
    <s v="Regular els enregistraments i l'observació de fauna i natura en base al model de Pla de protecció"/>
    <s v="Comú"/>
    <s v="Obligatori"/>
    <s v="Regular els enregistraments i l'observació de fauna i natura en base a la normativa de la Generalitat de Catalunya i els Ens locals."/>
    <s v="S'adapta a l'ENP"/>
    <s v="No"/>
    <s v="Mitjana"/>
    <m/>
    <x v="116"/>
    <m/>
    <s v="SPEN: Elaborar model"/>
    <s v="Sí/No"/>
    <m/>
    <s v="Sí"/>
    <m/>
    <n v="0"/>
    <s v="Àrea coordinació"/>
    <s v="Tècnic coordinador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6"/>
    <s v="Regular les activitats científiques en base al model de Pla de protecció"/>
    <s v="Comú"/>
    <s v="Obligatori"/>
    <s v="Regular les activitats científiques en base a la normativa de la Generalitat de Catalunya i els Ens locals."/>
    <s v="S'adapta a l'ENP"/>
    <s v="No"/>
    <s v="Mitjana"/>
    <m/>
    <x v="117"/>
    <m/>
    <s v="SPEN: Elaborar model"/>
    <s v="Sí/No"/>
    <m/>
    <s v="Sí"/>
    <m/>
    <n v="0"/>
    <s v="Àrea coordinació"/>
    <s v="Tècnic coordinador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7"/>
    <s v="Regular les zones de bany"/>
    <s v="Específic"/>
    <s v="Obligatori"/>
    <s v="Regular les zones de bany."/>
    <s v="El Consorci no n'és competent"/>
    <m/>
    <s v="Alt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8"/>
    <s v="Regular l'enlairament i aterratge sense motor"/>
    <s v="Específic"/>
    <s v="Obligatori"/>
    <s v="Regular l'enlairament i aterratge sense motor."/>
    <s v="El Consorci no n'és competent"/>
    <m/>
    <s v="Mitjan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1"/>
    <s v="Estandarditzar regulació de l’ús públic i social en base al model acordat per govern"/>
    <s v="11.1.9"/>
    <s v="Regular el submarinisme i l'snorkel"/>
    <s v="Específic"/>
    <s v="Obligatori"/>
    <s v="Regular el submarinisme i l'snorkel."/>
    <s v="El Consorci no n'és competent"/>
    <m/>
    <s v="Alt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2"/>
    <s v="Disposar de la xarxa viària i itineraris oficials de l'ENP"/>
    <s v="11.2.1"/>
    <s v="Identificar i classificar la xarxa viària bàsica, secundària, senders i itineraris senyalitzats d'acord amb els ajuntaments "/>
    <s v="Comú"/>
    <s v="Obligatori"/>
    <s v="Identificar i classificar la xarxa viària bàsica, secundària, senders i itineraris senyalitzats d'acord amb els ajuntaments."/>
    <m/>
    <s v="Si"/>
    <s v="Mitjana"/>
    <m/>
    <x v="118"/>
    <m/>
    <s v="Persones i natura: concretar criteris"/>
    <s v="Sí/No"/>
    <m/>
    <s v="Sí"/>
    <m/>
    <n v="0"/>
    <s v="Àrea tècnica"/>
    <s v="Tècnic/a"/>
    <s v="Contractació externa"/>
    <s v="Fons propis"/>
    <m/>
    <s v="X"/>
    <m/>
    <m/>
  </r>
  <r>
    <x v="4"/>
    <s v="OG 11"/>
    <s v="ORDENAR L'ÚS PÚBLIC I SOCIAL per a la protecció dels hàbitats, espècies i elements geològics"/>
    <s v="11.2"/>
    <s v="Disposar de la xarxa viària i itineraris oficials de l'ENP"/>
    <s v="11.2.2"/>
    <s v="Treballar conjuntament amb els principals canals d’informació de rutes  per prioritzar itineraris oficials dins l’ENP"/>
    <s v="Comú"/>
    <s v="Obligatori"/>
    <s v="Treballar conjuntament amb els principals canals d’informació de rutes  per prioritzar itineraris oficials dins l’ENP."/>
    <m/>
    <s v="Si"/>
    <s v="Alta"/>
    <m/>
    <x v="119"/>
    <m/>
    <s v="Persones i natura: Coordinació"/>
    <s v="Sí/No"/>
    <m/>
    <s v="Sí"/>
    <m/>
    <n v="0"/>
    <s v="Àrea tècnica"/>
    <s v="Tècnic/a"/>
    <s v="Mitjans propis"/>
    <s v="Fons propis"/>
    <m/>
    <m/>
    <m/>
    <s v="X"/>
  </r>
  <r>
    <x v="4"/>
    <s v="OG 11"/>
    <s v="ORDENAR L'ÚS PÚBLIC I SOCIAL per a la protecció dels hàbitats, espècies i elements geològics"/>
    <s v="11.3"/>
    <s v="Implementar el protocol estandarditzat basat en el pla per la regulació al accés, circulació i ús de la xarxa viària"/>
    <s v="11.3.1"/>
    <s v="Regular l'accés i la circulació"/>
    <s v="Comú"/>
    <s v="Obligatori"/>
    <s v="Regular l'accés i la circulació."/>
    <s v="Regulació existent en base al decret 166/1998 i la llei 9/1995"/>
    <s v="Si"/>
    <s v="Màxima"/>
    <m/>
    <x v="120"/>
    <m/>
    <s v="SPEN: Elaborar model"/>
    <s v="Sí/No"/>
    <m/>
    <s v="Sí"/>
    <m/>
    <n v="0"/>
    <s v="Àrea tècnica"/>
    <s v="Tècnic/a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3"/>
    <s v="Implementar el protocol estandarditzat basat en el pla per la regulació al accés, circulació i ús de la xarxa viària"/>
    <s v="11.3.2"/>
    <s v="Regular la xarxa viària principal, secundària i restringida"/>
    <s v="Comú"/>
    <s v="Obligatori"/>
    <s v="Regular la xarxa viària principal, secundària i restringida."/>
    <s v="Només es pot fer amb normativa municipal"/>
    <s v="Si"/>
    <s v="Mitjana"/>
    <m/>
    <x v="121"/>
    <m/>
    <s v="SPEN: Elaborar model"/>
    <s v="Sí/No"/>
    <m/>
    <s v="Sí"/>
    <m/>
    <n v="0"/>
    <s v="Àrea tècnica"/>
    <s v="Tècnic/a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3"/>
    <s v="Implementar el protocol estandarditzat basat en el pla per la regulació al accés, circulació i ús de la xarxa viària"/>
    <s v="11.3.3"/>
    <s v="Regular l'ús de drons, l'enlairament i l'aterratge"/>
    <s v="Específic"/>
    <s v="Obligatori"/>
    <s v="Regular l'ús de drons, l'enlairament i l'aterratge."/>
    <s v="El Consorci no n'és competent"/>
    <s v="Si"/>
    <s v="Mitjana"/>
    <m/>
    <x v="122"/>
    <m/>
    <s v="SPEN: Elaborar model"/>
    <s v="Assistència a reunions"/>
    <n v="2"/>
    <n v="4"/>
    <m/>
    <n v="0"/>
    <s v="Àrea coordinació"/>
    <s v="Tècnic coordinador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3"/>
    <s v="Implementar el protocol estandarditzat basat en el pla per la regulació al accés, circulació i ús de la xarxa viària"/>
    <s v="11.3.3"/>
    <s v="Regular l'ús de drons, l'enlairament i l'aterratge"/>
    <s v="Específic"/>
    <s v="Obligatori"/>
    <s v="Regular l'ús de drons, l'enlairament i l'aterratge."/>
    <s v="El Consorci no n'és competent"/>
    <s v="Si"/>
    <s v="Mitjana"/>
    <m/>
    <x v="121"/>
    <m/>
    <s v="SPEN: Elaborar model"/>
    <s v="Sí/No"/>
    <m/>
    <s v="Sí"/>
    <m/>
    <n v="0"/>
    <s v="Àrea coordinació"/>
    <s v="Tècnic coordinador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3"/>
    <s v="Implementar el protocol estandarditzat basat en el pla per la regulació al accés, circulació i ús de la xarxa viària"/>
    <s v="11.3.4"/>
    <s v="Aplicar limitacions temporals d'accés o circulació"/>
    <s v="Comú"/>
    <s v="Obligatori"/>
    <s v="Aplicar limitacions temporals d'accés o circulació."/>
    <s v="El Consorci no n'és competent"/>
    <m/>
    <s v="Mitjana"/>
    <m/>
    <x v="23"/>
    <m/>
    <s v="SPEN: Elaborar model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3"/>
    <s v="Implementar el protocol estandarditzat basat en el pla per la regulació al accés, circulació i ús de la xarxa viària"/>
    <s v="11.3.5"/>
    <s v="Regular l'aparcament de vehicles"/>
    <s v="Comú"/>
    <s v="Obligatori"/>
    <s v="Regular l'aparcament de vehicles."/>
    <s v="El Consorci no n'és competent"/>
    <s v="Si"/>
    <s v="Mitjana"/>
    <m/>
    <x v="123"/>
    <m/>
    <s v="SPEN: Elaborar model"/>
    <s v="Sí/No"/>
    <m/>
    <s v="Sí"/>
    <m/>
    <n v="0"/>
    <s v="Àrea coordinació"/>
    <s v="Tècnic coordinador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4"/>
    <s v="Enfortir la col·laboració i coordinació amb els agents d'ús públic (empreses, entitats i ajuntaments)"/>
    <s v="11.4.1"/>
    <s v="Implementar l'ordenació de l'ús públic en col·laboració amb els agents del territori"/>
    <s v="Comú"/>
    <s v="Obligatori"/>
    <s v="Implementar l'ordenació de l'ús públic en col·laboració amb els agents del territori."/>
    <s v="No s'aplica en aquest període"/>
    <m/>
    <s v="Màxima"/>
    <m/>
    <x v="23"/>
    <m/>
    <m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4"/>
    <s v="Enfortir la col·laboració i coordinació amb els agents d'ús públic (empreses, entitats i ajuntaments)"/>
    <s v="11.4.2"/>
    <s v="Promoció i acompanyament en l'ordenació de l'ús públic de l'ENP des de l'àmbit municipal"/>
    <s v="Comú"/>
    <s v="Obligatori"/>
    <s v="Promoció i acompanyament en l'ordenació de l'ús públic de l'ENP des de l'àmbit municipal."/>
    <m/>
    <s v="Si"/>
    <s v="Alta"/>
    <m/>
    <x v="124"/>
    <m/>
    <m/>
    <s v="Sí/No"/>
    <m/>
    <s v="Sí"/>
    <m/>
    <n v="0"/>
    <s v="Àrea coordinació"/>
    <s v="Tècnic coordinador"/>
    <s v="Mitjans propis"/>
    <s v="Fons propis"/>
    <m/>
    <m/>
    <s v="X"/>
    <m/>
  </r>
  <r>
    <x v="4"/>
    <s v="OG 11"/>
    <s v="ORDENAR L'ÚS PÚBLIC I SOCIAL per a la protecció dels hàbitats, espècies i elements geològics"/>
    <s v="11.5"/>
    <s v="Mantenir i millorar la senyalització de l'ENP"/>
    <s v="11.5.1"/>
    <s v="Realitzar l'inventari de senyalètica de l'ENP"/>
    <s v="Comú"/>
    <s v="Obligatori"/>
    <s v="Realitzar l'inventari de senyalètica de l'ENP."/>
    <m/>
    <s v="Si"/>
    <s v="Alta"/>
    <m/>
    <x v="125"/>
    <m/>
    <m/>
    <s v="Sí/No"/>
    <m/>
    <s v="Sí"/>
    <m/>
    <n v="0"/>
    <s v="Àrea coordinació"/>
    <s v="Tècnic coordinador"/>
    <s v="Contractació externa"/>
    <s v="Fons propis"/>
    <m/>
    <s v="X"/>
    <s v="X"/>
    <s v="X"/>
  </r>
  <r>
    <x v="4"/>
    <s v="OG 11"/>
    <s v="ORDENAR L'ÚS PÚBLIC I SOCIAL per a la protecció dels hàbitats, espècies i elements geològics"/>
    <s v="11.5"/>
    <s v="Mantenir i millorar la senyalització de l'ENP"/>
    <s v="11.5.2"/>
    <s v="Implantar el programa de senyalització i manteniment "/>
    <s v="Comú"/>
    <s v="Obligatori"/>
    <s v="Implantar el programa de senyalització i manteniment."/>
    <m/>
    <s v="Si"/>
    <s v="Mitjana"/>
    <m/>
    <x v="126"/>
    <s v="ESNATURA_x000a_MAP"/>
    <s v="Persones i natura: Revisió del manual de senyalització"/>
    <s v="Sí/No"/>
    <m/>
    <s v="Sí"/>
    <m/>
    <n v="0"/>
    <s v="Àrea coordinació"/>
    <s v="Tècnic coordinador"/>
    <s v="Contractació externa"/>
    <s v="Fons propis"/>
    <s v="X"/>
    <m/>
    <m/>
    <m/>
  </r>
  <r>
    <x v="4"/>
    <s v="OG 11"/>
    <s v="ORDENAR L'ÚS PÚBLIC I SOCIAL per a la protecció dels hàbitats, espècies i elements geològics"/>
    <s v="11.5"/>
    <s v="Mantenir i millorar la senyalització de l'ENP"/>
    <s v="11.5.2"/>
    <s v="Implantar el programa de senyalització i manteniment "/>
    <s v="Comú"/>
    <s v="Obligatori"/>
    <s v="Implantar el programa de senyalització i manteniment."/>
    <m/>
    <s v="Si"/>
    <s v="Mitjana"/>
    <m/>
    <x v="127"/>
    <s v="ESNATURA_x000a_MAP"/>
    <s v="Persones i natura: Revisió del manual de senyalització"/>
    <s v="Sí/No"/>
    <m/>
    <s v="Sí"/>
    <m/>
    <n v="0"/>
    <s v="Àrea tècnica"/>
    <s v="Tècnic/a"/>
    <s v="Contractació externa"/>
    <s v="Fons propis"/>
    <s v="X"/>
    <s v="X"/>
    <s v="X"/>
    <s v="X"/>
  </r>
  <r>
    <x v="4"/>
    <s v="OG 11"/>
    <s v="ORDENAR L'ÚS PÚBLIC I SOCIAL per a la protecció dels hàbitats, espècies i elements geològics"/>
    <s v="11.6"/>
    <s v="Prevenir i gestionar els impactes derivats de la sobrefreqüentació"/>
    <s v="11.6.1"/>
    <s v="Potenciar la visita a espais alternatius dins de l'àmbit d'influència de l'espai natural per reduir la pressió en zones sensibles "/>
    <s v="Comú"/>
    <s v="Optatiu"/>
    <s v="Potenciar la visita a espais alternatius dins de l'àmbit d'influència de l'espai natural per reduir la pressió en zones sensibles."/>
    <s v="No aplicable a l'ENP"/>
    <m/>
    <s v="Mitjana"/>
    <m/>
    <x v="23"/>
    <m/>
    <m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6"/>
    <s v="Prevenir i gestionar els impactes derivats de la sobrefreqüentació"/>
    <s v="11.6.2"/>
    <s v="Implementar les mesures extraordinàries de regulació de l'ús públic "/>
    <s v="Comú"/>
    <s v="Optatiu"/>
    <s v="Impulsar les mesures extraordinàries de regulació de l'ús públic."/>
    <s v="El Consorci no n'és competent. S'adapta el text a l'espai"/>
    <s v="Si"/>
    <s v="Màxima"/>
    <m/>
    <x v="128"/>
    <m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1"/>
    <s v="Adequar els principals accessos, aparcaments i centres d'interès amb un ús elevat"/>
    <s v="Comú"/>
    <s v="Obligatori"/>
    <s v="Adequar els principals accessos, aparcaments i centres d'interès amb un ús elevat."/>
    <m/>
    <s v="Si"/>
    <s v="Màxima"/>
    <m/>
    <x v="129"/>
    <m/>
    <m/>
    <s v="Sí/No"/>
    <m/>
    <s v="Sí"/>
    <m/>
    <n v="0"/>
    <s v="Àrea tècnica"/>
    <s v="Tècnic/a"/>
    <s v="Contractació externa"/>
    <s v="Fons propis"/>
    <m/>
    <s v="X"/>
    <m/>
    <m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2"/>
    <s v="Disposar dels equipaments i infraestructures necessàries i accessibles per acollir, informar, facilitar la visita i garantir la seguretat dels visitants i la protecció de l'entorn"/>
    <s v="Comú"/>
    <s v="Obligatori"/>
    <s v="Disposar dels equipaments i infraestructures necessàries i accessibles per acollir, informar, facilitar la visita i garantir la seguretat dels visitants i la protecció de l'entorn."/>
    <m/>
    <s v="Si"/>
    <s v="Alta"/>
    <m/>
    <x v="130"/>
    <m/>
    <m/>
    <s v="Sí/No"/>
    <m/>
    <s v="Sí"/>
    <m/>
    <n v="0"/>
    <s v="Àrea tècnica"/>
    <s v="Tècnic/a"/>
    <s v="Contractació externa"/>
    <s v="Fons propis"/>
    <s v="X"/>
    <s v="X"/>
    <s v="X"/>
    <s v="X"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2"/>
    <s v="Disposar dels equipaments i infraestructures necessàries i accessibles per acollir, informar, facilitar la visita i garantir la seguretat dels visitants i la protecció de l'entorn"/>
    <s v="Comú"/>
    <s v="Obligatori"/>
    <s v="Disposar dels equipaments i infraestructures necessàries i accessibles per acollir, informar, facilitar la visita i garantir la seguretat dels visitants i la protecció de l'entorn."/>
    <m/>
    <s v="Si"/>
    <s v="Alta"/>
    <m/>
    <x v="131"/>
    <m/>
    <m/>
    <s v="Sí/No"/>
    <m/>
    <s v="Sí"/>
    <m/>
    <n v="0"/>
    <s v="Àrea tècnica"/>
    <s v="Tècnic/a"/>
    <s v="Contractació externa"/>
    <s v="Fons propis"/>
    <s v="X"/>
    <s v="X"/>
    <s v="X"/>
    <s v="X"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2"/>
    <s v="Disposar dels equipaments i infraestructures necessàries i accessibles per acollir, informar, facilitar la visita i garantir la seguretat dels visitants i la protecció de l'entorn"/>
    <s v="Comú"/>
    <s v="Obligatori"/>
    <s v="Disposar dels equipaments i infraestructures necessàries i accessibles per acollir, informar, facilitar la visita i garantir la seguretat dels visitants i la protecció de l'entorn."/>
    <m/>
    <s v="Si"/>
    <s v="Alta"/>
    <m/>
    <x v="132"/>
    <m/>
    <m/>
    <s v="Sí/No"/>
    <m/>
    <s v="Sí"/>
    <m/>
    <n v="0"/>
    <s v="Àrea tècnica"/>
    <s v="Tècnic/a"/>
    <s v="Contractació externa"/>
    <s v="Fons propis"/>
    <s v="X"/>
    <s v="X"/>
    <s v="X"/>
    <s v="X"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2"/>
    <s v="Disposar dels equipaments i infraestructures necessàries i accessibles per acollir, informar, facilitar la visita i garantir la seguretat dels visitants i la protecció de l'entorn"/>
    <s v="Comú"/>
    <s v="Obligatori"/>
    <s v="Disposar dels equipaments i infraestructures necessàries i accessibles per acollir, informar, facilitar la visita i garantir la seguretat dels visitants i la protecció de l'entorn."/>
    <m/>
    <s v="Si"/>
    <s v="Alta"/>
    <m/>
    <x v="133"/>
    <m/>
    <m/>
    <s v="Sí/No"/>
    <m/>
    <s v="Sí"/>
    <m/>
    <n v="0"/>
    <s v="Àrea tècnica"/>
    <s v="Tècnic/a"/>
    <s v="Contractació externa"/>
    <s v="Fons propis"/>
    <s v="X"/>
    <s v="X"/>
    <s v="X"/>
    <s v="X"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2"/>
    <s v="Disposar dels equipaments i infraestructures necessàries i accessibles per acollir, informar, facilitar la visita i garantir la seguretat dels visitants i la protecció de l'entorn"/>
    <s v="Comú"/>
    <s v="Obligatori"/>
    <s v="Disposar dels equipaments i infraestructures necessàries i accessibles per acollir, informar, facilitar la visita i garantir la seguretat dels visitants i la protecció de l'entorn."/>
    <m/>
    <s v="Si"/>
    <s v="Alta"/>
    <m/>
    <x v="134"/>
    <m/>
    <m/>
    <s v="Sí/No"/>
    <m/>
    <s v="Sí"/>
    <m/>
    <n v="0"/>
    <s v="Àrea tècnica"/>
    <s v="Tècnic/a"/>
    <s v="Contractació externa"/>
    <s v="Fons propis"/>
    <s v="X"/>
    <s v="X"/>
    <s v="X"/>
    <s v="X"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2"/>
    <s v="Disposar dels equipaments i infraestructures necessàries i accessibles per acollir, informar, facilitar la visita i garantir la seguretat dels visitants i la protecció de l'entorn"/>
    <s v="Comú"/>
    <s v="Obligatori"/>
    <s v="Disposar dels equipaments i infraestructures necessàries i accessibles per acollir, informar, facilitar la visita i garantir la seguretat dels visitants i la protecció de l'entorn."/>
    <m/>
    <s v="Si"/>
    <s v="Alta"/>
    <m/>
    <x v="135"/>
    <m/>
    <m/>
    <s v="Sí/No"/>
    <m/>
    <s v="Sí"/>
    <m/>
    <n v="0"/>
    <s v="Àrea tècnica"/>
    <s v="Tècnic/a"/>
    <s v="Contractació externa"/>
    <s v="Fons propis"/>
    <m/>
    <s v="X"/>
    <m/>
    <m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3"/>
    <s v="Desenvolupar el Pla d'acollida als visitants en base al model de la DG"/>
    <s v="Comú"/>
    <s v="Obligatori"/>
    <s v="Desenvolupar el Pla d'acollida als visitants en base al model de la DG."/>
    <s v="No s'aplica en aquest període"/>
    <m/>
    <s v="Màxima"/>
    <m/>
    <x v="23"/>
    <m/>
    <s v="Persones i natura: model de protocol d'acollida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7"/>
    <s v="Ordenar i estandarditzar els espais d'acollida de visitants i equipaments d'ús públic, i garantir un correcte servei d'atenció i acollida dels visitants"/>
    <s v="11.7.4"/>
    <s v="Adaptar els missatges a donar des d'oficines d’informació, pròpies i alienes, d'acord amb el model de la DG"/>
    <s v="Comú"/>
    <s v="Obligatori"/>
    <s v="Adaptar els missatges a donar des d'oficines d’informació, pròpies i alienes, d'acord amb el model de la DG."/>
    <s v="No s'aplica en aquest període"/>
    <m/>
    <s v="Alta"/>
    <m/>
    <x v="23"/>
    <s v="MAP"/>
    <s v="Persones i natura: Unifica missatges que s'incorporen en el model de protocol d'acollida"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8"/>
    <s v="Garantir el compliment de la normativa dins els ENP, especialment en l'accés motoritzat, zones amb hiperfrequentació i elements amb aprofitament comercial"/>
    <s v="11.8.1"/>
    <s v="Elaborar i executar el Pla de vigilància de l’espai d'acord amb els cossos d’inspecció i seguretat"/>
    <s v="Comú"/>
    <s v="Optatiu"/>
    <s v="Elaborar i executar el Pla de vigilància de l’espai d'acord amb els cossos d’inspecció i seguretat."/>
    <s v="No s'aplica en aquest període"/>
    <m/>
    <s v="Mitjana"/>
    <m/>
    <x v="23"/>
    <m/>
    <m/>
    <m/>
    <m/>
    <m/>
    <m/>
    <n v="0"/>
    <m/>
    <m/>
    <m/>
    <m/>
    <m/>
    <m/>
    <m/>
    <m/>
  </r>
  <r>
    <x v="4"/>
    <s v="OG 11"/>
    <s v="ORDENAR L'ÚS PÚBLIC I SOCIAL per a la protecció dels hàbitats, espècies i elements geològics"/>
    <s v="11.8"/>
    <s v="Garantir el compliment de la normativa dins els ENP, especialment en l'accés motoritzat, zones amb hiperfrequentació i elements amb aprofitament comercial"/>
    <s v="11.8.2"/>
    <s v="Millorar la coordinació amb els cossos de seguretat per efectuar accions de control i vigilància"/>
    <s v="Comú"/>
    <s v="Obligatori"/>
    <s v="Millorar la coordinació amb els cossos de seguretat per efectuar accions de control i vigilància."/>
    <m/>
    <s v="Si"/>
    <s v="Mitjana"/>
    <m/>
    <x v="136"/>
    <m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4"/>
    <s v="OG 11"/>
    <s v="ORDENAR L'ÚS PÚBLIC I SOCIAL per a la protecció dels hàbitats, espècies i elements geològics"/>
    <s v="11.8"/>
    <s v="Garantir el compliment de la normativa dins els ENP, especialment en l'accés motoritzat, zones amb hiperfrequentació i elements amb aprofitament comercial"/>
    <s v="11.8.3"/>
    <s v="Vetllar pel compliment d'informes i la vigilància tècnica de l'espai"/>
    <s v="Comú"/>
    <s v="Obligatori"/>
    <s v="Vetllar pel compliment d'informes i la vigilància tècnica de l'espai."/>
    <m/>
    <s v="Si"/>
    <s v="Mitjana"/>
    <m/>
    <x v="137"/>
    <m/>
    <m/>
    <s v="Sí/No"/>
    <m/>
    <s v="Sí"/>
    <m/>
    <n v="0"/>
    <s v="Àrea tècnica"/>
    <s v="Tècnic/a"/>
    <s v="Mitjans propis"/>
    <s v="Fons propis"/>
    <s v="X"/>
    <s v="X"/>
    <s v="X"/>
    <s v="X"/>
  </r>
  <r>
    <x v="4"/>
    <s v="OG 12"/>
    <s v="GESTIONAR ELS RISCOS NATURALS per a l'autoprotecció de la població local"/>
    <s v="12.1"/>
    <s v="Col·laborar amb les autoritats competents per a la gestió de riscos dins l’ENP"/>
    <s v="12.1.1"/>
    <s v="Ordenar el pla d’emergències"/>
    <s v="Comú"/>
    <s v="Obligatori"/>
    <s v="Ordenar el pla d’emergències."/>
    <s v="El Consorci no n'és competent"/>
    <m/>
    <s v="Alta"/>
    <m/>
    <x v="23"/>
    <m/>
    <m/>
    <m/>
    <m/>
    <m/>
    <m/>
    <n v="0"/>
    <m/>
    <m/>
    <m/>
    <m/>
    <m/>
    <m/>
    <m/>
    <m/>
  </r>
  <r>
    <x v="4"/>
    <s v="OG 12"/>
    <s v="GESTIONAR ELS RISCOS NATURALS per a l'autoprotecció de la població local"/>
    <s v="12.1"/>
    <s v="Col·laborar amb les autoritats competents per a la gestió de riscos dins l’ENP"/>
    <s v="12.1.2"/>
    <s v="Contribuir a la protecció dels assentaments humans respecte dels riscos naturals"/>
    <s v="Comú"/>
    <s v="Obligatori"/>
    <s v="Contribuir a la protecció dels assentaments humans respecte dels riscos naturals"/>
    <s v="El Consorci no n'és competent"/>
    <m/>
    <s v="Alta"/>
    <m/>
    <x v="23"/>
    <m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1"/>
    <s v="Afavorir la vinculació entre la comunitat educativa de l'entorn i l'ENP "/>
    <s v="13.1.1"/>
    <s v="Definir el model de Xarxa d'Escoles de l'Espai Natural (XEEN) a l'ENP amb els agents educatius del territori"/>
    <s v="Comú"/>
    <s v="Obligatori"/>
    <s v="Definir el model de Xarxa d'Escoles de l'Espai Natural (XEEN) a l'ENP amb els agents educatius del territori"/>
    <m/>
    <s v="Si"/>
    <s v="Màxima"/>
    <m/>
    <x v="138"/>
    <s v="PEEVA_x000a_ESNATURA"/>
    <m/>
    <s v="Sí/No"/>
    <m/>
    <s v="Sí"/>
    <m/>
    <n v="0"/>
    <s v="Àrea tècnica"/>
    <s v="Tècnic/a"/>
    <s v="Contractació externa"/>
    <s v="Fons propis"/>
    <m/>
    <m/>
    <s v="X"/>
    <m/>
  </r>
  <r>
    <x v="5"/>
    <s v="OG 13"/>
    <s v="FORMAR I SENSIBILITZAR la població incrementant la valoració i estima social de l'ENP"/>
    <s v="13.1"/>
    <s v="Afavorir la vinculació entre la comunitat educativa de l'entorn i l'ENP "/>
    <s v="13.1.2"/>
    <s v="Desplegar el model de Xarxa d'Escoles de l'Espai Natural (XEEN) a l'ENP d'acord amb el model general"/>
    <s v="Comú"/>
    <s v="Obligatori"/>
    <s v="Desplegar el model de Xarxa d'Escoles de l'Espai Natural (XEEN) a l'ENP d'acord amb el model general."/>
    <s v="El consorci no té capacitat de personal i econòmica per desenvolupar-ho."/>
    <s v="Si"/>
    <s v="Màxima"/>
    <m/>
    <x v="139"/>
    <s v="PEEVA_x000a_ESNATURA"/>
    <s v="SEA: Elabora model de xarxa"/>
    <s v="Sí/No"/>
    <m/>
    <s v="Sí"/>
    <m/>
    <n v="0"/>
    <s v="Àrea coordinació"/>
    <s v="Tècnic coordinador"/>
    <s v="Mitjans propis"/>
    <s v="Fons propis"/>
    <m/>
    <m/>
    <m/>
    <s v="X"/>
  </r>
  <r>
    <x v="5"/>
    <s v="OG 13"/>
    <s v="FORMAR I SENSIBILITZAR la població incrementant la valoració i estima social de l'ENP"/>
    <s v="13.1"/>
    <s v="Afavorir la vinculació entre la comunitat educativa de l'entorn i l'ENP "/>
    <s v="13.1.3"/>
    <s v="Formar i capacitar al professorat de la XEEN "/>
    <s v="Comú"/>
    <s v="Obligatori"/>
    <s v="Formar i capacitar al professorat de la XEEN."/>
    <s v="El consorci no té capacitat de personal i econòmica per desenvolupar-ho."/>
    <s v="Si"/>
    <s v="Màxima"/>
    <m/>
    <x v="140"/>
    <s v="PEEVA_x000a_ESNATURA"/>
    <m/>
    <s v="Sí/No"/>
    <m/>
    <s v="Sí"/>
    <m/>
    <n v="0"/>
    <s v="Àrea coordinació"/>
    <s v="Tècnic coordinador"/>
    <s v="Mitjans propis"/>
    <s v="Fons propis"/>
    <m/>
    <m/>
    <m/>
    <s v="X"/>
  </r>
  <r>
    <x v="5"/>
    <s v="OG 13"/>
    <s v="FORMAR I SENSIBILITZAR la població incrementant la valoració i estima social de l'ENP"/>
    <s v="13.2"/>
    <s v="Promoure una oferta pedagògica basada en metodologies innovadores i actives que estiguin alineades amb el currículum educatiu del Departament d'Educació"/>
    <s v="13.2.1"/>
    <s v="Adaptar i millorar l'oferta pedagògica de l'ENP generant situacions d'aprenentatge i treballs per projecte"/>
    <s v="Comú"/>
    <s v="Obligatori"/>
    <s v="Adaptar i millorar l'oferta pedagògica de l'ENP generant situacions d'aprenentatge i treballs per projecte."/>
    <s v="El consorci no té capacitat de personal i econòmica per desenvolupar-ho."/>
    <s v="Si"/>
    <s v="Màxima"/>
    <m/>
    <x v="141"/>
    <s v="PEEVA_x000a_ESNATURA"/>
    <s v="SEA: Comparteix models de situacions d'aprenentatge i de projectes."/>
    <s v="Sí/No"/>
    <m/>
    <s v="Sí"/>
    <m/>
    <n v="0"/>
    <s v="Àrea coordinació"/>
    <s v="Tècnic coordinador"/>
    <s v="Mitjans propis"/>
    <s v="Fons propis"/>
    <m/>
    <m/>
    <m/>
    <s v="X"/>
  </r>
  <r>
    <x v="5"/>
    <s v="OG 13"/>
    <s v="FORMAR I SENSIBILITZAR la població incrementant la valoració i estima social de l'ENP"/>
    <s v="13.2"/>
    <s v="Promoure una oferta pedagògica basada en metodologies innovadores i actives que estiguin alineades amb el currículum educatiu del Departament d'Educació"/>
    <s v="13.2.2"/>
    <s v="Dissenyar projectes d'ApS ambiental i Ciència ciutadana i projectes compartits amb entitats del territori que s'incloguin dins de l'oferta pedagògica."/>
    <s v="Comú"/>
    <s v="Optatiu"/>
    <s v="Dissenyar projectes d'ApS ambiental i Ciència ciutadana i projectes compartits amb entitats del territori que s'incloguin dins de l'oferta pedagògica.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2"/>
    <s v="Promoure una oferta pedagògica basada en metodologies innovadores i actives que estiguin alineades amb el currículum educatiu del Departament d'Educació"/>
    <s v="13.2.3"/>
    <s v="Elaborar recursos educatius sobre l’espai (que tinguin en compte les problemàtiques singulars del seu espai) i posar-los a disposició dels centres educatius"/>
    <s v="Comú"/>
    <s v="Optatiu"/>
    <s v="Elaborar recursos educatius sobre l’espai (que tinguin en compte les problemàtiques singulars del seu espai) i posar-los a disposició dels centres educatius.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2"/>
    <s v="Promoure una oferta pedagògica basada en metodologies innovadores i actives que estiguin alineades amb el currículum educatiu del Departament d'Educació"/>
    <s v="13.2.4"/>
    <s v="Oferir projectes de recerca vinculats a l'espai natural per a l'alumnat universitari i de la XEEN"/>
    <s v="Comú"/>
    <s v="Optatiu"/>
    <s v="Oferir projectes de recerca vinculats a l'espai natural per a l'alumnat universitari i de la XEEN."/>
    <m/>
    <s v="Si"/>
    <s v="Alta"/>
    <m/>
    <x v="142"/>
    <s v="PEEVA_x000a_ESNATURA"/>
    <m/>
    <s v="Alumnes acollits"/>
    <n v="2"/>
    <n v="6"/>
    <m/>
    <n v="0"/>
    <s v="Àrea coordinació"/>
    <s v="Tècnic coordinador"/>
    <s v="Mitjans propis"/>
    <s v="Fons propis"/>
    <s v="X"/>
    <s v="X"/>
    <s v="X"/>
    <s v="X"/>
  </r>
  <r>
    <x v="5"/>
    <s v="OG 13"/>
    <s v="FORMAR I SENSIBILITZAR la població incrementant la valoració i estima social de l'ENP"/>
    <s v="13.3"/>
    <s v="Establir mecanismes estables de formació, treball i coordinació amb els col·lectius implicats en la sensibilització i l'educació dins el ENP"/>
    <s v="13.3.1"/>
    <s v="Establir un model de coordinació territorial amb agents clau de l'educació ambiental"/>
    <s v="Comú"/>
    <s v="Obligatori"/>
    <s v="Establir un model de coordinació territorial amb agents clau de l'educació ambiental."/>
    <s v="No s'aplica en aquest període"/>
    <m/>
    <s v="Màxim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3"/>
    <s v="Establir mecanismes estables de formació, treball i coordinació amb els col·lectius implicats en la sensibilització i l'educació dins el ENP"/>
    <s v="13.3.2"/>
    <s v="Cercar i establir col·laboracions i projectes conjunts amb agents clau del territori"/>
    <s v="Comú"/>
    <s v="Obligatori"/>
    <s v="Cercar i establir col·laboracions i projectes conjunts amb agents clau del territori."/>
    <s v="No s'aplica en aquest període"/>
    <m/>
    <s v="Màxim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3"/>
    <s v="Establir mecanismes estables de formació, treball i coordinació amb els col·lectius implicats en la sensibilització i l'educació dins el ENP"/>
    <s v="13.3.3"/>
    <s v="Elaborar formacions dirigides als informadors, educadors i altres prescriptors del territori"/>
    <s v="Comú"/>
    <s v="Obligatori"/>
    <s v="Elaborar formacions dirigides als informadors, educadors i altres prescriptors del territori."/>
    <m/>
    <s v="Si"/>
    <s v="Màxima"/>
    <m/>
    <x v="143"/>
    <s v="PEEVA_x000a_ESNATURA"/>
    <s v="SEA: Elabora propostes MODEL de programes de formació"/>
    <s v="Sí/No"/>
    <m/>
    <s v="Sí"/>
    <m/>
    <n v="0"/>
    <s v="Àrea tècnica"/>
    <s v="Tècnic/a"/>
    <s v="Contractació externa"/>
    <s v="Fons propis"/>
    <m/>
    <m/>
    <m/>
    <s v="X"/>
  </r>
  <r>
    <x v="5"/>
    <s v="OG 13"/>
    <s v="FORMAR I SENSIBILITZAR la població incrementant la valoració i estima social de l'ENP"/>
    <s v="13.4"/>
    <s v="Desplegar un programa de divulgació i sensibilització per a visitants"/>
    <s v="13.4.1"/>
    <s v="Desplegar en el territori les campanyes de sensibilització i bones pràctiques que s'impulsin des de la DG"/>
    <s v="Comú"/>
    <s v="Obligatori"/>
    <s v="Desplegar en el territori les campanyes de sensibilització i bones pràctiques que s'impulsin des de la DG."/>
    <m/>
    <s v="No"/>
    <s v="Màxima"/>
    <m/>
    <x v="144"/>
    <s v="PEEVA_x000a_ESNATURA"/>
    <s v="SEA: Elabora un document marc per unificar missatges i coordinar la difusió"/>
    <s v="Sí/No"/>
    <m/>
    <s v="Sí"/>
    <m/>
    <n v="0"/>
    <s v="Àrea tècnica"/>
    <s v="Tècnic/a"/>
    <s v="Mitjans propis"/>
    <s v="Fons propis"/>
    <s v="X"/>
    <s v="X"/>
    <s v="X"/>
    <s v="X"/>
  </r>
  <r>
    <x v="5"/>
    <s v="OG 13"/>
    <s v="FORMAR I SENSIBILITZAR la població incrementant la valoració i estima social de l'ENP"/>
    <s v="13.4"/>
    <s v="Desplegar un programa de divulgació i sensibilització per a visitants"/>
    <s v="13.4.2"/>
    <s v="Adaptar el programa de divulgació i sensibilització de l'ENP perquè incorpori una oferta d’activitats adequada per a famílies "/>
    <s v="Comú"/>
    <s v="Optatiu"/>
    <s v="Adaptar el programa de divulgació i sensibilització de l'ENP perquè incorpori una oferta d’activitats adequada per a famílies."/>
    <m/>
    <s v="Si"/>
    <s v="Alta"/>
    <m/>
    <x v="145"/>
    <s v="PEEVA_x000a_ESNATURA"/>
    <m/>
    <s v="Sí/No"/>
    <m/>
    <s v="Sí"/>
    <m/>
    <n v="0"/>
    <s v="Àrea tècnica"/>
    <s v="Tècnic/a"/>
    <s v="Contractació externa"/>
    <s v="Fons propis"/>
    <m/>
    <m/>
    <s v="X"/>
    <m/>
  </r>
  <r>
    <x v="5"/>
    <s v="OG 13"/>
    <s v="FORMAR I SENSIBILITZAR la població incrementant la valoració i estima social de l'ENP"/>
    <s v="13.4"/>
    <s v="Desplegar un programa de divulgació i sensibilització per a visitants"/>
    <s v="13.4.3"/>
    <s v="Adaptar el programa de divulgació i sensibilització de l'ENP perquè incorpori una oferta d’activitats adequada per a altres perfils "/>
    <s v="Comú"/>
    <s v="Optatiu"/>
    <s v="Adaptar el programa de divulgació i sensibilització de l'ENP perquè incorpori una oferta d’activitats adequada per a altres perfils."/>
    <m/>
    <s v="Si"/>
    <s v="Alta"/>
    <m/>
    <x v="146"/>
    <s v="PEEVA_x000a_ESNATURA"/>
    <m/>
    <s v="Sí/No"/>
    <m/>
    <s v="Sí"/>
    <m/>
    <n v="0"/>
    <s v="Àrea tècnica"/>
    <s v="Tècnic/a"/>
    <s v="Contractació externa"/>
    <s v="Fons propis"/>
    <m/>
    <m/>
    <s v="X"/>
    <m/>
  </r>
  <r>
    <x v="5"/>
    <s v="OG 13"/>
    <s v="FORMAR I SENSIBILITZAR la població incrementant la valoració i estima social de l'ENP"/>
    <s v="13.4"/>
    <s v="Desplegar un programa de divulgació i sensibilització per a visitants"/>
    <s v="13.4.4"/>
    <s v="Adaptar el programa de divulgació i sensibilització de l'ENP perquè incorpori una oferta d’activitats dirigida al lleure educatiu "/>
    <s v="Comú"/>
    <s v="Optatiu"/>
    <s v="Adaptar el programa de divulgació i sensibilització de l'ENP perquè incorpori una oferta d’activitats dirigida al lleure educatiu 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5"/>
    <s v="Desplegar un programa de sensibilització i formació per als col·lectius del territori estratègics en la conservació de la natura"/>
    <s v="13.5.1"/>
    <s v="Identificar col·lectius estratègics implicats en la gestió i l'ús del territori"/>
    <s v="Comú"/>
    <s v="Obligatori"/>
    <s v="Identificar col·lectius estratègics implicats en la gestió i l'ús del territori."/>
    <m/>
    <s v="Si"/>
    <s v="Màxima"/>
    <m/>
    <x v="147"/>
    <s v="PEEVA_x000a_ESNATURA"/>
    <m/>
    <s v="Sí/No"/>
    <m/>
    <s v="Sí"/>
    <m/>
    <n v="0"/>
    <s v="Àrea tècnica"/>
    <s v="Tècnic/a"/>
    <s v="Contractació externa"/>
    <s v="Fons propis"/>
    <m/>
    <s v="X"/>
    <m/>
    <m/>
  </r>
  <r>
    <x v="5"/>
    <s v="OG 13"/>
    <s v="FORMAR I SENSIBILITZAR la població incrementant la valoració i estima social de l'ENP"/>
    <s v="13.5"/>
    <s v="Desplegar un programa de sensibilització i formació per als col·lectius del territori estratègics en la conservació de la natura"/>
    <s v="13.5.2"/>
    <s v="Executar els projectes de sensibilització i formació dirigits al sector turístic, esportiu i de lleure"/>
    <s v="Comú"/>
    <s v="Optatiu"/>
    <s v="Executar els projectes de sensibilització i formació dirigits al sector turístic, esportiu i de lleure.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5"/>
    <s v="Desplegar un programa de sensibilització i formació per als col·lectius del territori estratègics en la conservació de la natura"/>
    <s v="13.5.3"/>
    <s v="Executar els projectes de sensibilització i formació dirigits als agents de lleure educatiu "/>
    <s v="Comú"/>
    <s v="Optatiu"/>
    <s v="Executar els projectes de sensibilització i formació dirigits als agents de lleure educatiu. 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5"/>
    <s v="Desplegar un programa de sensibilització i formació per als col·lectius del territori estratègics en la conservació de la natura"/>
    <s v="13.5.4"/>
    <s v="Executar els projectes de sensibilització i formació dirigits als agents del sector primari "/>
    <s v="Comú"/>
    <s v="Optatiu"/>
    <s v="Executar els projectes de sensibilització i formació dirigits als agents del sector primari 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5"/>
    <s v="Desplegar un programa de sensibilització i formació per als col·lectius del territori estratègics en la conservació de la natura"/>
    <s v="13.5.5"/>
    <s v="Elaborar i renovar periòdicament un programa d’educació ambiental adreçat a la població local que contribueixi a fomentar el sentiment de pertinença i la implicació en la conservació de l'ENP."/>
    <s v="Comú"/>
    <s v="Obligatori"/>
    <s v="Elaborar i renovar periòdicament un programa d’educació ambiental adreçat a la població local que contribueixi a fomentar el sentiment de pertinença i la implicació en la conservació de l'ENP."/>
    <s v="No s'aplica en aquest període"/>
    <m/>
    <s v="Màxim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6"/>
    <s v="Fomentar accions de voluntariat per conservar el patrimoni natural i cultural "/>
    <s v="13.6.1"/>
    <s v="Identificar els programes, projectes i accions en marxa o previstos a l’ENP que poden rebre el suport del voluntariat"/>
    <s v="Comú"/>
    <s v="Obligatori"/>
    <s v="Identificar els programes, projectes i accions en marxa o previstos a l’ENP que poden rebre el suport del voluntariat"/>
    <m/>
    <s v="Si"/>
    <s v="Màxima"/>
    <m/>
    <x v="148"/>
    <s v="PEEVA_x000a_ESNATURA"/>
    <m/>
    <s v="Sí/No"/>
    <m/>
    <s v="Sí"/>
    <m/>
    <n v="0"/>
    <s v="Àrea tècnica"/>
    <s v="Tècnic/a"/>
    <s v="Contractació externa"/>
    <s v="Fons propis"/>
    <m/>
    <m/>
    <m/>
    <s v="X"/>
  </r>
  <r>
    <x v="5"/>
    <s v="OG 13"/>
    <s v="FORMAR I SENSIBILITZAR la població incrementant la valoració i estima social de l'ENP"/>
    <s v="13.6"/>
    <s v="Fomentar accions de voluntariat per conservar el patrimoni natural i cultural "/>
    <s v="13.6.2"/>
    <s v="Establir un model de coordinació territorial amb agents clau del voluntariat ambiental"/>
    <s v="Comú"/>
    <s v="Obligatori"/>
    <s v="Establir un model de coordinació territorial amb agents clau del voluntariat ambiental."/>
    <s v="No s'aplica en aquest període"/>
    <m/>
    <s v="Alta"/>
    <m/>
    <x v="23"/>
    <s v="ESNATURA_x000a_PEEVA"/>
    <s v="SEA: Elabora Model de Taula de Voluntariat Ambiental "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7"/>
    <s v="Treballar per a la universalitat de les accions d’educació, sensibilització i voluntariat ambiental "/>
    <s v="13.7.1"/>
    <s v="Dissenyar i adaptar activitats inclusives per a persones amb necessitats específiques"/>
    <s v="Comú"/>
    <s v="Obligatori"/>
    <s v="Dissenyar i adaptar activitats inclusives per a persones amb necessitats específiques."/>
    <s v="No s'aplica en aquest període"/>
    <m/>
    <s v="Mitjan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7"/>
    <s v="Treballar per a la universalitat de les accions d’educació, sensibilització i voluntariat ambiental "/>
    <s v="13.7.2"/>
    <s v="Formar el personal de l'ENP (informadors i personal que treballa de cara al públic) en accessibilitat, diversitat funcional i diversitat de gènere"/>
    <s v="Comú"/>
    <s v="Optatiu"/>
    <s v="Formar el personal de l'ENP (informadors i personal que treballa de cara al públic) en accessibilitat, diversitat funcional i diversitat de gènere.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7"/>
    <s v="Treballar per a la universalitat de les accions d’educació, sensibilització i voluntariat ambiental "/>
    <s v="13.7.3"/>
    <s v="Incorporar la perspectiva de gènere als continguts i activitats de l'ENP"/>
    <s v="Comú"/>
    <s v="Obligatori"/>
    <s v="Incorporar la perspectiva de gènere als continguts i activitats de l'ENP."/>
    <m/>
    <s v="Si"/>
    <s v="Alta"/>
    <m/>
    <x v="149"/>
    <s v="PEEVA_x000a_ESNATURA"/>
    <m/>
    <s v="Sí/No"/>
    <m/>
    <s v="Sí"/>
    <m/>
    <n v="0"/>
    <s v="Àrea tècnica"/>
    <s v="Tècnic/a"/>
    <s v="Mitjans propis"/>
    <s v="Fons propis"/>
    <s v="X"/>
    <s v="X"/>
    <s v="X"/>
    <s v="X"/>
  </r>
  <r>
    <x v="5"/>
    <s v="OG 13"/>
    <s v="FORMAR I SENSIBILITZAR la població incrementant la valoració i estima social de l'ENP"/>
    <s v="13.8"/>
    <s v="Desplegar i adaptar el programa Salut i Natura de la DG en l'àmbit de l'ENP"/>
    <s v="13.8.1"/>
    <s v="Dissenyar, implementar i fomentar itineraris saludables dins dels itineraris oficials dels ENP i en la zona d'influència"/>
    <s v="Comú"/>
    <s v="Optatiu"/>
    <s v="Dissenyar, implementar i fomentar itineraris saludables dins dels itineraris oficials dels ENP i en la zona d'influència.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8"/>
    <s v="Desplegar i adaptar el programa Salut i Natura de la DG en l'àmbit de l'ENP"/>
    <s v="13.8.2"/>
    <s v="Identificar els agents clau i els àmbits de col·laboració per implementar el binomi salut i natura"/>
    <s v="Comú"/>
    <s v="Optatiu"/>
    <s v="Identificar els agents clau i els àmbits de col·laboració per implementar el binomi salut i natura.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8"/>
    <s v="Desplegar i adaptar el programa Salut i Natura de la DG en l'àmbit de l'ENP"/>
    <s v="13.8.3"/>
    <s v="Incloure el concepte de salut i natura en els missatges educatius i comunicatius de l'ENP "/>
    <s v="Comú"/>
    <s v="Optatiu"/>
    <s v="Incloure el concepte de salut i natura en els missatges educatius i comunicatius de l'ENP."/>
    <s v="No s'aplica en aquest període"/>
    <m/>
    <s v="Alta"/>
    <m/>
    <x v="23"/>
    <s v="PEEVA_x000a_ESNATURA"/>
    <m/>
    <m/>
    <m/>
    <m/>
    <m/>
    <n v="0"/>
    <m/>
    <m/>
    <m/>
    <m/>
    <m/>
    <m/>
    <m/>
    <m/>
  </r>
  <r>
    <x v="5"/>
    <s v="OG 13"/>
    <s v="FORMAR I SENSIBILITZAR la població incrementant la valoració i estima social de l'ENP"/>
    <s v="13.8"/>
    <s v="Desplegar i adaptar el programa Salut i Natura de la DG en l'àmbit de l'ENP"/>
    <s v="13.8.4"/>
    <s v="Participar a les Taules territorials de Salut i Natura"/>
    <s v="Comú"/>
    <s v="Optatiu"/>
    <s v="Participar a les Taules territorials de Salut i Natura."/>
    <m/>
    <s v="No"/>
    <s v="Alta"/>
    <m/>
    <x v="150"/>
    <s v="PEEVA_x000a_ESNATURA"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5"/>
    <s v="OG 14"/>
    <s v="COMUNICAR I DIFONDRE ELS VALORS DE L'ENP, contribuint a l'educació ambiental de la societat"/>
    <s v="14.1"/>
    <s v="Augmentar el coneixement de l'ENP entre la població"/>
    <s v="14.1.1"/>
    <s v="Informar periòdicament sobre les tasques, projectes i actuacions que duu a terme l'ENP a la població"/>
    <s v="Comú"/>
    <s v="Obligatori"/>
    <s v="Informar periòdicament sobre les tasques, projectes i actuacions que duu a terme l'ENP a la població."/>
    <m/>
    <s v="Si"/>
    <s v="Mitjana"/>
    <m/>
    <x v="151"/>
    <s v="Pla de comunicació"/>
    <s v="SENP: Elaborar els productes comunicatius"/>
    <s v="Sí/No"/>
    <m/>
    <s v="Sí"/>
    <m/>
    <n v="0"/>
    <s v="Àrea coordinació"/>
    <s v="Tècnic coordinador"/>
    <s v="Mitjans propis"/>
    <s v="Fons propis"/>
    <s v="X"/>
    <s v="X"/>
    <s v="X"/>
    <s v="X"/>
  </r>
  <r>
    <x v="5"/>
    <s v="OG 14"/>
    <s v="COMUNICAR I DIFONDRE ELS VALORS DE L'ENP, contribuint a l'educació ambiental de la societat"/>
    <s v="14.1"/>
    <s v="Augmentar el coneixement de l'ENP entre la població"/>
    <s v="14.1.1"/>
    <s v="Informar periòdicament sobre les tasques, projectes i actuacions que duu a terme l'ENP a la població"/>
    <s v="Comú"/>
    <s v="Obligatori"/>
    <s v="Informar periòdicament sobre les tasques, projectes i actuacions que duu a terme l'ENP a la població."/>
    <m/>
    <s v="Si"/>
    <s v="Mitjana"/>
    <m/>
    <x v="152"/>
    <s v="Pla de comunicació"/>
    <s v="SENP: Elaborar els productes comunicatius"/>
    <s v="Seminaris o congressos assistits"/>
    <n v="2"/>
    <n v="4"/>
    <m/>
    <n v="0"/>
    <s v="Àrea coordinació"/>
    <s v="Tècnic coordinador"/>
    <s v="Mitjans propis"/>
    <s v="Fons propis"/>
    <s v="X"/>
    <s v="X"/>
    <s v="X"/>
    <s v="X"/>
  </r>
  <r>
    <x v="5"/>
    <s v="OG 14"/>
    <s v="COMUNICAR I DIFONDRE ELS VALORS DE L'ENP, contribuint a l'educació ambiental de la societat"/>
    <s v="14.1"/>
    <s v="Augmentar el coneixement de l'ENP entre la població"/>
    <s v="14.1.1"/>
    <s v="Informar periòdicament sobre les tasques, projectes i actuacions que duu a terme l'ENP a la població"/>
    <s v="Comú"/>
    <s v="Obligatori"/>
    <s v="Informar periòdicament sobre les tasques, projectes i actuacions que duu a terme l'ENP a la població."/>
    <m/>
    <s v="Si"/>
    <s v="Mitjana"/>
    <m/>
    <x v="153"/>
    <s v="Pla de comunicació"/>
    <s v="SENP: Elaborar els productes comunicatius"/>
    <s v="Sí/No"/>
    <m/>
    <s v="Sí"/>
    <m/>
    <n v="0"/>
    <s v="Àrea tècnica"/>
    <s v="Tècnic/a"/>
    <s v="Contractació externa"/>
    <s v="Fons propis"/>
    <s v="X"/>
    <s v="X"/>
    <s v="X"/>
    <s v="X"/>
  </r>
  <r>
    <x v="5"/>
    <s v="OG 14"/>
    <s v="COMUNICAR I DIFONDRE ELS VALORS DE L'ENP, contribuint a l'educació ambiental de la societat"/>
    <s v="14.1"/>
    <s v="Augmentar el coneixement de l'ENP entre la població"/>
    <s v="14.1.1"/>
    <s v="Informar periòdicament sobre les tasques, projectes i actuacions que duu a terme l'ENP a la població"/>
    <s v="Comú"/>
    <s v="Obligatori"/>
    <s v="Informar periòdicament sobre les tasques, projectes i actuacions que duu a terme l'ENP a la població."/>
    <m/>
    <s v="Si"/>
    <s v="Mitjana"/>
    <m/>
    <x v="154"/>
    <s v="Pla de comunicació"/>
    <s v="SENP: Elaborar els productes comunicatius"/>
    <s v="Sí/No"/>
    <m/>
    <s v="Sí"/>
    <m/>
    <n v="0"/>
    <s v="Àrea tècnica"/>
    <s v="Tècnic/a"/>
    <s v="Mitjans propis"/>
    <s v="Fons propis"/>
    <s v="X"/>
    <s v="X"/>
    <s v="X"/>
    <s v="X"/>
  </r>
  <r>
    <x v="5"/>
    <s v="OG 14"/>
    <s v="COMUNICAR I DIFONDRE ELS VALORS DE L'ENP, contribuint a l'educació ambiental de la societat"/>
    <s v="14.1"/>
    <s v="Augmentar el coneixement de l'ENP entre la població"/>
    <s v="14.1.2"/>
    <s v="Garantir l'accessibilitat i gestió del coneixement disponible sobre l'ENP"/>
    <s v="Comú"/>
    <s v="Obligatori"/>
    <s v="Garantir l'accessibilitat i gestió del coneixement disponible sobre l'ENP."/>
    <m/>
    <s v="Si"/>
    <s v="Mitjana"/>
    <m/>
    <x v="155"/>
    <m/>
    <m/>
    <s v="Sí/No"/>
    <m/>
    <s v="Sí"/>
    <m/>
    <n v="0"/>
    <s v="Àrea tècnica"/>
    <s v="Tècnic/a"/>
    <s v="Mitjans propis"/>
    <s v="Fons propis"/>
    <s v="X"/>
    <s v="X"/>
    <s v="X"/>
    <s v="X"/>
  </r>
  <r>
    <x v="5"/>
    <s v="OG 14"/>
    <s v="COMUNICAR I DIFONDRE ELS VALORS DE L'ENP, contribuint a l'educació ambiental de la societat"/>
    <s v="14.2"/>
    <s v="Conscienciar sobre els valors de l'ENP als diferents públics objectiu"/>
    <s v="14.2.1"/>
    <s v="Sensibilitzar als diferents agents sobre els valors de l'ENP"/>
    <s v="Comú"/>
    <s v="Obligatori"/>
    <s v="Sensibilitzar als diferents agents sobre els valors de l'ENP."/>
    <m/>
    <m/>
    <s v="Mitjana"/>
    <m/>
    <x v="156"/>
    <m/>
    <s v="SEA: Crear material divulgatiu"/>
    <s v="Sí/No"/>
    <m/>
    <s v="Si"/>
    <m/>
    <n v="0"/>
    <s v="Àrea tècnica"/>
    <s v="Tècnic/a"/>
    <s v="Mitjans propis"/>
    <s v="Fons propis"/>
    <s v="X"/>
    <s v="X"/>
    <s v="X"/>
    <s v="X"/>
  </r>
  <r>
    <x v="5"/>
    <s v="OG 14"/>
    <s v="COMUNICAR I DIFONDRE ELS VALORS DE L'ENP, contribuint a l'educació ambiental de la societat"/>
    <s v="14.2"/>
    <s v="Conscienciar sobre els valors de l'ENP als diferents públics objectiu"/>
    <s v="14.2.1"/>
    <s v="Sensibilitzar als diferents agents sobre els valors de l'ENP"/>
    <s v="Comú"/>
    <s v="Obligatori"/>
    <s v="Sensibilitzar als diferents agents sobre els valors de l'ENP."/>
    <m/>
    <m/>
    <s v="Mitjana"/>
    <m/>
    <x v="157"/>
    <m/>
    <s v="SEA: Crear material divulgatiu"/>
    <s v="Sí/No"/>
    <m/>
    <s v="Si"/>
    <m/>
    <n v="0"/>
    <s v="Àrea tècnica"/>
    <s v="Tècnic/a"/>
    <s v="Mitjans propis"/>
    <s v="Fons propis"/>
    <m/>
    <m/>
    <s v="X"/>
    <m/>
  </r>
  <r>
    <x v="5"/>
    <s v="OG 14"/>
    <s v="COMUNICAR I DIFONDRE ELS VALORS DE L'ENP, contribuint a l'educació ambiental de la societat"/>
    <s v="14.2"/>
    <s v="Conscienciar sobre els valors de l'ENP als diferents públics objectiu"/>
    <s v="14.2.1"/>
    <s v="Sensibilitzar als diferents agents sobre els valors de l'ENP"/>
    <s v="Comú"/>
    <s v="Obligatori"/>
    <s v="Sensibilitzar als diferents agents sobre els valors de l'ENP."/>
    <m/>
    <m/>
    <s v="Mitjana"/>
    <m/>
    <x v="158"/>
    <m/>
    <s v="SEA: Crear material divulgatiu"/>
    <s v="Número de publicacions"/>
    <n v="1"/>
    <s v="2"/>
    <m/>
    <n v="0"/>
    <s v="Àrea tècnica"/>
    <s v="Tècnic/a"/>
    <s v="Mitjans propis"/>
    <s v="Fons propis"/>
    <m/>
    <m/>
    <s v="X"/>
    <m/>
  </r>
  <r>
    <x v="5"/>
    <s v="OG 14"/>
    <s v="COMUNICAR I DIFONDRE ELS VALORS DE L'ENP, contribuint a l'educació ambiental de la societat"/>
    <s v="14.3"/>
    <s v="Disposar d'una comunicació ordenada efectiva, positiva i coordinada que arribi a la ciutadania i aquesta pugui reconèixer fàcilment "/>
    <s v="14.3.1"/>
    <s v="Optimitzar els canals de comunicació"/>
    <s v="Comú"/>
    <s v="Obligatori"/>
    <s v="Optimitzar els canals de comunicació."/>
    <m/>
    <s v="Si"/>
    <s v="Mitjana"/>
    <m/>
    <x v="159"/>
    <s v="Pla de comunicació"/>
    <m/>
    <s v="Sí/No"/>
    <m/>
    <s v="Sí"/>
    <m/>
    <n v="0"/>
    <s v="Àrea tècnica"/>
    <s v="Tècnic/a"/>
    <s v="Mitjans propis"/>
    <s v="Fons propis"/>
    <s v="X"/>
    <s v="X"/>
    <s v="X"/>
    <s v="X"/>
  </r>
  <r>
    <x v="5"/>
    <s v="OG 14"/>
    <s v="COMUNICAR I DIFONDRE ELS VALORS DE L'ENP, contribuint a l'educació ambiental de la societat"/>
    <s v="14.3"/>
    <s v="Disposar d'una comunicació ordenada efectiva, positiva i coordinada que arribi a la ciutadania i aquesta pugui reconèixer fàcilment "/>
    <s v="14.3.2"/>
    <s v="Garantir l'harmonització de la comunicació com a Parc, Xarxa i Generalitat."/>
    <s v="Comú"/>
    <s v="Obligatori"/>
    <s v="Garantir l'harmonització de la comunicació com a Parc, Xarxa i Generalitat."/>
    <m/>
    <s v="Si"/>
    <s v="Mitjana"/>
    <m/>
    <x v="160"/>
    <s v="Pla de comunicació"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1"/>
    <s v="Crear una taula de treball amb els agents prioritaris per a la gestió de l'ENP i els grups de treball temàtics necessaris"/>
    <s v="Comú"/>
    <s v="Optatiu"/>
    <s v="Crear una taula de treball amb els agents prioritaris per a la gestió de l'ENP i els grups de treball temàtics necessaris."/>
    <m/>
    <s v="Si"/>
    <s v="Mitjana"/>
    <m/>
    <x v="161"/>
    <m/>
    <m/>
    <s v="Nombre de reunions / any"/>
    <n v="4"/>
    <n v="4"/>
    <m/>
    <n v="0"/>
    <s v="Direcció"/>
    <s v="Director"/>
    <s v="Mitjans propis"/>
    <s v="Fons propis"/>
    <s v="X"/>
    <s v="X"/>
    <s v="X"/>
    <s v="X"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2"/>
    <s v="Disposar d'assessorament científic en l'ENP"/>
    <s v="Comú"/>
    <s v="Optatiu"/>
    <s v="Disposar d'assessorament científic en l'ENP."/>
    <m/>
    <s v="Si"/>
    <s v="Mitjana"/>
    <m/>
    <x v="162"/>
    <m/>
    <m/>
    <s v="Sí/No"/>
    <m/>
    <s v="Sí"/>
    <m/>
    <n v="0"/>
    <s v="Àrea coordinació"/>
    <s v="Tècnic coordinador"/>
    <s v="Mitjans propis"/>
    <s v="Fons propis"/>
    <s v="X"/>
    <m/>
    <m/>
    <m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2"/>
    <s v="Disposar d'assessorament científic en l'ENP"/>
    <s v="Comú"/>
    <s v="Optatiu"/>
    <s v="Disposar d'assessorament científic en l'ENP."/>
    <m/>
    <s v="Si"/>
    <s v="Mitjana"/>
    <m/>
    <x v="163"/>
    <m/>
    <m/>
    <s v="Nombre de reunions / any"/>
    <n v="2"/>
    <n v="4"/>
    <m/>
    <n v="0"/>
    <s v="Direcció"/>
    <s v="Director"/>
    <s v="Mitjans propis"/>
    <s v="Fons propis"/>
    <s v="X"/>
    <s v="X"/>
    <s v="X"/>
    <s v="X"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3"/>
    <s v="Incloure entitats i organismes científics i culturals de referència en els mecanismes de presa de decisions de l'ENP"/>
    <s v="Comú"/>
    <s v="Optatiu"/>
    <m/>
    <s v="Objectiu operatiu inclòs dins a l'objectiu 15.1.1"/>
    <m/>
    <s v="Mitjana"/>
    <m/>
    <x v="23"/>
    <m/>
    <m/>
    <m/>
    <m/>
    <m/>
    <m/>
    <n v="0"/>
    <m/>
    <m/>
    <m/>
    <m/>
    <m/>
    <m/>
    <m/>
    <m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4"/>
    <s v="Adaptar i desplegar el model de governança dels espais naturals protegits"/>
    <s v="Comú"/>
    <s v="Obligatori"/>
    <s v="Adaptar i desplegar el model de governança dels espais naturals protegits."/>
    <m/>
    <s v="Si"/>
    <s v="Alta"/>
    <n v="1"/>
    <x v="164"/>
    <m/>
    <s v="SENP: Elaborar una proposta de model de governança dels espais naturals protegits"/>
    <s v="Sí/No"/>
    <m/>
    <s v="Sí"/>
    <m/>
    <n v="0"/>
    <s v="Direcció"/>
    <s v="Director"/>
    <s v="Mitjans propis"/>
    <s v="Fons propis"/>
    <s v="X"/>
    <m/>
    <m/>
    <m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4"/>
    <s v="Adaptar i desplegar el model de governança dels espais naturals protegits"/>
    <s v="Comú"/>
    <s v="Obligatori"/>
    <s v="Adaptar i desplegar el model de governança dels espais naturals protegits."/>
    <m/>
    <s v="Si"/>
    <s v="Alta"/>
    <n v="2"/>
    <x v="165"/>
    <m/>
    <s v="SENP: Elaborar una proposta de model de governança dels espais naturals protegits"/>
    <s v="Sí/No"/>
    <m/>
    <s v="Sí"/>
    <m/>
    <n v="0"/>
    <s v="Presidència"/>
    <s v="President"/>
    <s v="Mitjans propis"/>
    <s v="Fons propis"/>
    <s v="X"/>
    <m/>
    <m/>
    <m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4"/>
    <s v="Adaptar i desplegar el model de governança dels espais naturals protegits"/>
    <s v="Comú"/>
    <s v="Obligatori"/>
    <s v="Adaptar i desplegar el model de governança dels espais naturals protegits."/>
    <m/>
    <s v="Si"/>
    <s v="Alta"/>
    <m/>
    <x v="166"/>
    <s v="Document redactat"/>
    <n v="1"/>
    <s v="Sí/No"/>
    <m/>
    <s v="Sí"/>
    <m/>
    <n v="0"/>
    <s v="Direcció"/>
    <s v="Director"/>
    <s v="Mitjans propis"/>
    <s v="Fons propis"/>
    <m/>
    <m/>
    <m/>
    <s v="X"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4"/>
    <s v="Adaptar i desplegar el model de governança dels espais naturals protegits"/>
    <s v="Comú"/>
    <s v="Obligatori"/>
    <s v="Adaptar i desplegar el model de governança dels espais naturals protegits."/>
    <m/>
    <s v="Si"/>
    <s v="Alta"/>
    <m/>
    <x v="167"/>
    <m/>
    <s v="SENP: Elaborar una proposta de model de governança dels espais naturals protegits"/>
    <s v="Sí/No"/>
    <m/>
    <s v="Sí"/>
    <m/>
    <n v="0"/>
    <s v="Presidència"/>
    <s v="President"/>
    <s v="Mitjans propis"/>
    <s v="Fons propis"/>
    <m/>
    <m/>
    <m/>
    <s v="X"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4"/>
    <s v="Adaptar i desplegar el model de governança dels espais naturals protegits"/>
    <s v="Comú"/>
    <s v="Obligatori"/>
    <s v="Adaptar i desplegar el model de governança dels espais naturals protegits."/>
    <m/>
    <s v="Si"/>
    <s v="Alta"/>
    <m/>
    <x v="168"/>
    <m/>
    <m/>
    <s v="Document redactat"/>
    <n v="4"/>
    <n v="4"/>
    <m/>
    <n v="0"/>
    <s v="Àrea coordinació"/>
    <s v="Tècnic coordinador"/>
    <s v="Mitjans propis"/>
    <s v="Fons propis"/>
    <s v="X"/>
    <s v="X"/>
    <s v="X"/>
    <s v="X"/>
  </r>
  <r>
    <x v="6"/>
    <s v="OG 15"/>
    <s v="ESTABLIR EL MARC PER A LA GOVERNANÇA i la gestió eficient de l'espai i la xarxa d'ENP"/>
    <s v="15.1"/>
    <s v="Disposar d'espais per a la participació de personal expert i agents del territori en la governança de l'ENP"/>
    <s v="15.1.4"/>
    <s v="Adaptar i desplegar el model de governança dels espais naturals protegits"/>
    <s v="Comú"/>
    <s v="Obligatori"/>
    <s v="Adaptar i desplegar el model de governança dels espais naturals protegits"/>
    <m/>
    <s v="Si"/>
    <s v="Alta"/>
    <m/>
    <x v="169"/>
    <m/>
    <m/>
    <s v="Acord d'aprovació"/>
    <m/>
    <n v="4"/>
    <m/>
    <n v="0"/>
    <s v="Presidència"/>
    <s v="President"/>
    <s v="Mitjans propis"/>
    <s v="Fons propi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 d'acord amb les indicacions de l'administració d'adscripció."/>
    <m/>
    <s v="Si"/>
    <s v="Alta"/>
    <n v="1"/>
    <x v="170"/>
    <m/>
    <m/>
    <s v="Document redactat"/>
    <n v="4"/>
    <n v="4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 d'acord amb les indicacions de l'administració d'adscripció."/>
    <m/>
    <s v="Si"/>
    <s v="Alta"/>
    <n v="2"/>
    <x v="171"/>
    <m/>
    <m/>
    <s v="Acord d'aprovació"/>
    <n v="4"/>
    <n v="4"/>
    <m/>
    <n v="0"/>
    <s v="Direcció"/>
    <s v="Director"/>
    <s v="Mitjans propis"/>
    <s v="Fons propi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 d'acord amb les indicacions de l'administració d'adscripció."/>
    <m/>
    <s v="Si"/>
    <s v="Alta"/>
    <n v="0"/>
    <x v="172"/>
    <m/>
    <m/>
    <s v="Sí/No"/>
    <m/>
    <s v="Sí"/>
    <m/>
    <n v="0"/>
    <s v="Intervenció"/>
    <s v="Interventora"/>
    <s v="Mitjans propis"/>
    <s v="Fons propi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 d'acord amb les indicacions de l'administració d'adscripció."/>
    <m/>
    <s v="Si"/>
    <s v="Alta"/>
    <n v="5"/>
    <x v="173"/>
    <m/>
    <m/>
    <s v="Sí/No"/>
    <m/>
    <s v="Sí"/>
    <m/>
    <n v="0"/>
    <s v="Intervenció"/>
    <s v="Interventora"/>
    <s v="Contractació externa"/>
    <s v="Altres aportacion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 d'acord amb les indicacions de l'administració d'adscripció."/>
    <m/>
    <s v="Si"/>
    <s v="Alta"/>
    <n v="3"/>
    <x v="174"/>
    <m/>
    <m/>
    <s v="Sí/No"/>
    <m/>
    <s v="Sí"/>
    <m/>
    <n v="0"/>
    <s v="Intervenció"/>
    <s v="Interventora"/>
    <s v="Mitjans propis"/>
    <s v="Fons propi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 d'acord amb les indicacions de l'administració d'adscripció."/>
    <m/>
    <s v="Si"/>
    <s v="Alta"/>
    <n v="4"/>
    <x v="175"/>
    <m/>
    <m/>
    <s v="Sí/No"/>
    <m/>
    <s v="Sí"/>
    <m/>
    <n v="0"/>
    <s v="Presidència"/>
    <s v="President"/>
    <s v="Mitjans propis"/>
    <s v="Fons propi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 d'acord amb les indicacions de l'administració d'adscripció."/>
    <m/>
    <s v="Si"/>
    <s v="Alta"/>
    <n v="6"/>
    <x v="176"/>
    <m/>
    <m/>
    <s v="Sí/No"/>
    <m/>
    <s v="Sí"/>
    <m/>
    <n v="0"/>
    <s v="Intervenció"/>
    <s v="Interventora"/>
    <m/>
    <s v="Fons propi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 d'acord amb les indicacions de l'administració d'adscripció."/>
    <m/>
    <s v="Si"/>
    <s v="Alta"/>
    <n v="7"/>
    <x v="177"/>
    <m/>
    <m/>
    <s v="Sí/No"/>
    <m/>
    <s v="Sí"/>
    <m/>
    <n v="0"/>
    <s v="Presidència"/>
    <s v="President"/>
    <s v="Mitjans propis"/>
    <s v="Fons propis"/>
    <s v="X"/>
    <s v="X"/>
    <s v="X"/>
    <s v="X"/>
  </r>
  <r>
    <x v="6"/>
    <s v="OG 16"/>
    <s v="MILLORAR L'EFICIÈNCIA de la gestió administrativa"/>
    <s v="16.1"/>
    <s v="Optimitzar l'aplicació pressupostaria"/>
    <s v="16.1.1"/>
    <s v="Millorar el sistema de control de l'execució del pressupost, d'acord amb les indicacions de Serveis Centrals"/>
    <s v="Comú"/>
    <s v="Obligatori"/>
    <s v="Millorar el sistema de control de l'execució del pressupost, d'acord amb les indicacions de Serveis Centrals de la Generalitat de Catalunya."/>
    <m/>
    <s v="Si"/>
    <s v="Mitjana"/>
    <n v="0"/>
    <x v="178"/>
    <m/>
    <m/>
    <s v="Nombre de reunions "/>
    <n v="1"/>
    <n v="4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2"/>
    <s v="Planificar i optimitzar els processos de contractació, concessió d'ajuts, i les col·laboracions amb ens públics i privats"/>
    <s v="16.2.1"/>
    <s v="Planificar i detectar les necessitats de contractació del l'ENP per a l'optimització dels contractes a nivell de Xarxa"/>
    <s v="Comú"/>
    <s v="Obligatori"/>
    <s v="Detectar i planificar les necessitats de contractació del l'ENP per a l'optimització dels contractes a nivell de Xarxa o altres administracions."/>
    <s v="Planificar les necessitats de contractació del l'ENP per a l'optimització dels contractes a nivell de Xarxa"/>
    <s v="Si"/>
    <s v="Mitjana"/>
    <m/>
    <x v="179"/>
    <m/>
    <s v="SENP: Crear espais de coordinació entre ENP per detectar necessitats conjuntes."/>
    <s v="Nombre de reunions "/>
    <n v="2"/>
    <n v="4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2"/>
    <s v="Planificar i optimitzar els processos de contractació, concessió d'ajuts, i les col·laboracions amb ens públics i privats"/>
    <s v="16.2.1"/>
    <s v="Planificar i detectar les necessitats de contractació del l'ENP per a l'optimització dels contractes a nivell de Xarxa"/>
    <s v="Comú"/>
    <s v="Obligatori"/>
    <s v="Detectar i planificar les necessitats de contractació del l'ENP per a l'optimització dels contractes a nivell de Xarxa o altres administracions."/>
    <s v="Planificar les necessitats de contractació del l'ENP per a l'optimització dels contractes a nivell de Xarxa"/>
    <s v="Si"/>
    <s v="Mitjana"/>
    <m/>
    <x v="180"/>
    <m/>
    <s v="SENP: Crear espais de coordinació entre ENP per detectar necessitats conjuntes."/>
    <s v="Nombre de contractes agrupats"/>
    <n v="1"/>
    <n v="2"/>
    <m/>
    <n v="0"/>
    <s v="Secretaria"/>
    <s v="Secretària"/>
    <s v="Mitjans propis"/>
    <s v="Fons propis"/>
    <s v="X"/>
    <s v="X"/>
    <s v="X"/>
    <s v="X"/>
  </r>
  <r>
    <x v="6"/>
    <s v="OG 16"/>
    <s v="MILLORAR L'EFICIÈNCIA de la gestió administrativa"/>
    <s v="16.2"/>
    <s v="Planificar i optimitzar els processos de contractació, concessió d'ajuts, i les col·laboracions amb ens públics i privats"/>
    <s v="16.2.1"/>
    <s v="Planificar i detectar les necessitats de contractació del l'ENP per a l'optimització dels contractes a nivell de Xarxa"/>
    <s v="Comú"/>
    <s v="Obligatori"/>
    <s v="Detectar i planificar les necessitats de contractació del l'ENP per a l'optimització dels contractes a nivell de Xarxa o altres administracions."/>
    <m/>
    <s v="Si"/>
    <s v="Mitjana"/>
    <m/>
    <x v="181"/>
    <m/>
    <m/>
    <s v="Sí/No"/>
    <m/>
    <s v="Sí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2"/>
    <s v="Planificar i optimitzar els processos de contractació, concessió d'ajuts, i les col·laboracions amb ens públics i privats"/>
    <s v="16.2.2"/>
    <s v="Planificar i detectar les tasques de convocatòries d'ajuts de l'ENP"/>
    <s v="Comú"/>
    <s v="Obligatori"/>
    <s v="Planificar i detectar les tasques de convocatòries d'ajuts de l'ENP."/>
    <m/>
    <s v="Si"/>
    <s v="Mitjana"/>
    <m/>
    <x v="182"/>
    <m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2"/>
    <s v="Planificar i optimitzar els processos de contractació, concessió d'ajuts, i les col·laboracions amb ens públics i privats"/>
    <s v="16.2.2"/>
    <s v="Planificar i detectar les tasques de convocatòries d'ajuts de l'ENP"/>
    <s v="Comú"/>
    <s v="Obligatori"/>
    <s v="Planificar i detectar les tasques de convocatòries d'ajuts de l'ENP."/>
    <m/>
    <s v="Si"/>
    <s v="Mitjana"/>
    <m/>
    <x v="183"/>
    <m/>
    <m/>
    <s v="Nombre de reunions "/>
    <n v="1"/>
    <n v="2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2"/>
    <s v="Planificar i optimitzar els processos de contractació, concessió d'ajuts, i les col·laboracions amb ens públics i privats"/>
    <s v="16.2.3"/>
    <s v="Establir i renovar en temps i forma convenis de col·laboració, convenis marc, acords, protocols i altres instruments de col·laboració."/>
    <s v="Comú"/>
    <s v="Obligatori"/>
    <s v="Establir i renovar en temps i forma convenis de col·laboració, convenis marc, acords, protocols i altres instruments de col·laboració."/>
    <m/>
    <s v="Si"/>
    <s v="Mitjana"/>
    <m/>
    <x v="184"/>
    <m/>
    <s v="UGA: Coordinar l'elaboració dels catàlegs col·lectius amb ENP, universitats i centres documentació"/>
    <s v="Sí/No"/>
    <m/>
    <s v="Sí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2"/>
    <s v="Planificar i optimitzar els processos de contractació, concessió d'ajuts, i les col·laboracions amb ens públics i privats"/>
    <s v="16.2.3"/>
    <s v="Establir i renovar en temps i forma convenis de col·laboració, convenis marc, acords, protocols i altres instruments de col·laboració."/>
    <s v="Comú"/>
    <s v="Obligatori"/>
    <s v="Establir i renovar en temps i forma convenis de col·laboració, convenis marc, acords, protocols i altres instruments de col·laboració."/>
    <m/>
    <s v="Si"/>
    <s v="Mitjana"/>
    <m/>
    <x v="185"/>
    <m/>
    <m/>
    <s v="Nombre d'acords establerts"/>
    <n v="0"/>
    <n v="1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2"/>
    <s v="Planificar i optimitzar els processos de contractació, concessió d'ajuts, i les col·laboracions amb ens públics i privats"/>
    <s v="16.2.3"/>
    <s v="Establir i renovar en temps i forma convenis de col·laboració, convenis marc, acords, protocols i altres instruments de col·laboració."/>
    <s v="Comú"/>
    <s v="Obligatori"/>
    <s v="Establir i renovar en temps i forma convenis de col·laboració, convenis marc, acords, protocols i altres instruments de col·laboració."/>
    <m/>
    <s v="Si"/>
    <s v="Mitjana"/>
    <m/>
    <x v="186"/>
    <m/>
    <m/>
    <s v="Nombre de convenis renovats"/>
    <n v="0"/>
    <n v="1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2"/>
    <s v="Adequar i actualitzar els procediments i tramitacions realitzats des de l'ENP als nous processos i eines conjuntes proposades des de Serveis Centrals"/>
    <s v="Comú"/>
    <s v="Obligatori"/>
    <s v="Adequar i actualitzar els procediments i tramitacions realitzats des de l'ENP als nous processos i eines conjuntes proposades des de Serveis Centrals."/>
    <m/>
    <s v="Si"/>
    <m/>
    <m/>
    <x v="187"/>
    <m/>
    <m/>
    <s v="Sí/No"/>
    <m/>
    <s v="Sí"/>
    <m/>
    <n v="0"/>
    <s v="Àrea tècnica"/>
    <s v="Tècnic/a"/>
    <s v="Mitjans propis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1"/>
    <s v="Optimitzar l'elaboració d'informes"/>
    <s v="Comú"/>
    <s v="Obligatori"/>
    <s v="Optimitzar l'elaboració d'informes."/>
    <m/>
    <s v="Si"/>
    <s v="Mitjana"/>
    <m/>
    <x v="188"/>
    <m/>
    <m/>
    <s v="Nombre d'informes administratius"/>
    <m/>
    <n v="125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1"/>
    <s v="Optimitzar l'elaboració d'informes"/>
    <s v="Comú"/>
    <s v="Obligatori"/>
    <s v="Optimitzar l'elaboració d'informes."/>
    <m/>
    <s v="Si"/>
    <s v="Mitjana"/>
    <m/>
    <x v="189"/>
    <m/>
    <m/>
    <s v="Nombre d'informes tècnics"/>
    <m/>
    <n v="15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1"/>
    <s v="Optimitzar l'elaboració d'informes"/>
    <s v="Comú"/>
    <s v="Obligatori"/>
    <s v="Optimitzar l'elaboració d'informes."/>
    <s v="Assessorament en l'elaboració d'informes preceptius de la Generalitat o amb els ens integrants del Consorci"/>
    <s v="Si"/>
    <s v="Mitjana"/>
    <m/>
    <x v="190"/>
    <m/>
    <m/>
    <s v="Nombre d'expedients assessorats"/>
    <m/>
    <n v="25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2"/>
    <s v="Adequar i actualitzar els procediments i tramitacions realitzats des de l'ENP als nous processos i eines conjuntes proposades des de Serveis Centrals"/>
    <s v="Comú"/>
    <s v="Obligatori"/>
    <s v="Adequar i actualitzar els procediments i tramitacions realitzats des de l'ENP als nous processos i eines conjuntes proposades des de l'administració d'adscripció."/>
    <m/>
    <s v="Si"/>
    <s v="Mitjana"/>
    <m/>
    <x v="191"/>
    <m/>
    <s v="UGA: Simplificació i optimització de formularis. Tipificació de peticions (tràmits específics)"/>
    <s v="Sí/No"/>
    <m/>
    <s v="Sí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3"/>
    <s v="Augmentar el coneixement de l'equip de treball en matèria de procediment administratiu"/>
    <s v="Comú"/>
    <s v="Obligatori"/>
    <s v="Augmentar el coneixement de l'equip de treball en matèria de procediment administratiu."/>
    <m/>
    <s v="Si"/>
    <s v="Mitjana"/>
    <m/>
    <x v="192"/>
    <m/>
    <m/>
    <s v="Nombre de cursos"/>
    <n v="2"/>
    <n v="5"/>
    <m/>
    <n v="0"/>
    <s v="Direcció"/>
    <s v="Director"/>
    <s v="Contractació externa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4"/>
    <s v="Garantir la transparència administrativa"/>
    <s v="Específic"/>
    <s v="Obligatori"/>
    <s v="Garantir la transparència administrativa"/>
    <m/>
    <s v="Si"/>
    <s v="Mitjana"/>
    <m/>
    <x v="193"/>
    <m/>
    <m/>
    <s v="Sí/No"/>
    <m/>
    <s v="Sí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4"/>
    <s v="Garantir la transparència administrativa"/>
    <s v="Específic"/>
    <s v="Obligatori"/>
    <s v="Garantir la transparència administrativa"/>
    <m/>
    <s v="Si"/>
    <s v="Mitjana"/>
    <m/>
    <x v="194"/>
    <m/>
    <m/>
    <s v="Nombre de sol·licituds"/>
    <n v="0"/>
    <n v="5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5"/>
    <s v="Millorar i mantenir el material i infraestructures de gestió"/>
    <s v="Comú"/>
    <s v="Optatiu"/>
    <s v="Millorar i mantenir el material i infraestructures de gestió."/>
    <m/>
    <s v="Si"/>
    <s v="Mitjana"/>
    <m/>
    <x v="195"/>
    <m/>
    <m/>
    <s v="Sí/No"/>
    <m/>
    <s v="Sí"/>
    <m/>
    <n v="0"/>
    <s v="Àrea d'administració"/>
    <s v="Gestora administrativa"/>
    <s v="Contractació externa"/>
    <s v="Fons propis"/>
    <s v="X"/>
    <s v="X"/>
    <s v="X"/>
    <s v="X"/>
  </r>
  <r>
    <x v="6"/>
    <s v="OG 16"/>
    <s v="MILLORAR L'EFICIÈNCIA de la gestió administrativa"/>
    <s v="16.3"/>
    <s v="Agilitzar, incrementar l'eficiència  i incrementar l’assoliment dels procediments administratius"/>
    <s v="16.3.5"/>
    <s v="Millorar i mantenir el material i infraestructures de gestió"/>
    <s v="Comú"/>
    <s v="Optatiu"/>
    <s v="Millorar i mantenir el material i infraestructures de gestió."/>
    <m/>
    <s v="Si"/>
    <s v="Mitjana"/>
    <m/>
    <x v="196"/>
    <m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4"/>
    <s v="Ordenar l'estat dels béns patrimonials"/>
    <s v="16.4.1"/>
    <s v="Revisar l’estat dels béns patrimonials i la situació administrativa-legal dels equipaments del parc"/>
    <s v="Comú"/>
    <s v="Obligatori"/>
    <s v="Revisar l’estat dels béns patrimonials i la situació administrativa-legal dels equipaments del Consorci."/>
    <m/>
    <s v="Si"/>
    <s v="Màxima"/>
    <m/>
    <x v="197"/>
    <m/>
    <s v="UGA: tramitar els expedients de cessió de titularitat, declaracions d'obra nova, compra, lloguer, etc."/>
    <s v="Sí/No"/>
    <m/>
    <s v="Sí"/>
    <m/>
    <n v="0"/>
    <s v="Àrea d'administració"/>
    <s v="Gestora administrativa"/>
    <s v="Mitjans propis"/>
    <s v="Fons propis"/>
    <m/>
    <s v="X"/>
    <m/>
    <m/>
  </r>
  <r>
    <x v="6"/>
    <s v="OG 16"/>
    <s v="MILLORAR L'EFICIÈNCIA de la gestió administrativa"/>
    <s v="16.4"/>
    <s v="Ordenar l'estat dels béns patrimonials"/>
    <s v="16.4.2"/>
    <s v="Tenir cobertes les pèrdues o danys materials del patrimoni de la Direcció General que hi ha a l'àmbit territorial del Parc, com a conseqüència de la materialització de qualsevol dels riscs emparats en el plec de prescripcions tècniques de la pòlissa."/>
    <s v="Comú"/>
    <s v="Obligatori"/>
    <s v="Tenir cobertes les pèrdues o danys materials del patrimoni del Consorci."/>
    <m/>
    <s v="Si"/>
    <s v="Màxima"/>
    <m/>
    <x v="198"/>
    <m/>
    <s v="UGA: Tramitar les assegurances dels béns patrimonials."/>
    <s v="Sí/No"/>
    <m/>
    <s v="Sí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4"/>
    <s v="Ordenar l'estat dels béns patrimonials"/>
    <s v="16.4.1"/>
    <s v="Revisar l’estat dels béns patrimonials i la situació administrativa-legal dels equipaments del parc"/>
    <s v="Comú"/>
    <s v="Obligatori"/>
    <s v="Revisar l’estat dels béns patrimonials i la situació administrativa-legal dels equipaments del Consorci."/>
    <m/>
    <s v="Si"/>
    <s v="Màxima"/>
    <m/>
    <x v="199"/>
    <m/>
    <m/>
    <s v="Sí/No"/>
    <m/>
    <s v="Sí"/>
    <m/>
    <n v="0"/>
    <s v="Àrea tècnica"/>
    <s v="Tècnic/a"/>
    <s v="Mitjans propis"/>
    <s v="Fons propis"/>
    <m/>
    <s v="X"/>
    <m/>
    <m/>
  </r>
  <r>
    <x v="6"/>
    <s v="OG 16"/>
    <s v="MILLORAR L'EFICIÈNCIA de la gestió administrativa"/>
    <s v="16.5"/>
    <s v="Estructurar la gestió documental"/>
    <s v="16.5.1"/>
    <s v="Millorar l'accessibilitat i la gestió documental del centre o punt de documentació de l'ENP"/>
    <s v="Comú"/>
    <s v="Obligatori"/>
    <s v="Millorar l'accessibilitat i la gestió documental del Consorci."/>
    <m/>
    <s v="Si"/>
    <s v="Baixa"/>
    <m/>
    <x v="200"/>
    <m/>
    <m/>
    <s v="Sí/No"/>
    <m/>
    <s v="Sí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5"/>
    <s v="Estructurar la gestió documental"/>
    <s v="16.5.1"/>
    <s v="Millorar l'accessibilitat i la gestió documental del centre o punt de documentació de l'ENP"/>
    <s v="Comú"/>
    <s v="Obligatori"/>
    <s v="Millorar l'accessibilitat i la gestió documental del Consorci."/>
    <m/>
    <s v="Si"/>
    <s v="Baixa"/>
    <m/>
    <x v="201"/>
    <m/>
    <m/>
    <s v="Sí/No"/>
    <m/>
    <s v="Sí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5"/>
    <s v="Estructurar la gestió documental"/>
    <s v="16.5.1"/>
    <s v="Millorar l'accessibilitat i la gestió documental del centre o punt de documentació de l'ENP"/>
    <s v="Comú"/>
    <s v="Obligatori"/>
    <s v="Millorar l'accessibilitat i la gestió documental del Consorci."/>
    <m/>
    <s v="Si"/>
    <s v="Baixa"/>
    <m/>
    <x v="202"/>
    <m/>
    <m/>
    <s v="Sí/No"/>
    <m/>
    <s v="Sí"/>
    <m/>
    <n v="0"/>
    <s v="Àrea coordinació"/>
    <s v="Tècnic coordinador"/>
    <s v="Mitjans propis"/>
    <s v="Fons propis"/>
    <m/>
    <s v="X"/>
    <m/>
    <m/>
  </r>
  <r>
    <x v="6"/>
    <s v="OG 16"/>
    <s v="MILLORAR L'EFICIÈNCIA de la gestió administrativa"/>
    <s v="16.6"/>
    <s v="Gestionar recursos humans"/>
    <s v="16.6.1"/>
    <s v="Gestió de la brigada de manteniment"/>
    <s v="Específic"/>
    <s v="Obligatori"/>
    <s v="Gestió de la brigada de manteniment."/>
    <m/>
    <s v="Si"/>
    <s v="Màxima"/>
    <m/>
    <x v="203"/>
    <m/>
    <m/>
    <s v="Sí/No"/>
    <m/>
    <s v="Sí"/>
    <m/>
    <n v="0"/>
    <s v="Àrea coordinació"/>
    <s v="Tècnic coordinador"/>
    <s v="Contractació externa"/>
    <s v="Fons propis"/>
    <s v="X"/>
    <s v="X"/>
    <s v="X"/>
    <s v="X"/>
  </r>
  <r>
    <x v="6"/>
    <s v="OG 16"/>
    <s v="MILLORAR L'EFICIÈNCIA de la gestió administrativa"/>
    <s v="16.6"/>
    <s v="Gestionar recursos humans"/>
    <s v="16.6.1"/>
    <s v="Gestió de la brigada de manteniment"/>
    <s v="Específic"/>
    <s v="Obligatori"/>
    <s v="Gestió de la brigada de manteniment."/>
    <m/>
    <s v="Si"/>
    <s v="Màxima"/>
    <m/>
    <x v="204"/>
    <m/>
    <m/>
    <s v="Sí/No"/>
    <m/>
    <s v="Sí"/>
    <m/>
    <n v="0"/>
    <s v="Àrea coordinació"/>
    <s v="Tècnic coordinador"/>
    <s v="Contractació externa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àxima"/>
    <m/>
    <x v="205"/>
    <s v="Nombre de persones que fan  les funcions que li pertoquen segons la seva categoria"/>
    <n v="1"/>
    <s v="Sí/No"/>
    <m/>
    <s v="Sí"/>
    <m/>
    <n v="0"/>
    <s v="Direcció"/>
    <s v="Director"/>
    <s v="Mitjans propis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Alta"/>
    <m/>
    <x v="206"/>
    <m/>
    <m/>
    <s v="Nombre de reunions "/>
    <m/>
    <n v="44"/>
    <m/>
    <n v="0"/>
    <s v="Direcció"/>
    <s v="Director"/>
    <s v="Mitjans propis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àxima"/>
    <m/>
    <x v="207"/>
    <m/>
    <m/>
    <s v="Nombre de reunions "/>
    <m/>
    <n v="44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itjana"/>
    <m/>
    <x v="208"/>
    <m/>
    <m/>
    <s v="Sí/No"/>
    <m/>
    <s v="Sí"/>
    <m/>
    <n v="0"/>
    <s v="Àrea d'administració"/>
    <s v="Gestora administrativa"/>
    <s v="Mitjans propis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itjana"/>
    <m/>
    <x v="209"/>
    <m/>
    <m/>
    <s v="Sí/No"/>
    <m/>
    <s v="Sí"/>
    <m/>
    <n v="0"/>
    <s v="Àrea coordinació"/>
    <m/>
    <s v="Mitjans propis"/>
    <s v="Fons propis"/>
    <s v="X"/>
    <m/>
    <m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itjana"/>
    <m/>
    <x v="210"/>
    <m/>
    <m/>
    <s v="Sí/No"/>
    <m/>
    <s v="Sí"/>
    <m/>
    <n v="0"/>
    <s v="Secretaria"/>
    <m/>
    <m/>
    <m/>
    <s v="X"/>
    <s v="X"/>
    <m/>
    <m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itjana"/>
    <m/>
    <x v="211"/>
    <s v="Nombre de persones que s'han substituït"/>
    <n v="1"/>
    <s v="Nombre de persones que s'han substituït"/>
    <m/>
    <n v="0"/>
    <m/>
    <n v="0"/>
    <s v="Direcció"/>
    <s v="Director"/>
    <s v="Mitjans propis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Baixa"/>
    <m/>
    <x v="212"/>
    <s v="S'ha realitzat la benvinguda a nou personal"/>
    <m/>
    <s v="Sí/No"/>
    <m/>
    <s v="Sí"/>
    <m/>
    <n v="0"/>
    <s v="Direcció"/>
    <s v="Director"/>
    <s v="Mitjans propis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àxima"/>
    <m/>
    <x v="213"/>
    <m/>
    <m/>
    <s v="Sí/No"/>
    <m/>
    <s v="Sí"/>
    <m/>
    <n v="0"/>
    <s v="Àrea coordinació"/>
    <s v="Tècnic coordinador"/>
    <s v="Mitjans propis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itjana"/>
    <m/>
    <x v="214"/>
    <m/>
    <m/>
    <s v="Sí/No"/>
    <m/>
    <s v="Sí"/>
    <m/>
    <n v="0"/>
    <s v="Àrea d'administració"/>
    <s v="Gestora administrativa"/>
    <s v="Contractació externa"/>
    <s v="Fons propis"/>
    <s v="X"/>
    <s v="X"/>
    <s v="X"/>
    <s v="X"/>
  </r>
  <r>
    <x v="6"/>
    <s v="OG 16"/>
    <s v="MILLORAR L'EFICIÈNCIA de la gestió administrativa"/>
    <s v="16.6"/>
    <s v="Gestionar recursos humans"/>
    <s v="16.6.2"/>
    <s v="Gestió de personal"/>
    <s v="Específic"/>
    <s v="Obligatori"/>
    <s v="Gestió de personal."/>
    <m/>
    <s v="Si"/>
    <s v="Màxima"/>
    <m/>
    <x v="215"/>
    <m/>
    <m/>
    <s v="Sí/No"/>
    <m/>
    <s v="Sí"/>
    <m/>
    <n v="0"/>
    <s v="Àrea d'administració"/>
    <s v="Gestora administrativa"/>
    <s v="Contractació externa"/>
    <s v="Fons propis"/>
    <s v="X"/>
    <s v="X"/>
    <s v="X"/>
    <s v="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:B263" firstHeaderRow="1" firstDataRow="1" firstDataCol="1"/>
  <pivotFields count="10">
    <pivotField axis="axisRow" showAll="0">
      <items count="16">
        <item m="1" x="13"/>
        <item m="1" x="10"/>
        <item m="1" x="12"/>
        <item m="1" x="9"/>
        <item m="1" x="7"/>
        <item m="1" x="11"/>
        <item m="1" x="14"/>
        <item m="1" x="8"/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17">
        <item x="1"/>
        <item x="7"/>
        <item x="13"/>
        <item x="3"/>
        <item x="0"/>
        <item x="14"/>
        <item x="6"/>
        <item x="8"/>
        <item x="12"/>
        <item x="11"/>
        <item x="5"/>
        <item x="15"/>
        <item x="9"/>
        <item x="10"/>
        <item x="4"/>
        <item x="2"/>
        <item t="default"/>
      </items>
    </pivotField>
    <pivotField showAll="0"/>
    <pivotField axis="axisRow" showAll="0">
      <items count="59">
        <item x="0"/>
        <item x="39"/>
        <item x="53"/>
        <item x="3"/>
        <item x="47"/>
        <item x="38"/>
        <item x="18"/>
        <item x="48"/>
        <item x="11"/>
        <item x="26"/>
        <item x="2"/>
        <item x="46"/>
        <item x="42"/>
        <item x="43"/>
        <item x="31"/>
        <item x="50"/>
        <item x="49"/>
        <item x="13"/>
        <item x="33"/>
        <item x="41"/>
        <item x="29"/>
        <item x="19"/>
        <item x="30"/>
        <item x="55"/>
        <item x="1"/>
        <item x="44"/>
        <item x="22"/>
        <item x="27"/>
        <item x="37"/>
        <item x="7"/>
        <item x="56"/>
        <item x="14"/>
        <item x="17"/>
        <item x="32"/>
        <item x="23"/>
        <item x="20"/>
        <item x="9"/>
        <item x="34"/>
        <item x="10"/>
        <item x="21"/>
        <item x="15"/>
        <item x="25"/>
        <item x="51"/>
        <item x="36"/>
        <item x="54"/>
        <item x="52"/>
        <item x="5"/>
        <item x="4"/>
        <item x="12"/>
        <item x="35"/>
        <item x="6"/>
        <item x="24"/>
        <item x="28"/>
        <item x="40"/>
        <item x="16"/>
        <item x="45"/>
        <item x="8"/>
        <item m="1" x="57"/>
        <item t="default"/>
      </items>
    </pivotField>
    <pivotField showAll="0"/>
    <pivotField axis="axisRow" showAll="0">
      <items count="181">
        <item x="77"/>
        <item x="141"/>
        <item x="140"/>
        <item x="142"/>
        <item x="123"/>
        <item x="165"/>
        <item x="1"/>
        <item x="15"/>
        <item x="74"/>
        <item x="132"/>
        <item x="120"/>
        <item x="170"/>
        <item x="61"/>
        <item x="7"/>
        <item x="112"/>
        <item x="35"/>
        <item x="172"/>
        <item x="27"/>
        <item x="137"/>
        <item x="88"/>
        <item x="59"/>
        <item x="55"/>
        <item x="54"/>
        <item x="58"/>
        <item x="56"/>
        <item x="128"/>
        <item x="36"/>
        <item x="67"/>
        <item x="69"/>
        <item x="93"/>
        <item x="64"/>
        <item x="162"/>
        <item x="129"/>
        <item x="52"/>
        <item x="19"/>
        <item x="122"/>
        <item x="46"/>
        <item x="130"/>
        <item x="5"/>
        <item x="139"/>
        <item x="90"/>
        <item x="163"/>
        <item x="71"/>
        <item x="37"/>
        <item x="121"/>
        <item x="150"/>
        <item x="133"/>
        <item x="153"/>
        <item x="89"/>
        <item x="32"/>
        <item x="138"/>
        <item x="124"/>
        <item x="147"/>
        <item x="33"/>
        <item x="31"/>
        <item x="134"/>
        <item x="45"/>
        <item x="85"/>
        <item x="86"/>
        <item x="65"/>
        <item x="169"/>
        <item x="94"/>
        <item x="136"/>
        <item x="149"/>
        <item x="80"/>
        <item x="144"/>
        <item x="145"/>
        <item x="146"/>
        <item x="4"/>
        <item x="3"/>
        <item x="22"/>
        <item x="12"/>
        <item x="13"/>
        <item x="10"/>
        <item x="40"/>
        <item x="151"/>
        <item x="44"/>
        <item x="131"/>
        <item x="173"/>
        <item x="158"/>
        <item x="161"/>
        <item x="84"/>
        <item x="8"/>
        <item x="178"/>
        <item x="179"/>
        <item x="11"/>
        <item x="16"/>
        <item x="47"/>
        <item x="143"/>
        <item x="154"/>
        <item x="34"/>
        <item x="75"/>
        <item x="148"/>
        <item x="73"/>
        <item x="6"/>
        <item x="29"/>
        <item x="30"/>
        <item x="107"/>
        <item x="41"/>
        <item x="51"/>
        <item x="72"/>
        <item x="117"/>
        <item x="81"/>
        <item x="0"/>
        <item x="2"/>
        <item x="119"/>
        <item x="114"/>
        <item x="14"/>
        <item x="155"/>
        <item x="164"/>
        <item x="43"/>
        <item x="152"/>
        <item x="157"/>
        <item x="42"/>
        <item x="82"/>
        <item x="62"/>
        <item x="166"/>
        <item x="174"/>
        <item x="125"/>
        <item x="177"/>
        <item x="48"/>
        <item x="78"/>
        <item x="135"/>
        <item x="160"/>
        <item x="171"/>
        <item x="127"/>
        <item x="156"/>
        <item x="57"/>
        <item x="63"/>
        <item x="23"/>
        <item x="60"/>
        <item x="70"/>
        <item x="17"/>
        <item x="53"/>
        <item x="24"/>
        <item x="21"/>
        <item x="167"/>
        <item x="168"/>
        <item x="68"/>
        <item x="66"/>
        <item x="118"/>
        <item x="115"/>
        <item x="83"/>
        <item x="76"/>
        <item x="49"/>
        <item x="50"/>
        <item x="79"/>
        <item x="116"/>
        <item x="38"/>
        <item x="39"/>
        <item x="18"/>
        <item x="106"/>
        <item x="102"/>
        <item x="99"/>
        <item x="97"/>
        <item x="110"/>
        <item x="95"/>
        <item x="109"/>
        <item x="113"/>
        <item x="105"/>
        <item x="96"/>
        <item x="103"/>
        <item x="98"/>
        <item x="101"/>
        <item x="104"/>
        <item x="100"/>
        <item x="111"/>
        <item x="9"/>
        <item x="175"/>
        <item x="159"/>
        <item x="176"/>
        <item x="91"/>
        <item x="87"/>
        <item x="92"/>
        <item x="108"/>
        <item x="20"/>
        <item x="28"/>
        <item x="126"/>
        <item x="25"/>
        <item x="26"/>
        <item t="default"/>
      </items>
    </pivotField>
    <pivotField showAll="0"/>
    <pivotField showAll="0"/>
    <pivotField showAll="0"/>
  </pivotFields>
  <rowFields count="4">
    <field x="0"/>
    <field x="2"/>
    <field x="4"/>
    <field x="6"/>
  </rowFields>
  <rowItems count="261">
    <i>
      <x v="8"/>
    </i>
    <i r="1">
      <x/>
    </i>
    <i r="2">
      <x v="46"/>
    </i>
    <i r="3">
      <x v="34"/>
    </i>
    <i r="3">
      <x v="150"/>
    </i>
    <i r="3">
      <x v="175"/>
    </i>
    <i r="2">
      <x v="47"/>
    </i>
    <i r="3">
      <x v="7"/>
    </i>
    <i r="3">
      <x v="86"/>
    </i>
    <i r="3">
      <x v="132"/>
    </i>
    <i r="1">
      <x v="4"/>
    </i>
    <i r="2">
      <x/>
    </i>
    <i r="3">
      <x v="6"/>
    </i>
    <i r="3">
      <x v="103"/>
    </i>
    <i r="2">
      <x v="3"/>
    </i>
    <i r="3">
      <x v="71"/>
    </i>
    <i r="3">
      <x v="72"/>
    </i>
    <i r="3">
      <x v="107"/>
    </i>
    <i r="2">
      <x v="10"/>
    </i>
    <i r="3">
      <x v="13"/>
    </i>
    <i r="3">
      <x v="73"/>
    </i>
    <i r="3">
      <x v="82"/>
    </i>
    <i r="3">
      <x v="85"/>
    </i>
    <i r="3">
      <x v="94"/>
    </i>
    <i r="3">
      <x v="167"/>
    </i>
    <i r="2">
      <x v="24"/>
    </i>
    <i r="3">
      <x v="38"/>
    </i>
    <i r="3">
      <x v="68"/>
    </i>
    <i r="3">
      <x v="69"/>
    </i>
    <i r="3">
      <x v="104"/>
    </i>
    <i r="1">
      <x v="15"/>
    </i>
    <i r="2">
      <x v="29"/>
    </i>
    <i r="3">
      <x v="134"/>
    </i>
    <i r="2">
      <x v="36"/>
    </i>
    <i r="3">
      <x v="95"/>
    </i>
    <i r="3">
      <x v="96"/>
    </i>
    <i r="2">
      <x v="50"/>
    </i>
    <i r="3">
      <x v="70"/>
    </i>
    <i r="3">
      <x v="129"/>
    </i>
    <i r="3">
      <x v="135"/>
    </i>
    <i r="2">
      <x v="56"/>
    </i>
    <i r="3">
      <x v="17"/>
    </i>
    <i r="3">
      <x v="176"/>
    </i>
    <i r="3">
      <x v="178"/>
    </i>
    <i r="3">
      <x v="179"/>
    </i>
    <i>
      <x v="9"/>
    </i>
    <i r="1">
      <x v="3"/>
    </i>
    <i r="2">
      <x v="8"/>
    </i>
    <i r="3">
      <x v="15"/>
    </i>
    <i r="3">
      <x v="26"/>
    </i>
    <i r="3">
      <x v="43"/>
    </i>
    <i r="3">
      <x v="90"/>
    </i>
    <i r="2">
      <x v="17"/>
    </i>
    <i r="3">
      <x v="76"/>
    </i>
    <i r="3">
      <x v="110"/>
    </i>
    <i r="3">
      <x v="113"/>
    </i>
    <i r="2">
      <x v="38"/>
    </i>
    <i r="3">
      <x v="49"/>
    </i>
    <i r="3">
      <x v="53"/>
    </i>
    <i r="3">
      <x v="54"/>
    </i>
    <i r="2">
      <x v="48"/>
    </i>
    <i r="3">
      <x v="74"/>
    </i>
    <i r="3">
      <x v="98"/>
    </i>
    <i r="3">
      <x v="148"/>
    </i>
    <i r="3">
      <x v="149"/>
    </i>
    <i r="1">
      <x v="14"/>
    </i>
    <i r="2">
      <x v="31"/>
    </i>
    <i r="3">
      <x v="56"/>
    </i>
    <i r="2">
      <x v="40"/>
    </i>
    <i r="3">
      <x v="36"/>
    </i>
    <i r="3">
      <x v="87"/>
    </i>
    <i r="3">
      <x v="120"/>
    </i>
    <i r="2">
      <x v="54"/>
    </i>
    <i r="3">
      <x v="144"/>
    </i>
    <i r="3">
      <x v="145"/>
    </i>
    <i>
      <x v="10"/>
    </i>
    <i r="1">
      <x v="10"/>
    </i>
    <i r="2">
      <x v="6"/>
    </i>
    <i r="3">
      <x v="20"/>
    </i>
    <i r="3">
      <x v="21"/>
    </i>
    <i r="3">
      <x v="22"/>
    </i>
    <i r="3">
      <x v="23"/>
    </i>
    <i r="3">
      <x v="24"/>
    </i>
    <i r="3">
      <x v="127"/>
    </i>
    <i r="3">
      <x v="133"/>
    </i>
    <i r="2">
      <x v="21"/>
    </i>
    <i r="3">
      <x v="12"/>
    </i>
    <i r="3">
      <x v="115"/>
    </i>
    <i r="3">
      <x v="128"/>
    </i>
    <i r="3">
      <x v="130"/>
    </i>
    <i r="2">
      <x v="32"/>
    </i>
    <i r="3">
      <x v="33"/>
    </i>
    <i r="3">
      <x v="99"/>
    </i>
    <i r="2">
      <x v="35"/>
    </i>
    <i r="3">
      <x v="27"/>
    </i>
    <i r="3">
      <x v="28"/>
    </i>
    <i r="3">
      <x v="30"/>
    </i>
    <i r="3">
      <x v="59"/>
    </i>
    <i r="3">
      <x v="138"/>
    </i>
    <i r="3">
      <x v="139"/>
    </i>
    <i r="2">
      <x v="39"/>
    </i>
    <i r="3">
      <x v="8"/>
    </i>
    <i r="3">
      <x v="42"/>
    </i>
    <i r="3">
      <x v="91"/>
    </i>
    <i r="3">
      <x v="93"/>
    </i>
    <i r="3">
      <x v="100"/>
    </i>
    <i r="3">
      <x v="131"/>
    </i>
    <i>
      <x v="11"/>
    </i>
    <i r="1">
      <x v="1"/>
    </i>
    <i r="2">
      <x v="9"/>
    </i>
    <i r="3">
      <x v="19"/>
    </i>
    <i r="3">
      <x v="48"/>
    </i>
    <i r="3">
      <x v="172"/>
    </i>
    <i r="2">
      <x v="34"/>
    </i>
    <i r="3">
      <x/>
    </i>
    <i r="3">
      <x v="121"/>
    </i>
    <i r="3">
      <x v="146"/>
    </i>
    <i r="2">
      <x v="41"/>
    </i>
    <i r="3">
      <x v="57"/>
    </i>
    <i r="3">
      <x v="58"/>
    </i>
    <i r="3">
      <x v="81"/>
    </i>
    <i r="3">
      <x v="102"/>
    </i>
    <i r="3">
      <x v="114"/>
    </i>
    <i r="3">
      <x v="142"/>
    </i>
    <i r="2">
      <x v="51"/>
    </i>
    <i r="3">
      <x v="64"/>
    </i>
    <i r="1">
      <x v="6"/>
    </i>
    <i r="2">
      <x v="26"/>
    </i>
    <i r="3">
      <x v="143"/>
    </i>
    <i r="1">
      <x v="7"/>
    </i>
    <i r="2">
      <x v="27"/>
    </i>
    <i r="3">
      <x v="40"/>
    </i>
    <i r="3">
      <x v="171"/>
    </i>
    <i r="2">
      <x v="52"/>
    </i>
    <i r="3">
      <x v="29"/>
    </i>
    <i r="3">
      <x v="173"/>
    </i>
    <i>
      <x v="12"/>
    </i>
    <i r="1">
      <x v="9"/>
    </i>
    <i r="2">
      <x v="5"/>
    </i>
    <i r="3">
      <x v="25"/>
    </i>
    <i r="3">
      <x v="125"/>
    </i>
    <i r="1">
      <x v="12"/>
    </i>
    <i r="2">
      <x v="20"/>
    </i>
    <i r="3">
      <x v="61"/>
    </i>
    <i r="1">
      <x v="13"/>
    </i>
    <i r="2">
      <x v="14"/>
    </i>
    <i r="3">
      <x v="97"/>
    </i>
    <i r="3">
      <x v="174"/>
    </i>
    <i r="2">
      <x v="18"/>
    </i>
    <i r="3">
      <x v="106"/>
    </i>
    <i r="3">
      <x v="141"/>
    </i>
    <i r="2">
      <x v="22"/>
    </i>
    <i r="3">
      <x v="151"/>
    </i>
    <i r="3">
      <x v="152"/>
    </i>
    <i r="3">
      <x v="153"/>
    </i>
    <i r="3">
      <x v="154"/>
    </i>
    <i r="3">
      <x v="156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2">
      <x v="28"/>
    </i>
    <i r="3">
      <x v="51"/>
    </i>
    <i r="3">
      <x v="118"/>
    </i>
    <i r="3">
      <x v="177"/>
    </i>
    <i r="2">
      <x v="33"/>
    </i>
    <i r="3">
      <x v="14"/>
    </i>
    <i r="3">
      <x v="155"/>
    </i>
    <i r="3">
      <x v="157"/>
    </i>
    <i r="3">
      <x v="158"/>
    </i>
    <i r="3">
      <x v="166"/>
    </i>
    <i r="2">
      <x v="37"/>
    </i>
    <i r="3">
      <x v="101"/>
    </i>
    <i r="3">
      <x v="147"/>
    </i>
    <i r="2">
      <x v="43"/>
    </i>
    <i r="3">
      <x v="4"/>
    </i>
    <i r="3">
      <x v="10"/>
    </i>
    <i r="3">
      <x v="35"/>
    </i>
    <i r="3">
      <x v="44"/>
    </i>
    <i r="2">
      <x v="49"/>
    </i>
    <i r="3">
      <x v="105"/>
    </i>
    <i r="3">
      <x v="140"/>
    </i>
    <i>
      <x v="13"/>
    </i>
    <i r="1">
      <x v="2"/>
    </i>
    <i r="2">
      <x v="4"/>
    </i>
    <i r="3">
      <x v="79"/>
    </i>
    <i r="3">
      <x v="112"/>
    </i>
    <i r="2">
      <x v="7"/>
    </i>
    <i r="3">
      <x v="169"/>
    </i>
    <i r="2">
      <x v="16"/>
    </i>
    <i r="3">
      <x v="80"/>
    </i>
    <i r="3">
      <x v="123"/>
    </i>
    <i r="1">
      <x v="8"/>
    </i>
    <i r="2">
      <x v="1"/>
    </i>
    <i r="3">
      <x v="32"/>
    </i>
    <i r="3">
      <x v="37"/>
    </i>
    <i r="3">
      <x v="77"/>
    </i>
    <i r="2">
      <x v="11"/>
    </i>
    <i r="3">
      <x v="47"/>
    </i>
    <i r="3">
      <x v="89"/>
    </i>
    <i r="3">
      <x v="108"/>
    </i>
    <i r="3">
      <x v="126"/>
    </i>
    <i r="2">
      <x v="12"/>
    </i>
    <i r="3">
      <x v="1"/>
    </i>
    <i r="3">
      <x v="2"/>
    </i>
    <i r="3">
      <x v="3"/>
    </i>
    <i r="3">
      <x v="39"/>
    </i>
    <i r="2">
      <x v="13"/>
    </i>
    <i r="3">
      <x v="52"/>
    </i>
    <i r="3">
      <x v="65"/>
    </i>
    <i r="3">
      <x v="66"/>
    </i>
    <i r="3">
      <x v="67"/>
    </i>
    <i r="3">
      <x v="88"/>
    </i>
    <i r="2">
      <x v="19"/>
    </i>
    <i r="3">
      <x v="18"/>
    </i>
    <i r="3">
      <x v="50"/>
    </i>
    <i r="3">
      <x v="62"/>
    </i>
    <i r="2">
      <x v="25"/>
    </i>
    <i r="3">
      <x v="63"/>
    </i>
    <i r="3">
      <x v="92"/>
    </i>
    <i r="2">
      <x v="53"/>
    </i>
    <i r="3">
      <x v="9"/>
    </i>
    <i r="3">
      <x v="46"/>
    </i>
    <i r="3">
      <x v="55"/>
    </i>
    <i r="3">
      <x v="122"/>
    </i>
    <i r="2">
      <x v="55"/>
    </i>
    <i r="3">
      <x v="45"/>
    </i>
    <i r="3">
      <x v="75"/>
    </i>
    <i r="3">
      <x v="111"/>
    </i>
    <i>
      <x v="14"/>
    </i>
    <i r="1">
      <x v="5"/>
    </i>
    <i r="2">
      <x v="15"/>
    </i>
    <i r="3">
      <x v="5"/>
    </i>
    <i r="3">
      <x v="31"/>
    </i>
    <i r="3">
      <x v="41"/>
    </i>
    <i r="3">
      <x v="109"/>
    </i>
    <i r="1">
      <x v="11"/>
    </i>
    <i r="2">
      <x v="2"/>
    </i>
    <i r="3">
      <x v="11"/>
    </i>
    <i r="3">
      <x v="16"/>
    </i>
    <i r="3">
      <x v="78"/>
    </i>
    <i r="3">
      <x v="117"/>
    </i>
    <i r="3">
      <x v="124"/>
    </i>
    <i r="2">
      <x v="23"/>
    </i>
    <i r="3">
      <x v="119"/>
    </i>
    <i r="2">
      <x v="30"/>
    </i>
    <i r="3">
      <x v="83"/>
    </i>
    <i r="3">
      <x v="84"/>
    </i>
    <i r="2">
      <x v="42"/>
    </i>
    <i r="3">
      <x v="116"/>
    </i>
    <i r="2">
      <x v="44"/>
    </i>
    <i r="3">
      <x v="168"/>
    </i>
    <i r="3">
      <x v="170"/>
    </i>
    <i r="2">
      <x v="45"/>
    </i>
    <i r="3">
      <x v="60"/>
    </i>
    <i r="3">
      <x v="136"/>
    </i>
    <i r="3">
      <x v="13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1" firstHeaderRow="1" firstDataRow="1" firstDataCol="1" rowPageCount="1" colPageCount="1"/>
  <pivotFields count="30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217">
        <item x="28"/>
        <item x="25"/>
        <item x="214"/>
        <item x="208"/>
        <item x="197"/>
        <item x="69"/>
        <item x="155"/>
        <item x="80"/>
        <item x="55"/>
        <item x="105"/>
        <item x="7"/>
        <item x="109"/>
        <item x="70"/>
        <item x="160"/>
        <item x="167"/>
        <item x="177"/>
        <item x="175"/>
        <item x="165"/>
        <item x="169"/>
        <item x="171"/>
        <item x="117"/>
        <item x="115"/>
        <item x="116"/>
        <item x="87"/>
        <item x="150"/>
        <item x="36"/>
        <item x="79"/>
        <item x="91"/>
        <item x="40"/>
        <item x="39"/>
        <item x="194"/>
        <item x="173"/>
        <item x="212"/>
        <item x="200"/>
        <item x="97"/>
        <item x="12"/>
        <item x="151"/>
        <item x="57"/>
        <item x="180"/>
        <item x="140"/>
        <item x="139"/>
        <item x="141"/>
        <item x="213"/>
        <item x="204"/>
        <item x="162"/>
        <item x="106"/>
        <item x="118"/>
        <item x="95"/>
        <item x="199"/>
        <item x="153"/>
        <item x="159"/>
        <item x="101"/>
        <item x="111"/>
        <item x="179"/>
        <item x="193"/>
        <item x="203"/>
        <item x="198"/>
        <item x="215"/>
        <item x="184"/>
        <item x="158"/>
        <item x="157"/>
        <item x="154"/>
        <item x="52"/>
        <item x="62"/>
        <item x="61"/>
        <item x="60"/>
        <item x="143"/>
        <item x="86"/>
        <item x="188"/>
        <item x="189"/>
        <item x="47"/>
        <item x="3"/>
        <item x="2"/>
        <item x="0"/>
        <item x="6"/>
        <item x="4"/>
        <item x="5"/>
        <item x="1"/>
        <item x="138"/>
        <item x="103"/>
        <item x="90"/>
        <item x="104"/>
        <item x="88"/>
        <item x="102"/>
        <item x="112"/>
        <item x="92"/>
        <item x="202"/>
        <item x="72"/>
        <item x="185"/>
        <item x="67"/>
        <item x="30"/>
        <item x="11"/>
        <item x="18"/>
        <item x="16"/>
        <item x="14"/>
        <item x="20"/>
        <item x="84"/>
        <item x="83"/>
        <item x="81"/>
        <item x="82"/>
        <item x="172"/>
        <item x="65"/>
        <item x="192"/>
        <item x="34"/>
        <item x="110"/>
        <item x="147"/>
        <item x="187"/>
        <item x="9"/>
        <item x="191"/>
        <item x="10"/>
        <item x="156"/>
        <item x="122"/>
        <item x="50"/>
        <item x="149"/>
        <item x="119"/>
        <item x="127"/>
        <item x="134"/>
        <item x="132"/>
        <item x="130"/>
        <item x="131"/>
        <item x="54"/>
        <item x="195"/>
        <item x="21"/>
        <item x="142"/>
        <item x="190"/>
        <item x="85"/>
        <item x="89"/>
        <item x="99"/>
        <item x="207"/>
        <item x="133"/>
        <item x="178"/>
        <item x="59"/>
        <item x="144"/>
        <item x="152"/>
        <item x="53"/>
        <item x="201"/>
        <item x="74"/>
        <item x="27"/>
        <item x="26"/>
        <item x="161"/>
        <item x="49"/>
        <item x="182"/>
        <item x="209"/>
        <item x="163"/>
        <item x="43"/>
        <item x="128"/>
        <item x="206"/>
        <item x="42"/>
        <item x="41"/>
        <item x="44"/>
        <item x="66"/>
        <item x="68"/>
        <item x="93"/>
        <item x="71"/>
        <item x="96"/>
        <item x="77"/>
        <item x="78"/>
        <item x="76"/>
        <item x="75"/>
        <item x="94"/>
        <item x="63"/>
        <item x="124"/>
        <item x="125"/>
        <item x="164"/>
        <item x="166"/>
        <item x="29"/>
        <item x="176"/>
        <item x="174"/>
        <item x="129"/>
        <item x="17"/>
        <item x="15"/>
        <item x="13"/>
        <item x="19"/>
        <item x="168"/>
        <item x="114"/>
        <item x="24"/>
        <item x="135"/>
        <item x="31"/>
        <item x="32"/>
        <item x="33"/>
        <item x="148"/>
        <item x="37"/>
        <item x="38"/>
        <item x="45"/>
        <item x="48"/>
        <item x="51"/>
        <item x="46"/>
        <item x="98"/>
        <item x="100"/>
        <item x="35"/>
        <item x="108"/>
        <item x="146"/>
        <item x="145"/>
        <item x="126"/>
        <item x="8"/>
        <item x="170"/>
        <item x="136"/>
        <item x="113"/>
        <item x="58"/>
        <item x="210"/>
        <item x="186"/>
        <item x="196"/>
        <item x="181"/>
        <item x="107"/>
        <item x="73"/>
        <item x="137"/>
        <item x="211"/>
        <item x="56"/>
        <item x="64"/>
        <item x="22"/>
        <item x="183"/>
        <item x="123"/>
        <item x="205"/>
        <item x="120"/>
        <item x="121"/>
        <item h="1"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countASubtotal="1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4" hier="-1"/>
  </pageFields>
  <dataFields count="1">
    <dataField name="Cuenta de Propostes d'accions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Generalita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8CB33"/>
      </a:accent1>
      <a:accent2>
        <a:srgbClr val="3D9B35"/>
      </a:accent2>
      <a:accent3>
        <a:srgbClr val="BCBF00"/>
      </a:accent3>
      <a:accent4>
        <a:srgbClr val="60A9D1"/>
      </a:accent4>
      <a:accent5>
        <a:srgbClr val="F85C26"/>
      </a:accent5>
      <a:accent6>
        <a:srgbClr val="FABC20"/>
      </a:accent6>
      <a:hlink>
        <a:srgbClr val="AE8055"/>
      </a:hlink>
      <a:folHlink>
        <a:srgbClr val="C0CEC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encat.sharepoint.com/sites/Informaciiconeixementpatrimoninatural2/Documents%20compartits/Forms/AllItems.aspx?csf=1&amp;web=1&amp;e=3x4ZkK&amp;ovuser=3b9427dc%2Dd30e%2D43bc%2D8c06%2Dff7253676fec%2Cjordiparpal%40gencat%2Ecat&amp;OR=Teams%2DHL&amp;CT=1713942253212&amp;clic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conservationstandards.org/library-item/threats-and-actions-taxonomies/" TargetMode="External"/><Relationship Id="rId1" Type="http://schemas.openxmlformats.org/officeDocument/2006/relationships/hyperlink" Target="https://cdr.eionet.europa.eu/help/habitats_art17/Reporting2025/List%20of%20pressures%20and%20threats%20for%20reporting%202019-2024%20v1.1.xls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4"/>
  <sheetViews>
    <sheetView topLeftCell="A4" workbookViewId="0"/>
  </sheetViews>
  <sheetFormatPr baseColWidth="10" defaultColWidth="9.140625" defaultRowHeight="15"/>
  <sheetData>
    <row r="3" spans="3:3" ht="26.25">
      <c r="C3" s="119" t="s">
        <v>0</v>
      </c>
    </row>
    <row r="4" spans="3:3" ht="26.25">
      <c r="C4" s="119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B9" sqref="B9"/>
    </sheetView>
  </sheetViews>
  <sheetFormatPr baseColWidth="10" defaultColWidth="9.140625" defaultRowHeight="15"/>
  <cols>
    <col min="1" max="1" width="23.42578125" style="59" customWidth="1"/>
    <col min="2" max="2" width="95.140625" style="59" customWidth="1"/>
  </cols>
  <sheetData>
    <row r="1" spans="1:2">
      <c r="A1" s="118" t="s">
        <v>2</v>
      </c>
      <c r="B1" s="117"/>
    </row>
    <row r="2" spans="1:2" ht="30">
      <c r="A2" s="149" t="s">
        <v>3</v>
      </c>
      <c r="B2" s="148" t="s">
        <v>4</v>
      </c>
    </row>
    <row r="3" spans="1:2">
      <c r="A3" s="148"/>
      <c r="B3" s="148"/>
    </row>
    <row r="4" spans="1:2" ht="45">
      <c r="A4" s="149" t="s">
        <v>5</v>
      </c>
      <c r="B4" s="148" t="s">
        <v>6</v>
      </c>
    </row>
    <row r="5" spans="1:2">
      <c r="A5" s="148"/>
      <c r="B5" s="148"/>
    </row>
    <row r="6" spans="1:2">
      <c r="A6" s="116" t="s">
        <v>7</v>
      </c>
      <c r="B6" s="117"/>
    </row>
    <row r="7" spans="1:2" ht="15.75">
      <c r="A7" s="71" t="s">
        <v>8</v>
      </c>
    </row>
    <row r="8" spans="1:2">
      <c r="B8" s="59" t="s">
        <v>9</v>
      </c>
    </row>
    <row r="9" spans="1:2" ht="30">
      <c r="B9" s="59" t="s">
        <v>10</v>
      </c>
    </row>
    <row r="10" spans="1:2" ht="30">
      <c r="B10" s="59" t="s">
        <v>11</v>
      </c>
    </row>
    <row r="11" spans="1:2" ht="30">
      <c r="B11" s="59" t="s">
        <v>12</v>
      </c>
    </row>
    <row r="14" spans="1:2" ht="15.75">
      <c r="A14" s="71" t="s">
        <v>13</v>
      </c>
    </row>
    <row r="15" spans="1:2" ht="30">
      <c r="A15" s="72" t="s">
        <v>14</v>
      </c>
      <c r="B15" s="59" t="s">
        <v>15</v>
      </c>
    </row>
    <row r="16" spans="1:2" ht="30">
      <c r="B16" s="59" t="s">
        <v>16</v>
      </c>
    </row>
    <row r="17" spans="1:2" ht="30">
      <c r="B17" s="59" t="s">
        <v>17</v>
      </c>
    </row>
    <row r="18" spans="1:2" ht="45">
      <c r="B18" s="59" t="s">
        <v>18</v>
      </c>
    </row>
    <row r="19" spans="1:2" ht="45">
      <c r="B19" s="59" t="s">
        <v>19</v>
      </c>
    </row>
    <row r="20" spans="1:2" ht="45">
      <c r="B20" s="59" t="s">
        <v>20</v>
      </c>
    </row>
    <row r="21" spans="1:2" ht="45">
      <c r="B21" s="59" t="s">
        <v>21</v>
      </c>
    </row>
    <row r="22" spans="1:2" ht="60">
      <c r="A22" s="72" t="s">
        <v>22</v>
      </c>
      <c r="B22" s="59" t="s">
        <v>23</v>
      </c>
    </row>
    <row r="23" spans="1:2" ht="45">
      <c r="B23" s="59" t="s">
        <v>24</v>
      </c>
    </row>
    <row r="24" spans="1:2" ht="47.45" customHeight="1">
      <c r="A24" s="72" t="s">
        <v>25</v>
      </c>
      <c r="B24" s="59" t="s">
        <v>26</v>
      </c>
    </row>
    <row r="25" spans="1:2" ht="30">
      <c r="A25" s="72" t="s">
        <v>27</v>
      </c>
      <c r="B25" s="59" t="s">
        <v>28</v>
      </c>
    </row>
    <row r="26" spans="1:2" ht="30">
      <c r="A26" s="72" t="s">
        <v>29</v>
      </c>
      <c r="B26" s="59" t="s">
        <v>30</v>
      </c>
    </row>
    <row r="27" spans="1:2" ht="30">
      <c r="A27" s="72" t="s">
        <v>31</v>
      </c>
      <c r="B27" s="59" t="s">
        <v>32</v>
      </c>
    </row>
    <row r="28" spans="1:2">
      <c r="A28" s="72" t="s">
        <v>33</v>
      </c>
      <c r="B28" s="59" t="s">
        <v>34</v>
      </c>
    </row>
    <row r="30" spans="1:2">
      <c r="A30" s="116" t="s">
        <v>35</v>
      </c>
      <c r="B30" s="117"/>
    </row>
    <row r="31" spans="1:2" ht="45">
      <c r="A31" s="59" t="s">
        <v>36</v>
      </c>
      <c r="B31" s="59" t="s">
        <v>37</v>
      </c>
    </row>
    <row r="32" spans="1:2" ht="30">
      <c r="B32" s="59" t="s">
        <v>38</v>
      </c>
    </row>
    <row r="33" spans="2:2" ht="30">
      <c r="B33" s="59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51"/>
  <sheetViews>
    <sheetView zoomScale="60" zoomScaleNormal="60" workbookViewId="0">
      <selection activeCell="K14" sqref="K14"/>
    </sheetView>
  </sheetViews>
  <sheetFormatPr baseColWidth="10" defaultColWidth="9.140625" defaultRowHeight="15"/>
  <cols>
    <col min="1" max="1" width="13.5703125" customWidth="1"/>
    <col min="2" max="2" width="15.28515625" style="160" customWidth="1"/>
    <col min="3" max="3" width="12.5703125" style="160" customWidth="1"/>
    <col min="4" max="4" width="35.42578125" style="59" customWidth="1"/>
    <col min="5" max="5" width="37" style="59" customWidth="1"/>
    <col min="6" max="6" width="12.85546875" style="160" customWidth="1"/>
    <col min="7" max="7" width="8.7109375" style="160" customWidth="1"/>
    <col min="8" max="8" width="24.85546875" style="160" customWidth="1"/>
    <col min="9" max="9" width="43.28515625" customWidth="1"/>
    <col min="10" max="10" width="27.28515625" customWidth="1"/>
    <col min="11" max="11" width="27.85546875" customWidth="1"/>
    <col min="12" max="12" width="28.5703125" customWidth="1"/>
    <col min="13" max="13" width="18.85546875" customWidth="1"/>
    <col min="24" max="24" width="9.140625" style="59"/>
    <col min="25" max="25" width="11.7109375" style="59" customWidth="1"/>
    <col min="26" max="26" width="24.28515625" style="59" customWidth="1"/>
    <col min="27" max="30" width="9.140625" style="59"/>
    <col min="31" max="31" width="29" style="59" customWidth="1"/>
    <col min="32" max="32" width="18.85546875" style="59" customWidth="1"/>
    <col min="33" max="33" width="21.7109375" style="59" customWidth="1"/>
    <col min="34" max="34" width="22.7109375" style="59" customWidth="1"/>
    <col min="35" max="35" width="17.85546875" style="59" customWidth="1"/>
  </cols>
  <sheetData>
    <row r="1" spans="2:36">
      <c r="D1" s="155"/>
      <c r="E1" s="155"/>
      <c r="T1" s="59"/>
      <c r="U1" s="59"/>
      <c r="V1" s="59"/>
      <c r="W1" s="59"/>
      <c r="AJ1" s="122"/>
    </row>
    <row r="2" spans="2:36" ht="15.75" thickBot="1">
      <c r="D2" t="s">
        <v>40</v>
      </c>
      <c r="E2"/>
      <c r="AJ2" s="122"/>
    </row>
    <row r="3" spans="2:36" ht="29.45" customHeight="1" thickBot="1">
      <c r="C3" s="320"/>
      <c r="D3" s="443" t="s">
        <v>41</v>
      </c>
      <c r="E3" s="444"/>
      <c r="F3" s="161"/>
      <c r="G3" s="161"/>
      <c r="H3" s="161"/>
      <c r="I3" s="150"/>
      <c r="J3" s="445" t="s">
        <v>42</v>
      </c>
      <c r="K3" s="446"/>
      <c r="L3" s="446"/>
      <c r="M3" s="447"/>
      <c r="AJ3" s="122"/>
    </row>
    <row r="4" spans="2:36" ht="27" customHeight="1">
      <c r="B4" s="319"/>
      <c r="C4" s="321"/>
      <c r="D4" s="164" t="s">
        <v>43</v>
      </c>
      <c r="E4" s="164" t="s">
        <v>43</v>
      </c>
      <c r="F4" s="162" t="s">
        <v>44</v>
      </c>
      <c r="G4" s="162" t="s">
        <v>45</v>
      </c>
      <c r="H4" s="162" t="s">
        <v>46</v>
      </c>
      <c r="I4" s="151" t="s">
        <v>47</v>
      </c>
      <c r="J4" s="151" t="s">
        <v>48</v>
      </c>
      <c r="K4" s="151" t="s">
        <v>49</v>
      </c>
      <c r="L4" s="151" t="s">
        <v>50</v>
      </c>
      <c r="M4" s="152" t="s">
        <v>51</v>
      </c>
      <c r="AJ4" s="122"/>
    </row>
    <row r="5" spans="2:36" ht="48" customHeight="1">
      <c r="C5" s="320"/>
      <c r="D5" s="318">
        <v>3140</v>
      </c>
      <c r="E5" s="328" t="s">
        <v>1275</v>
      </c>
      <c r="F5" s="163" t="s">
        <v>52</v>
      </c>
      <c r="G5" s="163" t="s">
        <v>53</v>
      </c>
      <c r="H5" s="163">
        <v>6.75</v>
      </c>
      <c r="I5" s="122"/>
      <c r="J5" s="307" t="s">
        <v>1001</v>
      </c>
      <c r="K5" s="308" t="s">
        <v>968</v>
      </c>
      <c r="L5" s="308" t="s">
        <v>929</v>
      </c>
      <c r="M5" s="153"/>
      <c r="O5" s="442" t="s">
        <v>54</v>
      </c>
      <c r="P5" s="442"/>
      <c r="Q5" s="442"/>
      <c r="R5" s="442"/>
      <c r="S5" s="442"/>
      <c r="T5" s="442"/>
      <c r="U5" s="309"/>
      <c r="V5" s="309"/>
      <c r="W5" s="309"/>
      <c r="AJ5" s="122"/>
    </row>
    <row r="6" spans="2:36" ht="52.15" customHeight="1">
      <c r="D6" s="316">
        <v>3150</v>
      </c>
      <c r="E6" s="328" t="s">
        <v>1277</v>
      </c>
      <c r="F6" s="163" t="s">
        <v>52</v>
      </c>
      <c r="G6" s="163" t="s">
        <v>53</v>
      </c>
      <c r="H6" s="163">
        <v>4.375</v>
      </c>
      <c r="I6" s="122"/>
      <c r="J6" s="307" t="s">
        <v>1001</v>
      </c>
      <c r="K6" s="308" t="s">
        <v>968</v>
      </c>
      <c r="L6" s="308" t="s">
        <v>929</v>
      </c>
      <c r="M6" s="153"/>
      <c r="O6" s="442" t="s">
        <v>55</v>
      </c>
      <c r="P6" s="442"/>
      <c r="Q6" s="442"/>
      <c r="R6" s="442"/>
      <c r="S6" s="442"/>
      <c r="T6" s="442"/>
      <c r="U6" s="309"/>
      <c r="V6" s="309"/>
      <c r="W6" s="309"/>
      <c r="AJ6" s="122"/>
    </row>
    <row r="7" spans="2:36" ht="38.25">
      <c r="D7" s="317" t="s">
        <v>1163</v>
      </c>
      <c r="E7" s="316" t="s">
        <v>56</v>
      </c>
      <c r="F7" s="163" t="s">
        <v>52</v>
      </c>
      <c r="G7" s="163" t="s">
        <v>52</v>
      </c>
      <c r="H7" s="163">
        <v>4.125</v>
      </c>
      <c r="I7" s="122"/>
      <c r="J7" s="307" t="s">
        <v>1001</v>
      </c>
      <c r="K7" s="308" t="s">
        <v>968</v>
      </c>
      <c r="L7" s="308" t="s">
        <v>929</v>
      </c>
      <c r="M7" s="153"/>
      <c r="O7" s="442" t="s">
        <v>57</v>
      </c>
      <c r="P7" s="442"/>
      <c r="Q7" s="442"/>
      <c r="R7" s="442"/>
      <c r="S7" s="442"/>
      <c r="T7" s="442"/>
      <c r="U7" s="309"/>
      <c r="V7" s="309"/>
      <c r="W7" s="309"/>
      <c r="AJ7" s="122"/>
    </row>
    <row r="8" spans="2:36" ht="38.25">
      <c r="D8" s="317">
        <v>3190</v>
      </c>
      <c r="E8" s="316" t="s">
        <v>58</v>
      </c>
      <c r="F8" s="163" t="s">
        <v>52</v>
      </c>
      <c r="G8" s="163" t="s">
        <v>53</v>
      </c>
      <c r="H8" s="163">
        <v>6.75</v>
      </c>
      <c r="I8" s="122"/>
      <c r="J8" s="307" t="s">
        <v>1001</v>
      </c>
      <c r="K8" s="308" t="s">
        <v>968</v>
      </c>
      <c r="L8" s="308" t="s">
        <v>929</v>
      </c>
      <c r="M8" s="153"/>
      <c r="O8" s="442" t="s">
        <v>59</v>
      </c>
      <c r="P8" s="442"/>
      <c r="Q8" s="442"/>
      <c r="R8" s="442"/>
      <c r="S8" s="442"/>
      <c r="T8" s="442"/>
      <c r="U8" s="309"/>
      <c r="V8" s="309"/>
      <c r="W8" s="309"/>
      <c r="AJ8" s="122"/>
    </row>
    <row r="9" spans="2:36" ht="39">
      <c r="D9" s="316">
        <v>3290</v>
      </c>
      <c r="E9" s="316" t="s">
        <v>1276</v>
      </c>
      <c r="F9" s="163" t="s">
        <v>52</v>
      </c>
      <c r="G9" s="163" t="s">
        <v>53</v>
      </c>
      <c r="H9" s="163"/>
      <c r="I9" s="165" t="s">
        <v>1304</v>
      </c>
      <c r="J9" s="314" t="s">
        <v>1001</v>
      </c>
      <c r="K9" s="308" t="s">
        <v>968</v>
      </c>
      <c r="L9" s="122" t="s">
        <v>929</v>
      </c>
      <c r="M9" s="153"/>
      <c r="O9" s="154" t="s">
        <v>60</v>
      </c>
      <c r="AJ9" s="122"/>
    </row>
    <row r="10" spans="2:36" ht="39">
      <c r="D10" s="316">
        <v>6420</v>
      </c>
      <c r="E10" s="316" t="s">
        <v>61</v>
      </c>
      <c r="F10" s="163" t="s">
        <v>52</v>
      </c>
      <c r="G10" s="163" t="s">
        <v>53</v>
      </c>
      <c r="H10" s="163"/>
      <c r="I10" s="165" t="s">
        <v>1303</v>
      </c>
      <c r="J10" s="314" t="s">
        <v>1001</v>
      </c>
      <c r="K10" s="308" t="s">
        <v>968</v>
      </c>
      <c r="L10" s="122" t="s">
        <v>929</v>
      </c>
      <c r="M10" s="153"/>
      <c r="O10" s="442" t="s">
        <v>62</v>
      </c>
      <c r="P10" s="442"/>
      <c r="Q10" s="442"/>
      <c r="R10" s="442"/>
      <c r="S10" s="442"/>
      <c r="T10" s="442"/>
      <c r="U10" s="309"/>
      <c r="V10" s="309"/>
      <c r="W10" s="309"/>
      <c r="AJ10" s="122"/>
    </row>
    <row r="11" spans="2:36" ht="39">
      <c r="D11" s="316">
        <v>6430</v>
      </c>
      <c r="E11" s="59" t="s">
        <v>1278</v>
      </c>
      <c r="F11" s="163" t="s">
        <v>52</v>
      </c>
      <c r="G11" s="163" t="s">
        <v>53</v>
      </c>
      <c r="H11" s="163"/>
      <c r="I11" s="165" t="s">
        <v>68</v>
      </c>
      <c r="J11" s="314" t="s">
        <v>1001</v>
      </c>
      <c r="K11" s="308" t="s">
        <v>968</v>
      </c>
      <c r="L11" s="122" t="s">
        <v>929</v>
      </c>
      <c r="M11" s="153"/>
      <c r="O11" s="442"/>
      <c r="P11" s="442"/>
      <c r="Q11" s="442"/>
      <c r="R11" s="442"/>
      <c r="S11" s="442"/>
      <c r="T11" s="442"/>
      <c r="U11" s="309"/>
      <c r="V11" s="309"/>
      <c r="W11" s="309"/>
      <c r="AJ11" s="122"/>
    </row>
    <row r="12" spans="2:36" ht="30">
      <c r="D12" s="316">
        <v>6510</v>
      </c>
      <c r="E12" s="316" t="s">
        <v>63</v>
      </c>
      <c r="F12" s="163" t="s">
        <v>52</v>
      </c>
      <c r="G12" s="163" t="s">
        <v>53</v>
      </c>
      <c r="H12" s="163"/>
      <c r="I12" s="165" t="s">
        <v>64</v>
      </c>
      <c r="J12" s="307" t="s">
        <v>975</v>
      </c>
      <c r="K12" s="308" t="s">
        <v>929</v>
      </c>
      <c r="L12" s="122"/>
      <c r="M12" s="153"/>
      <c r="O12" s="442"/>
      <c r="P12" s="442"/>
      <c r="Q12" s="442"/>
      <c r="R12" s="442"/>
      <c r="S12" s="442"/>
      <c r="T12" s="442"/>
      <c r="U12" s="309"/>
      <c r="V12" s="309"/>
      <c r="W12" s="309"/>
      <c r="AJ12" s="122"/>
    </row>
    <row r="13" spans="2:36" ht="38.25">
      <c r="D13" s="316" t="s">
        <v>65</v>
      </c>
      <c r="E13" s="316" t="s">
        <v>66</v>
      </c>
      <c r="F13" s="163" t="s">
        <v>52</v>
      </c>
      <c r="G13" s="163" t="s">
        <v>52</v>
      </c>
      <c r="H13" s="163">
        <v>5</v>
      </c>
      <c r="I13" s="163"/>
      <c r="J13" s="307" t="s">
        <v>1001</v>
      </c>
      <c r="K13" s="308" t="s">
        <v>968</v>
      </c>
      <c r="L13" s="308"/>
      <c r="M13" s="153"/>
      <c r="AJ13" s="122"/>
    </row>
    <row r="14" spans="2:36" ht="38.25">
      <c r="D14" s="317" t="s">
        <v>1164</v>
      </c>
      <c r="E14" s="316" t="s">
        <v>67</v>
      </c>
      <c r="F14" s="163" t="s">
        <v>52</v>
      </c>
      <c r="G14" s="163" t="s">
        <v>52</v>
      </c>
      <c r="H14" s="163"/>
      <c r="I14" s="165" t="s">
        <v>68</v>
      </c>
      <c r="J14" s="307" t="s">
        <v>1001</v>
      </c>
      <c r="K14" s="308" t="s">
        <v>968</v>
      </c>
      <c r="L14" s="308" t="s">
        <v>1160</v>
      </c>
      <c r="M14" s="153"/>
      <c r="AJ14" s="122"/>
    </row>
    <row r="15" spans="2:36" ht="38.25">
      <c r="D15" s="316" t="s">
        <v>69</v>
      </c>
      <c r="E15" s="316" t="s">
        <v>70</v>
      </c>
      <c r="F15" s="163" t="s">
        <v>52</v>
      </c>
      <c r="G15" s="163" t="s">
        <v>53</v>
      </c>
      <c r="H15" s="163"/>
      <c r="I15" s="163" t="s">
        <v>71</v>
      </c>
      <c r="J15" s="307" t="s">
        <v>1001</v>
      </c>
      <c r="K15" s="308" t="s">
        <v>968</v>
      </c>
      <c r="L15" s="308" t="s">
        <v>1160</v>
      </c>
      <c r="M15" s="153"/>
      <c r="AJ15" s="122"/>
    </row>
    <row r="16" spans="2:36" ht="45">
      <c r="D16" s="316">
        <v>9340</v>
      </c>
      <c r="E16" s="316" t="s">
        <v>72</v>
      </c>
      <c r="F16" s="163" t="s">
        <v>52</v>
      </c>
      <c r="G16" s="163" t="s">
        <v>53</v>
      </c>
      <c r="H16" s="163"/>
      <c r="I16" s="165" t="s">
        <v>1140</v>
      </c>
      <c r="J16" s="307" t="s">
        <v>1160</v>
      </c>
      <c r="K16" s="122" t="s">
        <v>966</v>
      </c>
      <c r="L16" s="307" t="s">
        <v>1001</v>
      </c>
      <c r="M16" s="153"/>
      <c r="AJ16" s="122"/>
    </row>
    <row r="17" spans="2:36" ht="38.25">
      <c r="D17" s="316">
        <v>9540</v>
      </c>
      <c r="E17" s="316" t="s">
        <v>73</v>
      </c>
      <c r="F17" s="163" t="s">
        <v>52</v>
      </c>
      <c r="G17" s="163" t="s">
        <v>53</v>
      </c>
      <c r="H17" s="163"/>
      <c r="I17" s="165" t="s">
        <v>74</v>
      </c>
      <c r="J17" s="307" t="s">
        <v>1160</v>
      </c>
      <c r="K17" s="122" t="s">
        <v>966</v>
      </c>
      <c r="L17" s="307" t="s">
        <v>1001</v>
      </c>
      <c r="M17" s="153"/>
      <c r="AJ17" s="122"/>
    </row>
    <row r="18" spans="2:36">
      <c r="AJ18" s="122"/>
    </row>
    <row r="19" spans="2:36">
      <c r="AJ19" s="122"/>
    </row>
    <row r="20" spans="2:36">
      <c r="AJ20" s="122"/>
    </row>
    <row r="21" spans="2:36" ht="31.15" customHeight="1">
      <c r="B21" s="310" t="s">
        <v>1162</v>
      </c>
      <c r="C21" s="310" t="s">
        <v>1161</v>
      </c>
      <c r="D21" s="311" t="s">
        <v>75</v>
      </c>
      <c r="E21" s="311"/>
      <c r="F21" s="310" t="s">
        <v>44</v>
      </c>
      <c r="G21" s="310" t="s">
        <v>45</v>
      </c>
      <c r="H21" s="310" t="s">
        <v>46</v>
      </c>
      <c r="I21" s="311" t="s">
        <v>47</v>
      </c>
      <c r="J21" s="311" t="s">
        <v>48</v>
      </c>
      <c r="K21" s="311" t="s">
        <v>49</v>
      </c>
      <c r="L21" s="311" t="s">
        <v>50</v>
      </c>
      <c r="M21" s="311" t="s">
        <v>51</v>
      </c>
      <c r="AJ21" s="122"/>
    </row>
    <row r="22" spans="2:36">
      <c r="B22" s="165"/>
      <c r="C22" s="165" t="s">
        <v>76</v>
      </c>
      <c r="D22" s="157" t="s">
        <v>77</v>
      </c>
      <c r="E22" s="157"/>
      <c r="F22" s="165" t="s">
        <v>53</v>
      </c>
      <c r="G22" s="165" t="s">
        <v>53</v>
      </c>
      <c r="H22" s="165"/>
      <c r="I22" s="157"/>
      <c r="J22" s="157"/>
      <c r="K22" s="157"/>
      <c r="L22" s="157"/>
      <c r="M22" s="157"/>
      <c r="AJ22" s="122"/>
    </row>
    <row r="23" spans="2:36">
      <c r="B23" s="165"/>
      <c r="C23" s="165" t="s">
        <v>76</v>
      </c>
      <c r="D23" s="157" t="s">
        <v>78</v>
      </c>
      <c r="E23" s="157"/>
      <c r="F23" s="165" t="s">
        <v>53</v>
      </c>
      <c r="G23" s="165" t="s">
        <v>53</v>
      </c>
      <c r="H23" s="165"/>
      <c r="I23" s="157"/>
      <c r="J23" s="157"/>
      <c r="K23" s="157"/>
      <c r="L23" s="157"/>
      <c r="M23" s="157"/>
      <c r="AJ23" s="122"/>
    </row>
    <row r="24" spans="2:36">
      <c r="B24" s="165"/>
      <c r="C24" s="165" t="s">
        <v>76</v>
      </c>
      <c r="D24" s="157" t="s">
        <v>184</v>
      </c>
      <c r="E24" s="157"/>
      <c r="F24" s="313" t="s">
        <v>53</v>
      </c>
      <c r="G24" s="313" t="s">
        <v>53</v>
      </c>
      <c r="H24" s="165"/>
      <c r="I24" s="157"/>
      <c r="J24" s="157"/>
      <c r="K24" s="157"/>
      <c r="L24" s="157"/>
      <c r="M24" s="157"/>
      <c r="AJ24" s="122"/>
    </row>
    <row r="25" spans="2:36">
      <c r="B25" s="165"/>
      <c r="C25" s="165" t="s">
        <v>76</v>
      </c>
      <c r="D25" s="157" t="s">
        <v>79</v>
      </c>
      <c r="E25" s="157"/>
      <c r="F25" s="165" t="s">
        <v>53</v>
      </c>
      <c r="G25" s="165" t="s">
        <v>53</v>
      </c>
      <c r="H25" s="165"/>
      <c r="I25" s="157"/>
      <c r="J25" s="157"/>
      <c r="K25" s="157"/>
      <c r="L25" s="157"/>
      <c r="M25" s="157"/>
      <c r="AJ25" s="122"/>
    </row>
    <row r="26" spans="2:36" ht="38.25">
      <c r="B26" s="165" t="s">
        <v>101</v>
      </c>
      <c r="C26" s="165" t="s">
        <v>111</v>
      </c>
      <c r="D26" s="157" t="s">
        <v>218</v>
      </c>
      <c r="E26" s="157"/>
      <c r="F26" s="313" t="s">
        <v>52</v>
      </c>
      <c r="G26" s="313" t="s">
        <v>53</v>
      </c>
      <c r="H26" s="165"/>
      <c r="I26" s="329" t="s">
        <v>1279</v>
      </c>
      <c r="J26" s="157" t="s">
        <v>968</v>
      </c>
      <c r="K26" s="307" t="s">
        <v>1158</v>
      </c>
      <c r="L26" s="307" t="s">
        <v>1001</v>
      </c>
      <c r="M26" s="157"/>
      <c r="AJ26" s="122"/>
    </row>
    <row r="27" spans="2:36">
      <c r="B27" s="165" t="s">
        <v>101</v>
      </c>
      <c r="C27" s="165" t="s">
        <v>111</v>
      </c>
      <c r="D27" s="157" t="s">
        <v>217</v>
      </c>
      <c r="E27" s="157"/>
      <c r="F27" s="313" t="s">
        <v>53</v>
      </c>
      <c r="G27" s="313" t="s">
        <v>53</v>
      </c>
      <c r="H27" s="165"/>
      <c r="I27" s="157"/>
      <c r="J27" s="157"/>
      <c r="K27" s="157"/>
      <c r="L27" s="157"/>
      <c r="M27" s="157"/>
      <c r="AJ27" s="122"/>
    </row>
    <row r="28" spans="2:36">
      <c r="B28" s="165"/>
      <c r="C28" s="165" t="s">
        <v>76</v>
      </c>
      <c r="D28" s="157" t="s">
        <v>80</v>
      </c>
      <c r="E28" s="157"/>
      <c r="F28" s="165" t="s">
        <v>53</v>
      </c>
      <c r="G28" s="165" t="s">
        <v>53</v>
      </c>
      <c r="H28" s="165"/>
      <c r="I28" s="157"/>
      <c r="J28" s="157"/>
      <c r="K28" s="157"/>
      <c r="L28" s="157"/>
      <c r="M28" s="157"/>
      <c r="AJ28" s="122"/>
    </row>
    <row r="29" spans="2:36" ht="38.25">
      <c r="B29" s="165"/>
      <c r="C29" s="165" t="s">
        <v>81</v>
      </c>
      <c r="D29" s="157" t="s">
        <v>82</v>
      </c>
      <c r="E29" s="157"/>
      <c r="F29" s="165" t="s">
        <v>53</v>
      </c>
      <c r="G29" s="165" t="s">
        <v>52</v>
      </c>
      <c r="H29" s="165"/>
      <c r="I29" s="157" t="s">
        <v>83</v>
      </c>
      <c r="J29" s="307" t="s">
        <v>983</v>
      </c>
      <c r="K29" s="307" t="s">
        <v>977</v>
      </c>
      <c r="L29" s="307" t="s">
        <v>1001</v>
      </c>
      <c r="M29" s="307" t="s">
        <v>985</v>
      </c>
      <c r="AJ29" s="122"/>
    </row>
    <row r="30" spans="2:36">
      <c r="B30" s="165"/>
      <c r="C30" s="165" t="s">
        <v>76</v>
      </c>
      <c r="D30" s="157" t="s">
        <v>84</v>
      </c>
      <c r="E30" s="157"/>
      <c r="F30" s="165" t="s">
        <v>53</v>
      </c>
      <c r="G30" s="165" t="s">
        <v>53</v>
      </c>
      <c r="H30" s="165"/>
      <c r="I30" s="157"/>
      <c r="J30" s="157"/>
      <c r="K30" s="157"/>
      <c r="L30" s="157"/>
      <c r="M30" s="157"/>
      <c r="AJ30" s="122"/>
    </row>
    <row r="31" spans="2:36">
      <c r="B31" s="165"/>
      <c r="C31" s="165" t="s">
        <v>76</v>
      </c>
      <c r="D31" s="157" t="s">
        <v>85</v>
      </c>
      <c r="E31" s="157"/>
      <c r="F31" s="165" t="s">
        <v>53</v>
      </c>
      <c r="G31" s="165" t="s">
        <v>53</v>
      </c>
      <c r="H31" s="165"/>
      <c r="I31" s="157"/>
      <c r="J31" s="157"/>
      <c r="K31" s="157"/>
      <c r="L31" s="157"/>
      <c r="M31" s="157"/>
      <c r="AJ31" s="122"/>
    </row>
    <row r="32" spans="2:36">
      <c r="B32" s="165"/>
      <c r="C32" s="165" t="s">
        <v>76</v>
      </c>
      <c r="D32" s="157" t="s">
        <v>86</v>
      </c>
      <c r="E32" s="157"/>
      <c r="F32" s="165" t="s">
        <v>53</v>
      </c>
      <c r="G32" s="165" t="s">
        <v>53</v>
      </c>
      <c r="H32" s="165"/>
      <c r="I32" s="157"/>
      <c r="J32" s="157"/>
      <c r="K32" s="157"/>
      <c r="L32" s="157"/>
      <c r="M32" s="157"/>
      <c r="AJ32" s="122"/>
    </row>
    <row r="33" spans="2:36">
      <c r="B33" s="165"/>
      <c r="C33" s="165" t="s">
        <v>76</v>
      </c>
      <c r="D33" s="157" t="s">
        <v>87</v>
      </c>
      <c r="E33" s="157"/>
      <c r="F33" s="165" t="s">
        <v>53</v>
      </c>
      <c r="G33" s="165" t="s">
        <v>53</v>
      </c>
      <c r="H33" s="165"/>
      <c r="I33" s="157"/>
      <c r="J33" s="157"/>
      <c r="K33" s="157"/>
      <c r="L33" s="157"/>
      <c r="M33" s="157"/>
      <c r="AJ33" s="122"/>
    </row>
    <row r="34" spans="2:36">
      <c r="B34" s="165"/>
      <c r="C34" s="165" t="s">
        <v>76</v>
      </c>
      <c r="D34" s="157" t="s">
        <v>88</v>
      </c>
      <c r="E34" s="157"/>
      <c r="F34" s="165" t="s">
        <v>53</v>
      </c>
      <c r="G34" s="165" t="s">
        <v>53</v>
      </c>
      <c r="H34" s="165"/>
      <c r="I34" s="157" t="s">
        <v>89</v>
      </c>
      <c r="J34" s="157"/>
      <c r="K34" s="157"/>
      <c r="L34" s="157"/>
      <c r="M34" s="157"/>
      <c r="AJ34" s="122"/>
    </row>
    <row r="35" spans="2:36">
      <c r="B35" s="165"/>
      <c r="C35" s="165" t="s">
        <v>76</v>
      </c>
      <c r="D35" s="157" t="s">
        <v>90</v>
      </c>
      <c r="E35" s="157"/>
      <c r="F35" s="165" t="s">
        <v>53</v>
      </c>
      <c r="G35" s="165" t="s">
        <v>53</v>
      </c>
      <c r="H35" s="165"/>
      <c r="I35" s="157"/>
      <c r="J35" s="157"/>
      <c r="K35" s="157"/>
      <c r="L35" s="157"/>
      <c r="M35" s="157"/>
      <c r="AJ35" s="122"/>
    </row>
    <row r="36" spans="2:36">
      <c r="B36" s="165"/>
      <c r="C36" s="165" t="s">
        <v>76</v>
      </c>
      <c r="D36" s="157" t="s">
        <v>91</v>
      </c>
      <c r="E36" s="157"/>
      <c r="F36" s="165" t="s">
        <v>53</v>
      </c>
      <c r="G36" s="165" t="s">
        <v>53</v>
      </c>
      <c r="H36" s="165"/>
      <c r="I36" s="157"/>
      <c r="J36" s="157"/>
      <c r="K36" s="157"/>
      <c r="L36" s="157"/>
      <c r="M36" s="157"/>
      <c r="AJ36" s="122"/>
    </row>
    <row r="37" spans="2:36" ht="38.25">
      <c r="B37" s="165"/>
      <c r="C37" s="165" t="s">
        <v>111</v>
      </c>
      <c r="D37" s="157" t="s">
        <v>216</v>
      </c>
      <c r="E37" s="157"/>
      <c r="F37" s="165" t="s">
        <v>52</v>
      </c>
      <c r="G37" s="165" t="s">
        <v>52</v>
      </c>
      <c r="H37" s="165"/>
      <c r="I37" s="157" t="s">
        <v>215</v>
      </c>
      <c r="J37" s="157" t="s">
        <v>977</v>
      </c>
      <c r="K37" s="157" t="s">
        <v>968</v>
      </c>
      <c r="L37" s="307" t="s">
        <v>1001</v>
      </c>
      <c r="M37" s="157"/>
      <c r="AJ37" s="122"/>
    </row>
    <row r="38" spans="2:36">
      <c r="B38" s="165"/>
      <c r="C38" s="165" t="s">
        <v>76</v>
      </c>
      <c r="D38" s="157" t="s">
        <v>92</v>
      </c>
      <c r="E38" s="157"/>
      <c r="F38" s="165" t="s">
        <v>53</v>
      </c>
      <c r="G38" s="165" t="s">
        <v>53</v>
      </c>
      <c r="H38" s="165"/>
      <c r="I38" s="157"/>
      <c r="J38" s="157"/>
      <c r="K38" s="157"/>
      <c r="L38" s="157"/>
      <c r="M38" s="157"/>
      <c r="AJ38" s="122"/>
    </row>
    <row r="39" spans="2:36">
      <c r="B39" s="165"/>
      <c r="C39" s="165" t="s">
        <v>76</v>
      </c>
      <c r="D39" s="157" t="s">
        <v>93</v>
      </c>
      <c r="E39" s="157"/>
      <c r="F39" s="165" t="s">
        <v>53</v>
      </c>
      <c r="G39" s="165" t="s">
        <v>53</v>
      </c>
      <c r="H39" s="165"/>
      <c r="I39" s="157"/>
      <c r="J39" s="157"/>
      <c r="K39" s="157"/>
      <c r="L39" s="157"/>
      <c r="M39" s="157"/>
      <c r="AJ39" s="122"/>
    </row>
    <row r="40" spans="2:36">
      <c r="B40" s="165"/>
      <c r="C40" s="165" t="s">
        <v>76</v>
      </c>
      <c r="D40" s="157" t="s">
        <v>94</v>
      </c>
      <c r="E40" s="157"/>
      <c r="F40" s="165" t="s">
        <v>53</v>
      </c>
      <c r="G40" s="165" t="s">
        <v>53</v>
      </c>
      <c r="H40" s="165"/>
      <c r="I40" s="157"/>
      <c r="J40" s="157"/>
      <c r="K40" s="157"/>
      <c r="L40" s="157"/>
      <c r="M40" s="157"/>
      <c r="AJ40" s="122"/>
    </row>
    <row r="41" spans="2:36">
      <c r="B41" s="165"/>
      <c r="C41" s="165" t="s">
        <v>76</v>
      </c>
      <c r="D41" s="157" t="s">
        <v>95</v>
      </c>
      <c r="E41" s="157"/>
      <c r="F41" s="165" t="s">
        <v>53</v>
      </c>
      <c r="G41" s="165" t="s">
        <v>53</v>
      </c>
      <c r="H41" s="165"/>
      <c r="I41" s="157"/>
      <c r="J41" s="157"/>
      <c r="K41" s="157"/>
      <c r="L41" s="157"/>
      <c r="M41" s="157"/>
      <c r="AJ41" s="122"/>
    </row>
    <row r="42" spans="2:36" ht="58.15" customHeight="1">
      <c r="B42" s="165" t="s">
        <v>101</v>
      </c>
      <c r="C42" s="165" t="s">
        <v>102</v>
      </c>
      <c r="D42" s="157" t="s">
        <v>210</v>
      </c>
      <c r="E42" s="157"/>
      <c r="F42" s="165" t="s">
        <v>52</v>
      </c>
      <c r="G42" s="165" t="s">
        <v>52</v>
      </c>
      <c r="H42" s="165"/>
      <c r="I42" s="157" t="s">
        <v>211</v>
      </c>
      <c r="J42" s="157" t="s">
        <v>968</v>
      </c>
      <c r="K42" s="307" t="s">
        <v>983</v>
      </c>
      <c r="L42" s="157" t="s">
        <v>977</v>
      </c>
      <c r="M42" s="157" t="s">
        <v>932</v>
      </c>
      <c r="AJ42" s="122"/>
    </row>
    <row r="43" spans="2:36" ht="30">
      <c r="B43" s="165" t="s">
        <v>101</v>
      </c>
      <c r="C43" s="165" t="s">
        <v>76</v>
      </c>
      <c r="D43" s="157" t="s">
        <v>209</v>
      </c>
      <c r="E43" s="157"/>
      <c r="F43" s="313" t="s">
        <v>52</v>
      </c>
      <c r="G43" s="313" t="s">
        <v>52</v>
      </c>
      <c r="H43" s="165"/>
      <c r="I43" s="157" t="s">
        <v>1282</v>
      </c>
      <c r="J43" s="307" t="s">
        <v>929</v>
      </c>
      <c r="K43" s="307" t="s">
        <v>924</v>
      </c>
      <c r="L43" s="314" t="s">
        <v>941</v>
      </c>
      <c r="M43" s="157"/>
      <c r="AJ43" s="122"/>
    </row>
    <row r="44" spans="2:36">
      <c r="B44" s="165"/>
      <c r="C44" s="165" t="s">
        <v>76</v>
      </c>
      <c r="D44" s="157" t="s">
        <v>96</v>
      </c>
      <c r="E44" s="157"/>
      <c r="F44" s="165" t="s">
        <v>52</v>
      </c>
      <c r="G44" s="165" t="s">
        <v>53</v>
      </c>
      <c r="H44" s="165">
        <v>1.75</v>
      </c>
      <c r="I44" s="157" t="s">
        <v>97</v>
      </c>
      <c r="J44" s="157" t="s">
        <v>929</v>
      </c>
      <c r="K44" s="157" t="s">
        <v>985</v>
      </c>
      <c r="L44" s="157" t="s">
        <v>949</v>
      </c>
      <c r="M44" s="157" t="s">
        <v>977</v>
      </c>
      <c r="AJ44" s="122"/>
    </row>
    <row r="45" spans="2:36">
      <c r="B45" s="165"/>
      <c r="C45" s="165" t="s">
        <v>76</v>
      </c>
      <c r="D45" s="157" t="s">
        <v>98</v>
      </c>
      <c r="E45" s="157"/>
      <c r="F45" s="165" t="s">
        <v>53</v>
      </c>
      <c r="G45" s="165" t="s">
        <v>53</v>
      </c>
      <c r="H45" s="165"/>
      <c r="I45" s="157"/>
      <c r="J45" s="157"/>
      <c r="K45" s="157"/>
      <c r="L45" s="157"/>
      <c r="M45" s="157"/>
      <c r="AJ45" s="122"/>
    </row>
    <row r="46" spans="2:36" ht="56.45" customHeight="1">
      <c r="B46" s="165" t="s">
        <v>99</v>
      </c>
      <c r="C46" s="165" t="s">
        <v>76</v>
      </c>
      <c r="D46" s="157" t="s">
        <v>100</v>
      </c>
      <c r="E46" s="157"/>
      <c r="F46" s="165" t="s">
        <v>52</v>
      </c>
      <c r="G46" s="165" t="s">
        <v>53</v>
      </c>
      <c r="H46" s="165"/>
      <c r="I46" s="157" t="s">
        <v>1283</v>
      </c>
      <c r="J46" s="157" t="s">
        <v>929</v>
      </c>
      <c r="K46" s="157" t="s">
        <v>985</v>
      </c>
      <c r="L46" s="157" t="s">
        <v>949</v>
      </c>
      <c r="M46" s="157" t="s">
        <v>977</v>
      </c>
      <c r="AJ46" s="122"/>
    </row>
    <row r="47" spans="2:36">
      <c r="B47" s="165" t="s">
        <v>101</v>
      </c>
      <c r="C47" s="165" t="s">
        <v>102</v>
      </c>
      <c r="D47" s="157" t="s">
        <v>103</v>
      </c>
      <c r="E47" s="157"/>
      <c r="F47" s="165" t="s">
        <v>52</v>
      </c>
      <c r="G47" s="165" t="s">
        <v>53</v>
      </c>
      <c r="H47" s="165"/>
      <c r="I47" s="157" t="s">
        <v>1292</v>
      </c>
      <c r="J47" s="157" t="s">
        <v>953</v>
      </c>
      <c r="K47" s="157"/>
      <c r="L47" s="157"/>
      <c r="M47" s="157"/>
      <c r="AJ47" s="122"/>
    </row>
    <row r="48" spans="2:36">
      <c r="B48" s="165"/>
      <c r="C48" s="165" t="s">
        <v>104</v>
      </c>
      <c r="D48" s="157" t="s">
        <v>105</v>
      </c>
      <c r="E48" s="157"/>
      <c r="F48" s="165" t="s">
        <v>52</v>
      </c>
      <c r="G48" s="165" t="s">
        <v>52</v>
      </c>
      <c r="H48" s="165">
        <v>2.056</v>
      </c>
      <c r="I48" s="157"/>
      <c r="J48" s="157" t="s">
        <v>977</v>
      </c>
      <c r="K48" s="157" t="s">
        <v>968</v>
      </c>
      <c r="L48" s="157"/>
      <c r="M48" s="157"/>
      <c r="AJ48" s="122"/>
    </row>
    <row r="49" spans="2:36" ht="30">
      <c r="B49" s="165"/>
      <c r="C49" s="165" t="s">
        <v>76</v>
      </c>
      <c r="D49" s="157" t="s">
        <v>106</v>
      </c>
      <c r="E49" s="157"/>
      <c r="F49" s="165" t="s">
        <v>52</v>
      </c>
      <c r="G49" s="165" t="s">
        <v>53</v>
      </c>
      <c r="H49" s="165"/>
      <c r="I49" s="157" t="s">
        <v>1302</v>
      </c>
      <c r="J49" s="157" t="s">
        <v>927</v>
      </c>
      <c r="K49" s="157" t="s">
        <v>958</v>
      </c>
      <c r="L49" s="157"/>
      <c r="M49" s="157"/>
      <c r="AJ49" s="122"/>
    </row>
    <row r="50" spans="2:36">
      <c r="B50" s="165"/>
      <c r="C50" s="165" t="s">
        <v>76</v>
      </c>
      <c r="D50" s="157" t="s">
        <v>107</v>
      </c>
      <c r="E50" s="157"/>
      <c r="F50" s="165" t="s">
        <v>53</v>
      </c>
      <c r="G50" s="165" t="s">
        <v>53</v>
      </c>
      <c r="H50" s="165"/>
      <c r="I50" s="157"/>
      <c r="J50" s="157"/>
      <c r="K50" s="157"/>
      <c r="L50" s="157"/>
      <c r="M50" s="157"/>
      <c r="AJ50" s="122"/>
    </row>
    <row r="51" spans="2:36">
      <c r="B51" s="165"/>
      <c r="C51" s="165" t="s">
        <v>76</v>
      </c>
      <c r="D51" s="157" t="s">
        <v>108</v>
      </c>
      <c r="E51" s="157"/>
      <c r="F51" s="165" t="s">
        <v>53</v>
      </c>
      <c r="G51" s="165" t="s">
        <v>53</v>
      </c>
      <c r="H51" s="165"/>
      <c r="I51" s="157"/>
      <c r="J51" s="157"/>
      <c r="K51" s="157"/>
      <c r="L51" s="157"/>
      <c r="M51" s="157"/>
      <c r="AJ51" s="122"/>
    </row>
    <row r="52" spans="2:36">
      <c r="B52" s="165" t="s">
        <v>99</v>
      </c>
      <c r="C52" s="165" t="s">
        <v>109</v>
      </c>
      <c r="D52" s="157" t="s">
        <v>110</v>
      </c>
      <c r="E52" s="157"/>
      <c r="F52" s="165" t="s">
        <v>52</v>
      </c>
      <c r="G52" s="165" t="s">
        <v>52</v>
      </c>
      <c r="H52" s="165"/>
      <c r="I52" s="157"/>
      <c r="J52" s="157" t="s">
        <v>968</v>
      </c>
      <c r="K52" s="157"/>
      <c r="L52" s="157"/>
      <c r="M52" s="157"/>
      <c r="AJ52" s="122"/>
    </row>
    <row r="53" spans="2:36">
      <c r="B53" s="165" t="s">
        <v>101</v>
      </c>
      <c r="C53" s="165" t="s">
        <v>111</v>
      </c>
      <c r="D53" s="157" t="s">
        <v>112</v>
      </c>
      <c r="E53" s="157"/>
      <c r="F53" s="165" t="s">
        <v>52</v>
      </c>
      <c r="G53" s="165" t="s">
        <v>53</v>
      </c>
      <c r="H53" s="165"/>
      <c r="I53" s="157" t="s">
        <v>1287</v>
      </c>
      <c r="J53" s="157" t="s">
        <v>953</v>
      </c>
      <c r="K53" s="157" t="s">
        <v>966</v>
      </c>
      <c r="L53" s="157"/>
      <c r="M53" s="157"/>
      <c r="AJ53" s="122"/>
    </row>
    <row r="54" spans="2:36">
      <c r="B54" s="165"/>
      <c r="C54" s="165" t="s">
        <v>76</v>
      </c>
      <c r="D54" s="157" t="s">
        <v>113</v>
      </c>
      <c r="E54" s="157"/>
      <c r="F54" s="165" t="s">
        <v>53</v>
      </c>
      <c r="G54" s="165" t="s">
        <v>53</v>
      </c>
      <c r="H54" s="165"/>
      <c r="I54" s="157"/>
      <c r="J54" s="157"/>
      <c r="K54" s="157"/>
      <c r="L54" s="157"/>
      <c r="M54" s="157"/>
      <c r="AJ54" s="122"/>
    </row>
    <row r="55" spans="2:36">
      <c r="B55" s="165"/>
      <c r="C55" s="165" t="s">
        <v>76</v>
      </c>
      <c r="D55" s="157" t="s">
        <v>114</v>
      </c>
      <c r="E55" s="157"/>
      <c r="F55" s="165" t="s">
        <v>53</v>
      </c>
      <c r="G55" s="165" t="s">
        <v>53</v>
      </c>
      <c r="H55" s="165"/>
      <c r="I55" s="157"/>
      <c r="J55" s="157"/>
      <c r="K55" s="157"/>
      <c r="L55" s="157"/>
      <c r="M55" s="157"/>
      <c r="AJ55" s="122"/>
    </row>
    <row r="56" spans="2:36">
      <c r="B56" s="165"/>
      <c r="C56" s="165" t="s">
        <v>76</v>
      </c>
      <c r="D56" s="157" t="s">
        <v>115</v>
      </c>
      <c r="E56" s="157"/>
      <c r="F56" s="165" t="s">
        <v>53</v>
      </c>
      <c r="G56" s="165" t="s">
        <v>53</v>
      </c>
      <c r="H56" s="165"/>
      <c r="I56" s="157"/>
      <c r="J56" s="157"/>
      <c r="K56" s="157"/>
      <c r="L56" s="157"/>
      <c r="M56" s="157"/>
      <c r="AJ56" s="122"/>
    </row>
    <row r="57" spans="2:36">
      <c r="B57" s="165" t="s">
        <v>99</v>
      </c>
      <c r="C57" s="165" t="s">
        <v>76</v>
      </c>
      <c r="D57" s="157" t="s">
        <v>116</v>
      </c>
      <c r="E57" s="157"/>
      <c r="F57" s="165" t="s">
        <v>53</v>
      </c>
      <c r="G57" s="165" t="s">
        <v>53</v>
      </c>
      <c r="H57" s="165"/>
      <c r="I57" s="157"/>
      <c r="J57" s="157"/>
      <c r="K57" s="157"/>
      <c r="L57" s="157"/>
      <c r="M57" s="157"/>
      <c r="AJ57" s="122"/>
    </row>
    <row r="58" spans="2:36">
      <c r="B58" s="165"/>
      <c r="C58" s="165" t="s">
        <v>76</v>
      </c>
      <c r="D58" s="157" t="s">
        <v>117</v>
      </c>
      <c r="E58" s="157"/>
      <c r="F58" s="165" t="s">
        <v>52</v>
      </c>
      <c r="G58" s="165" t="s">
        <v>52</v>
      </c>
      <c r="H58" s="165"/>
      <c r="I58" s="157"/>
      <c r="J58" s="307" t="s">
        <v>943</v>
      </c>
      <c r="K58" s="157" t="s">
        <v>1158</v>
      </c>
      <c r="L58" s="157"/>
      <c r="M58" s="157"/>
      <c r="AJ58" s="122"/>
    </row>
    <row r="59" spans="2:36">
      <c r="B59" s="165"/>
      <c r="C59" s="165" t="s">
        <v>76</v>
      </c>
      <c r="D59" s="157" t="s">
        <v>118</v>
      </c>
      <c r="E59" s="157"/>
      <c r="F59" s="165" t="s">
        <v>53</v>
      </c>
      <c r="G59" s="165" t="s">
        <v>53</v>
      </c>
      <c r="H59" s="165"/>
      <c r="I59" s="157"/>
      <c r="J59" s="157"/>
      <c r="K59" s="157"/>
      <c r="L59" s="157"/>
      <c r="M59" s="157"/>
      <c r="AJ59" s="122"/>
    </row>
    <row r="60" spans="2:36">
      <c r="B60" s="165"/>
      <c r="C60" s="165" t="s">
        <v>76</v>
      </c>
      <c r="D60" s="157" t="s">
        <v>120</v>
      </c>
      <c r="E60" s="157"/>
      <c r="F60" s="165" t="s">
        <v>53</v>
      </c>
      <c r="G60" s="165" t="s">
        <v>53</v>
      </c>
      <c r="H60" s="165"/>
      <c r="I60" s="157"/>
      <c r="J60" s="157"/>
      <c r="K60" s="157"/>
      <c r="L60" s="157"/>
      <c r="M60" s="157"/>
      <c r="AJ60" s="122"/>
    </row>
    <row r="61" spans="2:36">
      <c r="B61" s="165" t="s">
        <v>99</v>
      </c>
      <c r="C61" s="165" t="s">
        <v>121</v>
      </c>
      <c r="D61" s="157" t="s">
        <v>122</v>
      </c>
      <c r="E61" s="157"/>
      <c r="F61" s="165" t="s">
        <v>52</v>
      </c>
      <c r="G61" s="165" t="s">
        <v>52</v>
      </c>
      <c r="H61" s="165">
        <v>1.889</v>
      </c>
      <c r="I61" s="157"/>
      <c r="J61" s="157" t="s">
        <v>977</v>
      </c>
      <c r="K61" s="157" t="s">
        <v>1158</v>
      </c>
      <c r="L61" s="157" t="s">
        <v>968</v>
      </c>
      <c r="M61" s="157"/>
      <c r="AJ61" s="122"/>
    </row>
    <row r="62" spans="2:36" ht="38.25">
      <c r="B62" s="165"/>
      <c r="C62" s="165" t="s">
        <v>81</v>
      </c>
      <c r="D62" s="157" t="s">
        <v>185</v>
      </c>
      <c r="E62" s="157"/>
      <c r="F62" s="165" t="s">
        <v>52</v>
      </c>
      <c r="G62" s="165" t="s">
        <v>52</v>
      </c>
      <c r="H62" s="165"/>
      <c r="I62" s="157" t="s">
        <v>83</v>
      </c>
      <c r="J62" s="307" t="s">
        <v>983</v>
      </c>
      <c r="K62" s="307" t="s">
        <v>977</v>
      </c>
      <c r="L62" s="307" t="s">
        <v>1001</v>
      </c>
      <c r="M62" s="307" t="s">
        <v>985</v>
      </c>
      <c r="AJ62" s="122"/>
    </row>
    <row r="63" spans="2:36" s="59" customFormat="1" ht="13.15" customHeight="1">
      <c r="B63" s="165"/>
      <c r="C63" s="165" t="s">
        <v>102</v>
      </c>
      <c r="D63" s="157" t="s">
        <v>186</v>
      </c>
      <c r="E63" s="157"/>
      <c r="F63" s="313" t="s">
        <v>53</v>
      </c>
      <c r="G63" s="313" t="s">
        <v>53</v>
      </c>
      <c r="H63" s="165"/>
      <c r="I63" s="157"/>
      <c r="J63" s="157"/>
      <c r="K63" s="157"/>
      <c r="L63" s="157"/>
      <c r="M63" s="157"/>
      <c r="AJ63" s="157"/>
    </row>
    <row r="64" spans="2:36" ht="30">
      <c r="B64" s="165"/>
      <c r="C64" s="165" t="s">
        <v>111</v>
      </c>
      <c r="D64" s="157" t="s">
        <v>221</v>
      </c>
      <c r="E64" s="157"/>
      <c r="F64" s="313" t="s">
        <v>52</v>
      </c>
      <c r="G64" s="313" t="s">
        <v>53</v>
      </c>
      <c r="H64" s="165"/>
      <c r="I64" s="157" t="s">
        <v>1280</v>
      </c>
      <c r="J64" s="157" t="s">
        <v>975</v>
      </c>
      <c r="K64" s="157" t="s">
        <v>953</v>
      </c>
      <c r="L64" s="157"/>
      <c r="M64" s="157"/>
      <c r="AJ64" s="122"/>
    </row>
    <row r="65" spans="2:36">
      <c r="B65" s="165"/>
      <c r="C65" s="165" t="s">
        <v>76</v>
      </c>
      <c r="D65" s="157" t="s">
        <v>123</v>
      </c>
      <c r="E65" s="157"/>
      <c r="F65" s="165" t="s">
        <v>53</v>
      </c>
      <c r="G65" s="165" t="s">
        <v>53</v>
      </c>
      <c r="H65" s="165"/>
      <c r="I65" s="157"/>
      <c r="J65" s="157"/>
      <c r="K65" s="157"/>
      <c r="L65" s="157"/>
      <c r="M65" s="157"/>
      <c r="AJ65" s="122"/>
    </row>
    <row r="66" spans="2:36" ht="60">
      <c r="B66" s="165"/>
      <c r="C66" s="165" t="s">
        <v>102</v>
      </c>
      <c r="D66" s="157" t="s">
        <v>207</v>
      </c>
      <c r="E66" s="157"/>
      <c r="F66" s="313" t="s">
        <v>52</v>
      </c>
      <c r="G66" s="313" t="s">
        <v>53</v>
      </c>
      <c r="H66" s="165"/>
      <c r="I66" s="157" t="s">
        <v>1293</v>
      </c>
      <c r="J66" s="157" t="s">
        <v>981</v>
      </c>
      <c r="K66" s="157" t="s">
        <v>941</v>
      </c>
      <c r="L66" s="157"/>
      <c r="M66" s="157"/>
      <c r="AJ66" s="122"/>
    </row>
    <row r="67" spans="2:36">
      <c r="B67" s="165"/>
      <c r="C67" s="165" t="s">
        <v>76</v>
      </c>
      <c r="D67" s="157" t="s">
        <v>124</v>
      </c>
      <c r="E67" s="157"/>
      <c r="F67" s="165" t="s">
        <v>53</v>
      </c>
      <c r="G67" s="165" t="s">
        <v>52</v>
      </c>
      <c r="H67" s="165"/>
      <c r="I67" s="157" t="s">
        <v>125</v>
      </c>
      <c r="J67" s="157"/>
      <c r="K67" s="157"/>
      <c r="L67" s="157"/>
      <c r="M67" s="157"/>
      <c r="AJ67" s="122"/>
    </row>
    <row r="68" spans="2:36">
      <c r="B68" s="165"/>
      <c r="C68" s="165" t="s">
        <v>76</v>
      </c>
      <c r="D68" s="157" t="s">
        <v>126</v>
      </c>
      <c r="E68" s="157"/>
      <c r="F68" s="165" t="s">
        <v>53</v>
      </c>
      <c r="G68" s="165" t="s">
        <v>53</v>
      </c>
      <c r="H68" s="165"/>
      <c r="I68" s="157"/>
      <c r="J68" s="157"/>
      <c r="K68" s="157"/>
      <c r="L68" s="157"/>
      <c r="M68" s="157"/>
      <c r="AJ68" s="122"/>
    </row>
    <row r="69" spans="2:36" ht="60">
      <c r="B69" s="165"/>
      <c r="C69" s="165" t="s">
        <v>76</v>
      </c>
      <c r="D69" s="157" t="s">
        <v>127</v>
      </c>
      <c r="E69" s="157"/>
      <c r="F69" s="165" t="s">
        <v>52</v>
      </c>
      <c r="G69" s="165" t="s">
        <v>53</v>
      </c>
      <c r="H69" s="165">
        <v>1.333</v>
      </c>
      <c r="I69" s="157" t="s">
        <v>125</v>
      </c>
      <c r="J69" s="157" t="s">
        <v>1001</v>
      </c>
      <c r="K69" s="157" t="s">
        <v>929</v>
      </c>
      <c r="L69" s="157" t="s">
        <v>977</v>
      </c>
      <c r="M69" s="157"/>
      <c r="AJ69" s="122"/>
    </row>
    <row r="70" spans="2:36">
      <c r="B70" s="165" t="s">
        <v>99</v>
      </c>
      <c r="C70" s="165" t="s">
        <v>104</v>
      </c>
      <c r="D70" s="157" t="s">
        <v>205</v>
      </c>
      <c r="E70" s="157"/>
      <c r="F70" s="165" t="s">
        <v>52</v>
      </c>
      <c r="G70" s="165" t="s">
        <v>52</v>
      </c>
      <c r="H70" s="165"/>
      <c r="I70" s="157" t="s">
        <v>206</v>
      </c>
      <c r="J70" s="157" t="s">
        <v>977</v>
      </c>
      <c r="K70" s="157" t="s">
        <v>968</v>
      </c>
      <c r="L70" s="157"/>
      <c r="M70" s="157"/>
      <c r="AJ70" s="122"/>
    </row>
    <row r="71" spans="2:36">
      <c r="B71" s="165"/>
      <c r="C71" s="165" t="s">
        <v>76</v>
      </c>
      <c r="D71" s="157" t="s">
        <v>128</v>
      </c>
      <c r="E71" s="157"/>
      <c r="F71" s="165" t="s">
        <v>53</v>
      </c>
      <c r="G71" s="165" t="s">
        <v>53</v>
      </c>
      <c r="H71" s="165"/>
      <c r="I71" s="157"/>
      <c r="J71" s="157"/>
      <c r="K71" s="157"/>
      <c r="L71" s="157"/>
      <c r="M71" s="157"/>
      <c r="AJ71" s="122"/>
    </row>
    <row r="72" spans="2:36">
      <c r="B72" s="165"/>
      <c r="C72" s="165" t="s">
        <v>102</v>
      </c>
      <c r="D72" s="157" t="s">
        <v>187</v>
      </c>
      <c r="E72" s="157"/>
      <c r="F72" s="313" t="s">
        <v>53</v>
      </c>
      <c r="G72" s="313" t="s">
        <v>53</v>
      </c>
      <c r="H72" s="165"/>
      <c r="I72" s="157"/>
      <c r="J72" s="157"/>
      <c r="K72" s="157"/>
      <c r="L72" s="157"/>
      <c r="M72" s="157"/>
      <c r="AJ72" s="122"/>
    </row>
    <row r="73" spans="2:36" ht="30">
      <c r="B73" s="165"/>
      <c r="C73" s="165" t="s">
        <v>111</v>
      </c>
      <c r="D73" s="157" t="s">
        <v>129</v>
      </c>
      <c r="E73" s="157"/>
      <c r="F73" s="165" t="s">
        <v>52</v>
      </c>
      <c r="G73" s="165" t="s">
        <v>52</v>
      </c>
      <c r="H73" s="165">
        <v>1.75</v>
      </c>
      <c r="I73" s="157"/>
      <c r="J73" s="157" t="s">
        <v>966</v>
      </c>
      <c r="K73" s="307" t="s">
        <v>929</v>
      </c>
      <c r="L73" s="157" t="s">
        <v>991</v>
      </c>
      <c r="M73" s="157"/>
      <c r="AJ73" s="122"/>
    </row>
    <row r="74" spans="2:36">
      <c r="B74" s="165"/>
      <c r="C74" s="165" t="s">
        <v>76</v>
      </c>
      <c r="D74" s="157" t="s">
        <v>130</v>
      </c>
      <c r="E74" s="157"/>
      <c r="F74" s="165" t="s">
        <v>53</v>
      </c>
      <c r="G74" s="165" t="s">
        <v>53</v>
      </c>
      <c r="H74" s="165"/>
      <c r="I74" s="157"/>
      <c r="J74" s="157"/>
      <c r="K74" s="157"/>
      <c r="L74" s="157"/>
      <c r="M74" s="157"/>
      <c r="AJ74" s="122"/>
    </row>
    <row r="75" spans="2:36">
      <c r="B75" s="165" t="s">
        <v>101</v>
      </c>
      <c r="C75" s="165" t="s">
        <v>111</v>
      </c>
      <c r="D75" s="157" t="s">
        <v>220</v>
      </c>
      <c r="E75" s="157"/>
      <c r="F75" s="313" t="s">
        <v>52</v>
      </c>
      <c r="G75" s="313" t="s">
        <v>53</v>
      </c>
      <c r="H75" s="165"/>
      <c r="I75" s="157" t="s">
        <v>1286</v>
      </c>
      <c r="J75" s="157" t="s">
        <v>929</v>
      </c>
      <c r="K75" s="157"/>
      <c r="L75" s="157"/>
      <c r="M75" s="157"/>
      <c r="AJ75" s="122"/>
    </row>
    <row r="76" spans="2:36">
      <c r="B76" s="165"/>
      <c r="C76" s="165" t="s">
        <v>76</v>
      </c>
      <c r="D76" s="157" t="s">
        <v>131</v>
      </c>
      <c r="E76" s="157"/>
      <c r="F76" s="165" t="s">
        <v>53</v>
      </c>
      <c r="G76" s="165" t="s">
        <v>53</v>
      </c>
      <c r="H76" s="165"/>
      <c r="I76" s="157"/>
      <c r="J76" s="157"/>
      <c r="K76" s="157"/>
      <c r="L76" s="157"/>
      <c r="M76" s="157"/>
      <c r="AJ76" s="122"/>
    </row>
    <row r="77" spans="2:36" ht="38.25">
      <c r="B77" s="165"/>
      <c r="C77" s="165" t="s">
        <v>81</v>
      </c>
      <c r="D77" s="157" t="s">
        <v>188</v>
      </c>
      <c r="E77" s="157"/>
      <c r="F77" s="165" t="s">
        <v>52</v>
      </c>
      <c r="G77" s="165" t="s">
        <v>52</v>
      </c>
      <c r="H77" s="165"/>
      <c r="I77" s="157" t="s">
        <v>83</v>
      </c>
      <c r="J77" s="307" t="s">
        <v>983</v>
      </c>
      <c r="K77" s="307" t="s">
        <v>977</v>
      </c>
      <c r="L77" s="307" t="s">
        <v>1001</v>
      </c>
      <c r="M77" s="307" t="s">
        <v>985</v>
      </c>
      <c r="AJ77" s="122"/>
    </row>
    <row r="78" spans="2:36" ht="60">
      <c r="B78" s="165"/>
      <c r="C78" s="165" t="s">
        <v>76</v>
      </c>
      <c r="D78" s="157" t="s">
        <v>132</v>
      </c>
      <c r="E78" s="157"/>
      <c r="F78" s="165" t="s">
        <v>52</v>
      </c>
      <c r="G78" s="165" t="s">
        <v>53</v>
      </c>
      <c r="H78" s="165"/>
      <c r="I78" s="157" t="s">
        <v>1284</v>
      </c>
      <c r="J78" s="157" t="s">
        <v>1001</v>
      </c>
      <c r="K78" s="157"/>
      <c r="L78" s="157"/>
      <c r="M78" s="157"/>
      <c r="AJ78" s="122"/>
    </row>
    <row r="79" spans="2:36" ht="36" customHeight="1">
      <c r="B79" s="165"/>
      <c r="C79" s="165" t="s">
        <v>121</v>
      </c>
      <c r="D79" s="157" t="s">
        <v>133</v>
      </c>
      <c r="E79" s="157"/>
      <c r="F79" s="165" t="s">
        <v>52</v>
      </c>
      <c r="G79" s="165" t="s">
        <v>52</v>
      </c>
      <c r="H79" s="165">
        <v>1.333</v>
      </c>
      <c r="I79" s="157" t="s">
        <v>1165</v>
      </c>
      <c r="J79" s="307" t="s">
        <v>975</v>
      </c>
      <c r="K79" s="307" t="s">
        <v>941</v>
      </c>
      <c r="L79" s="157"/>
      <c r="M79" s="157"/>
      <c r="AJ79" s="122"/>
    </row>
    <row r="80" spans="2:36">
      <c r="B80" s="165"/>
      <c r="C80" s="165" t="s">
        <v>76</v>
      </c>
      <c r="D80" s="157" t="s">
        <v>198</v>
      </c>
      <c r="E80" s="157"/>
      <c r="F80" s="313" t="s">
        <v>53</v>
      </c>
      <c r="G80" s="313" t="s">
        <v>53</v>
      </c>
      <c r="H80" s="165"/>
      <c r="I80" s="157"/>
      <c r="J80" s="157"/>
      <c r="K80" s="157"/>
      <c r="L80" s="157"/>
      <c r="M80" s="157"/>
      <c r="AJ80" s="122"/>
    </row>
    <row r="81" spans="2:36" ht="24" customHeight="1">
      <c r="B81" s="165"/>
      <c r="C81" s="165" t="s">
        <v>76</v>
      </c>
      <c r="D81" s="157" t="s">
        <v>199</v>
      </c>
      <c r="E81" s="157"/>
      <c r="F81" s="313" t="s">
        <v>53</v>
      </c>
      <c r="G81" s="313" t="s">
        <v>53</v>
      </c>
      <c r="H81" s="165"/>
      <c r="I81" s="157"/>
      <c r="J81" s="157"/>
      <c r="K81" s="157"/>
      <c r="L81" s="157"/>
      <c r="M81" s="157"/>
      <c r="AJ81" s="122"/>
    </row>
    <row r="82" spans="2:36" ht="59.45" customHeight="1">
      <c r="B82" s="165"/>
      <c r="C82" s="165" t="s">
        <v>76</v>
      </c>
      <c r="D82" s="157" t="s">
        <v>134</v>
      </c>
      <c r="E82" s="157"/>
      <c r="F82" s="165" t="s">
        <v>53</v>
      </c>
      <c r="G82" s="165" t="s">
        <v>53</v>
      </c>
      <c r="H82" s="165"/>
      <c r="I82" s="157"/>
      <c r="J82" s="157"/>
      <c r="K82" s="157"/>
      <c r="L82" s="157"/>
      <c r="M82" s="157"/>
      <c r="AJ82" s="122"/>
    </row>
    <row r="83" spans="2:36" ht="60.6" customHeight="1">
      <c r="B83" s="165"/>
      <c r="C83" s="165" t="s">
        <v>76</v>
      </c>
      <c r="D83" s="157" t="s">
        <v>197</v>
      </c>
      <c r="E83" s="157"/>
      <c r="F83" s="313" t="s">
        <v>53</v>
      </c>
      <c r="G83" s="313" t="s">
        <v>53</v>
      </c>
      <c r="H83" s="165"/>
      <c r="I83" s="157"/>
      <c r="J83" s="157"/>
      <c r="K83" s="157"/>
      <c r="L83" s="157"/>
      <c r="M83" s="157"/>
      <c r="AJ83" s="122"/>
    </row>
    <row r="84" spans="2:36">
      <c r="B84" s="165"/>
      <c r="C84" s="165" t="s">
        <v>76</v>
      </c>
      <c r="D84" s="157" t="s">
        <v>135</v>
      </c>
      <c r="E84" s="157"/>
      <c r="F84" s="165" t="s">
        <v>53</v>
      </c>
      <c r="G84" s="165" t="s">
        <v>53</v>
      </c>
      <c r="H84" s="165"/>
      <c r="I84" s="157"/>
      <c r="J84" s="157"/>
      <c r="K84" s="157"/>
      <c r="L84" s="157"/>
      <c r="M84" s="157"/>
      <c r="AJ84" s="122"/>
    </row>
    <row r="85" spans="2:36" ht="38.25">
      <c r="B85" s="165" t="s">
        <v>101</v>
      </c>
      <c r="C85" s="165" t="s">
        <v>111</v>
      </c>
      <c r="D85" s="157" t="s">
        <v>1288</v>
      </c>
      <c r="E85" s="157"/>
      <c r="F85" s="165" t="s">
        <v>52</v>
      </c>
      <c r="G85" s="165" t="s">
        <v>53</v>
      </c>
      <c r="H85" s="165"/>
      <c r="I85" s="157" t="s">
        <v>1289</v>
      </c>
      <c r="J85" s="157" t="s">
        <v>968</v>
      </c>
      <c r="K85" s="307" t="s">
        <v>1158</v>
      </c>
      <c r="L85" s="307" t="s">
        <v>1001</v>
      </c>
      <c r="M85" s="157"/>
      <c r="AJ85" s="122"/>
    </row>
    <row r="86" spans="2:36">
      <c r="B86" s="165"/>
      <c r="C86" s="165" t="s">
        <v>111</v>
      </c>
      <c r="D86" s="157" t="s">
        <v>136</v>
      </c>
      <c r="E86" s="157"/>
      <c r="F86" s="165" t="s">
        <v>53</v>
      </c>
      <c r="G86" s="165" t="s">
        <v>53</v>
      </c>
      <c r="H86" s="165"/>
      <c r="I86" s="157"/>
      <c r="J86" s="157"/>
      <c r="K86" s="157"/>
      <c r="L86" s="157"/>
      <c r="M86" s="157"/>
      <c r="AJ86" s="122"/>
    </row>
    <row r="87" spans="2:36" ht="58.15" customHeight="1">
      <c r="B87" s="165" t="s">
        <v>101</v>
      </c>
      <c r="C87" s="165" t="s">
        <v>111</v>
      </c>
      <c r="D87" s="157" t="s">
        <v>136</v>
      </c>
      <c r="E87" s="157"/>
      <c r="F87" s="313" t="s">
        <v>52</v>
      </c>
      <c r="G87" s="313" t="s">
        <v>53</v>
      </c>
      <c r="H87" s="165"/>
      <c r="I87" s="157" t="s">
        <v>1290</v>
      </c>
      <c r="J87" s="157" t="s">
        <v>953</v>
      </c>
      <c r="K87" s="157"/>
      <c r="L87" s="157"/>
      <c r="M87" s="157"/>
      <c r="AJ87" s="122"/>
    </row>
    <row r="88" spans="2:36">
      <c r="B88" s="165"/>
      <c r="C88" s="165" t="s">
        <v>76</v>
      </c>
      <c r="D88" s="157" t="s">
        <v>119</v>
      </c>
      <c r="E88" s="157"/>
      <c r="F88" s="165" t="s">
        <v>53</v>
      </c>
      <c r="G88" s="165" t="s">
        <v>53</v>
      </c>
      <c r="H88" s="165"/>
      <c r="I88" s="157"/>
      <c r="J88" s="157"/>
      <c r="K88" s="157"/>
      <c r="L88" s="157"/>
      <c r="M88" s="157"/>
      <c r="AJ88" s="122"/>
    </row>
    <row r="89" spans="2:36" ht="38.25">
      <c r="B89" s="165"/>
      <c r="C89" s="165" t="s">
        <v>102</v>
      </c>
      <c r="D89" s="157" t="s">
        <v>137</v>
      </c>
      <c r="E89" s="157"/>
      <c r="F89" s="165" t="s">
        <v>52</v>
      </c>
      <c r="G89" s="165" t="s">
        <v>53</v>
      </c>
      <c r="H89" s="165"/>
      <c r="I89" s="157" t="s">
        <v>1294</v>
      </c>
      <c r="J89" s="307" t="s">
        <v>1001</v>
      </c>
      <c r="K89" s="157"/>
      <c r="L89" s="157"/>
      <c r="M89" s="157"/>
      <c r="AJ89" s="122"/>
    </row>
    <row r="90" spans="2:36">
      <c r="B90" s="165"/>
      <c r="C90" s="165" t="s">
        <v>76</v>
      </c>
      <c r="D90" s="157" t="s">
        <v>138</v>
      </c>
      <c r="E90" s="157"/>
      <c r="F90" s="165" t="s">
        <v>53</v>
      </c>
      <c r="G90" s="165" t="s">
        <v>53</v>
      </c>
      <c r="H90" s="165"/>
      <c r="I90" s="157"/>
      <c r="J90" s="157"/>
      <c r="K90" s="157"/>
      <c r="L90" s="157"/>
      <c r="M90" s="157"/>
      <c r="AJ90" s="122"/>
    </row>
    <row r="91" spans="2:36" ht="21.6" customHeight="1">
      <c r="B91" s="165"/>
      <c r="C91" s="165" t="s">
        <v>121</v>
      </c>
      <c r="D91" s="157" t="s">
        <v>139</v>
      </c>
      <c r="E91" s="157"/>
      <c r="F91" s="165" t="s">
        <v>52</v>
      </c>
      <c r="G91" s="165" t="s">
        <v>53</v>
      </c>
      <c r="H91" s="165"/>
      <c r="I91" s="157"/>
      <c r="J91" s="157" t="s">
        <v>977</v>
      </c>
      <c r="K91" s="157" t="s">
        <v>1158</v>
      </c>
      <c r="L91" s="157" t="s">
        <v>968</v>
      </c>
      <c r="M91" s="157"/>
      <c r="AJ91" s="122"/>
    </row>
    <row r="92" spans="2:36">
      <c r="B92" s="165"/>
      <c r="C92" s="165" t="s">
        <v>76</v>
      </c>
      <c r="D92" s="157" t="s">
        <v>140</v>
      </c>
      <c r="E92" s="157"/>
      <c r="F92" s="165" t="s">
        <v>53</v>
      </c>
      <c r="G92" s="165" t="s">
        <v>53</v>
      </c>
      <c r="H92" s="165"/>
      <c r="I92" s="157"/>
      <c r="J92" s="157"/>
      <c r="K92" s="157"/>
      <c r="L92" s="157"/>
      <c r="M92" s="157"/>
      <c r="AJ92" s="122"/>
    </row>
    <row r="93" spans="2:36">
      <c r="B93" s="165"/>
      <c r="C93" s="165" t="s">
        <v>76</v>
      </c>
      <c r="D93" s="157" t="s">
        <v>141</v>
      </c>
      <c r="E93" s="157"/>
      <c r="F93" s="165" t="s">
        <v>53</v>
      </c>
      <c r="G93" s="165" t="s">
        <v>53</v>
      </c>
      <c r="H93" s="165"/>
      <c r="I93" s="157"/>
      <c r="J93" s="157"/>
      <c r="K93" s="157"/>
      <c r="L93" s="157"/>
      <c r="M93" s="157"/>
      <c r="AJ93" s="122"/>
    </row>
    <row r="94" spans="2:36" ht="18.600000000000001" customHeight="1">
      <c r="B94" s="165" t="s">
        <v>101</v>
      </c>
      <c r="C94" s="165" t="s">
        <v>102</v>
      </c>
      <c r="D94" s="157" t="s">
        <v>142</v>
      </c>
      <c r="E94" s="157"/>
      <c r="F94" s="165" t="s">
        <v>53</v>
      </c>
      <c r="G94" s="165" t="s">
        <v>53</v>
      </c>
      <c r="H94" s="165"/>
      <c r="I94" s="157"/>
      <c r="J94" s="157"/>
      <c r="K94" s="157"/>
      <c r="L94" s="157"/>
      <c r="M94" s="157"/>
      <c r="AJ94" s="122"/>
    </row>
    <row r="95" spans="2:36">
      <c r="B95" s="165"/>
      <c r="C95" s="165" t="s">
        <v>76</v>
      </c>
      <c r="D95" s="157" t="s">
        <v>143</v>
      </c>
      <c r="E95" s="157"/>
      <c r="F95" s="165" t="s">
        <v>53</v>
      </c>
      <c r="G95" s="165" t="s">
        <v>53</v>
      </c>
      <c r="H95" s="165"/>
      <c r="I95" s="157"/>
      <c r="J95" s="157"/>
      <c r="K95" s="157"/>
      <c r="L95" s="157"/>
      <c r="M95" s="157"/>
      <c r="AJ95" s="122"/>
    </row>
    <row r="96" spans="2:36" ht="46.9" customHeight="1">
      <c r="B96" s="165" t="s">
        <v>101</v>
      </c>
      <c r="C96" s="165" t="s">
        <v>102</v>
      </c>
      <c r="D96" s="157" t="s">
        <v>208</v>
      </c>
      <c r="E96" s="157"/>
      <c r="F96" s="313" t="s">
        <v>52</v>
      </c>
      <c r="G96" s="313" t="s">
        <v>53</v>
      </c>
      <c r="H96" s="165"/>
      <c r="I96" s="157" t="s">
        <v>1295</v>
      </c>
      <c r="J96" s="138" t="s">
        <v>932</v>
      </c>
      <c r="K96" s="138" t="s">
        <v>973</v>
      </c>
      <c r="L96" s="157" t="s">
        <v>941</v>
      </c>
      <c r="M96" s="157"/>
      <c r="X96"/>
      <c r="Y96"/>
      <c r="Z96"/>
      <c r="AA96"/>
      <c r="AB96"/>
      <c r="AC96"/>
      <c r="AD96"/>
      <c r="AE96"/>
      <c r="AF96"/>
      <c r="AG96"/>
      <c r="AH96"/>
      <c r="AI96"/>
      <c r="AJ96" s="122"/>
    </row>
    <row r="97" spans="2:36">
      <c r="B97" s="165" t="s">
        <v>99</v>
      </c>
      <c r="C97" s="165" t="s">
        <v>102</v>
      </c>
      <c r="D97" s="157" t="s">
        <v>189</v>
      </c>
      <c r="E97" s="157"/>
      <c r="F97" s="313" t="s">
        <v>53</v>
      </c>
      <c r="G97" s="313" t="s">
        <v>53</v>
      </c>
      <c r="H97" s="165"/>
      <c r="I97" s="157"/>
      <c r="J97" s="157"/>
      <c r="K97" s="157"/>
      <c r="L97" s="157"/>
      <c r="M97" s="157"/>
      <c r="AJ97" s="122"/>
    </row>
    <row r="98" spans="2:36" ht="30">
      <c r="B98" s="165" t="s">
        <v>99</v>
      </c>
      <c r="C98" s="165" t="s">
        <v>102</v>
      </c>
      <c r="D98" s="157" t="s">
        <v>146</v>
      </c>
      <c r="E98" s="157"/>
      <c r="F98" s="165" t="s">
        <v>52</v>
      </c>
      <c r="G98" s="165" t="s">
        <v>52</v>
      </c>
      <c r="H98" s="165">
        <v>1.333</v>
      </c>
      <c r="I98" s="157" t="s">
        <v>145</v>
      </c>
      <c r="J98" s="157" t="s">
        <v>968</v>
      </c>
      <c r="K98" s="157" t="s">
        <v>1159</v>
      </c>
      <c r="L98" s="307" t="s">
        <v>991</v>
      </c>
      <c r="M98" s="157"/>
      <c r="AJ98" s="122"/>
    </row>
    <row r="99" spans="2:36" ht="25.5">
      <c r="B99" s="165"/>
      <c r="C99" s="165" t="s">
        <v>102</v>
      </c>
      <c r="D99" s="157" t="s">
        <v>144</v>
      </c>
      <c r="E99" s="157"/>
      <c r="F99" s="165" t="s">
        <v>52</v>
      </c>
      <c r="G99" s="165" t="s">
        <v>52</v>
      </c>
      <c r="H99" s="165">
        <v>1.5</v>
      </c>
      <c r="I99" s="157" t="s">
        <v>145</v>
      </c>
      <c r="J99" s="157" t="s">
        <v>968</v>
      </c>
      <c r="K99" s="307" t="s">
        <v>991</v>
      </c>
      <c r="L99" s="157"/>
      <c r="M99" s="157"/>
      <c r="AJ99" s="122"/>
    </row>
    <row r="100" spans="2:36" ht="30">
      <c r="B100" s="165" t="s">
        <v>101</v>
      </c>
      <c r="C100" s="165" t="s">
        <v>102</v>
      </c>
      <c r="D100" s="157" t="s">
        <v>147</v>
      </c>
      <c r="E100" s="157"/>
      <c r="F100" s="165" t="s">
        <v>52</v>
      </c>
      <c r="G100" s="165" t="s">
        <v>53</v>
      </c>
      <c r="H100" s="165"/>
      <c r="I100" s="157" t="s">
        <v>1296</v>
      </c>
      <c r="J100" s="330" t="s">
        <v>929</v>
      </c>
      <c r="K100" s="307" t="s">
        <v>991</v>
      </c>
      <c r="L100" s="157"/>
      <c r="M100" s="157"/>
      <c r="AJ100" s="122"/>
    </row>
    <row r="101" spans="2:36" ht="65.45" customHeight="1">
      <c r="B101" s="165" t="s">
        <v>101</v>
      </c>
      <c r="C101" s="165" t="s">
        <v>109</v>
      </c>
      <c r="D101" s="157" t="s">
        <v>202</v>
      </c>
      <c r="E101" s="157"/>
      <c r="F101" s="313" t="s">
        <v>52</v>
      </c>
      <c r="G101" s="313" t="s">
        <v>53</v>
      </c>
      <c r="H101" s="165"/>
      <c r="I101" s="157" t="s">
        <v>1285</v>
      </c>
      <c r="J101" s="157" t="s">
        <v>968</v>
      </c>
      <c r="K101" s="307" t="s">
        <v>1001</v>
      </c>
      <c r="L101" s="157"/>
      <c r="M101" s="157"/>
      <c r="AJ101" s="122"/>
    </row>
    <row r="102" spans="2:36" ht="38.25">
      <c r="B102" s="165" t="s">
        <v>101</v>
      </c>
      <c r="C102" s="165" t="s">
        <v>109</v>
      </c>
      <c r="D102" s="157" t="s">
        <v>203</v>
      </c>
      <c r="E102" s="157"/>
      <c r="F102" s="313" t="s">
        <v>52</v>
      </c>
      <c r="G102" s="313" t="s">
        <v>53</v>
      </c>
      <c r="H102" s="165"/>
      <c r="J102" s="157" t="s">
        <v>968</v>
      </c>
      <c r="K102" s="307" t="s">
        <v>1001</v>
      </c>
      <c r="L102" s="157"/>
      <c r="M102" s="157"/>
      <c r="AJ102" s="122"/>
    </row>
    <row r="103" spans="2:36">
      <c r="B103" s="165"/>
      <c r="C103" s="165" t="s">
        <v>76</v>
      </c>
      <c r="D103" s="157" t="s">
        <v>148</v>
      </c>
      <c r="E103" s="157"/>
      <c r="F103" s="165" t="s">
        <v>53</v>
      </c>
      <c r="G103" s="165" t="s">
        <v>53</v>
      </c>
      <c r="H103" s="165"/>
      <c r="I103" s="157"/>
      <c r="J103" s="157"/>
      <c r="K103" s="157"/>
      <c r="L103" s="157"/>
      <c r="M103" s="157"/>
      <c r="AJ103" s="122"/>
    </row>
    <row r="104" spans="2:36">
      <c r="B104" s="165"/>
      <c r="C104" s="165" t="s">
        <v>102</v>
      </c>
      <c r="D104" s="157" t="s">
        <v>149</v>
      </c>
      <c r="E104" s="157"/>
      <c r="F104" s="165" t="s">
        <v>52</v>
      </c>
      <c r="G104" s="165" t="s">
        <v>52</v>
      </c>
      <c r="H104" s="165">
        <v>1.5</v>
      </c>
      <c r="I104" s="157" t="s">
        <v>145</v>
      </c>
      <c r="J104" s="307" t="s">
        <v>953</v>
      </c>
      <c r="K104" s="307" t="s">
        <v>1158</v>
      </c>
      <c r="L104" s="157"/>
      <c r="M104" s="157"/>
      <c r="AJ104" s="122"/>
    </row>
    <row r="105" spans="2:36">
      <c r="B105" s="165"/>
      <c r="C105" s="165" t="s">
        <v>76</v>
      </c>
      <c r="D105" s="157" t="s">
        <v>150</v>
      </c>
      <c r="E105" s="157"/>
      <c r="F105" s="165" t="s">
        <v>53</v>
      </c>
      <c r="G105" s="165" t="s">
        <v>53</v>
      </c>
      <c r="H105" s="165"/>
      <c r="I105" s="157"/>
      <c r="J105" s="157"/>
      <c r="K105" s="157"/>
      <c r="L105" s="157"/>
      <c r="M105" s="157"/>
      <c r="AJ105" s="122"/>
    </row>
    <row r="106" spans="2:36">
      <c r="B106" s="165"/>
      <c r="C106" s="165" t="s">
        <v>76</v>
      </c>
      <c r="D106" s="157" t="s">
        <v>151</v>
      </c>
      <c r="E106" s="157"/>
      <c r="F106" s="165" t="s">
        <v>52</v>
      </c>
      <c r="G106" s="165" t="s">
        <v>53</v>
      </c>
      <c r="H106" s="165">
        <v>1.833</v>
      </c>
      <c r="I106" s="157" t="s">
        <v>152</v>
      </c>
      <c r="J106" s="157" t="s">
        <v>929</v>
      </c>
      <c r="K106" s="157" t="s">
        <v>941</v>
      </c>
      <c r="L106" s="157"/>
      <c r="M106" s="157"/>
      <c r="AJ106" s="122"/>
    </row>
    <row r="107" spans="2:36" ht="38.25">
      <c r="B107" s="165" t="s">
        <v>101</v>
      </c>
      <c r="C107" s="165" t="s">
        <v>111</v>
      </c>
      <c r="D107" s="157" t="s">
        <v>153</v>
      </c>
      <c r="E107" s="157"/>
      <c r="F107" s="165" t="s">
        <v>52</v>
      </c>
      <c r="G107" s="165" t="s">
        <v>52</v>
      </c>
      <c r="H107" s="165">
        <v>2.3330000000000002</v>
      </c>
      <c r="I107" s="157" t="s">
        <v>154</v>
      </c>
      <c r="J107" s="157" t="s">
        <v>968</v>
      </c>
      <c r="K107" s="307" t="s">
        <v>1158</v>
      </c>
      <c r="L107" s="307" t="s">
        <v>1001</v>
      </c>
      <c r="M107" s="157"/>
      <c r="AJ107" s="122"/>
    </row>
    <row r="108" spans="2:36">
      <c r="B108" s="165"/>
      <c r="C108" s="165" t="s">
        <v>76</v>
      </c>
      <c r="D108" s="157" t="s">
        <v>155</v>
      </c>
      <c r="E108" s="157"/>
      <c r="F108" s="165" t="s">
        <v>53</v>
      </c>
      <c r="G108" s="165" t="s">
        <v>53</v>
      </c>
      <c r="H108" s="165"/>
      <c r="I108" s="157"/>
      <c r="J108" s="157"/>
      <c r="K108" s="157"/>
      <c r="L108" s="157"/>
      <c r="M108" s="157"/>
      <c r="AJ108" s="122"/>
    </row>
    <row r="109" spans="2:36">
      <c r="B109" s="165"/>
      <c r="C109" s="165" t="s">
        <v>76</v>
      </c>
      <c r="D109" s="157" t="s">
        <v>156</v>
      </c>
      <c r="E109" s="157"/>
      <c r="F109" s="165" t="s">
        <v>53</v>
      </c>
      <c r="G109" s="313" t="s">
        <v>53</v>
      </c>
      <c r="H109" s="165">
        <v>1.667</v>
      </c>
      <c r="I109" s="157"/>
      <c r="J109" s="157"/>
      <c r="K109" s="157"/>
      <c r="L109" s="157"/>
      <c r="M109" s="157"/>
      <c r="AJ109" s="122"/>
    </row>
    <row r="110" spans="2:36" ht="38.25">
      <c r="B110" s="165"/>
      <c r="C110" s="165" t="s">
        <v>81</v>
      </c>
      <c r="D110" s="157" t="s">
        <v>190</v>
      </c>
      <c r="E110" s="157"/>
      <c r="F110" s="165" t="s">
        <v>52</v>
      </c>
      <c r="G110" s="165" t="s">
        <v>52</v>
      </c>
      <c r="H110" s="165"/>
      <c r="I110" s="157" t="s">
        <v>83</v>
      </c>
      <c r="J110" s="307" t="s">
        <v>983</v>
      </c>
      <c r="K110" s="307" t="s">
        <v>977</v>
      </c>
      <c r="L110" s="307" t="s">
        <v>1001</v>
      </c>
      <c r="M110" s="307" t="s">
        <v>985</v>
      </c>
      <c r="AJ110" s="122"/>
    </row>
    <row r="111" spans="2:36" ht="38.25">
      <c r="B111" s="165"/>
      <c r="C111" s="165" t="s">
        <v>81</v>
      </c>
      <c r="D111" s="157" t="s">
        <v>195</v>
      </c>
      <c r="E111" s="157"/>
      <c r="F111" s="165" t="s">
        <v>52</v>
      </c>
      <c r="G111" s="165" t="s">
        <v>52</v>
      </c>
      <c r="H111" s="165"/>
      <c r="I111" s="157" t="s">
        <v>83</v>
      </c>
      <c r="J111" s="307" t="s">
        <v>983</v>
      </c>
      <c r="K111" s="307" t="s">
        <v>977</v>
      </c>
      <c r="L111" s="307" t="s">
        <v>1001</v>
      </c>
      <c r="M111" s="307" t="s">
        <v>985</v>
      </c>
      <c r="AJ111" s="122"/>
    </row>
    <row r="112" spans="2:36">
      <c r="B112" s="165"/>
      <c r="C112" s="165" t="s">
        <v>76</v>
      </c>
      <c r="D112" s="157" t="s">
        <v>157</v>
      </c>
      <c r="E112" s="157"/>
      <c r="F112" s="165" t="s">
        <v>53</v>
      </c>
      <c r="G112" s="313" t="s">
        <v>53</v>
      </c>
      <c r="H112" s="165"/>
      <c r="I112" s="157"/>
      <c r="J112" s="157"/>
      <c r="K112" s="157"/>
      <c r="L112" s="157"/>
      <c r="M112" s="157"/>
      <c r="AJ112" s="122"/>
    </row>
    <row r="113" spans="2:36">
      <c r="B113" s="165"/>
      <c r="C113" s="165" t="s">
        <v>102</v>
      </c>
      <c r="D113" s="157" t="s">
        <v>192</v>
      </c>
      <c r="E113" s="157"/>
      <c r="F113" s="313" t="s">
        <v>53</v>
      </c>
      <c r="G113" s="313" t="s">
        <v>53</v>
      </c>
      <c r="H113" s="165"/>
      <c r="I113" s="157"/>
      <c r="J113" s="157"/>
      <c r="K113" s="157"/>
      <c r="L113" s="157"/>
      <c r="M113" s="157"/>
      <c r="AJ113" s="122"/>
    </row>
    <row r="114" spans="2:36">
      <c r="B114" s="165"/>
      <c r="C114" s="165" t="s">
        <v>102</v>
      </c>
      <c r="D114" s="157" t="s">
        <v>191</v>
      </c>
      <c r="E114" s="157"/>
      <c r="F114" s="313" t="s">
        <v>53</v>
      </c>
      <c r="G114" s="313" t="s">
        <v>53</v>
      </c>
      <c r="H114" s="165"/>
      <c r="I114" s="157"/>
      <c r="J114" s="157"/>
      <c r="K114" s="157"/>
      <c r="L114" s="157"/>
      <c r="M114" s="157"/>
      <c r="AJ114" s="122"/>
    </row>
    <row r="115" spans="2:36">
      <c r="B115" s="165"/>
      <c r="C115" s="165" t="s">
        <v>102</v>
      </c>
      <c r="D115" s="157" t="s">
        <v>193</v>
      </c>
      <c r="E115" s="157"/>
      <c r="F115" s="313" t="s">
        <v>53</v>
      </c>
      <c r="G115" s="313" t="s">
        <v>53</v>
      </c>
      <c r="H115" s="165"/>
      <c r="I115" s="157"/>
      <c r="J115" s="157"/>
      <c r="K115" s="157"/>
      <c r="L115" s="157"/>
      <c r="M115" s="157"/>
      <c r="AJ115" s="122"/>
    </row>
    <row r="116" spans="2:36">
      <c r="B116" s="163"/>
      <c r="C116" s="163" t="s">
        <v>76</v>
      </c>
      <c r="D116" s="122" t="s">
        <v>158</v>
      </c>
      <c r="E116" s="122"/>
      <c r="F116" s="163" t="s">
        <v>53</v>
      </c>
      <c r="G116" s="312" t="s">
        <v>53</v>
      </c>
      <c r="H116" s="163"/>
      <c r="I116" s="122"/>
      <c r="J116" s="122"/>
      <c r="K116" s="122"/>
      <c r="L116" s="122"/>
      <c r="M116" s="122"/>
      <c r="AJ116" s="122"/>
    </row>
    <row r="117" spans="2:36">
      <c r="B117" s="165"/>
      <c r="C117" s="165" t="s">
        <v>76</v>
      </c>
      <c r="D117" s="157" t="s">
        <v>159</v>
      </c>
      <c r="E117" s="157"/>
      <c r="F117" s="165" t="s">
        <v>53</v>
      </c>
      <c r="G117" s="313" t="s">
        <v>53</v>
      </c>
      <c r="H117" s="165"/>
      <c r="I117" s="157"/>
      <c r="J117" s="157"/>
      <c r="K117" s="157"/>
      <c r="L117" s="157"/>
      <c r="M117" s="157"/>
      <c r="AJ117" s="122"/>
    </row>
    <row r="118" spans="2:36">
      <c r="B118" s="165"/>
      <c r="C118" s="165" t="s">
        <v>121</v>
      </c>
      <c r="D118" s="157" t="s">
        <v>194</v>
      </c>
      <c r="E118" s="157"/>
      <c r="F118" s="313" t="s">
        <v>53</v>
      </c>
      <c r="G118" s="313" t="s">
        <v>53</v>
      </c>
      <c r="H118" s="165"/>
      <c r="I118" s="157"/>
      <c r="J118" s="157"/>
      <c r="K118" s="157"/>
      <c r="L118" s="157"/>
      <c r="M118" s="157"/>
      <c r="AJ118" s="122"/>
    </row>
    <row r="119" spans="2:36">
      <c r="B119" s="165"/>
      <c r="C119" s="165" t="s">
        <v>76</v>
      </c>
      <c r="D119" s="157" t="s">
        <v>160</v>
      </c>
      <c r="E119" s="157"/>
      <c r="F119" s="165" t="s">
        <v>53</v>
      </c>
      <c r="G119" s="313" t="s">
        <v>53</v>
      </c>
      <c r="H119" s="165"/>
      <c r="I119" s="157"/>
      <c r="J119" s="157"/>
      <c r="K119" s="157"/>
      <c r="L119" s="157"/>
      <c r="M119" s="157"/>
      <c r="AJ119" s="122"/>
    </row>
    <row r="120" spans="2:36">
      <c r="B120" s="165"/>
      <c r="C120" s="165" t="s">
        <v>76</v>
      </c>
      <c r="D120" s="157" t="s">
        <v>161</v>
      </c>
      <c r="E120" s="157"/>
      <c r="F120" s="165" t="s">
        <v>53</v>
      </c>
      <c r="G120" s="313" t="s">
        <v>53</v>
      </c>
      <c r="H120" s="165"/>
      <c r="I120" s="157"/>
      <c r="J120" s="157"/>
      <c r="K120" s="157"/>
      <c r="L120" s="157"/>
      <c r="M120" s="157"/>
      <c r="AJ120" s="122"/>
    </row>
    <row r="121" spans="2:36" ht="38.25">
      <c r="B121" s="165"/>
      <c r="C121" s="165" t="s">
        <v>109</v>
      </c>
      <c r="D121" s="122" t="s">
        <v>200</v>
      </c>
      <c r="E121" s="157"/>
      <c r="F121" s="165" t="s">
        <v>52</v>
      </c>
      <c r="G121" s="165" t="s">
        <v>52</v>
      </c>
      <c r="H121" s="165"/>
      <c r="I121" s="157" t="s">
        <v>201</v>
      </c>
      <c r="J121" s="314" t="s">
        <v>968</v>
      </c>
      <c r="K121" s="307" t="s">
        <v>1001</v>
      </c>
      <c r="L121" s="157"/>
      <c r="M121" s="157"/>
      <c r="AJ121" s="122"/>
    </row>
    <row r="122" spans="2:36">
      <c r="B122" s="165"/>
      <c r="C122" s="165" t="s">
        <v>109</v>
      </c>
      <c r="D122" s="122" t="s">
        <v>204</v>
      </c>
      <c r="E122" s="157"/>
      <c r="F122" s="313" t="s">
        <v>53</v>
      </c>
      <c r="G122" s="313" t="s">
        <v>53</v>
      </c>
      <c r="H122" s="165"/>
      <c r="I122" s="157"/>
      <c r="J122" s="157"/>
      <c r="K122" s="157"/>
      <c r="L122" s="157"/>
      <c r="M122" s="157"/>
      <c r="AJ122" s="122"/>
    </row>
    <row r="123" spans="2:36" ht="38.25">
      <c r="B123" s="165" t="s">
        <v>101</v>
      </c>
      <c r="C123" s="165" t="s">
        <v>111</v>
      </c>
      <c r="D123" s="157" t="s">
        <v>214</v>
      </c>
      <c r="E123" s="157"/>
      <c r="F123" s="165" t="s">
        <v>52</v>
      </c>
      <c r="G123" s="165" t="s">
        <v>52</v>
      </c>
      <c r="H123" s="165"/>
      <c r="I123" s="157" t="s">
        <v>215</v>
      </c>
      <c r="J123" s="314" t="s">
        <v>977</v>
      </c>
      <c r="K123" s="314" t="s">
        <v>968</v>
      </c>
      <c r="L123" s="307" t="s">
        <v>1001</v>
      </c>
      <c r="M123" s="157"/>
      <c r="AJ123" s="122"/>
    </row>
    <row r="124" spans="2:36">
      <c r="B124" s="165"/>
      <c r="C124" s="165" t="s">
        <v>111</v>
      </c>
      <c r="D124" s="157" t="s">
        <v>181</v>
      </c>
      <c r="E124" s="157"/>
      <c r="F124" s="165" t="s">
        <v>52</v>
      </c>
      <c r="G124" s="165" t="s">
        <v>52</v>
      </c>
      <c r="H124" s="165"/>
      <c r="I124" s="157" t="s">
        <v>183</v>
      </c>
      <c r="J124" s="314" t="s">
        <v>1158</v>
      </c>
      <c r="K124" s="157"/>
      <c r="L124" s="157"/>
      <c r="M124" s="157"/>
      <c r="AJ124" s="122"/>
    </row>
    <row r="125" spans="2:36">
      <c r="B125" s="165"/>
      <c r="C125" s="165" t="s">
        <v>76</v>
      </c>
      <c r="D125" s="157" t="s">
        <v>162</v>
      </c>
      <c r="E125" s="157"/>
      <c r="F125" s="165" t="s">
        <v>53</v>
      </c>
      <c r="G125" s="313" t="s">
        <v>53</v>
      </c>
      <c r="H125" s="165"/>
      <c r="I125" s="157"/>
      <c r="J125" s="157"/>
      <c r="K125" s="157"/>
      <c r="L125" s="157"/>
      <c r="M125" s="157"/>
      <c r="AJ125" s="122"/>
    </row>
    <row r="126" spans="2:36" ht="30">
      <c r="B126" s="165" t="s">
        <v>101</v>
      </c>
      <c r="C126" s="165" t="s">
        <v>102</v>
      </c>
      <c r="D126" s="157" t="s">
        <v>163</v>
      </c>
      <c r="E126" s="157"/>
      <c r="F126" s="165" t="s">
        <v>52</v>
      </c>
      <c r="G126" s="313" t="s">
        <v>53</v>
      </c>
      <c r="H126" s="165"/>
      <c r="I126" s="157" t="s">
        <v>1297</v>
      </c>
      <c r="J126" s="330" t="s">
        <v>929</v>
      </c>
      <c r="K126" s="307" t="s">
        <v>991</v>
      </c>
      <c r="L126" s="157"/>
      <c r="M126" s="157"/>
      <c r="AJ126" s="122"/>
    </row>
    <row r="127" spans="2:36">
      <c r="B127" s="165"/>
      <c r="C127" s="165" t="s">
        <v>102</v>
      </c>
      <c r="D127" s="157" t="s">
        <v>164</v>
      </c>
      <c r="E127" s="157"/>
      <c r="F127" s="165" t="s">
        <v>53</v>
      </c>
      <c r="G127" s="313" t="s">
        <v>53</v>
      </c>
      <c r="H127" s="165"/>
      <c r="I127" s="157"/>
      <c r="J127" s="157"/>
      <c r="K127" s="157"/>
      <c r="L127" s="157"/>
      <c r="M127" s="157"/>
      <c r="AJ127" s="122"/>
    </row>
    <row r="128" spans="2:36" ht="38.25">
      <c r="B128" s="165"/>
      <c r="C128" s="165" t="s">
        <v>81</v>
      </c>
      <c r="D128" s="157" t="s">
        <v>225</v>
      </c>
      <c r="E128" s="157"/>
      <c r="F128" s="165" t="s">
        <v>52</v>
      </c>
      <c r="G128" s="165" t="s">
        <v>52</v>
      </c>
      <c r="H128" s="165"/>
      <c r="I128" s="157" t="s">
        <v>83</v>
      </c>
      <c r="J128" s="307" t="s">
        <v>983</v>
      </c>
      <c r="K128" s="307" t="s">
        <v>977</v>
      </c>
      <c r="L128" s="307" t="s">
        <v>1001</v>
      </c>
      <c r="M128" s="307" t="s">
        <v>985</v>
      </c>
      <c r="AJ128" s="122"/>
    </row>
    <row r="129" spans="2:13">
      <c r="B129" s="165" t="s">
        <v>101</v>
      </c>
      <c r="C129" s="165" t="s">
        <v>104</v>
      </c>
      <c r="D129" s="157" t="s">
        <v>212</v>
      </c>
      <c r="E129" s="157"/>
      <c r="F129" s="165" t="s">
        <v>52</v>
      </c>
      <c r="G129" s="165" t="s">
        <v>52</v>
      </c>
      <c r="H129" s="165"/>
      <c r="I129" s="157" t="s">
        <v>213</v>
      </c>
      <c r="J129" s="314" t="s">
        <v>977</v>
      </c>
      <c r="K129" s="314" t="s">
        <v>968</v>
      </c>
      <c r="L129" s="157"/>
      <c r="M129" s="157"/>
    </row>
    <row r="130" spans="2:13">
      <c r="B130" s="165"/>
      <c r="C130" s="165" t="s">
        <v>76</v>
      </c>
      <c r="D130" s="157" t="s">
        <v>165</v>
      </c>
      <c r="E130" s="157"/>
      <c r="F130" s="165" t="s">
        <v>52</v>
      </c>
      <c r="G130" s="313" t="s">
        <v>53</v>
      </c>
      <c r="H130" s="165">
        <v>1.333</v>
      </c>
      <c r="I130" s="157"/>
      <c r="J130" s="157"/>
      <c r="K130" s="157"/>
      <c r="L130" s="157"/>
      <c r="M130" s="157"/>
    </row>
    <row r="131" spans="2:13">
      <c r="B131" s="165"/>
      <c r="C131" s="165" t="s">
        <v>76</v>
      </c>
      <c r="D131" s="157" t="s">
        <v>166</v>
      </c>
      <c r="E131" s="157"/>
      <c r="F131" s="165" t="s">
        <v>53</v>
      </c>
      <c r="G131" s="313" t="s">
        <v>53</v>
      </c>
      <c r="H131" s="165"/>
      <c r="I131" s="157"/>
      <c r="J131" s="157"/>
      <c r="K131" s="157"/>
      <c r="L131" s="157"/>
      <c r="M131" s="157"/>
    </row>
    <row r="132" spans="2:13" ht="38.25">
      <c r="B132" s="165" t="s">
        <v>101</v>
      </c>
      <c r="C132" s="165" t="s">
        <v>111</v>
      </c>
      <c r="D132" s="157" t="s">
        <v>219</v>
      </c>
      <c r="E132" s="157"/>
      <c r="F132" s="313" t="s">
        <v>52</v>
      </c>
      <c r="G132" s="313" t="s">
        <v>53</v>
      </c>
      <c r="H132" s="165"/>
      <c r="I132" s="157" t="s">
        <v>1291</v>
      </c>
      <c r="J132" s="157" t="s">
        <v>968</v>
      </c>
      <c r="K132" s="307" t="s">
        <v>1158</v>
      </c>
      <c r="L132" s="307" t="s">
        <v>1001</v>
      </c>
      <c r="M132" s="157"/>
    </row>
    <row r="133" spans="2:13">
      <c r="B133" s="165"/>
      <c r="C133" s="165" t="s">
        <v>104</v>
      </c>
      <c r="D133" s="157" t="s">
        <v>1298</v>
      </c>
      <c r="E133" s="157"/>
      <c r="F133" s="313" t="s">
        <v>52</v>
      </c>
      <c r="G133" s="313" t="s">
        <v>53</v>
      </c>
      <c r="H133" s="165"/>
      <c r="I133" s="157" t="s">
        <v>1299</v>
      </c>
      <c r="J133" s="122" t="s">
        <v>977</v>
      </c>
      <c r="K133" s="157" t="s">
        <v>968</v>
      </c>
      <c r="L133" s="307"/>
      <c r="M133" s="157"/>
    </row>
    <row r="134" spans="2:13">
      <c r="B134" s="165"/>
      <c r="C134" s="165" t="s">
        <v>76</v>
      </c>
      <c r="D134" s="157" t="s">
        <v>167</v>
      </c>
      <c r="E134" s="157"/>
      <c r="F134" s="165" t="s">
        <v>53</v>
      </c>
      <c r="G134" s="313" t="s">
        <v>53</v>
      </c>
      <c r="H134" s="165"/>
      <c r="I134" s="122"/>
      <c r="J134" s="122"/>
      <c r="K134" s="122"/>
      <c r="L134" s="157"/>
      <c r="M134" s="157"/>
    </row>
    <row r="135" spans="2:13">
      <c r="B135" s="165"/>
      <c r="C135" s="165" t="s">
        <v>76</v>
      </c>
      <c r="D135" s="157" t="s">
        <v>168</v>
      </c>
      <c r="E135" s="157"/>
      <c r="F135" s="165" t="s">
        <v>53</v>
      </c>
      <c r="G135" s="313" t="s">
        <v>53</v>
      </c>
      <c r="H135" s="165"/>
      <c r="I135" s="157"/>
      <c r="J135" s="157"/>
      <c r="K135" s="157"/>
      <c r="L135" s="157"/>
      <c r="M135" s="157"/>
    </row>
    <row r="136" spans="2:13" ht="75">
      <c r="B136" s="165"/>
      <c r="C136" s="165" t="s">
        <v>76</v>
      </c>
      <c r="D136" s="157" t="s">
        <v>169</v>
      </c>
      <c r="E136" s="157"/>
      <c r="F136" s="165" t="s">
        <v>52</v>
      </c>
      <c r="G136" s="313" t="s">
        <v>53</v>
      </c>
      <c r="H136" s="165"/>
      <c r="I136" s="157" t="s">
        <v>1300</v>
      </c>
      <c r="J136" s="307" t="s">
        <v>1001</v>
      </c>
      <c r="K136" s="307" t="s">
        <v>1158</v>
      </c>
      <c r="L136" s="157" t="s">
        <v>968</v>
      </c>
      <c r="M136" s="157"/>
    </row>
    <row r="137" spans="2:13" ht="38.25">
      <c r="B137" s="165" t="s">
        <v>99</v>
      </c>
      <c r="C137" s="165" t="s">
        <v>109</v>
      </c>
      <c r="D137" s="157" t="s">
        <v>170</v>
      </c>
      <c r="E137" s="157"/>
      <c r="F137" s="165" t="s">
        <v>52</v>
      </c>
      <c r="G137" s="165" t="s">
        <v>52</v>
      </c>
      <c r="H137" s="165"/>
      <c r="I137" s="157"/>
      <c r="J137" s="314" t="s">
        <v>968</v>
      </c>
      <c r="K137" s="307" t="s">
        <v>1001</v>
      </c>
      <c r="L137" s="314" t="s">
        <v>929</v>
      </c>
      <c r="M137" s="157"/>
    </row>
    <row r="138" spans="2:13" ht="38.25">
      <c r="B138" s="165" t="s">
        <v>101</v>
      </c>
      <c r="C138" s="165" t="s">
        <v>111</v>
      </c>
      <c r="D138" s="157" t="s">
        <v>222</v>
      </c>
      <c r="E138" s="157"/>
      <c r="F138" s="165" t="s">
        <v>52</v>
      </c>
      <c r="G138" s="165" t="s">
        <v>52</v>
      </c>
      <c r="H138" s="165"/>
      <c r="I138" s="157" t="s">
        <v>223</v>
      </c>
      <c r="J138" s="307" t="s">
        <v>958</v>
      </c>
      <c r="K138" s="314" t="s">
        <v>968</v>
      </c>
      <c r="L138" s="307" t="s">
        <v>1001</v>
      </c>
      <c r="M138" s="157"/>
    </row>
    <row r="139" spans="2:13" ht="38.25">
      <c r="B139" s="165"/>
      <c r="C139" s="165" t="s">
        <v>81</v>
      </c>
      <c r="D139" s="157" t="s">
        <v>196</v>
      </c>
      <c r="E139" s="157"/>
      <c r="F139" s="165" t="s">
        <v>52</v>
      </c>
      <c r="G139" s="165" t="s">
        <v>52</v>
      </c>
      <c r="H139" s="165"/>
      <c r="I139" s="157" t="s">
        <v>83</v>
      </c>
      <c r="J139" s="307" t="s">
        <v>983</v>
      </c>
      <c r="K139" s="307" t="s">
        <v>977</v>
      </c>
      <c r="L139" s="307" t="s">
        <v>1001</v>
      </c>
      <c r="M139" s="307" t="s">
        <v>985</v>
      </c>
    </row>
    <row r="140" spans="2:13">
      <c r="B140" s="165"/>
      <c r="C140" s="165" t="s">
        <v>1273</v>
      </c>
      <c r="D140" s="157" t="s">
        <v>171</v>
      </c>
      <c r="E140" s="157"/>
      <c r="F140" s="165" t="s">
        <v>53</v>
      </c>
      <c r="G140" s="313" t="s">
        <v>53</v>
      </c>
      <c r="H140" s="165"/>
      <c r="I140" s="157"/>
      <c r="J140" s="157"/>
      <c r="K140" s="157"/>
      <c r="L140" s="157"/>
      <c r="M140" s="157"/>
    </row>
    <row r="141" spans="2:13" ht="25.5">
      <c r="B141" s="165" t="s">
        <v>101</v>
      </c>
      <c r="C141" s="165" t="s">
        <v>1273</v>
      </c>
      <c r="D141" s="157" t="s">
        <v>172</v>
      </c>
      <c r="E141" s="157"/>
      <c r="F141" s="165" t="s">
        <v>52</v>
      </c>
      <c r="G141" s="165" t="s">
        <v>52</v>
      </c>
      <c r="H141" s="165">
        <v>1.833</v>
      </c>
      <c r="I141" s="157" t="s">
        <v>173</v>
      </c>
      <c r="J141" s="307" t="s">
        <v>932</v>
      </c>
      <c r="K141" s="307" t="s">
        <v>943</v>
      </c>
      <c r="L141" s="314" t="s">
        <v>941</v>
      </c>
      <c r="M141" s="307" t="s">
        <v>924</v>
      </c>
    </row>
    <row r="142" spans="2:13" ht="38.25">
      <c r="B142" s="165" t="s">
        <v>99</v>
      </c>
      <c r="C142" s="165" t="s">
        <v>111</v>
      </c>
      <c r="D142" s="157" t="s">
        <v>174</v>
      </c>
      <c r="E142" s="157"/>
      <c r="F142" s="165" t="s">
        <v>52</v>
      </c>
      <c r="G142" s="165" t="s">
        <v>52</v>
      </c>
      <c r="H142" s="165">
        <v>1.5</v>
      </c>
      <c r="I142" s="157"/>
      <c r="J142" s="157" t="s">
        <v>977</v>
      </c>
      <c r="K142" s="157" t="s">
        <v>968</v>
      </c>
      <c r="L142" s="307" t="s">
        <v>1001</v>
      </c>
      <c r="M142" s="157"/>
    </row>
    <row r="143" spans="2:13" ht="38.25">
      <c r="B143" s="165" t="s">
        <v>99</v>
      </c>
      <c r="C143" s="165" t="s">
        <v>111</v>
      </c>
      <c r="D143" s="157" t="s">
        <v>175</v>
      </c>
      <c r="E143" s="157"/>
      <c r="F143" s="165" t="s">
        <v>52</v>
      </c>
      <c r="G143" s="165" t="s">
        <v>52</v>
      </c>
      <c r="H143" s="165">
        <v>2.1669999999999998</v>
      </c>
      <c r="I143" s="157"/>
      <c r="J143" s="157" t="s">
        <v>977</v>
      </c>
      <c r="K143" s="157" t="s">
        <v>968</v>
      </c>
      <c r="L143" s="307" t="s">
        <v>1001</v>
      </c>
      <c r="M143" s="157"/>
    </row>
    <row r="144" spans="2:13">
      <c r="B144" s="165"/>
      <c r="C144" s="165" t="s">
        <v>76</v>
      </c>
      <c r="D144" s="157" t="s">
        <v>176</v>
      </c>
      <c r="E144" s="157"/>
      <c r="F144" s="165" t="s">
        <v>53</v>
      </c>
      <c r="G144" s="313" t="s">
        <v>53</v>
      </c>
      <c r="H144" s="165"/>
      <c r="I144" s="157"/>
      <c r="J144" s="157"/>
      <c r="K144" s="157"/>
      <c r="L144" s="157"/>
      <c r="M144" s="157"/>
    </row>
    <row r="145" spans="2:13">
      <c r="B145" s="165"/>
      <c r="C145" s="165" t="s">
        <v>76</v>
      </c>
      <c r="D145" s="157" t="s">
        <v>177</v>
      </c>
      <c r="E145" s="157"/>
      <c r="F145" s="165" t="s">
        <v>53</v>
      </c>
      <c r="G145" s="313" t="s">
        <v>53</v>
      </c>
      <c r="H145" s="165"/>
      <c r="I145" s="157"/>
      <c r="J145" s="157"/>
      <c r="K145" s="157"/>
      <c r="L145" s="157"/>
      <c r="M145" s="157"/>
    </row>
    <row r="146" spans="2:13" ht="38.25">
      <c r="B146" s="165" t="s">
        <v>99</v>
      </c>
      <c r="C146" s="165" t="s">
        <v>111</v>
      </c>
      <c r="D146" s="157" t="s">
        <v>178</v>
      </c>
      <c r="E146" s="157"/>
      <c r="F146" s="165" t="s">
        <v>52</v>
      </c>
      <c r="G146" s="165" t="s">
        <v>52</v>
      </c>
      <c r="H146" s="165">
        <v>3</v>
      </c>
      <c r="I146" s="157"/>
      <c r="J146" s="157" t="s">
        <v>968</v>
      </c>
      <c r="K146" s="307" t="s">
        <v>1001</v>
      </c>
      <c r="L146" s="157"/>
      <c r="M146" s="157"/>
    </row>
    <row r="147" spans="2:13" ht="38.25">
      <c r="B147" s="165" t="s">
        <v>99</v>
      </c>
      <c r="C147" s="165" t="s">
        <v>111</v>
      </c>
      <c r="D147" s="157" t="s">
        <v>179</v>
      </c>
      <c r="E147" s="157"/>
      <c r="F147" s="165" t="s">
        <v>52</v>
      </c>
      <c r="G147" s="165" t="s">
        <v>52</v>
      </c>
      <c r="H147" s="165">
        <v>3</v>
      </c>
      <c r="I147" s="157"/>
      <c r="J147" s="157" t="s">
        <v>968</v>
      </c>
      <c r="K147" s="307" t="s">
        <v>1001</v>
      </c>
      <c r="L147" s="157"/>
      <c r="M147" s="157"/>
    </row>
    <row r="148" spans="2:13" ht="30">
      <c r="B148" s="165"/>
      <c r="C148" s="165" t="s">
        <v>121</v>
      </c>
      <c r="D148" s="157" t="s">
        <v>224</v>
      </c>
      <c r="E148" s="157"/>
      <c r="F148" s="313" t="s">
        <v>52</v>
      </c>
      <c r="G148" s="313" t="s">
        <v>53</v>
      </c>
      <c r="H148" s="165"/>
      <c r="I148" s="157" t="s">
        <v>1301</v>
      </c>
      <c r="J148" s="157" t="s">
        <v>975</v>
      </c>
      <c r="K148" s="157" t="s">
        <v>949</v>
      </c>
      <c r="L148" s="157" t="s">
        <v>941</v>
      </c>
      <c r="M148" s="157"/>
    </row>
    <row r="149" spans="2:13">
      <c r="B149" s="165"/>
      <c r="C149" s="165" t="s">
        <v>121</v>
      </c>
      <c r="D149" s="315" t="s">
        <v>180</v>
      </c>
      <c r="E149" s="315"/>
      <c r="F149" s="165" t="s">
        <v>52</v>
      </c>
      <c r="G149" s="165" t="s">
        <v>52</v>
      </c>
      <c r="H149" s="165">
        <v>1.333</v>
      </c>
      <c r="I149" s="157"/>
      <c r="J149" s="307" t="s">
        <v>941</v>
      </c>
      <c r="K149" s="157" t="s">
        <v>966</v>
      </c>
      <c r="L149" s="157"/>
      <c r="M149" s="157"/>
    </row>
    <row r="150" spans="2:13">
      <c r="C150" s="160" t="s">
        <v>104</v>
      </c>
      <c r="D150" s="59" t="s">
        <v>1190</v>
      </c>
    </row>
    <row r="151" spans="2:13">
      <c r="C151" s="160" t="s">
        <v>104</v>
      </c>
      <c r="D151" s="59" t="s">
        <v>1191</v>
      </c>
      <c r="E151" s="59" t="s">
        <v>1192</v>
      </c>
    </row>
  </sheetData>
  <autoFilter ref="B21:M151">
    <sortState ref="B26:M149">
      <sortCondition ref="D21:D151"/>
    </sortState>
  </autoFilter>
  <mergeCells count="7">
    <mergeCell ref="O10:T12"/>
    <mergeCell ref="D3:E3"/>
    <mergeCell ref="J3:M3"/>
    <mergeCell ref="O5:T5"/>
    <mergeCell ref="O6:T6"/>
    <mergeCell ref="O7:T7"/>
    <mergeCell ref="O8:T8"/>
  </mergeCells>
  <hyperlinks>
    <hyperlink ref="O9" r:id="rId1"/>
  </hyperlinks>
  <pageMargins left="0.7" right="0.7" top="0.75" bottom="0.75" header="0.3" footer="0.3"/>
  <pageSetup paperSize="9" orientation="portrait" horizontalDpi="200" verticalDpi="2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Llistes!$D$2:$D$4</xm:f>
          </x14:formula1>
          <xm:sqref>F22:G108 F137:G149 F115:G115 F117:G121 F110:G113 F131:G134 F127:G129 F123:G125 F5:G17</xm:sqref>
        </x14:dataValidation>
        <x14:dataValidation type="list" allowBlank="1" showInputMessage="1" showErrorMessage="1">
          <x14:formula1>
            <xm:f>Llistes!$H$2:$H$43</xm:f>
          </x14:formula1>
          <xm:sqref>M46 K102:L102 J103:L108 M44 K101 J126:K126 J148:M148 J22:K100 L22:L101 J5:L17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workbookViewId="0">
      <selection activeCell="C10" sqref="C10"/>
    </sheetView>
  </sheetViews>
  <sheetFormatPr baseColWidth="10" defaultRowHeight="15"/>
  <cols>
    <col min="1" max="1" width="39.42578125" style="323" bestFit="1" customWidth="1"/>
    <col min="2" max="2" width="6.42578125" style="323" bestFit="1" customWidth="1"/>
    <col min="3" max="3" width="56.42578125" style="287" customWidth="1"/>
    <col min="4" max="4" width="11.42578125" style="323"/>
    <col min="5" max="5" width="208.85546875" style="323" bestFit="1" customWidth="1"/>
    <col min="6" max="15" width="11.42578125" style="323"/>
  </cols>
  <sheetData>
    <row r="1" spans="1:15">
      <c r="A1" s="323" t="s">
        <v>231</v>
      </c>
      <c r="B1" s="323" t="s">
        <v>1306</v>
      </c>
      <c r="C1" s="287" t="s">
        <v>232</v>
      </c>
      <c r="D1" s="323" t="s">
        <v>1305</v>
      </c>
      <c r="E1" s="323" t="s">
        <v>233</v>
      </c>
      <c r="F1" s="323" t="s">
        <v>1307</v>
      </c>
      <c r="G1" s="323" t="s">
        <v>237</v>
      </c>
      <c r="H1" s="323" t="s">
        <v>238</v>
      </c>
      <c r="I1" s="323" t="s">
        <v>239</v>
      </c>
      <c r="J1" s="323" t="s">
        <v>242</v>
      </c>
      <c r="K1" s="323" t="s">
        <v>245</v>
      </c>
      <c r="L1" s="323" t="s">
        <v>249</v>
      </c>
      <c r="M1" s="323" t="s">
        <v>250</v>
      </c>
      <c r="N1" s="323" t="s">
        <v>251</v>
      </c>
      <c r="O1" s="323" t="s">
        <v>252</v>
      </c>
    </row>
    <row r="2" spans="1:15" ht="45">
      <c r="A2" s="323" t="s">
        <v>253</v>
      </c>
      <c r="B2" s="323">
        <v>1</v>
      </c>
      <c r="C2" s="287" t="s">
        <v>254</v>
      </c>
      <c r="D2" s="323" t="s">
        <v>255</v>
      </c>
      <c r="E2" s="323" t="s">
        <v>256</v>
      </c>
      <c r="F2" s="323" t="s">
        <v>257</v>
      </c>
      <c r="G2" s="323" t="s">
        <v>258</v>
      </c>
      <c r="I2" s="323" t="s">
        <v>52</v>
      </c>
      <c r="J2" s="323" t="s">
        <v>1310</v>
      </c>
      <c r="K2" s="323" t="s">
        <v>1270</v>
      </c>
      <c r="L2" s="323" t="s">
        <v>263</v>
      </c>
      <c r="M2" s="323" t="s">
        <v>849</v>
      </c>
      <c r="N2" s="323" t="s">
        <v>264</v>
      </c>
      <c r="O2" s="323" t="s">
        <v>265</v>
      </c>
    </row>
    <row r="3" spans="1:15" ht="45">
      <c r="A3" s="323" t="s">
        <v>253</v>
      </c>
      <c r="B3" s="323">
        <v>1</v>
      </c>
      <c r="C3" s="287" t="s">
        <v>254</v>
      </c>
      <c r="D3" s="323" t="s">
        <v>255</v>
      </c>
      <c r="E3" s="323" t="s">
        <v>256</v>
      </c>
      <c r="F3" s="323" t="s">
        <v>257</v>
      </c>
      <c r="G3" s="323" t="s">
        <v>258</v>
      </c>
      <c r="I3" s="323" t="s">
        <v>52</v>
      </c>
      <c r="J3" s="323" t="s">
        <v>1311</v>
      </c>
      <c r="K3" s="323" t="s">
        <v>1270</v>
      </c>
      <c r="L3" s="323" t="s">
        <v>263</v>
      </c>
      <c r="M3" s="323" t="s">
        <v>849</v>
      </c>
      <c r="N3" s="323" t="s">
        <v>264</v>
      </c>
      <c r="O3" s="323" t="s">
        <v>265</v>
      </c>
    </row>
    <row r="4" spans="1:15" ht="45">
      <c r="A4" s="323" t="s">
        <v>253</v>
      </c>
      <c r="B4" s="323">
        <v>1</v>
      </c>
      <c r="C4" s="287" t="s">
        <v>254</v>
      </c>
      <c r="D4" s="323" t="s">
        <v>255</v>
      </c>
      <c r="E4" s="323" t="s">
        <v>256</v>
      </c>
      <c r="F4" s="323" t="s">
        <v>257</v>
      </c>
      <c r="G4" s="323" t="s">
        <v>258</v>
      </c>
      <c r="I4" s="323" t="s">
        <v>52</v>
      </c>
      <c r="J4" s="323" t="s">
        <v>1312</v>
      </c>
      <c r="K4" s="323" t="s">
        <v>1270</v>
      </c>
      <c r="L4" s="323" t="s">
        <v>263</v>
      </c>
      <c r="M4" s="323" t="s">
        <v>849</v>
      </c>
      <c r="N4" s="323" t="s">
        <v>264</v>
      </c>
      <c r="O4" s="323" t="s">
        <v>265</v>
      </c>
    </row>
    <row r="5" spans="1:15" ht="45">
      <c r="A5" s="323" t="s">
        <v>253</v>
      </c>
      <c r="B5" s="323">
        <v>1</v>
      </c>
      <c r="C5" s="287" t="s">
        <v>254</v>
      </c>
      <c r="D5" s="323" t="s">
        <v>278</v>
      </c>
      <c r="E5" s="323" t="s">
        <v>1178</v>
      </c>
      <c r="F5" s="323" t="s">
        <v>279</v>
      </c>
      <c r="G5" s="323" t="s">
        <v>280</v>
      </c>
      <c r="I5" s="323" t="s">
        <v>52</v>
      </c>
      <c r="J5" s="323" t="s">
        <v>283</v>
      </c>
      <c r="K5" s="323" t="s">
        <v>1270</v>
      </c>
      <c r="L5" s="323" t="s">
        <v>286</v>
      </c>
      <c r="M5" s="323" t="s">
        <v>1017</v>
      </c>
    </row>
    <row r="6" spans="1:15" ht="45">
      <c r="A6" s="323" t="s">
        <v>253</v>
      </c>
      <c r="B6" s="323">
        <v>1</v>
      </c>
      <c r="C6" s="287" t="s">
        <v>254</v>
      </c>
      <c r="D6" s="323" t="s">
        <v>278</v>
      </c>
      <c r="E6" s="323" t="s">
        <v>1178</v>
      </c>
      <c r="F6" s="323" t="s">
        <v>288</v>
      </c>
      <c r="G6" s="323" t="s">
        <v>289</v>
      </c>
      <c r="I6" s="323" t="s">
        <v>53</v>
      </c>
      <c r="J6" s="323" t="s">
        <v>290</v>
      </c>
      <c r="K6" s="323" t="s">
        <v>291</v>
      </c>
      <c r="L6" s="323" t="s">
        <v>263</v>
      </c>
      <c r="M6" s="323" t="s">
        <v>849</v>
      </c>
      <c r="N6" s="323" t="s">
        <v>275</v>
      </c>
      <c r="O6" s="323" t="s">
        <v>265</v>
      </c>
    </row>
    <row r="7" spans="1:15" ht="45">
      <c r="A7" s="323" t="s">
        <v>253</v>
      </c>
      <c r="B7" s="323">
        <v>1</v>
      </c>
      <c r="C7" s="287" t="s">
        <v>254</v>
      </c>
      <c r="D7" s="323" t="s">
        <v>278</v>
      </c>
      <c r="E7" s="323" t="s">
        <v>1178</v>
      </c>
      <c r="F7" s="323" t="s">
        <v>288</v>
      </c>
      <c r="G7" s="323" t="s">
        <v>289</v>
      </c>
      <c r="I7" s="323" t="s">
        <v>52</v>
      </c>
      <c r="J7" s="323" t="s">
        <v>292</v>
      </c>
      <c r="K7" s="323" t="s">
        <v>293</v>
      </c>
      <c r="L7" s="323" t="s">
        <v>263</v>
      </c>
      <c r="M7" s="323" t="s">
        <v>849</v>
      </c>
      <c r="N7" s="323" t="s">
        <v>264</v>
      </c>
      <c r="O7" s="323" t="s">
        <v>294</v>
      </c>
    </row>
    <row r="8" spans="1:15" ht="45">
      <c r="A8" s="323" t="s">
        <v>253</v>
      </c>
      <c r="B8" s="323">
        <v>1</v>
      </c>
      <c r="C8" s="287" t="s">
        <v>254</v>
      </c>
      <c r="D8" s="323" t="s">
        <v>278</v>
      </c>
      <c r="E8" s="323" t="s">
        <v>1178</v>
      </c>
      <c r="F8" s="323" t="s">
        <v>288</v>
      </c>
      <c r="G8" s="323" t="s">
        <v>289</v>
      </c>
      <c r="I8" s="323" t="s">
        <v>52</v>
      </c>
      <c r="J8" s="323" t="s">
        <v>1179</v>
      </c>
      <c r="K8" s="323" t="s">
        <v>1270</v>
      </c>
      <c r="L8" s="323" t="s">
        <v>263</v>
      </c>
      <c r="M8" s="323" t="s">
        <v>849</v>
      </c>
      <c r="N8" s="323" t="s">
        <v>275</v>
      </c>
      <c r="O8" s="323" t="s">
        <v>265</v>
      </c>
    </row>
    <row r="9" spans="1:15" ht="45">
      <c r="A9" s="323" t="s">
        <v>253</v>
      </c>
      <c r="B9" s="323">
        <v>1</v>
      </c>
      <c r="C9" s="287" t="s">
        <v>254</v>
      </c>
      <c r="D9" s="323" t="s">
        <v>278</v>
      </c>
      <c r="E9" s="323" t="s">
        <v>1178</v>
      </c>
      <c r="F9" s="323" t="s">
        <v>297</v>
      </c>
      <c r="G9" s="323" t="s">
        <v>299</v>
      </c>
      <c r="I9" s="323" t="s">
        <v>52</v>
      </c>
      <c r="J9" s="323" t="s">
        <v>300</v>
      </c>
      <c r="K9" s="323" t="s">
        <v>1270</v>
      </c>
      <c r="L9" s="323" t="s">
        <v>263</v>
      </c>
      <c r="M9" s="323" t="s">
        <v>849</v>
      </c>
      <c r="N9" s="323" t="s">
        <v>275</v>
      </c>
      <c r="O9" s="323" t="s">
        <v>265</v>
      </c>
    </row>
    <row r="10" spans="1:15" ht="45">
      <c r="A10" s="323" t="s">
        <v>253</v>
      </c>
      <c r="B10" s="323">
        <v>1</v>
      </c>
      <c r="C10" s="287" t="s">
        <v>254</v>
      </c>
      <c r="D10" s="323" t="s">
        <v>278</v>
      </c>
      <c r="E10" s="323" t="s">
        <v>1178</v>
      </c>
      <c r="F10" s="323" t="s">
        <v>297</v>
      </c>
      <c r="G10" s="323" t="s">
        <v>299</v>
      </c>
      <c r="I10" s="323" t="s">
        <v>52</v>
      </c>
      <c r="J10" s="323" t="s">
        <v>301</v>
      </c>
      <c r="K10" s="323" t="s">
        <v>1271</v>
      </c>
      <c r="L10" s="323" t="s">
        <v>263</v>
      </c>
      <c r="M10" s="323" t="s">
        <v>849</v>
      </c>
      <c r="N10" s="323" t="s">
        <v>275</v>
      </c>
      <c r="O10" s="323" t="s">
        <v>265</v>
      </c>
    </row>
    <row r="11" spans="1:15" ht="45">
      <c r="A11" s="323" t="s">
        <v>253</v>
      </c>
      <c r="B11" s="323">
        <v>1</v>
      </c>
      <c r="C11" s="287" t="s">
        <v>254</v>
      </c>
      <c r="D11" s="323" t="s">
        <v>278</v>
      </c>
      <c r="E11" s="323" t="s">
        <v>1178</v>
      </c>
      <c r="F11" s="323" t="s">
        <v>297</v>
      </c>
      <c r="G11" s="323" t="s">
        <v>299</v>
      </c>
      <c r="I11" s="323" t="s">
        <v>52</v>
      </c>
      <c r="J11" s="323" t="s">
        <v>302</v>
      </c>
      <c r="K11" s="323" t="s">
        <v>1270</v>
      </c>
      <c r="L11" s="323" t="s">
        <v>263</v>
      </c>
      <c r="M11" s="323" t="s">
        <v>849</v>
      </c>
      <c r="N11" s="323" t="s">
        <v>275</v>
      </c>
      <c r="O11" s="323" t="s">
        <v>265</v>
      </c>
    </row>
    <row r="12" spans="1:15" ht="45">
      <c r="A12" s="323" t="s">
        <v>253</v>
      </c>
      <c r="B12" s="323">
        <v>1</v>
      </c>
      <c r="C12" s="287" t="s">
        <v>254</v>
      </c>
      <c r="D12" s="323" t="s">
        <v>278</v>
      </c>
      <c r="E12" s="323" t="s">
        <v>1178</v>
      </c>
      <c r="F12" s="323" t="s">
        <v>297</v>
      </c>
      <c r="G12" s="323" t="s">
        <v>299</v>
      </c>
      <c r="I12" s="323" t="s">
        <v>52</v>
      </c>
      <c r="J12" s="323" t="s">
        <v>304</v>
      </c>
      <c r="K12" s="323" t="s">
        <v>1270</v>
      </c>
      <c r="L12" s="323" t="s">
        <v>263</v>
      </c>
      <c r="M12" s="323" t="s">
        <v>849</v>
      </c>
      <c r="N12" s="323" t="s">
        <v>275</v>
      </c>
      <c r="O12" s="323" t="s">
        <v>265</v>
      </c>
    </row>
    <row r="13" spans="1:15" ht="45">
      <c r="A13" s="323" t="s">
        <v>253</v>
      </c>
      <c r="B13" s="323">
        <v>1</v>
      </c>
      <c r="C13" s="287" t="s">
        <v>254</v>
      </c>
      <c r="D13" s="323" t="s">
        <v>278</v>
      </c>
      <c r="E13" s="323" t="s">
        <v>1178</v>
      </c>
      <c r="F13" s="323" t="s">
        <v>297</v>
      </c>
      <c r="G13" s="323" t="s">
        <v>299</v>
      </c>
      <c r="I13" s="323" t="s">
        <v>52</v>
      </c>
      <c r="J13" s="323" t="s">
        <v>306</v>
      </c>
      <c r="K13" s="323" t="s">
        <v>1270</v>
      </c>
      <c r="L13" s="323" t="s">
        <v>263</v>
      </c>
      <c r="M13" s="323" t="s">
        <v>849</v>
      </c>
      <c r="N13" s="323" t="s">
        <v>275</v>
      </c>
      <c r="O13" s="323" t="s">
        <v>265</v>
      </c>
    </row>
    <row r="14" spans="1:15" ht="45">
      <c r="A14" s="323" t="s">
        <v>253</v>
      </c>
      <c r="B14" s="323">
        <v>1</v>
      </c>
      <c r="C14" s="287" t="s">
        <v>254</v>
      </c>
      <c r="D14" s="323" t="s">
        <v>278</v>
      </c>
      <c r="E14" s="323" t="s">
        <v>1178</v>
      </c>
      <c r="F14" s="323" t="s">
        <v>297</v>
      </c>
      <c r="G14" s="323" t="s">
        <v>299</v>
      </c>
      <c r="I14" s="323" t="s">
        <v>53</v>
      </c>
      <c r="J14" s="323" t="s">
        <v>1180</v>
      </c>
      <c r="K14" s="323" t="s">
        <v>1270</v>
      </c>
      <c r="L14" s="323" t="s">
        <v>263</v>
      </c>
      <c r="M14" s="323" t="s">
        <v>849</v>
      </c>
      <c r="N14" s="323" t="s">
        <v>275</v>
      </c>
      <c r="O14" s="323" t="s">
        <v>265</v>
      </c>
    </row>
    <row r="15" spans="1:15" ht="45">
      <c r="A15" s="323" t="s">
        <v>253</v>
      </c>
      <c r="B15" s="323">
        <v>1</v>
      </c>
      <c r="C15" s="287" t="s">
        <v>254</v>
      </c>
      <c r="D15" s="323" t="s">
        <v>278</v>
      </c>
      <c r="E15" s="323" t="s">
        <v>1178</v>
      </c>
      <c r="F15" s="323" t="s">
        <v>297</v>
      </c>
      <c r="G15" s="323" t="s">
        <v>299</v>
      </c>
      <c r="I15" s="323" t="s">
        <v>52</v>
      </c>
      <c r="J15" s="323" t="s">
        <v>310</v>
      </c>
      <c r="K15" s="323" t="s">
        <v>1270</v>
      </c>
      <c r="L15" s="323" t="s">
        <v>263</v>
      </c>
      <c r="M15" s="323" t="s">
        <v>849</v>
      </c>
      <c r="N15" s="323" t="s">
        <v>275</v>
      </c>
      <c r="O15" s="323" t="s">
        <v>265</v>
      </c>
    </row>
    <row r="16" spans="1:15" ht="45">
      <c r="A16" s="323" t="s">
        <v>253</v>
      </c>
      <c r="B16" s="323">
        <v>1</v>
      </c>
      <c r="C16" s="287" t="s">
        <v>254</v>
      </c>
      <c r="D16" s="323" t="s">
        <v>311</v>
      </c>
      <c r="E16" s="323" t="s">
        <v>312</v>
      </c>
      <c r="F16" s="323" t="s">
        <v>313</v>
      </c>
      <c r="G16" s="323" t="s">
        <v>314</v>
      </c>
      <c r="I16" s="323" t="s">
        <v>52</v>
      </c>
      <c r="J16" s="323" t="s">
        <v>1025</v>
      </c>
      <c r="K16" s="323" t="s">
        <v>1270</v>
      </c>
      <c r="L16" s="323" t="s">
        <v>263</v>
      </c>
      <c r="M16" s="323" t="s">
        <v>849</v>
      </c>
      <c r="N16" s="323" t="s">
        <v>275</v>
      </c>
      <c r="O16" s="323" t="s">
        <v>265</v>
      </c>
    </row>
    <row r="17" spans="1:15" ht="45">
      <c r="A17" s="323" t="s">
        <v>253</v>
      </c>
      <c r="B17" s="323">
        <v>1</v>
      </c>
      <c r="C17" s="287" t="s">
        <v>254</v>
      </c>
      <c r="D17" s="323" t="s">
        <v>311</v>
      </c>
      <c r="E17" s="323" t="s">
        <v>312</v>
      </c>
      <c r="F17" s="323" t="s">
        <v>313</v>
      </c>
      <c r="G17" s="323" t="s">
        <v>314</v>
      </c>
      <c r="I17" s="323" t="s">
        <v>52</v>
      </c>
      <c r="J17" s="323" t="s">
        <v>1193</v>
      </c>
      <c r="K17" s="323" t="s">
        <v>1026</v>
      </c>
      <c r="L17" s="323" t="s">
        <v>263</v>
      </c>
      <c r="M17" s="323" t="s">
        <v>849</v>
      </c>
      <c r="N17" s="323" t="s">
        <v>264</v>
      </c>
      <c r="O17" s="323" t="s">
        <v>294</v>
      </c>
    </row>
    <row r="18" spans="1:15" ht="45">
      <c r="A18" s="323" t="s">
        <v>253</v>
      </c>
      <c r="B18" s="323">
        <v>1</v>
      </c>
      <c r="C18" s="287" t="s">
        <v>254</v>
      </c>
      <c r="D18" s="323" t="s">
        <v>311</v>
      </c>
      <c r="E18" s="323" t="s">
        <v>312</v>
      </c>
      <c r="F18" s="323" t="s">
        <v>316</v>
      </c>
      <c r="G18" s="323" t="s">
        <v>317</v>
      </c>
      <c r="I18" s="323" t="s">
        <v>52</v>
      </c>
      <c r="J18" s="323" t="s">
        <v>1027</v>
      </c>
      <c r="K18" s="323" t="s">
        <v>1029</v>
      </c>
      <c r="L18" s="323" t="s">
        <v>263</v>
      </c>
      <c r="M18" s="323" t="s">
        <v>849</v>
      </c>
      <c r="N18" s="323" t="s">
        <v>275</v>
      </c>
      <c r="O18" s="323" t="s">
        <v>294</v>
      </c>
    </row>
    <row r="19" spans="1:15" ht="45">
      <c r="A19" s="323" t="s">
        <v>253</v>
      </c>
      <c r="B19" s="323">
        <v>1</v>
      </c>
      <c r="C19" s="287" t="s">
        <v>254</v>
      </c>
      <c r="D19" s="323" t="s">
        <v>311</v>
      </c>
      <c r="E19" s="323" t="s">
        <v>312</v>
      </c>
      <c r="F19" s="323" t="s">
        <v>316</v>
      </c>
      <c r="G19" s="323" t="s">
        <v>317</v>
      </c>
      <c r="I19" s="323" t="s">
        <v>52</v>
      </c>
      <c r="J19" s="323" t="s">
        <v>1028</v>
      </c>
      <c r="K19" s="323" t="s">
        <v>1030</v>
      </c>
      <c r="L19" s="323" t="s">
        <v>263</v>
      </c>
      <c r="M19" s="323" t="s">
        <v>849</v>
      </c>
      <c r="N19" s="323" t="s">
        <v>275</v>
      </c>
      <c r="O19" s="323" t="s">
        <v>265</v>
      </c>
    </row>
    <row r="20" spans="1:15" ht="45">
      <c r="A20" s="323" t="s">
        <v>253</v>
      </c>
      <c r="B20" s="323">
        <v>1</v>
      </c>
      <c r="C20" s="287" t="s">
        <v>254</v>
      </c>
      <c r="D20" s="323" t="s">
        <v>311</v>
      </c>
      <c r="E20" s="323" t="s">
        <v>312</v>
      </c>
      <c r="F20" s="323" t="s">
        <v>320</v>
      </c>
      <c r="G20" s="323" t="s">
        <v>321</v>
      </c>
      <c r="I20" s="323" t="s">
        <v>52</v>
      </c>
      <c r="J20" s="323" t="s">
        <v>1148</v>
      </c>
      <c r="K20" s="323" t="s">
        <v>1031</v>
      </c>
      <c r="L20" s="323" t="s">
        <v>835</v>
      </c>
      <c r="M20" s="323" t="s">
        <v>1189</v>
      </c>
      <c r="N20" s="323" t="s">
        <v>275</v>
      </c>
      <c r="O20" s="323" t="s">
        <v>265</v>
      </c>
    </row>
    <row r="21" spans="1:15" ht="45">
      <c r="A21" s="323" t="s">
        <v>253</v>
      </c>
      <c r="B21" s="323">
        <v>1</v>
      </c>
      <c r="C21" s="287" t="s">
        <v>254</v>
      </c>
      <c r="D21" s="323" t="s">
        <v>311</v>
      </c>
      <c r="E21" s="323" t="s">
        <v>312</v>
      </c>
      <c r="F21" s="323" t="s">
        <v>325</v>
      </c>
      <c r="G21" s="323" t="s">
        <v>326</v>
      </c>
      <c r="I21" s="323" t="s">
        <v>52</v>
      </c>
      <c r="J21" s="323" t="s">
        <v>1194</v>
      </c>
      <c r="K21" s="323" t="s">
        <v>1031</v>
      </c>
      <c r="L21" s="323" t="s">
        <v>835</v>
      </c>
      <c r="M21" s="323" t="s">
        <v>1189</v>
      </c>
      <c r="N21" s="323" t="s">
        <v>1033</v>
      </c>
      <c r="O21" s="323" t="s">
        <v>796</v>
      </c>
    </row>
    <row r="22" spans="1:15" ht="45">
      <c r="A22" s="323" t="s">
        <v>253</v>
      </c>
      <c r="B22" s="323">
        <v>1</v>
      </c>
      <c r="C22" s="287" t="s">
        <v>254</v>
      </c>
      <c r="D22" s="323" t="s">
        <v>327</v>
      </c>
      <c r="E22" s="323" t="s">
        <v>328</v>
      </c>
      <c r="F22" s="323" t="s">
        <v>330</v>
      </c>
      <c r="G22" s="323" t="s">
        <v>331</v>
      </c>
      <c r="I22" s="323" t="s">
        <v>52</v>
      </c>
      <c r="J22" s="323" t="s">
        <v>1038</v>
      </c>
      <c r="K22" s="323" t="s">
        <v>1270</v>
      </c>
      <c r="L22" s="323" t="s">
        <v>835</v>
      </c>
      <c r="M22" s="323" t="s">
        <v>1189</v>
      </c>
      <c r="N22" s="323" t="s">
        <v>264</v>
      </c>
      <c r="O22" s="323" t="s">
        <v>294</v>
      </c>
    </row>
    <row r="23" spans="1:15" ht="45">
      <c r="A23" s="323" t="s">
        <v>253</v>
      </c>
      <c r="B23" s="323">
        <v>1</v>
      </c>
      <c r="C23" s="287" t="s">
        <v>254</v>
      </c>
      <c r="D23" s="323" t="s">
        <v>327</v>
      </c>
      <c r="E23" s="323" t="s">
        <v>328</v>
      </c>
      <c r="F23" s="323" t="s">
        <v>332</v>
      </c>
      <c r="G23" s="323" t="s">
        <v>1034</v>
      </c>
      <c r="H23" s="323" t="s">
        <v>1039</v>
      </c>
      <c r="I23" s="323" t="s">
        <v>52</v>
      </c>
      <c r="J23" s="323" t="s">
        <v>1035</v>
      </c>
      <c r="K23" s="323" t="s">
        <v>1270</v>
      </c>
      <c r="L23" s="323" t="s">
        <v>263</v>
      </c>
      <c r="M23" s="323" t="s">
        <v>849</v>
      </c>
      <c r="N23" s="323" t="s">
        <v>1036</v>
      </c>
      <c r="O23" s="323" t="s">
        <v>265</v>
      </c>
    </row>
    <row r="24" spans="1:15" ht="30">
      <c r="A24" s="323" t="s">
        <v>253</v>
      </c>
      <c r="B24" s="323">
        <v>2</v>
      </c>
      <c r="C24" s="287" t="s">
        <v>334</v>
      </c>
      <c r="D24" s="323" t="s">
        <v>335</v>
      </c>
      <c r="E24" s="323" t="s">
        <v>336</v>
      </c>
      <c r="F24" s="323" t="s">
        <v>340</v>
      </c>
      <c r="G24" s="323" t="s">
        <v>341</v>
      </c>
      <c r="I24" s="323" t="s">
        <v>52</v>
      </c>
      <c r="J24" s="323" t="s">
        <v>1149</v>
      </c>
      <c r="K24" s="323" t="s">
        <v>291</v>
      </c>
      <c r="L24" s="323" t="s">
        <v>263</v>
      </c>
      <c r="M24" s="323" t="s">
        <v>849</v>
      </c>
      <c r="N24" s="323" t="s">
        <v>275</v>
      </c>
      <c r="O24" s="323" t="s">
        <v>265</v>
      </c>
    </row>
    <row r="25" spans="1:15" ht="30">
      <c r="A25" s="323" t="s">
        <v>253</v>
      </c>
      <c r="B25" s="323">
        <v>2</v>
      </c>
      <c r="C25" s="287" t="s">
        <v>334</v>
      </c>
      <c r="D25" s="323" t="s">
        <v>335</v>
      </c>
      <c r="E25" s="323" t="s">
        <v>336</v>
      </c>
      <c r="F25" s="323" t="s">
        <v>342</v>
      </c>
      <c r="G25" s="323" t="s">
        <v>343</v>
      </c>
      <c r="I25" s="323" t="s">
        <v>52</v>
      </c>
      <c r="J25" s="323" t="s">
        <v>1041</v>
      </c>
      <c r="K25" s="323" t="s">
        <v>1270</v>
      </c>
      <c r="L25" s="323" t="s">
        <v>835</v>
      </c>
      <c r="M25" s="323" t="s">
        <v>1189</v>
      </c>
      <c r="N25" s="323" t="s">
        <v>264</v>
      </c>
      <c r="O25" s="323" t="s">
        <v>265</v>
      </c>
    </row>
    <row r="26" spans="1:15" ht="30">
      <c r="A26" s="323" t="s">
        <v>253</v>
      </c>
      <c r="B26" s="323">
        <v>2</v>
      </c>
      <c r="C26" s="287" t="s">
        <v>334</v>
      </c>
      <c r="D26" s="323" t="s">
        <v>347</v>
      </c>
      <c r="E26" s="323" t="s">
        <v>348</v>
      </c>
      <c r="F26" s="323" t="s">
        <v>353</v>
      </c>
      <c r="G26" s="323" t="s">
        <v>354</v>
      </c>
      <c r="I26" s="323" t="s">
        <v>52</v>
      </c>
      <c r="J26" s="323" t="s">
        <v>1196</v>
      </c>
      <c r="K26" s="323" t="s">
        <v>1045</v>
      </c>
      <c r="L26" s="323" t="s">
        <v>766</v>
      </c>
      <c r="M26" s="323" t="s">
        <v>876</v>
      </c>
      <c r="N26" s="323" t="s">
        <v>275</v>
      </c>
      <c r="O26" s="323" t="s">
        <v>265</v>
      </c>
    </row>
    <row r="27" spans="1:15" ht="45">
      <c r="A27" s="323" t="s">
        <v>253</v>
      </c>
      <c r="B27" s="323">
        <v>3</v>
      </c>
      <c r="C27" s="287" t="s">
        <v>355</v>
      </c>
      <c r="D27" s="323" t="s">
        <v>356</v>
      </c>
      <c r="E27" s="323" t="s">
        <v>357</v>
      </c>
      <c r="F27" s="323" t="s">
        <v>358</v>
      </c>
      <c r="G27" s="323" t="s">
        <v>1143</v>
      </c>
      <c r="I27" s="323" t="s">
        <v>52</v>
      </c>
      <c r="J27" s="323" t="s">
        <v>1197</v>
      </c>
      <c r="K27" s="323" t="s">
        <v>1270</v>
      </c>
      <c r="L27" s="323" t="s">
        <v>263</v>
      </c>
      <c r="M27" s="323" t="s">
        <v>849</v>
      </c>
      <c r="N27" s="323" t="s">
        <v>275</v>
      </c>
      <c r="O27" s="323" t="s">
        <v>265</v>
      </c>
    </row>
    <row r="28" spans="1:15" ht="45">
      <c r="A28" s="323" t="s">
        <v>253</v>
      </c>
      <c r="B28" s="323">
        <v>3</v>
      </c>
      <c r="C28" s="287" t="s">
        <v>355</v>
      </c>
      <c r="D28" s="323" t="s">
        <v>356</v>
      </c>
      <c r="E28" s="323" t="s">
        <v>357</v>
      </c>
      <c r="F28" s="323" t="s">
        <v>359</v>
      </c>
      <c r="G28" s="323" t="s">
        <v>360</v>
      </c>
      <c r="I28" s="323" t="s">
        <v>52</v>
      </c>
      <c r="J28" s="323" t="s">
        <v>1198</v>
      </c>
      <c r="K28" s="323" t="s">
        <v>1043</v>
      </c>
      <c r="L28" s="323" t="s">
        <v>263</v>
      </c>
      <c r="M28" s="323" t="s">
        <v>849</v>
      </c>
      <c r="N28" s="323" t="s">
        <v>275</v>
      </c>
      <c r="O28" s="323" t="s">
        <v>265</v>
      </c>
    </row>
    <row r="29" spans="1:15" ht="45">
      <c r="A29" s="323" t="s">
        <v>253</v>
      </c>
      <c r="B29" s="323">
        <v>3</v>
      </c>
      <c r="C29" s="287" t="s">
        <v>355</v>
      </c>
      <c r="D29" s="323" t="s">
        <v>363</v>
      </c>
      <c r="E29" s="323" t="s">
        <v>364</v>
      </c>
      <c r="F29" s="323" t="s">
        <v>365</v>
      </c>
      <c r="G29" s="323" t="s">
        <v>366</v>
      </c>
      <c r="H29" s="323" t="s">
        <v>1046</v>
      </c>
      <c r="I29" s="323" t="s">
        <v>52</v>
      </c>
      <c r="J29" s="323" t="s">
        <v>1199</v>
      </c>
      <c r="K29" s="323" t="s">
        <v>1045</v>
      </c>
      <c r="L29" s="323" t="s">
        <v>766</v>
      </c>
      <c r="M29" s="323" t="s">
        <v>876</v>
      </c>
      <c r="N29" s="323" t="s">
        <v>275</v>
      </c>
      <c r="O29" s="323" t="s">
        <v>265</v>
      </c>
    </row>
    <row r="30" spans="1:15" ht="45">
      <c r="A30" s="323" t="s">
        <v>253</v>
      </c>
      <c r="B30" s="323">
        <v>3</v>
      </c>
      <c r="C30" s="287" t="s">
        <v>355</v>
      </c>
      <c r="D30" s="323" t="s">
        <v>368</v>
      </c>
      <c r="E30" s="323" t="s">
        <v>369</v>
      </c>
      <c r="F30" s="323" t="s">
        <v>370</v>
      </c>
      <c r="G30" s="323" t="s">
        <v>1047</v>
      </c>
      <c r="H30" s="323" t="s">
        <v>1048</v>
      </c>
      <c r="I30" s="323" t="s">
        <v>53</v>
      </c>
      <c r="J30" s="323" t="s">
        <v>1200</v>
      </c>
      <c r="K30" s="323" t="s">
        <v>1045</v>
      </c>
      <c r="L30" s="323" t="s">
        <v>263</v>
      </c>
      <c r="M30" s="323" t="s">
        <v>849</v>
      </c>
      <c r="N30" s="323" t="s">
        <v>275</v>
      </c>
      <c r="O30" s="323" t="s">
        <v>265</v>
      </c>
    </row>
    <row r="31" spans="1:15" ht="45">
      <c r="A31" s="323" t="s">
        <v>253</v>
      </c>
      <c r="B31" s="323">
        <v>3</v>
      </c>
      <c r="C31" s="287" t="s">
        <v>355</v>
      </c>
      <c r="D31" s="323" t="s">
        <v>368</v>
      </c>
      <c r="E31" s="323" t="s">
        <v>369</v>
      </c>
      <c r="F31" s="323" t="s">
        <v>370</v>
      </c>
      <c r="G31" s="323" t="s">
        <v>1047</v>
      </c>
      <c r="H31" s="323" t="s">
        <v>1048</v>
      </c>
      <c r="I31" s="323" t="s">
        <v>52</v>
      </c>
      <c r="J31" s="323" t="s">
        <v>1201</v>
      </c>
      <c r="K31" s="323" t="s">
        <v>1270</v>
      </c>
      <c r="L31" s="323" t="s">
        <v>835</v>
      </c>
      <c r="M31" s="323" t="s">
        <v>1189</v>
      </c>
      <c r="N31" s="323" t="s">
        <v>275</v>
      </c>
      <c r="O31" s="323" t="s">
        <v>265</v>
      </c>
    </row>
    <row r="32" spans="1:15" ht="45">
      <c r="A32" s="323" t="s">
        <v>253</v>
      </c>
      <c r="B32" s="323">
        <v>3</v>
      </c>
      <c r="C32" s="287" t="s">
        <v>355</v>
      </c>
      <c r="D32" s="323" t="s">
        <v>377</v>
      </c>
      <c r="E32" s="323" t="s">
        <v>378</v>
      </c>
      <c r="F32" s="323" t="s">
        <v>379</v>
      </c>
      <c r="G32" s="323" t="s">
        <v>380</v>
      </c>
      <c r="I32" s="323" t="s">
        <v>52</v>
      </c>
      <c r="J32" s="323" t="s">
        <v>1051</v>
      </c>
      <c r="K32" s="323" t="s">
        <v>1270</v>
      </c>
      <c r="L32" s="323" t="s">
        <v>835</v>
      </c>
      <c r="M32" s="323" t="s">
        <v>1189</v>
      </c>
      <c r="N32" s="323" t="s">
        <v>275</v>
      </c>
      <c r="O32" s="323" t="s">
        <v>265</v>
      </c>
    </row>
    <row r="33" spans="1:15" ht="45">
      <c r="A33" s="323" t="s">
        <v>253</v>
      </c>
      <c r="B33" s="323">
        <v>3</v>
      </c>
      <c r="C33" s="287" t="s">
        <v>355</v>
      </c>
      <c r="D33" s="323" t="s">
        <v>377</v>
      </c>
      <c r="E33" s="323" t="s">
        <v>378</v>
      </c>
      <c r="F33" s="323" t="s">
        <v>382</v>
      </c>
      <c r="G33" s="323" t="s">
        <v>383</v>
      </c>
      <c r="I33" s="323" t="s">
        <v>52</v>
      </c>
      <c r="J33" s="323" t="s">
        <v>1203</v>
      </c>
      <c r="K33" s="323" t="s">
        <v>1270</v>
      </c>
      <c r="L33" s="323" t="s">
        <v>835</v>
      </c>
      <c r="M33" s="323" t="s">
        <v>1189</v>
      </c>
      <c r="N33" s="323" t="s">
        <v>275</v>
      </c>
      <c r="O33" s="323" t="s">
        <v>265</v>
      </c>
    </row>
    <row r="34" spans="1:15" ht="30">
      <c r="A34" s="323" t="s">
        <v>384</v>
      </c>
      <c r="B34" s="323">
        <v>4</v>
      </c>
      <c r="C34" s="287" t="s">
        <v>385</v>
      </c>
      <c r="D34" s="323" t="s">
        <v>413</v>
      </c>
      <c r="E34" s="323" t="s">
        <v>414</v>
      </c>
      <c r="F34" s="323" t="s">
        <v>417</v>
      </c>
      <c r="G34" s="323" t="s">
        <v>418</v>
      </c>
      <c r="I34" s="323" t="s">
        <v>52</v>
      </c>
      <c r="J34" s="323" t="s">
        <v>1206</v>
      </c>
      <c r="K34" s="323" t="s">
        <v>1270</v>
      </c>
      <c r="L34" s="323" t="s">
        <v>835</v>
      </c>
      <c r="M34" s="323" t="s">
        <v>1189</v>
      </c>
      <c r="N34" s="323" t="s">
        <v>275</v>
      </c>
      <c r="O34" s="323" t="s">
        <v>265</v>
      </c>
    </row>
    <row r="35" spans="1:15" ht="30">
      <c r="A35" s="323" t="s">
        <v>384</v>
      </c>
      <c r="B35" s="323">
        <v>5</v>
      </c>
      <c r="C35" s="287" t="s">
        <v>421</v>
      </c>
      <c r="D35" s="323" t="s">
        <v>426</v>
      </c>
      <c r="E35" s="323" t="s">
        <v>427</v>
      </c>
      <c r="F35" s="323" t="s">
        <v>432</v>
      </c>
      <c r="G35" s="323" t="s">
        <v>433</v>
      </c>
      <c r="H35" s="323" t="s">
        <v>1183</v>
      </c>
      <c r="I35" s="323" t="s">
        <v>52</v>
      </c>
      <c r="J35" s="323" t="s">
        <v>1207</v>
      </c>
      <c r="K35" s="323" t="s">
        <v>1270</v>
      </c>
      <c r="L35" s="323" t="s">
        <v>835</v>
      </c>
      <c r="M35" s="323" t="s">
        <v>1189</v>
      </c>
      <c r="N35" s="323" t="s">
        <v>275</v>
      </c>
      <c r="O35" s="323" t="s">
        <v>265</v>
      </c>
    </row>
    <row r="36" spans="1:15" ht="30">
      <c r="A36" s="323" t="s">
        <v>440</v>
      </c>
      <c r="B36" s="323">
        <v>6</v>
      </c>
      <c r="C36" s="287" t="s">
        <v>441</v>
      </c>
      <c r="D36" s="323" t="s">
        <v>442</v>
      </c>
      <c r="E36" s="323" t="s">
        <v>443</v>
      </c>
      <c r="F36" s="323" t="s">
        <v>444</v>
      </c>
      <c r="G36" s="323" t="s">
        <v>445</v>
      </c>
      <c r="H36" s="323" t="s">
        <v>1184</v>
      </c>
      <c r="I36" s="323" t="s">
        <v>53</v>
      </c>
      <c r="J36" s="323" t="s">
        <v>1062</v>
      </c>
      <c r="K36" s="323" t="s">
        <v>1045</v>
      </c>
      <c r="L36" s="323" t="s">
        <v>263</v>
      </c>
      <c r="M36" s="323" t="s">
        <v>849</v>
      </c>
      <c r="N36" s="323" t="s">
        <v>275</v>
      </c>
      <c r="O36" s="323" t="s">
        <v>265</v>
      </c>
    </row>
    <row r="37" spans="1:15" ht="30">
      <c r="A37" s="323" t="s">
        <v>440</v>
      </c>
      <c r="B37" s="323">
        <v>6</v>
      </c>
      <c r="C37" s="287" t="s">
        <v>441</v>
      </c>
      <c r="D37" s="323" t="s">
        <v>442</v>
      </c>
      <c r="E37" s="323" t="s">
        <v>443</v>
      </c>
      <c r="F37" s="323" t="s">
        <v>444</v>
      </c>
      <c r="G37" s="323" t="s">
        <v>445</v>
      </c>
      <c r="I37" s="323" t="s">
        <v>52</v>
      </c>
      <c r="J37" s="323" t="s">
        <v>1068</v>
      </c>
      <c r="K37" s="323" t="s">
        <v>1270</v>
      </c>
      <c r="L37" s="323" t="s">
        <v>835</v>
      </c>
      <c r="M37" s="323" t="s">
        <v>1189</v>
      </c>
      <c r="N37" s="323" t="s">
        <v>275</v>
      </c>
      <c r="O37" s="323" t="s">
        <v>265</v>
      </c>
    </row>
    <row r="38" spans="1:15" ht="30">
      <c r="A38" s="323" t="s">
        <v>440</v>
      </c>
      <c r="B38" s="323">
        <v>6</v>
      </c>
      <c r="C38" s="287" t="s">
        <v>441</v>
      </c>
      <c r="D38" s="323" t="s">
        <v>450</v>
      </c>
      <c r="E38" s="323" t="s">
        <v>451</v>
      </c>
      <c r="F38" s="323" t="s">
        <v>452</v>
      </c>
      <c r="G38" s="323" t="s">
        <v>453</v>
      </c>
      <c r="I38" s="323" t="s">
        <v>52</v>
      </c>
      <c r="J38" s="323" t="s">
        <v>454</v>
      </c>
      <c r="K38" s="323" t="s">
        <v>1270</v>
      </c>
      <c r="L38" s="323" t="s">
        <v>835</v>
      </c>
      <c r="M38" s="323" t="s">
        <v>1189</v>
      </c>
      <c r="N38" s="323" t="s">
        <v>275</v>
      </c>
      <c r="O38" s="323" t="s">
        <v>265</v>
      </c>
    </row>
    <row r="39" spans="1:15" ht="30">
      <c r="A39" s="323" t="s">
        <v>440</v>
      </c>
      <c r="B39" s="323">
        <v>6</v>
      </c>
      <c r="C39" s="287" t="s">
        <v>441</v>
      </c>
      <c r="D39" s="323" t="s">
        <v>450</v>
      </c>
      <c r="E39" s="323" t="s">
        <v>451</v>
      </c>
      <c r="F39" s="323" t="s">
        <v>456</v>
      </c>
      <c r="G39" s="323" t="s">
        <v>457</v>
      </c>
      <c r="I39" s="323" t="s">
        <v>52</v>
      </c>
      <c r="J39" s="323" t="s">
        <v>1063</v>
      </c>
      <c r="K39" s="323" t="s">
        <v>1064</v>
      </c>
      <c r="L39" s="323" t="s">
        <v>835</v>
      </c>
      <c r="M39" s="323" t="s">
        <v>1189</v>
      </c>
      <c r="N39" s="323" t="s">
        <v>275</v>
      </c>
      <c r="O39" s="323" t="s">
        <v>265</v>
      </c>
    </row>
    <row r="40" spans="1:15" ht="30">
      <c r="A40" s="323" t="s">
        <v>440</v>
      </c>
      <c r="B40" s="323">
        <v>6</v>
      </c>
      <c r="C40" s="287" t="s">
        <v>441</v>
      </c>
      <c r="D40" s="323" t="s">
        <v>450</v>
      </c>
      <c r="E40" s="323" t="s">
        <v>451</v>
      </c>
      <c r="F40" s="323" t="s">
        <v>456</v>
      </c>
      <c r="G40" s="323" t="s">
        <v>457</v>
      </c>
      <c r="I40" s="323" t="s">
        <v>52</v>
      </c>
      <c r="J40" s="323" t="s">
        <v>1209</v>
      </c>
      <c r="K40" s="323" t="s">
        <v>1270</v>
      </c>
      <c r="L40" s="323" t="s">
        <v>263</v>
      </c>
      <c r="M40" s="323" t="s">
        <v>849</v>
      </c>
      <c r="N40" s="323" t="s">
        <v>264</v>
      </c>
      <c r="O40" s="323" t="s">
        <v>265</v>
      </c>
    </row>
    <row r="41" spans="1:15" ht="30">
      <c r="A41" s="323" t="s">
        <v>440</v>
      </c>
      <c r="B41" s="323">
        <v>6</v>
      </c>
      <c r="C41" s="287" t="s">
        <v>441</v>
      </c>
      <c r="D41" s="323" t="s">
        <v>450</v>
      </c>
      <c r="E41" s="323" t="s">
        <v>451</v>
      </c>
      <c r="F41" s="323" t="s">
        <v>459</v>
      </c>
      <c r="G41" s="323" t="s">
        <v>460</v>
      </c>
      <c r="I41" s="323" t="s">
        <v>52</v>
      </c>
      <c r="J41" s="323" t="s">
        <v>1211</v>
      </c>
      <c r="K41" s="323" t="s">
        <v>1270</v>
      </c>
      <c r="L41" s="323" t="s">
        <v>835</v>
      </c>
      <c r="M41" s="323" t="s">
        <v>1189</v>
      </c>
      <c r="N41" s="323" t="s">
        <v>264</v>
      </c>
      <c r="O41" s="323" t="s">
        <v>265</v>
      </c>
    </row>
    <row r="42" spans="1:15" ht="30">
      <c r="A42" s="323" t="s">
        <v>440</v>
      </c>
      <c r="B42" s="323">
        <v>6</v>
      </c>
      <c r="C42" s="287" t="s">
        <v>441</v>
      </c>
      <c r="D42" s="323" t="s">
        <v>450</v>
      </c>
      <c r="E42" s="323" t="s">
        <v>451</v>
      </c>
      <c r="F42" s="323" t="s">
        <v>464</v>
      </c>
      <c r="G42" s="323" t="s">
        <v>465</v>
      </c>
      <c r="I42" s="323" t="s">
        <v>52</v>
      </c>
      <c r="J42" s="323" t="s">
        <v>1069</v>
      </c>
      <c r="K42" s="323" t="s">
        <v>1270</v>
      </c>
      <c r="L42" s="323" t="s">
        <v>835</v>
      </c>
      <c r="M42" s="323" t="s">
        <v>1189</v>
      </c>
      <c r="N42" s="323" t="s">
        <v>275</v>
      </c>
      <c r="O42" s="323" t="s">
        <v>796</v>
      </c>
    </row>
    <row r="43" spans="1:15" ht="30">
      <c r="A43" s="323" t="s">
        <v>440</v>
      </c>
      <c r="B43" s="323">
        <v>6</v>
      </c>
      <c r="C43" s="287" t="s">
        <v>441</v>
      </c>
      <c r="D43" s="323" t="s">
        <v>450</v>
      </c>
      <c r="E43" s="323" t="s">
        <v>451</v>
      </c>
      <c r="F43" s="323" t="s">
        <v>466</v>
      </c>
      <c r="G43" s="323" t="s">
        <v>467</v>
      </c>
      <c r="I43" s="323" t="s">
        <v>52</v>
      </c>
      <c r="J43" s="323" t="s">
        <v>1213</v>
      </c>
      <c r="K43" s="323" t="s">
        <v>1045</v>
      </c>
      <c r="L43" s="323" t="s">
        <v>263</v>
      </c>
      <c r="M43" s="323" t="s">
        <v>849</v>
      </c>
      <c r="N43" s="323" t="s">
        <v>275</v>
      </c>
      <c r="O43" s="323" t="s">
        <v>265</v>
      </c>
    </row>
    <row r="44" spans="1:15" ht="30">
      <c r="A44" s="323" t="s">
        <v>440</v>
      </c>
      <c r="B44" s="323">
        <v>6</v>
      </c>
      <c r="C44" s="287" t="s">
        <v>441</v>
      </c>
      <c r="D44" s="323" t="s">
        <v>469</v>
      </c>
      <c r="E44" s="323" t="s">
        <v>1187</v>
      </c>
      <c r="F44" s="323" t="s">
        <v>470</v>
      </c>
      <c r="G44" s="323" t="s">
        <v>471</v>
      </c>
      <c r="I44" s="323" t="s">
        <v>53</v>
      </c>
      <c r="J44" s="323" t="s">
        <v>1074</v>
      </c>
      <c r="K44" s="323" t="s">
        <v>1045</v>
      </c>
      <c r="L44" s="323" t="s">
        <v>263</v>
      </c>
      <c r="M44" s="323" t="s">
        <v>849</v>
      </c>
      <c r="N44" s="323" t="s">
        <v>275</v>
      </c>
      <c r="O44" s="323" t="s">
        <v>265</v>
      </c>
    </row>
    <row r="45" spans="1:15" ht="30">
      <c r="A45" s="323" t="s">
        <v>440</v>
      </c>
      <c r="B45" s="323">
        <v>6</v>
      </c>
      <c r="C45" s="287" t="s">
        <v>441</v>
      </c>
      <c r="D45" s="323" t="s">
        <v>469</v>
      </c>
      <c r="E45" s="323" t="s">
        <v>1187</v>
      </c>
      <c r="F45" s="323" t="s">
        <v>473</v>
      </c>
      <c r="G45" s="323" t="s">
        <v>474</v>
      </c>
      <c r="I45" s="323" t="s">
        <v>52</v>
      </c>
      <c r="J45" s="323" t="s">
        <v>1188</v>
      </c>
      <c r="K45" s="323" t="s">
        <v>1270</v>
      </c>
      <c r="L45" s="323" t="s">
        <v>835</v>
      </c>
      <c r="M45" s="323" t="s">
        <v>1189</v>
      </c>
      <c r="N45" s="323" t="s">
        <v>275</v>
      </c>
      <c r="O45" s="323" t="s">
        <v>265</v>
      </c>
    </row>
    <row r="46" spans="1:15" ht="30">
      <c r="A46" s="323" t="s">
        <v>440</v>
      </c>
      <c r="B46" s="323">
        <v>6</v>
      </c>
      <c r="C46" s="287" t="s">
        <v>441</v>
      </c>
      <c r="D46" s="323" t="s">
        <v>469</v>
      </c>
      <c r="E46" s="323" t="s">
        <v>1187</v>
      </c>
      <c r="F46" s="323" t="s">
        <v>473</v>
      </c>
      <c r="G46" s="323" t="s">
        <v>474</v>
      </c>
      <c r="I46" s="323" t="s">
        <v>52</v>
      </c>
      <c r="J46" s="323" t="s">
        <v>1076</v>
      </c>
      <c r="K46" s="323" t="s">
        <v>1270</v>
      </c>
      <c r="L46" s="323" t="s">
        <v>835</v>
      </c>
      <c r="M46" s="323" t="s">
        <v>1189</v>
      </c>
      <c r="N46" s="323" t="s">
        <v>275</v>
      </c>
      <c r="O46" s="323" t="s">
        <v>265</v>
      </c>
    </row>
    <row r="47" spans="1:15" ht="30">
      <c r="A47" s="323" t="s">
        <v>440</v>
      </c>
      <c r="B47" s="323">
        <v>6</v>
      </c>
      <c r="C47" s="287" t="s">
        <v>441</v>
      </c>
      <c r="D47" s="323" t="s">
        <v>469</v>
      </c>
      <c r="E47" s="323" t="s">
        <v>1187</v>
      </c>
      <c r="F47" s="323" t="s">
        <v>473</v>
      </c>
      <c r="G47" s="323" t="s">
        <v>474</v>
      </c>
      <c r="I47" s="323" t="s">
        <v>52</v>
      </c>
      <c r="J47" s="323" t="s">
        <v>1075</v>
      </c>
      <c r="K47" s="323" t="s">
        <v>1270</v>
      </c>
      <c r="L47" s="323" t="s">
        <v>835</v>
      </c>
      <c r="M47" s="323" t="s">
        <v>1189</v>
      </c>
      <c r="N47" s="323" t="s">
        <v>275</v>
      </c>
      <c r="O47" s="323" t="s">
        <v>265</v>
      </c>
    </row>
    <row r="48" spans="1:15" ht="30">
      <c r="A48" s="323" t="s">
        <v>440</v>
      </c>
      <c r="B48" s="323">
        <v>6</v>
      </c>
      <c r="C48" s="287" t="s">
        <v>441</v>
      </c>
      <c r="D48" s="323" t="s">
        <v>469</v>
      </c>
      <c r="E48" s="323" t="s">
        <v>1187</v>
      </c>
      <c r="F48" s="323" t="s">
        <v>473</v>
      </c>
      <c r="G48" s="323" t="s">
        <v>474</v>
      </c>
      <c r="I48" s="323" t="s">
        <v>52</v>
      </c>
      <c r="J48" s="323" t="s">
        <v>1077</v>
      </c>
      <c r="K48" s="323" t="s">
        <v>1270</v>
      </c>
      <c r="L48" s="323" t="s">
        <v>835</v>
      </c>
      <c r="M48" s="323" t="s">
        <v>1189</v>
      </c>
      <c r="N48" s="323" t="s">
        <v>275</v>
      </c>
      <c r="O48" s="323" t="s">
        <v>265</v>
      </c>
    </row>
    <row r="49" spans="1:15" ht="30">
      <c r="A49" s="323" t="s">
        <v>440</v>
      </c>
      <c r="B49" s="323">
        <v>6</v>
      </c>
      <c r="C49" s="287" t="s">
        <v>441</v>
      </c>
      <c r="D49" s="323" t="s">
        <v>469</v>
      </c>
      <c r="E49" s="323" t="s">
        <v>1187</v>
      </c>
      <c r="F49" s="323" t="s">
        <v>473</v>
      </c>
      <c r="G49" s="323" t="s">
        <v>474</v>
      </c>
      <c r="I49" s="323" t="s">
        <v>52</v>
      </c>
      <c r="J49" s="323" t="s">
        <v>1313</v>
      </c>
      <c r="K49" s="323" t="s">
        <v>1270</v>
      </c>
      <c r="L49" s="323" t="s">
        <v>835</v>
      </c>
      <c r="M49" s="323" t="s">
        <v>1189</v>
      </c>
      <c r="N49" s="323" t="s">
        <v>275</v>
      </c>
      <c r="O49" s="323" t="s">
        <v>265</v>
      </c>
    </row>
    <row r="50" spans="1:15" ht="30">
      <c r="A50" s="323" t="s">
        <v>440</v>
      </c>
      <c r="B50" s="323">
        <v>6</v>
      </c>
      <c r="C50" s="287" t="s">
        <v>441</v>
      </c>
      <c r="D50" s="323" t="s">
        <v>469</v>
      </c>
      <c r="E50" s="323" t="s">
        <v>1187</v>
      </c>
      <c r="F50" s="323" t="s">
        <v>476</v>
      </c>
      <c r="G50" s="323" t="s">
        <v>477</v>
      </c>
      <c r="I50" s="323" t="s">
        <v>52</v>
      </c>
      <c r="J50" s="323" t="s">
        <v>1218</v>
      </c>
      <c r="K50" s="323" t="s">
        <v>1270</v>
      </c>
      <c r="L50" s="323" t="s">
        <v>835</v>
      </c>
      <c r="M50" s="323" t="s">
        <v>1189</v>
      </c>
      <c r="N50" s="323" t="s">
        <v>275</v>
      </c>
      <c r="O50" s="323" t="s">
        <v>265</v>
      </c>
    </row>
    <row r="51" spans="1:15" ht="30">
      <c r="A51" s="323" t="s">
        <v>440</v>
      </c>
      <c r="B51" s="323">
        <v>6</v>
      </c>
      <c r="C51" s="287" t="s">
        <v>441</v>
      </c>
      <c r="D51" s="323" t="s">
        <v>469</v>
      </c>
      <c r="E51" s="323" t="s">
        <v>1187</v>
      </c>
      <c r="F51" s="323" t="s">
        <v>476</v>
      </c>
      <c r="G51" s="323" t="s">
        <v>477</v>
      </c>
      <c r="I51" s="323" t="s">
        <v>52</v>
      </c>
      <c r="J51" s="323" t="s">
        <v>1079</v>
      </c>
      <c r="K51" s="323" t="s">
        <v>1270</v>
      </c>
      <c r="L51" s="323" t="s">
        <v>835</v>
      </c>
      <c r="M51" s="323" t="s">
        <v>1189</v>
      </c>
      <c r="N51" s="323" t="s">
        <v>264</v>
      </c>
      <c r="O51" s="323" t="s">
        <v>265</v>
      </c>
    </row>
    <row r="52" spans="1:15" ht="30">
      <c r="A52" s="323" t="s">
        <v>440</v>
      </c>
      <c r="B52" s="323">
        <v>6</v>
      </c>
      <c r="C52" s="287" t="s">
        <v>441</v>
      </c>
      <c r="D52" s="323" t="s">
        <v>469</v>
      </c>
      <c r="E52" s="323" t="s">
        <v>1187</v>
      </c>
      <c r="F52" s="323" t="s">
        <v>478</v>
      </c>
      <c r="G52" s="323" t="s">
        <v>479</v>
      </c>
      <c r="I52" s="323" t="s">
        <v>52</v>
      </c>
      <c r="J52" s="323" t="s">
        <v>1219</v>
      </c>
      <c r="K52" s="323" t="s">
        <v>1045</v>
      </c>
      <c r="L52" s="323" t="s">
        <v>263</v>
      </c>
      <c r="M52" s="323" t="s">
        <v>849</v>
      </c>
      <c r="N52" s="323" t="s">
        <v>275</v>
      </c>
      <c r="O52" s="323" t="s">
        <v>265</v>
      </c>
    </row>
    <row r="53" spans="1:15" ht="30">
      <c r="A53" s="323" t="s">
        <v>440</v>
      </c>
      <c r="B53" s="323">
        <v>6</v>
      </c>
      <c r="C53" s="287" t="s">
        <v>441</v>
      </c>
      <c r="D53" s="323" t="s">
        <v>481</v>
      </c>
      <c r="E53" s="323" t="s">
        <v>482</v>
      </c>
      <c r="F53" s="323" t="s">
        <v>486</v>
      </c>
      <c r="G53" s="323" t="s">
        <v>487</v>
      </c>
      <c r="I53" s="323" t="s">
        <v>52</v>
      </c>
      <c r="J53" s="323" t="s">
        <v>1220</v>
      </c>
      <c r="K53" s="323" t="s">
        <v>1080</v>
      </c>
      <c r="L53" s="323" t="s">
        <v>263</v>
      </c>
      <c r="M53" s="323" t="s">
        <v>849</v>
      </c>
      <c r="N53" s="323" t="s">
        <v>275</v>
      </c>
      <c r="O53" s="323" t="s">
        <v>265</v>
      </c>
    </row>
    <row r="54" spans="1:15" ht="30">
      <c r="A54" s="323" t="s">
        <v>440</v>
      </c>
      <c r="B54" s="323">
        <v>6</v>
      </c>
      <c r="C54" s="287" t="s">
        <v>441</v>
      </c>
      <c r="D54" s="323" t="s">
        <v>481</v>
      </c>
      <c r="E54" s="323" t="s">
        <v>482</v>
      </c>
      <c r="F54" s="323" t="s">
        <v>492</v>
      </c>
      <c r="G54" s="323" t="s">
        <v>493</v>
      </c>
      <c r="I54" s="323" t="s">
        <v>52</v>
      </c>
      <c r="J54" s="323" t="s">
        <v>1222</v>
      </c>
      <c r="K54" s="323" t="s">
        <v>1080</v>
      </c>
      <c r="L54" s="323" t="s">
        <v>263</v>
      </c>
      <c r="M54" s="323" t="s">
        <v>849</v>
      </c>
      <c r="N54" s="323" t="s">
        <v>275</v>
      </c>
      <c r="O54" s="323" t="s">
        <v>265</v>
      </c>
    </row>
    <row r="55" spans="1:15" ht="30">
      <c r="A55" s="323" t="s">
        <v>440</v>
      </c>
      <c r="B55" s="323">
        <v>6</v>
      </c>
      <c r="C55" s="287" t="s">
        <v>441</v>
      </c>
      <c r="D55" s="323" t="s">
        <v>496</v>
      </c>
      <c r="E55" s="323" t="s">
        <v>497</v>
      </c>
      <c r="F55" s="323" t="s">
        <v>498</v>
      </c>
      <c r="G55" s="323" t="s">
        <v>1168</v>
      </c>
      <c r="I55" s="323" t="s">
        <v>53</v>
      </c>
      <c r="J55" s="323" t="s">
        <v>1223</v>
      </c>
      <c r="K55" s="323" t="s">
        <v>1045</v>
      </c>
      <c r="L55" s="323" t="s">
        <v>263</v>
      </c>
      <c r="M55" s="323" t="s">
        <v>849</v>
      </c>
      <c r="N55" s="323" t="s">
        <v>275</v>
      </c>
      <c r="O55" s="323" t="s">
        <v>265</v>
      </c>
    </row>
    <row r="56" spans="1:15" ht="30">
      <c r="A56" s="323" t="s">
        <v>440</v>
      </c>
      <c r="B56" s="323">
        <v>6</v>
      </c>
      <c r="C56" s="287" t="s">
        <v>441</v>
      </c>
      <c r="D56" s="323" t="s">
        <v>496</v>
      </c>
      <c r="E56" s="323" t="s">
        <v>497</v>
      </c>
      <c r="F56" s="323" t="s">
        <v>503</v>
      </c>
      <c r="G56" s="323" t="s">
        <v>504</v>
      </c>
      <c r="I56" s="323" t="s">
        <v>52</v>
      </c>
      <c r="J56" s="323" t="s">
        <v>1225</v>
      </c>
      <c r="K56" s="323" t="s">
        <v>1270</v>
      </c>
      <c r="L56" s="323" t="s">
        <v>835</v>
      </c>
      <c r="M56" s="323" t="s">
        <v>1189</v>
      </c>
      <c r="N56" s="323" t="s">
        <v>264</v>
      </c>
      <c r="O56" s="323" t="s">
        <v>265</v>
      </c>
    </row>
    <row r="57" spans="1:15" ht="30">
      <c r="A57" s="323" t="s">
        <v>440</v>
      </c>
      <c r="B57" s="323">
        <v>6</v>
      </c>
      <c r="C57" s="287" t="s">
        <v>441</v>
      </c>
      <c r="D57" s="323" t="s">
        <v>496</v>
      </c>
      <c r="E57" s="323" t="s">
        <v>497</v>
      </c>
      <c r="F57" s="323" t="s">
        <v>505</v>
      </c>
      <c r="G57" s="323" t="s">
        <v>1171</v>
      </c>
      <c r="I57" s="323" t="s">
        <v>52</v>
      </c>
      <c r="J57" s="323" t="s">
        <v>1098</v>
      </c>
      <c r="K57" s="323" t="s">
        <v>1270</v>
      </c>
      <c r="L57" s="323" t="s">
        <v>835</v>
      </c>
      <c r="M57" s="323" t="s">
        <v>1189</v>
      </c>
      <c r="N57" s="323" t="s">
        <v>264</v>
      </c>
      <c r="O57" s="323" t="s">
        <v>265</v>
      </c>
    </row>
    <row r="58" spans="1:15" ht="30">
      <c r="A58" s="323" t="s">
        <v>508</v>
      </c>
      <c r="B58" s="323">
        <v>7</v>
      </c>
      <c r="C58" s="287" t="s">
        <v>509</v>
      </c>
      <c r="D58" s="323" t="s">
        <v>510</v>
      </c>
      <c r="E58" s="323" t="s">
        <v>1153</v>
      </c>
      <c r="F58" s="323" t="s">
        <v>511</v>
      </c>
      <c r="G58" s="323" t="s">
        <v>512</v>
      </c>
      <c r="I58" s="323" t="s">
        <v>53</v>
      </c>
      <c r="J58" s="323" t="s">
        <v>1085</v>
      </c>
      <c r="K58" s="323" t="s">
        <v>1270</v>
      </c>
      <c r="L58" s="323" t="s">
        <v>263</v>
      </c>
      <c r="M58" s="323" t="s">
        <v>849</v>
      </c>
      <c r="N58" s="323" t="s">
        <v>275</v>
      </c>
      <c r="O58" s="323" t="s">
        <v>265</v>
      </c>
    </row>
    <row r="59" spans="1:15" ht="45">
      <c r="A59" s="323" t="s">
        <v>508</v>
      </c>
      <c r="B59" s="323">
        <v>8</v>
      </c>
      <c r="C59" s="287" t="s">
        <v>513</v>
      </c>
      <c r="D59" s="323" t="s">
        <v>514</v>
      </c>
      <c r="E59" s="323" t="s">
        <v>515</v>
      </c>
      <c r="F59" s="323" t="s">
        <v>518</v>
      </c>
      <c r="G59" s="323" t="s">
        <v>519</v>
      </c>
      <c r="I59" s="323" t="s">
        <v>52</v>
      </c>
      <c r="J59" s="323" t="s">
        <v>1227</v>
      </c>
      <c r="K59" s="323" t="s">
        <v>1270</v>
      </c>
      <c r="L59" s="323" t="s">
        <v>835</v>
      </c>
      <c r="M59" s="323" t="s">
        <v>1189</v>
      </c>
      <c r="N59" s="323" t="s">
        <v>264</v>
      </c>
      <c r="O59" s="323" t="s">
        <v>265</v>
      </c>
    </row>
    <row r="60" spans="1:15" ht="45">
      <c r="A60" s="323" t="s">
        <v>508</v>
      </c>
      <c r="B60" s="323">
        <v>8</v>
      </c>
      <c r="C60" s="287" t="s">
        <v>513</v>
      </c>
      <c r="D60" s="323" t="s">
        <v>522</v>
      </c>
      <c r="E60" s="323" t="s">
        <v>523</v>
      </c>
      <c r="F60" s="323" t="s">
        <v>524</v>
      </c>
      <c r="G60" s="323" t="s">
        <v>525</v>
      </c>
      <c r="I60" s="323" t="s">
        <v>52</v>
      </c>
      <c r="J60" s="323" t="s">
        <v>1097</v>
      </c>
      <c r="K60" s="323" t="s">
        <v>1270</v>
      </c>
      <c r="L60" s="323" t="s">
        <v>835</v>
      </c>
      <c r="M60" s="323" t="s">
        <v>1189</v>
      </c>
      <c r="N60" s="323" t="s">
        <v>275</v>
      </c>
      <c r="O60" s="323" t="s">
        <v>265</v>
      </c>
    </row>
    <row r="61" spans="1:15" ht="45">
      <c r="A61" s="323" t="s">
        <v>508</v>
      </c>
      <c r="B61" s="323">
        <v>8</v>
      </c>
      <c r="C61" s="287" t="s">
        <v>513</v>
      </c>
      <c r="D61" s="323" t="s">
        <v>522</v>
      </c>
      <c r="E61" s="323" t="s">
        <v>523</v>
      </c>
      <c r="F61" s="323" t="s">
        <v>524</v>
      </c>
      <c r="G61" s="323" t="s">
        <v>525</v>
      </c>
      <c r="I61" s="323" t="s">
        <v>52</v>
      </c>
      <c r="J61" s="323" t="s">
        <v>1086</v>
      </c>
      <c r="K61" s="323" t="s">
        <v>1045</v>
      </c>
      <c r="L61" s="323" t="s">
        <v>263</v>
      </c>
      <c r="M61" s="323" t="s">
        <v>849</v>
      </c>
      <c r="N61" s="323" t="s">
        <v>275</v>
      </c>
      <c r="O61" s="323" t="s">
        <v>265</v>
      </c>
    </row>
    <row r="62" spans="1:15" ht="45">
      <c r="A62" s="323" t="s">
        <v>508</v>
      </c>
      <c r="B62" s="323">
        <v>8</v>
      </c>
      <c r="C62" s="287" t="s">
        <v>513</v>
      </c>
      <c r="D62" s="323" t="s">
        <v>541</v>
      </c>
      <c r="E62" s="323" t="s">
        <v>542</v>
      </c>
      <c r="F62" s="323" t="s">
        <v>543</v>
      </c>
      <c r="G62" s="323" t="s">
        <v>544</v>
      </c>
      <c r="I62" s="323" t="s">
        <v>52</v>
      </c>
      <c r="J62" s="323" t="s">
        <v>1230</v>
      </c>
      <c r="K62" s="323" t="s">
        <v>1089</v>
      </c>
      <c r="L62" s="323" t="s">
        <v>766</v>
      </c>
      <c r="M62" s="323" t="s">
        <v>876</v>
      </c>
      <c r="N62" s="323" t="s">
        <v>275</v>
      </c>
      <c r="O62" s="323" t="s">
        <v>265</v>
      </c>
    </row>
    <row r="63" spans="1:15" ht="45">
      <c r="A63" s="323" t="s">
        <v>508</v>
      </c>
      <c r="B63" s="323">
        <v>8</v>
      </c>
      <c r="C63" s="287" t="s">
        <v>513</v>
      </c>
      <c r="D63" s="323" t="s">
        <v>541</v>
      </c>
      <c r="E63" s="323" t="s">
        <v>542</v>
      </c>
      <c r="F63" s="323" t="s">
        <v>545</v>
      </c>
      <c r="G63" s="323" t="s">
        <v>546</v>
      </c>
      <c r="I63" s="323" t="s">
        <v>52</v>
      </c>
      <c r="J63" s="323" t="s">
        <v>1231</v>
      </c>
      <c r="K63" s="323" t="s">
        <v>1270</v>
      </c>
      <c r="L63" s="323" t="s">
        <v>835</v>
      </c>
      <c r="M63" s="323" t="s">
        <v>1189</v>
      </c>
      <c r="N63" s="323" t="s">
        <v>275</v>
      </c>
      <c r="O63" s="323" t="s">
        <v>265</v>
      </c>
    </row>
    <row r="64" spans="1:15" ht="45">
      <c r="A64" s="323" t="s">
        <v>508</v>
      </c>
      <c r="B64" s="323">
        <v>8</v>
      </c>
      <c r="C64" s="287" t="s">
        <v>513</v>
      </c>
      <c r="D64" s="323" t="s">
        <v>541</v>
      </c>
      <c r="E64" s="323" t="s">
        <v>542</v>
      </c>
      <c r="F64" s="323" t="s">
        <v>545</v>
      </c>
      <c r="G64" s="323" t="s">
        <v>546</v>
      </c>
      <c r="I64" s="323" t="s">
        <v>52</v>
      </c>
      <c r="J64" s="323" t="s">
        <v>1232</v>
      </c>
      <c r="K64" s="323" t="s">
        <v>1270</v>
      </c>
      <c r="L64" s="323" t="s">
        <v>835</v>
      </c>
      <c r="M64" s="323" t="s">
        <v>1189</v>
      </c>
      <c r="N64" s="323" t="s">
        <v>275</v>
      </c>
      <c r="O64" s="323" t="s">
        <v>265</v>
      </c>
    </row>
    <row r="65" spans="1:15" ht="45">
      <c r="A65" s="323" t="s">
        <v>508</v>
      </c>
      <c r="B65" s="323">
        <v>8</v>
      </c>
      <c r="C65" s="287" t="s">
        <v>513</v>
      </c>
      <c r="D65" s="323" t="s">
        <v>541</v>
      </c>
      <c r="E65" s="323" t="s">
        <v>542</v>
      </c>
      <c r="F65" s="323" t="s">
        <v>545</v>
      </c>
      <c r="G65" s="323" t="s">
        <v>546</v>
      </c>
      <c r="I65" s="323" t="s">
        <v>52</v>
      </c>
      <c r="J65" s="323" t="s">
        <v>1090</v>
      </c>
      <c r="K65" s="323" t="s">
        <v>1270</v>
      </c>
      <c r="L65" s="323" t="s">
        <v>835</v>
      </c>
      <c r="M65" s="323" t="s">
        <v>1189</v>
      </c>
      <c r="N65" s="323" t="s">
        <v>275</v>
      </c>
      <c r="O65" s="323" t="s">
        <v>265</v>
      </c>
    </row>
    <row r="66" spans="1:15" ht="45">
      <c r="A66" s="323" t="s">
        <v>508</v>
      </c>
      <c r="B66" s="323">
        <v>8</v>
      </c>
      <c r="C66" s="287" t="s">
        <v>513</v>
      </c>
      <c r="D66" s="323" t="s">
        <v>541</v>
      </c>
      <c r="E66" s="323" t="s">
        <v>542</v>
      </c>
      <c r="F66" s="323" t="s">
        <v>547</v>
      </c>
      <c r="G66" s="323" t="s">
        <v>549</v>
      </c>
      <c r="I66" s="323" t="s">
        <v>52</v>
      </c>
      <c r="J66" s="323" t="s">
        <v>1092</v>
      </c>
      <c r="K66" s="323" t="s">
        <v>1270</v>
      </c>
      <c r="L66" s="323" t="s">
        <v>835</v>
      </c>
      <c r="M66" s="323" t="s">
        <v>1189</v>
      </c>
      <c r="N66" s="323" t="s">
        <v>264</v>
      </c>
      <c r="O66" s="323" t="s">
        <v>265</v>
      </c>
    </row>
    <row r="67" spans="1:15" ht="45">
      <c r="A67" s="323" t="s">
        <v>508</v>
      </c>
      <c r="B67" s="323">
        <v>8</v>
      </c>
      <c r="C67" s="287" t="s">
        <v>513</v>
      </c>
      <c r="D67" s="323" t="s">
        <v>541</v>
      </c>
      <c r="E67" s="323" t="s">
        <v>542</v>
      </c>
      <c r="F67" s="323" t="s">
        <v>547</v>
      </c>
      <c r="G67" s="323" t="s">
        <v>549</v>
      </c>
      <c r="I67" s="323" t="s">
        <v>52</v>
      </c>
      <c r="J67" s="323" t="s">
        <v>1093</v>
      </c>
      <c r="K67" s="323" t="s">
        <v>1270</v>
      </c>
      <c r="L67" s="323" t="s">
        <v>835</v>
      </c>
      <c r="M67" s="323" t="s">
        <v>1094</v>
      </c>
      <c r="N67" s="323" t="s">
        <v>275</v>
      </c>
      <c r="O67" s="323" t="s">
        <v>265</v>
      </c>
    </row>
    <row r="68" spans="1:15" ht="45">
      <c r="A68" s="323" t="s">
        <v>508</v>
      </c>
      <c r="B68" s="323">
        <v>8</v>
      </c>
      <c r="C68" s="287" t="s">
        <v>513</v>
      </c>
      <c r="D68" s="323" t="s">
        <v>541</v>
      </c>
      <c r="E68" s="323" t="s">
        <v>542</v>
      </c>
      <c r="F68" s="323" t="s">
        <v>547</v>
      </c>
      <c r="G68" s="323" t="s">
        <v>549</v>
      </c>
      <c r="I68" s="323" t="s">
        <v>52</v>
      </c>
      <c r="J68" s="323" t="s">
        <v>1091</v>
      </c>
      <c r="K68" s="323" t="s">
        <v>1031</v>
      </c>
      <c r="L68" s="323" t="s">
        <v>835</v>
      </c>
      <c r="M68" s="323" t="s">
        <v>1189</v>
      </c>
      <c r="N68" s="323" t="s">
        <v>275</v>
      </c>
      <c r="O68" s="323" t="s">
        <v>265</v>
      </c>
    </row>
    <row r="69" spans="1:15" ht="30">
      <c r="A69" s="323" t="s">
        <v>508</v>
      </c>
      <c r="B69" s="323">
        <v>9</v>
      </c>
      <c r="C69" s="287" t="s">
        <v>550</v>
      </c>
      <c r="D69" s="323" t="s">
        <v>557</v>
      </c>
      <c r="E69" s="323" t="s">
        <v>558</v>
      </c>
      <c r="F69" s="323" t="s">
        <v>559</v>
      </c>
      <c r="G69" s="323" t="s">
        <v>1099</v>
      </c>
      <c r="H69" s="323" t="s">
        <v>1101</v>
      </c>
      <c r="I69" s="323" t="s">
        <v>52</v>
      </c>
      <c r="J69" s="323" t="s">
        <v>1096</v>
      </c>
      <c r="K69" s="323" t="s">
        <v>1270</v>
      </c>
      <c r="L69" s="323" t="s">
        <v>835</v>
      </c>
      <c r="M69" s="323" t="s">
        <v>1189</v>
      </c>
      <c r="N69" s="323" t="s">
        <v>275</v>
      </c>
      <c r="O69" s="323" t="s">
        <v>265</v>
      </c>
    </row>
    <row r="70" spans="1:15" ht="30">
      <c r="A70" s="323" t="s">
        <v>508</v>
      </c>
      <c r="B70" s="323">
        <v>9</v>
      </c>
      <c r="C70" s="287" t="s">
        <v>550</v>
      </c>
      <c r="D70" s="323" t="s">
        <v>557</v>
      </c>
      <c r="E70" s="323" t="s">
        <v>558</v>
      </c>
      <c r="F70" s="323" t="s">
        <v>559</v>
      </c>
      <c r="G70" s="323" t="s">
        <v>1099</v>
      </c>
      <c r="H70" s="323" t="s">
        <v>1100</v>
      </c>
      <c r="I70" s="323" t="s">
        <v>52</v>
      </c>
      <c r="J70" s="323" t="s">
        <v>1095</v>
      </c>
      <c r="K70" s="323" t="s">
        <v>1045</v>
      </c>
      <c r="L70" s="323" t="s">
        <v>263</v>
      </c>
      <c r="M70" s="323" t="s">
        <v>849</v>
      </c>
      <c r="N70" s="323" t="s">
        <v>275</v>
      </c>
      <c r="O70" s="323" t="s">
        <v>265</v>
      </c>
    </row>
    <row r="71" spans="1:15" ht="45">
      <c r="A71" s="323" t="s">
        <v>563</v>
      </c>
      <c r="B71" s="323">
        <v>10</v>
      </c>
      <c r="C71" s="287" t="s">
        <v>564</v>
      </c>
      <c r="D71" s="323" t="s">
        <v>565</v>
      </c>
      <c r="E71" s="323" t="s">
        <v>566</v>
      </c>
      <c r="F71" s="323" t="s">
        <v>567</v>
      </c>
      <c r="G71" s="323" t="s">
        <v>1108</v>
      </c>
      <c r="H71" s="323" t="s">
        <v>1100</v>
      </c>
      <c r="I71" s="323" t="s">
        <v>52</v>
      </c>
      <c r="J71" s="323" t="s">
        <v>1145</v>
      </c>
      <c r="K71" s="323" t="s">
        <v>1270</v>
      </c>
      <c r="L71" s="323" t="s">
        <v>835</v>
      </c>
      <c r="M71" s="323" t="s">
        <v>1189</v>
      </c>
      <c r="N71" s="323" t="s">
        <v>264</v>
      </c>
      <c r="O71" s="323" t="s">
        <v>265</v>
      </c>
    </row>
    <row r="72" spans="1:15" ht="30">
      <c r="A72" s="323" t="s">
        <v>563</v>
      </c>
      <c r="B72" s="323">
        <v>11</v>
      </c>
      <c r="C72" s="287" t="s">
        <v>570</v>
      </c>
      <c r="D72" s="323" t="s">
        <v>571</v>
      </c>
      <c r="E72" s="323" t="s">
        <v>1173</v>
      </c>
      <c r="F72" s="323" t="s">
        <v>594</v>
      </c>
      <c r="G72" s="323" t="s">
        <v>1146</v>
      </c>
      <c r="I72" s="323" t="s">
        <v>52</v>
      </c>
      <c r="J72" s="323" t="s">
        <v>1114</v>
      </c>
      <c r="K72" s="323" t="s">
        <v>1270</v>
      </c>
      <c r="L72" s="323" t="s">
        <v>835</v>
      </c>
      <c r="M72" s="323" t="s">
        <v>1189</v>
      </c>
      <c r="N72" s="323" t="s">
        <v>264</v>
      </c>
      <c r="O72" s="323" t="s">
        <v>265</v>
      </c>
    </row>
    <row r="73" spans="1:15" ht="30">
      <c r="A73" s="323" t="s">
        <v>563</v>
      </c>
      <c r="B73" s="323">
        <v>11</v>
      </c>
      <c r="C73" s="287" t="s">
        <v>570</v>
      </c>
      <c r="D73" s="323" t="s">
        <v>571</v>
      </c>
      <c r="E73" s="323" t="s">
        <v>1173</v>
      </c>
      <c r="F73" s="323" t="s">
        <v>578</v>
      </c>
      <c r="G73" s="323" t="s">
        <v>1112</v>
      </c>
      <c r="H73" s="323" t="s">
        <v>1101</v>
      </c>
      <c r="I73" s="323" t="s">
        <v>53</v>
      </c>
      <c r="J73" s="323" t="s">
        <v>1233</v>
      </c>
      <c r="K73" s="323" t="s">
        <v>1270</v>
      </c>
      <c r="L73" s="323" t="s">
        <v>263</v>
      </c>
      <c r="M73" s="323" t="s">
        <v>849</v>
      </c>
      <c r="N73" s="323" t="s">
        <v>275</v>
      </c>
      <c r="O73" s="323" t="s">
        <v>265</v>
      </c>
    </row>
    <row r="74" spans="1:15" ht="30">
      <c r="A74" s="323" t="s">
        <v>563</v>
      </c>
      <c r="B74" s="323">
        <v>11</v>
      </c>
      <c r="C74" s="287" t="s">
        <v>570</v>
      </c>
      <c r="D74" s="323" t="s">
        <v>571</v>
      </c>
      <c r="E74" s="323" t="s">
        <v>1173</v>
      </c>
      <c r="F74" s="323" t="s">
        <v>580</v>
      </c>
      <c r="G74" s="323" t="s">
        <v>1111</v>
      </c>
      <c r="H74" s="323" t="s">
        <v>1101</v>
      </c>
      <c r="I74" s="323" t="s">
        <v>53</v>
      </c>
      <c r="J74" s="323" t="s">
        <v>1235</v>
      </c>
      <c r="K74" s="323" t="s">
        <v>1270</v>
      </c>
      <c r="L74" s="323" t="s">
        <v>263</v>
      </c>
      <c r="M74" s="323" t="s">
        <v>849</v>
      </c>
      <c r="N74" s="323" t="s">
        <v>275</v>
      </c>
      <c r="O74" s="323" t="s">
        <v>265</v>
      </c>
    </row>
    <row r="75" spans="1:15" ht="30">
      <c r="A75" s="323" t="s">
        <v>563</v>
      </c>
      <c r="B75" s="323">
        <v>11</v>
      </c>
      <c r="C75" s="287" t="s">
        <v>570</v>
      </c>
      <c r="D75" s="323" t="s">
        <v>571</v>
      </c>
      <c r="E75" s="323" t="s">
        <v>1173</v>
      </c>
      <c r="F75" s="323" t="s">
        <v>582</v>
      </c>
      <c r="G75" s="323" t="s">
        <v>1113</v>
      </c>
      <c r="H75" s="323" t="s">
        <v>1101</v>
      </c>
      <c r="I75" s="323" t="s">
        <v>53</v>
      </c>
      <c r="J75" s="323" t="s">
        <v>1234</v>
      </c>
      <c r="K75" s="323" t="s">
        <v>1270</v>
      </c>
      <c r="L75" s="323" t="s">
        <v>263</v>
      </c>
      <c r="M75" s="323" t="s">
        <v>849</v>
      </c>
      <c r="N75" s="323" t="s">
        <v>275</v>
      </c>
      <c r="O75" s="323" t="s">
        <v>265</v>
      </c>
    </row>
    <row r="76" spans="1:15" ht="30">
      <c r="A76" s="323" t="s">
        <v>563</v>
      </c>
      <c r="B76" s="323">
        <v>11</v>
      </c>
      <c r="C76" s="287" t="s">
        <v>570</v>
      </c>
      <c r="D76" s="323" t="s">
        <v>595</v>
      </c>
      <c r="E76" s="323" t="s">
        <v>596</v>
      </c>
      <c r="F76" s="323" t="s">
        <v>597</v>
      </c>
      <c r="G76" s="323" t="s">
        <v>598</v>
      </c>
      <c r="I76" s="323" t="s">
        <v>52</v>
      </c>
      <c r="J76" s="323" t="s">
        <v>1115</v>
      </c>
      <c r="K76" s="323" t="s">
        <v>1270</v>
      </c>
      <c r="L76" s="323" t="s">
        <v>835</v>
      </c>
      <c r="M76" s="323" t="s">
        <v>1189</v>
      </c>
      <c r="N76" s="323" t="s">
        <v>264</v>
      </c>
      <c r="O76" s="323" t="s">
        <v>265</v>
      </c>
    </row>
    <row r="77" spans="1:15" ht="30">
      <c r="A77" s="323" t="s">
        <v>563</v>
      </c>
      <c r="B77" s="323">
        <v>11</v>
      </c>
      <c r="C77" s="287" t="s">
        <v>570</v>
      </c>
      <c r="D77" s="323" t="s">
        <v>603</v>
      </c>
      <c r="E77" s="323" t="s">
        <v>604</v>
      </c>
      <c r="F77" s="323" t="s">
        <v>605</v>
      </c>
      <c r="G77" s="323" t="s">
        <v>606</v>
      </c>
      <c r="H77" s="323" t="s">
        <v>1118</v>
      </c>
      <c r="I77" s="323" t="s">
        <v>52</v>
      </c>
      <c r="J77" s="323" t="s">
        <v>1236</v>
      </c>
      <c r="K77" s="323" t="s">
        <v>1270</v>
      </c>
      <c r="L77" s="323" t="s">
        <v>835</v>
      </c>
      <c r="M77" s="323" t="s">
        <v>1189</v>
      </c>
      <c r="N77" s="323" t="s">
        <v>275</v>
      </c>
      <c r="O77" s="323" t="s">
        <v>265</v>
      </c>
    </row>
    <row r="78" spans="1:15" ht="30">
      <c r="A78" s="323" t="s">
        <v>563</v>
      </c>
      <c r="B78" s="323">
        <v>11</v>
      </c>
      <c r="C78" s="287" t="s">
        <v>570</v>
      </c>
      <c r="D78" s="323" t="s">
        <v>603</v>
      </c>
      <c r="E78" s="323" t="s">
        <v>604</v>
      </c>
      <c r="F78" s="323" t="s">
        <v>607</v>
      </c>
      <c r="G78" s="323" t="s">
        <v>608</v>
      </c>
      <c r="H78" s="323" t="s">
        <v>1117</v>
      </c>
      <c r="I78" s="323" t="s">
        <v>52</v>
      </c>
      <c r="J78" s="323" t="s">
        <v>1237</v>
      </c>
      <c r="K78" s="323" t="s">
        <v>1270</v>
      </c>
      <c r="L78" s="323" t="s">
        <v>835</v>
      </c>
      <c r="M78" s="323" t="s">
        <v>1189</v>
      </c>
      <c r="N78" s="323" t="s">
        <v>275</v>
      </c>
      <c r="O78" s="323" t="s">
        <v>265</v>
      </c>
    </row>
    <row r="79" spans="1:15" ht="30">
      <c r="A79" s="323" t="s">
        <v>563</v>
      </c>
      <c r="B79" s="323">
        <v>11</v>
      </c>
      <c r="C79" s="287" t="s">
        <v>570</v>
      </c>
      <c r="D79" s="323" t="s">
        <v>603</v>
      </c>
      <c r="E79" s="323" t="s">
        <v>604</v>
      </c>
      <c r="F79" s="323" t="s">
        <v>609</v>
      </c>
      <c r="G79" s="323" t="s">
        <v>610</v>
      </c>
      <c r="H79" s="323" t="s">
        <v>1109</v>
      </c>
      <c r="I79" s="323" t="s">
        <v>52</v>
      </c>
      <c r="J79" s="323" t="s">
        <v>1238</v>
      </c>
      <c r="K79" s="323" t="s">
        <v>1119</v>
      </c>
      <c r="L79" s="323" t="s">
        <v>263</v>
      </c>
      <c r="M79" s="323" t="s">
        <v>849</v>
      </c>
      <c r="N79" s="323" t="s">
        <v>275</v>
      </c>
      <c r="O79" s="323" t="s">
        <v>265</v>
      </c>
    </row>
    <row r="80" spans="1:15" ht="30">
      <c r="A80" s="323" t="s">
        <v>563</v>
      </c>
      <c r="B80" s="323">
        <v>11</v>
      </c>
      <c r="C80" s="287" t="s">
        <v>570</v>
      </c>
      <c r="D80" s="323" t="s">
        <v>603</v>
      </c>
      <c r="E80" s="323" t="s">
        <v>604</v>
      </c>
      <c r="F80" s="323" t="s">
        <v>609</v>
      </c>
      <c r="G80" s="323" t="s">
        <v>610</v>
      </c>
      <c r="H80" s="323" t="s">
        <v>1109</v>
      </c>
      <c r="I80" s="323" t="s">
        <v>52</v>
      </c>
      <c r="J80" s="323" t="s">
        <v>1237</v>
      </c>
      <c r="K80" s="323" t="s">
        <v>1270</v>
      </c>
      <c r="L80" s="323" t="s">
        <v>263</v>
      </c>
      <c r="M80" s="323" t="s">
        <v>849</v>
      </c>
      <c r="N80" s="323" t="s">
        <v>275</v>
      </c>
      <c r="O80" s="323" t="s">
        <v>265</v>
      </c>
    </row>
    <row r="81" spans="1:15" ht="30">
      <c r="A81" s="323" t="s">
        <v>563</v>
      </c>
      <c r="B81" s="323">
        <v>11</v>
      </c>
      <c r="C81" s="287" t="s">
        <v>570</v>
      </c>
      <c r="D81" s="323" t="s">
        <v>603</v>
      </c>
      <c r="E81" s="323" t="s">
        <v>604</v>
      </c>
      <c r="F81" s="323" t="s">
        <v>613</v>
      </c>
      <c r="G81" s="323" t="s">
        <v>1174</v>
      </c>
      <c r="H81" s="323" t="s">
        <v>1109</v>
      </c>
      <c r="I81" s="323" t="s">
        <v>52</v>
      </c>
      <c r="J81" s="323" t="s">
        <v>1239</v>
      </c>
      <c r="K81" s="323" t="s">
        <v>1270</v>
      </c>
      <c r="L81" s="323" t="s">
        <v>263</v>
      </c>
      <c r="M81" s="323" t="s">
        <v>849</v>
      </c>
      <c r="N81" s="323" t="s">
        <v>275</v>
      </c>
      <c r="O81" s="323" t="s">
        <v>265</v>
      </c>
    </row>
    <row r="82" spans="1:15" ht="30">
      <c r="A82" s="323" t="s">
        <v>563</v>
      </c>
      <c r="B82" s="323">
        <v>11</v>
      </c>
      <c r="C82" s="287" t="s">
        <v>570</v>
      </c>
      <c r="D82" s="323" t="s">
        <v>620</v>
      </c>
      <c r="E82" s="323" t="s">
        <v>621</v>
      </c>
      <c r="F82" s="323" t="s">
        <v>622</v>
      </c>
      <c r="G82" s="323" t="s">
        <v>623</v>
      </c>
      <c r="I82" s="323" t="s">
        <v>52</v>
      </c>
      <c r="J82" s="323" t="s">
        <v>1241</v>
      </c>
      <c r="K82" s="323" t="s">
        <v>1270</v>
      </c>
      <c r="L82" s="323" t="s">
        <v>263</v>
      </c>
      <c r="M82" s="323" t="s">
        <v>849</v>
      </c>
      <c r="N82" s="323" t="s">
        <v>264</v>
      </c>
      <c r="O82" s="323" t="s">
        <v>265</v>
      </c>
    </row>
    <row r="83" spans="1:15" ht="30">
      <c r="A83" s="323" t="s">
        <v>563</v>
      </c>
      <c r="B83" s="323">
        <v>11</v>
      </c>
      <c r="C83" s="287" t="s">
        <v>570</v>
      </c>
      <c r="D83" s="323" t="s">
        <v>620</v>
      </c>
      <c r="E83" s="323" t="s">
        <v>621</v>
      </c>
      <c r="F83" s="323" t="s">
        <v>624</v>
      </c>
      <c r="G83" s="323" t="s">
        <v>625</v>
      </c>
      <c r="I83" s="323" t="s">
        <v>52</v>
      </c>
      <c r="J83" s="323" t="s">
        <v>1120</v>
      </c>
      <c r="K83" s="323" t="s">
        <v>1270</v>
      </c>
      <c r="L83" s="323" t="s">
        <v>263</v>
      </c>
      <c r="M83" s="323" t="s">
        <v>849</v>
      </c>
      <c r="N83" s="323" t="s">
        <v>264</v>
      </c>
      <c r="O83" s="323" t="s">
        <v>265</v>
      </c>
    </row>
    <row r="84" spans="1:15" ht="30">
      <c r="A84" s="323" t="s">
        <v>563</v>
      </c>
      <c r="B84" s="323">
        <v>11</v>
      </c>
      <c r="C84" s="287" t="s">
        <v>570</v>
      </c>
      <c r="D84" s="323" t="s">
        <v>620</v>
      </c>
      <c r="E84" s="323" t="s">
        <v>621</v>
      </c>
      <c r="F84" s="323" t="s">
        <v>624</v>
      </c>
      <c r="G84" s="323" t="s">
        <v>625</v>
      </c>
      <c r="I84" s="323" t="s">
        <v>52</v>
      </c>
      <c r="J84" s="323" t="s">
        <v>1121</v>
      </c>
      <c r="K84" s="323" t="s">
        <v>1270</v>
      </c>
      <c r="L84" s="323" t="s">
        <v>835</v>
      </c>
      <c r="M84" s="323" t="s">
        <v>1189</v>
      </c>
      <c r="N84" s="323" t="s">
        <v>264</v>
      </c>
      <c r="O84" s="323" t="s">
        <v>265</v>
      </c>
    </row>
    <row r="85" spans="1:15" ht="30">
      <c r="A85" s="323" t="s">
        <v>563</v>
      </c>
      <c r="B85" s="323">
        <v>11</v>
      </c>
      <c r="C85" s="287" t="s">
        <v>570</v>
      </c>
      <c r="D85" s="323" t="s">
        <v>627</v>
      </c>
      <c r="E85" s="323" t="s">
        <v>628</v>
      </c>
      <c r="F85" s="323" t="s">
        <v>631</v>
      </c>
      <c r="G85" s="323" t="s">
        <v>1124</v>
      </c>
      <c r="H85" s="323" t="s">
        <v>1123</v>
      </c>
      <c r="I85" s="323" t="s">
        <v>52</v>
      </c>
      <c r="J85" s="323" t="s">
        <v>1242</v>
      </c>
      <c r="K85" s="323" t="s">
        <v>1270</v>
      </c>
      <c r="L85" s="323" t="s">
        <v>263</v>
      </c>
      <c r="M85" s="323" t="s">
        <v>849</v>
      </c>
      <c r="N85" s="323" t="s">
        <v>275</v>
      </c>
      <c r="O85" s="323" t="s">
        <v>265</v>
      </c>
    </row>
    <row r="86" spans="1:15" ht="30">
      <c r="A86" s="323" t="s">
        <v>563</v>
      </c>
      <c r="B86" s="323">
        <v>11</v>
      </c>
      <c r="C86" s="287" t="s">
        <v>570</v>
      </c>
      <c r="D86" s="323" t="s">
        <v>633</v>
      </c>
      <c r="E86" s="323" t="s">
        <v>1175</v>
      </c>
      <c r="F86" s="323" t="s">
        <v>634</v>
      </c>
      <c r="G86" s="323" t="s">
        <v>635</v>
      </c>
      <c r="I86" s="323" t="s">
        <v>52</v>
      </c>
      <c r="J86" s="323" t="s">
        <v>1243</v>
      </c>
      <c r="K86" s="323" t="s">
        <v>1270</v>
      </c>
      <c r="L86" s="323" t="s">
        <v>835</v>
      </c>
      <c r="M86" s="323" t="s">
        <v>1189</v>
      </c>
      <c r="N86" s="323" t="s">
        <v>264</v>
      </c>
      <c r="O86" s="323" t="s">
        <v>265</v>
      </c>
    </row>
    <row r="87" spans="1:15" ht="30">
      <c r="A87" s="323" t="s">
        <v>563</v>
      </c>
      <c r="B87" s="323">
        <v>11</v>
      </c>
      <c r="C87" s="287" t="s">
        <v>570</v>
      </c>
      <c r="D87" s="323" t="s">
        <v>633</v>
      </c>
      <c r="E87" s="323" t="s">
        <v>1175</v>
      </c>
      <c r="F87" s="323" t="s">
        <v>636</v>
      </c>
      <c r="G87" s="323" t="s">
        <v>637</v>
      </c>
      <c r="I87" s="323" t="s">
        <v>52</v>
      </c>
      <c r="J87" s="323" t="s">
        <v>1104</v>
      </c>
      <c r="K87" s="323" t="s">
        <v>1270</v>
      </c>
      <c r="L87" s="323" t="s">
        <v>835</v>
      </c>
      <c r="M87" s="323" t="s">
        <v>1189</v>
      </c>
      <c r="N87" s="323" t="s">
        <v>264</v>
      </c>
      <c r="O87" s="323" t="s">
        <v>265</v>
      </c>
    </row>
    <row r="88" spans="1:15" ht="30">
      <c r="A88" s="323" t="s">
        <v>563</v>
      </c>
      <c r="B88" s="323">
        <v>11</v>
      </c>
      <c r="C88" s="287" t="s">
        <v>570</v>
      </c>
      <c r="D88" s="323" t="s">
        <v>633</v>
      </c>
      <c r="E88" s="323" t="s">
        <v>1175</v>
      </c>
      <c r="F88" s="323" t="s">
        <v>636</v>
      </c>
      <c r="G88" s="323" t="s">
        <v>637</v>
      </c>
      <c r="I88" s="323" t="s">
        <v>52</v>
      </c>
      <c r="J88" s="323" t="s">
        <v>1102</v>
      </c>
      <c r="K88" s="323" t="s">
        <v>1270</v>
      </c>
      <c r="L88" s="323" t="s">
        <v>835</v>
      </c>
      <c r="M88" s="323" t="s">
        <v>1189</v>
      </c>
      <c r="N88" s="323" t="s">
        <v>264</v>
      </c>
      <c r="O88" s="323" t="s">
        <v>265</v>
      </c>
    </row>
    <row r="89" spans="1:15" ht="30">
      <c r="A89" s="323" t="s">
        <v>563</v>
      </c>
      <c r="B89" s="323">
        <v>11</v>
      </c>
      <c r="C89" s="287" t="s">
        <v>570</v>
      </c>
      <c r="D89" s="323" t="s">
        <v>633</v>
      </c>
      <c r="E89" s="323" t="s">
        <v>1175</v>
      </c>
      <c r="F89" s="323" t="s">
        <v>636</v>
      </c>
      <c r="G89" s="323" t="s">
        <v>637</v>
      </c>
      <c r="I89" s="323" t="s">
        <v>52</v>
      </c>
      <c r="J89" s="323" t="s">
        <v>1103</v>
      </c>
      <c r="K89" s="323" t="s">
        <v>1270</v>
      </c>
      <c r="L89" s="323" t="s">
        <v>835</v>
      </c>
      <c r="M89" s="323" t="s">
        <v>1189</v>
      </c>
      <c r="N89" s="323" t="s">
        <v>264</v>
      </c>
      <c r="O89" s="323" t="s">
        <v>265</v>
      </c>
    </row>
    <row r="90" spans="1:15" ht="30">
      <c r="A90" s="323" t="s">
        <v>563</v>
      </c>
      <c r="B90" s="323">
        <v>11</v>
      </c>
      <c r="C90" s="287" t="s">
        <v>570</v>
      </c>
      <c r="D90" s="323" t="s">
        <v>633</v>
      </c>
      <c r="E90" s="323" t="s">
        <v>1175</v>
      </c>
      <c r="F90" s="323" t="s">
        <v>636</v>
      </c>
      <c r="G90" s="323" t="s">
        <v>637</v>
      </c>
      <c r="I90" s="323" t="s">
        <v>52</v>
      </c>
      <c r="J90" s="323" t="s">
        <v>1105</v>
      </c>
      <c r="K90" s="323" t="s">
        <v>1270</v>
      </c>
      <c r="L90" s="323" t="s">
        <v>835</v>
      </c>
      <c r="M90" s="323" t="s">
        <v>1189</v>
      </c>
      <c r="N90" s="323" t="s">
        <v>264</v>
      </c>
      <c r="O90" s="323" t="s">
        <v>265</v>
      </c>
    </row>
    <row r="91" spans="1:15" ht="30">
      <c r="A91" s="323" t="s">
        <v>563</v>
      </c>
      <c r="B91" s="323">
        <v>11</v>
      </c>
      <c r="C91" s="287" t="s">
        <v>570</v>
      </c>
      <c r="D91" s="323" t="s">
        <v>633</v>
      </c>
      <c r="E91" s="323" t="s">
        <v>1175</v>
      </c>
      <c r="F91" s="323" t="s">
        <v>636</v>
      </c>
      <c r="G91" s="323" t="s">
        <v>637</v>
      </c>
      <c r="I91" s="323" t="s">
        <v>52</v>
      </c>
      <c r="J91" s="323" t="s">
        <v>1106</v>
      </c>
      <c r="K91" s="323" t="s">
        <v>1270</v>
      </c>
      <c r="L91" s="323" t="s">
        <v>835</v>
      </c>
      <c r="M91" s="323" t="s">
        <v>1189</v>
      </c>
      <c r="N91" s="323" t="s">
        <v>264</v>
      </c>
      <c r="O91" s="323" t="s">
        <v>265</v>
      </c>
    </row>
    <row r="92" spans="1:15" ht="30">
      <c r="A92" s="323" t="s">
        <v>563</v>
      </c>
      <c r="B92" s="323">
        <v>11</v>
      </c>
      <c r="C92" s="287" t="s">
        <v>570</v>
      </c>
      <c r="D92" s="323" t="s">
        <v>633</v>
      </c>
      <c r="E92" s="323" t="s">
        <v>1175</v>
      </c>
      <c r="F92" s="323" t="s">
        <v>636</v>
      </c>
      <c r="G92" s="323" t="s">
        <v>637</v>
      </c>
      <c r="I92" s="323" t="s">
        <v>52</v>
      </c>
      <c r="J92" s="323" t="s">
        <v>1107</v>
      </c>
      <c r="K92" s="323" t="s">
        <v>1270</v>
      </c>
      <c r="L92" s="323" t="s">
        <v>835</v>
      </c>
      <c r="M92" s="323" t="s">
        <v>1189</v>
      </c>
      <c r="N92" s="323" t="s">
        <v>264</v>
      </c>
      <c r="O92" s="323" t="s">
        <v>265</v>
      </c>
    </row>
    <row r="93" spans="1:15" ht="30">
      <c r="A93" s="323" t="s">
        <v>563</v>
      </c>
      <c r="B93" s="323">
        <v>11</v>
      </c>
      <c r="C93" s="287" t="s">
        <v>570</v>
      </c>
      <c r="D93" s="323" t="s">
        <v>644</v>
      </c>
      <c r="E93" s="323" t="s">
        <v>645</v>
      </c>
      <c r="F93" s="323" t="s">
        <v>648</v>
      </c>
      <c r="G93" s="323" t="s">
        <v>649</v>
      </c>
      <c r="I93" s="323" t="s">
        <v>52</v>
      </c>
      <c r="J93" s="323" t="s">
        <v>1125</v>
      </c>
      <c r="K93" s="323" t="s">
        <v>1270</v>
      </c>
      <c r="L93" s="323" t="s">
        <v>263</v>
      </c>
      <c r="M93" s="323" t="s">
        <v>849</v>
      </c>
      <c r="N93" s="323" t="s">
        <v>275</v>
      </c>
      <c r="O93" s="323" t="s">
        <v>265</v>
      </c>
    </row>
    <row r="94" spans="1:15" ht="30">
      <c r="A94" s="323" t="s">
        <v>563</v>
      </c>
      <c r="B94" s="323">
        <v>11</v>
      </c>
      <c r="C94" s="287" t="s">
        <v>570</v>
      </c>
      <c r="D94" s="323" t="s">
        <v>644</v>
      </c>
      <c r="E94" s="323" t="s">
        <v>645</v>
      </c>
      <c r="F94" s="323" t="s">
        <v>650</v>
      </c>
      <c r="G94" s="323" t="s">
        <v>651</v>
      </c>
      <c r="I94" s="323" t="s">
        <v>52</v>
      </c>
      <c r="J94" s="323" t="s">
        <v>1126</v>
      </c>
      <c r="K94" s="323" t="s">
        <v>1270</v>
      </c>
      <c r="L94" s="323" t="s">
        <v>835</v>
      </c>
      <c r="M94" s="323" t="s">
        <v>1189</v>
      </c>
      <c r="N94" s="323" t="s">
        <v>275</v>
      </c>
      <c r="O94" s="323" t="s">
        <v>265</v>
      </c>
    </row>
    <row r="95" spans="1:15" ht="30">
      <c r="A95" s="323" t="s">
        <v>659</v>
      </c>
      <c r="B95" s="323">
        <v>13</v>
      </c>
      <c r="C95" s="287" t="s">
        <v>660</v>
      </c>
      <c r="D95" s="323" t="s">
        <v>671</v>
      </c>
      <c r="E95" s="323" t="s">
        <v>672</v>
      </c>
      <c r="F95" s="323" t="s">
        <v>679</v>
      </c>
      <c r="G95" s="323" t="s">
        <v>680</v>
      </c>
      <c r="I95" s="323" t="s">
        <v>52</v>
      </c>
      <c r="J95" s="323" t="s">
        <v>1245</v>
      </c>
      <c r="K95" s="323" t="s">
        <v>1132</v>
      </c>
      <c r="L95" s="323" t="s">
        <v>263</v>
      </c>
      <c r="M95" s="323" t="s">
        <v>849</v>
      </c>
      <c r="N95" s="323" t="s">
        <v>275</v>
      </c>
      <c r="O95" s="323" t="s">
        <v>265</v>
      </c>
    </row>
    <row r="96" spans="1:15" ht="30">
      <c r="A96" s="323" t="s">
        <v>659</v>
      </c>
      <c r="B96" s="323">
        <v>13</v>
      </c>
      <c r="C96" s="287" t="s">
        <v>660</v>
      </c>
      <c r="D96" s="323" t="s">
        <v>690</v>
      </c>
      <c r="E96" s="323" t="s">
        <v>691</v>
      </c>
      <c r="F96" s="323" t="s">
        <v>692</v>
      </c>
      <c r="G96" s="323" t="s">
        <v>693</v>
      </c>
      <c r="I96" s="323" t="s">
        <v>53</v>
      </c>
      <c r="J96" s="323" t="s">
        <v>1246</v>
      </c>
      <c r="K96" s="323" t="s">
        <v>1270</v>
      </c>
      <c r="L96" s="323" t="s">
        <v>835</v>
      </c>
      <c r="M96" s="323" t="s">
        <v>1189</v>
      </c>
      <c r="N96" s="323" t="s">
        <v>275</v>
      </c>
      <c r="O96" s="323" t="s">
        <v>265</v>
      </c>
    </row>
    <row r="97" spans="1:15" ht="30">
      <c r="A97" s="323" t="s">
        <v>659</v>
      </c>
      <c r="B97" s="323">
        <v>13</v>
      </c>
      <c r="C97" s="287" t="s">
        <v>660</v>
      </c>
      <c r="D97" s="323" t="s">
        <v>690</v>
      </c>
      <c r="E97" s="323" t="s">
        <v>691</v>
      </c>
      <c r="F97" s="323" t="s">
        <v>695</v>
      </c>
      <c r="G97" s="323" t="s">
        <v>696</v>
      </c>
      <c r="I97" s="323" t="s">
        <v>52</v>
      </c>
      <c r="J97" s="323" t="s">
        <v>1247</v>
      </c>
      <c r="K97" s="323" t="s">
        <v>1270</v>
      </c>
      <c r="L97" s="323" t="s">
        <v>835</v>
      </c>
      <c r="M97" s="323" t="s">
        <v>1189</v>
      </c>
      <c r="N97" s="323" t="s">
        <v>264</v>
      </c>
      <c r="O97" s="323" t="s">
        <v>265</v>
      </c>
    </row>
    <row r="98" spans="1:15" ht="30">
      <c r="A98" s="323" t="s">
        <v>659</v>
      </c>
      <c r="B98" s="323">
        <v>13</v>
      </c>
      <c r="C98" s="287" t="s">
        <v>660</v>
      </c>
      <c r="D98" s="323" t="s">
        <v>690</v>
      </c>
      <c r="E98" s="323" t="s">
        <v>691</v>
      </c>
      <c r="F98" s="323" t="s">
        <v>697</v>
      </c>
      <c r="G98" s="323" t="s">
        <v>698</v>
      </c>
      <c r="I98" s="323" t="s">
        <v>52</v>
      </c>
      <c r="J98" s="323" t="s">
        <v>1248</v>
      </c>
      <c r="K98" s="323" t="s">
        <v>1270</v>
      </c>
      <c r="L98" s="323" t="s">
        <v>835</v>
      </c>
      <c r="M98" s="323" t="s">
        <v>1189</v>
      </c>
      <c r="N98" s="323" t="s">
        <v>264</v>
      </c>
      <c r="O98" s="323" t="s">
        <v>265</v>
      </c>
    </row>
    <row r="99" spans="1:15" ht="30">
      <c r="A99" s="323" t="s">
        <v>659</v>
      </c>
      <c r="B99" s="323">
        <v>13</v>
      </c>
      <c r="C99" s="287" t="s">
        <v>660</v>
      </c>
      <c r="D99" s="323" t="s">
        <v>701</v>
      </c>
      <c r="E99" s="323" t="s">
        <v>702</v>
      </c>
      <c r="F99" s="323" t="s">
        <v>703</v>
      </c>
      <c r="G99" s="323" t="s">
        <v>704</v>
      </c>
      <c r="I99" s="323" t="s">
        <v>52</v>
      </c>
      <c r="J99" s="323" t="s">
        <v>1249</v>
      </c>
      <c r="K99" s="323" t="s">
        <v>1270</v>
      </c>
      <c r="L99" s="323" t="s">
        <v>835</v>
      </c>
      <c r="M99" s="323" t="s">
        <v>1189</v>
      </c>
      <c r="N99" s="323" t="s">
        <v>264</v>
      </c>
      <c r="O99" s="323" t="s">
        <v>265</v>
      </c>
    </row>
    <row r="100" spans="1:15" ht="30">
      <c r="A100" s="323" t="s">
        <v>659</v>
      </c>
      <c r="B100" s="323">
        <v>13</v>
      </c>
      <c r="C100" s="287" t="s">
        <v>660</v>
      </c>
      <c r="D100" s="323" t="s">
        <v>721</v>
      </c>
      <c r="E100" s="323" t="s">
        <v>722</v>
      </c>
      <c r="F100" s="323" t="s">
        <v>727</v>
      </c>
      <c r="G100" s="323" t="s">
        <v>728</v>
      </c>
      <c r="I100" s="323" t="s">
        <v>52</v>
      </c>
      <c r="J100" s="323" t="s">
        <v>1133</v>
      </c>
      <c r="K100" s="323" t="s">
        <v>1270</v>
      </c>
      <c r="L100" s="323" t="s">
        <v>835</v>
      </c>
      <c r="M100" s="323" t="s">
        <v>1189</v>
      </c>
      <c r="N100" s="323" t="s">
        <v>275</v>
      </c>
      <c r="O100" s="323" t="s">
        <v>265</v>
      </c>
    </row>
    <row r="101" spans="1:15" ht="30">
      <c r="A101" s="323" t="s">
        <v>659</v>
      </c>
      <c r="B101" s="323">
        <v>13</v>
      </c>
      <c r="C101" s="287" t="s">
        <v>660</v>
      </c>
      <c r="D101" s="323" t="s">
        <v>729</v>
      </c>
      <c r="E101" s="323" t="s">
        <v>730</v>
      </c>
      <c r="F101" s="323" t="s">
        <v>737</v>
      </c>
      <c r="G101" s="323" t="s">
        <v>738</v>
      </c>
      <c r="I101" s="323" t="s">
        <v>53</v>
      </c>
      <c r="J101" s="323" t="s">
        <v>1134</v>
      </c>
      <c r="K101" s="323" t="s">
        <v>1270</v>
      </c>
      <c r="L101" s="323" t="s">
        <v>263</v>
      </c>
      <c r="M101" s="323" t="s">
        <v>849</v>
      </c>
      <c r="N101" s="323" t="s">
        <v>275</v>
      </c>
      <c r="O101" s="323" t="s">
        <v>265</v>
      </c>
    </row>
    <row r="102" spans="1:15" ht="30">
      <c r="A102" s="323" t="s">
        <v>659</v>
      </c>
      <c r="B102" s="323">
        <v>14</v>
      </c>
      <c r="C102" s="287" t="s">
        <v>739</v>
      </c>
      <c r="D102" s="323" t="s">
        <v>740</v>
      </c>
      <c r="E102" s="323" t="s">
        <v>741</v>
      </c>
      <c r="F102" s="323" t="s">
        <v>742</v>
      </c>
      <c r="G102" s="323" t="s">
        <v>743</v>
      </c>
      <c r="I102" s="323" t="s">
        <v>52</v>
      </c>
      <c r="J102" s="323" t="s">
        <v>1251</v>
      </c>
      <c r="K102" s="323" t="s">
        <v>1270</v>
      </c>
      <c r="L102" s="323" t="s">
        <v>263</v>
      </c>
      <c r="M102" s="323" t="s">
        <v>849</v>
      </c>
      <c r="N102" s="323" t="s">
        <v>275</v>
      </c>
      <c r="O102" s="323" t="s">
        <v>265</v>
      </c>
    </row>
    <row r="103" spans="1:15" ht="30">
      <c r="A103" s="323" t="s">
        <v>659</v>
      </c>
      <c r="B103" s="323">
        <v>14</v>
      </c>
      <c r="C103" s="287" t="s">
        <v>739</v>
      </c>
      <c r="D103" s="323" t="s">
        <v>740</v>
      </c>
      <c r="E103" s="323" t="s">
        <v>741</v>
      </c>
      <c r="F103" s="323" t="s">
        <v>742</v>
      </c>
      <c r="G103" s="323" t="s">
        <v>743</v>
      </c>
      <c r="I103" s="323" t="s">
        <v>52</v>
      </c>
      <c r="J103" s="323" t="s">
        <v>1252</v>
      </c>
      <c r="K103" s="323" t="s">
        <v>1136</v>
      </c>
      <c r="L103" s="323" t="s">
        <v>263</v>
      </c>
      <c r="M103" s="323" t="s">
        <v>849</v>
      </c>
      <c r="N103" s="323" t="s">
        <v>275</v>
      </c>
      <c r="O103" s="323" t="s">
        <v>265</v>
      </c>
    </row>
    <row r="104" spans="1:15" ht="30">
      <c r="A104" s="323" t="s">
        <v>659</v>
      </c>
      <c r="B104" s="323">
        <v>14</v>
      </c>
      <c r="C104" s="287" t="s">
        <v>739</v>
      </c>
      <c r="D104" s="323" t="s">
        <v>740</v>
      </c>
      <c r="E104" s="323" t="s">
        <v>741</v>
      </c>
      <c r="F104" s="323" t="s">
        <v>742</v>
      </c>
      <c r="G104" s="323" t="s">
        <v>743</v>
      </c>
      <c r="I104" s="323" t="s">
        <v>52</v>
      </c>
      <c r="J104" s="323" t="s">
        <v>1137</v>
      </c>
      <c r="K104" s="323" t="s">
        <v>1270</v>
      </c>
      <c r="L104" s="323" t="s">
        <v>835</v>
      </c>
      <c r="M104" s="323" t="s">
        <v>1189</v>
      </c>
      <c r="N104" s="323" t="s">
        <v>264</v>
      </c>
      <c r="O104" s="323" t="s">
        <v>265</v>
      </c>
    </row>
    <row r="105" spans="1:15" ht="30">
      <c r="A105" s="323" t="s">
        <v>659</v>
      </c>
      <c r="B105" s="323">
        <v>14</v>
      </c>
      <c r="C105" s="287" t="s">
        <v>739</v>
      </c>
      <c r="D105" s="323" t="s">
        <v>740</v>
      </c>
      <c r="E105" s="323" t="s">
        <v>741</v>
      </c>
      <c r="F105" s="323" t="s">
        <v>742</v>
      </c>
      <c r="G105" s="323" t="s">
        <v>743</v>
      </c>
      <c r="I105" s="323" t="s">
        <v>52</v>
      </c>
      <c r="J105" s="323" t="s">
        <v>1253</v>
      </c>
      <c r="K105" s="323" t="s">
        <v>1270</v>
      </c>
      <c r="L105" s="323" t="s">
        <v>835</v>
      </c>
      <c r="M105" s="323" t="s">
        <v>1189</v>
      </c>
      <c r="N105" s="323" t="s">
        <v>275</v>
      </c>
      <c r="O105" s="323" t="s">
        <v>265</v>
      </c>
    </row>
    <row r="106" spans="1:15" ht="30">
      <c r="A106" s="323" t="s">
        <v>659</v>
      </c>
      <c r="B106" s="323">
        <v>14</v>
      </c>
      <c r="C106" s="287" t="s">
        <v>739</v>
      </c>
      <c r="D106" s="323" t="s">
        <v>740</v>
      </c>
      <c r="E106" s="323" t="s">
        <v>741</v>
      </c>
      <c r="F106" s="323" t="s">
        <v>746</v>
      </c>
      <c r="G106" s="323" t="s">
        <v>747</v>
      </c>
      <c r="I106" s="323" t="s">
        <v>52</v>
      </c>
      <c r="J106" s="323" t="s">
        <v>1135</v>
      </c>
      <c r="K106" s="323" t="s">
        <v>1270</v>
      </c>
      <c r="L106" s="323" t="s">
        <v>835</v>
      </c>
      <c r="M106" s="323" t="s">
        <v>1189</v>
      </c>
      <c r="N106" s="323" t="s">
        <v>275</v>
      </c>
      <c r="O106" s="323" t="s">
        <v>265</v>
      </c>
    </row>
    <row r="107" spans="1:15" ht="30">
      <c r="A107" s="323" t="s">
        <v>659</v>
      </c>
      <c r="B107" s="323">
        <v>14</v>
      </c>
      <c r="C107" s="287" t="s">
        <v>739</v>
      </c>
      <c r="D107" s="323" t="s">
        <v>753</v>
      </c>
      <c r="E107" s="323" t="s">
        <v>754</v>
      </c>
      <c r="F107" s="323" t="s">
        <v>755</v>
      </c>
      <c r="G107" s="323" t="s">
        <v>756</v>
      </c>
      <c r="I107" s="323" t="s">
        <v>52</v>
      </c>
      <c r="J107" s="323" t="s">
        <v>1138</v>
      </c>
      <c r="K107" s="323" t="s">
        <v>1270</v>
      </c>
      <c r="L107" s="323" t="s">
        <v>835</v>
      </c>
      <c r="M107" s="323" t="s">
        <v>1189</v>
      </c>
      <c r="N107" s="323" t="s">
        <v>275</v>
      </c>
      <c r="O107" s="323" t="s">
        <v>265</v>
      </c>
    </row>
    <row r="108" spans="1:15" ht="30">
      <c r="A108" s="323" t="s">
        <v>659</v>
      </c>
      <c r="B108" s="323">
        <v>14</v>
      </c>
      <c r="C108" s="287" t="s">
        <v>739</v>
      </c>
      <c r="D108" s="323" t="s">
        <v>753</v>
      </c>
      <c r="E108" s="323" t="s">
        <v>754</v>
      </c>
      <c r="F108" s="323" t="s">
        <v>757</v>
      </c>
      <c r="G108" s="323" t="s">
        <v>758</v>
      </c>
      <c r="I108" s="323" t="s">
        <v>52</v>
      </c>
      <c r="J108" s="323" t="s">
        <v>1139</v>
      </c>
      <c r="K108" s="323" t="s">
        <v>1270</v>
      </c>
      <c r="L108" s="323" t="s">
        <v>263</v>
      </c>
      <c r="M108" s="323" t="s">
        <v>849</v>
      </c>
      <c r="N108" s="323" t="s">
        <v>275</v>
      </c>
      <c r="O108" s="323" t="s">
        <v>265</v>
      </c>
    </row>
    <row r="109" spans="1:15" ht="30">
      <c r="A109" s="323" t="s">
        <v>759</v>
      </c>
      <c r="B109" s="323">
        <v>15</v>
      </c>
      <c r="C109" s="287" t="s">
        <v>760</v>
      </c>
      <c r="D109" s="323" t="s">
        <v>761</v>
      </c>
      <c r="E109" s="323" t="s">
        <v>762</v>
      </c>
      <c r="F109" s="323" t="s">
        <v>763</v>
      </c>
      <c r="G109" s="323" t="s">
        <v>764</v>
      </c>
      <c r="I109" s="323" t="s">
        <v>52</v>
      </c>
      <c r="J109" s="323" t="s">
        <v>765</v>
      </c>
      <c r="K109" s="323" t="s">
        <v>1272</v>
      </c>
      <c r="L109" s="323" t="s">
        <v>766</v>
      </c>
      <c r="M109" s="323" t="s">
        <v>876</v>
      </c>
      <c r="N109" s="323" t="s">
        <v>275</v>
      </c>
      <c r="O109" s="323" t="s">
        <v>265</v>
      </c>
    </row>
    <row r="110" spans="1:15" ht="30">
      <c r="A110" s="323" t="s">
        <v>759</v>
      </c>
      <c r="B110" s="323">
        <v>15</v>
      </c>
      <c r="C110" s="287" t="s">
        <v>760</v>
      </c>
      <c r="D110" s="323" t="s">
        <v>761</v>
      </c>
      <c r="E110" s="323" t="s">
        <v>762</v>
      </c>
      <c r="F110" s="323" t="s">
        <v>767</v>
      </c>
      <c r="G110" s="323" t="s">
        <v>768</v>
      </c>
      <c r="I110" s="323" t="s">
        <v>52</v>
      </c>
      <c r="J110" s="323" t="s">
        <v>769</v>
      </c>
      <c r="K110" s="323" t="s">
        <v>1270</v>
      </c>
      <c r="L110" s="323" t="s">
        <v>263</v>
      </c>
      <c r="M110" s="323" t="s">
        <v>849</v>
      </c>
      <c r="N110" s="323" t="s">
        <v>275</v>
      </c>
      <c r="O110" s="323" t="s">
        <v>265</v>
      </c>
    </row>
    <row r="111" spans="1:15" ht="30">
      <c r="A111" s="323" t="s">
        <v>759</v>
      </c>
      <c r="B111" s="323">
        <v>15</v>
      </c>
      <c r="C111" s="287" t="s">
        <v>760</v>
      </c>
      <c r="D111" s="323" t="s">
        <v>761</v>
      </c>
      <c r="E111" s="323" t="s">
        <v>762</v>
      </c>
      <c r="F111" s="323" t="s">
        <v>767</v>
      </c>
      <c r="G111" s="323" t="s">
        <v>768</v>
      </c>
      <c r="I111" s="323" t="s">
        <v>52</v>
      </c>
      <c r="J111" s="323" t="s">
        <v>770</v>
      </c>
      <c r="K111" s="323" t="s">
        <v>1272</v>
      </c>
      <c r="L111" s="323" t="s">
        <v>766</v>
      </c>
      <c r="M111" s="323" t="s">
        <v>876</v>
      </c>
      <c r="N111" s="323" t="s">
        <v>275</v>
      </c>
      <c r="O111" s="323" t="s">
        <v>265</v>
      </c>
    </row>
    <row r="112" spans="1:15" ht="30">
      <c r="A112" s="323" t="s">
        <v>759</v>
      </c>
      <c r="B112" s="323">
        <v>15</v>
      </c>
      <c r="C112" s="287" t="s">
        <v>760</v>
      </c>
      <c r="D112" s="323" t="s">
        <v>761</v>
      </c>
      <c r="E112" s="323" t="s">
        <v>762</v>
      </c>
      <c r="F112" s="323" t="s">
        <v>774</v>
      </c>
      <c r="G112" s="323" t="s">
        <v>775</v>
      </c>
      <c r="I112" s="323" t="s">
        <v>52</v>
      </c>
      <c r="J112" s="323" t="s">
        <v>776</v>
      </c>
      <c r="K112" s="323" t="s">
        <v>1270</v>
      </c>
      <c r="L112" s="323" t="s">
        <v>766</v>
      </c>
      <c r="M112" s="323" t="s">
        <v>876</v>
      </c>
      <c r="N112" s="323" t="s">
        <v>275</v>
      </c>
      <c r="O112" s="323" t="s">
        <v>265</v>
      </c>
    </row>
    <row r="113" spans="1:15" ht="30">
      <c r="A113" s="323" t="s">
        <v>759</v>
      </c>
      <c r="B113" s="323">
        <v>15</v>
      </c>
      <c r="C113" s="287" t="s">
        <v>760</v>
      </c>
      <c r="D113" s="323" t="s">
        <v>761</v>
      </c>
      <c r="E113" s="323" t="s">
        <v>762</v>
      </c>
      <c r="F113" s="323" t="s">
        <v>774</v>
      </c>
      <c r="G113" s="323" t="s">
        <v>775</v>
      </c>
      <c r="I113" s="323" t="s">
        <v>52</v>
      </c>
      <c r="J113" s="323" t="s">
        <v>779</v>
      </c>
      <c r="K113" s="323" t="s">
        <v>1270</v>
      </c>
      <c r="L113" s="323" t="s">
        <v>780</v>
      </c>
      <c r="M113" s="323" t="s">
        <v>1009</v>
      </c>
      <c r="N113" s="323" t="s">
        <v>275</v>
      </c>
      <c r="O113" s="323" t="s">
        <v>265</v>
      </c>
    </row>
    <row r="114" spans="1:15" ht="30">
      <c r="A114" s="323" t="s">
        <v>759</v>
      </c>
      <c r="B114" s="323">
        <v>15</v>
      </c>
      <c r="C114" s="287" t="s">
        <v>760</v>
      </c>
      <c r="D114" s="323" t="s">
        <v>761</v>
      </c>
      <c r="E114" s="323" t="s">
        <v>762</v>
      </c>
      <c r="F114" s="323" t="s">
        <v>774</v>
      </c>
      <c r="G114" s="323" t="s">
        <v>775</v>
      </c>
      <c r="I114" s="323" t="s">
        <v>52</v>
      </c>
      <c r="J114" s="323" t="s">
        <v>783</v>
      </c>
      <c r="K114" s="323" t="s">
        <v>778</v>
      </c>
      <c r="L114" s="323" t="s">
        <v>263</v>
      </c>
      <c r="M114" s="323" t="s">
        <v>849</v>
      </c>
      <c r="N114" s="323" t="s">
        <v>275</v>
      </c>
      <c r="O114" s="323" t="s">
        <v>265</v>
      </c>
    </row>
    <row r="115" spans="1:15" ht="30">
      <c r="A115" s="323" t="s">
        <v>759</v>
      </c>
      <c r="B115" s="323">
        <v>15</v>
      </c>
      <c r="C115" s="287" t="s">
        <v>760</v>
      </c>
      <c r="D115" s="323" t="s">
        <v>761</v>
      </c>
      <c r="E115" s="323" t="s">
        <v>762</v>
      </c>
      <c r="F115" s="323" t="s">
        <v>774</v>
      </c>
      <c r="G115" s="323" t="s">
        <v>775</v>
      </c>
      <c r="I115" s="323" t="s">
        <v>52</v>
      </c>
      <c r="J115" s="323" t="s">
        <v>784</v>
      </c>
      <c r="K115" s="323" t="s">
        <v>785</v>
      </c>
      <c r="L115" s="323" t="s">
        <v>780</v>
      </c>
      <c r="M115" s="323" t="s">
        <v>1009</v>
      </c>
      <c r="N115" s="323" t="s">
        <v>275</v>
      </c>
      <c r="O115" s="323" t="s">
        <v>265</v>
      </c>
    </row>
    <row r="116" spans="1:15">
      <c r="A116" s="323" t="s">
        <v>759</v>
      </c>
      <c r="B116" s="323">
        <v>16</v>
      </c>
      <c r="C116" s="287" t="s">
        <v>786</v>
      </c>
      <c r="D116" s="323" t="s">
        <v>787</v>
      </c>
      <c r="E116" s="323" t="s">
        <v>788</v>
      </c>
      <c r="F116" s="323" t="s">
        <v>789</v>
      </c>
      <c r="G116" s="323" t="s">
        <v>791</v>
      </c>
      <c r="I116" s="323" t="s">
        <v>52</v>
      </c>
      <c r="J116" s="323" t="s">
        <v>792</v>
      </c>
      <c r="K116" s="323" t="s">
        <v>778</v>
      </c>
      <c r="L116" s="323" t="s">
        <v>263</v>
      </c>
      <c r="M116" s="323" t="s">
        <v>849</v>
      </c>
      <c r="N116" s="323" t="s">
        <v>275</v>
      </c>
      <c r="O116" s="323" t="s">
        <v>265</v>
      </c>
    </row>
    <row r="117" spans="1:15">
      <c r="A117" s="323" t="s">
        <v>759</v>
      </c>
      <c r="B117" s="323">
        <v>16</v>
      </c>
      <c r="C117" s="287" t="s">
        <v>786</v>
      </c>
      <c r="D117" s="323" t="s">
        <v>787</v>
      </c>
      <c r="E117" s="323" t="s">
        <v>788</v>
      </c>
      <c r="F117" s="323" t="s">
        <v>789</v>
      </c>
      <c r="G117" s="323" t="s">
        <v>791</v>
      </c>
      <c r="I117" s="323" t="s">
        <v>52</v>
      </c>
      <c r="J117" s="323" t="s">
        <v>793</v>
      </c>
      <c r="K117" s="323" t="s">
        <v>785</v>
      </c>
      <c r="L117" s="323" t="s">
        <v>766</v>
      </c>
      <c r="M117" s="323" t="s">
        <v>876</v>
      </c>
      <c r="N117" s="323" t="s">
        <v>275</v>
      </c>
      <c r="O117" s="323" t="s">
        <v>265</v>
      </c>
    </row>
    <row r="118" spans="1:15">
      <c r="A118" s="323" t="s">
        <v>759</v>
      </c>
      <c r="B118" s="323">
        <v>16</v>
      </c>
      <c r="C118" s="287" t="s">
        <v>786</v>
      </c>
      <c r="D118" s="323" t="s">
        <v>787</v>
      </c>
      <c r="E118" s="323" t="s">
        <v>788</v>
      </c>
      <c r="F118" s="323" t="s">
        <v>789</v>
      </c>
      <c r="G118" s="323" t="s">
        <v>791</v>
      </c>
      <c r="I118" s="323" t="s">
        <v>52</v>
      </c>
      <c r="J118" s="323" t="s">
        <v>794</v>
      </c>
      <c r="K118" s="323" t="s">
        <v>1270</v>
      </c>
      <c r="L118" s="323" t="s">
        <v>286</v>
      </c>
      <c r="M118" s="323" t="s">
        <v>1017</v>
      </c>
      <c r="N118" s="323" t="s">
        <v>275</v>
      </c>
      <c r="O118" s="323" t="s">
        <v>265</v>
      </c>
    </row>
    <row r="119" spans="1:15">
      <c r="A119" s="323" t="s">
        <v>759</v>
      </c>
      <c r="B119" s="323">
        <v>16</v>
      </c>
      <c r="C119" s="287" t="s">
        <v>786</v>
      </c>
      <c r="D119" s="323" t="s">
        <v>787</v>
      </c>
      <c r="E119" s="323" t="s">
        <v>788</v>
      </c>
      <c r="F119" s="323" t="s">
        <v>789</v>
      </c>
      <c r="G119" s="323" t="s">
        <v>791</v>
      </c>
      <c r="I119" s="323" t="s">
        <v>52</v>
      </c>
      <c r="J119" s="323" t="s">
        <v>795</v>
      </c>
      <c r="K119" s="323" t="s">
        <v>1270</v>
      </c>
      <c r="L119" s="323" t="s">
        <v>286</v>
      </c>
      <c r="M119" s="323" t="s">
        <v>1017</v>
      </c>
      <c r="N119" s="323" t="s">
        <v>264</v>
      </c>
      <c r="O119" s="323" t="s">
        <v>796</v>
      </c>
    </row>
    <row r="120" spans="1:15">
      <c r="A120" s="323" t="s">
        <v>759</v>
      </c>
      <c r="B120" s="323">
        <v>16</v>
      </c>
      <c r="C120" s="287" t="s">
        <v>786</v>
      </c>
      <c r="D120" s="323" t="s">
        <v>787</v>
      </c>
      <c r="E120" s="323" t="s">
        <v>788</v>
      </c>
      <c r="F120" s="323" t="s">
        <v>789</v>
      </c>
      <c r="G120" s="323" t="s">
        <v>791</v>
      </c>
      <c r="I120" s="323" t="s">
        <v>52</v>
      </c>
      <c r="J120" s="323" t="s">
        <v>797</v>
      </c>
      <c r="K120" s="323" t="s">
        <v>1270</v>
      </c>
      <c r="L120" s="323" t="s">
        <v>286</v>
      </c>
      <c r="M120" s="323" t="s">
        <v>1017</v>
      </c>
      <c r="N120" s="323" t="s">
        <v>275</v>
      </c>
      <c r="O120" s="323" t="s">
        <v>265</v>
      </c>
    </row>
    <row r="121" spans="1:15">
      <c r="A121" s="323" t="s">
        <v>759</v>
      </c>
      <c r="B121" s="323">
        <v>16</v>
      </c>
      <c r="C121" s="287" t="s">
        <v>786</v>
      </c>
      <c r="D121" s="323" t="s">
        <v>787</v>
      </c>
      <c r="E121" s="323" t="s">
        <v>788</v>
      </c>
      <c r="F121" s="323" t="s">
        <v>789</v>
      </c>
      <c r="G121" s="323" t="s">
        <v>791</v>
      </c>
      <c r="I121" s="323" t="s">
        <v>52</v>
      </c>
      <c r="J121" s="323" t="s">
        <v>798</v>
      </c>
      <c r="K121" s="323" t="s">
        <v>1270</v>
      </c>
      <c r="L121" s="323" t="s">
        <v>780</v>
      </c>
      <c r="M121" s="323" t="s">
        <v>1009</v>
      </c>
      <c r="N121" s="323" t="s">
        <v>275</v>
      </c>
      <c r="O121" s="323" t="s">
        <v>265</v>
      </c>
    </row>
    <row r="122" spans="1:15">
      <c r="A122" s="323" t="s">
        <v>759</v>
      </c>
      <c r="B122" s="323">
        <v>16</v>
      </c>
      <c r="C122" s="287" t="s">
        <v>786</v>
      </c>
      <c r="D122" s="323" t="s">
        <v>787</v>
      </c>
      <c r="E122" s="323" t="s">
        <v>788</v>
      </c>
      <c r="F122" s="323" t="s">
        <v>789</v>
      </c>
      <c r="G122" s="323" t="s">
        <v>791</v>
      </c>
      <c r="I122" s="323" t="s">
        <v>52</v>
      </c>
      <c r="J122" s="323" t="s">
        <v>799</v>
      </c>
      <c r="K122" s="323" t="s">
        <v>1270</v>
      </c>
      <c r="L122" s="323" t="s">
        <v>286</v>
      </c>
      <c r="M122" s="323" t="s">
        <v>1017</v>
      </c>
      <c r="O122" s="323" t="s">
        <v>265</v>
      </c>
    </row>
    <row r="123" spans="1:15">
      <c r="A123" s="323" t="s">
        <v>759</v>
      </c>
      <c r="B123" s="323">
        <v>16</v>
      </c>
      <c r="C123" s="287" t="s">
        <v>786</v>
      </c>
      <c r="D123" s="323" t="s">
        <v>787</v>
      </c>
      <c r="E123" s="323" t="s">
        <v>788</v>
      </c>
      <c r="F123" s="323" t="s">
        <v>789</v>
      </c>
      <c r="G123" s="323" t="s">
        <v>791</v>
      </c>
      <c r="I123" s="323" t="s">
        <v>52</v>
      </c>
      <c r="J123" s="323" t="s">
        <v>800</v>
      </c>
      <c r="K123" s="323" t="s">
        <v>1270</v>
      </c>
      <c r="L123" s="323" t="s">
        <v>780</v>
      </c>
      <c r="M123" s="323" t="s">
        <v>1009</v>
      </c>
      <c r="N123" s="323" t="s">
        <v>275</v>
      </c>
      <c r="O123" s="323" t="s">
        <v>265</v>
      </c>
    </row>
    <row r="124" spans="1:15">
      <c r="A124" s="323" t="s">
        <v>759</v>
      </c>
      <c r="B124" s="323">
        <v>16</v>
      </c>
      <c r="C124" s="287" t="s">
        <v>786</v>
      </c>
      <c r="D124" s="323" t="s">
        <v>787</v>
      </c>
      <c r="E124" s="323" t="s">
        <v>788</v>
      </c>
      <c r="F124" s="323" t="s">
        <v>789</v>
      </c>
      <c r="G124" s="323" t="s">
        <v>801</v>
      </c>
      <c r="I124" s="323" t="s">
        <v>52</v>
      </c>
      <c r="J124" s="323" t="s">
        <v>802</v>
      </c>
      <c r="K124" s="323" t="s">
        <v>291</v>
      </c>
      <c r="L124" s="323" t="s">
        <v>263</v>
      </c>
      <c r="M124" s="323" t="s">
        <v>849</v>
      </c>
      <c r="N124" s="323" t="s">
        <v>275</v>
      </c>
      <c r="O124" s="323" t="s">
        <v>265</v>
      </c>
    </row>
    <row r="125" spans="1:15">
      <c r="A125" s="323" t="s">
        <v>759</v>
      </c>
      <c r="B125" s="323">
        <v>16</v>
      </c>
      <c r="C125" s="287" t="s">
        <v>786</v>
      </c>
      <c r="D125" s="323" t="s">
        <v>803</v>
      </c>
      <c r="E125" s="323" t="s">
        <v>804</v>
      </c>
      <c r="F125" s="323" t="s">
        <v>805</v>
      </c>
      <c r="G125" s="323" t="s">
        <v>807</v>
      </c>
      <c r="H125" s="323" t="s">
        <v>808</v>
      </c>
      <c r="I125" s="323" t="s">
        <v>52</v>
      </c>
      <c r="J125" s="323" t="s">
        <v>809</v>
      </c>
      <c r="K125" s="323" t="s">
        <v>291</v>
      </c>
      <c r="L125" s="323" t="s">
        <v>263</v>
      </c>
      <c r="M125" s="323" t="s">
        <v>849</v>
      </c>
      <c r="N125" s="323" t="s">
        <v>275</v>
      </c>
      <c r="O125" s="323" t="s">
        <v>265</v>
      </c>
    </row>
    <row r="126" spans="1:15">
      <c r="A126" s="323" t="s">
        <v>759</v>
      </c>
      <c r="B126" s="323">
        <v>16</v>
      </c>
      <c r="C126" s="287" t="s">
        <v>786</v>
      </c>
      <c r="D126" s="323" t="s">
        <v>803</v>
      </c>
      <c r="E126" s="323" t="s">
        <v>804</v>
      </c>
      <c r="F126" s="323" t="s">
        <v>805</v>
      </c>
      <c r="G126" s="323" t="s">
        <v>807</v>
      </c>
      <c r="H126" s="323" t="s">
        <v>808</v>
      </c>
      <c r="I126" s="323" t="s">
        <v>52</v>
      </c>
      <c r="J126" s="323" t="s">
        <v>811</v>
      </c>
      <c r="K126" s="323" t="s">
        <v>812</v>
      </c>
      <c r="L126" s="323" t="s">
        <v>813</v>
      </c>
      <c r="M126" s="323" t="s">
        <v>1015</v>
      </c>
      <c r="N126" s="323" t="s">
        <v>275</v>
      </c>
      <c r="O126" s="323" t="s">
        <v>265</v>
      </c>
    </row>
    <row r="127" spans="1:15">
      <c r="A127" s="323" t="s">
        <v>759</v>
      </c>
      <c r="B127" s="323">
        <v>16</v>
      </c>
      <c r="C127" s="287" t="s">
        <v>786</v>
      </c>
      <c r="D127" s="323" t="s">
        <v>803</v>
      </c>
      <c r="E127" s="323" t="s">
        <v>804</v>
      </c>
      <c r="F127" s="323" t="s">
        <v>805</v>
      </c>
      <c r="G127" s="323" t="s">
        <v>807</v>
      </c>
      <c r="I127" s="323" t="s">
        <v>52</v>
      </c>
      <c r="J127" s="323" t="s">
        <v>814</v>
      </c>
      <c r="K127" s="323" t="s">
        <v>1270</v>
      </c>
      <c r="L127" s="323" t="s">
        <v>815</v>
      </c>
      <c r="M127" s="323" t="s">
        <v>857</v>
      </c>
      <c r="N127" s="323" t="s">
        <v>275</v>
      </c>
      <c r="O127" s="323" t="s">
        <v>265</v>
      </c>
    </row>
    <row r="128" spans="1:15">
      <c r="A128" s="323" t="s">
        <v>759</v>
      </c>
      <c r="B128" s="323">
        <v>16</v>
      </c>
      <c r="C128" s="287" t="s">
        <v>786</v>
      </c>
      <c r="D128" s="323" t="s">
        <v>803</v>
      </c>
      <c r="E128" s="323" t="s">
        <v>804</v>
      </c>
      <c r="F128" s="323" t="s">
        <v>816</v>
      </c>
      <c r="G128" s="323" t="s">
        <v>817</v>
      </c>
      <c r="I128" s="323" t="s">
        <v>52</v>
      </c>
      <c r="J128" s="323" t="s">
        <v>1254</v>
      </c>
      <c r="K128" s="323" t="s">
        <v>1270</v>
      </c>
      <c r="L128" s="323" t="s">
        <v>263</v>
      </c>
      <c r="M128" s="323" t="s">
        <v>849</v>
      </c>
      <c r="N128" s="323" t="s">
        <v>275</v>
      </c>
      <c r="O128" s="323" t="s">
        <v>265</v>
      </c>
    </row>
    <row r="129" spans="1:15">
      <c r="A129" s="323" t="s">
        <v>759</v>
      </c>
      <c r="B129" s="323">
        <v>16</v>
      </c>
      <c r="C129" s="287" t="s">
        <v>786</v>
      </c>
      <c r="D129" s="323" t="s">
        <v>803</v>
      </c>
      <c r="E129" s="323" t="s">
        <v>804</v>
      </c>
      <c r="F129" s="323" t="s">
        <v>816</v>
      </c>
      <c r="G129" s="323" t="s">
        <v>817</v>
      </c>
      <c r="I129" s="323" t="s">
        <v>52</v>
      </c>
      <c r="J129" s="323" t="s">
        <v>1255</v>
      </c>
      <c r="K129" s="323" t="s">
        <v>291</v>
      </c>
      <c r="L129" s="323" t="s">
        <v>263</v>
      </c>
      <c r="M129" s="323" t="s">
        <v>849</v>
      </c>
      <c r="N129" s="323" t="s">
        <v>275</v>
      </c>
      <c r="O129" s="323" t="s">
        <v>265</v>
      </c>
    </row>
    <row r="130" spans="1:15">
      <c r="A130" s="323" t="s">
        <v>759</v>
      </c>
      <c r="B130" s="323">
        <v>16</v>
      </c>
      <c r="C130" s="287" t="s">
        <v>786</v>
      </c>
      <c r="D130" s="323" t="s">
        <v>803</v>
      </c>
      <c r="E130" s="323" t="s">
        <v>804</v>
      </c>
      <c r="F130" s="323" t="s">
        <v>818</v>
      </c>
      <c r="G130" s="323" t="s">
        <v>819</v>
      </c>
      <c r="I130" s="323" t="s">
        <v>52</v>
      </c>
      <c r="J130" s="323" t="s">
        <v>1256</v>
      </c>
      <c r="K130" s="323" t="s">
        <v>1270</v>
      </c>
      <c r="L130" s="323" t="s">
        <v>815</v>
      </c>
      <c r="M130" s="323" t="s">
        <v>857</v>
      </c>
      <c r="N130" s="323" t="s">
        <v>275</v>
      </c>
      <c r="O130" s="323" t="s">
        <v>265</v>
      </c>
    </row>
    <row r="131" spans="1:15">
      <c r="A131" s="323" t="s">
        <v>759</v>
      </c>
      <c r="B131" s="323">
        <v>16</v>
      </c>
      <c r="C131" s="287" t="s">
        <v>786</v>
      </c>
      <c r="D131" s="323" t="s">
        <v>803</v>
      </c>
      <c r="E131" s="323" t="s">
        <v>804</v>
      </c>
      <c r="F131" s="323" t="s">
        <v>818</v>
      </c>
      <c r="G131" s="323" t="s">
        <v>819</v>
      </c>
      <c r="I131" s="323" t="s">
        <v>52</v>
      </c>
      <c r="J131" s="323" t="s">
        <v>1257</v>
      </c>
      <c r="K131" s="323" t="s">
        <v>821</v>
      </c>
      <c r="L131" s="323" t="s">
        <v>263</v>
      </c>
      <c r="M131" s="323" t="s">
        <v>849</v>
      </c>
      <c r="N131" s="323" t="s">
        <v>275</v>
      </c>
      <c r="O131" s="323" t="s">
        <v>265</v>
      </c>
    </row>
    <row r="132" spans="1:15">
      <c r="A132" s="323" t="s">
        <v>759</v>
      </c>
      <c r="B132" s="323">
        <v>16</v>
      </c>
      <c r="C132" s="287" t="s">
        <v>786</v>
      </c>
      <c r="D132" s="323" t="s">
        <v>803</v>
      </c>
      <c r="E132" s="323" t="s">
        <v>804</v>
      </c>
      <c r="F132" s="323" t="s">
        <v>818</v>
      </c>
      <c r="G132" s="323" t="s">
        <v>819</v>
      </c>
      <c r="I132" s="323" t="s">
        <v>52</v>
      </c>
      <c r="J132" s="323" t="s">
        <v>822</v>
      </c>
      <c r="K132" s="323" t="s">
        <v>1156</v>
      </c>
      <c r="L132" s="323" t="s">
        <v>263</v>
      </c>
      <c r="M132" s="323" t="s">
        <v>849</v>
      </c>
      <c r="N132" s="323" t="s">
        <v>275</v>
      </c>
      <c r="O132" s="323" t="s">
        <v>265</v>
      </c>
    </row>
    <row r="133" spans="1:15">
      <c r="A133" s="323" t="s">
        <v>759</v>
      </c>
      <c r="B133" s="323">
        <v>16</v>
      </c>
      <c r="C133" s="287" t="s">
        <v>786</v>
      </c>
      <c r="D133" s="323" t="s">
        <v>803</v>
      </c>
      <c r="E133" s="323" t="s">
        <v>824</v>
      </c>
      <c r="F133" s="323" t="s">
        <v>829</v>
      </c>
      <c r="G133" s="323" t="s">
        <v>834</v>
      </c>
      <c r="I133" s="323" t="s">
        <v>52</v>
      </c>
      <c r="J133" s="323" t="s">
        <v>1274</v>
      </c>
      <c r="K133" s="323" t="s">
        <v>1270</v>
      </c>
      <c r="L133" s="323" t="s">
        <v>835</v>
      </c>
      <c r="M133" s="323" t="s">
        <v>1189</v>
      </c>
      <c r="N133" s="323" t="s">
        <v>275</v>
      </c>
      <c r="O133" s="323" t="s">
        <v>265</v>
      </c>
    </row>
    <row r="134" spans="1:15">
      <c r="A134" s="323" t="s">
        <v>759</v>
      </c>
      <c r="B134" s="323">
        <v>16</v>
      </c>
      <c r="C134" s="287" t="s">
        <v>786</v>
      </c>
      <c r="D134" s="323" t="s">
        <v>823</v>
      </c>
      <c r="E134" s="323" t="s">
        <v>824</v>
      </c>
      <c r="F134" s="323" t="s">
        <v>825</v>
      </c>
      <c r="G134" s="323" t="s">
        <v>826</v>
      </c>
      <c r="I134" s="323" t="s">
        <v>52</v>
      </c>
      <c r="J134" s="323" t="s">
        <v>827</v>
      </c>
      <c r="K134" s="323" t="s">
        <v>828</v>
      </c>
      <c r="L134" s="323" t="s">
        <v>815</v>
      </c>
      <c r="M134" s="323" t="s">
        <v>857</v>
      </c>
      <c r="N134" s="323" t="s">
        <v>275</v>
      </c>
      <c r="O134" s="323" t="s">
        <v>265</v>
      </c>
    </row>
    <row r="135" spans="1:15">
      <c r="A135" s="323" t="s">
        <v>759</v>
      </c>
      <c r="B135" s="323">
        <v>16</v>
      </c>
      <c r="C135" s="287" t="s">
        <v>786</v>
      </c>
      <c r="D135" s="323" t="s">
        <v>823</v>
      </c>
      <c r="E135" s="323" t="s">
        <v>824</v>
      </c>
      <c r="F135" s="323" t="s">
        <v>825</v>
      </c>
      <c r="G135" s="323" t="s">
        <v>826</v>
      </c>
      <c r="I135" s="323" t="s">
        <v>52</v>
      </c>
      <c r="J135" s="323" t="s">
        <v>830</v>
      </c>
      <c r="K135" s="323" t="s">
        <v>831</v>
      </c>
      <c r="L135" s="323" t="s">
        <v>263</v>
      </c>
      <c r="M135" s="323" t="s">
        <v>849</v>
      </c>
      <c r="N135" s="323" t="s">
        <v>275</v>
      </c>
      <c r="O135" s="323" t="s">
        <v>265</v>
      </c>
    </row>
    <row r="136" spans="1:15">
      <c r="A136" s="323" t="s">
        <v>759</v>
      </c>
      <c r="B136" s="323">
        <v>16</v>
      </c>
      <c r="C136" s="287" t="s">
        <v>786</v>
      </c>
      <c r="D136" s="323" t="s">
        <v>823</v>
      </c>
      <c r="E136" s="323" t="s">
        <v>824</v>
      </c>
      <c r="F136" s="323" t="s">
        <v>825</v>
      </c>
      <c r="G136" s="323" t="s">
        <v>826</v>
      </c>
      <c r="H136" s="323" t="s">
        <v>832</v>
      </c>
      <c r="I136" s="323" t="s">
        <v>52</v>
      </c>
      <c r="J136" s="323" t="s">
        <v>1258</v>
      </c>
      <c r="K136" s="323" t="s">
        <v>833</v>
      </c>
      <c r="L136" s="323" t="s">
        <v>263</v>
      </c>
      <c r="M136" s="323" t="s">
        <v>849</v>
      </c>
      <c r="N136" s="323" t="s">
        <v>275</v>
      </c>
      <c r="O136" s="323" t="s">
        <v>265</v>
      </c>
    </row>
    <row r="137" spans="1:15">
      <c r="A137" s="323" t="s">
        <v>759</v>
      </c>
      <c r="B137" s="323">
        <v>16</v>
      </c>
      <c r="C137" s="287" t="s">
        <v>786</v>
      </c>
      <c r="D137" s="323" t="s">
        <v>823</v>
      </c>
      <c r="E137" s="323" t="s">
        <v>824</v>
      </c>
      <c r="F137" s="323" t="s">
        <v>829</v>
      </c>
      <c r="G137" s="323" t="s">
        <v>836</v>
      </c>
      <c r="I137" s="323" t="s">
        <v>52</v>
      </c>
      <c r="J137" s="323" t="s">
        <v>837</v>
      </c>
      <c r="K137" s="323" t="s">
        <v>1270</v>
      </c>
      <c r="L137" s="323" t="s">
        <v>815</v>
      </c>
      <c r="M137" s="323" t="s">
        <v>857</v>
      </c>
      <c r="N137" s="323" t="s">
        <v>275</v>
      </c>
      <c r="O137" s="323" t="s">
        <v>265</v>
      </c>
    </row>
    <row r="138" spans="1:15">
      <c r="A138" s="323" t="s">
        <v>759</v>
      </c>
      <c r="B138" s="323">
        <v>16</v>
      </c>
      <c r="C138" s="287" t="s">
        <v>786</v>
      </c>
      <c r="D138" s="323" t="s">
        <v>823</v>
      </c>
      <c r="E138" s="323" t="s">
        <v>824</v>
      </c>
      <c r="F138" s="323" t="s">
        <v>839</v>
      </c>
      <c r="G138" s="323" t="s">
        <v>840</v>
      </c>
      <c r="I138" s="323" t="s">
        <v>52</v>
      </c>
      <c r="J138" s="323" t="s">
        <v>1157</v>
      </c>
      <c r="K138" s="323" t="s">
        <v>841</v>
      </c>
      <c r="L138" s="323" t="s">
        <v>766</v>
      </c>
      <c r="M138" s="323" t="s">
        <v>876</v>
      </c>
      <c r="N138" s="323" t="s">
        <v>264</v>
      </c>
      <c r="O138" s="323" t="s">
        <v>265</v>
      </c>
    </row>
    <row r="139" spans="1:15">
      <c r="A139" s="323" t="s">
        <v>759</v>
      </c>
      <c r="B139" s="323">
        <v>16</v>
      </c>
      <c r="C139" s="287" t="s">
        <v>786</v>
      </c>
      <c r="D139" s="323" t="s">
        <v>823</v>
      </c>
      <c r="E139" s="323" t="s">
        <v>824</v>
      </c>
      <c r="F139" s="323" t="s">
        <v>842</v>
      </c>
      <c r="G139" s="323" t="s">
        <v>843</v>
      </c>
      <c r="I139" s="323" t="s">
        <v>52</v>
      </c>
      <c r="J139" s="323" t="s">
        <v>1259</v>
      </c>
      <c r="K139" s="323" t="s">
        <v>1270</v>
      </c>
      <c r="L139" s="323" t="s">
        <v>815</v>
      </c>
      <c r="M139" s="323" t="s">
        <v>857</v>
      </c>
      <c r="N139" s="323" t="s">
        <v>275</v>
      </c>
      <c r="O139" s="323" t="s">
        <v>265</v>
      </c>
    </row>
    <row r="140" spans="1:15">
      <c r="A140" s="323" t="s">
        <v>759</v>
      </c>
      <c r="B140" s="323">
        <v>16</v>
      </c>
      <c r="C140" s="287" t="s">
        <v>786</v>
      </c>
      <c r="D140" s="323" t="s">
        <v>823</v>
      </c>
      <c r="E140" s="323" t="s">
        <v>824</v>
      </c>
      <c r="F140" s="323" t="s">
        <v>842</v>
      </c>
      <c r="G140" s="323" t="s">
        <v>843</v>
      </c>
      <c r="I140" s="323" t="s">
        <v>52</v>
      </c>
      <c r="J140" s="323" t="s">
        <v>1260</v>
      </c>
      <c r="K140" s="323" t="s">
        <v>844</v>
      </c>
      <c r="L140" s="323" t="s">
        <v>815</v>
      </c>
      <c r="M140" s="323" t="s">
        <v>857</v>
      </c>
      <c r="N140" s="323" t="s">
        <v>275</v>
      </c>
      <c r="O140" s="323" t="s">
        <v>265</v>
      </c>
    </row>
    <row r="141" spans="1:15">
      <c r="A141" s="323" t="s">
        <v>759</v>
      </c>
      <c r="B141" s="323">
        <v>16</v>
      </c>
      <c r="C141" s="287" t="s">
        <v>786</v>
      </c>
      <c r="D141" s="323" t="s">
        <v>823</v>
      </c>
      <c r="E141" s="323" t="s">
        <v>824</v>
      </c>
      <c r="F141" s="323" t="s">
        <v>845</v>
      </c>
      <c r="G141" s="323" t="s">
        <v>846</v>
      </c>
      <c r="I141" s="323" t="s">
        <v>52</v>
      </c>
      <c r="J141" s="323" t="s">
        <v>847</v>
      </c>
      <c r="K141" s="323" t="s">
        <v>1270</v>
      </c>
      <c r="L141" s="323" t="s">
        <v>815</v>
      </c>
      <c r="M141" s="323" t="s">
        <v>857</v>
      </c>
      <c r="N141" s="323" t="s">
        <v>264</v>
      </c>
      <c r="O141" s="323" t="s">
        <v>265</v>
      </c>
    </row>
    <row r="142" spans="1:15">
      <c r="A142" s="323" t="s">
        <v>759</v>
      </c>
      <c r="B142" s="323">
        <v>16</v>
      </c>
      <c r="C142" s="287" t="s">
        <v>786</v>
      </c>
      <c r="D142" s="323" t="s">
        <v>850</v>
      </c>
      <c r="E142" s="323" t="s">
        <v>851</v>
      </c>
      <c r="F142" s="323" t="s">
        <v>852</v>
      </c>
      <c r="G142" s="323" t="s">
        <v>854</v>
      </c>
      <c r="I142" s="323" t="s">
        <v>52</v>
      </c>
      <c r="J142" s="323" t="s">
        <v>855</v>
      </c>
      <c r="K142" s="323" t="s">
        <v>1270</v>
      </c>
      <c r="L142" s="323" t="s">
        <v>815</v>
      </c>
      <c r="M142" s="323" t="s">
        <v>857</v>
      </c>
      <c r="N142" s="323" t="s">
        <v>275</v>
      </c>
      <c r="O142" s="323" t="s">
        <v>265</v>
      </c>
    </row>
    <row r="143" spans="1:15">
      <c r="A143" s="323" t="s">
        <v>759</v>
      </c>
      <c r="B143" s="323">
        <v>16</v>
      </c>
      <c r="C143" s="287" t="s">
        <v>786</v>
      </c>
      <c r="D143" s="323" t="s">
        <v>850</v>
      </c>
      <c r="E143" s="323" t="s">
        <v>851</v>
      </c>
      <c r="F143" s="323" t="s">
        <v>861</v>
      </c>
      <c r="G143" s="323" t="s">
        <v>863</v>
      </c>
      <c r="I143" s="323" t="s">
        <v>52</v>
      </c>
      <c r="J143" s="323" t="s">
        <v>1261</v>
      </c>
      <c r="K143" s="323" t="s">
        <v>1270</v>
      </c>
      <c r="L143" s="323" t="s">
        <v>815</v>
      </c>
      <c r="M143" s="323" t="s">
        <v>857</v>
      </c>
      <c r="N143" s="323" t="s">
        <v>275</v>
      </c>
      <c r="O143" s="323" t="s">
        <v>265</v>
      </c>
    </row>
    <row r="144" spans="1:15">
      <c r="A144" s="323" t="s">
        <v>759</v>
      </c>
      <c r="B144" s="323">
        <v>16</v>
      </c>
      <c r="C144" s="287" t="s">
        <v>786</v>
      </c>
      <c r="D144" s="323" t="s">
        <v>858</v>
      </c>
      <c r="E144" s="323" t="s">
        <v>851</v>
      </c>
      <c r="F144" s="323" t="s">
        <v>852</v>
      </c>
      <c r="G144" s="323" t="s">
        <v>854</v>
      </c>
      <c r="I144" s="323" t="s">
        <v>52</v>
      </c>
      <c r="J144" s="323" t="s">
        <v>859</v>
      </c>
      <c r="K144" s="323" t="s">
        <v>1270</v>
      </c>
      <c r="L144" s="323" t="s">
        <v>835</v>
      </c>
      <c r="M144" s="323" t="s">
        <v>1189</v>
      </c>
      <c r="N144" s="323" t="s">
        <v>275</v>
      </c>
      <c r="O144" s="323" t="s">
        <v>265</v>
      </c>
    </row>
    <row r="145" spans="1:15">
      <c r="A145" s="323" t="s">
        <v>759</v>
      </c>
      <c r="B145" s="323">
        <v>16</v>
      </c>
      <c r="C145" s="287" t="s">
        <v>786</v>
      </c>
      <c r="D145" s="323" t="s">
        <v>865</v>
      </c>
      <c r="E145" s="323" t="s">
        <v>866</v>
      </c>
      <c r="F145" s="323" t="s">
        <v>1147</v>
      </c>
      <c r="G145" s="323" t="s">
        <v>868</v>
      </c>
      <c r="I145" s="323" t="s">
        <v>52</v>
      </c>
      <c r="J145" s="323" t="s">
        <v>1262</v>
      </c>
      <c r="K145" s="323" t="s">
        <v>1270</v>
      </c>
      <c r="L145" s="323" t="s">
        <v>815</v>
      </c>
      <c r="M145" s="323" t="s">
        <v>857</v>
      </c>
      <c r="N145" s="323" t="s">
        <v>275</v>
      </c>
      <c r="O145" s="323" t="s">
        <v>265</v>
      </c>
    </row>
    <row r="146" spans="1:15">
      <c r="A146" s="323" t="s">
        <v>759</v>
      </c>
      <c r="B146" s="323">
        <v>16</v>
      </c>
      <c r="C146" s="287" t="s">
        <v>786</v>
      </c>
      <c r="D146" s="323" t="s">
        <v>865</v>
      </c>
      <c r="E146" s="323" t="s">
        <v>866</v>
      </c>
      <c r="F146" s="323" t="s">
        <v>1147</v>
      </c>
      <c r="G146" s="323" t="s">
        <v>868</v>
      </c>
      <c r="I146" s="323" t="s">
        <v>52</v>
      </c>
      <c r="J146" s="323" t="s">
        <v>1263</v>
      </c>
      <c r="K146" s="323" t="s">
        <v>1270</v>
      </c>
      <c r="L146" s="323" t="s">
        <v>815</v>
      </c>
      <c r="M146" s="323" t="s">
        <v>857</v>
      </c>
      <c r="N146" s="323" t="s">
        <v>275</v>
      </c>
      <c r="O146" s="323" t="s">
        <v>265</v>
      </c>
    </row>
    <row r="147" spans="1:15">
      <c r="A147" s="323" t="s">
        <v>759</v>
      </c>
      <c r="B147" s="323">
        <v>16</v>
      </c>
      <c r="C147" s="287" t="s">
        <v>786</v>
      </c>
      <c r="D147" s="323" t="s">
        <v>865</v>
      </c>
      <c r="E147" s="323" t="s">
        <v>866</v>
      </c>
      <c r="F147" s="323" t="s">
        <v>1147</v>
      </c>
      <c r="G147" s="323" t="s">
        <v>868</v>
      </c>
      <c r="I147" s="323" t="s">
        <v>52</v>
      </c>
      <c r="J147" s="323" t="s">
        <v>1264</v>
      </c>
      <c r="K147" s="323" t="s">
        <v>1270</v>
      </c>
      <c r="L147" s="323" t="s">
        <v>263</v>
      </c>
      <c r="M147" s="323" t="s">
        <v>849</v>
      </c>
      <c r="N147" s="323" t="s">
        <v>275</v>
      </c>
      <c r="O147" s="323" t="s">
        <v>265</v>
      </c>
    </row>
    <row r="148" spans="1:15">
      <c r="A148" s="323" t="s">
        <v>759</v>
      </c>
      <c r="B148" s="323">
        <v>16</v>
      </c>
      <c r="C148" s="287" t="s">
        <v>786</v>
      </c>
      <c r="D148" s="323" t="s">
        <v>865</v>
      </c>
      <c r="E148" s="323" t="s">
        <v>869</v>
      </c>
      <c r="F148" s="323" t="s">
        <v>870</v>
      </c>
      <c r="G148" s="323" t="s">
        <v>871</v>
      </c>
      <c r="I148" s="323" t="s">
        <v>52</v>
      </c>
      <c r="J148" s="323" t="s">
        <v>1265</v>
      </c>
      <c r="K148" s="323" t="s">
        <v>1270</v>
      </c>
      <c r="L148" s="323" t="s">
        <v>263</v>
      </c>
      <c r="M148" s="323" t="s">
        <v>849</v>
      </c>
      <c r="N148" s="323" t="s">
        <v>264</v>
      </c>
      <c r="O148" s="323" t="s">
        <v>265</v>
      </c>
    </row>
    <row r="149" spans="1:15">
      <c r="A149" s="323" t="s">
        <v>759</v>
      </c>
      <c r="B149" s="323">
        <v>16</v>
      </c>
      <c r="C149" s="287" t="s">
        <v>786</v>
      </c>
      <c r="D149" s="323" t="s">
        <v>865</v>
      </c>
      <c r="E149" s="323" t="s">
        <v>869</v>
      </c>
      <c r="F149" s="323" t="s">
        <v>870</v>
      </c>
      <c r="G149" s="323" t="s">
        <v>871</v>
      </c>
      <c r="I149" s="323" t="s">
        <v>52</v>
      </c>
      <c r="J149" s="323" t="s">
        <v>1266</v>
      </c>
      <c r="K149" s="323" t="s">
        <v>1270</v>
      </c>
      <c r="L149" s="323" t="s">
        <v>263</v>
      </c>
      <c r="M149" s="323" t="s">
        <v>849</v>
      </c>
      <c r="N149" s="323" t="s">
        <v>264</v>
      </c>
      <c r="O149" s="323" t="s">
        <v>265</v>
      </c>
    </row>
    <row r="150" spans="1:15">
      <c r="A150" s="323" t="s">
        <v>759</v>
      </c>
      <c r="B150" s="323">
        <v>16</v>
      </c>
      <c r="C150" s="287" t="s">
        <v>786</v>
      </c>
      <c r="D150" s="323" t="s">
        <v>865</v>
      </c>
      <c r="E150" s="323" t="s">
        <v>869</v>
      </c>
      <c r="F150" s="323" t="s">
        <v>872</v>
      </c>
      <c r="G150" s="323" t="s">
        <v>873</v>
      </c>
      <c r="I150" s="323" t="s">
        <v>52</v>
      </c>
      <c r="J150" s="323" t="s">
        <v>874</v>
      </c>
      <c r="K150" s="323" t="s">
        <v>1270</v>
      </c>
      <c r="L150" s="323" t="s">
        <v>766</v>
      </c>
      <c r="M150" s="323" t="s">
        <v>876</v>
      </c>
      <c r="N150" s="323" t="s">
        <v>275</v>
      </c>
      <c r="O150" s="323" t="s">
        <v>265</v>
      </c>
    </row>
    <row r="151" spans="1:15">
      <c r="A151" s="323" t="s">
        <v>759</v>
      </c>
      <c r="B151" s="323">
        <v>16</v>
      </c>
      <c r="C151" s="287" t="s">
        <v>786</v>
      </c>
      <c r="D151" s="323" t="s">
        <v>865</v>
      </c>
      <c r="E151" s="323" t="s">
        <v>869</v>
      </c>
      <c r="F151" s="323" t="s">
        <v>872</v>
      </c>
      <c r="G151" s="323" t="s">
        <v>873</v>
      </c>
      <c r="I151" s="323" t="s">
        <v>52</v>
      </c>
      <c r="J151" s="323" t="s">
        <v>1267</v>
      </c>
      <c r="K151" s="323" t="s">
        <v>291</v>
      </c>
      <c r="L151" s="323" t="s">
        <v>766</v>
      </c>
      <c r="M151" s="323" t="s">
        <v>876</v>
      </c>
      <c r="N151" s="323" t="s">
        <v>275</v>
      </c>
      <c r="O151" s="323" t="s">
        <v>265</v>
      </c>
    </row>
    <row r="152" spans="1:15">
      <c r="A152" s="323" t="s">
        <v>759</v>
      </c>
      <c r="B152" s="323">
        <v>16</v>
      </c>
      <c r="C152" s="287" t="s">
        <v>786</v>
      </c>
      <c r="D152" s="323" t="s">
        <v>865</v>
      </c>
      <c r="E152" s="323" t="s">
        <v>869</v>
      </c>
      <c r="F152" s="323" t="s">
        <v>872</v>
      </c>
      <c r="G152" s="323" t="s">
        <v>873</v>
      </c>
      <c r="I152" s="323" t="s">
        <v>52</v>
      </c>
      <c r="J152" s="323" t="s">
        <v>877</v>
      </c>
      <c r="K152" s="323" t="s">
        <v>291</v>
      </c>
      <c r="L152" s="323" t="s">
        <v>263</v>
      </c>
      <c r="M152" s="323" t="s">
        <v>849</v>
      </c>
      <c r="N152" s="323" t="s">
        <v>275</v>
      </c>
      <c r="O152" s="323" t="s">
        <v>265</v>
      </c>
    </row>
    <row r="153" spans="1:15">
      <c r="A153" s="323" t="s">
        <v>759</v>
      </c>
      <c r="B153" s="323">
        <v>16</v>
      </c>
      <c r="C153" s="287" t="s">
        <v>786</v>
      </c>
      <c r="D153" s="323" t="s">
        <v>865</v>
      </c>
      <c r="E153" s="323" t="s">
        <v>869</v>
      </c>
      <c r="F153" s="323" t="s">
        <v>872</v>
      </c>
      <c r="G153" s="323" t="s">
        <v>873</v>
      </c>
      <c r="I153" s="323" t="s">
        <v>52</v>
      </c>
      <c r="J153" s="323" t="s">
        <v>878</v>
      </c>
      <c r="K153" s="323" t="s">
        <v>1270</v>
      </c>
      <c r="L153" s="323" t="s">
        <v>815</v>
      </c>
      <c r="M153" s="323" t="s">
        <v>857</v>
      </c>
      <c r="N153" s="323" t="s">
        <v>275</v>
      </c>
      <c r="O153" s="323" t="s">
        <v>265</v>
      </c>
    </row>
    <row r="154" spans="1:15">
      <c r="A154" s="323" t="s">
        <v>759</v>
      </c>
      <c r="B154" s="323">
        <v>16</v>
      </c>
      <c r="C154" s="287" t="s">
        <v>786</v>
      </c>
      <c r="D154" s="323" t="s">
        <v>865</v>
      </c>
      <c r="E154" s="323" t="s">
        <v>869</v>
      </c>
      <c r="F154" s="323" t="s">
        <v>872</v>
      </c>
      <c r="G154" s="323" t="s">
        <v>873</v>
      </c>
      <c r="I154" s="323" t="s">
        <v>52</v>
      </c>
      <c r="J154" s="323" t="s">
        <v>879</v>
      </c>
      <c r="K154" s="323" t="s">
        <v>1270</v>
      </c>
      <c r="L154" s="323" t="s">
        <v>263</v>
      </c>
      <c r="N154" s="323" t="s">
        <v>275</v>
      </c>
      <c r="O154" s="323" t="s">
        <v>265</v>
      </c>
    </row>
    <row r="155" spans="1:15">
      <c r="A155" s="323" t="s">
        <v>759</v>
      </c>
      <c r="B155" s="323">
        <v>16</v>
      </c>
      <c r="C155" s="287" t="s">
        <v>786</v>
      </c>
      <c r="D155" s="323" t="s">
        <v>865</v>
      </c>
      <c r="E155" s="323" t="s">
        <v>869</v>
      </c>
      <c r="F155" s="323" t="s">
        <v>872</v>
      </c>
      <c r="G155" s="323" t="s">
        <v>873</v>
      </c>
      <c r="I155" s="323" t="s">
        <v>52</v>
      </c>
      <c r="J155" s="323" t="s">
        <v>880</v>
      </c>
      <c r="K155" s="323" t="s">
        <v>881</v>
      </c>
      <c r="L155" s="323" t="s">
        <v>766</v>
      </c>
      <c r="M155" s="323" t="s">
        <v>876</v>
      </c>
      <c r="N155" s="323" t="s">
        <v>275</v>
      </c>
      <c r="O155" s="323" t="s">
        <v>265</v>
      </c>
    </row>
    <row r="156" spans="1:15">
      <c r="A156" s="323" t="s">
        <v>759</v>
      </c>
      <c r="B156" s="323">
        <v>16</v>
      </c>
      <c r="C156" s="287" t="s">
        <v>786</v>
      </c>
      <c r="D156" s="323" t="s">
        <v>865</v>
      </c>
      <c r="E156" s="323" t="s">
        <v>869</v>
      </c>
      <c r="F156" s="323" t="s">
        <v>872</v>
      </c>
      <c r="G156" s="323" t="s">
        <v>873</v>
      </c>
      <c r="I156" s="323" t="s">
        <v>52</v>
      </c>
      <c r="J156" s="323" t="s">
        <v>882</v>
      </c>
      <c r="K156" s="323" t="s">
        <v>1270</v>
      </c>
      <c r="L156" s="323" t="s">
        <v>766</v>
      </c>
      <c r="M156" s="323" t="s">
        <v>876</v>
      </c>
      <c r="N156" s="323" t="s">
        <v>275</v>
      </c>
      <c r="O156" s="323" t="s">
        <v>265</v>
      </c>
    </row>
    <row r="157" spans="1:15">
      <c r="A157" s="323" t="s">
        <v>759</v>
      </c>
      <c r="B157" s="323">
        <v>16</v>
      </c>
      <c r="C157" s="287" t="s">
        <v>786</v>
      </c>
      <c r="D157" s="323" t="s">
        <v>865</v>
      </c>
      <c r="E157" s="323" t="s">
        <v>869</v>
      </c>
      <c r="F157" s="323" t="s">
        <v>872</v>
      </c>
      <c r="G157" s="323" t="s">
        <v>873</v>
      </c>
      <c r="I157" s="323" t="s">
        <v>52</v>
      </c>
      <c r="J157" s="323" t="s">
        <v>884</v>
      </c>
      <c r="K157" s="323" t="s">
        <v>1270</v>
      </c>
      <c r="L157" s="323" t="s">
        <v>263</v>
      </c>
      <c r="M157" s="323" t="s">
        <v>849</v>
      </c>
      <c r="N157" s="323" t="s">
        <v>275</v>
      </c>
      <c r="O157" s="323" t="s">
        <v>265</v>
      </c>
    </row>
    <row r="158" spans="1:15">
      <c r="A158" s="323" t="s">
        <v>759</v>
      </c>
      <c r="B158" s="323">
        <v>16</v>
      </c>
      <c r="C158" s="287" t="s">
        <v>786</v>
      </c>
      <c r="D158" s="323" t="s">
        <v>865</v>
      </c>
      <c r="E158" s="323" t="s">
        <v>869</v>
      </c>
      <c r="F158" s="323" t="s">
        <v>872</v>
      </c>
      <c r="G158" s="323" t="s">
        <v>873</v>
      </c>
      <c r="I158" s="323" t="s">
        <v>52</v>
      </c>
      <c r="J158" s="323" t="s">
        <v>1268</v>
      </c>
      <c r="K158" s="323" t="s">
        <v>1270</v>
      </c>
      <c r="L158" s="323" t="s">
        <v>815</v>
      </c>
      <c r="M158" s="323" t="s">
        <v>857</v>
      </c>
      <c r="N158" s="323" t="s">
        <v>264</v>
      </c>
      <c r="O158" s="323" t="s">
        <v>265</v>
      </c>
    </row>
    <row r="159" spans="1:15">
      <c r="A159" s="323" t="s">
        <v>759</v>
      </c>
      <c r="B159" s="323">
        <v>16</v>
      </c>
      <c r="C159" s="287" t="s">
        <v>786</v>
      </c>
      <c r="D159" s="323" t="s">
        <v>865</v>
      </c>
      <c r="E159" s="323" t="s">
        <v>869</v>
      </c>
      <c r="F159" s="323" t="s">
        <v>872</v>
      </c>
      <c r="G159" s="323" t="s">
        <v>873</v>
      </c>
      <c r="I159" s="323" t="s">
        <v>52</v>
      </c>
      <c r="J159" s="323" t="s">
        <v>1269</v>
      </c>
      <c r="K159" s="323" t="s">
        <v>1270</v>
      </c>
      <c r="L159" s="323" t="s">
        <v>815</v>
      </c>
      <c r="M159" s="323" t="s">
        <v>857</v>
      </c>
      <c r="N159" s="323" t="s">
        <v>264</v>
      </c>
      <c r="O159" s="323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D282"/>
  <sheetViews>
    <sheetView showGridLines="0" tabSelected="1" topLeftCell="F91" zoomScale="85" zoomScaleNormal="85" zoomScaleSheetLayoutView="25" workbookViewId="0">
      <selection activeCell="F95" sqref="A95:XFD95"/>
    </sheetView>
  </sheetViews>
  <sheetFormatPr baseColWidth="10" defaultColWidth="8.5703125" defaultRowHeight="15"/>
  <cols>
    <col min="1" max="1" width="22.85546875" style="340" customWidth="1"/>
    <col min="2" max="2" width="9.7109375" style="401" customWidth="1"/>
    <col min="3" max="3" width="34.140625" style="402" customWidth="1"/>
    <col min="4" max="4" width="7.42578125" style="353" customWidth="1"/>
    <col min="5" max="5" width="50" style="355" customWidth="1"/>
    <col min="6" max="6" width="7.85546875" style="353" customWidth="1"/>
    <col min="7" max="7" width="54.85546875" style="355" customWidth="1"/>
    <col min="8" max="8" width="15.42578125" style="401" customWidth="1"/>
    <col min="9" max="9" width="18.140625" style="401" customWidth="1"/>
    <col min="10" max="10" width="44.5703125" style="355" customWidth="1"/>
    <col min="11" max="11" width="32.85546875" style="93" customWidth="1"/>
    <col min="12" max="12" width="14.85546875" style="401" hidden="1" customWidth="1"/>
    <col min="13" max="13" width="14.85546875" style="423" hidden="1" customWidth="1"/>
    <col min="14" max="14" width="8.5703125" style="285" hidden="1" customWidth="1"/>
    <col min="15" max="15" width="56" style="103" customWidth="1"/>
    <col min="16" max="16" width="24.5703125" style="94" hidden="1" customWidth="1"/>
    <col min="17" max="17" width="47.5703125" style="296" hidden="1" customWidth="1"/>
    <col min="18" max="18" width="35.85546875" style="288" customWidth="1"/>
    <col min="19" max="19" width="11.140625" style="285" customWidth="1"/>
    <col min="20" max="20" width="15.7109375" style="423" customWidth="1"/>
    <col min="21" max="21" width="22.5703125" style="97" customWidth="1"/>
    <col min="22" max="22" width="13.5703125" style="433" customWidth="1"/>
    <col min="23" max="23" width="17.28515625" style="325" customWidth="1"/>
    <col min="24" max="24" width="21.28515625" style="325" customWidth="1"/>
    <col min="25" max="25" width="14.85546875" style="288" customWidth="1"/>
    <col min="26" max="26" width="12.42578125" style="325" customWidth="1"/>
    <col min="27" max="30" width="8.5703125" style="94" customWidth="1"/>
    <col min="31" max="31" width="12.28515625" style="3" customWidth="1"/>
    <col min="32" max="16384" width="8.5703125" style="3"/>
  </cols>
  <sheetData>
    <row r="1" spans="1:30" s="17" customFormat="1" ht="110.45" customHeight="1">
      <c r="A1" s="361" t="s">
        <v>231</v>
      </c>
      <c r="B1" s="363" t="s">
        <v>1306</v>
      </c>
      <c r="C1" s="331" t="s">
        <v>232</v>
      </c>
      <c r="D1" s="331" t="s">
        <v>1305</v>
      </c>
      <c r="E1" s="331" t="s">
        <v>233</v>
      </c>
      <c r="F1" s="331" t="s">
        <v>1307</v>
      </c>
      <c r="G1" s="331" t="s">
        <v>234</v>
      </c>
      <c r="H1" s="331" t="s">
        <v>235</v>
      </c>
      <c r="I1" s="363" t="s">
        <v>236</v>
      </c>
      <c r="J1" s="364" t="s">
        <v>237</v>
      </c>
      <c r="K1" s="85" t="s">
        <v>238</v>
      </c>
      <c r="L1" s="424" t="s">
        <v>239</v>
      </c>
      <c r="M1" s="422" t="s">
        <v>240</v>
      </c>
      <c r="N1" s="86" t="s">
        <v>241</v>
      </c>
      <c r="O1" s="85" t="s">
        <v>242</v>
      </c>
      <c r="P1" s="87" t="s">
        <v>243</v>
      </c>
      <c r="Q1" s="88" t="s">
        <v>244</v>
      </c>
      <c r="R1" s="114" t="s">
        <v>245</v>
      </c>
      <c r="S1" s="114" t="s">
        <v>246</v>
      </c>
      <c r="T1" s="340" t="s">
        <v>247</v>
      </c>
      <c r="U1" s="114" t="s">
        <v>1281</v>
      </c>
      <c r="V1" s="432" t="s">
        <v>248</v>
      </c>
      <c r="W1" s="431" t="s">
        <v>249</v>
      </c>
      <c r="X1" s="431" t="s">
        <v>250</v>
      </c>
      <c r="Y1" s="431" t="s">
        <v>251</v>
      </c>
      <c r="Z1" s="431" t="s">
        <v>252</v>
      </c>
      <c r="AA1" s="86">
        <v>2026</v>
      </c>
      <c r="AB1" s="86">
        <v>2027</v>
      </c>
      <c r="AC1" s="86">
        <v>2028</v>
      </c>
      <c r="AD1" s="86">
        <v>2029</v>
      </c>
    </row>
    <row r="2" spans="1:30" s="17" customFormat="1" ht="75">
      <c r="A2" s="332" t="s">
        <v>1496</v>
      </c>
      <c r="B2" s="365" t="s">
        <v>1650</v>
      </c>
      <c r="C2" s="366" t="s">
        <v>254</v>
      </c>
      <c r="D2" s="347" t="s">
        <v>255</v>
      </c>
      <c r="E2" s="367" t="s">
        <v>256</v>
      </c>
      <c r="F2" s="348" t="s">
        <v>257</v>
      </c>
      <c r="G2" s="375" t="s">
        <v>258</v>
      </c>
      <c r="H2" s="374" t="s">
        <v>259</v>
      </c>
      <c r="I2" s="374" t="s">
        <v>260</v>
      </c>
      <c r="J2" s="355" t="s">
        <v>1479</v>
      </c>
      <c r="K2" s="355"/>
      <c r="L2" s="353" t="s">
        <v>52</v>
      </c>
      <c r="M2" s="353" t="s">
        <v>1506</v>
      </c>
      <c r="N2" s="86"/>
      <c r="O2" s="355" t="s">
        <v>1314</v>
      </c>
      <c r="P2" s="87"/>
      <c r="Q2" s="88"/>
      <c r="R2" s="103" t="s">
        <v>1270</v>
      </c>
      <c r="S2" s="158"/>
      <c r="T2" s="353" t="s">
        <v>182</v>
      </c>
      <c r="U2" s="114"/>
      <c r="V2" s="432">
        <f t="shared" ref="V2:V70" si="0">U2*4</f>
        <v>0</v>
      </c>
      <c r="W2" s="288" t="s">
        <v>263</v>
      </c>
      <c r="X2" s="288" t="str">
        <f>IF(W2=Llistes!$B$18,Llistes!$D$18,IF(W2=Llistes!$B$20,Llistes!$D$20,IF(W2=Llistes!$B$22,Llistes!$D$22,IF(W2=Llistes!$B$23,Llistes!$D$23,IF(W2=Llistes!$B$24,Llistes!$D$24,IF(W2=Llistes!$B$28,Llistes!$D$28))))))</f>
        <v>Tècnic coordinador</v>
      </c>
      <c r="Y2" s="288" t="s">
        <v>264</v>
      </c>
      <c r="Z2" s="288" t="s">
        <v>265</v>
      </c>
      <c r="AA2" s="346"/>
      <c r="AB2" s="346"/>
      <c r="AC2" s="346" t="s">
        <v>266</v>
      </c>
      <c r="AD2" s="346"/>
    </row>
    <row r="3" spans="1:30" s="17" customFormat="1" ht="75">
      <c r="A3" s="332" t="s">
        <v>1496</v>
      </c>
      <c r="B3" s="365" t="s">
        <v>1650</v>
      </c>
      <c r="C3" s="366" t="s">
        <v>254</v>
      </c>
      <c r="D3" s="347" t="s">
        <v>255</v>
      </c>
      <c r="E3" s="367" t="s">
        <v>256</v>
      </c>
      <c r="F3" s="348" t="s">
        <v>257</v>
      </c>
      <c r="G3" s="375" t="s">
        <v>258</v>
      </c>
      <c r="H3" s="374" t="s">
        <v>259</v>
      </c>
      <c r="I3" s="374" t="s">
        <v>260</v>
      </c>
      <c r="J3" s="355" t="s">
        <v>1479</v>
      </c>
      <c r="K3" s="355"/>
      <c r="L3" s="353" t="s">
        <v>52</v>
      </c>
      <c r="M3" s="423" t="s">
        <v>1504</v>
      </c>
      <c r="N3" s="86"/>
      <c r="O3" s="355" t="s">
        <v>1315</v>
      </c>
      <c r="P3" s="87"/>
      <c r="Q3" s="88"/>
      <c r="R3" s="103" t="s">
        <v>1270</v>
      </c>
      <c r="S3" s="158"/>
      <c r="T3" s="353" t="s">
        <v>182</v>
      </c>
      <c r="U3" s="114"/>
      <c r="V3" s="432">
        <f t="shared" si="0"/>
        <v>0</v>
      </c>
      <c r="W3" s="288" t="s">
        <v>263</v>
      </c>
      <c r="X3" s="288" t="str">
        <f>IF(W3=Llistes!$B$18,Llistes!$D$18,IF(W3=Llistes!$B$20,Llistes!$D$20,IF(W3=Llistes!$B$22,Llistes!$D$22,IF(W3=Llistes!$B$23,Llistes!$D$23,IF(W3=Llistes!$B$24,Llistes!$D$24,IF(W3=Llistes!$B$28,Llistes!$D$28))))))</f>
        <v>Tècnic coordinador</v>
      </c>
      <c r="Y3" s="288" t="s">
        <v>264</v>
      </c>
      <c r="Z3" s="288" t="s">
        <v>265</v>
      </c>
      <c r="AA3" s="346" t="s">
        <v>266</v>
      </c>
      <c r="AB3" s="346"/>
      <c r="AC3" s="346"/>
      <c r="AD3" s="346"/>
    </row>
    <row r="4" spans="1:30" s="17" customFormat="1" ht="75">
      <c r="A4" s="332" t="s">
        <v>1496</v>
      </c>
      <c r="B4" s="365" t="s">
        <v>1650</v>
      </c>
      <c r="C4" s="366" t="s">
        <v>254</v>
      </c>
      <c r="D4" s="347" t="s">
        <v>255</v>
      </c>
      <c r="E4" s="367" t="s">
        <v>256</v>
      </c>
      <c r="F4" s="348" t="s">
        <v>257</v>
      </c>
      <c r="G4" s="375" t="s">
        <v>258</v>
      </c>
      <c r="H4" s="374" t="s">
        <v>259</v>
      </c>
      <c r="I4" s="374" t="s">
        <v>260</v>
      </c>
      <c r="J4" s="355" t="s">
        <v>1479</v>
      </c>
      <c r="K4" s="355"/>
      <c r="L4" s="353" t="s">
        <v>52</v>
      </c>
      <c r="M4" s="423" t="s">
        <v>1504</v>
      </c>
      <c r="N4" s="86"/>
      <c r="O4" s="358" t="s">
        <v>1333</v>
      </c>
      <c r="P4" s="87"/>
      <c r="Q4" s="88"/>
      <c r="R4" s="103" t="s">
        <v>1270</v>
      </c>
      <c r="S4" s="158"/>
      <c r="T4" s="353" t="s">
        <v>182</v>
      </c>
      <c r="U4" s="114"/>
      <c r="V4" s="432">
        <f t="shared" si="0"/>
        <v>0</v>
      </c>
      <c r="W4" s="288" t="s">
        <v>263</v>
      </c>
      <c r="X4" s="288" t="str">
        <f>IF(W4=Llistes!$B$18,Llistes!$D$18,IF(W4=Llistes!$B$20,Llistes!$D$20,IF(W4=Llistes!$B$22,Llistes!$D$22,IF(W4=Llistes!$B$23,Llistes!$D$23,IF(W4=Llistes!$B$24,Llistes!$D$24,IF(W4=Llistes!$B$28,Llistes!$D$28))))))</f>
        <v>Tècnic coordinador</v>
      </c>
      <c r="Y4" s="288" t="s">
        <v>264</v>
      </c>
      <c r="Z4" s="288" t="s">
        <v>265</v>
      </c>
      <c r="AA4" s="346"/>
      <c r="AB4" s="346" t="s">
        <v>266</v>
      </c>
      <c r="AC4" s="346"/>
      <c r="AD4" s="346"/>
    </row>
    <row r="5" spans="1:30" s="17" customFormat="1" ht="75">
      <c r="A5" s="332" t="s">
        <v>1496</v>
      </c>
      <c r="B5" s="365" t="s">
        <v>1650</v>
      </c>
      <c r="C5" s="366" t="s">
        <v>254</v>
      </c>
      <c r="D5" s="347" t="s">
        <v>255</v>
      </c>
      <c r="E5" s="367" t="s">
        <v>256</v>
      </c>
      <c r="F5" s="348" t="s">
        <v>257</v>
      </c>
      <c r="G5" s="375" t="s">
        <v>258</v>
      </c>
      <c r="H5" s="374" t="s">
        <v>259</v>
      </c>
      <c r="I5" s="374" t="s">
        <v>260</v>
      </c>
      <c r="J5" s="355" t="s">
        <v>1479</v>
      </c>
      <c r="K5" s="355"/>
      <c r="L5" s="353" t="s">
        <v>52</v>
      </c>
      <c r="M5" s="423" t="s">
        <v>1504</v>
      </c>
      <c r="N5" s="86"/>
      <c r="O5" s="355" t="s">
        <v>1338</v>
      </c>
      <c r="P5" s="87"/>
      <c r="Q5" s="88"/>
      <c r="R5" s="103" t="s">
        <v>1270</v>
      </c>
      <c r="S5" s="158"/>
      <c r="T5" s="353" t="s">
        <v>182</v>
      </c>
      <c r="U5" s="114"/>
      <c r="V5" s="432">
        <f t="shared" si="0"/>
        <v>0</v>
      </c>
      <c r="W5" s="288" t="s">
        <v>263</v>
      </c>
      <c r="X5" s="288" t="str">
        <f>IF(W5=Llistes!$B$18,Llistes!$D$18,IF(W5=Llistes!$B$20,Llistes!$D$20,IF(W5=Llistes!$B$22,Llistes!$D$22,IF(W5=Llistes!$B$23,Llistes!$D$23,IF(W5=Llistes!$B$24,Llistes!$D$24,IF(W5=Llistes!$B$28,Llistes!$D$28))))))</f>
        <v>Tècnic coordinador</v>
      </c>
      <c r="Y5" s="288" t="s">
        <v>264</v>
      </c>
      <c r="Z5" s="288" t="s">
        <v>265</v>
      </c>
      <c r="AA5" s="86"/>
      <c r="AB5" s="86"/>
      <c r="AC5" s="94" t="s">
        <v>266</v>
      </c>
      <c r="AD5" s="86"/>
    </row>
    <row r="6" spans="1:30" ht="75">
      <c r="A6" s="332" t="s">
        <v>1496</v>
      </c>
      <c r="B6" s="365" t="s">
        <v>1650</v>
      </c>
      <c r="C6" s="366" t="s">
        <v>254</v>
      </c>
      <c r="D6" s="347" t="s">
        <v>255</v>
      </c>
      <c r="E6" s="367" t="s">
        <v>256</v>
      </c>
      <c r="F6" s="348" t="s">
        <v>257</v>
      </c>
      <c r="G6" s="375" t="s">
        <v>258</v>
      </c>
      <c r="H6" s="374" t="s">
        <v>259</v>
      </c>
      <c r="I6" s="374" t="s">
        <v>260</v>
      </c>
      <c r="J6" s="355" t="s">
        <v>1479</v>
      </c>
      <c r="K6" s="355"/>
      <c r="L6" s="353" t="s">
        <v>52</v>
      </c>
      <c r="M6" s="423" t="s">
        <v>1504</v>
      </c>
      <c r="O6" s="355" t="s">
        <v>1316</v>
      </c>
      <c r="P6" s="95" t="s">
        <v>270</v>
      </c>
      <c r="Q6" s="96" t="s">
        <v>271</v>
      </c>
      <c r="R6" s="103" t="s">
        <v>1270</v>
      </c>
      <c r="S6" s="97"/>
      <c r="T6" s="353" t="s">
        <v>182</v>
      </c>
      <c r="V6" s="432">
        <f t="shared" si="0"/>
        <v>0</v>
      </c>
      <c r="W6" s="288" t="s">
        <v>263</v>
      </c>
      <c r="X6" s="288" t="str">
        <f>IF(W6=Llistes!$B$18,Llistes!$D$18,IF(W6=Llistes!$B$20,Llistes!$D$20,IF(W6=Llistes!$B$22,Llistes!$D$22,IF(W6=Llistes!$B$23,Llistes!$D$23,IF(W6=Llistes!$B$24,Llistes!$D$24,IF(W6=Llistes!$B$28,Llistes!$D$28))))))</f>
        <v>Tècnic coordinador</v>
      </c>
      <c r="Y6" s="288" t="s">
        <v>264</v>
      </c>
      <c r="Z6" s="288" t="s">
        <v>265</v>
      </c>
      <c r="AC6" s="94" t="s">
        <v>266</v>
      </c>
    </row>
    <row r="7" spans="1:30" ht="75">
      <c r="A7" s="332" t="s">
        <v>1496</v>
      </c>
      <c r="B7" s="365" t="s">
        <v>1650</v>
      </c>
      <c r="C7" s="366" t="s">
        <v>254</v>
      </c>
      <c r="D7" s="347" t="s">
        <v>255</v>
      </c>
      <c r="E7" s="367" t="s">
        <v>256</v>
      </c>
      <c r="F7" s="348" t="s">
        <v>257</v>
      </c>
      <c r="G7" s="375" t="s">
        <v>258</v>
      </c>
      <c r="H7" s="374" t="s">
        <v>259</v>
      </c>
      <c r="I7" s="374" t="s">
        <v>260</v>
      </c>
      <c r="J7" s="355" t="s">
        <v>1479</v>
      </c>
      <c r="K7" s="355"/>
      <c r="L7" s="353" t="s">
        <v>52</v>
      </c>
      <c r="M7" s="423" t="s">
        <v>1504</v>
      </c>
      <c r="O7" s="355" t="s">
        <v>1508</v>
      </c>
      <c r="P7" s="95"/>
      <c r="Q7" s="96"/>
      <c r="R7" s="103" t="s">
        <v>1270</v>
      </c>
      <c r="S7" s="97"/>
      <c r="T7" s="353" t="s">
        <v>182</v>
      </c>
      <c r="V7" s="432">
        <f t="shared" si="0"/>
        <v>0</v>
      </c>
      <c r="W7" s="288" t="s">
        <v>263</v>
      </c>
      <c r="X7" s="288" t="str">
        <f>IF(W7=Llistes!$B$18,Llistes!$D$18,IF(W7=Llistes!$B$20,Llistes!$D$20,IF(W7=Llistes!$B$22,Llistes!$D$22,IF(W7=Llistes!$B$23,Llistes!$D$23,IF(W7=Llistes!$B$24,Llistes!$D$24,IF(W7=Llistes!$B$28,Llistes!$D$28))))))</f>
        <v>Tècnic coordinador</v>
      </c>
      <c r="Y7" s="288" t="s">
        <v>264</v>
      </c>
      <c r="Z7" s="288" t="s">
        <v>265</v>
      </c>
      <c r="AC7" s="94" t="s">
        <v>266</v>
      </c>
    </row>
    <row r="8" spans="1:30" ht="75">
      <c r="A8" s="332" t="s">
        <v>1496</v>
      </c>
      <c r="B8" s="365" t="s">
        <v>1650</v>
      </c>
      <c r="C8" s="366" t="s">
        <v>254</v>
      </c>
      <c r="D8" s="347" t="s">
        <v>255</v>
      </c>
      <c r="E8" s="367" t="s">
        <v>256</v>
      </c>
      <c r="F8" s="348" t="s">
        <v>257</v>
      </c>
      <c r="G8" s="375" t="s">
        <v>258</v>
      </c>
      <c r="H8" s="374" t="s">
        <v>259</v>
      </c>
      <c r="I8" s="374" t="s">
        <v>260</v>
      </c>
      <c r="J8" s="355" t="s">
        <v>1479</v>
      </c>
      <c r="K8" s="355"/>
      <c r="L8" s="353" t="s">
        <v>52</v>
      </c>
      <c r="M8" s="423" t="s">
        <v>1504</v>
      </c>
      <c r="O8" s="355" t="s">
        <v>1666</v>
      </c>
      <c r="P8" s="95"/>
      <c r="Q8" s="96"/>
      <c r="R8" s="103" t="s">
        <v>1270</v>
      </c>
      <c r="S8" s="97"/>
      <c r="T8" s="353" t="s">
        <v>52</v>
      </c>
      <c r="V8" s="432">
        <v>0</v>
      </c>
      <c r="W8" s="288" t="s">
        <v>263</v>
      </c>
      <c r="X8" s="288" t="str">
        <f>IF(W8=Llistes!$B$18,Llistes!$D$18,IF(W8=Llistes!$B$20,Llistes!$D$20,IF(W8=Llistes!$B$22,Llistes!$D$22,IF(W8=Llistes!$B$23,Llistes!$D$23,IF(W8=Llistes!$B$24,Llistes!$D$24,IF(W8=Llistes!$B$28,Llistes!$D$28))))))</f>
        <v>Tècnic coordinador</v>
      </c>
      <c r="Y8" s="288" t="s">
        <v>275</v>
      </c>
      <c r="Z8" s="288" t="s">
        <v>265</v>
      </c>
      <c r="AB8" s="94" t="s">
        <v>266</v>
      </c>
      <c r="AC8" s="86"/>
    </row>
    <row r="9" spans="1:30" ht="75">
      <c r="A9" s="332" t="s">
        <v>1496</v>
      </c>
      <c r="B9" s="365" t="s">
        <v>1650</v>
      </c>
      <c r="C9" s="366" t="s">
        <v>254</v>
      </c>
      <c r="D9" s="347" t="s">
        <v>255</v>
      </c>
      <c r="E9" s="367" t="s">
        <v>256</v>
      </c>
      <c r="F9" s="348" t="s">
        <v>272</v>
      </c>
      <c r="G9" s="375" t="s">
        <v>273</v>
      </c>
      <c r="H9" s="374" t="s">
        <v>259</v>
      </c>
      <c r="I9" s="374" t="s">
        <v>260</v>
      </c>
      <c r="J9" s="355" t="s">
        <v>1480</v>
      </c>
      <c r="K9" s="355"/>
      <c r="L9" s="353" t="s">
        <v>52</v>
      </c>
      <c r="M9" s="423" t="s">
        <v>1505</v>
      </c>
      <c r="O9" s="355" t="s">
        <v>1509</v>
      </c>
      <c r="P9" s="95"/>
      <c r="Q9" s="99"/>
      <c r="R9" s="103" t="s">
        <v>1270</v>
      </c>
      <c r="S9" s="97"/>
      <c r="T9" s="423" t="s">
        <v>182</v>
      </c>
      <c r="V9" s="432">
        <f t="shared" si="0"/>
        <v>0</v>
      </c>
      <c r="W9" s="288" t="s">
        <v>263</v>
      </c>
      <c r="X9" s="288" t="str">
        <f>IF(W9=Llistes!$B$18,Llistes!$D$18,IF(W9=Llistes!$B$20,Llistes!$D$20,IF(W9=Llistes!$B$22,Llistes!$D$22,IF(W9=Llistes!$B$23,Llistes!$D$23,IF(W9=Llistes!$B$24,Llistes!$D$24,IF(W9=Llistes!$B$28,Llistes!$D$28))))))</f>
        <v>Tècnic coordinador</v>
      </c>
      <c r="Y9" s="288" t="s">
        <v>275</v>
      </c>
      <c r="Z9" s="325" t="s">
        <v>265</v>
      </c>
      <c r="AC9" s="94" t="s">
        <v>266</v>
      </c>
    </row>
    <row r="10" spans="1:30" ht="75">
      <c r="A10" s="332" t="s">
        <v>1496</v>
      </c>
      <c r="B10" s="365" t="s">
        <v>1650</v>
      </c>
      <c r="C10" s="366" t="s">
        <v>254</v>
      </c>
      <c r="D10" s="347" t="s">
        <v>278</v>
      </c>
      <c r="E10" s="367" t="s">
        <v>1178</v>
      </c>
      <c r="F10" s="374" t="s">
        <v>279</v>
      </c>
      <c r="G10" s="375" t="s">
        <v>280</v>
      </c>
      <c r="H10" s="374" t="s">
        <v>259</v>
      </c>
      <c r="I10" s="374" t="s">
        <v>281</v>
      </c>
      <c r="J10" s="355" t="s">
        <v>1482</v>
      </c>
      <c r="K10" s="355"/>
      <c r="L10" s="353" t="s">
        <v>52</v>
      </c>
      <c r="M10" s="423" t="s">
        <v>1503</v>
      </c>
      <c r="O10" s="355" t="s">
        <v>1510</v>
      </c>
      <c r="P10" s="95" t="s">
        <v>284</v>
      </c>
      <c r="Q10" s="96" t="s">
        <v>285</v>
      </c>
      <c r="R10" s="103" t="s">
        <v>1270</v>
      </c>
      <c r="S10" s="159"/>
      <c r="T10" s="353" t="s">
        <v>182</v>
      </c>
      <c r="V10" s="432">
        <f t="shared" si="0"/>
        <v>0</v>
      </c>
      <c r="W10" s="288" t="s">
        <v>286</v>
      </c>
      <c r="X10" s="288" t="str">
        <f>IF(W10=Llistes!$B$18,Llistes!$D$18,IF(W10=Llistes!$B$20,Llistes!$D$20,IF(W10=Llistes!$B$22,Llistes!$D$22,IF(W10=Llistes!$B$23,Llistes!$D$23,IF(W10=Llistes!$B$24,Llistes!$D$24,IF(W10=Llistes!$B$28,Llistes!$D$28))))))</f>
        <v>Interventora</v>
      </c>
      <c r="AA10" s="346"/>
      <c r="AB10" s="346" t="s">
        <v>266</v>
      </c>
      <c r="AC10" s="346"/>
      <c r="AD10" s="346"/>
    </row>
    <row r="11" spans="1:30" ht="75">
      <c r="A11" s="332" t="s">
        <v>1496</v>
      </c>
      <c r="B11" s="365" t="s">
        <v>1650</v>
      </c>
      <c r="C11" s="366" t="s">
        <v>254</v>
      </c>
      <c r="D11" s="347" t="s">
        <v>278</v>
      </c>
      <c r="E11" s="367" t="s">
        <v>1178</v>
      </c>
      <c r="F11" s="374" t="s">
        <v>279</v>
      </c>
      <c r="G11" s="375" t="s">
        <v>280</v>
      </c>
      <c r="H11" s="374" t="s">
        <v>259</v>
      </c>
      <c r="I11" s="374" t="s">
        <v>281</v>
      </c>
      <c r="J11" s="355" t="s">
        <v>1482</v>
      </c>
      <c r="K11" s="355"/>
      <c r="L11" s="353" t="s">
        <v>52</v>
      </c>
      <c r="M11" s="423" t="s">
        <v>1503</v>
      </c>
      <c r="O11" s="355" t="s">
        <v>1511</v>
      </c>
      <c r="P11" s="95"/>
      <c r="Q11" s="96"/>
      <c r="R11" s="103" t="s">
        <v>1270</v>
      </c>
      <c r="S11" s="292"/>
      <c r="T11" s="353" t="s">
        <v>182</v>
      </c>
      <c r="V11" s="432">
        <f t="shared" si="0"/>
        <v>0</v>
      </c>
      <c r="W11" s="288"/>
      <c r="X11" s="288"/>
    </row>
    <row r="12" spans="1:30" ht="75">
      <c r="A12" s="332" t="s">
        <v>1496</v>
      </c>
      <c r="B12" s="365" t="s">
        <v>1650</v>
      </c>
      <c r="C12" s="366" t="s">
        <v>254</v>
      </c>
      <c r="D12" s="347" t="s">
        <v>278</v>
      </c>
      <c r="E12" s="367" t="s">
        <v>1178</v>
      </c>
      <c r="F12" s="374" t="s">
        <v>288</v>
      </c>
      <c r="G12" s="375" t="s">
        <v>289</v>
      </c>
      <c r="H12" s="374" t="s">
        <v>259</v>
      </c>
      <c r="I12" s="374" t="s">
        <v>260</v>
      </c>
      <c r="J12" s="355" t="s">
        <v>1481</v>
      </c>
      <c r="K12" s="355"/>
      <c r="L12" s="353" t="s">
        <v>53</v>
      </c>
      <c r="M12" s="423" t="s">
        <v>1503</v>
      </c>
      <c r="O12" s="355" t="s">
        <v>1512</v>
      </c>
      <c r="P12" s="95"/>
      <c r="Q12" s="96"/>
      <c r="R12" s="103" t="s">
        <v>291</v>
      </c>
      <c r="S12" s="292">
        <v>2</v>
      </c>
      <c r="T12" s="353">
        <v>4</v>
      </c>
      <c r="V12" s="432">
        <f t="shared" si="0"/>
        <v>0</v>
      </c>
      <c r="W12" s="288" t="s">
        <v>263</v>
      </c>
      <c r="X12" s="288" t="str">
        <f>IF(W12=Llistes!$B$18,Llistes!$D$18,IF(W12=Llistes!$B$20,Llistes!$D$20,IF(W12=Llistes!$B$22,Llistes!$D$22,IF(W12=Llistes!$B$23,Llistes!$D$23,IF(W12=Llistes!$B$24,Llistes!$D$24,IF(W12=Llistes!$B$28,Llistes!$D$28))))))</f>
        <v>Tècnic coordinador</v>
      </c>
      <c r="Y12" s="288" t="s">
        <v>275</v>
      </c>
      <c r="Z12" s="325" t="s">
        <v>265</v>
      </c>
      <c r="AA12" s="346" t="s">
        <v>266</v>
      </c>
      <c r="AB12" s="346" t="s">
        <v>266</v>
      </c>
      <c r="AC12" s="346" t="s">
        <v>266</v>
      </c>
      <c r="AD12" s="346" t="s">
        <v>266</v>
      </c>
    </row>
    <row r="13" spans="1:30" ht="75">
      <c r="A13" s="332" t="s">
        <v>1496</v>
      </c>
      <c r="B13" s="365" t="s">
        <v>1650</v>
      </c>
      <c r="C13" s="366" t="s">
        <v>254</v>
      </c>
      <c r="D13" s="347" t="s">
        <v>278</v>
      </c>
      <c r="E13" s="367" t="s">
        <v>1178</v>
      </c>
      <c r="F13" s="374" t="s">
        <v>288</v>
      </c>
      <c r="G13" s="375" t="s">
        <v>289</v>
      </c>
      <c r="H13" s="374" t="s">
        <v>259</v>
      </c>
      <c r="I13" s="374" t="s">
        <v>260</v>
      </c>
      <c r="J13" s="355" t="s">
        <v>1481</v>
      </c>
      <c r="K13" s="355"/>
      <c r="L13" s="353" t="s">
        <v>52</v>
      </c>
      <c r="M13" s="423" t="s">
        <v>1503</v>
      </c>
      <c r="O13" s="355" t="s">
        <v>1513</v>
      </c>
      <c r="P13" s="95"/>
      <c r="Q13" s="96"/>
      <c r="R13" s="103" t="s">
        <v>293</v>
      </c>
      <c r="S13" s="292">
        <v>1</v>
      </c>
      <c r="T13" s="353">
        <v>3</v>
      </c>
      <c r="V13" s="432">
        <f t="shared" si="0"/>
        <v>0</v>
      </c>
      <c r="W13" s="288" t="s">
        <v>263</v>
      </c>
      <c r="X13" s="288" t="str">
        <f>IF(W13=Llistes!$B$18,Llistes!$D$18,IF(W13=Llistes!$B$20,Llistes!$D$20,IF(W13=Llistes!$B$22,Llistes!$D$22,IF(W13=Llistes!$B$23,Llistes!$D$23,IF(W13=Llistes!$B$24,Llistes!$D$24,IF(W13=Llistes!$B$28,Llistes!$D$28))))))</f>
        <v>Tècnic coordinador</v>
      </c>
      <c r="Y13" s="288" t="s">
        <v>264</v>
      </c>
      <c r="Z13" s="325" t="s">
        <v>294</v>
      </c>
      <c r="AB13" s="94" t="s">
        <v>266</v>
      </c>
      <c r="AC13" s="94" t="s">
        <v>266</v>
      </c>
      <c r="AD13" s="94" t="s">
        <v>266</v>
      </c>
    </row>
    <row r="14" spans="1:30" ht="75">
      <c r="A14" s="332" t="s">
        <v>1496</v>
      </c>
      <c r="B14" s="365" t="s">
        <v>1650</v>
      </c>
      <c r="C14" s="366" t="s">
        <v>254</v>
      </c>
      <c r="D14" s="347" t="s">
        <v>278</v>
      </c>
      <c r="E14" s="367" t="s">
        <v>1178</v>
      </c>
      <c r="F14" s="374" t="s">
        <v>288</v>
      </c>
      <c r="G14" s="375" t="s">
        <v>289</v>
      </c>
      <c r="H14" s="374" t="s">
        <v>259</v>
      </c>
      <c r="I14" s="374" t="s">
        <v>260</v>
      </c>
      <c r="J14" s="355" t="s">
        <v>1481</v>
      </c>
      <c r="K14" s="355"/>
      <c r="L14" s="353" t="s">
        <v>52</v>
      </c>
      <c r="M14" s="423" t="s">
        <v>1503</v>
      </c>
      <c r="O14" s="355" t="s">
        <v>1514</v>
      </c>
      <c r="P14" s="100" t="s">
        <v>295</v>
      </c>
      <c r="Q14" s="96" t="s">
        <v>296</v>
      </c>
      <c r="R14" s="103" t="s">
        <v>1270</v>
      </c>
      <c r="S14" s="97"/>
      <c r="T14" s="423" t="s">
        <v>182</v>
      </c>
      <c r="V14" s="432">
        <f t="shared" si="0"/>
        <v>0</v>
      </c>
      <c r="W14" s="288" t="s">
        <v>263</v>
      </c>
      <c r="X14" s="288" t="str">
        <f>IF(W14=Llistes!$B$18,Llistes!$D$18,IF(W14=Llistes!$B$20,Llistes!$D$20,IF(W14=Llistes!$B$22,Llistes!$D$22,IF(W14=Llistes!$B$23,Llistes!$D$23,IF(W14=Llistes!$B$24,Llistes!$D$24,IF(W14=Llistes!$B$28,Llistes!$D$28))))))</f>
        <v>Tècnic coordinador</v>
      </c>
      <c r="Y14" s="288" t="s">
        <v>275</v>
      </c>
      <c r="Z14" s="325" t="s">
        <v>265</v>
      </c>
      <c r="AA14" s="94" t="s">
        <v>266</v>
      </c>
      <c r="AB14" s="94" t="s">
        <v>266</v>
      </c>
      <c r="AC14" s="94" t="s">
        <v>266</v>
      </c>
      <c r="AD14" s="94" t="s">
        <v>266</v>
      </c>
    </row>
    <row r="15" spans="1:30" ht="75">
      <c r="A15" s="332" t="s">
        <v>1496</v>
      </c>
      <c r="B15" s="365" t="s">
        <v>1650</v>
      </c>
      <c r="C15" s="366" t="s">
        <v>254</v>
      </c>
      <c r="D15" s="347" t="s">
        <v>278</v>
      </c>
      <c r="E15" s="367" t="s">
        <v>1178</v>
      </c>
      <c r="F15" s="374" t="s">
        <v>297</v>
      </c>
      <c r="G15" s="375" t="s">
        <v>298</v>
      </c>
      <c r="H15" s="374" t="s">
        <v>259</v>
      </c>
      <c r="I15" s="374" t="s">
        <v>260</v>
      </c>
      <c r="J15" s="355" t="s">
        <v>1694</v>
      </c>
      <c r="K15" s="355"/>
      <c r="L15" s="353" t="s">
        <v>52</v>
      </c>
      <c r="M15" s="423" t="s">
        <v>1503</v>
      </c>
      <c r="O15" s="355" t="s">
        <v>1317</v>
      </c>
      <c r="P15" s="100"/>
      <c r="Q15" s="96"/>
      <c r="R15" s="103" t="s">
        <v>1270</v>
      </c>
      <c r="S15" s="97"/>
      <c r="T15" s="423" t="s">
        <v>182</v>
      </c>
      <c r="V15" s="432">
        <f t="shared" si="0"/>
        <v>0</v>
      </c>
      <c r="W15" s="288" t="s">
        <v>263</v>
      </c>
      <c r="X15" s="288" t="str">
        <f>IF(W15=Llistes!$B$18,Llistes!$D$18,IF(W15=Llistes!$B$20,Llistes!$D$20,IF(W15=Llistes!$B$22,Llistes!$D$22,IF(W15=Llistes!$B$23,Llistes!$D$23,IF(W15=Llistes!$B$24,Llistes!$D$24,IF(W15=Llistes!$B$28,Llistes!$D$28))))))</f>
        <v>Tècnic coordinador</v>
      </c>
      <c r="Y15" s="288" t="s">
        <v>275</v>
      </c>
      <c r="Z15" s="325" t="s">
        <v>265</v>
      </c>
      <c r="AA15" s="94" t="s">
        <v>266</v>
      </c>
    </row>
    <row r="16" spans="1:30" ht="75">
      <c r="A16" s="332" t="s">
        <v>1496</v>
      </c>
      <c r="B16" s="365" t="s">
        <v>1650</v>
      </c>
      <c r="C16" s="366" t="s">
        <v>254</v>
      </c>
      <c r="D16" s="347" t="s">
        <v>278</v>
      </c>
      <c r="E16" s="367" t="s">
        <v>1178</v>
      </c>
      <c r="F16" s="374" t="s">
        <v>297</v>
      </c>
      <c r="G16" s="375" t="s">
        <v>298</v>
      </c>
      <c r="H16" s="374" t="s">
        <v>259</v>
      </c>
      <c r="I16" s="374" t="s">
        <v>260</v>
      </c>
      <c r="J16" s="355" t="s">
        <v>1694</v>
      </c>
      <c r="K16" s="355"/>
      <c r="L16" s="353" t="s">
        <v>52</v>
      </c>
      <c r="M16" s="423" t="s">
        <v>1503</v>
      </c>
      <c r="O16" s="355" t="s">
        <v>1320</v>
      </c>
      <c r="P16" s="100"/>
      <c r="Q16" s="96"/>
      <c r="R16" s="103" t="s">
        <v>1271</v>
      </c>
      <c r="S16" s="97">
        <v>4</v>
      </c>
      <c r="T16" s="423">
        <v>4</v>
      </c>
      <c r="V16" s="432">
        <f t="shared" si="0"/>
        <v>0</v>
      </c>
      <c r="W16" s="288" t="s">
        <v>263</v>
      </c>
      <c r="X16" s="288" t="str">
        <f>IF(W16=Llistes!$B$18,Llistes!$D$18,IF(W16=Llistes!$B$20,Llistes!$D$20,IF(W16=Llistes!$B$22,Llistes!$D$22,IF(W16=Llistes!$B$23,Llistes!$D$23,IF(W16=Llistes!$B$24,Llistes!$D$24,IF(W16=Llistes!$B$28,Llistes!$D$28))))))</f>
        <v>Tècnic coordinador</v>
      </c>
      <c r="Y16" s="288" t="s">
        <v>275</v>
      </c>
      <c r="Z16" s="325" t="s">
        <v>265</v>
      </c>
      <c r="AA16" s="94" t="s">
        <v>266</v>
      </c>
      <c r="AB16" s="94" t="s">
        <v>266</v>
      </c>
      <c r="AC16" s="94" t="s">
        <v>266</v>
      </c>
      <c r="AD16" s="94" t="s">
        <v>266</v>
      </c>
    </row>
    <row r="17" spans="1:30" ht="75">
      <c r="A17" s="332" t="s">
        <v>1496</v>
      </c>
      <c r="B17" s="365" t="s">
        <v>1650</v>
      </c>
      <c r="C17" s="366" t="s">
        <v>254</v>
      </c>
      <c r="D17" s="347" t="s">
        <v>278</v>
      </c>
      <c r="E17" s="367" t="s">
        <v>1178</v>
      </c>
      <c r="F17" s="374" t="s">
        <v>297</v>
      </c>
      <c r="G17" s="375" t="s">
        <v>298</v>
      </c>
      <c r="H17" s="374" t="s">
        <v>259</v>
      </c>
      <c r="I17" s="374" t="s">
        <v>260</v>
      </c>
      <c r="J17" s="355" t="s">
        <v>1694</v>
      </c>
      <c r="K17" s="355"/>
      <c r="L17" s="353" t="s">
        <v>52</v>
      </c>
      <c r="M17" s="423" t="s">
        <v>1503</v>
      </c>
      <c r="O17" s="355" t="s">
        <v>1319</v>
      </c>
      <c r="P17" s="100"/>
      <c r="Q17" s="96"/>
      <c r="R17" s="103" t="s">
        <v>1270</v>
      </c>
      <c r="S17" s="97"/>
      <c r="T17" s="423" t="s">
        <v>182</v>
      </c>
      <c r="V17" s="432">
        <f t="shared" si="0"/>
        <v>0</v>
      </c>
      <c r="W17" s="288" t="s">
        <v>263</v>
      </c>
      <c r="X17" s="288" t="str">
        <f>IF(W17=Llistes!$B$18,Llistes!$D$18,IF(W17=Llistes!$B$20,Llistes!$D$20,IF(W17=Llistes!$B$22,Llistes!$D$22,IF(W17=Llistes!$B$23,Llistes!$D$23,IF(W17=Llistes!$B$24,Llistes!$D$24,IF(W17=Llistes!$B$28,Llistes!$D$28))))))</f>
        <v>Tècnic coordinador</v>
      </c>
      <c r="Y17" s="288" t="s">
        <v>275</v>
      </c>
      <c r="Z17" s="325" t="s">
        <v>265</v>
      </c>
      <c r="AC17" s="94" t="s">
        <v>266</v>
      </c>
    </row>
    <row r="18" spans="1:30" ht="75">
      <c r="A18" s="332" t="s">
        <v>1496</v>
      </c>
      <c r="B18" s="365" t="s">
        <v>1650</v>
      </c>
      <c r="C18" s="366" t="s">
        <v>254</v>
      </c>
      <c r="D18" s="347" t="s">
        <v>278</v>
      </c>
      <c r="E18" s="367" t="s">
        <v>1178</v>
      </c>
      <c r="F18" s="374" t="s">
        <v>297</v>
      </c>
      <c r="G18" s="375" t="s">
        <v>298</v>
      </c>
      <c r="H18" s="374" t="s">
        <v>259</v>
      </c>
      <c r="I18" s="374" t="s">
        <v>260</v>
      </c>
      <c r="J18" s="355" t="s">
        <v>1694</v>
      </c>
      <c r="K18" s="355"/>
      <c r="L18" s="353" t="s">
        <v>52</v>
      </c>
      <c r="M18" s="423" t="s">
        <v>1503</v>
      </c>
      <c r="O18" s="355" t="s">
        <v>1318</v>
      </c>
      <c r="P18" s="100"/>
      <c r="Q18" s="96"/>
      <c r="R18" s="103" t="s">
        <v>1271</v>
      </c>
      <c r="S18" s="97">
        <v>4</v>
      </c>
      <c r="T18" s="423">
        <v>4</v>
      </c>
      <c r="V18" s="432">
        <f t="shared" si="0"/>
        <v>0</v>
      </c>
      <c r="W18" s="288" t="s">
        <v>263</v>
      </c>
      <c r="X18" s="288" t="str">
        <f>IF(W18=Llistes!$B$18,Llistes!$D$18,IF(W18=Llistes!$B$20,Llistes!$D$20,IF(W18=Llistes!$B$22,Llistes!$D$22,IF(W18=Llistes!$B$23,Llistes!$D$23,IF(W18=Llistes!$B$24,Llistes!$D$24,IF(W18=Llistes!$B$28,Llistes!$D$28))))))</f>
        <v>Tècnic coordinador</v>
      </c>
      <c r="Y18" s="288" t="s">
        <v>275</v>
      </c>
      <c r="Z18" s="325" t="s">
        <v>265</v>
      </c>
      <c r="AC18" s="94" t="s">
        <v>266</v>
      </c>
      <c r="AD18" s="94" t="s">
        <v>266</v>
      </c>
    </row>
    <row r="19" spans="1:30" ht="75">
      <c r="A19" s="332" t="s">
        <v>1496</v>
      </c>
      <c r="B19" s="365" t="s">
        <v>1650</v>
      </c>
      <c r="C19" s="366" t="s">
        <v>254</v>
      </c>
      <c r="D19" s="347" t="s">
        <v>278</v>
      </c>
      <c r="E19" s="367" t="s">
        <v>1178</v>
      </c>
      <c r="F19" s="374" t="s">
        <v>297</v>
      </c>
      <c r="G19" s="375" t="s">
        <v>298</v>
      </c>
      <c r="H19" s="374" t="s">
        <v>259</v>
      </c>
      <c r="I19" s="374" t="s">
        <v>260</v>
      </c>
      <c r="J19" s="355" t="s">
        <v>1694</v>
      </c>
      <c r="K19" s="355"/>
      <c r="L19" s="353" t="s">
        <v>52</v>
      </c>
      <c r="M19" s="423" t="s">
        <v>1503</v>
      </c>
      <c r="O19" s="355" t="s">
        <v>1695</v>
      </c>
      <c r="P19" s="100"/>
      <c r="Q19" s="96"/>
      <c r="R19" s="103" t="s">
        <v>1270</v>
      </c>
      <c r="S19" s="97"/>
      <c r="T19" s="423" t="s">
        <v>182</v>
      </c>
      <c r="V19" s="432">
        <f t="shared" si="0"/>
        <v>0</v>
      </c>
      <c r="W19" s="288" t="s">
        <v>263</v>
      </c>
      <c r="X19" s="288" t="str">
        <f>IF(W19=Llistes!$B$18,Llistes!$D$18,IF(W19=Llistes!$B$20,Llistes!$D$20,IF(W19=Llistes!$B$22,Llistes!$D$22,IF(W19=Llistes!$B$23,Llistes!$D$23,IF(W19=Llistes!$B$24,Llistes!$D$24,IF(W19=Llistes!$B$28,Llistes!$D$28))))))</f>
        <v>Tècnic coordinador</v>
      </c>
      <c r="Y19" s="288" t="s">
        <v>275</v>
      </c>
      <c r="Z19" s="325" t="s">
        <v>265</v>
      </c>
      <c r="AB19" s="94" t="s">
        <v>266</v>
      </c>
    </row>
    <row r="20" spans="1:30" ht="75">
      <c r="A20" s="332" t="s">
        <v>1496</v>
      </c>
      <c r="B20" s="365" t="s">
        <v>1650</v>
      </c>
      <c r="C20" s="366" t="s">
        <v>254</v>
      </c>
      <c r="D20" s="347" t="s">
        <v>278</v>
      </c>
      <c r="E20" s="367" t="s">
        <v>1178</v>
      </c>
      <c r="F20" s="374" t="s">
        <v>297</v>
      </c>
      <c r="G20" s="375" t="s">
        <v>298</v>
      </c>
      <c r="H20" s="374" t="s">
        <v>259</v>
      </c>
      <c r="I20" s="374" t="s">
        <v>260</v>
      </c>
      <c r="J20" s="355" t="s">
        <v>1694</v>
      </c>
      <c r="K20" s="355"/>
      <c r="L20" s="353" t="s">
        <v>52</v>
      </c>
      <c r="M20" s="423" t="s">
        <v>1503</v>
      </c>
      <c r="O20" s="355" t="s">
        <v>1696</v>
      </c>
      <c r="P20" s="100"/>
      <c r="Q20" s="96"/>
      <c r="R20" s="103" t="s">
        <v>1271</v>
      </c>
      <c r="S20" s="97">
        <v>4</v>
      </c>
      <c r="T20" s="423">
        <v>4</v>
      </c>
      <c r="V20" s="432">
        <f t="shared" si="0"/>
        <v>0</v>
      </c>
      <c r="W20" s="288" t="s">
        <v>263</v>
      </c>
      <c r="X20" s="288" t="str">
        <f>IF(W20=Llistes!$B$18,Llistes!$D$18,IF(W20=Llistes!$B$20,Llistes!$D$20,IF(W20=Llistes!$B$22,Llistes!$D$22,IF(W20=Llistes!$B$23,Llistes!$D$23,IF(W20=Llistes!$B$24,Llistes!$D$24,IF(W20=Llistes!$B$28,Llistes!$D$28))))))</f>
        <v>Tècnic coordinador</v>
      </c>
      <c r="Y20" s="288" t="s">
        <v>275</v>
      </c>
      <c r="Z20" s="325" t="s">
        <v>294</v>
      </c>
      <c r="AC20" s="94" t="s">
        <v>266</v>
      </c>
      <c r="AD20" s="94" t="s">
        <v>266</v>
      </c>
    </row>
    <row r="21" spans="1:30" ht="75">
      <c r="A21" s="332" t="s">
        <v>1496</v>
      </c>
      <c r="B21" s="365" t="s">
        <v>1650</v>
      </c>
      <c r="C21" s="366" t="s">
        <v>254</v>
      </c>
      <c r="D21" s="347" t="s">
        <v>278</v>
      </c>
      <c r="E21" s="367" t="s">
        <v>1178</v>
      </c>
      <c r="F21" s="374" t="s">
        <v>297</v>
      </c>
      <c r="G21" s="375" t="s">
        <v>298</v>
      </c>
      <c r="H21" s="374" t="s">
        <v>259</v>
      </c>
      <c r="I21" s="374" t="s">
        <v>260</v>
      </c>
      <c r="J21" s="355" t="s">
        <v>1694</v>
      </c>
      <c r="K21" s="355"/>
      <c r="L21" s="353" t="s">
        <v>52</v>
      </c>
      <c r="M21" s="423" t="s">
        <v>1503</v>
      </c>
      <c r="O21" s="355" t="s">
        <v>1515</v>
      </c>
      <c r="P21" s="100"/>
      <c r="Q21" s="96"/>
      <c r="R21" s="103" t="s">
        <v>1270</v>
      </c>
      <c r="S21" s="97"/>
      <c r="T21" s="423" t="s">
        <v>182</v>
      </c>
      <c r="V21" s="432">
        <f t="shared" si="0"/>
        <v>0</v>
      </c>
      <c r="W21" s="288" t="s">
        <v>263</v>
      </c>
      <c r="X21" s="288" t="str">
        <f>IF(W21=Llistes!$B$18,Llistes!$D$18,IF(W21=Llistes!$B$20,Llistes!$D$20,IF(W21=Llistes!$B$22,Llistes!$D$22,IF(W21=Llistes!$B$23,Llistes!$D$23,IF(W21=Llistes!$B$24,Llistes!$D$24,IF(W21=Llistes!$B$28,Llistes!$D$28))))))</f>
        <v>Tècnic coordinador</v>
      </c>
      <c r="Y21" s="288" t="s">
        <v>275</v>
      </c>
      <c r="Z21" s="325" t="s">
        <v>265</v>
      </c>
      <c r="AA21" s="94" t="s">
        <v>266</v>
      </c>
    </row>
    <row r="22" spans="1:30" ht="75">
      <c r="A22" s="332" t="s">
        <v>1496</v>
      </c>
      <c r="B22" s="365" t="s">
        <v>1650</v>
      </c>
      <c r="C22" s="366" t="s">
        <v>254</v>
      </c>
      <c r="D22" s="347" t="s">
        <v>278</v>
      </c>
      <c r="E22" s="367" t="s">
        <v>1178</v>
      </c>
      <c r="F22" s="374" t="s">
        <v>297</v>
      </c>
      <c r="G22" s="375" t="s">
        <v>298</v>
      </c>
      <c r="H22" s="374" t="s">
        <v>259</v>
      </c>
      <c r="I22" s="374" t="s">
        <v>260</v>
      </c>
      <c r="J22" s="355" t="s">
        <v>1694</v>
      </c>
      <c r="K22" s="355"/>
      <c r="L22" s="353" t="s">
        <v>52</v>
      </c>
      <c r="M22" s="423" t="s">
        <v>1503</v>
      </c>
      <c r="O22" s="355" t="s">
        <v>1516</v>
      </c>
      <c r="P22" s="100"/>
      <c r="Q22" s="96"/>
      <c r="R22" s="103" t="s">
        <v>1271</v>
      </c>
      <c r="S22" s="97">
        <v>4</v>
      </c>
      <c r="T22" s="423">
        <v>4</v>
      </c>
      <c r="V22" s="432">
        <f t="shared" si="0"/>
        <v>0</v>
      </c>
      <c r="W22" s="288" t="s">
        <v>263</v>
      </c>
      <c r="X22" s="288" t="str">
        <f>IF(W22=Llistes!$B$18,Llistes!$D$18,IF(W22=Llistes!$B$20,Llistes!$D$20,IF(W22=Llistes!$B$22,Llistes!$D$22,IF(W22=Llistes!$B$23,Llistes!$D$23,IF(W22=Llistes!$B$24,Llistes!$D$24,IF(W22=Llistes!$B$28,Llistes!$D$28))))))</f>
        <v>Tècnic coordinador</v>
      </c>
      <c r="Y22" s="288" t="s">
        <v>275</v>
      </c>
      <c r="Z22" s="325" t="s">
        <v>294</v>
      </c>
      <c r="AB22" s="94" t="s">
        <v>266</v>
      </c>
      <c r="AC22" s="94" t="s">
        <v>266</v>
      </c>
      <c r="AD22" s="94" t="s">
        <v>266</v>
      </c>
    </row>
    <row r="23" spans="1:30" ht="75">
      <c r="A23" s="332" t="s">
        <v>1496</v>
      </c>
      <c r="B23" s="365" t="s">
        <v>1650</v>
      </c>
      <c r="C23" s="366" t="s">
        <v>254</v>
      </c>
      <c r="D23" s="347" t="s">
        <v>278</v>
      </c>
      <c r="E23" s="367" t="s">
        <v>1178</v>
      </c>
      <c r="F23" s="374" t="s">
        <v>297</v>
      </c>
      <c r="G23" s="375" t="s">
        <v>298</v>
      </c>
      <c r="H23" s="374" t="s">
        <v>259</v>
      </c>
      <c r="I23" s="374" t="s">
        <v>260</v>
      </c>
      <c r="J23" s="355" t="s">
        <v>1694</v>
      </c>
      <c r="K23" s="355"/>
      <c r="L23" s="353" t="s">
        <v>53</v>
      </c>
      <c r="M23" s="423" t="s">
        <v>1503</v>
      </c>
      <c r="O23" s="355" t="s">
        <v>1321</v>
      </c>
      <c r="P23" s="100" t="s">
        <v>308</v>
      </c>
      <c r="Q23" s="96" t="s">
        <v>309</v>
      </c>
      <c r="R23" s="103" t="s">
        <v>1270</v>
      </c>
      <c r="S23" s="97"/>
      <c r="T23" s="423" t="s">
        <v>182</v>
      </c>
      <c r="V23" s="432">
        <f t="shared" si="0"/>
        <v>0</v>
      </c>
      <c r="W23" s="288" t="s">
        <v>263</v>
      </c>
      <c r="X23" s="288" t="str">
        <f>IF(W23=Llistes!$B$18,Llistes!$D$18,IF(W23=Llistes!$B$20,Llistes!$D$20,IF(W23=Llistes!$B$22,Llistes!$D$22,IF(W23=Llistes!$B$23,Llistes!$D$23,IF(W23=Llistes!$B$24,Llistes!$D$24,IF(W23=Llistes!$B$28,Llistes!$D$28))))))</f>
        <v>Tècnic coordinador</v>
      </c>
      <c r="Y23" s="288" t="s">
        <v>275</v>
      </c>
      <c r="Z23" s="325" t="s">
        <v>265</v>
      </c>
      <c r="AB23" s="94" t="s">
        <v>266</v>
      </c>
      <c r="AD23" s="94" t="s">
        <v>266</v>
      </c>
    </row>
    <row r="24" spans="1:30" ht="75">
      <c r="A24" s="332" t="s">
        <v>1496</v>
      </c>
      <c r="B24" s="365" t="s">
        <v>1650</v>
      </c>
      <c r="C24" s="366" t="s">
        <v>254</v>
      </c>
      <c r="D24" s="347" t="s">
        <v>278</v>
      </c>
      <c r="E24" s="367" t="s">
        <v>1178</v>
      </c>
      <c r="F24" s="374" t="s">
        <v>297</v>
      </c>
      <c r="G24" s="375" t="s">
        <v>298</v>
      </c>
      <c r="H24" s="374" t="s">
        <v>259</v>
      </c>
      <c r="I24" s="374" t="s">
        <v>260</v>
      </c>
      <c r="J24" s="355" t="s">
        <v>1694</v>
      </c>
      <c r="K24" s="355"/>
      <c r="L24" s="353" t="s">
        <v>52</v>
      </c>
      <c r="M24" s="423" t="s">
        <v>1503</v>
      </c>
      <c r="O24" s="355" t="s">
        <v>1697</v>
      </c>
      <c r="P24" s="100"/>
      <c r="Q24" s="96"/>
      <c r="R24" s="103" t="s">
        <v>1270</v>
      </c>
      <c r="S24" s="97"/>
      <c r="T24" s="423" t="s">
        <v>182</v>
      </c>
      <c r="V24" s="432">
        <f t="shared" si="0"/>
        <v>0</v>
      </c>
      <c r="W24" s="288" t="s">
        <v>263</v>
      </c>
      <c r="X24" s="288" t="str">
        <f>IF(W24=Llistes!$B$18,Llistes!$D$18,IF(W24=Llistes!$B$20,Llistes!$D$20,IF(W24=Llistes!$B$22,Llistes!$D$22,IF(W24=Llistes!$B$23,Llistes!$D$23,IF(W24=Llistes!$B$24,Llistes!$D$24,IF(W24=Llistes!$B$28,Llistes!$D$28))))))</f>
        <v>Tècnic coordinador</v>
      </c>
      <c r="Y24" s="288" t="s">
        <v>275</v>
      </c>
      <c r="Z24" s="325" t="s">
        <v>265</v>
      </c>
      <c r="AA24" s="94" t="s">
        <v>266</v>
      </c>
      <c r="AB24" s="94" t="s">
        <v>266</v>
      </c>
      <c r="AC24" s="94" t="s">
        <v>266</v>
      </c>
      <c r="AD24" s="94" t="s">
        <v>266</v>
      </c>
    </row>
    <row r="25" spans="1:30" ht="75">
      <c r="A25" s="333" t="s">
        <v>1496</v>
      </c>
      <c r="B25" s="365" t="s">
        <v>1650</v>
      </c>
      <c r="C25" s="370" t="s">
        <v>254</v>
      </c>
      <c r="D25" s="347" t="s">
        <v>278</v>
      </c>
      <c r="E25" s="367" t="s">
        <v>1178</v>
      </c>
      <c r="F25" s="374" t="s">
        <v>905</v>
      </c>
      <c r="G25" s="375" t="s">
        <v>1070</v>
      </c>
      <c r="H25" s="374" t="s">
        <v>318</v>
      </c>
      <c r="I25" s="374" t="s">
        <v>319</v>
      </c>
      <c r="J25" s="355" t="s">
        <v>1483</v>
      </c>
      <c r="K25" s="355" t="s">
        <v>1055</v>
      </c>
      <c r="L25" s="353"/>
      <c r="M25" s="401" t="s">
        <v>1505</v>
      </c>
      <c r="N25" s="60"/>
      <c r="O25" s="355"/>
      <c r="P25" s="90"/>
      <c r="Q25" s="90" t="s">
        <v>1071</v>
      </c>
      <c r="R25" s="60"/>
      <c r="S25" s="299"/>
      <c r="T25" s="353"/>
      <c r="U25" s="292"/>
      <c r="V25" s="432">
        <f t="shared" si="0"/>
        <v>0</v>
      </c>
      <c r="W25" s="354"/>
      <c r="X25" s="354"/>
      <c r="Y25" s="103"/>
      <c r="Z25" s="354"/>
      <c r="AA25" s="297"/>
      <c r="AB25" s="297"/>
      <c r="AC25" s="334"/>
      <c r="AD25" s="97"/>
    </row>
    <row r="26" spans="1:30" ht="75">
      <c r="A26" s="332" t="s">
        <v>1496</v>
      </c>
      <c r="B26" s="365" t="s">
        <v>1650</v>
      </c>
      <c r="C26" s="366" t="s">
        <v>254</v>
      </c>
      <c r="D26" s="347" t="s">
        <v>311</v>
      </c>
      <c r="E26" s="367" t="s">
        <v>312</v>
      </c>
      <c r="F26" s="348" t="s">
        <v>313</v>
      </c>
      <c r="G26" s="375" t="s">
        <v>314</v>
      </c>
      <c r="H26" s="374" t="s">
        <v>259</v>
      </c>
      <c r="I26" s="374" t="s">
        <v>260</v>
      </c>
      <c r="J26" s="355" t="s">
        <v>1484</v>
      </c>
      <c r="K26" s="355"/>
      <c r="L26" s="353" t="s">
        <v>52</v>
      </c>
      <c r="M26" s="423" t="s">
        <v>1505</v>
      </c>
      <c r="O26" s="355" t="s">
        <v>1517</v>
      </c>
      <c r="P26" s="100"/>
      <c r="Q26" s="96"/>
      <c r="R26" s="103" t="s">
        <v>1270</v>
      </c>
      <c r="S26" s="97"/>
      <c r="T26" s="423" t="s">
        <v>1141</v>
      </c>
      <c r="V26" s="432">
        <f t="shared" si="0"/>
        <v>0</v>
      </c>
      <c r="W26" s="288" t="s">
        <v>263</v>
      </c>
      <c r="X26" s="288" t="str">
        <f>IF(W26=Llistes!$B$18,Llistes!$D$18,IF(W26=Llistes!$B$20,Llistes!$D$20,IF(W26=Llistes!$B$22,Llistes!$D$22,IF(W26=Llistes!$B$23,Llistes!$D$23,IF(W26=Llistes!$B$24,Llistes!$D$24,IF(W26=Llistes!$B$28,Llistes!$D$28))))))</f>
        <v>Tècnic coordinador</v>
      </c>
      <c r="Y26" s="288" t="s">
        <v>275</v>
      </c>
      <c r="Z26" s="325" t="s">
        <v>265</v>
      </c>
      <c r="AA26" s="94" t="s">
        <v>266</v>
      </c>
    </row>
    <row r="27" spans="1:30" ht="75">
      <c r="A27" s="332" t="s">
        <v>1496</v>
      </c>
      <c r="B27" s="365" t="s">
        <v>1650</v>
      </c>
      <c r="C27" s="366" t="s">
        <v>254</v>
      </c>
      <c r="D27" s="347" t="s">
        <v>311</v>
      </c>
      <c r="E27" s="367" t="s">
        <v>312</v>
      </c>
      <c r="F27" s="348" t="s">
        <v>313</v>
      </c>
      <c r="G27" s="375" t="s">
        <v>314</v>
      </c>
      <c r="H27" s="374" t="s">
        <v>259</v>
      </c>
      <c r="I27" s="374" t="s">
        <v>260</v>
      </c>
      <c r="J27" s="355" t="s">
        <v>1484</v>
      </c>
      <c r="K27" s="355"/>
      <c r="L27" s="353" t="s">
        <v>52</v>
      </c>
      <c r="M27" s="423" t="s">
        <v>1505</v>
      </c>
      <c r="O27" s="355" t="s">
        <v>1329</v>
      </c>
      <c r="P27" s="95" t="s">
        <v>284</v>
      </c>
      <c r="Q27" s="96" t="s">
        <v>315</v>
      </c>
      <c r="R27" s="288" t="s">
        <v>1026</v>
      </c>
      <c r="S27" s="97">
        <v>1</v>
      </c>
      <c r="T27" s="423">
        <v>2</v>
      </c>
      <c r="V27" s="432">
        <f t="shared" si="0"/>
        <v>0</v>
      </c>
      <c r="W27" s="288" t="s">
        <v>263</v>
      </c>
      <c r="X27" s="288" t="str">
        <f>IF(W27=Llistes!$B$18,Llistes!$D$18,IF(W27=Llistes!$B$20,Llistes!$D$20,IF(W27=Llistes!$B$22,Llistes!$D$22,IF(W27=Llistes!$B$23,Llistes!$D$23,IF(W27=Llistes!$B$24,Llistes!$D$24,IF(W27=Llistes!$B$28,Llistes!$D$28))))))</f>
        <v>Tècnic coordinador</v>
      </c>
      <c r="Y27" s="288" t="s">
        <v>264</v>
      </c>
      <c r="Z27" s="325" t="s">
        <v>294</v>
      </c>
      <c r="AA27" s="94" t="s">
        <v>266</v>
      </c>
      <c r="AB27" s="94" t="s">
        <v>266</v>
      </c>
      <c r="AC27" s="94" t="s">
        <v>266</v>
      </c>
      <c r="AD27" s="94" t="s">
        <v>266</v>
      </c>
    </row>
    <row r="28" spans="1:30" ht="75">
      <c r="A28" s="332" t="s">
        <v>1496</v>
      </c>
      <c r="B28" s="365" t="s">
        <v>1650</v>
      </c>
      <c r="C28" s="366" t="s">
        <v>254</v>
      </c>
      <c r="D28" s="347" t="s">
        <v>311</v>
      </c>
      <c r="E28" s="367" t="s">
        <v>312</v>
      </c>
      <c r="F28" s="348" t="s">
        <v>316</v>
      </c>
      <c r="G28" s="375" t="s">
        <v>317</v>
      </c>
      <c r="H28" s="374" t="s">
        <v>318</v>
      </c>
      <c r="I28" s="374" t="s">
        <v>319</v>
      </c>
      <c r="J28" s="355" t="s">
        <v>1334</v>
      </c>
      <c r="K28" s="355"/>
      <c r="L28" s="353" t="s">
        <v>52</v>
      </c>
      <c r="M28" s="423" t="s">
        <v>1504</v>
      </c>
      <c r="O28" s="355" t="s">
        <v>1328</v>
      </c>
      <c r="P28" s="95" t="s">
        <v>270</v>
      </c>
      <c r="Q28" s="96" t="s">
        <v>315</v>
      </c>
      <c r="R28" s="288" t="s">
        <v>1029</v>
      </c>
      <c r="S28" s="97">
        <v>1</v>
      </c>
      <c r="T28" s="423">
        <v>1</v>
      </c>
      <c r="V28" s="432">
        <f t="shared" si="0"/>
        <v>0</v>
      </c>
      <c r="W28" s="288" t="s">
        <v>263</v>
      </c>
      <c r="X28" s="288" t="str">
        <f>IF(W28=Llistes!$B$18,Llistes!$D$18,IF(W28=Llistes!$B$20,Llistes!$D$20,IF(W28=Llistes!$B$22,Llistes!$D$22,IF(W28=Llistes!$B$23,Llistes!$D$23,IF(W28=Llistes!$B$24,Llistes!$D$24,IF(W28=Llistes!$B$28,Llistes!$D$28))))))</f>
        <v>Tècnic coordinador</v>
      </c>
      <c r="Y28" s="288" t="s">
        <v>275</v>
      </c>
      <c r="Z28" s="325" t="s">
        <v>294</v>
      </c>
      <c r="AA28" s="94" t="s">
        <v>266</v>
      </c>
      <c r="AB28" s="94" t="s">
        <v>266</v>
      </c>
    </row>
    <row r="29" spans="1:30" ht="75">
      <c r="A29" s="332" t="s">
        <v>1496</v>
      </c>
      <c r="B29" s="365" t="s">
        <v>1650</v>
      </c>
      <c r="C29" s="366" t="s">
        <v>254</v>
      </c>
      <c r="D29" s="347" t="s">
        <v>311</v>
      </c>
      <c r="E29" s="367" t="s">
        <v>312</v>
      </c>
      <c r="F29" s="348" t="s">
        <v>316</v>
      </c>
      <c r="G29" s="375" t="s">
        <v>317</v>
      </c>
      <c r="H29" s="374" t="s">
        <v>318</v>
      </c>
      <c r="I29" s="374" t="s">
        <v>319</v>
      </c>
      <c r="J29" s="355" t="s">
        <v>1334</v>
      </c>
      <c r="K29" s="355"/>
      <c r="L29" s="353" t="s">
        <v>52</v>
      </c>
      <c r="M29" s="423" t="s">
        <v>1504</v>
      </c>
      <c r="O29" s="355" t="s">
        <v>1322</v>
      </c>
      <c r="P29" s="95" t="s">
        <v>270</v>
      </c>
      <c r="Q29" s="96" t="s">
        <v>315</v>
      </c>
      <c r="R29" s="288" t="s">
        <v>1030</v>
      </c>
      <c r="S29" s="97">
        <v>0</v>
      </c>
      <c r="T29" s="423">
        <v>1</v>
      </c>
      <c r="V29" s="432">
        <f t="shared" si="0"/>
        <v>0</v>
      </c>
      <c r="W29" s="288" t="s">
        <v>263</v>
      </c>
      <c r="X29" s="288" t="str">
        <f>IF(W29=Llistes!$B$18,Llistes!$D$18,IF(W29=Llistes!$B$20,Llistes!$D$20,IF(W29=Llistes!$B$22,Llistes!$D$22,IF(W29=Llistes!$B$23,Llistes!$D$23,IF(W29=Llistes!$B$24,Llistes!$D$24,IF(W29=Llistes!$B$28,Llistes!$D$28))))))</f>
        <v>Tècnic coordinador</v>
      </c>
      <c r="Y29" s="288" t="s">
        <v>275</v>
      </c>
      <c r="Z29" s="325" t="s">
        <v>265</v>
      </c>
      <c r="AB29" s="94" t="s">
        <v>266</v>
      </c>
      <c r="AD29" s="94" t="s">
        <v>266</v>
      </c>
    </row>
    <row r="30" spans="1:30" ht="75">
      <c r="A30" s="332" t="s">
        <v>1496</v>
      </c>
      <c r="B30" s="365" t="s">
        <v>1650</v>
      </c>
      <c r="C30" s="366" t="s">
        <v>254</v>
      </c>
      <c r="D30" s="347" t="s">
        <v>311</v>
      </c>
      <c r="E30" s="367" t="s">
        <v>312</v>
      </c>
      <c r="F30" s="348" t="s">
        <v>320</v>
      </c>
      <c r="G30" s="375" t="s">
        <v>321</v>
      </c>
      <c r="H30" s="374" t="s">
        <v>318</v>
      </c>
      <c r="I30" s="374" t="s">
        <v>319</v>
      </c>
      <c r="J30" s="355" t="s">
        <v>1335</v>
      </c>
      <c r="K30" s="355"/>
      <c r="L30" s="353" t="s">
        <v>52</v>
      </c>
      <c r="M30" s="423" t="s">
        <v>1505</v>
      </c>
      <c r="O30" s="355" t="s">
        <v>1518</v>
      </c>
      <c r="P30" s="95" t="s">
        <v>270</v>
      </c>
      <c r="Q30" s="96" t="s">
        <v>315</v>
      </c>
      <c r="R30" s="288" t="s">
        <v>1031</v>
      </c>
      <c r="S30" s="97">
        <v>1</v>
      </c>
      <c r="T30" s="423">
        <v>2</v>
      </c>
      <c r="V30" s="432">
        <f t="shared" si="0"/>
        <v>0</v>
      </c>
      <c r="W30" s="288" t="s">
        <v>835</v>
      </c>
      <c r="X30" s="288" t="s">
        <v>1189</v>
      </c>
      <c r="Y30" s="288" t="s">
        <v>275</v>
      </c>
      <c r="Z30" s="325" t="s">
        <v>265</v>
      </c>
      <c r="AA30" s="94" t="s">
        <v>266</v>
      </c>
      <c r="AB30" s="94" t="s">
        <v>266</v>
      </c>
      <c r="AC30" s="94" t="s">
        <v>266</v>
      </c>
      <c r="AD30" s="94" t="s">
        <v>266</v>
      </c>
    </row>
    <row r="31" spans="1:30" ht="75">
      <c r="A31" s="332" t="s">
        <v>1496</v>
      </c>
      <c r="B31" s="365" t="s">
        <v>1650</v>
      </c>
      <c r="C31" s="366" t="s">
        <v>254</v>
      </c>
      <c r="D31" s="347" t="s">
        <v>311</v>
      </c>
      <c r="E31" s="367" t="s">
        <v>312</v>
      </c>
      <c r="F31" s="348" t="s">
        <v>322</v>
      </c>
      <c r="G31" s="375" t="s">
        <v>323</v>
      </c>
      <c r="H31" s="374" t="s">
        <v>318</v>
      </c>
      <c r="I31" s="374" t="s">
        <v>319</v>
      </c>
      <c r="J31" s="355" t="s">
        <v>1698</v>
      </c>
      <c r="K31" s="355"/>
      <c r="L31" s="353" t="s">
        <v>52</v>
      </c>
      <c r="M31" s="423" t="s">
        <v>1505</v>
      </c>
      <c r="O31" s="355" t="s">
        <v>1323</v>
      </c>
      <c r="P31" s="95" t="s">
        <v>270</v>
      </c>
      <c r="Q31" s="96" t="s">
        <v>315</v>
      </c>
      <c r="R31" s="288" t="s">
        <v>1026</v>
      </c>
      <c r="S31" s="97">
        <v>1</v>
      </c>
      <c r="T31" s="423">
        <v>2</v>
      </c>
      <c r="V31" s="432">
        <f t="shared" si="0"/>
        <v>0</v>
      </c>
      <c r="W31" s="288" t="s">
        <v>263</v>
      </c>
      <c r="X31" s="288" t="str">
        <f>IF(W31=Llistes!$B$18,Llistes!$D$18,IF(W31=Llistes!$B$20,Llistes!$D$20,IF(W31=Llistes!$B$22,Llistes!$D$22,IF(W31=Llistes!$B$23,Llistes!$D$23,IF(W31=Llistes!$B$24,Llistes!$D$24,IF(W31=Llistes!$B$28,Llistes!$D$28))))))</f>
        <v>Tècnic coordinador</v>
      </c>
      <c r="Y31" s="288" t="s">
        <v>275</v>
      </c>
      <c r="Z31" s="325" t="s">
        <v>294</v>
      </c>
      <c r="AB31" s="94" t="s">
        <v>266</v>
      </c>
      <c r="AD31" s="94" t="s">
        <v>266</v>
      </c>
    </row>
    <row r="32" spans="1:30" ht="48" customHeight="1">
      <c r="A32" s="333" t="s">
        <v>1496</v>
      </c>
      <c r="B32" s="365" t="s">
        <v>1650</v>
      </c>
      <c r="C32" s="370" t="s">
        <v>254</v>
      </c>
      <c r="D32" s="347" t="s">
        <v>311</v>
      </c>
      <c r="E32" s="367" t="s">
        <v>312</v>
      </c>
      <c r="F32" s="348" t="s">
        <v>324</v>
      </c>
      <c r="G32" s="375" t="s">
        <v>1181</v>
      </c>
      <c r="H32" s="374" t="s">
        <v>318</v>
      </c>
      <c r="I32" s="374" t="s">
        <v>281</v>
      </c>
      <c r="J32" s="355" t="s">
        <v>1336</v>
      </c>
      <c r="K32" s="355" t="s">
        <v>1055</v>
      </c>
      <c r="L32" s="353"/>
      <c r="M32" s="401" t="s">
        <v>1504</v>
      </c>
      <c r="N32" s="60"/>
      <c r="O32" s="356"/>
      <c r="P32" s="90"/>
      <c r="Q32" s="90"/>
      <c r="R32" s="60"/>
      <c r="S32" s="292"/>
      <c r="T32" s="353"/>
      <c r="U32" s="292"/>
      <c r="V32" s="432">
        <f t="shared" si="0"/>
        <v>0</v>
      </c>
      <c r="W32" s="354"/>
      <c r="X32" s="354" t="str">
        <f>IF(W32=[1]Llistes!$K$2,[1]Llistes!$L$2,IF(W32=[1]Llistes!$K$3,[1]Llistes!$L$3,IF(W32=[1]Llistes!$K$4,[1]Llistes!$L$4,IF(W32=[1]Llistes!$K$5,[1]Llistes!$L$5,IF(W32=[1]Llistes!$K$6,[1]Llistes!$L$6,IF(W32=[1]Llistes!$K$7,[1]Llistes!$L$7,""))))))</f>
        <v/>
      </c>
      <c r="Y32" s="103"/>
      <c r="Z32" s="354"/>
      <c r="AA32" s="297"/>
      <c r="AB32" s="297"/>
      <c r="AC32" s="334"/>
      <c r="AD32" s="97"/>
    </row>
    <row r="33" spans="1:30" ht="75">
      <c r="A33" s="332" t="s">
        <v>1496</v>
      </c>
      <c r="B33" s="365" t="s">
        <v>1650</v>
      </c>
      <c r="C33" s="366" t="s">
        <v>254</v>
      </c>
      <c r="D33" s="347" t="s">
        <v>311</v>
      </c>
      <c r="E33" s="367" t="s">
        <v>312</v>
      </c>
      <c r="F33" s="348" t="s">
        <v>325</v>
      </c>
      <c r="G33" s="375" t="s">
        <v>326</v>
      </c>
      <c r="H33" s="374" t="s">
        <v>318</v>
      </c>
      <c r="I33" s="374" t="s">
        <v>319</v>
      </c>
      <c r="J33" s="355" t="s">
        <v>1337</v>
      </c>
      <c r="K33" s="355"/>
      <c r="L33" s="353" t="s">
        <v>52</v>
      </c>
      <c r="M33" s="423" t="s">
        <v>1505</v>
      </c>
      <c r="O33" s="355" t="s">
        <v>1519</v>
      </c>
      <c r="P33" s="95"/>
      <c r="Q33" s="96" t="s">
        <v>315</v>
      </c>
      <c r="R33" s="288" t="s">
        <v>1031</v>
      </c>
      <c r="S33" s="97">
        <v>4</v>
      </c>
      <c r="T33" s="423">
        <v>8</v>
      </c>
      <c r="V33" s="432">
        <f t="shared" si="0"/>
        <v>0</v>
      </c>
      <c r="W33" s="288" t="s">
        <v>835</v>
      </c>
      <c r="X33" s="288" t="s">
        <v>1189</v>
      </c>
      <c r="Y33" s="288" t="s">
        <v>1033</v>
      </c>
      <c r="Z33" s="325" t="s">
        <v>796</v>
      </c>
      <c r="AA33" s="94" t="s">
        <v>266</v>
      </c>
      <c r="AB33" s="94" t="s">
        <v>266</v>
      </c>
      <c r="AC33" s="94" t="s">
        <v>266</v>
      </c>
      <c r="AD33" s="94" t="s">
        <v>266</v>
      </c>
    </row>
    <row r="34" spans="1:30" ht="67.900000000000006" customHeight="1">
      <c r="A34" s="333" t="s">
        <v>1496</v>
      </c>
      <c r="B34" s="365" t="s">
        <v>1650</v>
      </c>
      <c r="C34" s="370" t="s">
        <v>254</v>
      </c>
      <c r="D34" s="347" t="s">
        <v>327</v>
      </c>
      <c r="E34" s="367" t="s">
        <v>328</v>
      </c>
      <c r="F34" s="348" t="s">
        <v>329</v>
      </c>
      <c r="G34" s="375" t="s">
        <v>1072</v>
      </c>
      <c r="H34" s="374" t="s">
        <v>259</v>
      </c>
      <c r="I34" s="374" t="s">
        <v>281</v>
      </c>
      <c r="J34" s="355" t="s">
        <v>1485</v>
      </c>
      <c r="K34" s="355" t="s">
        <v>1055</v>
      </c>
      <c r="L34" s="353"/>
      <c r="M34" s="401" t="s">
        <v>1503</v>
      </c>
      <c r="N34" s="60"/>
      <c r="O34" s="356"/>
      <c r="P34" s="90"/>
      <c r="Q34" s="90"/>
      <c r="R34" s="60"/>
      <c r="S34" s="292"/>
      <c r="T34" s="353"/>
      <c r="U34" s="292"/>
      <c r="V34" s="432">
        <f t="shared" si="0"/>
        <v>0</v>
      </c>
      <c r="W34" s="354"/>
      <c r="X34" s="354"/>
      <c r="Y34" s="103"/>
      <c r="Z34" s="354"/>
      <c r="AA34" s="297"/>
      <c r="AB34" s="297"/>
      <c r="AC34" s="334"/>
      <c r="AD34" s="97"/>
    </row>
    <row r="35" spans="1:30" ht="75">
      <c r="A35" s="332" t="s">
        <v>1496</v>
      </c>
      <c r="B35" s="365" t="s">
        <v>1650</v>
      </c>
      <c r="C35" s="366" t="s">
        <v>254</v>
      </c>
      <c r="D35" s="347" t="s">
        <v>327</v>
      </c>
      <c r="E35" s="367" t="s">
        <v>328</v>
      </c>
      <c r="F35" s="348" t="s">
        <v>330</v>
      </c>
      <c r="G35" s="375" t="s">
        <v>331</v>
      </c>
      <c r="H35" s="374" t="s">
        <v>259</v>
      </c>
      <c r="I35" s="374" t="s">
        <v>319</v>
      </c>
      <c r="J35" s="355" t="s">
        <v>331</v>
      </c>
      <c r="K35" s="355"/>
      <c r="L35" s="353" t="s">
        <v>52</v>
      </c>
      <c r="M35" s="423" t="s">
        <v>1504</v>
      </c>
      <c r="O35" s="355" t="s">
        <v>1150</v>
      </c>
      <c r="P35" s="95"/>
      <c r="Q35" s="96"/>
      <c r="R35" s="103" t="s">
        <v>1270</v>
      </c>
      <c r="S35" s="97"/>
      <c r="T35" s="423" t="s">
        <v>182</v>
      </c>
      <c r="V35" s="432">
        <f t="shared" si="0"/>
        <v>0</v>
      </c>
      <c r="W35" s="288" t="s">
        <v>835</v>
      </c>
      <c r="X35" s="288" t="s">
        <v>1189</v>
      </c>
      <c r="Y35" s="288" t="s">
        <v>264</v>
      </c>
      <c r="Z35" s="325" t="s">
        <v>294</v>
      </c>
      <c r="AC35" s="94" t="s">
        <v>266</v>
      </c>
    </row>
    <row r="36" spans="1:30" ht="75">
      <c r="A36" s="332" t="s">
        <v>1496</v>
      </c>
      <c r="B36" s="365" t="s">
        <v>1650</v>
      </c>
      <c r="C36" s="366" t="s">
        <v>254</v>
      </c>
      <c r="D36" s="347" t="s">
        <v>327</v>
      </c>
      <c r="E36" s="367" t="s">
        <v>328</v>
      </c>
      <c r="F36" s="348" t="s">
        <v>330</v>
      </c>
      <c r="G36" s="375" t="s">
        <v>331</v>
      </c>
      <c r="H36" s="374" t="s">
        <v>259</v>
      </c>
      <c r="I36" s="374" t="s">
        <v>319</v>
      </c>
      <c r="J36" s="355" t="s">
        <v>1486</v>
      </c>
      <c r="K36" s="355"/>
      <c r="L36" s="353" t="s">
        <v>52</v>
      </c>
      <c r="M36" s="423" t="s">
        <v>1504</v>
      </c>
      <c r="O36" s="355" t="s">
        <v>1327</v>
      </c>
      <c r="P36" s="95"/>
      <c r="Q36" s="96"/>
      <c r="R36" s="103" t="s">
        <v>1270</v>
      </c>
      <c r="S36" s="97"/>
      <c r="T36" s="423" t="s">
        <v>182</v>
      </c>
      <c r="V36" s="432">
        <f t="shared" si="0"/>
        <v>0</v>
      </c>
      <c r="W36" s="288" t="s">
        <v>835</v>
      </c>
      <c r="X36" s="288" t="s">
        <v>1189</v>
      </c>
      <c r="Y36" s="288" t="s">
        <v>264</v>
      </c>
      <c r="Z36" s="325" t="s">
        <v>294</v>
      </c>
      <c r="AC36" s="94" t="s">
        <v>266</v>
      </c>
    </row>
    <row r="37" spans="1:30" ht="75">
      <c r="A37" s="332" t="s">
        <v>1496</v>
      </c>
      <c r="B37" s="365" t="s">
        <v>1650</v>
      </c>
      <c r="C37" s="366" t="s">
        <v>254</v>
      </c>
      <c r="D37" s="347" t="s">
        <v>327</v>
      </c>
      <c r="E37" s="367" t="s">
        <v>328</v>
      </c>
      <c r="F37" s="348" t="s">
        <v>330</v>
      </c>
      <c r="G37" s="375" t="s">
        <v>331</v>
      </c>
      <c r="H37" s="374" t="s">
        <v>259</v>
      </c>
      <c r="I37" s="374" t="s">
        <v>319</v>
      </c>
      <c r="J37" s="355" t="s">
        <v>1486</v>
      </c>
      <c r="K37" s="355"/>
      <c r="L37" s="353" t="s">
        <v>52</v>
      </c>
      <c r="M37" s="423" t="s">
        <v>1504</v>
      </c>
      <c r="O37" s="355" t="s">
        <v>1326</v>
      </c>
      <c r="P37" s="95"/>
      <c r="Q37" s="96"/>
      <c r="R37" s="103" t="s">
        <v>1270</v>
      </c>
      <c r="S37" s="97"/>
      <c r="T37" s="423" t="s">
        <v>182</v>
      </c>
      <c r="V37" s="432">
        <f t="shared" si="0"/>
        <v>0</v>
      </c>
      <c r="W37" s="288" t="s">
        <v>835</v>
      </c>
      <c r="X37" s="288" t="s">
        <v>1189</v>
      </c>
      <c r="Y37" s="288" t="s">
        <v>264</v>
      </c>
      <c r="Z37" s="325" t="s">
        <v>294</v>
      </c>
      <c r="AB37" s="94" t="s">
        <v>266</v>
      </c>
    </row>
    <row r="38" spans="1:30" ht="75">
      <c r="A38" s="332" t="s">
        <v>1496</v>
      </c>
      <c r="B38" s="365" t="s">
        <v>1650</v>
      </c>
      <c r="C38" s="366" t="s">
        <v>254</v>
      </c>
      <c r="D38" s="347" t="s">
        <v>327</v>
      </c>
      <c r="E38" s="367" t="s">
        <v>328</v>
      </c>
      <c r="F38" s="348" t="s">
        <v>332</v>
      </c>
      <c r="G38" s="375" t="s">
        <v>333</v>
      </c>
      <c r="H38" s="374" t="s">
        <v>318</v>
      </c>
      <c r="I38" s="374" t="s">
        <v>319</v>
      </c>
      <c r="J38" s="355" t="s">
        <v>1487</v>
      </c>
      <c r="K38" s="355" t="s">
        <v>1039</v>
      </c>
      <c r="L38" s="353" t="s">
        <v>52</v>
      </c>
      <c r="M38" s="423" t="s">
        <v>1503</v>
      </c>
      <c r="O38" s="355" t="s">
        <v>1520</v>
      </c>
      <c r="P38" s="95" t="s">
        <v>284</v>
      </c>
      <c r="Q38" s="96"/>
      <c r="R38" s="103" t="s">
        <v>1270</v>
      </c>
      <c r="S38" s="97"/>
      <c r="T38" s="423" t="s">
        <v>182</v>
      </c>
      <c r="V38" s="432">
        <f t="shared" si="0"/>
        <v>0</v>
      </c>
      <c r="W38" s="288" t="s">
        <v>263</v>
      </c>
      <c r="X38" s="288" t="str">
        <f>IF(W38=Llistes!$B$18,Llistes!$D$18,IF(W38=Llistes!$B$20,Llistes!$D$20,IF(W38=Llistes!$B$22,Llistes!$D$22,IF(W38=Llistes!$B$23,Llistes!$D$23,IF(W38=Llistes!$B$24,Llistes!$D$24,IF(W38=Llistes!$B$28,Llistes!$D$28))))))</f>
        <v>Tècnic coordinador</v>
      </c>
      <c r="Y38" s="288" t="s">
        <v>1036</v>
      </c>
      <c r="Z38" s="325" t="s">
        <v>265</v>
      </c>
      <c r="AA38" s="94" t="s">
        <v>266</v>
      </c>
      <c r="AB38" s="94" t="s">
        <v>266</v>
      </c>
      <c r="AC38" s="94" t="s">
        <v>266</v>
      </c>
      <c r="AD38" s="94" t="s">
        <v>266</v>
      </c>
    </row>
    <row r="39" spans="1:30" ht="60">
      <c r="A39" s="332" t="s">
        <v>1496</v>
      </c>
      <c r="B39" s="365" t="s">
        <v>1651</v>
      </c>
      <c r="C39" s="371" t="s">
        <v>334</v>
      </c>
      <c r="D39" s="347" t="s">
        <v>335</v>
      </c>
      <c r="E39" s="367" t="s">
        <v>336</v>
      </c>
      <c r="F39" s="348" t="s">
        <v>337</v>
      </c>
      <c r="G39" s="375" t="s">
        <v>338</v>
      </c>
      <c r="H39" s="374" t="s">
        <v>259</v>
      </c>
      <c r="I39" s="374" t="s">
        <v>260</v>
      </c>
      <c r="J39" s="355" t="s">
        <v>338</v>
      </c>
      <c r="K39" s="355"/>
      <c r="L39" s="353" t="s">
        <v>52</v>
      </c>
      <c r="M39" s="423" t="s">
        <v>1504</v>
      </c>
      <c r="O39" s="355" t="s">
        <v>1324</v>
      </c>
      <c r="P39" s="95"/>
      <c r="Q39" s="96" t="s">
        <v>339</v>
      </c>
      <c r="R39" s="103" t="s">
        <v>1270</v>
      </c>
      <c r="S39" s="97"/>
      <c r="T39" s="423" t="s">
        <v>182</v>
      </c>
      <c r="V39" s="432">
        <f t="shared" si="0"/>
        <v>0</v>
      </c>
      <c r="W39" s="288" t="s">
        <v>835</v>
      </c>
      <c r="X39" s="288" t="s">
        <v>1189</v>
      </c>
      <c r="Y39" s="288" t="s">
        <v>264</v>
      </c>
      <c r="Z39" s="325" t="s">
        <v>265</v>
      </c>
      <c r="AD39" s="94" t="s">
        <v>266</v>
      </c>
    </row>
    <row r="40" spans="1:30" ht="60">
      <c r="A40" s="332" t="s">
        <v>1496</v>
      </c>
      <c r="B40" s="365" t="s">
        <v>1651</v>
      </c>
      <c r="C40" s="371" t="s">
        <v>334</v>
      </c>
      <c r="D40" s="347" t="s">
        <v>335</v>
      </c>
      <c r="E40" s="367" t="s">
        <v>336</v>
      </c>
      <c r="F40" s="348" t="s">
        <v>340</v>
      </c>
      <c r="G40" s="375" t="s">
        <v>341</v>
      </c>
      <c r="H40" s="374" t="s">
        <v>259</v>
      </c>
      <c r="I40" s="374" t="s">
        <v>281</v>
      </c>
      <c r="J40" s="355" t="s">
        <v>341</v>
      </c>
      <c r="K40" s="355"/>
      <c r="L40" s="353" t="s">
        <v>52</v>
      </c>
      <c r="M40" s="423" t="s">
        <v>1504</v>
      </c>
      <c r="O40" s="355" t="s">
        <v>1325</v>
      </c>
      <c r="P40" s="95"/>
      <c r="Q40" s="96"/>
      <c r="R40" s="288" t="s">
        <v>291</v>
      </c>
      <c r="S40" s="97">
        <v>4</v>
      </c>
      <c r="T40" s="423">
        <v>8</v>
      </c>
      <c r="V40" s="432">
        <f t="shared" si="0"/>
        <v>0</v>
      </c>
      <c r="W40" s="288" t="s">
        <v>263</v>
      </c>
      <c r="X40" s="288" t="str">
        <f>IF(W40=Llistes!$B$18,Llistes!$D$18,IF(W40=Llistes!$B$20,Llistes!$D$20,IF(W40=Llistes!$B$22,Llistes!$D$22,IF(W40=Llistes!$B$23,Llistes!$D$23,IF(W40=Llistes!$B$24,Llistes!$D$24,IF(W40=Llistes!$B$28,Llistes!$D$28))))))</f>
        <v>Tècnic coordinador</v>
      </c>
      <c r="Y40" s="288" t="s">
        <v>275</v>
      </c>
      <c r="Z40" s="325" t="s">
        <v>265</v>
      </c>
      <c r="AA40" s="94" t="s">
        <v>266</v>
      </c>
      <c r="AB40" s="94" t="s">
        <v>266</v>
      </c>
      <c r="AC40" s="94" t="s">
        <v>266</v>
      </c>
      <c r="AD40" s="94" t="s">
        <v>266</v>
      </c>
    </row>
    <row r="41" spans="1:30" ht="60">
      <c r="A41" s="332" t="s">
        <v>1496</v>
      </c>
      <c r="B41" s="365" t="s">
        <v>1651</v>
      </c>
      <c r="C41" s="371" t="s">
        <v>334</v>
      </c>
      <c r="D41" s="347" t="s">
        <v>335</v>
      </c>
      <c r="E41" s="367" t="s">
        <v>336</v>
      </c>
      <c r="F41" s="348" t="s">
        <v>342</v>
      </c>
      <c r="G41" s="375" t="s">
        <v>343</v>
      </c>
      <c r="H41" s="374" t="s">
        <v>318</v>
      </c>
      <c r="I41" s="374" t="s">
        <v>319</v>
      </c>
      <c r="J41" s="355" t="s">
        <v>1488</v>
      </c>
      <c r="K41" s="355"/>
      <c r="L41" s="353" t="s">
        <v>52</v>
      </c>
      <c r="M41" s="423" t="s">
        <v>1505</v>
      </c>
      <c r="O41" s="355" t="s">
        <v>1668</v>
      </c>
      <c r="P41" s="95"/>
      <c r="Q41" s="96" t="s">
        <v>344</v>
      </c>
      <c r="R41" s="103" t="s">
        <v>1270</v>
      </c>
      <c r="S41" s="97"/>
      <c r="T41" s="423" t="s">
        <v>182</v>
      </c>
      <c r="V41" s="432">
        <f t="shared" si="0"/>
        <v>0</v>
      </c>
      <c r="W41" s="288" t="s">
        <v>835</v>
      </c>
      <c r="X41" s="288" t="s">
        <v>1189</v>
      </c>
      <c r="Y41" s="288" t="s">
        <v>264</v>
      </c>
      <c r="Z41" s="325" t="s">
        <v>265</v>
      </c>
      <c r="AB41" s="94" t="s">
        <v>266</v>
      </c>
    </row>
    <row r="42" spans="1:30" ht="60">
      <c r="A42" s="332" t="s">
        <v>1496</v>
      </c>
      <c r="B42" s="365" t="s">
        <v>1651</v>
      </c>
      <c r="C42" s="371" t="s">
        <v>334</v>
      </c>
      <c r="D42" s="347" t="s">
        <v>335</v>
      </c>
      <c r="E42" s="367" t="s">
        <v>336</v>
      </c>
      <c r="F42" s="348" t="s">
        <v>342</v>
      </c>
      <c r="G42" s="375" t="s">
        <v>343</v>
      </c>
      <c r="H42" s="374" t="s">
        <v>318</v>
      </c>
      <c r="I42" s="374" t="s">
        <v>319</v>
      </c>
      <c r="J42" s="355" t="s">
        <v>1488</v>
      </c>
      <c r="K42" s="355"/>
      <c r="L42" s="353" t="s">
        <v>52</v>
      </c>
      <c r="M42" s="423" t="s">
        <v>1505</v>
      </c>
      <c r="O42" s="355" t="s">
        <v>1667</v>
      </c>
      <c r="P42" s="95"/>
      <c r="Q42" s="96" t="s">
        <v>344</v>
      </c>
      <c r="R42" s="103" t="s">
        <v>1270</v>
      </c>
      <c r="S42" s="97"/>
      <c r="T42" s="423" t="s">
        <v>182</v>
      </c>
      <c r="V42" s="432">
        <f t="shared" si="0"/>
        <v>0</v>
      </c>
      <c r="W42" s="288" t="s">
        <v>835</v>
      </c>
      <c r="X42" s="288" t="s">
        <v>1189</v>
      </c>
      <c r="Y42" s="288" t="s">
        <v>264</v>
      </c>
      <c r="Z42" s="325" t="s">
        <v>265</v>
      </c>
      <c r="AC42" s="94" t="s">
        <v>266</v>
      </c>
    </row>
    <row r="43" spans="1:30" ht="60">
      <c r="A43" s="332" t="s">
        <v>1496</v>
      </c>
      <c r="B43" s="365" t="s">
        <v>1651</v>
      </c>
      <c r="C43" s="371" t="s">
        <v>334</v>
      </c>
      <c r="D43" s="347" t="s">
        <v>347</v>
      </c>
      <c r="E43" s="367" t="s">
        <v>348</v>
      </c>
      <c r="F43" s="348" t="s">
        <v>349</v>
      </c>
      <c r="G43" s="375" t="s">
        <v>350</v>
      </c>
      <c r="H43" s="374" t="s">
        <v>259</v>
      </c>
      <c r="I43" s="374" t="s">
        <v>260</v>
      </c>
      <c r="J43" s="355" t="s">
        <v>1489</v>
      </c>
      <c r="K43" s="355" t="s">
        <v>1052</v>
      </c>
      <c r="L43" s="353"/>
      <c r="M43" s="423" t="s">
        <v>1504</v>
      </c>
      <c r="O43" s="355"/>
      <c r="P43" s="95" t="s">
        <v>284</v>
      </c>
      <c r="Q43" s="96" t="s">
        <v>351</v>
      </c>
      <c r="S43" s="97"/>
      <c r="V43" s="432">
        <f t="shared" si="0"/>
        <v>0</v>
      </c>
      <c r="W43" s="288"/>
      <c r="X43" s="288"/>
    </row>
    <row r="44" spans="1:30" ht="60">
      <c r="A44" s="332" t="s">
        <v>1496</v>
      </c>
      <c r="B44" s="365" t="s">
        <v>1651</v>
      </c>
      <c r="C44" s="371" t="s">
        <v>334</v>
      </c>
      <c r="D44" s="347" t="s">
        <v>347</v>
      </c>
      <c r="E44" s="367" t="s">
        <v>348</v>
      </c>
      <c r="F44" s="348" t="s">
        <v>352</v>
      </c>
      <c r="G44" s="375" t="s">
        <v>1073</v>
      </c>
      <c r="H44" s="374" t="s">
        <v>318</v>
      </c>
      <c r="I44" s="374" t="s">
        <v>281</v>
      </c>
      <c r="J44" s="355" t="s">
        <v>1490</v>
      </c>
      <c r="K44" s="355" t="s">
        <v>1055</v>
      </c>
      <c r="L44" s="353"/>
      <c r="M44" s="423" t="s">
        <v>1504</v>
      </c>
      <c r="O44" s="355"/>
      <c r="P44" s="95"/>
      <c r="Q44" s="96"/>
      <c r="S44" s="97"/>
      <c r="V44" s="432">
        <f t="shared" si="0"/>
        <v>0</v>
      </c>
      <c r="W44" s="288"/>
      <c r="X44" s="288"/>
    </row>
    <row r="45" spans="1:30" ht="60">
      <c r="A45" s="332" t="s">
        <v>1496</v>
      </c>
      <c r="B45" s="365" t="s">
        <v>1651</v>
      </c>
      <c r="C45" s="371" t="s">
        <v>334</v>
      </c>
      <c r="D45" s="347" t="s">
        <v>347</v>
      </c>
      <c r="E45" s="367" t="s">
        <v>348</v>
      </c>
      <c r="F45" s="348" t="s">
        <v>353</v>
      </c>
      <c r="G45" s="375" t="s">
        <v>354</v>
      </c>
      <c r="H45" s="374" t="s">
        <v>259</v>
      </c>
      <c r="I45" s="374" t="s">
        <v>260</v>
      </c>
      <c r="J45" s="355" t="s">
        <v>354</v>
      </c>
      <c r="K45" s="355"/>
      <c r="L45" s="353" t="s">
        <v>52</v>
      </c>
      <c r="M45" s="423" t="s">
        <v>1505</v>
      </c>
      <c r="O45" s="355" t="s">
        <v>1332</v>
      </c>
      <c r="P45" s="95"/>
      <c r="Q45" s="96"/>
      <c r="R45" s="288" t="s">
        <v>1045</v>
      </c>
      <c r="S45" s="97">
        <v>2</v>
      </c>
      <c r="T45" s="423">
        <v>4</v>
      </c>
      <c r="V45" s="432">
        <f t="shared" si="0"/>
        <v>0</v>
      </c>
      <c r="W45" s="288" t="s">
        <v>766</v>
      </c>
      <c r="X45" s="288" t="str">
        <f>IF(W45=Llistes!$B$18,Llistes!$D$18,IF(W45=Llistes!$B$20,Llistes!$D$20,IF(W45=Llistes!$B$22,Llistes!$D$22,IF(W45=Llistes!$B$23,Llistes!$D$23,IF(W45=Llistes!$B$24,Llistes!$D$24,IF(W45=Llistes!$B$28,Llistes!$D$28))))))</f>
        <v>Director</v>
      </c>
      <c r="Y45" s="288" t="s">
        <v>275</v>
      </c>
      <c r="Z45" s="325" t="s">
        <v>265</v>
      </c>
      <c r="AA45" s="94" t="s">
        <v>266</v>
      </c>
      <c r="AB45" s="94" t="s">
        <v>266</v>
      </c>
      <c r="AC45" s="94" t="s">
        <v>266</v>
      </c>
      <c r="AD45" s="94" t="s">
        <v>266</v>
      </c>
    </row>
    <row r="46" spans="1:30" ht="45" customHeight="1">
      <c r="A46" s="332" t="s">
        <v>1496</v>
      </c>
      <c r="B46" s="365" t="s">
        <v>1652</v>
      </c>
      <c r="C46" s="371" t="s">
        <v>355</v>
      </c>
      <c r="D46" s="347" t="s">
        <v>356</v>
      </c>
      <c r="E46" s="367" t="s">
        <v>357</v>
      </c>
      <c r="F46" s="348" t="s">
        <v>358</v>
      </c>
      <c r="G46" s="375" t="s">
        <v>1143</v>
      </c>
      <c r="H46" s="374" t="s">
        <v>259</v>
      </c>
      <c r="I46" s="374" t="s">
        <v>281</v>
      </c>
      <c r="J46" s="355" t="s">
        <v>1491</v>
      </c>
      <c r="K46" s="355"/>
      <c r="L46" s="401" t="s">
        <v>52</v>
      </c>
      <c r="M46" s="423" t="s">
        <v>1505</v>
      </c>
      <c r="O46" s="355" t="s">
        <v>1521</v>
      </c>
      <c r="P46" s="95"/>
      <c r="Q46" s="96"/>
      <c r="R46" s="103" t="s">
        <v>1270</v>
      </c>
      <c r="S46" s="97"/>
      <c r="T46" s="423" t="s">
        <v>182</v>
      </c>
      <c r="V46" s="432">
        <f t="shared" si="0"/>
        <v>0</v>
      </c>
      <c r="W46" s="288" t="s">
        <v>263</v>
      </c>
      <c r="X46" s="288" t="str">
        <f>IF(W46=Llistes!$B$18,Llistes!$D$18,IF(W46=Llistes!$B$20,Llistes!$D$20,IF(W46=Llistes!$B$22,Llistes!$D$22,IF(W46=Llistes!$B$23,Llistes!$D$23,IF(W46=Llistes!$B$24,Llistes!$D$24,IF(W46=Llistes!$B$28,Llistes!$D$28))))))</f>
        <v>Tècnic coordinador</v>
      </c>
      <c r="Y46" s="288" t="s">
        <v>275</v>
      </c>
      <c r="Z46" s="325" t="s">
        <v>265</v>
      </c>
      <c r="AA46" s="94" t="s">
        <v>266</v>
      </c>
      <c r="AB46" s="94" t="s">
        <v>266</v>
      </c>
      <c r="AC46" s="94" t="s">
        <v>266</v>
      </c>
      <c r="AD46" s="94" t="s">
        <v>266</v>
      </c>
    </row>
    <row r="47" spans="1:30" ht="86.25" customHeight="1">
      <c r="A47" s="332" t="s">
        <v>1496</v>
      </c>
      <c r="B47" s="365" t="s">
        <v>1652</v>
      </c>
      <c r="C47" s="371" t="s">
        <v>355</v>
      </c>
      <c r="D47" s="347" t="s">
        <v>356</v>
      </c>
      <c r="E47" s="367" t="s">
        <v>357</v>
      </c>
      <c r="F47" s="348" t="s">
        <v>359</v>
      </c>
      <c r="G47" s="375" t="s">
        <v>360</v>
      </c>
      <c r="H47" s="374" t="s">
        <v>259</v>
      </c>
      <c r="I47" s="374" t="s">
        <v>281</v>
      </c>
      <c r="J47" s="355" t="s">
        <v>1699</v>
      </c>
      <c r="K47" s="355"/>
      <c r="L47" s="353" t="s">
        <v>52</v>
      </c>
      <c r="M47" s="423" t="s">
        <v>1505</v>
      </c>
      <c r="O47" s="355" t="s">
        <v>1331</v>
      </c>
      <c r="P47" s="95"/>
      <c r="Q47" s="96"/>
      <c r="R47" s="288" t="s">
        <v>1043</v>
      </c>
      <c r="S47" s="97">
        <v>1</v>
      </c>
      <c r="T47" s="423">
        <v>4</v>
      </c>
      <c r="V47" s="432">
        <f t="shared" si="0"/>
        <v>0</v>
      </c>
      <c r="W47" s="288" t="s">
        <v>263</v>
      </c>
      <c r="X47" s="288" t="str">
        <f>IF(W47=Llistes!$B$18,Llistes!$D$18,IF(W47=Llistes!$B$20,Llistes!$D$20,IF(W47=Llistes!$B$22,Llistes!$D$22,IF(W47=Llistes!$B$23,Llistes!$D$23,IF(W47=Llistes!$B$24,Llistes!$D$24,IF(W47=Llistes!$B$28,Llistes!$D$28))))))</f>
        <v>Tècnic coordinador</v>
      </c>
      <c r="Y47" s="288" t="s">
        <v>275</v>
      </c>
      <c r="Z47" s="325" t="s">
        <v>265</v>
      </c>
      <c r="AA47" s="94" t="s">
        <v>266</v>
      </c>
      <c r="AB47" s="94" t="s">
        <v>266</v>
      </c>
      <c r="AC47" s="94" t="s">
        <v>266</v>
      </c>
      <c r="AD47" s="94" t="s">
        <v>266</v>
      </c>
    </row>
    <row r="48" spans="1:30" ht="84.75" customHeight="1">
      <c r="A48" s="332" t="s">
        <v>1496</v>
      </c>
      <c r="B48" s="365" t="s">
        <v>1652</v>
      </c>
      <c r="C48" s="371" t="s">
        <v>355</v>
      </c>
      <c r="D48" s="347" t="s">
        <v>356</v>
      </c>
      <c r="E48" s="367" t="s">
        <v>357</v>
      </c>
      <c r="F48" s="348" t="s">
        <v>361</v>
      </c>
      <c r="G48" s="375" t="s">
        <v>362</v>
      </c>
      <c r="H48" s="374" t="s">
        <v>259</v>
      </c>
      <c r="I48" s="374" t="s">
        <v>319</v>
      </c>
      <c r="J48" s="355" t="s">
        <v>1492</v>
      </c>
      <c r="K48" s="355" t="s">
        <v>1044</v>
      </c>
      <c r="L48" s="353"/>
      <c r="M48" s="423" t="s">
        <v>1505</v>
      </c>
      <c r="O48" s="355"/>
      <c r="P48" s="95"/>
      <c r="Q48" s="96"/>
      <c r="S48" s="97"/>
      <c r="V48" s="432">
        <f t="shared" si="0"/>
        <v>0</v>
      </c>
      <c r="W48" s="288"/>
      <c r="X48" s="288"/>
    </row>
    <row r="49" spans="1:30" ht="90">
      <c r="A49" s="332" t="s">
        <v>1496</v>
      </c>
      <c r="B49" s="365" t="s">
        <v>1652</v>
      </c>
      <c r="C49" s="371" t="s">
        <v>355</v>
      </c>
      <c r="D49" s="347" t="s">
        <v>363</v>
      </c>
      <c r="E49" s="367" t="s">
        <v>364</v>
      </c>
      <c r="F49" s="348" t="s">
        <v>365</v>
      </c>
      <c r="G49" s="375" t="s">
        <v>366</v>
      </c>
      <c r="H49" s="374" t="s">
        <v>259</v>
      </c>
      <c r="I49" s="348" t="s">
        <v>281</v>
      </c>
      <c r="J49" s="355" t="s">
        <v>1493</v>
      </c>
      <c r="K49" s="355" t="s">
        <v>1046</v>
      </c>
      <c r="L49" s="353" t="s">
        <v>52</v>
      </c>
      <c r="M49" s="423" t="s">
        <v>1503</v>
      </c>
      <c r="O49" s="355" t="s">
        <v>1522</v>
      </c>
      <c r="P49" s="95"/>
      <c r="Q49" s="96" t="s">
        <v>367</v>
      </c>
      <c r="R49" s="288" t="s">
        <v>1045</v>
      </c>
      <c r="S49" s="97">
        <v>1</v>
      </c>
      <c r="T49" s="423">
        <v>4</v>
      </c>
      <c r="V49" s="432">
        <f t="shared" si="0"/>
        <v>0</v>
      </c>
      <c r="W49" s="288" t="s">
        <v>766</v>
      </c>
      <c r="X49" s="288" t="str">
        <f>IF(W49=Llistes!$B$18,Llistes!$D$18,IF(W49=Llistes!$B$20,Llistes!$D$20,IF(W49=Llistes!$B$22,Llistes!$D$22,IF(W49=Llistes!$B$23,Llistes!$D$23,IF(W49=Llistes!$B$24,Llistes!$D$24,IF(W49=Llistes!$B$28,Llistes!$D$28))))))</f>
        <v>Director</v>
      </c>
      <c r="Y49" s="288" t="s">
        <v>275</v>
      </c>
      <c r="Z49" s="325" t="s">
        <v>265</v>
      </c>
      <c r="AA49" s="94" t="s">
        <v>266</v>
      </c>
      <c r="AB49" s="94" t="s">
        <v>266</v>
      </c>
      <c r="AC49" s="94" t="s">
        <v>266</v>
      </c>
      <c r="AD49" s="94" t="s">
        <v>266</v>
      </c>
    </row>
    <row r="50" spans="1:30" ht="60">
      <c r="A50" s="332" t="s">
        <v>1496</v>
      </c>
      <c r="B50" s="365" t="s">
        <v>1652</v>
      </c>
      <c r="C50" s="371" t="s">
        <v>355</v>
      </c>
      <c r="D50" s="347" t="s">
        <v>368</v>
      </c>
      <c r="E50" s="367" t="s">
        <v>369</v>
      </c>
      <c r="F50" s="348" t="s">
        <v>370</v>
      </c>
      <c r="G50" s="375" t="s">
        <v>371</v>
      </c>
      <c r="H50" s="374" t="s">
        <v>318</v>
      </c>
      <c r="I50" s="374" t="s">
        <v>281</v>
      </c>
      <c r="J50" s="355" t="s">
        <v>1494</v>
      </c>
      <c r="K50" s="355" t="s">
        <v>1048</v>
      </c>
      <c r="L50" s="353" t="s">
        <v>53</v>
      </c>
      <c r="M50" s="423" t="s">
        <v>1504</v>
      </c>
      <c r="O50" s="355" t="s">
        <v>1523</v>
      </c>
      <c r="P50" s="95" t="s">
        <v>284</v>
      </c>
      <c r="Q50" s="96" t="s">
        <v>372</v>
      </c>
      <c r="R50" s="288" t="s">
        <v>1045</v>
      </c>
      <c r="S50" s="97">
        <v>1</v>
      </c>
      <c r="T50" s="423">
        <v>4</v>
      </c>
      <c r="V50" s="432">
        <f t="shared" si="0"/>
        <v>0</v>
      </c>
      <c r="W50" s="288" t="s">
        <v>263</v>
      </c>
      <c r="X50" s="288" t="str">
        <f>IF(W50=Llistes!$B$18,Llistes!$D$18,IF(W50=Llistes!$B$20,Llistes!$D$20,IF(W50=Llistes!$B$22,Llistes!$D$22,IF(W50=Llistes!$B$23,Llistes!$D$23,IF(W50=Llistes!$B$24,Llistes!$D$24,IF(W50=Llistes!$B$28,Llistes!$D$28))))))</f>
        <v>Tècnic coordinador</v>
      </c>
      <c r="Y50" s="288" t="s">
        <v>275</v>
      </c>
      <c r="Z50" s="325" t="s">
        <v>265</v>
      </c>
      <c r="AA50" s="94" t="s">
        <v>266</v>
      </c>
      <c r="AB50" s="94" t="s">
        <v>266</v>
      </c>
      <c r="AC50" s="94" t="s">
        <v>266</v>
      </c>
      <c r="AD50" s="94" t="s">
        <v>266</v>
      </c>
    </row>
    <row r="51" spans="1:30" ht="60">
      <c r="A51" s="332" t="s">
        <v>1496</v>
      </c>
      <c r="B51" s="365" t="s">
        <v>1652</v>
      </c>
      <c r="C51" s="371" t="s">
        <v>355</v>
      </c>
      <c r="D51" s="347" t="s">
        <v>368</v>
      </c>
      <c r="E51" s="367" t="s">
        <v>369</v>
      </c>
      <c r="F51" s="348" t="s">
        <v>370</v>
      </c>
      <c r="G51" s="375" t="s">
        <v>371</v>
      </c>
      <c r="H51" s="374" t="s">
        <v>318</v>
      </c>
      <c r="I51" s="374" t="s">
        <v>281</v>
      </c>
      <c r="J51" s="355" t="s">
        <v>1494</v>
      </c>
      <c r="K51" s="355" t="s">
        <v>1048</v>
      </c>
      <c r="L51" s="353" t="s">
        <v>52</v>
      </c>
      <c r="M51" s="423" t="s">
        <v>1504</v>
      </c>
      <c r="O51" s="355" t="s">
        <v>1524</v>
      </c>
      <c r="P51" s="95" t="s">
        <v>284</v>
      </c>
      <c r="Q51" s="96" t="s">
        <v>372</v>
      </c>
      <c r="R51" s="103" t="s">
        <v>1270</v>
      </c>
      <c r="S51" s="97"/>
      <c r="T51" s="423" t="s">
        <v>1049</v>
      </c>
      <c r="V51" s="432">
        <f t="shared" si="0"/>
        <v>0</v>
      </c>
      <c r="W51" s="288" t="s">
        <v>835</v>
      </c>
      <c r="X51" s="288" t="s">
        <v>1189</v>
      </c>
      <c r="Y51" s="288" t="s">
        <v>275</v>
      </c>
      <c r="Z51" s="325" t="s">
        <v>265</v>
      </c>
      <c r="AA51" s="94" t="s">
        <v>266</v>
      </c>
      <c r="AB51" s="94" t="s">
        <v>266</v>
      </c>
      <c r="AC51" s="94" t="s">
        <v>266</v>
      </c>
      <c r="AD51" s="94" t="s">
        <v>266</v>
      </c>
    </row>
    <row r="52" spans="1:30" ht="60">
      <c r="A52" s="332" t="s">
        <v>1496</v>
      </c>
      <c r="B52" s="365" t="s">
        <v>1652</v>
      </c>
      <c r="C52" s="371" t="s">
        <v>355</v>
      </c>
      <c r="D52" s="347" t="s">
        <v>368</v>
      </c>
      <c r="E52" s="367" t="s">
        <v>369</v>
      </c>
      <c r="F52" s="348" t="s">
        <v>912</v>
      </c>
      <c r="G52" s="375" t="s">
        <v>1144</v>
      </c>
      <c r="H52" s="374" t="s">
        <v>318</v>
      </c>
      <c r="I52" s="374" t="s">
        <v>346</v>
      </c>
      <c r="K52" s="355" t="s">
        <v>1044</v>
      </c>
      <c r="L52" s="353"/>
      <c r="O52" s="355"/>
      <c r="P52" s="95"/>
      <c r="Q52" s="96"/>
      <c r="S52" s="97"/>
      <c r="V52" s="432">
        <f t="shared" si="0"/>
        <v>0</v>
      </c>
      <c r="W52" s="288"/>
      <c r="X52" s="288"/>
    </row>
    <row r="53" spans="1:30" ht="60">
      <c r="A53" s="332" t="s">
        <v>1496</v>
      </c>
      <c r="B53" s="365" t="s">
        <v>1652</v>
      </c>
      <c r="C53" s="371" t="s">
        <v>355</v>
      </c>
      <c r="D53" s="347" t="s">
        <v>368</v>
      </c>
      <c r="E53" s="367" t="s">
        <v>369</v>
      </c>
      <c r="F53" s="348" t="s">
        <v>373</v>
      </c>
      <c r="G53" s="375" t="s">
        <v>374</v>
      </c>
      <c r="H53" s="374" t="s">
        <v>318</v>
      </c>
      <c r="I53" s="374" t="s">
        <v>319</v>
      </c>
      <c r="J53" s="355" t="s">
        <v>1495</v>
      </c>
      <c r="K53" s="355"/>
      <c r="L53" s="353" t="s">
        <v>52</v>
      </c>
      <c r="M53" s="423" t="s">
        <v>1504</v>
      </c>
      <c r="O53" s="355" t="s">
        <v>1525</v>
      </c>
      <c r="P53" s="95"/>
      <c r="Q53" s="96"/>
      <c r="R53" s="103" t="s">
        <v>1270</v>
      </c>
      <c r="S53" s="97"/>
      <c r="T53" s="423" t="s">
        <v>182</v>
      </c>
      <c r="V53" s="432">
        <f t="shared" si="0"/>
        <v>0</v>
      </c>
      <c r="W53" s="288" t="s">
        <v>835</v>
      </c>
      <c r="X53" s="288" t="s">
        <v>1189</v>
      </c>
      <c r="Y53" s="288" t="s">
        <v>275</v>
      </c>
      <c r="Z53" s="325" t="s">
        <v>265</v>
      </c>
      <c r="AC53" s="94" t="s">
        <v>266</v>
      </c>
    </row>
    <row r="54" spans="1:30" ht="60">
      <c r="A54" s="332" t="s">
        <v>1496</v>
      </c>
      <c r="B54" s="365" t="s">
        <v>1652</v>
      </c>
      <c r="C54" s="371" t="s">
        <v>355</v>
      </c>
      <c r="D54" s="347" t="s">
        <v>368</v>
      </c>
      <c r="E54" s="367" t="s">
        <v>369</v>
      </c>
      <c r="F54" s="348" t="s">
        <v>375</v>
      </c>
      <c r="G54" s="375" t="s">
        <v>376</v>
      </c>
      <c r="H54" s="374" t="s">
        <v>318</v>
      </c>
      <c r="I54" s="374" t="s">
        <v>319</v>
      </c>
      <c r="J54" s="355" t="s">
        <v>1478</v>
      </c>
      <c r="K54" s="355"/>
      <c r="L54" s="353" t="s">
        <v>52</v>
      </c>
      <c r="M54" s="423" t="s">
        <v>1504</v>
      </c>
      <c r="O54" s="355" t="s">
        <v>1700</v>
      </c>
      <c r="P54" s="95"/>
      <c r="Q54" s="96"/>
      <c r="R54" s="103" t="s">
        <v>1270</v>
      </c>
      <c r="S54" s="97"/>
      <c r="T54" s="423" t="s">
        <v>182</v>
      </c>
      <c r="V54" s="432">
        <f t="shared" si="0"/>
        <v>0</v>
      </c>
      <c r="W54" s="288" t="s">
        <v>835</v>
      </c>
      <c r="X54" s="288" t="s">
        <v>1189</v>
      </c>
      <c r="Y54" s="288" t="s">
        <v>275</v>
      </c>
      <c r="Z54" s="325" t="s">
        <v>265</v>
      </c>
      <c r="AD54" s="94" t="s">
        <v>266</v>
      </c>
    </row>
    <row r="55" spans="1:30" ht="60">
      <c r="A55" s="332" t="s">
        <v>1496</v>
      </c>
      <c r="B55" s="365" t="s">
        <v>1652</v>
      </c>
      <c r="C55" s="371" t="s">
        <v>355</v>
      </c>
      <c r="D55" s="347" t="s">
        <v>377</v>
      </c>
      <c r="E55" s="367" t="s">
        <v>378</v>
      </c>
      <c r="F55" s="348" t="s">
        <v>379</v>
      </c>
      <c r="G55" s="375" t="s">
        <v>380</v>
      </c>
      <c r="H55" s="374" t="s">
        <v>259</v>
      </c>
      <c r="I55" s="374" t="s">
        <v>319</v>
      </c>
      <c r="J55" s="355" t="s">
        <v>1477</v>
      </c>
      <c r="K55" s="355"/>
      <c r="L55" s="353" t="s">
        <v>52</v>
      </c>
      <c r="M55" s="423" t="s">
        <v>1504</v>
      </c>
      <c r="O55" s="355" t="s">
        <v>1526</v>
      </c>
      <c r="P55" s="95"/>
      <c r="Q55" s="96" t="s">
        <v>381</v>
      </c>
      <c r="R55" s="103" t="s">
        <v>1270</v>
      </c>
      <c r="S55" s="97"/>
      <c r="T55" s="423" t="s">
        <v>182</v>
      </c>
      <c r="V55" s="432">
        <f t="shared" si="0"/>
        <v>0</v>
      </c>
      <c r="W55" s="288" t="s">
        <v>835</v>
      </c>
      <c r="X55" s="288" t="s">
        <v>1189</v>
      </c>
      <c r="Y55" s="288" t="s">
        <v>275</v>
      </c>
      <c r="Z55" s="325" t="s">
        <v>265</v>
      </c>
      <c r="AA55" s="94" t="s">
        <v>266</v>
      </c>
    </row>
    <row r="56" spans="1:30" ht="60">
      <c r="A56" s="332" t="s">
        <v>1496</v>
      </c>
      <c r="B56" s="365" t="s">
        <v>1652</v>
      </c>
      <c r="C56" s="371" t="s">
        <v>355</v>
      </c>
      <c r="D56" s="347" t="s">
        <v>377</v>
      </c>
      <c r="E56" s="367" t="s">
        <v>378</v>
      </c>
      <c r="F56" s="348" t="s">
        <v>382</v>
      </c>
      <c r="G56" s="375" t="s">
        <v>383</v>
      </c>
      <c r="H56" s="374" t="s">
        <v>259</v>
      </c>
      <c r="I56" s="374" t="s">
        <v>346</v>
      </c>
      <c r="J56" s="355" t="s">
        <v>1474</v>
      </c>
      <c r="K56" s="355"/>
      <c r="L56" s="353" t="s">
        <v>52</v>
      </c>
      <c r="M56" s="423" t="s">
        <v>1504</v>
      </c>
      <c r="O56" s="355" t="s">
        <v>1527</v>
      </c>
      <c r="P56" s="95"/>
      <c r="Q56" s="96" t="s">
        <v>381</v>
      </c>
      <c r="R56" s="103" t="s">
        <v>1270</v>
      </c>
      <c r="S56" s="97"/>
      <c r="T56" s="423" t="s">
        <v>182</v>
      </c>
      <c r="V56" s="432">
        <f t="shared" si="0"/>
        <v>0</v>
      </c>
      <c r="W56" s="288" t="s">
        <v>835</v>
      </c>
      <c r="X56" s="288" t="s">
        <v>1189</v>
      </c>
      <c r="Y56" s="288" t="s">
        <v>275</v>
      </c>
      <c r="Z56" s="325" t="s">
        <v>265</v>
      </c>
      <c r="AA56" s="94" t="s">
        <v>266</v>
      </c>
    </row>
    <row r="57" spans="1:30" ht="60">
      <c r="A57" s="332" t="s">
        <v>1496</v>
      </c>
      <c r="B57" s="365" t="s">
        <v>1652</v>
      </c>
      <c r="C57" s="371" t="s">
        <v>355</v>
      </c>
      <c r="D57" s="347" t="s">
        <v>377</v>
      </c>
      <c r="E57" s="367" t="s">
        <v>378</v>
      </c>
      <c r="F57" s="348" t="s">
        <v>382</v>
      </c>
      <c r="G57" s="375" t="s">
        <v>383</v>
      </c>
      <c r="H57" s="374" t="s">
        <v>259</v>
      </c>
      <c r="I57" s="374" t="s">
        <v>346</v>
      </c>
      <c r="J57" s="355" t="s">
        <v>1474</v>
      </c>
      <c r="K57" s="355"/>
      <c r="L57" s="353" t="s">
        <v>52</v>
      </c>
      <c r="M57" s="423" t="s">
        <v>1504</v>
      </c>
      <c r="O57" s="355" t="s">
        <v>1730</v>
      </c>
      <c r="P57" s="95"/>
      <c r="Q57" s="96" t="s">
        <v>381</v>
      </c>
      <c r="R57" s="103" t="s">
        <v>1270</v>
      </c>
      <c r="S57" s="97"/>
      <c r="T57" s="423" t="s">
        <v>182</v>
      </c>
      <c r="V57" s="432">
        <f t="shared" ref="V57" si="1">U57*4</f>
        <v>0</v>
      </c>
      <c r="W57" s="288" t="s">
        <v>835</v>
      </c>
      <c r="X57" s="288" t="s">
        <v>1189</v>
      </c>
      <c r="Y57" s="288" t="s">
        <v>275</v>
      </c>
      <c r="Z57" s="325" t="s">
        <v>265</v>
      </c>
      <c r="AA57" s="94" t="s">
        <v>266</v>
      </c>
      <c r="AB57" s="94" t="s">
        <v>266</v>
      </c>
      <c r="AC57" s="94" t="s">
        <v>266</v>
      </c>
      <c r="AD57" s="94" t="s">
        <v>266</v>
      </c>
    </row>
    <row r="58" spans="1:30" ht="60">
      <c r="A58" s="332" t="s">
        <v>1496</v>
      </c>
      <c r="B58" s="365" t="s">
        <v>1652</v>
      </c>
      <c r="C58" s="371" t="s">
        <v>355</v>
      </c>
      <c r="D58" s="347" t="s">
        <v>377</v>
      </c>
      <c r="E58" s="367" t="s">
        <v>378</v>
      </c>
      <c r="F58" s="348" t="s">
        <v>382</v>
      </c>
      <c r="G58" s="375" t="s">
        <v>383</v>
      </c>
      <c r="H58" s="374" t="s">
        <v>259</v>
      </c>
      <c r="I58" s="374" t="s">
        <v>346</v>
      </c>
      <c r="J58" s="355" t="s">
        <v>1474</v>
      </c>
      <c r="K58" s="355"/>
      <c r="L58" s="353" t="s">
        <v>52</v>
      </c>
      <c r="M58" s="423" t="s">
        <v>1504</v>
      </c>
      <c r="O58" s="355" t="s">
        <v>1731</v>
      </c>
      <c r="P58" s="95"/>
      <c r="Q58" s="96" t="s">
        <v>381</v>
      </c>
      <c r="R58" s="103" t="s">
        <v>1270</v>
      </c>
      <c r="S58" s="97"/>
      <c r="T58" s="423" t="s">
        <v>182</v>
      </c>
      <c r="V58" s="432">
        <f t="shared" ref="V58" si="2">U58*4</f>
        <v>0</v>
      </c>
      <c r="W58" s="288" t="s">
        <v>835</v>
      </c>
      <c r="X58" s="288" t="s">
        <v>1189</v>
      </c>
      <c r="Y58" s="288" t="s">
        <v>275</v>
      </c>
      <c r="Z58" s="325" t="s">
        <v>265</v>
      </c>
      <c r="AA58" s="94" t="s">
        <v>266</v>
      </c>
      <c r="AB58" s="94" t="s">
        <v>266</v>
      </c>
      <c r="AC58" s="94" t="s">
        <v>266</v>
      </c>
      <c r="AD58" s="94" t="s">
        <v>266</v>
      </c>
    </row>
    <row r="59" spans="1:30" ht="60">
      <c r="A59" s="335" t="s">
        <v>1497</v>
      </c>
      <c r="B59" s="372" t="s">
        <v>1653</v>
      </c>
      <c r="C59" s="373" t="s">
        <v>385</v>
      </c>
      <c r="D59" s="374" t="s">
        <v>386</v>
      </c>
      <c r="E59" s="375" t="s">
        <v>387</v>
      </c>
      <c r="F59" s="349" t="s">
        <v>388</v>
      </c>
      <c r="G59" s="379" t="s">
        <v>389</v>
      </c>
      <c r="H59" s="406" t="s">
        <v>259</v>
      </c>
      <c r="I59" s="406" t="s">
        <v>346</v>
      </c>
      <c r="J59" s="355" t="s">
        <v>1476</v>
      </c>
      <c r="K59" s="355"/>
      <c r="L59" s="353" t="s">
        <v>52</v>
      </c>
      <c r="M59" s="423" t="s">
        <v>1505</v>
      </c>
      <c r="O59" s="355" t="s">
        <v>1528</v>
      </c>
      <c r="P59" s="95"/>
      <c r="Q59" s="96"/>
      <c r="R59" s="103" t="s">
        <v>1270</v>
      </c>
      <c r="S59" s="97"/>
      <c r="T59" s="423" t="s">
        <v>182</v>
      </c>
      <c r="V59" s="432">
        <f t="shared" si="0"/>
        <v>0</v>
      </c>
      <c r="W59" s="288" t="s">
        <v>835</v>
      </c>
      <c r="X59" s="288" t="s">
        <v>1189</v>
      </c>
      <c r="Y59" s="288" t="s">
        <v>264</v>
      </c>
      <c r="Z59" s="325" t="s">
        <v>265</v>
      </c>
      <c r="AD59" s="94" t="s">
        <v>266</v>
      </c>
    </row>
    <row r="60" spans="1:30" ht="60">
      <c r="A60" s="335" t="s">
        <v>1497</v>
      </c>
      <c r="B60" s="372" t="s">
        <v>1653</v>
      </c>
      <c r="C60" s="373" t="s">
        <v>385</v>
      </c>
      <c r="D60" s="374" t="s">
        <v>386</v>
      </c>
      <c r="E60" s="375" t="s">
        <v>387</v>
      </c>
      <c r="F60" s="349" t="s">
        <v>390</v>
      </c>
      <c r="G60" s="379" t="s">
        <v>391</v>
      </c>
      <c r="H60" s="406" t="s">
        <v>259</v>
      </c>
      <c r="I60" s="406" t="s">
        <v>346</v>
      </c>
      <c r="J60" s="355" t="s">
        <v>1475</v>
      </c>
      <c r="K60" s="355" t="s">
        <v>1052</v>
      </c>
      <c r="L60" s="353"/>
      <c r="M60" s="423" t="s">
        <v>1505</v>
      </c>
      <c r="O60" s="355"/>
      <c r="P60" s="95"/>
      <c r="Q60" s="96"/>
      <c r="S60" s="97"/>
      <c r="V60" s="432">
        <f t="shared" si="0"/>
        <v>0</v>
      </c>
      <c r="W60" s="288"/>
      <c r="X60" s="288"/>
    </row>
    <row r="61" spans="1:30" ht="60">
      <c r="A61" s="335" t="s">
        <v>1497</v>
      </c>
      <c r="B61" s="372" t="s">
        <v>1653</v>
      </c>
      <c r="C61" s="373" t="s">
        <v>385</v>
      </c>
      <c r="D61" s="374" t="s">
        <v>386</v>
      </c>
      <c r="E61" s="375" t="s">
        <v>387</v>
      </c>
      <c r="F61" s="349" t="s">
        <v>392</v>
      </c>
      <c r="G61" s="379" t="s">
        <v>393</v>
      </c>
      <c r="H61" s="406" t="s">
        <v>259</v>
      </c>
      <c r="I61" s="406" t="s">
        <v>346</v>
      </c>
      <c r="J61" s="355" t="s">
        <v>1473</v>
      </c>
      <c r="K61" s="355" t="s">
        <v>1053</v>
      </c>
      <c r="L61" s="353" t="s">
        <v>52</v>
      </c>
      <c r="M61" s="423" t="s">
        <v>1505</v>
      </c>
      <c r="O61" s="355" t="s">
        <v>1529</v>
      </c>
      <c r="P61" s="95"/>
      <c r="Q61" s="96"/>
      <c r="R61" s="103" t="s">
        <v>1270</v>
      </c>
      <c r="S61" s="97"/>
      <c r="T61" s="423" t="s">
        <v>182</v>
      </c>
      <c r="V61" s="432">
        <f t="shared" si="0"/>
        <v>0</v>
      </c>
      <c r="W61" s="288" t="s">
        <v>835</v>
      </c>
      <c r="X61" s="288" t="s">
        <v>1189</v>
      </c>
      <c r="Y61" s="288" t="s">
        <v>264</v>
      </c>
      <c r="Z61" s="325" t="s">
        <v>265</v>
      </c>
      <c r="AB61" s="94" t="s">
        <v>266</v>
      </c>
    </row>
    <row r="62" spans="1:30" ht="45">
      <c r="A62" s="335" t="s">
        <v>1497</v>
      </c>
      <c r="B62" s="372" t="s">
        <v>1653</v>
      </c>
      <c r="C62" s="373" t="s">
        <v>385</v>
      </c>
      <c r="D62" s="374" t="s">
        <v>394</v>
      </c>
      <c r="E62" s="375" t="s">
        <v>395</v>
      </c>
      <c r="F62" s="349" t="s">
        <v>396</v>
      </c>
      <c r="G62" s="379" t="s">
        <v>397</v>
      </c>
      <c r="H62" s="406" t="s">
        <v>259</v>
      </c>
      <c r="I62" s="406" t="s">
        <v>281</v>
      </c>
      <c r="J62" s="355" t="s">
        <v>1472</v>
      </c>
      <c r="K62" s="355" t="s">
        <v>1055</v>
      </c>
      <c r="L62" s="353"/>
      <c r="M62" s="423" t="s">
        <v>1505</v>
      </c>
      <c r="O62" s="355"/>
      <c r="P62" s="95"/>
      <c r="Q62" s="96"/>
      <c r="S62" s="97"/>
      <c r="V62" s="432">
        <f t="shared" si="0"/>
        <v>0</v>
      </c>
      <c r="W62" s="288"/>
      <c r="X62" s="288"/>
    </row>
    <row r="63" spans="1:30" ht="45">
      <c r="A63" s="335" t="s">
        <v>1497</v>
      </c>
      <c r="B63" s="372" t="s">
        <v>1653</v>
      </c>
      <c r="C63" s="373" t="s">
        <v>385</v>
      </c>
      <c r="D63" s="348" t="s">
        <v>394</v>
      </c>
      <c r="E63" s="375" t="s">
        <v>395</v>
      </c>
      <c r="F63" s="349" t="s">
        <v>398</v>
      </c>
      <c r="G63" s="379" t="s">
        <v>399</v>
      </c>
      <c r="H63" s="406" t="s">
        <v>259</v>
      </c>
      <c r="I63" s="406" t="s">
        <v>346</v>
      </c>
      <c r="J63" s="355" t="s">
        <v>1471</v>
      </c>
      <c r="K63" s="355" t="s">
        <v>1052</v>
      </c>
      <c r="L63" s="353"/>
      <c r="M63" s="423" t="s">
        <v>1505</v>
      </c>
      <c r="O63" s="355"/>
      <c r="P63" s="95"/>
      <c r="Q63" s="96"/>
      <c r="S63" s="97"/>
      <c r="V63" s="432">
        <f t="shared" si="0"/>
        <v>0</v>
      </c>
      <c r="W63" s="288"/>
      <c r="X63" s="288"/>
    </row>
    <row r="64" spans="1:30" ht="45">
      <c r="A64" s="335" t="s">
        <v>1497</v>
      </c>
      <c r="B64" s="372" t="s">
        <v>1653</v>
      </c>
      <c r="C64" s="373" t="s">
        <v>385</v>
      </c>
      <c r="D64" s="348" t="s">
        <v>394</v>
      </c>
      <c r="E64" s="375" t="s">
        <v>395</v>
      </c>
      <c r="F64" s="349" t="s">
        <v>400</v>
      </c>
      <c r="G64" s="379" t="s">
        <v>401</v>
      </c>
      <c r="H64" s="406" t="s">
        <v>259</v>
      </c>
      <c r="I64" s="406" t="s">
        <v>346</v>
      </c>
      <c r="J64" s="434" t="s">
        <v>1470</v>
      </c>
      <c r="K64" s="355"/>
      <c r="L64" s="353"/>
      <c r="M64" s="423" t="s">
        <v>1505</v>
      </c>
      <c r="O64" s="355" t="s">
        <v>1669</v>
      </c>
      <c r="P64" s="95"/>
      <c r="Q64" s="96"/>
      <c r="R64" s="103" t="s">
        <v>1270</v>
      </c>
      <c r="S64" s="97"/>
      <c r="T64" s="423" t="s">
        <v>182</v>
      </c>
      <c r="V64" s="432">
        <f t="shared" si="0"/>
        <v>0</v>
      </c>
      <c r="W64" s="288" t="s">
        <v>835</v>
      </c>
      <c r="X64" s="288" t="s">
        <v>1189</v>
      </c>
      <c r="Y64" s="288" t="s">
        <v>275</v>
      </c>
      <c r="Z64" s="325" t="s">
        <v>265</v>
      </c>
      <c r="AA64" s="94" t="s">
        <v>266</v>
      </c>
      <c r="AB64" s="94" t="s">
        <v>266</v>
      </c>
      <c r="AC64" s="94" t="s">
        <v>266</v>
      </c>
    </row>
    <row r="65" spans="1:30" ht="45">
      <c r="A65" s="335" t="s">
        <v>1497</v>
      </c>
      <c r="B65" s="372" t="s">
        <v>1653</v>
      </c>
      <c r="C65" s="373" t="s">
        <v>385</v>
      </c>
      <c r="D65" s="348" t="s">
        <v>394</v>
      </c>
      <c r="E65" s="375" t="s">
        <v>395</v>
      </c>
      <c r="F65" s="349" t="s">
        <v>400</v>
      </c>
      <c r="G65" s="379" t="s">
        <v>401</v>
      </c>
      <c r="H65" s="406" t="s">
        <v>259</v>
      </c>
      <c r="I65" s="406" t="s">
        <v>346</v>
      </c>
      <c r="J65" s="434" t="s">
        <v>1470</v>
      </c>
      <c r="K65" s="355"/>
      <c r="L65" s="353"/>
      <c r="M65" s="423" t="s">
        <v>1505</v>
      </c>
      <c r="O65" s="355" t="s">
        <v>1670</v>
      </c>
      <c r="P65" s="95"/>
      <c r="Q65" s="96"/>
      <c r="R65" s="103" t="s">
        <v>1270</v>
      </c>
      <c r="S65" s="97"/>
      <c r="T65" s="423" t="s">
        <v>182</v>
      </c>
      <c r="V65" s="432">
        <f t="shared" ref="V65" si="3">U65*4</f>
        <v>0</v>
      </c>
      <c r="W65" s="288" t="s">
        <v>835</v>
      </c>
      <c r="X65" s="288" t="s">
        <v>1189</v>
      </c>
      <c r="Y65" s="288" t="s">
        <v>275</v>
      </c>
      <c r="Z65" s="325" t="s">
        <v>265</v>
      </c>
      <c r="AA65" s="94" t="s">
        <v>266</v>
      </c>
      <c r="AB65" s="94" t="s">
        <v>266</v>
      </c>
      <c r="AC65" s="94" t="s">
        <v>266</v>
      </c>
      <c r="AD65" s="94" t="s">
        <v>266</v>
      </c>
    </row>
    <row r="66" spans="1:30" ht="45">
      <c r="A66" s="335" t="s">
        <v>1497</v>
      </c>
      <c r="B66" s="372" t="s">
        <v>1653</v>
      </c>
      <c r="C66" s="373" t="s">
        <v>385</v>
      </c>
      <c r="D66" s="348" t="s">
        <v>394</v>
      </c>
      <c r="E66" s="375" t="s">
        <v>395</v>
      </c>
      <c r="F66" s="349" t="s">
        <v>400</v>
      </c>
      <c r="G66" s="379" t="s">
        <v>401</v>
      </c>
      <c r="H66" s="406" t="s">
        <v>259</v>
      </c>
      <c r="I66" s="406" t="s">
        <v>346</v>
      </c>
      <c r="J66" s="434" t="s">
        <v>1470</v>
      </c>
      <c r="K66" s="355"/>
      <c r="L66" s="353"/>
      <c r="M66" s="423" t="s">
        <v>1505</v>
      </c>
      <c r="O66" s="355" t="s">
        <v>1671</v>
      </c>
      <c r="P66" s="95"/>
      <c r="Q66" s="96"/>
      <c r="R66" s="103" t="s">
        <v>1270</v>
      </c>
      <c r="S66" s="97"/>
      <c r="T66" s="423" t="s">
        <v>182</v>
      </c>
      <c r="V66" s="432">
        <f t="shared" ref="V66" si="4">U66*4</f>
        <v>0</v>
      </c>
      <c r="W66" s="288" t="s">
        <v>835</v>
      </c>
      <c r="X66" s="288" t="s">
        <v>1189</v>
      </c>
      <c r="Y66" s="288" t="s">
        <v>264</v>
      </c>
      <c r="Z66" s="325" t="s">
        <v>265</v>
      </c>
      <c r="AB66" s="94" t="s">
        <v>266</v>
      </c>
      <c r="AC66" s="94" t="s">
        <v>266</v>
      </c>
      <c r="AD66" s="94" t="s">
        <v>266</v>
      </c>
    </row>
    <row r="67" spans="1:30" ht="61.9" customHeight="1">
      <c r="A67" s="335" t="s">
        <v>1497</v>
      </c>
      <c r="B67" s="372" t="s">
        <v>1653</v>
      </c>
      <c r="C67" s="373" t="s">
        <v>385</v>
      </c>
      <c r="D67" s="348" t="s">
        <v>394</v>
      </c>
      <c r="E67" s="375" t="s">
        <v>395</v>
      </c>
      <c r="F67" s="349" t="s">
        <v>402</v>
      </c>
      <c r="G67" s="379" t="s">
        <v>403</v>
      </c>
      <c r="H67" s="406" t="s">
        <v>259</v>
      </c>
      <c r="I67" s="406" t="s">
        <v>260</v>
      </c>
      <c r="J67" s="355" t="s">
        <v>1469</v>
      </c>
      <c r="K67" s="355" t="s">
        <v>1052</v>
      </c>
      <c r="L67" s="353"/>
      <c r="M67" s="423" t="s">
        <v>1505</v>
      </c>
      <c r="O67" s="355"/>
      <c r="P67" s="95"/>
      <c r="Q67" s="96"/>
      <c r="S67" s="97"/>
      <c r="V67" s="432">
        <f t="shared" si="0"/>
        <v>0</v>
      </c>
      <c r="W67" s="288"/>
      <c r="X67" s="288"/>
    </row>
    <row r="68" spans="1:30" ht="45">
      <c r="A68" s="335" t="s">
        <v>1497</v>
      </c>
      <c r="B68" s="372" t="s">
        <v>1653</v>
      </c>
      <c r="C68" s="373" t="s">
        <v>385</v>
      </c>
      <c r="D68" s="374" t="s">
        <v>404</v>
      </c>
      <c r="E68" s="375" t="s">
        <v>405</v>
      </c>
      <c r="F68" s="349" t="s">
        <v>406</v>
      </c>
      <c r="G68" s="379" t="s">
        <v>407</v>
      </c>
      <c r="H68" s="406" t="s">
        <v>259</v>
      </c>
      <c r="I68" s="406" t="s">
        <v>260</v>
      </c>
      <c r="J68" s="355" t="s">
        <v>1468</v>
      </c>
      <c r="K68" s="355" t="s">
        <v>1052</v>
      </c>
      <c r="L68" s="353"/>
      <c r="M68" s="423" t="s">
        <v>1505</v>
      </c>
      <c r="O68" s="355"/>
      <c r="P68" s="95" t="s">
        <v>270</v>
      </c>
      <c r="Q68" s="96"/>
      <c r="S68" s="97"/>
      <c r="V68" s="432">
        <f t="shared" si="0"/>
        <v>0</v>
      </c>
      <c r="W68" s="288"/>
      <c r="X68" s="288"/>
    </row>
    <row r="69" spans="1:30" ht="45">
      <c r="A69" s="335" t="s">
        <v>1497</v>
      </c>
      <c r="B69" s="372" t="s">
        <v>1653</v>
      </c>
      <c r="C69" s="373" t="s">
        <v>385</v>
      </c>
      <c r="D69" s="374" t="s">
        <v>404</v>
      </c>
      <c r="E69" s="375" t="s">
        <v>405</v>
      </c>
      <c r="F69" s="349" t="s">
        <v>408</v>
      </c>
      <c r="G69" s="379" t="s">
        <v>409</v>
      </c>
      <c r="H69" s="406" t="s">
        <v>318</v>
      </c>
      <c r="I69" s="406" t="s">
        <v>260</v>
      </c>
      <c r="J69" s="355" t="s">
        <v>1467</v>
      </c>
      <c r="K69" s="355" t="s">
        <v>1057</v>
      </c>
      <c r="L69" s="353"/>
      <c r="M69" s="423" t="s">
        <v>1505</v>
      </c>
      <c r="O69" s="355"/>
      <c r="P69" s="95" t="s">
        <v>270</v>
      </c>
      <c r="Q69" s="96"/>
      <c r="S69" s="97"/>
      <c r="V69" s="432">
        <f t="shared" si="0"/>
        <v>0</v>
      </c>
      <c r="W69" s="288"/>
      <c r="X69" s="288"/>
    </row>
    <row r="70" spans="1:30" ht="45">
      <c r="A70" s="335" t="s">
        <v>1497</v>
      </c>
      <c r="B70" s="372" t="s">
        <v>1653</v>
      </c>
      <c r="C70" s="373" t="s">
        <v>385</v>
      </c>
      <c r="D70" s="374" t="s">
        <v>404</v>
      </c>
      <c r="E70" s="375" t="s">
        <v>405</v>
      </c>
      <c r="F70" s="349" t="s">
        <v>410</v>
      </c>
      <c r="G70" s="379" t="s">
        <v>1182</v>
      </c>
      <c r="H70" s="406" t="s">
        <v>259</v>
      </c>
      <c r="I70" s="406" t="s">
        <v>319</v>
      </c>
      <c r="J70" s="355" t="s">
        <v>1466</v>
      </c>
      <c r="K70" s="355" t="s">
        <v>1042</v>
      </c>
      <c r="L70" s="353"/>
      <c r="M70" s="423" t="s">
        <v>1505</v>
      </c>
      <c r="O70" s="355"/>
      <c r="P70" s="95"/>
      <c r="Q70" s="96"/>
      <c r="S70" s="97"/>
      <c r="V70" s="432">
        <f t="shared" si="0"/>
        <v>0</v>
      </c>
      <c r="W70" s="288"/>
      <c r="X70" s="288"/>
    </row>
    <row r="71" spans="1:30" ht="45">
      <c r="A71" s="335" t="s">
        <v>1497</v>
      </c>
      <c r="B71" s="372" t="s">
        <v>1653</v>
      </c>
      <c r="C71" s="373" t="s">
        <v>385</v>
      </c>
      <c r="D71" s="374" t="s">
        <v>404</v>
      </c>
      <c r="E71" s="375" t="s">
        <v>405</v>
      </c>
      <c r="F71" s="349" t="s">
        <v>411</v>
      </c>
      <c r="G71" s="379" t="s">
        <v>412</v>
      </c>
      <c r="H71" s="406" t="s">
        <v>259</v>
      </c>
      <c r="I71" s="406" t="s">
        <v>281</v>
      </c>
      <c r="J71" s="355" t="s">
        <v>1465</v>
      </c>
      <c r="K71" s="355" t="s">
        <v>1058</v>
      </c>
      <c r="L71" s="353"/>
      <c r="M71" s="423" t="s">
        <v>1505</v>
      </c>
      <c r="O71" s="355"/>
      <c r="P71" s="95" t="s">
        <v>284</v>
      </c>
      <c r="Q71" s="96"/>
      <c r="S71" s="97"/>
      <c r="V71" s="432">
        <f t="shared" ref="V71:V136" si="5">U71*4</f>
        <v>0</v>
      </c>
      <c r="W71" s="288"/>
      <c r="X71" s="288"/>
    </row>
    <row r="72" spans="1:30" ht="45">
      <c r="A72" s="335" t="s">
        <v>1497</v>
      </c>
      <c r="B72" s="372" t="s">
        <v>1653</v>
      </c>
      <c r="C72" s="373" t="s">
        <v>385</v>
      </c>
      <c r="D72" s="374" t="s">
        <v>413</v>
      </c>
      <c r="E72" s="375" t="s">
        <v>414</v>
      </c>
      <c r="F72" s="406" t="s">
        <v>415</v>
      </c>
      <c r="G72" s="379" t="s">
        <v>416</v>
      </c>
      <c r="H72" s="406" t="s">
        <v>259</v>
      </c>
      <c r="I72" s="406" t="s">
        <v>260</v>
      </c>
      <c r="J72" s="355" t="s">
        <v>1701</v>
      </c>
      <c r="K72" s="355"/>
      <c r="L72" s="353"/>
      <c r="M72" s="423" t="s">
        <v>1505</v>
      </c>
      <c r="O72" s="355" t="s">
        <v>1702</v>
      </c>
      <c r="P72" s="95"/>
      <c r="Q72" s="96"/>
      <c r="R72" s="103" t="s">
        <v>1270</v>
      </c>
      <c r="S72" s="97"/>
      <c r="T72" s="423" t="s">
        <v>52</v>
      </c>
      <c r="V72" s="432">
        <f t="shared" si="5"/>
        <v>0</v>
      </c>
      <c r="W72" s="288" t="s">
        <v>835</v>
      </c>
      <c r="X72" s="288" t="s">
        <v>1189</v>
      </c>
      <c r="Y72" s="288" t="s">
        <v>275</v>
      </c>
      <c r="Z72" s="325" t="s">
        <v>265</v>
      </c>
      <c r="AA72" s="94" t="s">
        <v>266</v>
      </c>
      <c r="AB72" s="94" t="s">
        <v>266</v>
      </c>
      <c r="AC72" s="94" t="s">
        <v>266</v>
      </c>
      <c r="AD72" s="94" t="s">
        <v>266</v>
      </c>
    </row>
    <row r="73" spans="1:30" ht="45">
      <c r="A73" s="335" t="s">
        <v>1497</v>
      </c>
      <c r="B73" s="372" t="s">
        <v>1653</v>
      </c>
      <c r="C73" s="373" t="s">
        <v>385</v>
      </c>
      <c r="D73" s="374" t="s">
        <v>413</v>
      </c>
      <c r="E73" s="375" t="s">
        <v>414</v>
      </c>
      <c r="F73" s="406" t="s">
        <v>417</v>
      </c>
      <c r="G73" s="379" t="s">
        <v>418</v>
      </c>
      <c r="H73" s="406" t="s">
        <v>259</v>
      </c>
      <c r="I73" s="406" t="s">
        <v>260</v>
      </c>
      <c r="J73" s="355" t="s">
        <v>418</v>
      </c>
      <c r="K73" s="355"/>
      <c r="L73" s="353" t="s">
        <v>52</v>
      </c>
      <c r="M73" s="423" t="s">
        <v>1505</v>
      </c>
      <c r="O73" s="355" t="s">
        <v>1530</v>
      </c>
      <c r="P73" s="95"/>
      <c r="Q73" s="96"/>
      <c r="R73" s="103" t="s">
        <v>1270</v>
      </c>
      <c r="S73" s="97"/>
      <c r="T73" s="423" t="s">
        <v>182</v>
      </c>
      <c r="V73" s="432">
        <f t="shared" si="5"/>
        <v>0</v>
      </c>
      <c r="W73" s="288" t="s">
        <v>835</v>
      </c>
      <c r="X73" s="288" t="s">
        <v>1189</v>
      </c>
      <c r="Y73" s="288" t="s">
        <v>275</v>
      </c>
      <c r="Z73" s="325" t="s">
        <v>265</v>
      </c>
      <c r="AA73" s="94" t="s">
        <v>266</v>
      </c>
      <c r="AB73" s="94" t="s">
        <v>266</v>
      </c>
      <c r="AC73" s="94" t="s">
        <v>266</v>
      </c>
      <c r="AD73" s="94" t="s">
        <v>266</v>
      </c>
    </row>
    <row r="74" spans="1:30" ht="45">
      <c r="A74" s="335" t="s">
        <v>1497</v>
      </c>
      <c r="B74" s="372" t="s">
        <v>1653</v>
      </c>
      <c r="C74" s="373" t="s">
        <v>385</v>
      </c>
      <c r="D74" s="374" t="s">
        <v>413</v>
      </c>
      <c r="E74" s="375" t="s">
        <v>414</v>
      </c>
      <c r="F74" s="406" t="s">
        <v>419</v>
      </c>
      <c r="G74" s="379" t="s">
        <v>420</v>
      </c>
      <c r="H74" s="406" t="s">
        <v>259</v>
      </c>
      <c r="I74" s="406" t="s">
        <v>260</v>
      </c>
      <c r="J74" s="355" t="s">
        <v>1464</v>
      </c>
      <c r="K74" s="355" t="s">
        <v>1060</v>
      </c>
      <c r="L74" s="353"/>
      <c r="M74" s="423" t="s">
        <v>1505</v>
      </c>
      <c r="O74" s="355"/>
      <c r="P74" s="95"/>
      <c r="Q74" s="96"/>
      <c r="S74" s="97"/>
      <c r="V74" s="432">
        <f t="shared" si="5"/>
        <v>0</v>
      </c>
      <c r="W74" s="288"/>
      <c r="X74" s="288"/>
    </row>
    <row r="75" spans="1:30" ht="45">
      <c r="A75" s="335" t="s">
        <v>1497</v>
      </c>
      <c r="B75" s="372" t="s">
        <v>1654</v>
      </c>
      <c r="C75" s="376" t="s">
        <v>421</v>
      </c>
      <c r="D75" s="348" t="s">
        <v>422</v>
      </c>
      <c r="E75" s="375" t="s">
        <v>423</v>
      </c>
      <c r="F75" s="406" t="s">
        <v>424</v>
      </c>
      <c r="G75" s="379" t="s">
        <v>425</v>
      </c>
      <c r="H75" s="406" t="s">
        <v>259</v>
      </c>
      <c r="I75" s="406" t="s">
        <v>346</v>
      </c>
      <c r="J75" s="355" t="s">
        <v>1463</v>
      </c>
      <c r="K75" s="355" t="s">
        <v>1052</v>
      </c>
      <c r="L75" s="353"/>
      <c r="M75" s="423" t="s">
        <v>1505</v>
      </c>
      <c r="O75" s="355"/>
      <c r="P75" s="95"/>
      <c r="Q75" s="96"/>
      <c r="S75" s="97"/>
      <c r="V75" s="432">
        <f t="shared" si="5"/>
        <v>0</v>
      </c>
      <c r="W75" s="288"/>
      <c r="X75" s="288"/>
    </row>
    <row r="76" spans="1:30" ht="30">
      <c r="A76" s="335" t="s">
        <v>1497</v>
      </c>
      <c r="B76" s="372" t="s">
        <v>1654</v>
      </c>
      <c r="C76" s="376" t="s">
        <v>421</v>
      </c>
      <c r="D76" s="348" t="s">
        <v>426</v>
      </c>
      <c r="E76" s="375" t="s">
        <v>427</v>
      </c>
      <c r="F76" s="349" t="s">
        <v>428</v>
      </c>
      <c r="G76" s="379" t="s">
        <v>429</v>
      </c>
      <c r="H76" s="406" t="s">
        <v>259</v>
      </c>
      <c r="I76" s="406" t="s">
        <v>346</v>
      </c>
      <c r="J76" s="355" t="s">
        <v>1462</v>
      </c>
      <c r="K76" s="355" t="s">
        <v>1052</v>
      </c>
      <c r="L76" s="353"/>
      <c r="M76" s="423" t="s">
        <v>430</v>
      </c>
      <c r="O76" s="355"/>
      <c r="P76" s="95"/>
      <c r="Q76" s="96"/>
      <c r="S76" s="97"/>
      <c r="V76" s="432">
        <f t="shared" si="5"/>
        <v>0</v>
      </c>
      <c r="W76" s="288"/>
      <c r="X76" s="288"/>
    </row>
    <row r="77" spans="1:30" ht="45">
      <c r="A77" s="335" t="s">
        <v>1497</v>
      </c>
      <c r="B77" s="372" t="s">
        <v>1654</v>
      </c>
      <c r="C77" s="376" t="s">
        <v>421</v>
      </c>
      <c r="D77" s="348" t="s">
        <v>426</v>
      </c>
      <c r="E77" s="375" t="s">
        <v>427</v>
      </c>
      <c r="F77" s="349" t="s">
        <v>431</v>
      </c>
      <c r="G77" s="379" t="s">
        <v>1061</v>
      </c>
      <c r="H77" s="406"/>
      <c r="I77" s="406"/>
      <c r="J77" s="355" t="s">
        <v>1461</v>
      </c>
      <c r="K77" s="93" t="s">
        <v>1055</v>
      </c>
      <c r="L77" s="353"/>
      <c r="M77" s="423" t="s">
        <v>1505</v>
      </c>
      <c r="O77" s="355"/>
      <c r="P77" s="95"/>
      <c r="Q77" s="96"/>
      <c r="S77" s="97"/>
      <c r="V77" s="432">
        <f t="shared" si="5"/>
        <v>0</v>
      </c>
      <c r="W77" s="288"/>
      <c r="X77" s="288"/>
    </row>
    <row r="78" spans="1:30" ht="45">
      <c r="A78" s="335" t="s">
        <v>1497</v>
      </c>
      <c r="B78" s="372" t="s">
        <v>1654</v>
      </c>
      <c r="C78" s="376" t="s">
        <v>421</v>
      </c>
      <c r="D78" s="348" t="s">
        <v>426</v>
      </c>
      <c r="E78" s="375" t="s">
        <v>427</v>
      </c>
      <c r="F78" s="349" t="s">
        <v>432</v>
      </c>
      <c r="G78" s="379" t="s">
        <v>433</v>
      </c>
      <c r="H78" s="406" t="s">
        <v>259</v>
      </c>
      <c r="I78" s="406" t="s">
        <v>281</v>
      </c>
      <c r="J78" s="355" t="s">
        <v>1460</v>
      </c>
      <c r="K78" s="101" t="s">
        <v>1183</v>
      </c>
      <c r="L78" s="353" t="s">
        <v>52</v>
      </c>
      <c r="M78" s="423" t="s">
        <v>1505</v>
      </c>
      <c r="O78" s="355" t="s">
        <v>1531</v>
      </c>
      <c r="P78" s="95"/>
      <c r="Q78" s="96"/>
      <c r="R78" s="103" t="s">
        <v>1270</v>
      </c>
      <c r="S78" s="97"/>
      <c r="T78" s="423" t="s">
        <v>182</v>
      </c>
      <c r="V78" s="432">
        <f t="shared" si="5"/>
        <v>0</v>
      </c>
      <c r="W78" s="288" t="s">
        <v>835</v>
      </c>
      <c r="X78" s="288" t="s">
        <v>1189</v>
      </c>
      <c r="Y78" s="288" t="s">
        <v>275</v>
      </c>
      <c r="Z78" s="325" t="s">
        <v>265</v>
      </c>
      <c r="AA78" s="94" t="s">
        <v>266</v>
      </c>
      <c r="AB78" s="94" t="s">
        <v>266</v>
      </c>
      <c r="AC78" s="94" t="s">
        <v>266</v>
      </c>
      <c r="AD78" s="94" t="s">
        <v>266</v>
      </c>
    </row>
    <row r="79" spans="1:30" ht="30">
      <c r="A79" s="335" t="s">
        <v>1497</v>
      </c>
      <c r="B79" s="372" t="s">
        <v>1654</v>
      </c>
      <c r="C79" s="376" t="s">
        <v>421</v>
      </c>
      <c r="D79" s="348" t="s">
        <v>434</v>
      </c>
      <c r="E79" s="375" t="s">
        <v>435</v>
      </c>
      <c r="F79" s="349" t="s">
        <v>436</v>
      </c>
      <c r="G79" s="379" t="s">
        <v>437</v>
      </c>
      <c r="H79" s="406" t="s">
        <v>318</v>
      </c>
      <c r="I79" s="406" t="s">
        <v>346</v>
      </c>
      <c r="J79" s="355" t="s">
        <v>1459</v>
      </c>
      <c r="K79" s="101" t="s">
        <v>1052</v>
      </c>
      <c r="L79" s="353"/>
      <c r="M79" s="423" t="s">
        <v>1505</v>
      </c>
      <c r="O79" s="355"/>
      <c r="P79" s="95" t="s">
        <v>284</v>
      </c>
      <c r="Q79" s="96"/>
      <c r="S79" s="97"/>
      <c r="V79" s="432">
        <f t="shared" si="5"/>
        <v>0</v>
      </c>
      <c r="W79" s="288"/>
      <c r="X79" s="288"/>
    </row>
    <row r="80" spans="1:30" ht="30">
      <c r="A80" s="335" t="s">
        <v>1497</v>
      </c>
      <c r="B80" s="372" t="s">
        <v>1654</v>
      </c>
      <c r="C80" s="376" t="s">
        <v>421</v>
      </c>
      <c r="D80" s="348" t="s">
        <v>434</v>
      </c>
      <c r="E80" s="375" t="s">
        <v>435</v>
      </c>
      <c r="F80" s="349" t="s">
        <v>438</v>
      </c>
      <c r="G80" s="379" t="s">
        <v>439</v>
      </c>
      <c r="H80" s="406" t="s">
        <v>318</v>
      </c>
      <c r="I80" s="406" t="s">
        <v>346</v>
      </c>
      <c r="J80" s="355" t="s">
        <v>1458</v>
      </c>
      <c r="K80" s="101" t="s">
        <v>1052</v>
      </c>
      <c r="L80" s="353"/>
      <c r="M80" s="423" t="s">
        <v>1505</v>
      </c>
      <c r="O80" s="355"/>
      <c r="P80" s="95" t="s">
        <v>284</v>
      </c>
      <c r="Q80" s="96"/>
      <c r="S80" s="97"/>
      <c r="V80" s="432">
        <f t="shared" si="5"/>
        <v>0</v>
      </c>
      <c r="W80" s="288"/>
      <c r="X80" s="288"/>
    </row>
    <row r="81" spans="1:30" ht="75">
      <c r="A81" s="336" t="s">
        <v>1498</v>
      </c>
      <c r="B81" s="377" t="s">
        <v>1655</v>
      </c>
      <c r="C81" s="378" t="s">
        <v>441</v>
      </c>
      <c r="D81" s="349" t="s">
        <v>442</v>
      </c>
      <c r="E81" s="379" t="s">
        <v>443</v>
      </c>
      <c r="F81" s="352" t="s">
        <v>444</v>
      </c>
      <c r="G81" s="393" t="s">
        <v>445</v>
      </c>
      <c r="H81" s="394" t="s">
        <v>259</v>
      </c>
      <c r="I81" s="394" t="s">
        <v>281</v>
      </c>
      <c r="J81" s="355" t="s">
        <v>1457</v>
      </c>
      <c r="K81" s="101" t="s">
        <v>1184</v>
      </c>
      <c r="L81" s="353" t="s">
        <v>53</v>
      </c>
      <c r="M81" s="423" t="s">
        <v>1503</v>
      </c>
      <c r="O81" s="355" t="s">
        <v>1330</v>
      </c>
      <c r="P81" s="100" t="s">
        <v>1185</v>
      </c>
      <c r="Q81" s="96" t="s">
        <v>446</v>
      </c>
      <c r="R81" s="288" t="s">
        <v>1045</v>
      </c>
      <c r="S81" s="97">
        <v>2</v>
      </c>
      <c r="T81" s="423">
        <v>4</v>
      </c>
      <c r="V81" s="432">
        <f t="shared" si="5"/>
        <v>0</v>
      </c>
      <c r="W81" s="288" t="s">
        <v>263</v>
      </c>
      <c r="X81" s="288" t="str">
        <f>IF(W81=Llistes!$B$18,Llistes!$D$18,IF(W81=Llistes!$B$20,Llistes!$D$20,IF(W81=Llistes!$B$22,Llistes!$D$22,IF(W81=Llistes!$B$23,Llistes!$D$23,IF(W81=Llistes!$B$24,Llistes!$D$24,IF(W81=Llistes!$B$28,Llistes!$D$28))))))</f>
        <v>Tècnic coordinador</v>
      </c>
      <c r="Y81" s="288" t="s">
        <v>275</v>
      </c>
      <c r="Z81" s="325" t="s">
        <v>265</v>
      </c>
      <c r="AA81" s="94" t="s">
        <v>266</v>
      </c>
      <c r="AB81" s="94" t="s">
        <v>266</v>
      </c>
      <c r="AC81" s="94" t="s">
        <v>266</v>
      </c>
      <c r="AD81" s="94" t="s">
        <v>266</v>
      </c>
    </row>
    <row r="82" spans="1:30" ht="75">
      <c r="A82" s="336" t="s">
        <v>1498</v>
      </c>
      <c r="B82" s="377" t="s">
        <v>1655</v>
      </c>
      <c r="C82" s="378" t="s">
        <v>441</v>
      </c>
      <c r="D82" s="349" t="s">
        <v>442</v>
      </c>
      <c r="E82" s="379" t="s">
        <v>443</v>
      </c>
      <c r="F82" s="352" t="s">
        <v>444</v>
      </c>
      <c r="G82" s="393" t="s">
        <v>445</v>
      </c>
      <c r="H82" s="394" t="s">
        <v>259</v>
      </c>
      <c r="I82" s="394" t="s">
        <v>281</v>
      </c>
      <c r="J82" s="355" t="s">
        <v>1454</v>
      </c>
      <c r="L82" s="353" t="s">
        <v>52</v>
      </c>
      <c r="M82" s="423" t="s">
        <v>1503</v>
      </c>
      <c r="O82" s="355" t="s">
        <v>1532</v>
      </c>
      <c r="P82" s="95"/>
      <c r="Q82" s="96"/>
      <c r="R82" s="103" t="s">
        <v>1270</v>
      </c>
      <c r="S82" s="97"/>
      <c r="T82" s="353" t="s">
        <v>182</v>
      </c>
      <c r="V82" s="432">
        <f t="shared" si="5"/>
        <v>0</v>
      </c>
      <c r="W82" s="288" t="s">
        <v>835</v>
      </c>
      <c r="X82" s="288" t="s">
        <v>1189</v>
      </c>
      <c r="Y82" s="288" t="s">
        <v>275</v>
      </c>
      <c r="Z82" s="288" t="s">
        <v>265</v>
      </c>
      <c r="AC82" s="86"/>
      <c r="AD82" s="94" t="s">
        <v>266</v>
      </c>
    </row>
    <row r="83" spans="1:30" ht="75">
      <c r="A83" s="336" t="s">
        <v>1498</v>
      </c>
      <c r="B83" s="377" t="s">
        <v>1655</v>
      </c>
      <c r="C83" s="378" t="s">
        <v>441</v>
      </c>
      <c r="D83" s="349" t="s">
        <v>442</v>
      </c>
      <c r="E83" s="379" t="s">
        <v>443</v>
      </c>
      <c r="F83" s="352" t="s">
        <v>444</v>
      </c>
      <c r="G83" s="393" t="s">
        <v>445</v>
      </c>
      <c r="H83" s="394" t="s">
        <v>259</v>
      </c>
      <c r="I83" s="394" t="s">
        <v>281</v>
      </c>
      <c r="J83" s="355" t="s">
        <v>1456</v>
      </c>
      <c r="L83" s="353" t="s">
        <v>52</v>
      </c>
      <c r="M83" s="423" t="s">
        <v>1503</v>
      </c>
      <c r="O83" s="355" t="s">
        <v>1533</v>
      </c>
      <c r="P83" s="100" t="s">
        <v>1185</v>
      </c>
      <c r="Q83" s="96" t="s">
        <v>446</v>
      </c>
      <c r="R83" s="103" t="s">
        <v>1270</v>
      </c>
      <c r="S83" s="97"/>
      <c r="T83" s="353" t="s">
        <v>182</v>
      </c>
      <c r="V83" s="432">
        <f t="shared" si="5"/>
        <v>0</v>
      </c>
      <c r="W83" s="288" t="s">
        <v>835</v>
      </c>
      <c r="X83" s="288" t="s">
        <v>1189</v>
      </c>
      <c r="Y83" s="288" t="s">
        <v>275</v>
      </c>
      <c r="Z83" s="325" t="s">
        <v>265</v>
      </c>
      <c r="AC83" s="94" t="s">
        <v>266</v>
      </c>
    </row>
    <row r="84" spans="1:30" ht="75">
      <c r="A84" s="336" t="s">
        <v>1498</v>
      </c>
      <c r="B84" s="377" t="s">
        <v>1655</v>
      </c>
      <c r="C84" s="378" t="s">
        <v>441</v>
      </c>
      <c r="D84" s="349" t="s">
        <v>442</v>
      </c>
      <c r="E84" s="379" t="s">
        <v>443</v>
      </c>
      <c r="F84" s="352" t="s">
        <v>444</v>
      </c>
      <c r="G84" s="393" t="s">
        <v>445</v>
      </c>
      <c r="H84" s="394" t="s">
        <v>259</v>
      </c>
      <c r="I84" s="394" t="s">
        <v>281</v>
      </c>
      <c r="J84" s="355" t="s">
        <v>1455</v>
      </c>
      <c r="L84" s="353" t="s">
        <v>52</v>
      </c>
      <c r="M84" s="423" t="s">
        <v>1503</v>
      </c>
      <c r="O84" s="355" t="s">
        <v>1534</v>
      </c>
      <c r="P84" s="100" t="s">
        <v>1185</v>
      </c>
      <c r="Q84" s="96" t="s">
        <v>446</v>
      </c>
      <c r="R84" s="103" t="s">
        <v>1270</v>
      </c>
      <c r="S84" s="97"/>
      <c r="T84" s="353" t="s">
        <v>182</v>
      </c>
      <c r="V84" s="432">
        <f t="shared" si="5"/>
        <v>0</v>
      </c>
      <c r="W84" s="288" t="s">
        <v>835</v>
      </c>
      <c r="X84" s="288" t="s">
        <v>1189</v>
      </c>
      <c r="Y84" s="288" t="s">
        <v>275</v>
      </c>
      <c r="Z84" s="325" t="s">
        <v>265</v>
      </c>
      <c r="AB84" s="94" t="s">
        <v>266</v>
      </c>
    </row>
    <row r="85" spans="1:30" ht="45">
      <c r="A85" s="336" t="s">
        <v>1498</v>
      </c>
      <c r="B85" s="377" t="s">
        <v>1655</v>
      </c>
      <c r="C85" s="378" t="s">
        <v>441</v>
      </c>
      <c r="D85" s="349" t="s">
        <v>442</v>
      </c>
      <c r="E85" s="379" t="s">
        <v>443</v>
      </c>
      <c r="F85" s="352" t="s">
        <v>447</v>
      </c>
      <c r="G85" s="391" t="s">
        <v>448</v>
      </c>
      <c r="H85" s="394" t="s">
        <v>259</v>
      </c>
      <c r="I85" s="394" t="s">
        <v>281</v>
      </c>
      <c r="J85" s="355" t="s">
        <v>1435</v>
      </c>
      <c r="L85" s="353" t="s">
        <v>52</v>
      </c>
      <c r="M85" s="423" t="s">
        <v>1503</v>
      </c>
      <c r="O85" s="355" t="s">
        <v>1703</v>
      </c>
      <c r="P85" s="95"/>
      <c r="Q85" s="96" t="s">
        <v>449</v>
      </c>
      <c r="R85" s="103" t="s">
        <v>1270</v>
      </c>
      <c r="S85" s="97"/>
      <c r="T85" s="353" t="s">
        <v>182</v>
      </c>
      <c r="V85" s="432">
        <f t="shared" si="5"/>
        <v>0</v>
      </c>
      <c r="W85" s="288" t="s">
        <v>263</v>
      </c>
      <c r="X85" s="288" t="str">
        <f>IF(W85=Llistes!$B$18,Llistes!$D$18,IF(W85=Llistes!$B$20,Llistes!$D$20,IF(W85=Llistes!$B$22,Llistes!$D$22,IF(W85=Llistes!$B$23,Llistes!$D$23,IF(W85=Llistes!$B$24,Llistes!$D$24,IF(W85=Llistes!$B$28,Llistes!$D$28))))))</f>
        <v>Tècnic coordinador</v>
      </c>
      <c r="Y85" s="288" t="s">
        <v>264</v>
      </c>
      <c r="Z85" s="325" t="s">
        <v>265</v>
      </c>
      <c r="AC85" s="94" t="s">
        <v>266</v>
      </c>
    </row>
    <row r="86" spans="1:30" ht="60">
      <c r="A86" s="336" t="s">
        <v>1498</v>
      </c>
      <c r="B86" s="377" t="s">
        <v>1655</v>
      </c>
      <c r="C86" s="378" t="s">
        <v>441</v>
      </c>
      <c r="D86" s="349" t="s">
        <v>450</v>
      </c>
      <c r="E86" s="379" t="s">
        <v>451</v>
      </c>
      <c r="F86" s="352" t="s">
        <v>452</v>
      </c>
      <c r="G86" s="391" t="s">
        <v>453</v>
      </c>
      <c r="H86" s="394" t="s">
        <v>259</v>
      </c>
      <c r="I86" s="394" t="s">
        <v>281</v>
      </c>
      <c r="J86" s="355" t="s">
        <v>1434</v>
      </c>
      <c r="L86" s="353" t="s">
        <v>52</v>
      </c>
      <c r="M86" s="423" t="s">
        <v>1504</v>
      </c>
      <c r="O86" s="355" t="s">
        <v>1535</v>
      </c>
      <c r="P86" s="95" t="s">
        <v>284</v>
      </c>
      <c r="Q86" s="96" t="s">
        <v>455</v>
      </c>
      <c r="R86" s="103" t="s">
        <v>1270</v>
      </c>
      <c r="S86" s="97"/>
      <c r="T86" s="353" t="s">
        <v>182</v>
      </c>
      <c r="V86" s="432">
        <f t="shared" si="5"/>
        <v>0</v>
      </c>
      <c r="W86" s="288" t="s">
        <v>835</v>
      </c>
      <c r="X86" s="288" t="s">
        <v>1189</v>
      </c>
      <c r="Y86" s="288" t="s">
        <v>275</v>
      </c>
      <c r="Z86" s="325" t="s">
        <v>265</v>
      </c>
      <c r="AA86" s="94" t="s">
        <v>266</v>
      </c>
      <c r="AB86" s="94" t="s">
        <v>266</v>
      </c>
      <c r="AC86" s="94" t="s">
        <v>266</v>
      </c>
      <c r="AD86" s="94" t="s">
        <v>266</v>
      </c>
    </row>
    <row r="87" spans="1:30" ht="60">
      <c r="A87" s="336" t="s">
        <v>1498</v>
      </c>
      <c r="B87" s="377" t="s">
        <v>1655</v>
      </c>
      <c r="C87" s="378" t="s">
        <v>441</v>
      </c>
      <c r="D87" s="349" t="s">
        <v>450</v>
      </c>
      <c r="E87" s="379" t="s">
        <v>451</v>
      </c>
      <c r="F87" s="352" t="s">
        <v>456</v>
      </c>
      <c r="G87" s="391" t="s">
        <v>457</v>
      </c>
      <c r="H87" s="394" t="s">
        <v>259</v>
      </c>
      <c r="I87" s="394" t="s">
        <v>281</v>
      </c>
      <c r="J87" s="355" t="s">
        <v>1433</v>
      </c>
      <c r="L87" s="353" t="s">
        <v>52</v>
      </c>
      <c r="M87" s="423" t="s">
        <v>1505</v>
      </c>
      <c r="O87" s="355" t="s">
        <v>1672</v>
      </c>
      <c r="P87" s="95"/>
      <c r="Q87" s="96"/>
      <c r="R87" s="288" t="s">
        <v>1673</v>
      </c>
      <c r="S87" s="97">
        <v>2</v>
      </c>
      <c r="T87" s="423">
        <v>4</v>
      </c>
      <c r="V87" s="432">
        <f t="shared" si="5"/>
        <v>0</v>
      </c>
      <c r="W87" s="288" t="s">
        <v>835</v>
      </c>
      <c r="X87" s="288" t="s">
        <v>1189</v>
      </c>
      <c r="Y87" s="288" t="s">
        <v>275</v>
      </c>
      <c r="Z87" s="325" t="s">
        <v>265</v>
      </c>
      <c r="AA87" s="94" t="s">
        <v>266</v>
      </c>
      <c r="AB87" s="94" t="s">
        <v>266</v>
      </c>
      <c r="AC87" s="94" t="s">
        <v>266</v>
      </c>
      <c r="AD87" s="94" t="s">
        <v>266</v>
      </c>
    </row>
    <row r="88" spans="1:30" ht="60">
      <c r="A88" s="336" t="s">
        <v>1498</v>
      </c>
      <c r="B88" s="377" t="s">
        <v>1655</v>
      </c>
      <c r="C88" s="378" t="s">
        <v>441</v>
      </c>
      <c r="D88" s="349" t="s">
        <v>450</v>
      </c>
      <c r="E88" s="379" t="s">
        <v>451</v>
      </c>
      <c r="F88" s="352" t="s">
        <v>456</v>
      </c>
      <c r="G88" s="391" t="s">
        <v>457</v>
      </c>
      <c r="H88" s="394" t="s">
        <v>259</v>
      </c>
      <c r="I88" s="394" t="s">
        <v>281</v>
      </c>
      <c r="J88" s="355" t="s">
        <v>1433</v>
      </c>
      <c r="L88" s="353" t="s">
        <v>52</v>
      </c>
      <c r="M88" s="423" t="s">
        <v>1505</v>
      </c>
      <c r="O88" s="355" t="s">
        <v>1674</v>
      </c>
      <c r="P88" s="95"/>
      <c r="Q88" s="96"/>
      <c r="R88" s="288" t="s">
        <v>1270</v>
      </c>
      <c r="S88" s="97"/>
      <c r="T88" s="423" t="s">
        <v>52</v>
      </c>
      <c r="V88" s="432">
        <f t="shared" ref="V88" si="6">U88*4</f>
        <v>0</v>
      </c>
      <c r="W88" s="288" t="s">
        <v>835</v>
      </c>
      <c r="X88" s="288" t="s">
        <v>1189</v>
      </c>
      <c r="Y88" s="288" t="s">
        <v>264</v>
      </c>
      <c r="Z88" s="325" t="s">
        <v>265</v>
      </c>
      <c r="AB88" s="94" t="s">
        <v>266</v>
      </c>
    </row>
    <row r="89" spans="1:30" ht="60">
      <c r="A89" s="336" t="s">
        <v>1498</v>
      </c>
      <c r="B89" s="377" t="s">
        <v>1655</v>
      </c>
      <c r="C89" s="378" t="s">
        <v>441</v>
      </c>
      <c r="D89" s="349" t="s">
        <v>450</v>
      </c>
      <c r="E89" s="379" t="s">
        <v>451</v>
      </c>
      <c r="F89" s="352" t="s">
        <v>456</v>
      </c>
      <c r="G89" s="391" t="s">
        <v>457</v>
      </c>
      <c r="H89" s="394" t="s">
        <v>259</v>
      </c>
      <c r="I89" s="394" t="s">
        <v>281</v>
      </c>
      <c r="J89" s="355" t="s">
        <v>1433</v>
      </c>
      <c r="L89" s="353" t="s">
        <v>52</v>
      </c>
      <c r="M89" s="423" t="s">
        <v>1505</v>
      </c>
      <c r="O89" s="355" t="s">
        <v>1707</v>
      </c>
      <c r="P89" s="95"/>
      <c r="Q89" s="96"/>
      <c r="R89" s="288" t="s">
        <v>1270</v>
      </c>
      <c r="S89" s="97"/>
      <c r="T89" s="353" t="s">
        <v>182</v>
      </c>
      <c r="V89" s="432">
        <f t="shared" ref="V89" si="7">U89*4</f>
        <v>0</v>
      </c>
      <c r="W89" s="288" t="s">
        <v>835</v>
      </c>
      <c r="X89" s="288" t="s">
        <v>1189</v>
      </c>
      <c r="Y89" s="288" t="s">
        <v>275</v>
      </c>
      <c r="Z89" s="325" t="s">
        <v>265</v>
      </c>
      <c r="AA89" s="94" t="s">
        <v>266</v>
      </c>
      <c r="AB89" s="94" t="s">
        <v>266</v>
      </c>
    </row>
    <row r="90" spans="1:30" ht="139.5" customHeight="1">
      <c r="A90" s="336" t="s">
        <v>1498</v>
      </c>
      <c r="B90" s="377" t="s">
        <v>1655</v>
      </c>
      <c r="C90" s="378" t="s">
        <v>441</v>
      </c>
      <c r="D90" s="349" t="s">
        <v>450</v>
      </c>
      <c r="E90" s="379" t="s">
        <v>451</v>
      </c>
      <c r="F90" s="352" t="s">
        <v>456</v>
      </c>
      <c r="G90" s="391" t="s">
        <v>457</v>
      </c>
      <c r="H90" s="394" t="s">
        <v>259</v>
      </c>
      <c r="I90" s="394" t="s">
        <v>281</v>
      </c>
      <c r="J90" s="355" t="s">
        <v>1433</v>
      </c>
      <c r="L90" s="353" t="s">
        <v>52</v>
      </c>
      <c r="M90" s="423" t="s">
        <v>1505</v>
      </c>
      <c r="O90" s="355" t="s">
        <v>1536</v>
      </c>
      <c r="P90" s="95"/>
      <c r="Q90" s="96"/>
      <c r="R90" s="103" t="s">
        <v>1270</v>
      </c>
      <c r="S90" s="97"/>
      <c r="T90" s="353" t="s">
        <v>182</v>
      </c>
      <c r="V90" s="432">
        <f t="shared" si="5"/>
        <v>0</v>
      </c>
      <c r="W90" s="288" t="s">
        <v>835</v>
      </c>
      <c r="X90" s="288" t="s">
        <v>1189</v>
      </c>
      <c r="Y90" s="288" t="s">
        <v>264</v>
      </c>
      <c r="Z90" s="325" t="s">
        <v>265</v>
      </c>
      <c r="AD90" s="94" t="s">
        <v>266</v>
      </c>
    </row>
    <row r="91" spans="1:30" ht="60">
      <c r="A91" s="336" t="s">
        <v>1498</v>
      </c>
      <c r="B91" s="377" t="s">
        <v>1655</v>
      </c>
      <c r="C91" s="378" t="s">
        <v>441</v>
      </c>
      <c r="D91" s="349" t="s">
        <v>450</v>
      </c>
      <c r="E91" s="379" t="s">
        <v>451</v>
      </c>
      <c r="F91" s="352" t="s">
        <v>456</v>
      </c>
      <c r="G91" s="391" t="s">
        <v>457</v>
      </c>
      <c r="H91" s="394" t="s">
        <v>259</v>
      </c>
      <c r="I91" s="394" t="s">
        <v>281</v>
      </c>
      <c r="J91" s="355" t="s">
        <v>1433</v>
      </c>
      <c r="L91" s="353" t="s">
        <v>52</v>
      </c>
      <c r="M91" s="423" t="s">
        <v>1505</v>
      </c>
      <c r="O91" s="355" t="s">
        <v>1537</v>
      </c>
      <c r="P91" s="95"/>
      <c r="Q91" s="96"/>
      <c r="R91" s="103" t="s">
        <v>1270</v>
      </c>
      <c r="S91" s="97"/>
      <c r="T91" s="423" t="s">
        <v>182</v>
      </c>
      <c r="V91" s="432">
        <f t="shared" si="5"/>
        <v>0</v>
      </c>
      <c r="W91" s="288" t="s">
        <v>263</v>
      </c>
      <c r="X91" s="288" t="str">
        <f>IF(W91=Llistes!$B$18,Llistes!$D$18,IF(W91=Llistes!$B$20,Llistes!$D$20,IF(W91=Llistes!$B$22,Llistes!$D$22,IF(W91=Llistes!$B$23,Llistes!$D$23,IF(W91=Llistes!$B$24,Llistes!$D$24,IF(W91=Llistes!$B$28,Llistes!$D$28))))))</f>
        <v>Tècnic coordinador</v>
      </c>
      <c r="Y91" s="288" t="s">
        <v>264</v>
      </c>
      <c r="Z91" s="325" t="s">
        <v>265</v>
      </c>
      <c r="AB91" s="94" t="s">
        <v>266</v>
      </c>
    </row>
    <row r="92" spans="1:30" ht="60">
      <c r="A92" s="336" t="s">
        <v>1498</v>
      </c>
      <c r="B92" s="377" t="s">
        <v>1655</v>
      </c>
      <c r="C92" s="378" t="s">
        <v>441</v>
      </c>
      <c r="D92" s="349" t="s">
        <v>450</v>
      </c>
      <c r="E92" s="379" t="s">
        <v>451</v>
      </c>
      <c r="F92" s="352" t="s">
        <v>456</v>
      </c>
      <c r="G92" s="391" t="s">
        <v>457</v>
      </c>
      <c r="H92" s="394" t="s">
        <v>259</v>
      </c>
      <c r="I92" s="394" t="s">
        <v>281</v>
      </c>
      <c r="J92" s="355" t="s">
        <v>1433</v>
      </c>
      <c r="L92" s="353" t="s">
        <v>52</v>
      </c>
      <c r="O92" s="355" t="s">
        <v>1538</v>
      </c>
      <c r="P92" s="95"/>
      <c r="Q92" s="96"/>
      <c r="R92" s="288" t="s">
        <v>458</v>
      </c>
      <c r="S92" s="97">
        <v>2</v>
      </c>
      <c r="T92" s="423">
        <v>5</v>
      </c>
      <c r="V92" s="432">
        <f t="shared" si="5"/>
        <v>0</v>
      </c>
      <c r="W92" s="288" t="s">
        <v>263</v>
      </c>
      <c r="X92" s="288" t="str">
        <f>IF(W92=Llistes!$B$18,Llistes!$D$18,IF(W92=Llistes!$B$20,Llistes!$D$20,IF(W92=Llistes!$B$22,Llistes!$D$22,IF(W92=Llistes!$B$23,Llistes!$D$23,IF(W92=Llistes!$B$24,Llistes!$D$24,IF(W92=Llistes!$B$28,Llistes!$D$28))))))</f>
        <v>Tècnic coordinador</v>
      </c>
      <c r="Y92" s="288" t="s">
        <v>264</v>
      </c>
      <c r="Z92" s="325" t="s">
        <v>265</v>
      </c>
      <c r="AC92" s="94" t="s">
        <v>266</v>
      </c>
      <c r="AD92" s="94" t="s">
        <v>266</v>
      </c>
    </row>
    <row r="93" spans="1:30" ht="60">
      <c r="A93" s="336" t="s">
        <v>1498</v>
      </c>
      <c r="B93" s="377" t="s">
        <v>1655</v>
      </c>
      <c r="C93" s="378" t="s">
        <v>441</v>
      </c>
      <c r="D93" s="349" t="s">
        <v>450</v>
      </c>
      <c r="E93" s="379" t="s">
        <v>451</v>
      </c>
      <c r="F93" s="352" t="s">
        <v>459</v>
      </c>
      <c r="G93" s="391" t="s">
        <v>460</v>
      </c>
      <c r="H93" s="394" t="s">
        <v>259</v>
      </c>
      <c r="I93" s="394" t="s">
        <v>281</v>
      </c>
      <c r="J93" s="355" t="s">
        <v>1432</v>
      </c>
      <c r="L93" s="353" t="s">
        <v>52</v>
      </c>
      <c r="M93" s="423" t="s">
        <v>1504</v>
      </c>
      <c r="O93" s="355" t="s">
        <v>1539</v>
      </c>
      <c r="P93" s="95" t="s">
        <v>284</v>
      </c>
      <c r="Q93" s="96" t="s">
        <v>461</v>
      </c>
      <c r="R93" s="103" t="s">
        <v>1270</v>
      </c>
      <c r="S93" s="97"/>
      <c r="T93" s="423" t="s">
        <v>182</v>
      </c>
      <c r="V93" s="432">
        <f t="shared" si="5"/>
        <v>0</v>
      </c>
      <c r="W93" s="288" t="s">
        <v>835</v>
      </c>
      <c r="X93" s="288" t="s">
        <v>1189</v>
      </c>
      <c r="Y93" s="288" t="s">
        <v>264</v>
      </c>
      <c r="Z93" s="325" t="s">
        <v>265</v>
      </c>
      <c r="AB93" s="94" t="s">
        <v>266</v>
      </c>
    </row>
    <row r="94" spans="1:30" ht="60">
      <c r="A94" s="336" t="s">
        <v>1498</v>
      </c>
      <c r="B94" s="377" t="s">
        <v>1655</v>
      </c>
      <c r="C94" s="378" t="s">
        <v>441</v>
      </c>
      <c r="D94" s="349" t="s">
        <v>450</v>
      </c>
      <c r="E94" s="379" t="s">
        <v>451</v>
      </c>
      <c r="F94" s="352" t="s">
        <v>462</v>
      </c>
      <c r="G94" s="391" t="s">
        <v>463</v>
      </c>
      <c r="H94" s="394" t="s">
        <v>259</v>
      </c>
      <c r="I94" s="394" t="s">
        <v>346</v>
      </c>
      <c r="J94" s="355" t="s">
        <v>463</v>
      </c>
      <c r="L94" s="353" t="s">
        <v>52</v>
      </c>
      <c r="M94" s="423" t="s">
        <v>1505</v>
      </c>
      <c r="O94" s="355" t="s">
        <v>1540</v>
      </c>
      <c r="P94" s="95"/>
      <c r="Q94" s="96"/>
      <c r="R94" s="103" t="s">
        <v>1270</v>
      </c>
      <c r="S94" s="97"/>
      <c r="T94" s="423" t="s">
        <v>182</v>
      </c>
      <c r="V94" s="432">
        <f t="shared" si="5"/>
        <v>0</v>
      </c>
      <c r="W94" s="288" t="s">
        <v>835</v>
      </c>
      <c r="X94" s="288" t="s">
        <v>1189</v>
      </c>
      <c r="Y94" s="288" t="s">
        <v>264</v>
      </c>
      <c r="Z94" s="325" t="s">
        <v>265</v>
      </c>
      <c r="AC94" s="94" t="s">
        <v>266</v>
      </c>
    </row>
    <row r="95" spans="1:30" ht="60">
      <c r="A95" s="336" t="s">
        <v>1498</v>
      </c>
      <c r="B95" s="377" t="s">
        <v>1655</v>
      </c>
      <c r="C95" s="378" t="s">
        <v>441</v>
      </c>
      <c r="D95" s="349" t="s">
        <v>450</v>
      </c>
      <c r="E95" s="379" t="s">
        <v>451</v>
      </c>
      <c r="F95" s="352" t="s">
        <v>464</v>
      </c>
      <c r="G95" s="391" t="s">
        <v>465</v>
      </c>
      <c r="H95" s="394" t="s">
        <v>259</v>
      </c>
      <c r="I95" s="394" t="s">
        <v>346</v>
      </c>
      <c r="J95" s="355" t="s">
        <v>1431</v>
      </c>
      <c r="L95" s="353" t="s">
        <v>52</v>
      </c>
      <c r="O95" s="355" t="s">
        <v>1541</v>
      </c>
      <c r="P95" s="95"/>
      <c r="Q95" s="96"/>
      <c r="R95" s="103" t="s">
        <v>1270</v>
      </c>
      <c r="S95" s="97"/>
      <c r="T95" s="423" t="s">
        <v>182</v>
      </c>
      <c r="V95" s="432">
        <f t="shared" si="5"/>
        <v>0</v>
      </c>
      <c r="W95" s="288" t="s">
        <v>835</v>
      </c>
      <c r="X95" s="288" t="s">
        <v>1189</v>
      </c>
      <c r="Y95" s="288" t="s">
        <v>275</v>
      </c>
      <c r="Z95" s="325" t="s">
        <v>796</v>
      </c>
      <c r="AA95" s="94" t="s">
        <v>266</v>
      </c>
      <c r="AC95" s="94" t="s">
        <v>266</v>
      </c>
    </row>
    <row r="96" spans="1:30" ht="60">
      <c r="A96" s="336" t="s">
        <v>1498</v>
      </c>
      <c r="B96" s="377" t="s">
        <v>1655</v>
      </c>
      <c r="C96" s="378" t="s">
        <v>441</v>
      </c>
      <c r="D96" s="349" t="s">
        <v>450</v>
      </c>
      <c r="E96" s="379" t="s">
        <v>451</v>
      </c>
      <c r="F96" s="352" t="s">
        <v>466</v>
      </c>
      <c r="G96" s="391" t="s">
        <v>467</v>
      </c>
      <c r="H96" s="394" t="s">
        <v>259</v>
      </c>
      <c r="I96" s="394" t="s">
        <v>281</v>
      </c>
      <c r="J96" s="355" t="s">
        <v>1430</v>
      </c>
      <c r="L96" s="353" t="s">
        <v>52</v>
      </c>
      <c r="M96" s="423" t="s">
        <v>1504</v>
      </c>
      <c r="O96" s="355" t="s">
        <v>1542</v>
      </c>
      <c r="P96" s="95" t="s">
        <v>284</v>
      </c>
      <c r="Q96" s="96"/>
      <c r="R96" s="288" t="s">
        <v>1045</v>
      </c>
      <c r="S96" s="97">
        <v>2</v>
      </c>
      <c r="T96" s="423">
        <v>4</v>
      </c>
      <c r="V96" s="432">
        <f t="shared" si="5"/>
        <v>0</v>
      </c>
      <c r="W96" s="288" t="s">
        <v>263</v>
      </c>
      <c r="X96" s="288" t="str">
        <f>IF(W96=Llistes!$B$18,Llistes!$D$18,IF(W96=Llistes!$B$20,Llistes!$D$20,IF(W96=Llistes!$B$22,Llistes!$D$22,IF(W96=Llistes!$B$23,Llistes!$D$23,IF(W96=Llistes!$B$24,Llistes!$D$24,IF(W96=Llistes!$B$28,Llistes!$D$28))))))</f>
        <v>Tècnic coordinador</v>
      </c>
      <c r="Y96" s="288" t="s">
        <v>275</v>
      </c>
      <c r="Z96" s="325" t="s">
        <v>265</v>
      </c>
      <c r="AA96" s="94" t="s">
        <v>266</v>
      </c>
      <c r="AB96" s="94" t="s">
        <v>266</v>
      </c>
      <c r="AC96" s="94" t="s">
        <v>266</v>
      </c>
      <c r="AD96" s="94" t="s">
        <v>266</v>
      </c>
    </row>
    <row r="97" spans="1:30" ht="60">
      <c r="A97" s="336" t="s">
        <v>1498</v>
      </c>
      <c r="B97" s="377" t="s">
        <v>1655</v>
      </c>
      <c r="C97" s="378" t="s">
        <v>441</v>
      </c>
      <c r="D97" s="349" t="s">
        <v>450</v>
      </c>
      <c r="E97" s="379" t="s">
        <v>451</v>
      </c>
      <c r="F97" s="352" t="s">
        <v>466</v>
      </c>
      <c r="G97" s="391" t="s">
        <v>467</v>
      </c>
      <c r="H97" s="394" t="s">
        <v>259</v>
      </c>
      <c r="I97" s="394" t="s">
        <v>281</v>
      </c>
      <c r="J97" s="355" t="s">
        <v>467</v>
      </c>
      <c r="L97" s="353" t="s">
        <v>52</v>
      </c>
      <c r="M97" s="423" t="s">
        <v>1504</v>
      </c>
      <c r="O97" s="355" t="s">
        <v>1543</v>
      </c>
      <c r="P97" s="95" t="s">
        <v>284</v>
      </c>
      <c r="Q97" s="96"/>
      <c r="R97" s="103" t="s">
        <v>1270</v>
      </c>
      <c r="S97" s="97"/>
      <c r="T97" s="423" t="s">
        <v>182</v>
      </c>
      <c r="V97" s="432">
        <f t="shared" si="5"/>
        <v>0</v>
      </c>
      <c r="W97" s="288" t="s">
        <v>263</v>
      </c>
      <c r="X97" s="288" t="str">
        <f>IF(W97=Llistes!$B$18,Llistes!$D$18,IF(W97=Llistes!$B$20,Llistes!$D$20,IF(W97=Llistes!$B$22,Llistes!$D$22,IF(W97=Llistes!$B$23,Llistes!$D$23,IF(W97=Llistes!$B$24,Llistes!$D$24,IF(W97=Llistes!$B$28,Llistes!$D$28))))))</f>
        <v>Tècnic coordinador</v>
      </c>
      <c r="Y97" s="288" t="s">
        <v>275</v>
      </c>
      <c r="Z97" s="325" t="s">
        <v>265</v>
      </c>
      <c r="AA97" s="94" t="s">
        <v>266</v>
      </c>
      <c r="AC97" s="94" t="s">
        <v>266</v>
      </c>
    </row>
    <row r="98" spans="1:30" ht="60">
      <c r="A98" s="336" t="s">
        <v>1498</v>
      </c>
      <c r="B98" s="377" t="s">
        <v>1655</v>
      </c>
      <c r="C98" s="378" t="s">
        <v>441</v>
      </c>
      <c r="D98" s="349" t="s">
        <v>450</v>
      </c>
      <c r="E98" s="379" t="s">
        <v>451</v>
      </c>
      <c r="F98" s="352" t="s">
        <v>466</v>
      </c>
      <c r="G98" s="391" t="s">
        <v>467</v>
      </c>
      <c r="H98" s="394" t="s">
        <v>259</v>
      </c>
      <c r="I98" s="394" t="s">
        <v>281</v>
      </c>
      <c r="J98" s="355" t="s">
        <v>1430</v>
      </c>
      <c r="L98" s="353" t="s">
        <v>52</v>
      </c>
      <c r="M98" s="423" t="s">
        <v>1504</v>
      </c>
      <c r="O98" s="355" t="s">
        <v>1544</v>
      </c>
      <c r="P98" s="95" t="s">
        <v>284</v>
      </c>
      <c r="Q98" s="96"/>
      <c r="R98" s="103" t="s">
        <v>1270</v>
      </c>
      <c r="S98" s="97"/>
      <c r="T98" s="423" t="s">
        <v>182</v>
      </c>
      <c r="V98" s="432">
        <f t="shared" si="5"/>
        <v>0</v>
      </c>
      <c r="W98" s="288" t="s">
        <v>263</v>
      </c>
      <c r="X98" s="288" t="str">
        <f>IF(W98=Llistes!$B$18,Llistes!$D$18,IF(W98=Llistes!$B$20,Llistes!$D$20,IF(W98=Llistes!$B$22,Llistes!$D$22,IF(W98=Llistes!$B$23,Llistes!$D$23,IF(W98=Llistes!$B$24,Llistes!$D$24,IF(W98=Llistes!$B$28,Llistes!$D$28))))))</f>
        <v>Tècnic coordinador</v>
      </c>
      <c r="Y98" s="288" t="s">
        <v>275</v>
      </c>
      <c r="Z98" s="325" t="s">
        <v>265</v>
      </c>
      <c r="AB98" s="94" t="s">
        <v>266</v>
      </c>
      <c r="AD98" s="94" t="s">
        <v>266</v>
      </c>
    </row>
    <row r="99" spans="1:30" ht="60">
      <c r="A99" s="336" t="s">
        <v>1498</v>
      </c>
      <c r="B99" s="377" t="s">
        <v>1655</v>
      </c>
      <c r="C99" s="378" t="s">
        <v>441</v>
      </c>
      <c r="D99" s="349" t="s">
        <v>450</v>
      </c>
      <c r="E99" s="379" t="s">
        <v>451</v>
      </c>
      <c r="F99" s="352" t="s">
        <v>466</v>
      </c>
      <c r="G99" s="391" t="s">
        <v>467</v>
      </c>
      <c r="H99" s="394" t="s">
        <v>259</v>
      </c>
      <c r="I99" s="394" t="s">
        <v>281</v>
      </c>
      <c r="J99" s="355" t="s">
        <v>1430</v>
      </c>
      <c r="L99" s="353" t="s">
        <v>52</v>
      </c>
      <c r="M99" s="423" t="s">
        <v>1504</v>
      </c>
      <c r="O99" s="355" t="s">
        <v>1704</v>
      </c>
      <c r="P99" s="95" t="s">
        <v>284</v>
      </c>
      <c r="Q99" s="96"/>
      <c r="R99" s="103" t="s">
        <v>1270</v>
      </c>
      <c r="S99" s="97"/>
      <c r="T99" s="423" t="s">
        <v>182</v>
      </c>
      <c r="V99" s="432">
        <f t="shared" si="5"/>
        <v>0</v>
      </c>
      <c r="W99" s="288" t="s">
        <v>263</v>
      </c>
      <c r="X99" s="288" t="str">
        <f>IF(W99=Llistes!$B$18,Llistes!$D$18,IF(W99=Llistes!$B$20,Llistes!$D$20,IF(W99=Llistes!$B$22,Llistes!$D$22,IF(W99=Llistes!$B$23,Llistes!$D$23,IF(W99=Llistes!$B$24,Llistes!$D$24,IF(W99=Llistes!$B$28,Llistes!$D$28))))))</f>
        <v>Tècnic coordinador</v>
      </c>
      <c r="Y99" s="288" t="s">
        <v>275</v>
      </c>
      <c r="Z99" s="325" t="s">
        <v>265</v>
      </c>
      <c r="AB99" s="94" t="s">
        <v>266</v>
      </c>
      <c r="AD99" s="94" t="s">
        <v>266</v>
      </c>
    </row>
    <row r="100" spans="1:30" ht="60">
      <c r="A100" s="336" t="s">
        <v>1498</v>
      </c>
      <c r="B100" s="377" t="s">
        <v>1655</v>
      </c>
      <c r="C100" s="378" t="s">
        <v>441</v>
      </c>
      <c r="D100" s="349" t="s">
        <v>450</v>
      </c>
      <c r="E100" s="379" t="s">
        <v>451</v>
      </c>
      <c r="F100" s="352" t="s">
        <v>466</v>
      </c>
      <c r="G100" s="391" t="s">
        <v>467</v>
      </c>
      <c r="H100" s="394" t="s">
        <v>259</v>
      </c>
      <c r="I100" s="394" t="s">
        <v>281</v>
      </c>
      <c r="J100" s="355" t="s">
        <v>1430</v>
      </c>
      <c r="L100" s="353" t="s">
        <v>52</v>
      </c>
      <c r="M100" s="423" t="s">
        <v>1504</v>
      </c>
      <c r="O100" s="355" t="s">
        <v>1705</v>
      </c>
      <c r="P100" s="95" t="s">
        <v>284</v>
      </c>
      <c r="Q100" s="96"/>
      <c r="R100" s="103" t="s">
        <v>1270</v>
      </c>
      <c r="S100" s="97"/>
      <c r="T100" s="423" t="s">
        <v>182</v>
      </c>
      <c r="V100" s="432">
        <f t="shared" si="5"/>
        <v>0</v>
      </c>
      <c r="W100" s="288" t="s">
        <v>263</v>
      </c>
      <c r="X100" s="288" t="str">
        <f>IF(W100=Llistes!$B$18,Llistes!$D$18,IF(W100=Llistes!$B$20,Llistes!$D$20,IF(W100=Llistes!$B$22,Llistes!$D$22,IF(W100=Llistes!$B$23,Llistes!$D$23,IF(W100=Llistes!$B$24,Llistes!$D$24,IF(W100=Llistes!$B$28,Llistes!$D$28))))))</f>
        <v>Tècnic coordinador</v>
      </c>
      <c r="Y100" s="288" t="s">
        <v>275</v>
      </c>
      <c r="Z100" s="325" t="s">
        <v>265</v>
      </c>
      <c r="AA100" s="94" t="s">
        <v>266</v>
      </c>
      <c r="AD100" s="94" t="s">
        <v>266</v>
      </c>
    </row>
    <row r="101" spans="1:30" ht="60">
      <c r="A101" s="336" t="s">
        <v>1498</v>
      </c>
      <c r="B101" s="377" t="s">
        <v>1655</v>
      </c>
      <c r="C101" s="378" t="s">
        <v>441</v>
      </c>
      <c r="D101" s="349" t="s">
        <v>450</v>
      </c>
      <c r="E101" s="379" t="s">
        <v>451</v>
      </c>
      <c r="F101" s="352" t="s">
        <v>468</v>
      </c>
      <c r="G101" s="391" t="s">
        <v>1186</v>
      </c>
      <c r="H101" s="394" t="s">
        <v>259</v>
      </c>
      <c r="I101" s="394" t="s">
        <v>346</v>
      </c>
      <c r="J101" s="355" t="s">
        <v>1453</v>
      </c>
      <c r="K101" s="101" t="s">
        <v>1052</v>
      </c>
      <c r="L101" s="353"/>
      <c r="M101" s="423" t="s">
        <v>1504</v>
      </c>
      <c r="O101" s="355"/>
      <c r="P101" s="95" t="s">
        <v>284</v>
      </c>
      <c r="Q101" s="96"/>
      <c r="S101" s="97"/>
      <c r="V101" s="432">
        <f t="shared" si="5"/>
        <v>0</v>
      </c>
      <c r="W101" s="288"/>
      <c r="X101" s="288"/>
    </row>
    <row r="102" spans="1:30" ht="45">
      <c r="A102" s="336" t="s">
        <v>1498</v>
      </c>
      <c r="B102" s="377" t="s">
        <v>1655</v>
      </c>
      <c r="C102" s="378" t="s">
        <v>441</v>
      </c>
      <c r="D102" s="349" t="s">
        <v>469</v>
      </c>
      <c r="E102" s="379" t="s">
        <v>1187</v>
      </c>
      <c r="F102" s="352" t="s">
        <v>470</v>
      </c>
      <c r="G102" s="391" t="s">
        <v>471</v>
      </c>
      <c r="H102" s="394" t="s">
        <v>259</v>
      </c>
      <c r="I102" s="394" t="s">
        <v>281</v>
      </c>
      <c r="J102" s="355" t="s">
        <v>1452</v>
      </c>
      <c r="L102" s="353" t="s">
        <v>53</v>
      </c>
      <c r="M102" s="423" t="s">
        <v>1504</v>
      </c>
      <c r="O102" s="355" t="s">
        <v>1545</v>
      </c>
      <c r="P102" s="95" t="s">
        <v>284</v>
      </c>
      <c r="Q102" s="96" t="s">
        <v>472</v>
      </c>
      <c r="R102" s="288" t="s">
        <v>1045</v>
      </c>
      <c r="S102" s="97">
        <v>1</v>
      </c>
      <c r="T102" s="423">
        <v>2</v>
      </c>
      <c r="V102" s="432">
        <f t="shared" si="5"/>
        <v>0</v>
      </c>
      <c r="W102" s="288" t="s">
        <v>263</v>
      </c>
      <c r="X102" s="288" t="str">
        <f>IF(W102=Llistes!$B$18,Llistes!$D$18,IF(W102=Llistes!$B$20,Llistes!$D$20,IF(W102=Llistes!$B$22,Llistes!$D$22,IF(W102=Llistes!$B$23,Llistes!$D$23,IF(W102=Llistes!$B$24,Llistes!$D$24,IF(W102=Llistes!$B$28,Llistes!$D$28))))))</f>
        <v>Tècnic coordinador</v>
      </c>
      <c r="Y102" s="288" t="s">
        <v>275</v>
      </c>
      <c r="Z102" s="325" t="s">
        <v>265</v>
      </c>
      <c r="AA102" s="94" t="s">
        <v>266</v>
      </c>
      <c r="AC102" s="94" t="s">
        <v>266</v>
      </c>
    </row>
    <row r="103" spans="1:30" ht="60">
      <c r="A103" s="336" t="s">
        <v>1498</v>
      </c>
      <c r="B103" s="377" t="s">
        <v>1655</v>
      </c>
      <c r="C103" s="378" t="s">
        <v>441</v>
      </c>
      <c r="D103" s="349" t="s">
        <v>469</v>
      </c>
      <c r="E103" s="379" t="s">
        <v>1187</v>
      </c>
      <c r="F103" s="352" t="s">
        <v>473</v>
      </c>
      <c r="G103" s="391" t="s">
        <v>474</v>
      </c>
      <c r="H103" s="394" t="s">
        <v>259</v>
      </c>
      <c r="I103" s="394" t="s">
        <v>281</v>
      </c>
      <c r="J103" s="355" t="s">
        <v>1429</v>
      </c>
      <c r="L103" s="353" t="s">
        <v>52</v>
      </c>
      <c r="M103" s="423" t="s">
        <v>1504</v>
      </c>
      <c r="O103" s="355" t="s">
        <v>1546</v>
      </c>
      <c r="P103" s="95" t="s">
        <v>284</v>
      </c>
      <c r="Q103" s="96" t="s">
        <v>475</v>
      </c>
      <c r="R103" s="103" t="s">
        <v>1270</v>
      </c>
      <c r="S103" s="97"/>
      <c r="T103" s="423" t="s">
        <v>182</v>
      </c>
      <c r="V103" s="432">
        <f t="shared" si="5"/>
        <v>0</v>
      </c>
      <c r="W103" s="288" t="s">
        <v>835</v>
      </c>
      <c r="X103" s="288" t="s">
        <v>1189</v>
      </c>
      <c r="Y103" s="288" t="s">
        <v>275</v>
      </c>
      <c r="Z103" s="325" t="s">
        <v>265</v>
      </c>
      <c r="AA103" s="94" t="s">
        <v>266</v>
      </c>
      <c r="AB103" s="94" t="s">
        <v>266</v>
      </c>
      <c r="AC103" s="94" t="s">
        <v>266</v>
      </c>
      <c r="AD103" s="94" t="s">
        <v>266</v>
      </c>
    </row>
    <row r="104" spans="1:30" ht="45">
      <c r="A104" s="336" t="s">
        <v>1498</v>
      </c>
      <c r="B104" s="377" t="s">
        <v>1655</v>
      </c>
      <c r="C104" s="378" t="s">
        <v>441</v>
      </c>
      <c r="D104" s="349" t="s">
        <v>469</v>
      </c>
      <c r="E104" s="379" t="s">
        <v>1187</v>
      </c>
      <c r="F104" s="352" t="s">
        <v>473</v>
      </c>
      <c r="G104" s="391" t="s">
        <v>474</v>
      </c>
      <c r="H104" s="394" t="s">
        <v>259</v>
      </c>
      <c r="I104" s="394" t="s">
        <v>281</v>
      </c>
      <c r="J104" s="355" t="s">
        <v>1429</v>
      </c>
      <c r="L104" s="353" t="s">
        <v>52</v>
      </c>
      <c r="M104" s="423" t="s">
        <v>1504</v>
      </c>
      <c r="O104" s="355" t="s">
        <v>1547</v>
      </c>
      <c r="P104" s="95"/>
      <c r="Q104" s="96"/>
      <c r="R104" s="103" t="s">
        <v>1270</v>
      </c>
      <c r="S104" s="97"/>
      <c r="T104" s="423" t="s">
        <v>182</v>
      </c>
      <c r="V104" s="432">
        <f t="shared" si="5"/>
        <v>0</v>
      </c>
      <c r="W104" s="288" t="s">
        <v>835</v>
      </c>
      <c r="X104" s="288" t="s">
        <v>1189</v>
      </c>
      <c r="Y104" s="288" t="s">
        <v>275</v>
      </c>
      <c r="Z104" s="325" t="s">
        <v>265</v>
      </c>
      <c r="AA104" s="94" t="s">
        <v>266</v>
      </c>
      <c r="AB104" s="94" t="s">
        <v>266</v>
      </c>
      <c r="AC104" s="94" t="s">
        <v>266</v>
      </c>
      <c r="AD104" s="94" t="s">
        <v>266</v>
      </c>
    </row>
    <row r="105" spans="1:30" ht="45">
      <c r="A105" s="336" t="s">
        <v>1498</v>
      </c>
      <c r="B105" s="377" t="s">
        <v>1655</v>
      </c>
      <c r="C105" s="378" t="s">
        <v>441</v>
      </c>
      <c r="D105" s="349" t="s">
        <v>469</v>
      </c>
      <c r="E105" s="379" t="s">
        <v>1187</v>
      </c>
      <c r="F105" s="352" t="s">
        <v>473</v>
      </c>
      <c r="G105" s="391" t="s">
        <v>474</v>
      </c>
      <c r="H105" s="394" t="s">
        <v>259</v>
      </c>
      <c r="I105" s="394" t="s">
        <v>281</v>
      </c>
      <c r="J105" s="355" t="s">
        <v>1429</v>
      </c>
      <c r="L105" s="353" t="s">
        <v>52</v>
      </c>
      <c r="M105" s="423" t="s">
        <v>1504</v>
      </c>
      <c r="O105" s="355" t="s">
        <v>1548</v>
      </c>
      <c r="P105" s="95"/>
      <c r="Q105" s="96"/>
      <c r="R105" s="103" t="s">
        <v>1270</v>
      </c>
      <c r="S105" s="97"/>
      <c r="T105" s="423" t="s">
        <v>182</v>
      </c>
      <c r="V105" s="432">
        <f t="shared" si="5"/>
        <v>0</v>
      </c>
      <c r="W105" s="288" t="s">
        <v>835</v>
      </c>
      <c r="X105" s="288" t="s">
        <v>1189</v>
      </c>
      <c r="Y105" s="288" t="s">
        <v>275</v>
      </c>
      <c r="Z105" s="325" t="s">
        <v>265</v>
      </c>
      <c r="AB105" s="94" t="s">
        <v>266</v>
      </c>
      <c r="AD105" s="94" t="s">
        <v>266</v>
      </c>
    </row>
    <row r="106" spans="1:30" ht="51.6" customHeight="1">
      <c r="A106" s="336" t="s">
        <v>1498</v>
      </c>
      <c r="B106" s="377" t="s">
        <v>1655</v>
      </c>
      <c r="C106" s="378" t="s">
        <v>441</v>
      </c>
      <c r="D106" s="349" t="s">
        <v>469</v>
      </c>
      <c r="E106" s="379" t="s">
        <v>1187</v>
      </c>
      <c r="F106" s="352" t="s">
        <v>473</v>
      </c>
      <c r="G106" s="391" t="s">
        <v>474</v>
      </c>
      <c r="H106" s="394" t="s">
        <v>259</v>
      </c>
      <c r="I106" s="394" t="s">
        <v>281</v>
      </c>
      <c r="J106" s="355" t="s">
        <v>1429</v>
      </c>
      <c r="L106" s="353" t="s">
        <v>52</v>
      </c>
      <c r="M106" s="423" t="s">
        <v>1504</v>
      </c>
      <c r="O106" s="355" t="s">
        <v>1549</v>
      </c>
      <c r="P106" s="95"/>
      <c r="Q106" s="96"/>
      <c r="R106" s="103" t="s">
        <v>1270</v>
      </c>
      <c r="S106" s="97"/>
      <c r="T106" s="423" t="s">
        <v>182</v>
      </c>
      <c r="V106" s="432">
        <f t="shared" si="5"/>
        <v>0</v>
      </c>
      <c r="W106" s="288" t="s">
        <v>835</v>
      </c>
      <c r="X106" s="288" t="s">
        <v>1189</v>
      </c>
      <c r="Y106" s="288" t="s">
        <v>275</v>
      </c>
      <c r="Z106" s="325" t="s">
        <v>265</v>
      </c>
      <c r="AA106" s="94" t="s">
        <v>266</v>
      </c>
      <c r="AC106" s="94" t="s">
        <v>266</v>
      </c>
    </row>
    <row r="107" spans="1:30" ht="51.6" customHeight="1">
      <c r="A107" s="336" t="s">
        <v>1498</v>
      </c>
      <c r="B107" s="377" t="s">
        <v>1655</v>
      </c>
      <c r="C107" s="378" t="s">
        <v>441</v>
      </c>
      <c r="D107" s="349" t="s">
        <v>469</v>
      </c>
      <c r="E107" s="379" t="s">
        <v>1187</v>
      </c>
      <c r="F107" s="352" t="s">
        <v>473</v>
      </c>
      <c r="G107" s="391" t="s">
        <v>474</v>
      </c>
      <c r="H107" s="394" t="s">
        <v>259</v>
      </c>
      <c r="I107" s="394" t="s">
        <v>281</v>
      </c>
      <c r="J107" s="355" t="s">
        <v>1429</v>
      </c>
      <c r="L107" s="353" t="s">
        <v>52</v>
      </c>
      <c r="M107" s="423" t="s">
        <v>1504</v>
      </c>
      <c r="O107" s="355" t="s">
        <v>1550</v>
      </c>
      <c r="P107" s="95"/>
      <c r="Q107" s="96"/>
      <c r="R107" s="103" t="s">
        <v>1270</v>
      </c>
      <c r="S107" s="97"/>
      <c r="T107" s="423" t="s">
        <v>182</v>
      </c>
      <c r="V107" s="432">
        <f t="shared" si="5"/>
        <v>0</v>
      </c>
      <c r="W107" s="288" t="s">
        <v>835</v>
      </c>
      <c r="X107" s="288" t="s">
        <v>1189</v>
      </c>
      <c r="Y107" s="288" t="s">
        <v>275</v>
      </c>
      <c r="Z107" s="325" t="s">
        <v>265</v>
      </c>
      <c r="AA107" s="94" t="s">
        <v>266</v>
      </c>
      <c r="AC107" s="94" t="s">
        <v>266</v>
      </c>
    </row>
    <row r="108" spans="1:30" ht="45">
      <c r="A108" s="336" t="s">
        <v>1498</v>
      </c>
      <c r="B108" s="377" t="s">
        <v>1655</v>
      </c>
      <c r="C108" s="378" t="s">
        <v>441</v>
      </c>
      <c r="D108" s="349" t="s">
        <v>469</v>
      </c>
      <c r="E108" s="379" t="s">
        <v>1187</v>
      </c>
      <c r="F108" s="352" t="s">
        <v>476</v>
      </c>
      <c r="G108" s="391" t="s">
        <v>477</v>
      </c>
      <c r="H108" s="394" t="s">
        <v>259</v>
      </c>
      <c r="I108" s="394" t="s">
        <v>281</v>
      </c>
      <c r="J108" s="355" t="s">
        <v>1428</v>
      </c>
      <c r="L108" s="353" t="s">
        <v>52</v>
      </c>
      <c r="M108" s="423" t="s">
        <v>1505</v>
      </c>
      <c r="O108" s="355" t="s">
        <v>1551</v>
      </c>
      <c r="P108" s="95"/>
      <c r="Q108" s="96"/>
      <c r="R108" s="103" t="s">
        <v>1270</v>
      </c>
      <c r="S108" s="97"/>
      <c r="T108" s="423" t="s">
        <v>182</v>
      </c>
      <c r="V108" s="432">
        <f t="shared" si="5"/>
        <v>0</v>
      </c>
      <c r="W108" s="288" t="s">
        <v>835</v>
      </c>
      <c r="X108" s="288" t="s">
        <v>1189</v>
      </c>
      <c r="Y108" s="288" t="s">
        <v>275</v>
      </c>
      <c r="Z108" s="325" t="s">
        <v>265</v>
      </c>
      <c r="AA108" s="94" t="s">
        <v>266</v>
      </c>
      <c r="AB108" s="94" t="s">
        <v>266</v>
      </c>
      <c r="AC108" s="94" t="s">
        <v>266</v>
      </c>
      <c r="AD108" s="94" t="s">
        <v>266</v>
      </c>
    </row>
    <row r="109" spans="1:30" ht="45">
      <c r="A109" s="336" t="s">
        <v>1498</v>
      </c>
      <c r="B109" s="377" t="s">
        <v>1655</v>
      </c>
      <c r="C109" s="378" t="s">
        <v>441</v>
      </c>
      <c r="D109" s="349" t="s">
        <v>469</v>
      </c>
      <c r="E109" s="379" t="s">
        <v>1187</v>
      </c>
      <c r="F109" s="352" t="s">
        <v>476</v>
      </c>
      <c r="G109" s="391" t="s">
        <v>477</v>
      </c>
      <c r="H109" s="394" t="s">
        <v>259</v>
      </c>
      <c r="I109" s="394" t="s">
        <v>281</v>
      </c>
      <c r="J109" s="355" t="s">
        <v>1428</v>
      </c>
      <c r="L109" s="353" t="s">
        <v>52</v>
      </c>
      <c r="M109" s="423" t="s">
        <v>1505</v>
      </c>
      <c r="O109" s="355" t="s">
        <v>1552</v>
      </c>
      <c r="P109" s="95"/>
      <c r="Q109" s="96"/>
      <c r="R109" s="103" t="s">
        <v>1270</v>
      </c>
      <c r="S109" s="97"/>
      <c r="T109" s="423" t="s">
        <v>182</v>
      </c>
      <c r="V109" s="432">
        <f t="shared" si="5"/>
        <v>0</v>
      </c>
      <c r="W109" s="288" t="s">
        <v>835</v>
      </c>
      <c r="X109" s="288" t="s">
        <v>1189</v>
      </c>
      <c r="Y109" s="288" t="s">
        <v>264</v>
      </c>
      <c r="Z109" s="325" t="s">
        <v>265</v>
      </c>
      <c r="AB109" s="94" t="s">
        <v>266</v>
      </c>
    </row>
    <row r="110" spans="1:30" ht="45">
      <c r="A110" s="336" t="s">
        <v>1498</v>
      </c>
      <c r="B110" s="377" t="s">
        <v>1655</v>
      </c>
      <c r="C110" s="378" t="s">
        <v>441</v>
      </c>
      <c r="D110" s="349" t="s">
        <v>469</v>
      </c>
      <c r="E110" s="379" t="s">
        <v>1187</v>
      </c>
      <c r="F110" s="352" t="s">
        <v>478</v>
      </c>
      <c r="G110" s="391" t="s">
        <v>479</v>
      </c>
      <c r="H110" s="394" t="s">
        <v>259</v>
      </c>
      <c r="I110" s="394" t="s">
        <v>281</v>
      </c>
      <c r="J110" s="355" t="s">
        <v>1427</v>
      </c>
      <c r="L110" s="353" t="s">
        <v>52</v>
      </c>
      <c r="M110" s="423" t="s">
        <v>1505</v>
      </c>
      <c r="O110" s="355" t="s">
        <v>1553</v>
      </c>
      <c r="P110" s="95"/>
      <c r="Q110" s="96" t="s">
        <v>480</v>
      </c>
      <c r="R110" s="288" t="s">
        <v>1045</v>
      </c>
      <c r="S110" s="97">
        <v>1</v>
      </c>
      <c r="T110" s="423">
        <v>4</v>
      </c>
      <c r="V110" s="432">
        <f t="shared" si="5"/>
        <v>0</v>
      </c>
      <c r="W110" s="288" t="s">
        <v>263</v>
      </c>
      <c r="X110" s="288" t="str">
        <f>IF(W110=Llistes!$B$18,Llistes!$D$18,IF(W110=Llistes!$B$20,Llistes!$D$20,IF(W110=Llistes!$B$22,Llistes!$D$22,IF(W110=Llistes!$B$23,Llistes!$D$23,IF(W110=Llistes!$B$24,Llistes!$D$24,IF(W110=Llistes!$B$28,Llistes!$D$28))))))</f>
        <v>Tècnic coordinador</v>
      </c>
      <c r="Y110" s="288" t="s">
        <v>275</v>
      </c>
      <c r="Z110" s="325" t="s">
        <v>265</v>
      </c>
      <c r="AA110" s="94" t="s">
        <v>266</v>
      </c>
      <c r="AB110" s="94" t="s">
        <v>266</v>
      </c>
      <c r="AC110" s="94" t="s">
        <v>266</v>
      </c>
      <c r="AD110" s="94" t="s">
        <v>266</v>
      </c>
    </row>
    <row r="111" spans="1:30" ht="74.25" customHeight="1">
      <c r="A111" s="336" t="s">
        <v>1498</v>
      </c>
      <c r="B111" s="377" t="s">
        <v>1655</v>
      </c>
      <c r="C111" s="378" t="s">
        <v>441</v>
      </c>
      <c r="D111" s="349" t="s">
        <v>481</v>
      </c>
      <c r="E111" s="379" t="s">
        <v>482</v>
      </c>
      <c r="F111" s="352" t="s">
        <v>483</v>
      </c>
      <c r="G111" s="391" t="s">
        <v>484</v>
      </c>
      <c r="H111" s="394" t="s">
        <v>259</v>
      </c>
      <c r="I111" s="394" t="s">
        <v>346</v>
      </c>
      <c r="J111" s="355" t="s">
        <v>1426</v>
      </c>
      <c r="K111" s="101" t="s">
        <v>1052</v>
      </c>
      <c r="L111" s="353"/>
      <c r="M111" s="423" t="s">
        <v>1505</v>
      </c>
      <c r="O111" s="355"/>
      <c r="P111" s="95"/>
      <c r="Q111" s="96" t="s">
        <v>485</v>
      </c>
      <c r="S111" s="97"/>
      <c r="V111" s="432">
        <f t="shared" si="5"/>
        <v>0</v>
      </c>
      <c r="W111" s="288"/>
      <c r="X111" s="288"/>
    </row>
    <row r="112" spans="1:30" ht="75">
      <c r="A112" s="336" t="s">
        <v>1498</v>
      </c>
      <c r="B112" s="377" t="s">
        <v>1655</v>
      </c>
      <c r="C112" s="378" t="s">
        <v>441</v>
      </c>
      <c r="D112" s="349" t="s">
        <v>481</v>
      </c>
      <c r="E112" s="379" t="s">
        <v>482</v>
      </c>
      <c r="F112" s="352" t="s">
        <v>486</v>
      </c>
      <c r="G112" s="391" t="s">
        <v>487</v>
      </c>
      <c r="H112" s="394" t="s">
        <v>259</v>
      </c>
      <c r="I112" s="394" t="s">
        <v>346</v>
      </c>
      <c r="J112" s="355" t="s">
        <v>1425</v>
      </c>
      <c r="K112" s="101"/>
      <c r="L112" s="353" t="s">
        <v>52</v>
      </c>
      <c r="M112" s="423" t="s">
        <v>1505</v>
      </c>
      <c r="O112" s="355" t="s">
        <v>1708</v>
      </c>
      <c r="P112" s="95"/>
      <c r="Q112" s="96" t="s">
        <v>485</v>
      </c>
      <c r="R112" s="288" t="s">
        <v>1080</v>
      </c>
      <c r="S112" s="97">
        <v>1</v>
      </c>
      <c r="T112" s="423">
        <v>4</v>
      </c>
      <c r="V112" s="432">
        <f t="shared" si="5"/>
        <v>0</v>
      </c>
      <c r="W112" s="288" t="s">
        <v>263</v>
      </c>
      <c r="X112" s="288" t="str">
        <f>IF(W112=Llistes!$B$18,Llistes!$D$18,IF(W112=Llistes!$B$20,Llistes!$D$20,IF(W112=Llistes!$B$22,Llistes!$D$22,IF(W112=Llistes!$B$23,Llistes!$D$23,IF(W112=Llistes!$B$24,Llistes!$D$24,IF(W112=Llistes!$B$28,Llistes!$D$28))))))</f>
        <v>Tècnic coordinador</v>
      </c>
      <c r="Y112" s="288" t="s">
        <v>275</v>
      </c>
      <c r="Z112" s="325" t="s">
        <v>265</v>
      </c>
      <c r="AA112" s="94" t="s">
        <v>266</v>
      </c>
      <c r="AB112" s="94" t="s">
        <v>266</v>
      </c>
      <c r="AC112" s="94" t="s">
        <v>266</v>
      </c>
      <c r="AD112" s="94" t="s">
        <v>266</v>
      </c>
    </row>
    <row r="113" spans="1:30" ht="75">
      <c r="A113" s="336" t="s">
        <v>1498</v>
      </c>
      <c r="B113" s="377" t="s">
        <v>1655</v>
      </c>
      <c r="C113" s="378" t="s">
        <v>441</v>
      </c>
      <c r="D113" s="349" t="s">
        <v>481</v>
      </c>
      <c r="E113" s="379" t="s">
        <v>482</v>
      </c>
      <c r="F113" s="352" t="s">
        <v>488</v>
      </c>
      <c r="G113" s="391" t="s">
        <v>489</v>
      </c>
      <c r="H113" s="394" t="s">
        <v>259</v>
      </c>
      <c r="I113" s="394" t="s">
        <v>346</v>
      </c>
      <c r="J113" s="355" t="s">
        <v>1424</v>
      </c>
      <c r="K113" s="101" t="s">
        <v>1052</v>
      </c>
      <c r="L113" s="353"/>
      <c r="M113" s="423" t="s">
        <v>1505</v>
      </c>
      <c r="O113" s="355"/>
      <c r="P113" s="95"/>
      <c r="Q113" s="96"/>
      <c r="S113" s="97"/>
      <c r="V113" s="432">
        <f t="shared" si="5"/>
        <v>0</v>
      </c>
      <c r="W113" s="288"/>
      <c r="X113" s="288"/>
    </row>
    <row r="114" spans="1:30" ht="75">
      <c r="A114" s="336" t="s">
        <v>1498</v>
      </c>
      <c r="B114" s="377" t="s">
        <v>1655</v>
      </c>
      <c r="C114" s="378" t="s">
        <v>441</v>
      </c>
      <c r="D114" s="349" t="s">
        <v>481</v>
      </c>
      <c r="E114" s="379" t="s">
        <v>482</v>
      </c>
      <c r="F114" s="352" t="s">
        <v>490</v>
      </c>
      <c r="G114" s="391" t="s">
        <v>1152</v>
      </c>
      <c r="H114" s="394" t="s">
        <v>259</v>
      </c>
      <c r="I114" s="394" t="s">
        <v>346</v>
      </c>
      <c r="J114" s="355" t="s">
        <v>1423</v>
      </c>
      <c r="L114" s="353" t="s">
        <v>52</v>
      </c>
      <c r="M114" s="423" t="s">
        <v>1505</v>
      </c>
      <c r="O114" s="355" t="s">
        <v>1706</v>
      </c>
      <c r="P114" s="95"/>
      <c r="Q114" s="96" t="s">
        <v>491</v>
      </c>
      <c r="R114" s="103" t="s">
        <v>1270</v>
      </c>
      <c r="S114" s="97"/>
      <c r="T114" s="423" t="s">
        <v>182</v>
      </c>
      <c r="V114" s="432">
        <f t="shared" si="5"/>
        <v>0</v>
      </c>
      <c r="W114" s="288" t="s">
        <v>263</v>
      </c>
      <c r="X114" s="288" t="str">
        <f>IF(W114=Llistes!$B$18,Llistes!$D$18,IF(W114=Llistes!$B$20,Llistes!$D$20,IF(W114=Llistes!$B$22,Llistes!$D$22,IF(W114=Llistes!$B$23,Llistes!$D$23,IF(W114=Llistes!$B$24,Llistes!$D$24,IF(W114=Llistes!$B$28,Llistes!$D$28))))))</f>
        <v>Tècnic coordinador</v>
      </c>
      <c r="Y114" s="288" t="s">
        <v>275</v>
      </c>
      <c r="Z114" s="325" t="s">
        <v>265</v>
      </c>
      <c r="AD114" s="94" t="s">
        <v>266</v>
      </c>
    </row>
    <row r="115" spans="1:30" ht="75">
      <c r="A115" s="336" t="s">
        <v>1498</v>
      </c>
      <c r="B115" s="377" t="s">
        <v>1655</v>
      </c>
      <c r="C115" s="378" t="s">
        <v>441</v>
      </c>
      <c r="D115" s="349" t="s">
        <v>481</v>
      </c>
      <c r="E115" s="379" t="s">
        <v>482</v>
      </c>
      <c r="F115" s="352" t="s">
        <v>492</v>
      </c>
      <c r="G115" s="391" t="s">
        <v>493</v>
      </c>
      <c r="H115" s="394" t="s">
        <v>259</v>
      </c>
      <c r="I115" s="394" t="s">
        <v>346</v>
      </c>
      <c r="J115" s="355" t="s">
        <v>1422</v>
      </c>
      <c r="L115" s="353" t="s">
        <v>52</v>
      </c>
      <c r="M115" s="423" t="s">
        <v>1505</v>
      </c>
      <c r="O115" s="355" t="s">
        <v>1554</v>
      </c>
      <c r="P115" s="95" t="s">
        <v>284</v>
      </c>
      <c r="Q115" s="96"/>
      <c r="R115" s="288" t="s">
        <v>1080</v>
      </c>
      <c r="S115" s="97">
        <v>1</v>
      </c>
      <c r="T115" s="423">
        <v>2</v>
      </c>
      <c r="V115" s="432">
        <f t="shared" si="5"/>
        <v>0</v>
      </c>
      <c r="W115" s="288" t="s">
        <v>263</v>
      </c>
      <c r="X115" s="288" t="str">
        <f>IF(W115=Llistes!$B$18,Llistes!$D$18,IF(W115=Llistes!$B$20,Llistes!$D$20,IF(W115=Llistes!$B$22,Llistes!$D$22,IF(W115=Llistes!$B$23,Llistes!$D$23,IF(W115=Llistes!$B$24,Llistes!$D$24,IF(W115=Llistes!$B$28,Llistes!$D$28))))))</f>
        <v>Tècnic coordinador</v>
      </c>
      <c r="Y115" s="288" t="s">
        <v>275</v>
      </c>
      <c r="Z115" s="325" t="s">
        <v>265</v>
      </c>
      <c r="AB115" s="94" t="s">
        <v>266</v>
      </c>
      <c r="AC115" s="94" t="s">
        <v>266</v>
      </c>
      <c r="AD115" s="94" t="s">
        <v>266</v>
      </c>
    </row>
    <row r="116" spans="1:30" ht="75">
      <c r="A116" s="336" t="s">
        <v>1498</v>
      </c>
      <c r="B116" s="377" t="s">
        <v>1655</v>
      </c>
      <c r="C116" s="378" t="s">
        <v>441</v>
      </c>
      <c r="D116" s="349" t="s">
        <v>481</v>
      </c>
      <c r="E116" s="379" t="s">
        <v>482</v>
      </c>
      <c r="F116" s="352" t="s">
        <v>494</v>
      </c>
      <c r="G116" s="391" t="s">
        <v>495</v>
      </c>
      <c r="H116" s="394" t="s">
        <v>259</v>
      </c>
      <c r="I116" s="394" t="s">
        <v>346</v>
      </c>
      <c r="J116" s="355" t="s">
        <v>1451</v>
      </c>
      <c r="K116" s="101" t="s">
        <v>1052</v>
      </c>
      <c r="L116" s="353"/>
      <c r="M116" s="423" t="s">
        <v>1505</v>
      </c>
      <c r="O116" s="355"/>
      <c r="P116" s="95"/>
      <c r="Q116" s="96" t="s">
        <v>1167</v>
      </c>
      <c r="S116" s="97"/>
      <c r="V116" s="432">
        <f t="shared" si="5"/>
        <v>0</v>
      </c>
      <c r="W116" s="288"/>
      <c r="X116" s="288"/>
    </row>
    <row r="117" spans="1:30" ht="45">
      <c r="A117" s="336" t="s">
        <v>1498</v>
      </c>
      <c r="B117" s="377" t="s">
        <v>1655</v>
      </c>
      <c r="C117" s="378" t="s">
        <v>441</v>
      </c>
      <c r="D117" s="349" t="s">
        <v>496</v>
      </c>
      <c r="E117" s="379" t="s">
        <v>497</v>
      </c>
      <c r="F117" s="352" t="s">
        <v>498</v>
      </c>
      <c r="G117" s="391" t="s">
        <v>1168</v>
      </c>
      <c r="H117" s="394" t="s">
        <v>259</v>
      </c>
      <c r="I117" s="394" t="s">
        <v>281</v>
      </c>
      <c r="J117" s="355" t="s">
        <v>1168</v>
      </c>
      <c r="L117" s="353" t="s">
        <v>53</v>
      </c>
      <c r="M117" s="423" t="s">
        <v>1505</v>
      </c>
      <c r="O117" s="355" t="s">
        <v>1555</v>
      </c>
      <c r="P117" s="95"/>
      <c r="Q117" s="96" t="s">
        <v>1169</v>
      </c>
      <c r="R117" s="288" t="s">
        <v>1045</v>
      </c>
      <c r="S117" s="97">
        <v>1</v>
      </c>
      <c r="T117" s="423">
        <v>4</v>
      </c>
      <c r="V117" s="432">
        <f t="shared" si="5"/>
        <v>0</v>
      </c>
      <c r="W117" s="288" t="s">
        <v>263</v>
      </c>
      <c r="X117" s="288" t="str">
        <f>IF(W117=Llistes!$B$18,Llistes!$D$18,IF(W117=Llistes!$B$20,Llistes!$D$20,IF(W117=Llistes!$B$22,Llistes!$D$22,IF(W117=Llistes!$B$23,Llistes!$D$23,IF(W117=Llistes!$B$24,Llistes!$D$24,IF(W117=Llistes!$B$28,Llistes!$D$28))))))</f>
        <v>Tècnic coordinador</v>
      </c>
      <c r="Y117" s="288" t="s">
        <v>275</v>
      </c>
      <c r="Z117" s="325" t="s">
        <v>265</v>
      </c>
      <c r="AA117" s="94" t="s">
        <v>266</v>
      </c>
      <c r="AB117" s="94" t="s">
        <v>266</v>
      </c>
      <c r="AC117" s="94" t="s">
        <v>266</v>
      </c>
      <c r="AD117" s="94" t="s">
        <v>266</v>
      </c>
    </row>
    <row r="118" spans="1:30" ht="45">
      <c r="A118" s="336" t="s">
        <v>1498</v>
      </c>
      <c r="B118" s="377" t="s">
        <v>1655</v>
      </c>
      <c r="C118" s="378" t="s">
        <v>441</v>
      </c>
      <c r="D118" s="349" t="s">
        <v>496</v>
      </c>
      <c r="E118" s="379" t="s">
        <v>497</v>
      </c>
      <c r="F118" s="352" t="s">
        <v>499</v>
      </c>
      <c r="G118" s="391" t="s">
        <v>500</v>
      </c>
      <c r="H118" s="394" t="s">
        <v>259</v>
      </c>
      <c r="I118" s="394" t="s">
        <v>281</v>
      </c>
      <c r="J118" s="355" t="s">
        <v>1450</v>
      </c>
      <c r="K118" s="93" t="s">
        <v>1081</v>
      </c>
      <c r="L118" s="353" t="s">
        <v>52</v>
      </c>
      <c r="M118" s="423" t="s">
        <v>1503</v>
      </c>
      <c r="O118" s="355" t="s">
        <v>1556</v>
      </c>
      <c r="P118" s="95"/>
      <c r="Q118" s="96" t="s">
        <v>1170</v>
      </c>
      <c r="R118" s="103" t="s">
        <v>1270</v>
      </c>
      <c r="S118" s="97"/>
      <c r="T118" s="423" t="s">
        <v>182</v>
      </c>
      <c r="V118" s="432">
        <f t="shared" si="5"/>
        <v>0</v>
      </c>
      <c r="W118" s="288" t="s">
        <v>835</v>
      </c>
      <c r="X118" s="288" t="s">
        <v>1189</v>
      </c>
      <c r="Y118" s="288" t="s">
        <v>275</v>
      </c>
      <c r="Z118" s="325" t="s">
        <v>265</v>
      </c>
      <c r="AC118" s="94" t="s">
        <v>266</v>
      </c>
    </row>
    <row r="119" spans="1:30" ht="45">
      <c r="A119" s="336" t="s">
        <v>1498</v>
      </c>
      <c r="B119" s="377" t="s">
        <v>1655</v>
      </c>
      <c r="C119" s="378" t="s">
        <v>441</v>
      </c>
      <c r="D119" s="349" t="s">
        <v>496</v>
      </c>
      <c r="E119" s="379" t="s">
        <v>497</v>
      </c>
      <c r="F119" s="352" t="s">
        <v>501</v>
      </c>
      <c r="G119" s="391" t="s">
        <v>502</v>
      </c>
      <c r="H119" s="394" t="s">
        <v>259</v>
      </c>
      <c r="I119" s="394" t="s">
        <v>281</v>
      </c>
      <c r="J119" s="355" t="s">
        <v>502</v>
      </c>
      <c r="L119" s="353" t="s">
        <v>52</v>
      </c>
      <c r="M119" s="423" t="s">
        <v>1505</v>
      </c>
      <c r="O119" s="355" t="s">
        <v>1557</v>
      </c>
      <c r="P119" s="95"/>
      <c r="Q119" s="96"/>
      <c r="R119" s="103" t="s">
        <v>1270</v>
      </c>
      <c r="S119" s="97"/>
      <c r="T119" s="423" t="s">
        <v>182</v>
      </c>
      <c r="V119" s="432">
        <f t="shared" si="5"/>
        <v>0</v>
      </c>
      <c r="W119" s="288" t="s">
        <v>835</v>
      </c>
      <c r="X119" s="288" t="s">
        <v>1189</v>
      </c>
      <c r="Y119" s="288" t="s">
        <v>275</v>
      </c>
      <c r="Z119" s="325" t="s">
        <v>265</v>
      </c>
      <c r="AC119" s="94" t="s">
        <v>266</v>
      </c>
    </row>
    <row r="120" spans="1:30" ht="45">
      <c r="A120" s="336" t="s">
        <v>1498</v>
      </c>
      <c r="B120" s="377" t="s">
        <v>1655</v>
      </c>
      <c r="C120" s="378" t="s">
        <v>441</v>
      </c>
      <c r="D120" s="349" t="s">
        <v>496</v>
      </c>
      <c r="E120" s="379" t="s">
        <v>497</v>
      </c>
      <c r="F120" s="352" t="s">
        <v>503</v>
      </c>
      <c r="G120" s="391" t="s">
        <v>504</v>
      </c>
      <c r="H120" s="394"/>
      <c r="I120" s="394"/>
      <c r="J120" s="355" t="s">
        <v>1421</v>
      </c>
      <c r="L120" s="353" t="s">
        <v>52</v>
      </c>
      <c r="M120" s="423" t="s">
        <v>1505</v>
      </c>
      <c r="O120" s="355" t="s">
        <v>1558</v>
      </c>
      <c r="P120" s="95"/>
      <c r="Q120" s="96"/>
      <c r="R120" s="103" t="s">
        <v>1270</v>
      </c>
      <c r="S120" s="97"/>
      <c r="T120" s="423" t="s">
        <v>182</v>
      </c>
      <c r="V120" s="432">
        <f t="shared" si="5"/>
        <v>0</v>
      </c>
      <c r="W120" s="288" t="s">
        <v>835</v>
      </c>
      <c r="X120" s="288" t="s">
        <v>1189</v>
      </c>
      <c r="Y120" s="288" t="s">
        <v>264</v>
      </c>
      <c r="Z120" s="325" t="s">
        <v>265</v>
      </c>
      <c r="AA120" s="94" t="s">
        <v>266</v>
      </c>
    </row>
    <row r="121" spans="1:30" ht="45">
      <c r="A121" s="336" t="s">
        <v>1498</v>
      </c>
      <c r="B121" s="377" t="s">
        <v>1655</v>
      </c>
      <c r="C121" s="378" t="s">
        <v>441</v>
      </c>
      <c r="D121" s="349" t="s">
        <v>496</v>
      </c>
      <c r="E121" s="379" t="s">
        <v>497</v>
      </c>
      <c r="F121" s="352" t="s">
        <v>505</v>
      </c>
      <c r="G121" s="391" t="s">
        <v>1171</v>
      </c>
      <c r="H121" s="394" t="s">
        <v>259</v>
      </c>
      <c r="I121" s="394" t="s">
        <v>281</v>
      </c>
      <c r="J121" s="355" t="s">
        <v>1420</v>
      </c>
      <c r="L121" s="353" t="s">
        <v>52</v>
      </c>
      <c r="M121" s="423" t="s">
        <v>1505</v>
      </c>
      <c r="O121" s="355" t="s">
        <v>1559</v>
      </c>
      <c r="P121" s="95"/>
      <c r="Q121" s="96" t="s">
        <v>1172</v>
      </c>
      <c r="R121" s="103" t="s">
        <v>1270</v>
      </c>
      <c r="S121" s="97"/>
      <c r="T121" s="423" t="s">
        <v>182</v>
      </c>
      <c r="V121" s="432">
        <f t="shared" si="5"/>
        <v>0</v>
      </c>
      <c r="W121" s="288" t="s">
        <v>835</v>
      </c>
      <c r="X121" s="288" t="s">
        <v>1189</v>
      </c>
      <c r="Y121" s="288" t="s">
        <v>264</v>
      </c>
      <c r="Z121" s="325" t="s">
        <v>265</v>
      </c>
      <c r="AB121" s="94" t="s">
        <v>266</v>
      </c>
    </row>
    <row r="122" spans="1:30" ht="60">
      <c r="A122" s="336" t="s">
        <v>1498</v>
      </c>
      <c r="B122" s="377" t="s">
        <v>1655</v>
      </c>
      <c r="C122" s="378" t="s">
        <v>441</v>
      </c>
      <c r="D122" s="349" t="s">
        <v>496</v>
      </c>
      <c r="E122" s="379" t="s">
        <v>497</v>
      </c>
      <c r="F122" s="352" t="s">
        <v>506</v>
      </c>
      <c r="G122" s="391" t="s">
        <v>507</v>
      </c>
      <c r="H122" s="394" t="s">
        <v>259</v>
      </c>
      <c r="I122" s="394" t="s">
        <v>281</v>
      </c>
      <c r="J122" s="355" t="s">
        <v>1419</v>
      </c>
      <c r="L122" s="353" t="s">
        <v>52</v>
      </c>
      <c r="M122" s="423" t="s">
        <v>1504</v>
      </c>
      <c r="O122" s="355" t="s">
        <v>1560</v>
      </c>
      <c r="P122" s="95" t="s">
        <v>284</v>
      </c>
      <c r="Q122" s="96"/>
      <c r="R122" s="103" t="s">
        <v>1270</v>
      </c>
      <c r="S122" s="97"/>
      <c r="T122" s="423" t="s">
        <v>182</v>
      </c>
      <c r="V122" s="432">
        <f t="shared" si="5"/>
        <v>0</v>
      </c>
      <c r="W122" s="288" t="s">
        <v>835</v>
      </c>
      <c r="X122" s="288" t="s">
        <v>1189</v>
      </c>
      <c r="Y122" s="288" t="s">
        <v>264</v>
      </c>
      <c r="Z122" s="325" t="s">
        <v>265</v>
      </c>
      <c r="AC122" s="94" t="s">
        <v>266</v>
      </c>
    </row>
    <row r="123" spans="1:30" ht="45">
      <c r="A123" s="337" t="s">
        <v>1499</v>
      </c>
      <c r="B123" s="380" t="s">
        <v>1656</v>
      </c>
      <c r="C123" s="381" t="s">
        <v>509</v>
      </c>
      <c r="D123" s="350" t="s">
        <v>510</v>
      </c>
      <c r="E123" s="382" t="s">
        <v>1153</v>
      </c>
      <c r="F123" s="403" t="s">
        <v>511</v>
      </c>
      <c r="G123" s="404" t="s">
        <v>512</v>
      </c>
      <c r="H123" s="405" t="s">
        <v>259</v>
      </c>
      <c r="I123" s="405" t="s">
        <v>260</v>
      </c>
      <c r="J123" s="355" t="s">
        <v>1449</v>
      </c>
      <c r="L123" s="353" t="s">
        <v>53</v>
      </c>
      <c r="M123" s="423" t="s">
        <v>1505</v>
      </c>
      <c r="O123" s="355" t="s">
        <v>1085</v>
      </c>
      <c r="P123" s="95"/>
      <c r="Q123" s="96"/>
      <c r="R123" s="103" t="s">
        <v>1270</v>
      </c>
      <c r="S123" s="97"/>
      <c r="T123" s="423" t="s">
        <v>182</v>
      </c>
      <c r="V123" s="432">
        <f t="shared" si="5"/>
        <v>0</v>
      </c>
      <c r="W123" s="288" t="s">
        <v>263</v>
      </c>
      <c r="X123" s="288" t="str">
        <f>IF(W123=Llistes!$B$18,Llistes!$D$18,IF(W123=Llistes!$B$20,Llistes!$D$20,IF(W123=Llistes!$B$22,Llistes!$D$22,IF(W123=Llistes!$B$23,Llistes!$D$23,IF(W123=Llistes!$B$24,Llistes!$D$24,IF(W123=Llistes!$B$28,Llistes!$D$28))))))</f>
        <v>Tècnic coordinador</v>
      </c>
      <c r="Y123" s="288" t="s">
        <v>275</v>
      </c>
      <c r="Z123" s="325" t="s">
        <v>265</v>
      </c>
      <c r="AA123" s="94" t="s">
        <v>266</v>
      </c>
      <c r="AB123" s="94" t="s">
        <v>266</v>
      </c>
      <c r="AC123" s="94" t="s">
        <v>266</v>
      </c>
      <c r="AD123" s="94" t="s">
        <v>266</v>
      </c>
    </row>
    <row r="124" spans="1:30" ht="90">
      <c r="A124" s="337" t="s">
        <v>1499</v>
      </c>
      <c r="B124" s="380" t="s">
        <v>1657</v>
      </c>
      <c r="C124" s="381" t="s">
        <v>513</v>
      </c>
      <c r="D124" s="350" t="s">
        <v>514</v>
      </c>
      <c r="E124" s="382" t="s">
        <v>515</v>
      </c>
      <c r="F124" s="403" t="s">
        <v>516</v>
      </c>
      <c r="G124" s="404" t="s">
        <v>517</v>
      </c>
      <c r="H124" s="405" t="s">
        <v>259</v>
      </c>
      <c r="I124" s="405" t="s">
        <v>260</v>
      </c>
      <c r="J124" s="355" t="s">
        <v>1448</v>
      </c>
      <c r="L124" s="353" t="s">
        <v>52</v>
      </c>
      <c r="M124" s="423" t="s">
        <v>1505</v>
      </c>
      <c r="O124" s="355" t="s">
        <v>1562</v>
      </c>
      <c r="P124" s="95"/>
      <c r="Q124" s="96"/>
      <c r="R124" s="103" t="s">
        <v>1270</v>
      </c>
      <c r="S124" s="97"/>
      <c r="T124" s="423" t="s">
        <v>182</v>
      </c>
      <c r="V124" s="432">
        <f t="shared" si="5"/>
        <v>0</v>
      </c>
      <c r="W124" s="288" t="s">
        <v>835</v>
      </c>
      <c r="X124" s="288" t="s">
        <v>1189</v>
      </c>
      <c r="Y124" s="288" t="s">
        <v>264</v>
      </c>
      <c r="Z124" s="325" t="s">
        <v>265</v>
      </c>
      <c r="AC124" s="94" t="s">
        <v>266</v>
      </c>
    </row>
    <row r="125" spans="1:30" ht="90">
      <c r="A125" s="337" t="s">
        <v>1499</v>
      </c>
      <c r="B125" s="380" t="s">
        <v>1657</v>
      </c>
      <c r="C125" s="381" t="s">
        <v>513</v>
      </c>
      <c r="D125" s="350" t="s">
        <v>514</v>
      </c>
      <c r="E125" s="382" t="s">
        <v>515</v>
      </c>
      <c r="F125" s="403" t="s">
        <v>518</v>
      </c>
      <c r="G125" s="404" t="s">
        <v>519</v>
      </c>
      <c r="H125" s="405" t="s">
        <v>259</v>
      </c>
      <c r="I125" s="405" t="s">
        <v>260</v>
      </c>
      <c r="J125" s="355" t="s">
        <v>1418</v>
      </c>
      <c r="L125" s="353" t="s">
        <v>52</v>
      </c>
      <c r="M125" s="423" t="s">
        <v>1505</v>
      </c>
      <c r="O125" s="355" t="s">
        <v>1561</v>
      </c>
      <c r="P125" s="95"/>
      <c r="Q125" s="96"/>
      <c r="R125" s="103" t="s">
        <v>1270</v>
      </c>
      <c r="S125" s="97"/>
      <c r="T125" s="423" t="s">
        <v>182</v>
      </c>
      <c r="V125" s="432">
        <f t="shared" si="5"/>
        <v>0</v>
      </c>
      <c r="W125" s="288" t="s">
        <v>835</v>
      </c>
      <c r="X125" s="288" t="s">
        <v>1189</v>
      </c>
      <c r="Y125" s="288" t="s">
        <v>264</v>
      </c>
      <c r="Z125" s="325" t="s">
        <v>265</v>
      </c>
      <c r="AB125" s="94" t="s">
        <v>266</v>
      </c>
    </row>
    <row r="126" spans="1:30" ht="90">
      <c r="A126" s="337" t="s">
        <v>1499</v>
      </c>
      <c r="B126" s="380" t="s">
        <v>1657</v>
      </c>
      <c r="C126" s="381" t="s">
        <v>513</v>
      </c>
      <c r="D126" s="350" t="s">
        <v>514</v>
      </c>
      <c r="E126" s="382" t="s">
        <v>515</v>
      </c>
      <c r="F126" s="403" t="s">
        <v>520</v>
      </c>
      <c r="G126" s="404" t="s">
        <v>521</v>
      </c>
      <c r="H126" s="405" t="s">
        <v>318</v>
      </c>
      <c r="I126" s="405" t="s">
        <v>346</v>
      </c>
      <c r="J126" s="355" t="s">
        <v>1417</v>
      </c>
      <c r="L126" s="353" t="s">
        <v>52</v>
      </c>
      <c r="M126" s="423" t="s">
        <v>1505</v>
      </c>
      <c r="O126" s="355" t="s">
        <v>1563</v>
      </c>
      <c r="P126" s="95"/>
      <c r="Q126" s="96"/>
      <c r="R126" s="103" t="s">
        <v>1270</v>
      </c>
      <c r="S126" s="97"/>
      <c r="T126" s="423" t="s">
        <v>182</v>
      </c>
      <c r="V126" s="432">
        <f t="shared" si="5"/>
        <v>0</v>
      </c>
      <c r="W126" s="288" t="s">
        <v>835</v>
      </c>
      <c r="X126" s="288" t="s">
        <v>1189</v>
      </c>
      <c r="Y126" s="288" t="s">
        <v>264</v>
      </c>
      <c r="Z126" s="325" t="s">
        <v>265</v>
      </c>
      <c r="AC126" s="94" t="s">
        <v>266</v>
      </c>
    </row>
    <row r="127" spans="1:30" ht="90">
      <c r="A127" s="337" t="s">
        <v>1499</v>
      </c>
      <c r="B127" s="380" t="s">
        <v>1657</v>
      </c>
      <c r="C127" s="381" t="s">
        <v>513</v>
      </c>
      <c r="D127" s="350" t="s">
        <v>522</v>
      </c>
      <c r="E127" s="382" t="s">
        <v>523</v>
      </c>
      <c r="F127" s="405" t="s">
        <v>524</v>
      </c>
      <c r="G127" s="404" t="s">
        <v>525</v>
      </c>
      <c r="H127" s="407"/>
      <c r="I127" s="407"/>
      <c r="J127" s="355" t="s">
        <v>1445</v>
      </c>
      <c r="K127" s="94"/>
      <c r="L127" s="353" t="s">
        <v>52</v>
      </c>
      <c r="M127" s="423" t="s">
        <v>1504</v>
      </c>
      <c r="O127" s="355" t="s">
        <v>1564</v>
      </c>
      <c r="P127" s="95" t="s">
        <v>284</v>
      </c>
      <c r="Q127" s="96"/>
      <c r="R127" s="103" t="s">
        <v>1270</v>
      </c>
      <c r="S127" s="97"/>
      <c r="T127" s="423" t="s">
        <v>182</v>
      </c>
      <c r="V127" s="432">
        <f t="shared" si="5"/>
        <v>0</v>
      </c>
      <c r="W127" s="288" t="s">
        <v>835</v>
      </c>
      <c r="X127" s="288" t="s">
        <v>1189</v>
      </c>
      <c r="Y127" s="288" t="s">
        <v>275</v>
      </c>
      <c r="Z127" s="325" t="s">
        <v>265</v>
      </c>
      <c r="AA127" s="94" t="s">
        <v>266</v>
      </c>
      <c r="AB127" s="94" t="s">
        <v>266</v>
      </c>
      <c r="AC127" s="94" t="s">
        <v>266</v>
      </c>
      <c r="AD127" s="94" t="s">
        <v>266</v>
      </c>
    </row>
    <row r="128" spans="1:30" ht="90">
      <c r="A128" s="337" t="s">
        <v>1499</v>
      </c>
      <c r="B128" s="380" t="s">
        <v>1657</v>
      </c>
      <c r="C128" s="381" t="s">
        <v>513</v>
      </c>
      <c r="D128" s="350" t="s">
        <v>522</v>
      </c>
      <c r="E128" s="382" t="s">
        <v>523</v>
      </c>
      <c r="F128" s="405" t="s">
        <v>524</v>
      </c>
      <c r="G128" s="404" t="s">
        <v>525</v>
      </c>
      <c r="H128" s="407"/>
      <c r="I128" s="407"/>
      <c r="J128" s="355" t="s">
        <v>1445</v>
      </c>
      <c r="K128" s="94"/>
      <c r="L128" s="353" t="s">
        <v>52</v>
      </c>
      <c r="M128" s="423" t="s">
        <v>1504</v>
      </c>
      <c r="O128" s="355" t="s">
        <v>1565</v>
      </c>
      <c r="P128" s="95" t="s">
        <v>284</v>
      </c>
      <c r="Q128" s="96"/>
      <c r="R128" s="288" t="s">
        <v>1045</v>
      </c>
      <c r="S128" s="97">
        <v>2</v>
      </c>
      <c r="T128" s="423">
        <v>3</v>
      </c>
      <c r="V128" s="432">
        <f t="shared" si="5"/>
        <v>0</v>
      </c>
      <c r="W128" s="288" t="s">
        <v>263</v>
      </c>
      <c r="X128" s="288" t="str">
        <f>IF(W128=Llistes!$B$18,Llistes!$D$18,IF(W128=Llistes!$B$20,Llistes!$D$20,IF(W128=Llistes!$B$22,Llistes!$D$22,IF(W128=Llistes!$B$23,Llistes!$D$23,IF(W128=Llistes!$B$24,Llistes!$D$24,IF(W128=Llistes!$B$28,Llistes!$D$28))))))</f>
        <v>Tècnic coordinador</v>
      </c>
      <c r="Y128" s="288" t="s">
        <v>275</v>
      </c>
      <c r="Z128" s="325" t="s">
        <v>265</v>
      </c>
      <c r="AA128" s="94" t="s">
        <v>266</v>
      </c>
      <c r="AB128" s="94" t="s">
        <v>266</v>
      </c>
      <c r="AC128" s="94" t="s">
        <v>266</v>
      </c>
      <c r="AD128" s="94" t="s">
        <v>266</v>
      </c>
    </row>
    <row r="129" spans="1:30" ht="90">
      <c r="A129" s="337" t="s">
        <v>1499</v>
      </c>
      <c r="B129" s="380" t="s">
        <v>1657</v>
      </c>
      <c r="C129" s="381" t="s">
        <v>513</v>
      </c>
      <c r="D129" s="350" t="s">
        <v>526</v>
      </c>
      <c r="E129" s="382" t="s">
        <v>527</v>
      </c>
      <c r="F129" s="403" t="s">
        <v>528</v>
      </c>
      <c r="G129" s="404" t="s">
        <v>529</v>
      </c>
      <c r="H129" s="405" t="s">
        <v>259</v>
      </c>
      <c r="I129" s="405" t="s">
        <v>346</v>
      </c>
      <c r="J129" s="355" t="s">
        <v>1446</v>
      </c>
      <c r="K129" s="101" t="s">
        <v>1087</v>
      </c>
      <c r="L129" s="353"/>
      <c r="M129" s="423" t="s">
        <v>1505</v>
      </c>
      <c r="O129" s="355"/>
      <c r="P129" s="95" t="s">
        <v>284</v>
      </c>
      <c r="Q129" s="96" t="s">
        <v>530</v>
      </c>
      <c r="S129" s="97"/>
      <c r="V129" s="432">
        <f t="shared" si="5"/>
        <v>0</v>
      </c>
      <c r="W129" s="288"/>
      <c r="X129" s="288"/>
    </row>
    <row r="130" spans="1:30" ht="90">
      <c r="A130" s="337" t="s">
        <v>1499</v>
      </c>
      <c r="B130" s="380" t="s">
        <v>1657</v>
      </c>
      <c r="C130" s="381" t="s">
        <v>513</v>
      </c>
      <c r="D130" s="350" t="s">
        <v>526</v>
      </c>
      <c r="E130" s="382" t="s">
        <v>527</v>
      </c>
      <c r="F130" s="403" t="s">
        <v>531</v>
      </c>
      <c r="G130" s="404" t="s">
        <v>532</v>
      </c>
      <c r="H130" s="405" t="s">
        <v>259</v>
      </c>
      <c r="I130" s="405" t="s">
        <v>281</v>
      </c>
      <c r="J130" s="355" t="s">
        <v>1447</v>
      </c>
      <c r="K130" s="101" t="s">
        <v>1087</v>
      </c>
      <c r="L130" s="353"/>
      <c r="M130" s="423" t="s">
        <v>1505</v>
      </c>
      <c r="O130" s="355"/>
      <c r="P130" s="100" t="s">
        <v>533</v>
      </c>
      <c r="Q130" s="96"/>
      <c r="S130" s="97"/>
      <c r="V130" s="432">
        <f t="shared" si="5"/>
        <v>0</v>
      </c>
      <c r="W130" s="288"/>
      <c r="X130" s="288"/>
    </row>
    <row r="131" spans="1:30" ht="90">
      <c r="A131" s="337" t="s">
        <v>1499</v>
      </c>
      <c r="B131" s="380" t="s">
        <v>1657</v>
      </c>
      <c r="C131" s="381" t="s">
        <v>513</v>
      </c>
      <c r="D131" s="350" t="s">
        <v>526</v>
      </c>
      <c r="E131" s="382" t="s">
        <v>527</v>
      </c>
      <c r="F131" s="403" t="s">
        <v>534</v>
      </c>
      <c r="G131" s="404" t="s">
        <v>535</v>
      </c>
      <c r="H131" s="405" t="s">
        <v>259</v>
      </c>
      <c r="I131" s="405" t="s">
        <v>346</v>
      </c>
      <c r="J131" s="355" t="s">
        <v>1416</v>
      </c>
      <c r="K131" s="101" t="s">
        <v>1087</v>
      </c>
      <c r="M131" s="423" t="s">
        <v>430</v>
      </c>
      <c r="O131" s="355"/>
      <c r="P131" s="95"/>
      <c r="Q131" s="96"/>
      <c r="S131" s="97"/>
      <c r="V131" s="432">
        <f t="shared" si="5"/>
        <v>0</v>
      </c>
      <c r="W131" s="288"/>
      <c r="X131" s="288"/>
    </row>
    <row r="132" spans="1:30" ht="90">
      <c r="A132" s="337" t="s">
        <v>1499</v>
      </c>
      <c r="B132" s="380" t="s">
        <v>1657</v>
      </c>
      <c r="C132" s="381" t="s">
        <v>513</v>
      </c>
      <c r="D132" s="350" t="s">
        <v>526</v>
      </c>
      <c r="E132" s="382" t="s">
        <v>527</v>
      </c>
      <c r="F132" s="403" t="s">
        <v>536</v>
      </c>
      <c r="G132" s="404" t="s">
        <v>537</v>
      </c>
      <c r="H132" s="405" t="s">
        <v>259</v>
      </c>
      <c r="I132" s="405" t="s">
        <v>346</v>
      </c>
      <c r="J132" s="355" t="s">
        <v>1415</v>
      </c>
      <c r="K132" s="101" t="s">
        <v>1087</v>
      </c>
      <c r="L132" s="353"/>
      <c r="M132" s="423" t="s">
        <v>1505</v>
      </c>
      <c r="O132" s="355"/>
      <c r="P132" s="100" t="s">
        <v>533</v>
      </c>
      <c r="Q132" s="96"/>
      <c r="S132" s="97"/>
      <c r="V132" s="432">
        <f t="shared" si="5"/>
        <v>0</v>
      </c>
      <c r="W132" s="288"/>
      <c r="X132" s="288"/>
    </row>
    <row r="133" spans="1:30" ht="90">
      <c r="A133" s="337" t="s">
        <v>1499</v>
      </c>
      <c r="B133" s="380" t="s">
        <v>1657</v>
      </c>
      <c r="C133" s="381" t="s">
        <v>513</v>
      </c>
      <c r="D133" s="350" t="s">
        <v>526</v>
      </c>
      <c r="E133" s="382" t="s">
        <v>527</v>
      </c>
      <c r="F133" s="403" t="s">
        <v>538</v>
      </c>
      <c r="G133" s="404" t="s">
        <v>1155</v>
      </c>
      <c r="H133" s="405" t="s">
        <v>259</v>
      </c>
      <c r="I133" s="405" t="s">
        <v>346</v>
      </c>
      <c r="J133" s="355" t="s">
        <v>1444</v>
      </c>
      <c r="K133" s="101" t="s">
        <v>1088</v>
      </c>
      <c r="L133" s="353" t="s">
        <v>52</v>
      </c>
      <c r="M133" s="423" t="s">
        <v>1505</v>
      </c>
      <c r="O133" s="355" t="s">
        <v>1566</v>
      </c>
      <c r="P133" s="100" t="s">
        <v>284</v>
      </c>
      <c r="Q133" s="96"/>
      <c r="R133" s="103" t="s">
        <v>1270</v>
      </c>
      <c r="S133" s="97"/>
      <c r="T133" s="423" t="s">
        <v>182</v>
      </c>
      <c r="V133" s="432">
        <f t="shared" si="5"/>
        <v>0</v>
      </c>
      <c r="W133" s="288" t="s">
        <v>835</v>
      </c>
      <c r="X133" s="288" t="s">
        <v>1189</v>
      </c>
      <c r="Y133" s="288" t="s">
        <v>264</v>
      </c>
      <c r="Z133" s="325" t="s">
        <v>265</v>
      </c>
      <c r="AC133" s="94" t="s">
        <v>266</v>
      </c>
    </row>
    <row r="134" spans="1:30" ht="90">
      <c r="A134" s="337" t="s">
        <v>1499</v>
      </c>
      <c r="B134" s="380" t="s">
        <v>1657</v>
      </c>
      <c r="C134" s="381" t="s">
        <v>513</v>
      </c>
      <c r="D134" s="350" t="s">
        <v>526</v>
      </c>
      <c r="E134" s="382" t="s">
        <v>527</v>
      </c>
      <c r="F134" s="403" t="s">
        <v>539</v>
      </c>
      <c r="G134" s="404" t="s">
        <v>540</v>
      </c>
      <c r="H134" s="405" t="s">
        <v>259</v>
      </c>
      <c r="I134" s="405" t="s">
        <v>346</v>
      </c>
      <c r="J134" s="355" t="s">
        <v>1443</v>
      </c>
      <c r="K134" s="101" t="s">
        <v>1087</v>
      </c>
      <c r="M134" s="423" t="s">
        <v>1506</v>
      </c>
      <c r="O134" s="355"/>
      <c r="P134" s="95"/>
      <c r="Q134" s="96"/>
      <c r="S134" s="97"/>
      <c r="V134" s="432">
        <f t="shared" si="5"/>
        <v>0</v>
      </c>
      <c r="W134" s="288"/>
      <c r="X134" s="288"/>
    </row>
    <row r="135" spans="1:30" ht="90">
      <c r="A135" s="337" t="s">
        <v>1499</v>
      </c>
      <c r="B135" s="380" t="s">
        <v>1657</v>
      </c>
      <c r="C135" s="381" t="s">
        <v>513</v>
      </c>
      <c r="D135" s="350" t="s">
        <v>541</v>
      </c>
      <c r="E135" s="382" t="s">
        <v>542</v>
      </c>
      <c r="F135" s="403" t="s">
        <v>543</v>
      </c>
      <c r="G135" s="404" t="s">
        <v>544</v>
      </c>
      <c r="H135" s="405" t="s">
        <v>259</v>
      </c>
      <c r="I135" s="405" t="s">
        <v>281</v>
      </c>
      <c r="J135" s="355" t="s">
        <v>1442</v>
      </c>
      <c r="L135" s="353" t="s">
        <v>52</v>
      </c>
      <c r="M135" s="423" t="s">
        <v>1505</v>
      </c>
      <c r="O135" s="355" t="s">
        <v>1230</v>
      </c>
      <c r="P135" s="95" t="s">
        <v>270</v>
      </c>
      <c r="Q135" s="96"/>
      <c r="R135" s="288" t="s">
        <v>1089</v>
      </c>
      <c r="S135" s="97">
        <v>1</v>
      </c>
      <c r="T135" s="423">
        <v>2</v>
      </c>
      <c r="V135" s="432">
        <f t="shared" si="5"/>
        <v>0</v>
      </c>
      <c r="W135" s="288" t="s">
        <v>766</v>
      </c>
      <c r="X135" s="288" t="str">
        <f>IF(W135=Llistes!$B$18,Llistes!$D$18,IF(W135=Llistes!$B$20,Llistes!$D$20,IF(W135=Llistes!$B$22,Llistes!$D$22,IF(W135=Llistes!$B$23,Llistes!$D$23,IF(W135=Llistes!$B$24,Llistes!$D$24,IF(W135=Llistes!$B$28,Llistes!$D$28))))))</f>
        <v>Director</v>
      </c>
      <c r="Y135" s="288" t="s">
        <v>275</v>
      </c>
      <c r="Z135" s="325" t="s">
        <v>265</v>
      </c>
      <c r="AB135" s="94" t="s">
        <v>266</v>
      </c>
    </row>
    <row r="136" spans="1:30" ht="90">
      <c r="A136" s="337" t="s">
        <v>1499</v>
      </c>
      <c r="B136" s="380" t="s">
        <v>1657</v>
      </c>
      <c r="C136" s="381" t="s">
        <v>513</v>
      </c>
      <c r="D136" s="350" t="s">
        <v>541</v>
      </c>
      <c r="E136" s="382" t="s">
        <v>542</v>
      </c>
      <c r="F136" s="403" t="s">
        <v>545</v>
      </c>
      <c r="G136" s="404" t="s">
        <v>546</v>
      </c>
      <c r="H136" s="405" t="s">
        <v>259</v>
      </c>
      <c r="I136" s="405" t="s">
        <v>281</v>
      </c>
      <c r="J136" s="355" t="s">
        <v>1414</v>
      </c>
      <c r="L136" s="353" t="s">
        <v>52</v>
      </c>
      <c r="M136" s="423" t="s">
        <v>1504</v>
      </c>
      <c r="O136" s="355" t="s">
        <v>1570</v>
      </c>
      <c r="P136" s="95" t="s">
        <v>270</v>
      </c>
      <c r="Q136" s="96"/>
      <c r="R136" s="103" t="s">
        <v>1270</v>
      </c>
      <c r="S136" s="97"/>
      <c r="T136" s="423" t="s">
        <v>182</v>
      </c>
      <c r="V136" s="432">
        <f t="shared" si="5"/>
        <v>0</v>
      </c>
      <c r="W136" s="288" t="s">
        <v>835</v>
      </c>
      <c r="X136" s="288" t="s">
        <v>1189</v>
      </c>
      <c r="Y136" s="288" t="s">
        <v>275</v>
      </c>
      <c r="Z136" s="325" t="s">
        <v>265</v>
      </c>
      <c r="AB136" s="94" t="s">
        <v>266</v>
      </c>
      <c r="AC136" s="94" t="s">
        <v>266</v>
      </c>
    </row>
    <row r="137" spans="1:30" ht="90">
      <c r="A137" s="337" t="s">
        <v>1499</v>
      </c>
      <c r="B137" s="380" t="s">
        <v>1657</v>
      </c>
      <c r="C137" s="381" t="s">
        <v>513</v>
      </c>
      <c r="D137" s="350" t="s">
        <v>541</v>
      </c>
      <c r="E137" s="382" t="s">
        <v>542</v>
      </c>
      <c r="F137" s="403" t="s">
        <v>545</v>
      </c>
      <c r="G137" s="404" t="s">
        <v>546</v>
      </c>
      <c r="H137" s="405" t="s">
        <v>259</v>
      </c>
      <c r="I137" s="405" t="s">
        <v>281</v>
      </c>
      <c r="J137" s="355" t="s">
        <v>1414</v>
      </c>
      <c r="L137" s="353" t="s">
        <v>52</v>
      </c>
      <c r="M137" s="423" t="s">
        <v>1504</v>
      </c>
      <c r="O137" s="355" t="s">
        <v>1569</v>
      </c>
      <c r="P137" s="95" t="s">
        <v>270</v>
      </c>
      <c r="Q137" s="96"/>
      <c r="R137" s="103" t="s">
        <v>1270</v>
      </c>
      <c r="S137" s="97"/>
      <c r="T137" s="423" t="s">
        <v>182</v>
      </c>
      <c r="V137" s="432">
        <f t="shared" ref="V137:V200" si="8">U137*4</f>
        <v>0</v>
      </c>
      <c r="W137" s="288" t="s">
        <v>835</v>
      </c>
      <c r="X137" s="288" t="s">
        <v>1189</v>
      </c>
      <c r="Y137" s="288" t="s">
        <v>275</v>
      </c>
      <c r="Z137" s="325" t="s">
        <v>265</v>
      </c>
      <c r="AB137" s="94" t="s">
        <v>266</v>
      </c>
      <c r="AC137" s="94" t="s">
        <v>266</v>
      </c>
    </row>
    <row r="138" spans="1:30" ht="90">
      <c r="A138" s="337" t="s">
        <v>1499</v>
      </c>
      <c r="B138" s="380" t="s">
        <v>1657</v>
      </c>
      <c r="C138" s="381" t="s">
        <v>513</v>
      </c>
      <c r="D138" s="350" t="s">
        <v>541</v>
      </c>
      <c r="E138" s="382" t="s">
        <v>542</v>
      </c>
      <c r="F138" s="403" t="s">
        <v>545</v>
      </c>
      <c r="G138" s="404" t="s">
        <v>546</v>
      </c>
      <c r="H138" s="405" t="s">
        <v>259</v>
      </c>
      <c r="I138" s="405" t="s">
        <v>281</v>
      </c>
      <c r="J138" s="355" t="s">
        <v>1414</v>
      </c>
      <c r="L138" s="353" t="s">
        <v>52</v>
      </c>
      <c r="M138" s="423" t="s">
        <v>1504</v>
      </c>
      <c r="O138" s="355" t="s">
        <v>1568</v>
      </c>
      <c r="P138" s="95" t="s">
        <v>270</v>
      </c>
      <c r="Q138" s="96"/>
      <c r="R138" s="103" t="s">
        <v>1270</v>
      </c>
      <c r="S138" s="97"/>
      <c r="T138" s="423" t="s">
        <v>182</v>
      </c>
      <c r="V138" s="432">
        <f t="shared" si="8"/>
        <v>0</v>
      </c>
      <c r="W138" s="288" t="s">
        <v>835</v>
      </c>
      <c r="X138" s="288" t="s">
        <v>1189</v>
      </c>
      <c r="Y138" s="288" t="s">
        <v>275</v>
      </c>
      <c r="Z138" s="325" t="s">
        <v>265</v>
      </c>
      <c r="AC138" s="94" t="s">
        <v>266</v>
      </c>
    </row>
    <row r="139" spans="1:30" ht="90">
      <c r="A139" s="337" t="s">
        <v>1499</v>
      </c>
      <c r="B139" s="380" t="s">
        <v>1657</v>
      </c>
      <c r="C139" s="381" t="s">
        <v>513</v>
      </c>
      <c r="D139" s="350" t="s">
        <v>541</v>
      </c>
      <c r="E139" s="382" t="s">
        <v>542</v>
      </c>
      <c r="F139" s="403" t="s">
        <v>547</v>
      </c>
      <c r="G139" s="404" t="s">
        <v>548</v>
      </c>
      <c r="H139" s="405" t="s">
        <v>259</v>
      </c>
      <c r="I139" s="405" t="s">
        <v>281</v>
      </c>
      <c r="J139" s="355" t="s">
        <v>1413</v>
      </c>
      <c r="L139" s="353" t="s">
        <v>52</v>
      </c>
      <c r="M139" s="423" t="s">
        <v>1505</v>
      </c>
      <c r="O139" s="355" t="s">
        <v>1567</v>
      </c>
      <c r="P139" s="95"/>
      <c r="Q139" s="96"/>
      <c r="R139" s="103" t="s">
        <v>1270</v>
      </c>
      <c r="S139" s="97"/>
      <c r="T139" s="423" t="s">
        <v>182</v>
      </c>
      <c r="V139" s="432">
        <f t="shared" si="8"/>
        <v>0</v>
      </c>
      <c r="W139" s="288" t="s">
        <v>835</v>
      </c>
      <c r="X139" s="288" t="s">
        <v>1189</v>
      </c>
      <c r="Y139" s="288" t="s">
        <v>264</v>
      </c>
      <c r="Z139" s="325" t="s">
        <v>265</v>
      </c>
      <c r="AB139" s="94" t="s">
        <v>266</v>
      </c>
    </row>
    <row r="140" spans="1:30" ht="90">
      <c r="A140" s="337" t="s">
        <v>1499</v>
      </c>
      <c r="B140" s="380" t="s">
        <v>1657</v>
      </c>
      <c r="C140" s="381" t="s">
        <v>513</v>
      </c>
      <c r="D140" s="350" t="s">
        <v>541</v>
      </c>
      <c r="E140" s="382" t="s">
        <v>542</v>
      </c>
      <c r="F140" s="403" t="s">
        <v>547</v>
      </c>
      <c r="G140" s="404" t="s">
        <v>548</v>
      </c>
      <c r="H140" s="405" t="s">
        <v>259</v>
      </c>
      <c r="I140" s="405" t="s">
        <v>281</v>
      </c>
      <c r="J140" s="355" t="s">
        <v>1413</v>
      </c>
      <c r="L140" s="353" t="s">
        <v>52</v>
      </c>
      <c r="M140" s="423" t="s">
        <v>1505</v>
      </c>
      <c r="O140" s="355" t="s">
        <v>1571</v>
      </c>
      <c r="P140" s="95"/>
      <c r="Q140" s="96"/>
      <c r="R140" s="103" t="s">
        <v>1270</v>
      </c>
      <c r="S140" s="97"/>
      <c r="T140" s="423" t="s">
        <v>182</v>
      </c>
      <c r="V140" s="432">
        <f t="shared" si="8"/>
        <v>0</v>
      </c>
      <c r="W140" s="288" t="s">
        <v>835</v>
      </c>
      <c r="X140" s="288" t="s">
        <v>1094</v>
      </c>
      <c r="Y140" s="288" t="s">
        <v>275</v>
      </c>
      <c r="Z140" s="325" t="s">
        <v>265</v>
      </c>
      <c r="AC140" s="94" t="s">
        <v>266</v>
      </c>
      <c r="AD140" s="94" t="s">
        <v>266</v>
      </c>
    </row>
    <row r="141" spans="1:30" ht="90">
      <c r="A141" s="337" t="s">
        <v>1499</v>
      </c>
      <c r="B141" s="380" t="s">
        <v>1657</v>
      </c>
      <c r="C141" s="381" t="s">
        <v>513</v>
      </c>
      <c r="D141" s="350" t="s">
        <v>541</v>
      </c>
      <c r="E141" s="382" t="s">
        <v>542</v>
      </c>
      <c r="F141" s="403" t="s">
        <v>547</v>
      </c>
      <c r="G141" s="404" t="s">
        <v>548</v>
      </c>
      <c r="H141" s="405" t="s">
        <v>259</v>
      </c>
      <c r="I141" s="405" t="s">
        <v>281</v>
      </c>
      <c r="J141" s="355" t="s">
        <v>1413</v>
      </c>
      <c r="L141" s="353" t="s">
        <v>52</v>
      </c>
      <c r="M141" s="423" t="s">
        <v>1505</v>
      </c>
      <c r="O141" s="355" t="s">
        <v>1091</v>
      </c>
      <c r="P141" s="95"/>
      <c r="Q141" s="96"/>
      <c r="R141" s="288" t="s">
        <v>1031</v>
      </c>
      <c r="S141" s="97">
        <v>4</v>
      </c>
      <c r="T141" s="423">
        <v>8</v>
      </c>
      <c r="V141" s="432">
        <f t="shared" si="8"/>
        <v>0</v>
      </c>
      <c r="W141" s="288" t="s">
        <v>835</v>
      </c>
      <c r="X141" s="288" t="s">
        <v>1189</v>
      </c>
      <c r="Y141" s="288" t="s">
        <v>275</v>
      </c>
      <c r="Z141" s="325" t="s">
        <v>265</v>
      </c>
      <c r="AA141" s="94" t="s">
        <v>266</v>
      </c>
      <c r="AB141" s="94" t="s">
        <v>266</v>
      </c>
      <c r="AC141" s="94" t="s">
        <v>266</v>
      </c>
      <c r="AD141" s="94" t="s">
        <v>266</v>
      </c>
    </row>
    <row r="142" spans="1:30" ht="45">
      <c r="A142" s="337" t="s">
        <v>1499</v>
      </c>
      <c r="B142" s="380" t="s">
        <v>1658</v>
      </c>
      <c r="C142" s="383" t="s">
        <v>550</v>
      </c>
      <c r="D142" s="350" t="s">
        <v>551</v>
      </c>
      <c r="E142" s="382" t="s">
        <v>552</v>
      </c>
      <c r="F142" s="403" t="s">
        <v>553</v>
      </c>
      <c r="G142" s="404" t="s">
        <v>554</v>
      </c>
      <c r="H142" s="405" t="s">
        <v>259</v>
      </c>
      <c r="I142" s="405" t="s">
        <v>346</v>
      </c>
      <c r="J142" s="355" t="s">
        <v>1412</v>
      </c>
      <c r="K142" s="101" t="s">
        <v>1052</v>
      </c>
      <c r="M142" s="423" t="s">
        <v>1504</v>
      </c>
      <c r="O142" s="355"/>
      <c r="P142" s="95" t="s">
        <v>284</v>
      </c>
      <c r="Q142" s="96"/>
      <c r="S142" s="97"/>
      <c r="V142" s="432">
        <f t="shared" si="8"/>
        <v>0</v>
      </c>
      <c r="W142" s="288"/>
      <c r="X142" s="288"/>
    </row>
    <row r="143" spans="1:30" ht="45">
      <c r="A143" s="337" t="s">
        <v>1499</v>
      </c>
      <c r="B143" s="380" t="s">
        <v>1658</v>
      </c>
      <c r="C143" s="383" t="s">
        <v>550</v>
      </c>
      <c r="D143" s="350" t="s">
        <v>551</v>
      </c>
      <c r="E143" s="382" t="s">
        <v>552</v>
      </c>
      <c r="F143" s="403" t="s">
        <v>555</v>
      </c>
      <c r="G143" s="404" t="s">
        <v>556</v>
      </c>
      <c r="H143" s="405" t="s">
        <v>259</v>
      </c>
      <c r="I143" s="405" t="s">
        <v>346</v>
      </c>
      <c r="J143" s="355" t="s">
        <v>1411</v>
      </c>
      <c r="K143" s="101" t="s">
        <v>1052</v>
      </c>
      <c r="M143" s="423" t="s">
        <v>1505</v>
      </c>
      <c r="O143" s="355"/>
      <c r="P143" s="95"/>
      <c r="Q143" s="96"/>
      <c r="S143" s="97"/>
      <c r="V143" s="432">
        <f t="shared" si="8"/>
        <v>0</v>
      </c>
      <c r="W143" s="288"/>
      <c r="X143" s="288"/>
    </row>
    <row r="144" spans="1:30" ht="45">
      <c r="A144" s="337" t="s">
        <v>1499</v>
      </c>
      <c r="B144" s="380" t="s">
        <v>1658</v>
      </c>
      <c r="C144" s="383" t="s">
        <v>550</v>
      </c>
      <c r="D144" s="350" t="s">
        <v>557</v>
      </c>
      <c r="E144" s="382" t="s">
        <v>558</v>
      </c>
      <c r="F144" s="403" t="s">
        <v>559</v>
      </c>
      <c r="G144" s="404" t="s">
        <v>560</v>
      </c>
      <c r="H144" s="405" t="s">
        <v>259</v>
      </c>
      <c r="I144" s="405" t="s">
        <v>346</v>
      </c>
      <c r="J144" s="355" t="s">
        <v>1410</v>
      </c>
      <c r="K144" s="101" t="s">
        <v>1101</v>
      </c>
      <c r="L144" s="401" t="s">
        <v>52</v>
      </c>
      <c r="M144" s="423" t="s">
        <v>1505</v>
      </c>
      <c r="O144" s="355" t="s">
        <v>1572</v>
      </c>
      <c r="P144" s="95" t="s">
        <v>284</v>
      </c>
      <c r="Q144" s="96"/>
      <c r="R144" s="103" t="s">
        <v>1270</v>
      </c>
      <c r="S144" s="97"/>
      <c r="T144" s="423" t="s">
        <v>182</v>
      </c>
      <c r="V144" s="432">
        <f t="shared" si="8"/>
        <v>0</v>
      </c>
      <c r="W144" s="288" t="s">
        <v>835</v>
      </c>
      <c r="X144" s="288" t="s">
        <v>1189</v>
      </c>
      <c r="Y144" s="288" t="s">
        <v>275</v>
      </c>
      <c r="Z144" s="325" t="s">
        <v>265</v>
      </c>
      <c r="AB144" s="94" t="s">
        <v>266</v>
      </c>
      <c r="AC144" s="94" t="s">
        <v>266</v>
      </c>
      <c r="AD144" s="94" t="s">
        <v>266</v>
      </c>
    </row>
    <row r="145" spans="1:30" ht="45">
      <c r="A145" s="337" t="s">
        <v>1499</v>
      </c>
      <c r="B145" s="380" t="s">
        <v>1658</v>
      </c>
      <c r="C145" s="383" t="s">
        <v>550</v>
      </c>
      <c r="D145" s="350" t="s">
        <v>557</v>
      </c>
      <c r="E145" s="382" t="s">
        <v>558</v>
      </c>
      <c r="F145" s="403" t="s">
        <v>559</v>
      </c>
      <c r="G145" s="404" t="s">
        <v>560</v>
      </c>
      <c r="H145" s="405" t="s">
        <v>259</v>
      </c>
      <c r="I145" s="405" t="s">
        <v>346</v>
      </c>
      <c r="J145" s="355" t="s">
        <v>1410</v>
      </c>
      <c r="K145" s="101" t="s">
        <v>1100</v>
      </c>
      <c r="L145" s="401" t="s">
        <v>52</v>
      </c>
      <c r="M145" s="423" t="s">
        <v>1505</v>
      </c>
      <c r="O145" s="355" t="s">
        <v>1573</v>
      </c>
      <c r="P145" s="95" t="s">
        <v>284</v>
      </c>
      <c r="Q145" s="96"/>
      <c r="R145" s="288" t="s">
        <v>1045</v>
      </c>
      <c r="S145" s="97">
        <v>2</v>
      </c>
      <c r="T145" s="423">
        <v>3</v>
      </c>
      <c r="V145" s="432">
        <f t="shared" si="8"/>
        <v>0</v>
      </c>
      <c r="W145" s="288" t="s">
        <v>263</v>
      </c>
      <c r="X145" s="288" t="str">
        <f>IF(W145=Llistes!$B$18,Llistes!$D$18,IF(W145=Llistes!$B$20,Llistes!$D$20,IF(W145=Llistes!$B$22,Llistes!$D$22,IF(W145=Llistes!$B$23,Llistes!$D$23,IF(W145=Llistes!$B$24,Llistes!$D$24,IF(W145=Llistes!$B$28,Llistes!$D$28))))))</f>
        <v>Tècnic coordinador</v>
      </c>
      <c r="Y145" s="288" t="s">
        <v>275</v>
      </c>
      <c r="Z145" s="325" t="s">
        <v>265</v>
      </c>
      <c r="AB145" s="94" t="s">
        <v>266</v>
      </c>
      <c r="AC145" s="94" t="s">
        <v>266</v>
      </c>
      <c r="AD145" s="94" t="s">
        <v>266</v>
      </c>
    </row>
    <row r="146" spans="1:30" ht="45">
      <c r="A146" s="337" t="s">
        <v>1499</v>
      </c>
      <c r="B146" s="380" t="s">
        <v>1658</v>
      </c>
      <c r="C146" s="383" t="s">
        <v>550</v>
      </c>
      <c r="D146" s="350" t="s">
        <v>557</v>
      </c>
      <c r="E146" s="382" t="s">
        <v>558</v>
      </c>
      <c r="F146" s="403" t="s">
        <v>561</v>
      </c>
      <c r="G146" s="404" t="s">
        <v>562</v>
      </c>
      <c r="H146" s="405" t="s">
        <v>259</v>
      </c>
      <c r="I146" s="405" t="s">
        <v>346</v>
      </c>
      <c r="J146" s="355" t="s">
        <v>1409</v>
      </c>
      <c r="K146" s="93" t="s">
        <v>1055</v>
      </c>
      <c r="L146" s="353"/>
      <c r="M146" s="423" t="s">
        <v>1505</v>
      </c>
      <c r="O146" s="355"/>
      <c r="P146" s="95" t="s">
        <v>284</v>
      </c>
      <c r="Q146" s="96"/>
      <c r="S146" s="97"/>
      <c r="V146" s="432">
        <f t="shared" si="8"/>
        <v>0</v>
      </c>
      <c r="W146" s="288"/>
      <c r="X146" s="288"/>
    </row>
    <row r="147" spans="1:30" ht="75">
      <c r="A147" s="338" t="s">
        <v>1500</v>
      </c>
      <c r="B147" s="384" t="s">
        <v>1659</v>
      </c>
      <c r="C147" s="385" t="s">
        <v>564</v>
      </c>
      <c r="D147" s="351" t="s">
        <v>565</v>
      </c>
      <c r="E147" s="386" t="s">
        <v>566</v>
      </c>
      <c r="F147" s="408" t="s">
        <v>567</v>
      </c>
      <c r="G147" s="409" t="s">
        <v>568</v>
      </c>
      <c r="H147" s="410" t="s">
        <v>259</v>
      </c>
      <c r="I147" s="410" t="s">
        <v>281</v>
      </c>
      <c r="J147" s="355" t="s">
        <v>1408</v>
      </c>
      <c r="K147" s="101" t="s">
        <v>1100</v>
      </c>
      <c r="L147" s="425" t="s">
        <v>52</v>
      </c>
      <c r="M147" s="423" t="s">
        <v>1504</v>
      </c>
      <c r="O147" s="357" t="s">
        <v>1574</v>
      </c>
      <c r="P147" s="95"/>
      <c r="Q147" s="96" t="s">
        <v>569</v>
      </c>
      <c r="R147" s="103" t="s">
        <v>1270</v>
      </c>
      <c r="S147" s="97"/>
      <c r="T147" s="423" t="s">
        <v>182</v>
      </c>
      <c r="V147" s="432">
        <f t="shared" si="8"/>
        <v>0</v>
      </c>
      <c r="W147" s="288" t="s">
        <v>835</v>
      </c>
      <c r="X147" s="288" t="s">
        <v>1189</v>
      </c>
      <c r="Y147" s="288" t="s">
        <v>264</v>
      </c>
      <c r="Z147" s="325" t="s">
        <v>265</v>
      </c>
      <c r="AB147" s="94" t="s">
        <v>266</v>
      </c>
    </row>
    <row r="148" spans="1:30" ht="45">
      <c r="A148" s="338" t="s">
        <v>1500</v>
      </c>
      <c r="B148" s="384" t="s">
        <v>1660</v>
      </c>
      <c r="C148" s="387" t="s">
        <v>570</v>
      </c>
      <c r="D148" s="351" t="s">
        <v>571</v>
      </c>
      <c r="E148" s="388" t="s">
        <v>1173</v>
      </c>
      <c r="F148" s="408" t="s">
        <v>572</v>
      </c>
      <c r="G148" s="409" t="s">
        <v>573</v>
      </c>
      <c r="H148" s="410" t="s">
        <v>259</v>
      </c>
      <c r="I148" s="410" t="s">
        <v>281</v>
      </c>
      <c r="J148" s="355" t="s">
        <v>1407</v>
      </c>
      <c r="K148" s="101" t="s">
        <v>1109</v>
      </c>
      <c r="L148" s="353"/>
      <c r="M148" s="423" t="s">
        <v>1504</v>
      </c>
      <c r="O148" s="355"/>
      <c r="P148" s="95"/>
      <c r="Q148" s="96" t="s">
        <v>569</v>
      </c>
      <c r="S148" s="97"/>
      <c r="V148" s="432">
        <f t="shared" ref="V148:V159" si="9">U148*4</f>
        <v>0</v>
      </c>
      <c r="W148" s="288"/>
      <c r="X148" s="288"/>
    </row>
    <row r="149" spans="1:30" ht="45">
      <c r="A149" s="338" t="s">
        <v>1500</v>
      </c>
      <c r="B149" s="384" t="s">
        <v>1660</v>
      </c>
      <c r="C149" s="387" t="s">
        <v>570</v>
      </c>
      <c r="D149" s="351" t="s">
        <v>571</v>
      </c>
      <c r="E149" s="388" t="s">
        <v>1173</v>
      </c>
      <c r="F149" s="408" t="s">
        <v>590</v>
      </c>
      <c r="G149" s="409" t="s">
        <v>591</v>
      </c>
      <c r="H149" s="410" t="s">
        <v>318</v>
      </c>
      <c r="I149" s="410" t="s">
        <v>281</v>
      </c>
      <c r="J149" s="355" t="s">
        <v>1405</v>
      </c>
      <c r="K149" s="101" t="s">
        <v>1109</v>
      </c>
      <c r="L149" s="353"/>
      <c r="M149" s="423" t="s">
        <v>1504</v>
      </c>
      <c r="O149" s="355"/>
      <c r="P149" s="95"/>
      <c r="Q149" s="96" t="s">
        <v>569</v>
      </c>
      <c r="S149" s="97"/>
      <c r="V149" s="432">
        <f t="shared" si="9"/>
        <v>0</v>
      </c>
      <c r="W149" s="288"/>
      <c r="X149" s="288"/>
    </row>
    <row r="150" spans="1:30" ht="45">
      <c r="A150" s="338" t="s">
        <v>1500</v>
      </c>
      <c r="B150" s="384" t="s">
        <v>1660</v>
      </c>
      <c r="C150" s="387" t="s">
        <v>570</v>
      </c>
      <c r="D150" s="351" t="s">
        <v>571</v>
      </c>
      <c r="E150" s="388" t="s">
        <v>1173</v>
      </c>
      <c r="F150" s="408" t="s">
        <v>592</v>
      </c>
      <c r="G150" s="409" t="s">
        <v>593</v>
      </c>
      <c r="H150" s="410" t="s">
        <v>259</v>
      </c>
      <c r="I150" s="410" t="s">
        <v>281</v>
      </c>
      <c r="J150" s="355" t="s">
        <v>1398</v>
      </c>
      <c r="K150" s="101" t="s">
        <v>1109</v>
      </c>
      <c r="L150" s="353"/>
      <c r="M150" s="423" t="s">
        <v>1504</v>
      </c>
      <c r="O150" s="355"/>
      <c r="P150" s="95"/>
      <c r="Q150" s="96" t="s">
        <v>569</v>
      </c>
      <c r="S150" s="97"/>
      <c r="V150" s="432">
        <f t="shared" si="9"/>
        <v>0</v>
      </c>
      <c r="W150" s="288"/>
      <c r="X150" s="288"/>
    </row>
    <row r="151" spans="1:30" ht="45">
      <c r="A151" s="338" t="s">
        <v>1500</v>
      </c>
      <c r="B151" s="384" t="s">
        <v>1660</v>
      </c>
      <c r="C151" s="387" t="s">
        <v>570</v>
      </c>
      <c r="D151" s="351" t="s">
        <v>571</v>
      </c>
      <c r="E151" s="388" t="s">
        <v>1173</v>
      </c>
      <c r="F151" s="408" t="s">
        <v>594</v>
      </c>
      <c r="G151" s="409" t="s">
        <v>1146</v>
      </c>
      <c r="H151" s="410" t="s">
        <v>259</v>
      </c>
      <c r="I151" s="410" t="s">
        <v>281</v>
      </c>
      <c r="J151" s="355" t="s">
        <v>1440</v>
      </c>
      <c r="L151" s="353" t="s">
        <v>52</v>
      </c>
      <c r="M151" s="423" t="s">
        <v>1505</v>
      </c>
      <c r="O151" s="355" t="s">
        <v>1575</v>
      </c>
      <c r="P151" s="95"/>
      <c r="Q151" s="96" t="s">
        <v>569</v>
      </c>
      <c r="R151" s="103" t="s">
        <v>1270</v>
      </c>
      <c r="S151" s="97"/>
      <c r="T151" s="423" t="s">
        <v>182</v>
      </c>
      <c r="V151" s="432">
        <f t="shared" si="9"/>
        <v>0</v>
      </c>
      <c r="W151" s="288" t="s">
        <v>835</v>
      </c>
      <c r="X151" s="288" t="s">
        <v>1189</v>
      </c>
      <c r="Y151" s="288" t="s">
        <v>264</v>
      </c>
      <c r="Z151" s="325" t="s">
        <v>265</v>
      </c>
      <c r="AB151" s="94" t="s">
        <v>266</v>
      </c>
    </row>
    <row r="152" spans="1:30" ht="45">
      <c r="A152" s="338" t="s">
        <v>1500</v>
      </c>
      <c r="B152" s="384" t="s">
        <v>1660</v>
      </c>
      <c r="C152" s="387" t="s">
        <v>570</v>
      </c>
      <c r="D152" s="351" t="s">
        <v>571</v>
      </c>
      <c r="E152" s="388" t="s">
        <v>1173</v>
      </c>
      <c r="F152" s="408" t="s">
        <v>574</v>
      </c>
      <c r="G152" s="409" t="s">
        <v>575</v>
      </c>
      <c r="H152" s="410" t="s">
        <v>259</v>
      </c>
      <c r="I152" s="410" t="s">
        <v>281</v>
      </c>
      <c r="J152" s="355" t="s">
        <v>1406</v>
      </c>
      <c r="K152" s="101" t="s">
        <v>1109</v>
      </c>
      <c r="L152" s="353"/>
      <c r="M152" s="423" t="s">
        <v>1503</v>
      </c>
      <c r="O152" s="355"/>
      <c r="P152" s="95"/>
      <c r="Q152" s="96" t="s">
        <v>569</v>
      </c>
      <c r="S152" s="97"/>
      <c r="V152" s="432">
        <f t="shared" si="9"/>
        <v>0</v>
      </c>
      <c r="W152" s="288"/>
      <c r="X152" s="288"/>
    </row>
    <row r="153" spans="1:30" ht="45">
      <c r="A153" s="338" t="s">
        <v>1500</v>
      </c>
      <c r="B153" s="384" t="s">
        <v>1660</v>
      </c>
      <c r="C153" s="387" t="s">
        <v>570</v>
      </c>
      <c r="D153" s="351" t="s">
        <v>571</v>
      </c>
      <c r="E153" s="388" t="s">
        <v>1173</v>
      </c>
      <c r="F153" s="408" t="s">
        <v>576</v>
      </c>
      <c r="G153" s="409" t="s">
        <v>577</v>
      </c>
      <c r="H153" s="410" t="s">
        <v>318</v>
      </c>
      <c r="I153" s="410" t="s">
        <v>281</v>
      </c>
      <c r="J153" s="355" t="s">
        <v>1441</v>
      </c>
      <c r="K153" s="101" t="s">
        <v>1110</v>
      </c>
      <c r="L153" s="353"/>
      <c r="M153" s="423" t="s">
        <v>1503</v>
      </c>
      <c r="O153" s="355"/>
      <c r="P153" s="95"/>
      <c r="Q153" s="96" t="s">
        <v>569</v>
      </c>
      <c r="S153" s="97"/>
      <c r="V153" s="432">
        <f t="shared" si="9"/>
        <v>0</v>
      </c>
      <c r="W153" s="288"/>
      <c r="X153" s="288"/>
    </row>
    <row r="154" spans="1:30" ht="45">
      <c r="A154" s="338" t="s">
        <v>1500</v>
      </c>
      <c r="B154" s="384" t="s">
        <v>1660</v>
      </c>
      <c r="C154" s="387" t="s">
        <v>570</v>
      </c>
      <c r="D154" s="351" t="s">
        <v>571</v>
      </c>
      <c r="E154" s="388" t="s">
        <v>1173</v>
      </c>
      <c r="F154" s="408" t="s">
        <v>578</v>
      </c>
      <c r="G154" s="409" t="s">
        <v>579</v>
      </c>
      <c r="H154" s="410" t="s">
        <v>259</v>
      </c>
      <c r="I154" s="410" t="s">
        <v>281</v>
      </c>
      <c r="J154" s="355" t="s">
        <v>1404</v>
      </c>
      <c r="K154" s="101" t="s">
        <v>1101</v>
      </c>
      <c r="L154" s="353" t="s">
        <v>53</v>
      </c>
      <c r="M154" s="423" t="s">
        <v>1503</v>
      </c>
      <c r="O154" s="355" t="s">
        <v>1576</v>
      </c>
      <c r="P154" s="95"/>
      <c r="Q154" s="96" t="s">
        <v>569</v>
      </c>
      <c r="R154" s="103" t="s">
        <v>1270</v>
      </c>
      <c r="S154" s="97"/>
      <c r="T154" s="423" t="s">
        <v>182</v>
      </c>
      <c r="V154" s="432">
        <f t="shared" si="9"/>
        <v>0</v>
      </c>
      <c r="W154" s="288" t="s">
        <v>263</v>
      </c>
      <c r="X154" s="288" t="str">
        <f>IF(W154=Llistes!$B$18,Llistes!$D$18,IF(W154=Llistes!$B$20,Llistes!$D$20,IF(W154=Llistes!$B$22,Llistes!$D$22,IF(W154=Llistes!$B$23,Llistes!$D$23,IF(W154=Llistes!$B$24,Llistes!$D$24,IF(W154=Llistes!$B$28,Llistes!$D$28))))))</f>
        <v>Tècnic coordinador</v>
      </c>
      <c r="Y154" s="288" t="s">
        <v>275</v>
      </c>
      <c r="Z154" s="325" t="s">
        <v>265</v>
      </c>
      <c r="AA154" s="94" t="s">
        <v>266</v>
      </c>
      <c r="AB154" s="94" t="s">
        <v>266</v>
      </c>
      <c r="AC154" s="94" t="s">
        <v>266</v>
      </c>
      <c r="AD154" s="94" t="s">
        <v>266</v>
      </c>
    </row>
    <row r="155" spans="1:30" ht="45">
      <c r="A155" s="338" t="s">
        <v>1500</v>
      </c>
      <c r="B155" s="384" t="s">
        <v>1660</v>
      </c>
      <c r="C155" s="387" t="s">
        <v>570</v>
      </c>
      <c r="D155" s="351" t="s">
        <v>571</v>
      </c>
      <c r="E155" s="388" t="s">
        <v>1173</v>
      </c>
      <c r="F155" s="408" t="s">
        <v>580</v>
      </c>
      <c r="G155" s="409" t="s">
        <v>581</v>
      </c>
      <c r="H155" s="410" t="s">
        <v>259</v>
      </c>
      <c r="I155" s="410" t="s">
        <v>281</v>
      </c>
      <c r="J155" s="355" t="s">
        <v>1403</v>
      </c>
      <c r="K155" s="101" t="s">
        <v>1101</v>
      </c>
      <c r="L155" s="353" t="s">
        <v>53</v>
      </c>
      <c r="M155" s="423" t="s">
        <v>1505</v>
      </c>
      <c r="O155" s="355" t="s">
        <v>1577</v>
      </c>
      <c r="P155" s="95"/>
      <c r="Q155" s="96" t="s">
        <v>569</v>
      </c>
      <c r="R155" s="103" t="s">
        <v>1270</v>
      </c>
      <c r="S155" s="97"/>
      <c r="T155" s="423" t="s">
        <v>182</v>
      </c>
      <c r="V155" s="432">
        <f t="shared" si="9"/>
        <v>0</v>
      </c>
      <c r="W155" s="288" t="s">
        <v>263</v>
      </c>
      <c r="X155" s="288" t="str">
        <f>IF(W155=Llistes!$B$18,Llistes!$D$18,IF(W155=Llistes!$B$20,Llistes!$D$20,IF(W155=Llistes!$B$22,Llistes!$D$22,IF(W155=Llistes!$B$23,Llistes!$D$23,IF(W155=Llistes!$B$24,Llistes!$D$24,IF(W155=Llistes!$B$28,Llistes!$D$28))))))</f>
        <v>Tècnic coordinador</v>
      </c>
      <c r="Y155" s="288" t="s">
        <v>275</v>
      </c>
      <c r="Z155" s="325" t="s">
        <v>265</v>
      </c>
      <c r="AA155" s="94" t="s">
        <v>266</v>
      </c>
      <c r="AB155" s="94" t="s">
        <v>266</v>
      </c>
      <c r="AC155" s="94" t="s">
        <v>266</v>
      </c>
      <c r="AD155" s="94" t="s">
        <v>266</v>
      </c>
    </row>
    <row r="156" spans="1:30" ht="45">
      <c r="A156" s="338" t="s">
        <v>1500</v>
      </c>
      <c r="B156" s="384" t="s">
        <v>1660</v>
      </c>
      <c r="C156" s="387" t="s">
        <v>570</v>
      </c>
      <c r="D156" s="351" t="s">
        <v>571</v>
      </c>
      <c r="E156" s="388" t="s">
        <v>1173</v>
      </c>
      <c r="F156" s="408" t="s">
        <v>582</v>
      </c>
      <c r="G156" s="409" t="s">
        <v>583</v>
      </c>
      <c r="H156" s="410" t="s">
        <v>259</v>
      </c>
      <c r="I156" s="410" t="s">
        <v>281</v>
      </c>
      <c r="J156" s="355" t="s">
        <v>1397</v>
      </c>
      <c r="K156" s="101" t="s">
        <v>1101</v>
      </c>
      <c r="L156" s="353" t="s">
        <v>53</v>
      </c>
      <c r="M156" s="423" t="s">
        <v>1505</v>
      </c>
      <c r="O156" s="355" t="s">
        <v>1582</v>
      </c>
      <c r="P156" s="95"/>
      <c r="Q156" s="96" t="s">
        <v>569</v>
      </c>
      <c r="R156" s="103" t="s">
        <v>1270</v>
      </c>
      <c r="S156" s="97"/>
      <c r="T156" s="423" t="s">
        <v>182</v>
      </c>
      <c r="V156" s="432">
        <f t="shared" si="9"/>
        <v>0</v>
      </c>
      <c r="W156" s="288" t="s">
        <v>263</v>
      </c>
      <c r="X156" s="288" t="str">
        <f>IF(W156=Llistes!$B$18,Llistes!$D$18,IF(W156=Llistes!$B$20,Llistes!$D$20,IF(W156=Llistes!$B$22,Llistes!$D$22,IF(W156=Llistes!$B$23,Llistes!$D$23,IF(W156=Llistes!$B$24,Llistes!$D$24,IF(W156=Llistes!$B$28,Llistes!$D$28))))))</f>
        <v>Tècnic coordinador</v>
      </c>
      <c r="Y156" s="288" t="s">
        <v>275</v>
      </c>
      <c r="Z156" s="325" t="s">
        <v>265</v>
      </c>
      <c r="AA156" s="94" t="s">
        <v>266</v>
      </c>
      <c r="AB156" s="94" t="s">
        <v>266</v>
      </c>
      <c r="AC156" s="94" t="s">
        <v>266</v>
      </c>
      <c r="AD156" s="94" t="s">
        <v>266</v>
      </c>
    </row>
    <row r="157" spans="1:30" ht="45">
      <c r="A157" s="338" t="s">
        <v>1500</v>
      </c>
      <c r="B157" s="384" t="s">
        <v>1660</v>
      </c>
      <c r="C157" s="387" t="s">
        <v>570</v>
      </c>
      <c r="D157" s="351" t="s">
        <v>571</v>
      </c>
      <c r="E157" s="388" t="s">
        <v>1173</v>
      </c>
      <c r="F157" s="408" t="s">
        <v>584</v>
      </c>
      <c r="G157" s="409" t="s">
        <v>585</v>
      </c>
      <c r="H157" s="410" t="s">
        <v>318</v>
      </c>
      <c r="I157" s="410" t="s">
        <v>281</v>
      </c>
      <c r="J157" s="355" t="s">
        <v>1402</v>
      </c>
      <c r="K157" s="101" t="s">
        <v>1109</v>
      </c>
      <c r="L157" s="353"/>
      <c r="M157" s="423" t="s">
        <v>1504</v>
      </c>
      <c r="O157" s="355"/>
      <c r="P157" s="95"/>
      <c r="Q157" s="96" t="s">
        <v>569</v>
      </c>
      <c r="S157" s="97"/>
      <c r="V157" s="432">
        <f t="shared" si="9"/>
        <v>0</v>
      </c>
      <c r="W157" s="288"/>
      <c r="X157" s="288"/>
    </row>
    <row r="158" spans="1:30" ht="45">
      <c r="A158" s="338" t="s">
        <v>1500</v>
      </c>
      <c r="B158" s="384" t="s">
        <v>1660</v>
      </c>
      <c r="C158" s="387" t="s">
        <v>570</v>
      </c>
      <c r="D158" s="351" t="s">
        <v>571</v>
      </c>
      <c r="E158" s="388" t="s">
        <v>1173</v>
      </c>
      <c r="F158" s="408" t="s">
        <v>586</v>
      </c>
      <c r="G158" s="409" t="s">
        <v>587</v>
      </c>
      <c r="H158" s="410" t="s">
        <v>318</v>
      </c>
      <c r="I158" s="410" t="s">
        <v>281</v>
      </c>
      <c r="J158" s="355" t="s">
        <v>1401</v>
      </c>
      <c r="K158" s="101" t="s">
        <v>1109</v>
      </c>
      <c r="L158" s="353"/>
      <c r="M158" s="423" t="s">
        <v>1505</v>
      </c>
      <c r="O158" s="355"/>
      <c r="P158" s="95"/>
      <c r="Q158" s="96" t="s">
        <v>569</v>
      </c>
      <c r="S158" s="97"/>
      <c r="V158" s="432">
        <f t="shared" si="9"/>
        <v>0</v>
      </c>
      <c r="W158" s="288"/>
      <c r="X158" s="288"/>
    </row>
    <row r="159" spans="1:30" ht="45">
      <c r="A159" s="338" t="s">
        <v>1500</v>
      </c>
      <c r="B159" s="384" t="s">
        <v>1660</v>
      </c>
      <c r="C159" s="387" t="s">
        <v>570</v>
      </c>
      <c r="D159" s="351" t="s">
        <v>571</v>
      </c>
      <c r="E159" s="388" t="s">
        <v>1173</v>
      </c>
      <c r="F159" s="408" t="s">
        <v>588</v>
      </c>
      <c r="G159" s="409" t="s">
        <v>589</v>
      </c>
      <c r="H159" s="410" t="s">
        <v>318</v>
      </c>
      <c r="I159" s="410" t="s">
        <v>281</v>
      </c>
      <c r="J159" s="355" t="s">
        <v>1400</v>
      </c>
      <c r="K159" s="101" t="s">
        <v>1109</v>
      </c>
      <c r="L159" s="353"/>
      <c r="M159" s="423" t="s">
        <v>1504</v>
      </c>
      <c r="O159" s="355"/>
      <c r="P159" s="95"/>
      <c r="Q159" s="96" t="s">
        <v>569</v>
      </c>
      <c r="S159" s="97"/>
      <c r="V159" s="432">
        <f t="shared" si="9"/>
        <v>0</v>
      </c>
      <c r="W159" s="288"/>
      <c r="X159" s="288"/>
    </row>
    <row r="160" spans="1:30" ht="45">
      <c r="A160" s="338" t="s">
        <v>1500</v>
      </c>
      <c r="B160" s="384" t="s">
        <v>1660</v>
      </c>
      <c r="C160" s="387" t="s">
        <v>570</v>
      </c>
      <c r="D160" s="351" t="s">
        <v>595</v>
      </c>
      <c r="E160" s="389" t="s">
        <v>596</v>
      </c>
      <c r="F160" s="410" t="s">
        <v>597</v>
      </c>
      <c r="G160" s="409" t="s">
        <v>598</v>
      </c>
      <c r="H160" s="410" t="s">
        <v>259</v>
      </c>
      <c r="I160" s="410" t="s">
        <v>281</v>
      </c>
      <c r="J160" s="355" t="s">
        <v>1396</v>
      </c>
      <c r="L160" s="353" t="s">
        <v>52</v>
      </c>
      <c r="M160" s="423" t="s">
        <v>1505</v>
      </c>
      <c r="O160" s="355" t="s">
        <v>1578</v>
      </c>
      <c r="P160" s="95"/>
      <c r="Q160" s="90" t="s">
        <v>599</v>
      </c>
      <c r="R160" s="103" t="s">
        <v>1270</v>
      </c>
      <c r="S160" s="97"/>
      <c r="T160" s="423" t="s">
        <v>182</v>
      </c>
      <c r="V160" s="432">
        <f t="shared" si="8"/>
        <v>0</v>
      </c>
      <c r="W160" s="288" t="s">
        <v>835</v>
      </c>
      <c r="X160" s="288" t="s">
        <v>1189</v>
      </c>
      <c r="Y160" s="288" t="s">
        <v>264</v>
      </c>
      <c r="Z160" s="325" t="s">
        <v>265</v>
      </c>
      <c r="AB160" s="94" t="s">
        <v>266</v>
      </c>
    </row>
    <row r="161" spans="1:30" ht="45">
      <c r="A161" s="338" t="s">
        <v>1500</v>
      </c>
      <c r="B161" s="384" t="s">
        <v>1660</v>
      </c>
      <c r="C161" s="387" t="s">
        <v>570</v>
      </c>
      <c r="D161" s="351" t="s">
        <v>595</v>
      </c>
      <c r="E161" s="389" t="s">
        <v>596</v>
      </c>
      <c r="F161" s="410" t="s">
        <v>600</v>
      </c>
      <c r="G161" s="409" t="s">
        <v>601</v>
      </c>
      <c r="H161" s="410" t="s">
        <v>259</v>
      </c>
      <c r="I161" s="410" t="s">
        <v>281</v>
      </c>
      <c r="J161" s="355" t="s">
        <v>1395</v>
      </c>
      <c r="L161" s="353" t="s">
        <v>52</v>
      </c>
      <c r="M161" s="423" t="s">
        <v>1504</v>
      </c>
      <c r="O161" s="355" t="s">
        <v>1579</v>
      </c>
      <c r="P161" s="95"/>
      <c r="Q161" s="90" t="s">
        <v>602</v>
      </c>
      <c r="R161" s="103" t="s">
        <v>1270</v>
      </c>
      <c r="S161" s="97"/>
      <c r="T161" s="423" t="s">
        <v>182</v>
      </c>
      <c r="V161" s="432">
        <f t="shared" si="8"/>
        <v>0</v>
      </c>
      <c r="W161" s="288" t="s">
        <v>835</v>
      </c>
      <c r="X161" s="288" t="s">
        <v>1189</v>
      </c>
      <c r="Y161" s="288" t="s">
        <v>275</v>
      </c>
      <c r="Z161" s="325" t="s">
        <v>265</v>
      </c>
      <c r="AD161" s="94" t="s">
        <v>266</v>
      </c>
    </row>
    <row r="162" spans="1:30" ht="45">
      <c r="A162" s="338" t="s">
        <v>1500</v>
      </c>
      <c r="B162" s="384" t="s">
        <v>1660</v>
      </c>
      <c r="C162" s="387" t="s">
        <v>570</v>
      </c>
      <c r="D162" s="351" t="s">
        <v>603</v>
      </c>
      <c r="E162" s="388" t="s">
        <v>604</v>
      </c>
      <c r="F162" s="408" t="s">
        <v>605</v>
      </c>
      <c r="G162" s="409" t="s">
        <v>606</v>
      </c>
      <c r="H162" s="410" t="s">
        <v>259</v>
      </c>
      <c r="I162" s="410" t="s">
        <v>281</v>
      </c>
      <c r="J162" s="355" t="s">
        <v>1394</v>
      </c>
      <c r="K162" s="92" t="s">
        <v>1118</v>
      </c>
      <c r="L162" s="353" t="s">
        <v>52</v>
      </c>
      <c r="M162" s="423" t="s">
        <v>1503</v>
      </c>
      <c r="O162" s="355" t="s">
        <v>1580</v>
      </c>
      <c r="P162" s="95"/>
      <c r="Q162" s="96" t="s">
        <v>569</v>
      </c>
      <c r="R162" s="103" t="s">
        <v>1270</v>
      </c>
      <c r="S162" s="97"/>
      <c r="T162" s="423" t="s">
        <v>182</v>
      </c>
      <c r="V162" s="432">
        <f t="shared" si="8"/>
        <v>0</v>
      </c>
      <c r="W162" s="288" t="s">
        <v>835</v>
      </c>
      <c r="X162" s="288" t="s">
        <v>1189</v>
      </c>
      <c r="Y162" s="288" t="s">
        <v>275</v>
      </c>
      <c r="Z162" s="325" t="s">
        <v>265</v>
      </c>
      <c r="AA162" s="94" t="s">
        <v>266</v>
      </c>
      <c r="AB162" s="94" t="s">
        <v>266</v>
      </c>
      <c r="AC162" s="94" t="s">
        <v>266</v>
      </c>
      <c r="AD162" s="94" t="s">
        <v>266</v>
      </c>
    </row>
    <row r="163" spans="1:30" ht="45">
      <c r="A163" s="338" t="s">
        <v>1500</v>
      </c>
      <c r="B163" s="384" t="s">
        <v>1660</v>
      </c>
      <c r="C163" s="387" t="s">
        <v>570</v>
      </c>
      <c r="D163" s="351" t="s">
        <v>603</v>
      </c>
      <c r="E163" s="388" t="s">
        <v>604</v>
      </c>
      <c r="F163" s="408" t="s">
        <v>607</v>
      </c>
      <c r="G163" s="409" t="s">
        <v>608</v>
      </c>
      <c r="H163" s="410" t="s">
        <v>259</v>
      </c>
      <c r="I163" s="410" t="s">
        <v>281</v>
      </c>
      <c r="J163" s="355" t="s">
        <v>1399</v>
      </c>
      <c r="K163" s="92" t="s">
        <v>1117</v>
      </c>
      <c r="L163" s="353" t="s">
        <v>52</v>
      </c>
      <c r="M163" s="423" t="s">
        <v>1505</v>
      </c>
      <c r="O163" s="355" t="s">
        <v>1581</v>
      </c>
      <c r="P163" s="95"/>
      <c r="Q163" s="96" t="s">
        <v>569</v>
      </c>
      <c r="R163" s="103" t="s">
        <v>1270</v>
      </c>
      <c r="S163" s="97"/>
      <c r="T163" s="423" t="s">
        <v>182</v>
      </c>
      <c r="V163" s="432">
        <f t="shared" si="8"/>
        <v>0</v>
      </c>
      <c r="W163" s="288" t="s">
        <v>835</v>
      </c>
      <c r="X163" s="288" t="s">
        <v>1189</v>
      </c>
      <c r="Y163" s="288" t="s">
        <v>275</v>
      </c>
      <c r="Z163" s="325" t="s">
        <v>265</v>
      </c>
      <c r="AA163" s="94" t="s">
        <v>266</v>
      </c>
      <c r="AB163" s="94" t="s">
        <v>266</v>
      </c>
      <c r="AC163" s="94" t="s">
        <v>266</v>
      </c>
      <c r="AD163" s="94" t="s">
        <v>266</v>
      </c>
    </row>
    <row r="164" spans="1:30" ht="45">
      <c r="A164" s="338" t="s">
        <v>1500</v>
      </c>
      <c r="B164" s="384" t="s">
        <v>1660</v>
      </c>
      <c r="C164" s="387" t="s">
        <v>570</v>
      </c>
      <c r="D164" s="351" t="s">
        <v>603</v>
      </c>
      <c r="E164" s="388" t="s">
        <v>604</v>
      </c>
      <c r="F164" s="408" t="s">
        <v>609</v>
      </c>
      <c r="G164" s="409" t="s">
        <v>610</v>
      </c>
      <c r="H164" s="410" t="s">
        <v>318</v>
      </c>
      <c r="I164" s="410" t="s">
        <v>281</v>
      </c>
      <c r="J164" s="355" t="s">
        <v>1393</v>
      </c>
      <c r="K164" s="101" t="s">
        <v>1109</v>
      </c>
      <c r="L164" s="353" t="s">
        <v>52</v>
      </c>
      <c r="M164" s="423" t="s">
        <v>1505</v>
      </c>
      <c r="O164" s="355" t="s">
        <v>1583</v>
      </c>
      <c r="P164" s="95"/>
      <c r="Q164" s="96" t="s">
        <v>569</v>
      </c>
      <c r="R164" s="288" t="s">
        <v>1119</v>
      </c>
      <c r="S164" s="97">
        <v>2</v>
      </c>
      <c r="T164" s="423">
        <v>4</v>
      </c>
      <c r="V164" s="432">
        <f t="shared" si="8"/>
        <v>0</v>
      </c>
      <c r="W164" s="288" t="s">
        <v>263</v>
      </c>
      <c r="X164" s="288" t="str">
        <f>IF(W164=Llistes!$B$18,Llistes!$D$18,IF(W164=Llistes!$B$20,Llistes!$D$20,IF(W164=Llistes!$B$22,Llistes!$D$22,IF(W164=Llistes!$B$23,Llistes!$D$23,IF(W164=Llistes!$B$24,Llistes!$D$24,IF(W164=Llistes!$B$28,Llistes!$D$28))))))</f>
        <v>Tècnic coordinador</v>
      </c>
      <c r="Y164" s="288" t="s">
        <v>275</v>
      </c>
      <c r="Z164" s="325" t="s">
        <v>265</v>
      </c>
      <c r="AA164" s="94" t="s">
        <v>266</v>
      </c>
      <c r="AB164" s="94" t="s">
        <v>266</v>
      </c>
      <c r="AC164" s="94" t="s">
        <v>266</v>
      </c>
      <c r="AD164" s="94" t="s">
        <v>266</v>
      </c>
    </row>
    <row r="165" spans="1:30" ht="45">
      <c r="A165" s="338" t="s">
        <v>1500</v>
      </c>
      <c r="B165" s="384" t="s">
        <v>1660</v>
      </c>
      <c r="C165" s="387" t="s">
        <v>570</v>
      </c>
      <c r="D165" s="351" t="s">
        <v>603</v>
      </c>
      <c r="E165" s="388" t="s">
        <v>604</v>
      </c>
      <c r="F165" s="408" t="s">
        <v>609</v>
      </c>
      <c r="G165" s="409" t="s">
        <v>610</v>
      </c>
      <c r="H165" s="410" t="s">
        <v>318</v>
      </c>
      <c r="I165" s="410" t="s">
        <v>281</v>
      </c>
      <c r="J165" s="355" t="s">
        <v>1393</v>
      </c>
      <c r="K165" s="101" t="s">
        <v>1109</v>
      </c>
      <c r="L165" s="353" t="s">
        <v>52</v>
      </c>
      <c r="M165" s="423" t="s">
        <v>1505</v>
      </c>
      <c r="O165" s="355" t="s">
        <v>1581</v>
      </c>
      <c r="P165" s="95"/>
      <c r="Q165" s="96" t="s">
        <v>569</v>
      </c>
      <c r="R165" s="103" t="s">
        <v>1270</v>
      </c>
      <c r="S165" s="97"/>
      <c r="T165" s="423" t="s">
        <v>182</v>
      </c>
      <c r="V165" s="432">
        <f t="shared" si="8"/>
        <v>0</v>
      </c>
      <c r="W165" s="288" t="s">
        <v>263</v>
      </c>
      <c r="X165" s="288" t="str">
        <f>IF(W165=Llistes!$B$18,Llistes!$D$18,IF(W165=Llistes!$B$20,Llistes!$D$20,IF(W165=Llistes!$B$22,Llistes!$D$22,IF(W165=Llistes!$B$23,Llistes!$D$23,IF(W165=Llistes!$B$24,Llistes!$D$24,IF(W165=Llistes!$B$28,Llistes!$D$28))))))</f>
        <v>Tècnic coordinador</v>
      </c>
      <c r="Y165" s="288" t="s">
        <v>275</v>
      </c>
      <c r="Z165" s="325" t="s">
        <v>265</v>
      </c>
      <c r="AA165" s="94" t="s">
        <v>266</v>
      </c>
      <c r="AB165" s="94" t="s">
        <v>266</v>
      </c>
      <c r="AC165" s="94" t="s">
        <v>266</v>
      </c>
      <c r="AD165" s="94" t="s">
        <v>266</v>
      </c>
    </row>
    <row r="166" spans="1:30" ht="45">
      <c r="A166" s="338" t="s">
        <v>1500</v>
      </c>
      <c r="B166" s="384" t="s">
        <v>1660</v>
      </c>
      <c r="C166" s="387" t="s">
        <v>570</v>
      </c>
      <c r="D166" s="351" t="s">
        <v>603</v>
      </c>
      <c r="E166" s="388" t="s">
        <v>604</v>
      </c>
      <c r="F166" s="408" t="s">
        <v>611</v>
      </c>
      <c r="G166" s="409" t="s">
        <v>612</v>
      </c>
      <c r="H166" s="410" t="s">
        <v>259</v>
      </c>
      <c r="I166" s="410" t="s">
        <v>281</v>
      </c>
      <c r="J166" s="355" t="s">
        <v>1392</v>
      </c>
      <c r="K166" s="101" t="s">
        <v>1109</v>
      </c>
      <c r="L166" s="353"/>
      <c r="M166" s="423" t="s">
        <v>1505</v>
      </c>
      <c r="O166" s="355"/>
      <c r="P166" s="95"/>
      <c r="Q166" s="96" t="s">
        <v>569</v>
      </c>
      <c r="S166" s="97"/>
      <c r="V166" s="432">
        <f t="shared" si="8"/>
        <v>0</v>
      </c>
      <c r="W166" s="288"/>
      <c r="X166" s="288"/>
    </row>
    <row r="167" spans="1:30" ht="45">
      <c r="A167" s="338" t="s">
        <v>1500</v>
      </c>
      <c r="B167" s="384" t="s">
        <v>1660</v>
      </c>
      <c r="C167" s="387" t="s">
        <v>570</v>
      </c>
      <c r="D167" s="351" t="s">
        <v>603</v>
      </c>
      <c r="E167" s="388" t="s">
        <v>604</v>
      </c>
      <c r="F167" s="408" t="s">
        <v>613</v>
      </c>
      <c r="G167" s="409" t="s">
        <v>1174</v>
      </c>
      <c r="H167" s="410" t="s">
        <v>259</v>
      </c>
      <c r="I167" s="410" t="s">
        <v>281</v>
      </c>
      <c r="J167" s="355" t="s">
        <v>1391</v>
      </c>
      <c r="K167" s="101" t="s">
        <v>1109</v>
      </c>
      <c r="L167" s="353" t="s">
        <v>52</v>
      </c>
      <c r="M167" s="423" t="s">
        <v>1505</v>
      </c>
      <c r="O167" s="355" t="s">
        <v>1584</v>
      </c>
      <c r="P167" s="95"/>
      <c r="Q167" s="96" t="s">
        <v>569</v>
      </c>
      <c r="R167" s="103" t="s">
        <v>1270</v>
      </c>
      <c r="S167" s="97"/>
      <c r="T167" s="423" t="s">
        <v>182</v>
      </c>
      <c r="V167" s="432">
        <f t="shared" si="8"/>
        <v>0</v>
      </c>
      <c r="W167" s="288" t="s">
        <v>263</v>
      </c>
      <c r="X167" s="288" t="str">
        <f>IF(W167=Llistes!$B$18,Llistes!$D$18,IF(W167=Llistes!$B$20,Llistes!$D$20,IF(W167=Llistes!$B$22,Llistes!$D$22,IF(W167=Llistes!$B$23,Llistes!$D$23,IF(W167=Llistes!$B$24,Llistes!$D$24,IF(W167=Llistes!$B$28,Llistes!$D$28))))))</f>
        <v>Tècnic coordinador</v>
      </c>
      <c r="Y167" s="288" t="s">
        <v>275</v>
      </c>
      <c r="Z167" s="325" t="s">
        <v>265</v>
      </c>
      <c r="AA167" s="94" t="s">
        <v>266</v>
      </c>
      <c r="AB167" s="94" t="s">
        <v>266</v>
      </c>
      <c r="AC167" s="94" t="s">
        <v>266</v>
      </c>
      <c r="AD167" s="94" t="s">
        <v>266</v>
      </c>
    </row>
    <row r="168" spans="1:30" ht="45">
      <c r="A168" s="338" t="s">
        <v>1500</v>
      </c>
      <c r="B168" s="384" t="s">
        <v>1660</v>
      </c>
      <c r="C168" s="387" t="s">
        <v>570</v>
      </c>
      <c r="D168" s="351" t="s">
        <v>614</v>
      </c>
      <c r="E168" s="388" t="s">
        <v>615</v>
      </c>
      <c r="F168" s="408" t="s">
        <v>616</v>
      </c>
      <c r="G168" s="409" t="s">
        <v>617</v>
      </c>
      <c r="H168" s="410" t="s">
        <v>259</v>
      </c>
      <c r="I168" s="410" t="s">
        <v>281</v>
      </c>
      <c r="J168" s="355" t="s">
        <v>1390</v>
      </c>
      <c r="K168" s="101" t="s">
        <v>1052</v>
      </c>
      <c r="L168" s="353"/>
      <c r="M168" s="423" t="s">
        <v>1503</v>
      </c>
      <c r="O168" s="355"/>
      <c r="P168" s="95"/>
      <c r="Q168" s="96"/>
      <c r="S168" s="97"/>
      <c r="V168" s="432">
        <f t="shared" si="8"/>
        <v>0</v>
      </c>
      <c r="W168" s="288"/>
      <c r="X168" s="288"/>
    </row>
    <row r="169" spans="1:30" ht="60">
      <c r="A169" s="338" t="s">
        <v>1500</v>
      </c>
      <c r="B169" s="384" t="s">
        <v>1660</v>
      </c>
      <c r="C169" s="387" t="s">
        <v>570</v>
      </c>
      <c r="D169" s="351" t="s">
        <v>614</v>
      </c>
      <c r="E169" s="388" t="s">
        <v>615</v>
      </c>
      <c r="F169" s="408" t="s">
        <v>618</v>
      </c>
      <c r="G169" s="409" t="s">
        <v>619</v>
      </c>
      <c r="H169" s="410" t="s">
        <v>259</v>
      </c>
      <c r="I169" s="410" t="s">
        <v>281</v>
      </c>
      <c r="J169" s="355" t="s">
        <v>1389</v>
      </c>
      <c r="L169" s="426" t="s">
        <v>52</v>
      </c>
      <c r="M169" s="423" t="s">
        <v>1504</v>
      </c>
      <c r="O169" s="358" t="s">
        <v>1585</v>
      </c>
      <c r="P169" s="95"/>
      <c r="Q169" s="96"/>
      <c r="R169" s="103" t="s">
        <v>1270</v>
      </c>
      <c r="S169" s="97"/>
      <c r="T169" s="423" t="s">
        <v>182</v>
      </c>
      <c r="V169" s="432">
        <f t="shared" si="8"/>
        <v>0</v>
      </c>
      <c r="W169" s="288" t="s">
        <v>263</v>
      </c>
      <c r="X169" s="288" t="str">
        <f>IF(W169=Llistes!$B$18,Llistes!$D$18,IF(W169=Llistes!$B$20,Llistes!$D$20,IF(W169=Llistes!$B$22,Llistes!$D$22,IF(W169=Llistes!$B$23,Llistes!$D$23,IF(W169=Llistes!$B$24,Llistes!$D$24,IF(W169=Llistes!$B$28,Llistes!$D$28))))))</f>
        <v>Tècnic coordinador</v>
      </c>
      <c r="Y169" s="288" t="s">
        <v>275</v>
      </c>
      <c r="Z169" s="325" t="s">
        <v>265</v>
      </c>
      <c r="AC169" s="94" t="s">
        <v>266</v>
      </c>
    </row>
    <row r="170" spans="1:30" ht="45">
      <c r="A170" s="338" t="s">
        <v>1500</v>
      </c>
      <c r="B170" s="384" t="s">
        <v>1660</v>
      </c>
      <c r="C170" s="387" t="s">
        <v>570</v>
      </c>
      <c r="D170" s="351" t="s">
        <v>620</v>
      </c>
      <c r="E170" s="388" t="s">
        <v>621</v>
      </c>
      <c r="F170" s="408" t="s">
        <v>622</v>
      </c>
      <c r="G170" s="409" t="s">
        <v>623</v>
      </c>
      <c r="H170" s="410" t="s">
        <v>259</v>
      </c>
      <c r="I170" s="410" t="s">
        <v>281</v>
      </c>
      <c r="J170" s="355" t="s">
        <v>1388</v>
      </c>
      <c r="L170" s="426" t="s">
        <v>52</v>
      </c>
      <c r="M170" s="423" t="s">
        <v>1504</v>
      </c>
      <c r="O170" s="355" t="s">
        <v>1586</v>
      </c>
      <c r="P170" s="95"/>
      <c r="Q170" s="96"/>
      <c r="R170" s="103" t="s">
        <v>1270</v>
      </c>
      <c r="S170" s="97"/>
      <c r="T170" s="423" t="s">
        <v>182</v>
      </c>
      <c r="V170" s="432">
        <f t="shared" si="8"/>
        <v>0</v>
      </c>
      <c r="W170" s="288" t="s">
        <v>263</v>
      </c>
      <c r="X170" s="288" t="str">
        <f>IF(W170=Llistes!$B$18,Llistes!$D$18,IF(W170=Llistes!$B$20,Llistes!$D$20,IF(W170=Llistes!$B$22,Llistes!$D$22,IF(W170=Llistes!$B$23,Llistes!$D$23,IF(W170=Llistes!$B$24,Llistes!$D$24,IF(W170=Llistes!$B$28,Llistes!$D$28))))))</f>
        <v>Tècnic coordinador</v>
      </c>
      <c r="Y170" s="288" t="s">
        <v>264</v>
      </c>
      <c r="Z170" s="325" t="s">
        <v>265</v>
      </c>
      <c r="AB170" s="94" t="s">
        <v>266</v>
      </c>
      <c r="AC170" s="94" t="s">
        <v>266</v>
      </c>
      <c r="AD170" s="94" t="s">
        <v>266</v>
      </c>
    </row>
    <row r="171" spans="1:30" ht="45">
      <c r="A171" s="338" t="s">
        <v>1500</v>
      </c>
      <c r="B171" s="384" t="s">
        <v>1660</v>
      </c>
      <c r="C171" s="387" t="s">
        <v>570</v>
      </c>
      <c r="D171" s="351" t="s">
        <v>620</v>
      </c>
      <c r="E171" s="388" t="s">
        <v>621</v>
      </c>
      <c r="F171" s="408" t="s">
        <v>624</v>
      </c>
      <c r="G171" s="409" t="s">
        <v>625</v>
      </c>
      <c r="H171" s="410" t="s">
        <v>259</v>
      </c>
      <c r="I171" s="410" t="s">
        <v>281</v>
      </c>
      <c r="J171" s="355" t="s">
        <v>1387</v>
      </c>
      <c r="K171" s="101"/>
      <c r="L171" s="426" t="s">
        <v>52</v>
      </c>
      <c r="M171" s="423" t="s">
        <v>1505</v>
      </c>
      <c r="O171" s="355" t="s">
        <v>1587</v>
      </c>
      <c r="P171" s="100" t="s">
        <v>308</v>
      </c>
      <c r="Q171" s="90" t="s">
        <v>626</v>
      </c>
      <c r="R171" s="103" t="s">
        <v>1270</v>
      </c>
      <c r="S171" s="97"/>
      <c r="T171" s="423" t="s">
        <v>182</v>
      </c>
      <c r="V171" s="432">
        <f t="shared" si="8"/>
        <v>0</v>
      </c>
      <c r="W171" s="288" t="s">
        <v>263</v>
      </c>
      <c r="X171" s="288" t="str">
        <f>IF(W171=Llistes!$B$18,Llistes!$D$18,IF(W171=Llistes!$B$20,Llistes!$D$20,IF(W171=Llistes!$B$22,Llistes!$D$22,IF(W171=Llistes!$B$23,Llistes!$D$23,IF(W171=Llistes!$B$24,Llistes!$D$24,IF(W171=Llistes!$B$28,Llistes!$D$28))))))</f>
        <v>Tècnic coordinador</v>
      </c>
      <c r="Y171" s="288" t="s">
        <v>264</v>
      </c>
      <c r="Z171" s="325" t="s">
        <v>265</v>
      </c>
      <c r="AA171" s="94" t="s">
        <v>266</v>
      </c>
    </row>
    <row r="172" spans="1:30" ht="45">
      <c r="A172" s="338" t="s">
        <v>1500</v>
      </c>
      <c r="B172" s="384" t="s">
        <v>1660</v>
      </c>
      <c r="C172" s="387" t="s">
        <v>570</v>
      </c>
      <c r="D172" s="351" t="s">
        <v>620</v>
      </c>
      <c r="E172" s="388" t="s">
        <v>621</v>
      </c>
      <c r="F172" s="408" t="s">
        <v>624</v>
      </c>
      <c r="G172" s="409" t="s">
        <v>625</v>
      </c>
      <c r="H172" s="410" t="s">
        <v>259</v>
      </c>
      <c r="I172" s="410" t="s">
        <v>281</v>
      </c>
      <c r="J172" s="355" t="s">
        <v>1387</v>
      </c>
      <c r="K172" s="101"/>
      <c r="L172" s="353" t="s">
        <v>52</v>
      </c>
      <c r="M172" s="423" t="s">
        <v>1505</v>
      </c>
      <c r="O172" s="355" t="s">
        <v>1588</v>
      </c>
      <c r="P172" s="100" t="s">
        <v>308</v>
      </c>
      <c r="Q172" s="90" t="s">
        <v>626</v>
      </c>
      <c r="R172" s="103" t="s">
        <v>1270</v>
      </c>
      <c r="S172" s="97"/>
      <c r="T172" s="423" t="s">
        <v>182</v>
      </c>
      <c r="V172" s="432">
        <f t="shared" si="8"/>
        <v>0</v>
      </c>
      <c r="W172" s="288" t="s">
        <v>835</v>
      </c>
      <c r="X172" s="288" t="s">
        <v>1189</v>
      </c>
      <c r="Y172" s="288" t="s">
        <v>264</v>
      </c>
      <c r="Z172" s="325" t="s">
        <v>265</v>
      </c>
      <c r="AA172" s="94" t="s">
        <v>266</v>
      </c>
      <c r="AB172" s="94" t="s">
        <v>266</v>
      </c>
      <c r="AC172" s="94" t="s">
        <v>266</v>
      </c>
      <c r="AD172" s="94" t="s">
        <v>266</v>
      </c>
    </row>
    <row r="173" spans="1:30" ht="45">
      <c r="A173" s="338" t="s">
        <v>1500</v>
      </c>
      <c r="B173" s="384" t="s">
        <v>1660</v>
      </c>
      <c r="C173" s="387" t="s">
        <v>570</v>
      </c>
      <c r="D173" s="351" t="s">
        <v>627</v>
      </c>
      <c r="E173" s="388" t="s">
        <v>628</v>
      </c>
      <c r="F173" s="408" t="s">
        <v>629</v>
      </c>
      <c r="G173" s="409" t="s">
        <v>630</v>
      </c>
      <c r="H173" s="410" t="s">
        <v>259</v>
      </c>
      <c r="I173" s="410" t="s">
        <v>346</v>
      </c>
      <c r="J173" s="355" t="s">
        <v>1386</v>
      </c>
      <c r="K173" s="101" t="s">
        <v>1122</v>
      </c>
      <c r="L173" s="353"/>
      <c r="M173" s="423" t="s">
        <v>1505</v>
      </c>
      <c r="O173" s="355"/>
      <c r="P173" s="95"/>
      <c r="Q173" s="96"/>
      <c r="S173" s="97"/>
      <c r="V173" s="432">
        <f t="shared" si="8"/>
        <v>0</v>
      </c>
      <c r="W173" s="288"/>
      <c r="X173" s="288"/>
    </row>
    <row r="174" spans="1:30" ht="56.25" customHeight="1">
      <c r="A174" s="338" t="s">
        <v>1500</v>
      </c>
      <c r="B174" s="384" t="s">
        <v>1660</v>
      </c>
      <c r="C174" s="387" t="s">
        <v>570</v>
      </c>
      <c r="D174" s="351" t="s">
        <v>627</v>
      </c>
      <c r="E174" s="388" t="s">
        <v>628</v>
      </c>
      <c r="F174" s="408" t="s">
        <v>631</v>
      </c>
      <c r="G174" s="411" t="s">
        <v>632</v>
      </c>
      <c r="H174" s="410" t="s">
        <v>259</v>
      </c>
      <c r="I174" s="410" t="s">
        <v>346</v>
      </c>
      <c r="J174" s="355" t="s">
        <v>1385</v>
      </c>
      <c r="K174" s="101" t="s">
        <v>1123</v>
      </c>
      <c r="L174" s="353" t="s">
        <v>52</v>
      </c>
      <c r="M174" s="423" t="s">
        <v>1503</v>
      </c>
      <c r="O174" s="355" t="s">
        <v>1242</v>
      </c>
      <c r="P174" s="95"/>
      <c r="Q174" s="96"/>
      <c r="R174" s="103" t="s">
        <v>1270</v>
      </c>
      <c r="S174" s="97"/>
      <c r="T174" s="423" t="s">
        <v>182</v>
      </c>
      <c r="V174" s="432">
        <f t="shared" si="8"/>
        <v>0</v>
      </c>
      <c r="W174" s="288" t="s">
        <v>263</v>
      </c>
      <c r="X174" s="288" t="str">
        <f>IF(W174=Llistes!$B$18,Llistes!$D$18,IF(W174=Llistes!$B$20,Llistes!$D$20,IF(W174=Llistes!$B$22,Llistes!$D$22,IF(W174=Llistes!$B$23,Llistes!$D$23,IF(W174=Llistes!$B$24,Llistes!$D$24,IF(W174=Llistes!$B$28,Llistes!$D$28))))))</f>
        <v>Tècnic coordinador</v>
      </c>
      <c r="Y174" s="288" t="s">
        <v>275</v>
      </c>
      <c r="Z174" s="325" t="s">
        <v>265</v>
      </c>
      <c r="AA174" s="94" t="s">
        <v>266</v>
      </c>
      <c r="AB174" s="94" t="s">
        <v>266</v>
      </c>
      <c r="AC174" s="94" t="s">
        <v>266</v>
      </c>
      <c r="AD174" s="94" t="s">
        <v>266</v>
      </c>
    </row>
    <row r="175" spans="1:30" ht="44.45" customHeight="1">
      <c r="A175" s="338" t="s">
        <v>1500</v>
      </c>
      <c r="B175" s="384" t="s">
        <v>1660</v>
      </c>
      <c r="C175" s="387" t="s">
        <v>570</v>
      </c>
      <c r="D175" s="351" t="s">
        <v>633</v>
      </c>
      <c r="E175" s="388" t="s">
        <v>1175</v>
      </c>
      <c r="F175" s="408" t="s">
        <v>634</v>
      </c>
      <c r="G175" s="409" t="s">
        <v>635</v>
      </c>
      <c r="H175" s="410" t="s">
        <v>259</v>
      </c>
      <c r="I175" s="410" t="s">
        <v>281</v>
      </c>
      <c r="J175" s="355" t="s">
        <v>1384</v>
      </c>
      <c r="L175" s="353" t="s">
        <v>52</v>
      </c>
      <c r="M175" s="423" t="s">
        <v>1503</v>
      </c>
      <c r="O175" s="355" t="s">
        <v>1709</v>
      </c>
      <c r="P175" s="95"/>
      <c r="Q175" s="96"/>
      <c r="R175" s="103" t="s">
        <v>1270</v>
      </c>
      <c r="S175" s="97"/>
      <c r="T175" s="423" t="s">
        <v>182</v>
      </c>
      <c r="V175" s="432">
        <f t="shared" si="8"/>
        <v>0</v>
      </c>
      <c r="W175" s="288" t="s">
        <v>835</v>
      </c>
      <c r="X175" s="288" t="s">
        <v>1189</v>
      </c>
      <c r="Y175" s="288" t="s">
        <v>264</v>
      </c>
      <c r="Z175" s="325" t="s">
        <v>265</v>
      </c>
      <c r="AB175" s="94" t="s">
        <v>266</v>
      </c>
    </row>
    <row r="176" spans="1:30" ht="60">
      <c r="A176" s="338" t="s">
        <v>1500</v>
      </c>
      <c r="B176" s="384" t="s">
        <v>1660</v>
      </c>
      <c r="C176" s="387" t="s">
        <v>570</v>
      </c>
      <c r="D176" s="351" t="s">
        <v>633</v>
      </c>
      <c r="E176" s="388" t="s">
        <v>1175</v>
      </c>
      <c r="F176" s="408" t="s">
        <v>636</v>
      </c>
      <c r="G176" s="411" t="s">
        <v>637</v>
      </c>
      <c r="H176" s="410" t="s">
        <v>259</v>
      </c>
      <c r="I176" s="410" t="s">
        <v>281</v>
      </c>
      <c r="J176" s="355" t="s">
        <v>1383</v>
      </c>
      <c r="L176" s="353" t="s">
        <v>52</v>
      </c>
      <c r="M176" s="423" t="s">
        <v>1504</v>
      </c>
      <c r="O176" s="355" t="s">
        <v>1589</v>
      </c>
      <c r="P176" s="95"/>
      <c r="Q176" s="96"/>
      <c r="R176" s="103" t="s">
        <v>1270</v>
      </c>
      <c r="S176" s="97"/>
      <c r="T176" s="423" t="s">
        <v>182</v>
      </c>
      <c r="V176" s="432">
        <f t="shared" si="8"/>
        <v>0</v>
      </c>
      <c r="W176" s="288" t="s">
        <v>835</v>
      </c>
      <c r="X176" s="288" t="s">
        <v>1189</v>
      </c>
      <c r="Y176" s="288" t="s">
        <v>264</v>
      </c>
      <c r="Z176" s="325" t="s">
        <v>265</v>
      </c>
      <c r="AA176" s="94" t="s">
        <v>266</v>
      </c>
      <c r="AB176" s="94" t="s">
        <v>266</v>
      </c>
      <c r="AC176" s="94" t="s">
        <v>266</v>
      </c>
      <c r="AD176" s="94" t="s">
        <v>266</v>
      </c>
    </row>
    <row r="177" spans="1:30" ht="60">
      <c r="A177" s="338" t="s">
        <v>1500</v>
      </c>
      <c r="B177" s="384" t="s">
        <v>1660</v>
      </c>
      <c r="C177" s="387" t="s">
        <v>570</v>
      </c>
      <c r="D177" s="351" t="s">
        <v>633</v>
      </c>
      <c r="E177" s="388" t="s">
        <v>1175</v>
      </c>
      <c r="F177" s="408" t="s">
        <v>636</v>
      </c>
      <c r="G177" s="411" t="s">
        <v>637</v>
      </c>
      <c r="H177" s="410" t="s">
        <v>259</v>
      </c>
      <c r="I177" s="410" t="s">
        <v>281</v>
      </c>
      <c r="J177" s="355" t="s">
        <v>1383</v>
      </c>
      <c r="L177" s="353" t="s">
        <v>52</v>
      </c>
      <c r="M177" s="423" t="s">
        <v>1504</v>
      </c>
      <c r="O177" s="355" t="s">
        <v>1590</v>
      </c>
      <c r="P177" s="95"/>
      <c r="Q177" s="96"/>
      <c r="R177" s="103" t="s">
        <v>1270</v>
      </c>
      <c r="S177" s="97"/>
      <c r="T177" s="423" t="s">
        <v>182</v>
      </c>
      <c r="V177" s="432">
        <f t="shared" si="8"/>
        <v>0</v>
      </c>
      <c r="W177" s="288" t="s">
        <v>835</v>
      </c>
      <c r="X177" s="288" t="s">
        <v>1189</v>
      </c>
      <c r="Y177" s="288" t="s">
        <v>264</v>
      </c>
      <c r="Z177" s="325" t="s">
        <v>265</v>
      </c>
      <c r="AA177" s="94" t="s">
        <v>266</v>
      </c>
      <c r="AB177" s="94" t="s">
        <v>266</v>
      </c>
      <c r="AC177" s="94" t="s">
        <v>266</v>
      </c>
      <c r="AD177" s="94" t="s">
        <v>266</v>
      </c>
    </row>
    <row r="178" spans="1:30" ht="60">
      <c r="A178" s="338" t="s">
        <v>1500</v>
      </c>
      <c r="B178" s="384" t="s">
        <v>1660</v>
      </c>
      <c r="C178" s="387" t="s">
        <v>570</v>
      </c>
      <c r="D178" s="351" t="s">
        <v>633</v>
      </c>
      <c r="E178" s="388" t="s">
        <v>1175</v>
      </c>
      <c r="F178" s="408" t="s">
        <v>636</v>
      </c>
      <c r="G178" s="411" t="s">
        <v>637</v>
      </c>
      <c r="H178" s="410" t="s">
        <v>259</v>
      </c>
      <c r="I178" s="410" t="s">
        <v>281</v>
      </c>
      <c r="J178" s="355" t="s">
        <v>1383</v>
      </c>
      <c r="L178" s="353" t="s">
        <v>52</v>
      </c>
      <c r="M178" s="423" t="s">
        <v>1504</v>
      </c>
      <c r="O178" s="355" t="s">
        <v>1591</v>
      </c>
      <c r="P178" s="95"/>
      <c r="Q178" s="96"/>
      <c r="R178" s="103" t="s">
        <v>1270</v>
      </c>
      <c r="S178" s="97"/>
      <c r="T178" s="423" t="s">
        <v>182</v>
      </c>
      <c r="V178" s="432">
        <f t="shared" si="8"/>
        <v>0</v>
      </c>
      <c r="W178" s="288" t="s">
        <v>835</v>
      </c>
      <c r="X178" s="288" t="s">
        <v>1189</v>
      </c>
      <c r="Y178" s="288" t="s">
        <v>264</v>
      </c>
      <c r="Z178" s="325" t="s">
        <v>265</v>
      </c>
      <c r="AA178" s="94" t="s">
        <v>266</v>
      </c>
      <c r="AB178" s="94" t="s">
        <v>266</v>
      </c>
      <c r="AC178" s="94" t="s">
        <v>266</v>
      </c>
      <c r="AD178" s="94" t="s">
        <v>266</v>
      </c>
    </row>
    <row r="179" spans="1:30" ht="60">
      <c r="A179" s="338" t="s">
        <v>1500</v>
      </c>
      <c r="B179" s="384" t="s">
        <v>1660</v>
      </c>
      <c r="C179" s="387" t="s">
        <v>570</v>
      </c>
      <c r="D179" s="351" t="s">
        <v>633</v>
      </c>
      <c r="E179" s="388" t="s">
        <v>1175</v>
      </c>
      <c r="F179" s="408" t="s">
        <v>636</v>
      </c>
      <c r="G179" s="411" t="s">
        <v>637</v>
      </c>
      <c r="H179" s="410" t="s">
        <v>259</v>
      </c>
      <c r="I179" s="410" t="s">
        <v>281</v>
      </c>
      <c r="J179" s="355" t="s">
        <v>1383</v>
      </c>
      <c r="L179" s="353" t="s">
        <v>52</v>
      </c>
      <c r="M179" s="423" t="s">
        <v>1504</v>
      </c>
      <c r="O179" s="355" t="s">
        <v>1592</v>
      </c>
      <c r="P179" s="95"/>
      <c r="Q179" s="96"/>
      <c r="R179" s="103" t="s">
        <v>1270</v>
      </c>
      <c r="S179" s="97"/>
      <c r="T179" s="423" t="s">
        <v>182</v>
      </c>
      <c r="V179" s="432">
        <f t="shared" si="8"/>
        <v>0</v>
      </c>
      <c r="W179" s="288" t="s">
        <v>835</v>
      </c>
      <c r="X179" s="288" t="s">
        <v>1189</v>
      </c>
      <c r="Y179" s="288" t="s">
        <v>264</v>
      </c>
      <c r="Z179" s="325" t="s">
        <v>265</v>
      </c>
      <c r="AA179" s="94" t="s">
        <v>266</v>
      </c>
      <c r="AB179" s="94" t="s">
        <v>266</v>
      </c>
      <c r="AC179" s="94" t="s">
        <v>266</v>
      </c>
      <c r="AD179" s="94" t="s">
        <v>266</v>
      </c>
    </row>
    <row r="180" spans="1:30" ht="60">
      <c r="A180" s="338" t="s">
        <v>1500</v>
      </c>
      <c r="B180" s="384" t="s">
        <v>1660</v>
      </c>
      <c r="C180" s="387" t="s">
        <v>570</v>
      </c>
      <c r="D180" s="351" t="s">
        <v>633</v>
      </c>
      <c r="E180" s="388" t="s">
        <v>1175</v>
      </c>
      <c r="F180" s="408" t="s">
        <v>636</v>
      </c>
      <c r="G180" s="411" t="s">
        <v>637</v>
      </c>
      <c r="H180" s="410" t="s">
        <v>259</v>
      </c>
      <c r="I180" s="410" t="s">
        <v>281</v>
      </c>
      <c r="J180" s="355" t="s">
        <v>1383</v>
      </c>
      <c r="L180" s="353" t="s">
        <v>52</v>
      </c>
      <c r="M180" s="423" t="s">
        <v>1504</v>
      </c>
      <c r="O180" s="355" t="s">
        <v>1593</v>
      </c>
      <c r="P180" s="95"/>
      <c r="Q180" s="96"/>
      <c r="R180" s="103" t="s">
        <v>1270</v>
      </c>
      <c r="S180" s="97"/>
      <c r="T180" s="423" t="s">
        <v>182</v>
      </c>
      <c r="V180" s="432">
        <f t="shared" si="8"/>
        <v>0</v>
      </c>
      <c r="W180" s="288" t="s">
        <v>835</v>
      </c>
      <c r="X180" s="288" t="s">
        <v>1189</v>
      </c>
      <c r="Y180" s="288" t="s">
        <v>264</v>
      </c>
      <c r="Z180" s="325" t="s">
        <v>265</v>
      </c>
      <c r="AA180" s="94" t="s">
        <v>266</v>
      </c>
      <c r="AB180" s="94" t="s">
        <v>266</v>
      </c>
      <c r="AC180" s="94" t="s">
        <v>266</v>
      </c>
      <c r="AD180" s="94" t="s">
        <v>266</v>
      </c>
    </row>
    <row r="181" spans="1:30" ht="60">
      <c r="A181" s="338" t="s">
        <v>1500</v>
      </c>
      <c r="B181" s="384" t="s">
        <v>1660</v>
      </c>
      <c r="C181" s="387" t="s">
        <v>570</v>
      </c>
      <c r="D181" s="351" t="s">
        <v>633</v>
      </c>
      <c r="E181" s="388" t="s">
        <v>1175</v>
      </c>
      <c r="F181" s="408" t="s">
        <v>636</v>
      </c>
      <c r="G181" s="411" t="s">
        <v>637</v>
      </c>
      <c r="H181" s="410" t="s">
        <v>259</v>
      </c>
      <c r="I181" s="410" t="s">
        <v>281</v>
      </c>
      <c r="J181" s="355" t="s">
        <v>1383</v>
      </c>
      <c r="L181" s="353" t="s">
        <v>52</v>
      </c>
      <c r="M181" s="423" t="s">
        <v>1504</v>
      </c>
      <c r="O181" s="355" t="s">
        <v>1594</v>
      </c>
      <c r="P181" s="95"/>
      <c r="Q181" s="96"/>
      <c r="R181" s="103" t="s">
        <v>1270</v>
      </c>
      <c r="S181" s="97"/>
      <c r="T181" s="423" t="s">
        <v>182</v>
      </c>
      <c r="V181" s="432">
        <f t="shared" si="8"/>
        <v>0</v>
      </c>
      <c r="W181" s="288" t="s">
        <v>835</v>
      </c>
      <c r="X181" s="288" t="s">
        <v>1189</v>
      </c>
      <c r="Y181" s="288" t="s">
        <v>264</v>
      </c>
      <c r="Z181" s="325" t="s">
        <v>265</v>
      </c>
      <c r="AB181" s="94" t="s">
        <v>266</v>
      </c>
    </row>
    <row r="182" spans="1:30" ht="45">
      <c r="A182" s="338" t="s">
        <v>1500</v>
      </c>
      <c r="B182" s="384" t="s">
        <v>1660</v>
      </c>
      <c r="C182" s="387" t="s">
        <v>570</v>
      </c>
      <c r="D182" s="351" t="s">
        <v>633</v>
      </c>
      <c r="E182" s="388" t="s">
        <v>1175</v>
      </c>
      <c r="F182" s="408" t="s">
        <v>638</v>
      </c>
      <c r="G182" s="411" t="s">
        <v>639</v>
      </c>
      <c r="H182" s="410" t="s">
        <v>259</v>
      </c>
      <c r="I182" s="410" t="s">
        <v>281</v>
      </c>
      <c r="J182" s="355" t="s">
        <v>1382</v>
      </c>
      <c r="K182" s="101" t="s">
        <v>1052</v>
      </c>
      <c r="L182" s="427"/>
      <c r="M182" s="423" t="s">
        <v>1503</v>
      </c>
      <c r="O182" s="359"/>
      <c r="P182" s="95"/>
      <c r="Q182" s="90" t="s">
        <v>640</v>
      </c>
      <c r="S182" s="97"/>
      <c r="V182" s="432">
        <f t="shared" si="8"/>
        <v>0</v>
      </c>
      <c r="W182" s="288"/>
      <c r="X182" s="288"/>
    </row>
    <row r="183" spans="1:30" ht="45">
      <c r="A183" s="338" t="s">
        <v>1500</v>
      </c>
      <c r="B183" s="384" t="s">
        <v>1660</v>
      </c>
      <c r="C183" s="387" t="s">
        <v>570</v>
      </c>
      <c r="D183" s="351" t="s">
        <v>633</v>
      </c>
      <c r="E183" s="388" t="s">
        <v>1175</v>
      </c>
      <c r="F183" s="408" t="s">
        <v>641</v>
      </c>
      <c r="G183" s="411" t="s">
        <v>642</v>
      </c>
      <c r="H183" s="410" t="s">
        <v>259</v>
      </c>
      <c r="I183" s="410" t="s">
        <v>281</v>
      </c>
      <c r="J183" s="355" t="s">
        <v>1381</v>
      </c>
      <c r="K183" s="101" t="s">
        <v>1052</v>
      </c>
      <c r="L183" s="353"/>
      <c r="M183" s="423" t="s">
        <v>1504</v>
      </c>
      <c r="O183" s="355"/>
      <c r="P183" s="95" t="s">
        <v>270</v>
      </c>
      <c r="Q183" s="90" t="s">
        <v>643</v>
      </c>
      <c r="S183" s="97"/>
      <c r="V183" s="432">
        <f t="shared" si="8"/>
        <v>0</v>
      </c>
      <c r="W183" s="288"/>
      <c r="X183" s="288"/>
    </row>
    <row r="184" spans="1:30" ht="60">
      <c r="A184" s="338" t="s">
        <v>1500</v>
      </c>
      <c r="B184" s="384" t="s">
        <v>1660</v>
      </c>
      <c r="C184" s="387" t="s">
        <v>570</v>
      </c>
      <c r="D184" s="351" t="s">
        <v>644</v>
      </c>
      <c r="E184" s="388" t="s">
        <v>645</v>
      </c>
      <c r="F184" s="408" t="s">
        <v>646</v>
      </c>
      <c r="G184" s="409" t="s">
        <v>647</v>
      </c>
      <c r="H184" s="410" t="s">
        <v>259</v>
      </c>
      <c r="I184" s="410" t="s">
        <v>346</v>
      </c>
      <c r="J184" s="355" t="s">
        <v>1380</v>
      </c>
      <c r="K184" s="101" t="s">
        <v>1052</v>
      </c>
      <c r="L184" s="353"/>
      <c r="M184" s="423" t="s">
        <v>1505</v>
      </c>
      <c r="O184" s="355"/>
      <c r="P184" s="95"/>
      <c r="Q184" s="96"/>
      <c r="S184" s="97"/>
      <c r="V184" s="432">
        <f t="shared" si="8"/>
        <v>0</v>
      </c>
      <c r="W184" s="288"/>
      <c r="X184" s="288"/>
    </row>
    <row r="185" spans="1:30" ht="60">
      <c r="A185" s="338" t="s">
        <v>1500</v>
      </c>
      <c r="B185" s="384" t="s">
        <v>1660</v>
      </c>
      <c r="C185" s="387" t="s">
        <v>570</v>
      </c>
      <c r="D185" s="351" t="s">
        <v>644</v>
      </c>
      <c r="E185" s="388" t="s">
        <v>645</v>
      </c>
      <c r="F185" s="408" t="s">
        <v>648</v>
      </c>
      <c r="G185" s="409" t="s">
        <v>649</v>
      </c>
      <c r="H185" s="410" t="s">
        <v>259</v>
      </c>
      <c r="I185" s="410" t="s">
        <v>281</v>
      </c>
      <c r="J185" s="355" t="s">
        <v>1363</v>
      </c>
      <c r="L185" s="353" t="s">
        <v>52</v>
      </c>
      <c r="M185" s="423" t="s">
        <v>1505</v>
      </c>
      <c r="O185" s="355" t="s">
        <v>1595</v>
      </c>
      <c r="P185" s="95"/>
      <c r="Q185" s="96"/>
      <c r="R185" s="103" t="s">
        <v>1270</v>
      </c>
      <c r="S185" s="97"/>
      <c r="T185" s="423" t="s">
        <v>182</v>
      </c>
      <c r="V185" s="432">
        <f t="shared" si="8"/>
        <v>0</v>
      </c>
      <c r="W185" s="288" t="s">
        <v>263</v>
      </c>
      <c r="X185" s="288" t="str">
        <f>IF(W185=Llistes!$B$18,Llistes!$D$18,IF(W185=Llistes!$B$20,Llistes!$D$20,IF(W185=Llistes!$B$22,Llistes!$D$22,IF(W185=Llistes!$B$23,Llistes!$D$23,IF(W185=Llistes!$B$24,Llistes!$D$24,IF(W185=Llistes!$B$28,Llistes!$D$28))))))</f>
        <v>Tècnic coordinador</v>
      </c>
      <c r="Y185" s="288" t="s">
        <v>275</v>
      </c>
      <c r="Z185" s="325" t="s">
        <v>265</v>
      </c>
      <c r="AA185" s="94" t="s">
        <v>266</v>
      </c>
      <c r="AB185" s="94" t="s">
        <v>266</v>
      </c>
      <c r="AC185" s="94" t="s">
        <v>266</v>
      </c>
      <c r="AD185" s="94" t="s">
        <v>266</v>
      </c>
    </row>
    <row r="186" spans="1:30" ht="60">
      <c r="A186" s="338" t="s">
        <v>1500</v>
      </c>
      <c r="B186" s="384" t="s">
        <v>1660</v>
      </c>
      <c r="C186" s="387" t="s">
        <v>570</v>
      </c>
      <c r="D186" s="351" t="s">
        <v>644</v>
      </c>
      <c r="E186" s="388" t="s">
        <v>645</v>
      </c>
      <c r="F186" s="408" t="s">
        <v>650</v>
      </c>
      <c r="G186" s="409" t="s">
        <v>651</v>
      </c>
      <c r="H186" s="410" t="s">
        <v>259</v>
      </c>
      <c r="I186" s="410" t="s">
        <v>281</v>
      </c>
      <c r="J186" s="355" t="s">
        <v>1362</v>
      </c>
      <c r="L186" s="353" t="s">
        <v>52</v>
      </c>
      <c r="M186" s="423" t="s">
        <v>1505</v>
      </c>
      <c r="O186" s="355" t="s">
        <v>1596</v>
      </c>
      <c r="P186" s="95"/>
      <c r="Q186" s="96"/>
      <c r="R186" s="103" t="s">
        <v>1270</v>
      </c>
      <c r="S186" s="97"/>
      <c r="T186" s="423" t="s">
        <v>182</v>
      </c>
      <c r="V186" s="432">
        <f t="shared" si="8"/>
        <v>0</v>
      </c>
      <c r="W186" s="288" t="s">
        <v>835</v>
      </c>
      <c r="X186" s="288" t="s">
        <v>1189</v>
      </c>
      <c r="Y186" s="288" t="s">
        <v>275</v>
      </c>
      <c r="Z186" s="325" t="s">
        <v>265</v>
      </c>
      <c r="AA186" s="94" t="s">
        <v>266</v>
      </c>
      <c r="AB186" s="94" t="s">
        <v>266</v>
      </c>
      <c r="AC186" s="94" t="s">
        <v>266</v>
      </c>
      <c r="AD186" s="94" t="s">
        <v>266</v>
      </c>
    </row>
    <row r="187" spans="1:30" ht="45">
      <c r="A187" s="338" t="s">
        <v>1500</v>
      </c>
      <c r="B187" s="390" t="s">
        <v>1661</v>
      </c>
      <c r="C187" s="390" t="s">
        <v>652</v>
      </c>
      <c r="D187" s="351" t="s">
        <v>653</v>
      </c>
      <c r="E187" s="388" t="s">
        <v>654</v>
      </c>
      <c r="F187" s="408" t="s">
        <v>655</v>
      </c>
      <c r="G187" s="409" t="s">
        <v>656</v>
      </c>
      <c r="H187" s="410" t="s">
        <v>259</v>
      </c>
      <c r="I187" s="410" t="s">
        <v>281</v>
      </c>
      <c r="J187" s="355" t="s">
        <v>1361</v>
      </c>
      <c r="K187" s="101" t="s">
        <v>1109</v>
      </c>
      <c r="L187" s="353"/>
      <c r="M187" s="423" t="s">
        <v>1504</v>
      </c>
      <c r="O187" s="355"/>
      <c r="P187" s="95"/>
      <c r="Q187" s="96"/>
      <c r="S187" s="97"/>
      <c r="V187" s="432">
        <f t="shared" si="8"/>
        <v>0</v>
      </c>
      <c r="W187" s="288"/>
      <c r="X187" s="288"/>
    </row>
    <row r="188" spans="1:30" ht="45">
      <c r="A188" s="338" t="s">
        <v>1500</v>
      </c>
      <c r="B188" s="390" t="s">
        <v>1661</v>
      </c>
      <c r="C188" s="390" t="s">
        <v>652</v>
      </c>
      <c r="D188" s="351" t="s">
        <v>653</v>
      </c>
      <c r="E188" s="388" t="s">
        <v>654</v>
      </c>
      <c r="F188" s="408" t="s">
        <v>657</v>
      </c>
      <c r="G188" s="409" t="s">
        <v>658</v>
      </c>
      <c r="H188" s="410" t="s">
        <v>259</v>
      </c>
      <c r="I188" s="410" t="s">
        <v>281</v>
      </c>
      <c r="J188" s="355" t="s">
        <v>658</v>
      </c>
      <c r="K188" s="101" t="s">
        <v>1109</v>
      </c>
      <c r="L188" s="353"/>
      <c r="M188" s="423" t="s">
        <v>1504</v>
      </c>
      <c r="O188" s="355"/>
      <c r="P188" s="95"/>
      <c r="Q188" s="96"/>
      <c r="S188" s="97"/>
      <c r="V188" s="432">
        <f t="shared" si="8"/>
        <v>0</v>
      </c>
      <c r="W188" s="288"/>
      <c r="X188" s="288"/>
    </row>
    <row r="189" spans="1:30" ht="60">
      <c r="A189" s="339" t="s">
        <v>1501</v>
      </c>
      <c r="B189" s="369" t="s">
        <v>1662</v>
      </c>
      <c r="C189" s="368" t="s">
        <v>660</v>
      </c>
      <c r="D189" s="352" t="s">
        <v>661</v>
      </c>
      <c r="E189" s="391" t="s">
        <v>662</v>
      </c>
      <c r="F189" s="415" t="s">
        <v>663</v>
      </c>
      <c r="G189" s="416" t="s">
        <v>664</v>
      </c>
      <c r="H189" s="417" t="s">
        <v>259</v>
      </c>
      <c r="I189" s="417" t="s">
        <v>281</v>
      </c>
      <c r="J189" s="355" t="s">
        <v>664</v>
      </c>
      <c r="L189" s="353" t="s">
        <v>52</v>
      </c>
      <c r="M189" s="423" t="s">
        <v>1503</v>
      </c>
      <c r="O189" s="355" t="s">
        <v>1597</v>
      </c>
      <c r="P189" s="107" t="s">
        <v>665</v>
      </c>
      <c r="Q189" s="96"/>
      <c r="R189" s="103" t="s">
        <v>1270</v>
      </c>
      <c r="S189" s="97"/>
      <c r="T189" s="423" t="s">
        <v>182</v>
      </c>
      <c r="V189" s="432">
        <f t="shared" si="8"/>
        <v>0</v>
      </c>
      <c r="W189" s="288" t="s">
        <v>835</v>
      </c>
      <c r="X189" s="288" t="s">
        <v>1189</v>
      </c>
      <c r="Y189" s="288" t="s">
        <v>264</v>
      </c>
      <c r="Z189" s="325" t="s">
        <v>265</v>
      </c>
      <c r="AC189" s="94" t="s">
        <v>266</v>
      </c>
    </row>
    <row r="190" spans="1:30" ht="45">
      <c r="A190" s="339" t="s">
        <v>1501</v>
      </c>
      <c r="B190" s="369" t="s">
        <v>1662</v>
      </c>
      <c r="C190" s="368" t="s">
        <v>660</v>
      </c>
      <c r="D190" s="352" t="s">
        <v>661</v>
      </c>
      <c r="E190" s="391" t="s">
        <v>662</v>
      </c>
      <c r="F190" s="415" t="s">
        <v>666</v>
      </c>
      <c r="G190" s="418" t="s">
        <v>667</v>
      </c>
      <c r="H190" s="417" t="s">
        <v>259</v>
      </c>
      <c r="I190" s="417" t="s">
        <v>281</v>
      </c>
      <c r="J190" s="355" t="s">
        <v>1439</v>
      </c>
      <c r="K190" s="101" t="s">
        <v>1127</v>
      </c>
      <c r="L190" s="353" t="s">
        <v>52</v>
      </c>
      <c r="M190" s="423" t="s">
        <v>1503</v>
      </c>
      <c r="O190" s="360" t="s">
        <v>1598</v>
      </c>
      <c r="P190" s="107" t="s">
        <v>665</v>
      </c>
      <c r="Q190" s="90" t="s">
        <v>668</v>
      </c>
      <c r="R190" s="103" t="s">
        <v>1270</v>
      </c>
      <c r="S190" s="97"/>
      <c r="T190" s="423" t="s">
        <v>182</v>
      </c>
      <c r="V190" s="432">
        <f t="shared" si="8"/>
        <v>0</v>
      </c>
      <c r="W190" s="288" t="s">
        <v>263</v>
      </c>
      <c r="X190" s="288" t="str">
        <f>IF(W190=Llistes!$B$18,Llistes!$D$18,IF(W190=Llistes!$B$20,Llistes!$D$20,IF(W190=Llistes!$B$22,Llistes!$D$22,IF(W190=Llistes!$B$23,Llistes!$D$23,IF(W190=Llistes!$B$24,Llistes!$D$24,IF(W190=Llistes!$B$28,Llistes!$D$28))))))</f>
        <v>Tècnic coordinador</v>
      </c>
      <c r="Y190" s="288" t="s">
        <v>275</v>
      </c>
      <c r="Z190" s="325" t="s">
        <v>265</v>
      </c>
      <c r="AD190" s="94" t="s">
        <v>266</v>
      </c>
    </row>
    <row r="191" spans="1:30" ht="45">
      <c r="A191" s="339" t="s">
        <v>1501</v>
      </c>
      <c r="B191" s="369" t="s">
        <v>1662</v>
      </c>
      <c r="C191" s="368" t="s">
        <v>660</v>
      </c>
      <c r="D191" s="352" t="s">
        <v>661</v>
      </c>
      <c r="E191" s="391" t="s">
        <v>662</v>
      </c>
      <c r="F191" s="415" t="s">
        <v>669</v>
      </c>
      <c r="G191" s="416" t="s">
        <v>670</v>
      </c>
      <c r="H191" s="417" t="s">
        <v>259</v>
      </c>
      <c r="I191" s="417" t="s">
        <v>281</v>
      </c>
      <c r="J191" s="355" t="s">
        <v>1360</v>
      </c>
      <c r="K191" s="101" t="s">
        <v>1127</v>
      </c>
      <c r="L191" s="353" t="s">
        <v>52</v>
      </c>
      <c r="M191" s="423" t="s">
        <v>1503</v>
      </c>
      <c r="O191" s="360" t="s">
        <v>1710</v>
      </c>
      <c r="P191" s="107" t="s">
        <v>665</v>
      </c>
      <c r="Q191" s="90"/>
      <c r="R191" s="103" t="s">
        <v>1270</v>
      </c>
      <c r="S191" s="97"/>
      <c r="T191" s="423" t="s">
        <v>182</v>
      </c>
      <c r="V191" s="432">
        <f t="shared" si="8"/>
        <v>0</v>
      </c>
      <c r="W191" s="288" t="s">
        <v>263</v>
      </c>
      <c r="X191" s="288" t="str">
        <f>IF(W191=Llistes!$B$18,Llistes!$D$18,IF(W191=Llistes!$B$20,Llistes!$D$20,IF(W191=Llistes!$B$22,Llistes!$D$22,IF(W191=Llistes!$B$23,Llistes!$D$23,IF(W191=Llistes!$B$24,Llistes!$D$24,IF(W191=Llistes!$B$28,Llistes!$D$28))))))</f>
        <v>Tècnic coordinador</v>
      </c>
      <c r="Y191" s="288" t="s">
        <v>275</v>
      </c>
      <c r="Z191" s="325" t="s">
        <v>265</v>
      </c>
      <c r="AD191" s="94" t="s">
        <v>266</v>
      </c>
    </row>
    <row r="192" spans="1:30" ht="88.9" customHeight="1">
      <c r="A192" s="339" t="s">
        <v>1501</v>
      </c>
      <c r="B192" s="369" t="s">
        <v>1662</v>
      </c>
      <c r="C192" s="368" t="s">
        <v>660</v>
      </c>
      <c r="D192" s="352" t="s">
        <v>671</v>
      </c>
      <c r="E192" s="391" t="s">
        <v>672</v>
      </c>
      <c r="F192" s="419" t="s">
        <v>673</v>
      </c>
      <c r="G192" s="416" t="s">
        <v>674</v>
      </c>
      <c r="H192" s="417" t="s">
        <v>259</v>
      </c>
      <c r="I192" s="417" t="s">
        <v>281</v>
      </c>
      <c r="J192" s="355" t="s">
        <v>1359</v>
      </c>
      <c r="K192" s="101" t="s">
        <v>1127</v>
      </c>
      <c r="L192" s="353" t="s">
        <v>52</v>
      </c>
      <c r="M192" s="423" t="s">
        <v>1503</v>
      </c>
      <c r="O192" s="355" t="s">
        <v>1711</v>
      </c>
      <c r="P192" s="107" t="s">
        <v>665</v>
      </c>
      <c r="Q192" s="90" t="s">
        <v>1176</v>
      </c>
      <c r="R192" s="103" t="s">
        <v>1270</v>
      </c>
      <c r="S192" s="97"/>
      <c r="T192" s="423" t="s">
        <v>182</v>
      </c>
      <c r="V192" s="432">
        <f t="shared" si="8"/>
        <v>0</v>
      </c>
      <c r="W192" s="288" t="s">
        <v>263</v>
      </c>
      <c r="X192" s="288" t="str">
        <f>IF(W192=Llistes!$B$18,Llistes!$D$18,IF(W192=Llistes!$B$20,Llistes!$D$20,IF(W192=Llistes!$B$22,Llistes!$D$22,IF(W192=Llistes!$B$23,Llistes!$D$23,IF(W192=Llistes!$B$24,Llistes!$D$24,IF(W192=Llistes!$B$28,Llistes!$D$28))))))</f>
        <v>Tècnic coordinador</v>
      </c>
      <c r="Y192" s="288" t="s">
        <v>275</v>
      </c>
      <c r="Z192" s="325" t="s">
        <v>265</v>
      </c>
      <c r="AD192" s="94" t="s">
        <v>266</v>
      </c>
    </row>
    <row r="193" spans="1:30" ht="60">
      <c r="A193" s="339" t="s">
        <v>1501</v>
      </c>
      <c r="B193" s="369" t="s">
        <v>1662</v>
      </c>
      <c r="C193" s="368" t="s">
        <v>660</v>
      </c>
      <c r="D193" s="352" t="s">
        <v>671</v>
      </c>
      <c r="E193" s="391" t="s">
        <v>672</v>
      </c>
      <c r="F193" s="419" t="s">
        <v>675</v>
      </c>
      <c r="G193" s="416" t="s">
        <v>676</v>
      </c>
      <c r="H193" s="417" t="s">
        <v>259</v>
      </c>
      <c r="I193" s="417" t="s">
        <v>346</v>
      </c>
      <c r="J193" s="355" t="s">
        <v>676</v>
      </c>
      <c r="K193" s="101" t="s">
        <v>1052</v>
      </c>
      <c r="L193" s="353"/>
      <c r="M193" s="423" t="s">
        <v>1504</v>
      </c>
      <c r="O193" s="355"/>
      <c r="P193" s="107" t="s">
        <v>665</v>
      </c>
      <c r="Q193" s="96"/>
      <c r="S193" s="97"/>
      <c r="V193" s="432">
        <f t="shared" si="8"/>
        <v>0</v>
      </c>
      <c r="W193" s="288"/>
      <c r="X193" s="288"/>
    </row>
    <row r="194" spans="1:30" ht="60">
      <c r="A194" s="339" t="s">
        <v>1501</v>
      </c>
      <c r="B194" s="369" t="s">
        <v>1662</v>
      </c>
      <c r="C194" s="368" t="s">
        <v>660</v>
      </c>
      <c r="D194" s="352" t="s">
        <v>671</v>
      </c>
      <c r="E194" s="391" t="s">
        <v>672</v>
      </c>
      <c r="F194" s="419" t="s">
        <v>677</v>
      </c>
      <c r="G194" s="416" t="s">
        <v>678</v>
      </c>
      <c r="H194" s="417" t="s">
        <v>259</v>
      </c>
      <c r="I194" s="417" t="s">
        <v>346</v>
      </c>
      <c r="J194" s="355" t="s">
        <v>1438</v>
      </c>
      <c r="K194" s="101" t="s">
        <v>1052</v>
      </c>
      <c r="L194" s="353"/>
      <c r="M194" s="423" t="s">
        <v>1504</v>
      </c>
      <c r="O194" s="355"/>
      <c r="P194" s="107" t="s">
        <v>665</v>
      </c>
      <c r="Q194" s="96"/>
      <c r="S194" s="97"/>
      <c r="V194" s="432">
        <f t="shared" si="8"/>
        <v>0</v>
      </c>
      <c r="W194" s="288"/>
      <c r="X194" s="288"/>
    </row>
    <row r="195" spans="1:30" ht="60">
      <c r="A195" s="339" t="s">
        <v>1501</v>
      </c>
      <c r="B195" s="369" t="s">
        <v>1662</v>
      </c>
      <c r="C195" s="368" t="s">
        <v>660</v>
      </c>
      <c r="D195" s="352" t="s">
        <v>671</v>
      </c>
      <c r="E195" s="391" t="s">
        <v>672</v>
      </c>
      <c r="F195" s="419" t="s">
        <v>679</v>
      </c>
      <c r="G195" s="416" t="s">
        <v>680</v>
      </c>
      <c r="H195" s="417" t="s">
        <v>259</v>
      </c>
      <c r="I195" s="417" t="s">
        <v>346</v>
      </c>
      <c r="J195" s="355" t="s">
        <v>1437</v>
      </c>
      <c r="L195" s="353" t="s">
        <v>52</v>
      </c>
      <c r="M195" s="423" t="s">
        <v>1504</v>
      </c>
      <c r="O195" s="355" t="s">
        <v>1599</v>
      </c>
      <c r="P195" s="107" t="s">
        <v>665</v>
      </c>
      <c r="Q195" s="96"/>
      <c r="R195" s="288" t="s">
        <v>1132</v>
      </c>
      <c r="S195" s="97">
        <v>2</v>
      </c>
      <c r="T195" s="423">
        <v>6</v>
      </c>
      <c r="V195" s="432">
        <f t="shared" si="8"/>
        <v>0</v>
      </c>
      <c r="W195" s="288" t="s">
        <v>263</v>
      </c>
      <c r="X195" s="288" t="str">
        <f>IF(W195=Llistes!$B$18,Llistes!$D$18,IF(W195=Llistes!$B$20,Llistes!$D$20,IF(W195=Llistes!$B$22,Llistes!$D$22,IF(W195=Llistes!$B$23,Llistes!$D$23,IF(W195=Llistes!$B$24,Llistes!$D$24,IF(W195=Llistes!$B$28,Llistes!$D$28))))))</f>
        <v>Tècnic coordinador</v>
      </c>
      <c r="Y195" s="288" t="s">
        <v>275</v>
      </c>
      <c r="Z195" s="325" t="s">
        <v>265</v>
      </c>
      <c r="AA195" s="94" t="s">
        <v>266</v>
      </c>
      <c r="AB195" s="94" t="s">
        <v>266</v>
      </c>
      <c r="AC195" s="94" t="s">
        <v>266</v>
      </c>
      <c r="AD195" s="94" t="s">
        <v>266</v>
      </c>
    </row>
    <row r="196" spans="1:30" ht="45">
      <c r="A196" s="339" t="s">
        <v>1501</v>
      </c>
      <c r="B196" s="369" t="s">
        <v>1662</v>
      </c>
      <c r="C196" s="368" t="s">
        <v>660</v>
      </c>
      <c r="D196" s="352" t="s">
        <v>681</v>
      </c>
      <c r="E196" s="391" t="s">
        <v>682</v>
      </c>
      <c r="F196" s="419" t="s">
        <v>683</v>
      </c>
      <c r="G196" s="416" t="s">
        <v>684</v>
      </c>
      <c r="H196" s="417" t="s">
        <v>259</v>
      </c>
      <c r="I196" s="417" t="s">
        <v>281</v>
      </c>
      <c r="J196" s="355" t="s">
        <v>1436</v>
      </c>
      <c r="K196" s="101" t="s">
        <v>1052</v>
      </c>
      <c r="L196" s="353"/>
      <c r="M196" s="423" t="s">
        <v>1503</v>
      </c>
      <c r="O196" s="355"/>
      <c r="P196" s="107" t="s">
        <v>665</v>
      </c>
      <c r="Q196" s="96"/>
      <c r="S196" s="97"/>
      <c r="V196" s="432">
        <f t="shared" si="8"/>
        <v>0</v>
      </c>
      <c r="W196" s="288"/>
      <c r="X196" s="288"/>
    </row>
    <row r="197" spans="1:30" ht="45">
      <c r="A197" s="339" t="s">
        <v>1501</v>
      </c>
      <c r="B197" s="369" t="s">
        <v>1662</v>
      </c>
      <c r="C197" s="368" t="s">
        <v>660</v>
      </c>
      <c r="D197" s="352" t="s">
        <v>681</v>
      </c>
      <c r="E197" s="391" t="s">
        <v>682</v>
      </c>
      <c r="F197" s="419" t="s">
        <v>685</v>
      </c>
      <c r="G197" s="416" t="s">
        <v>686</v>
      </c>
      <c r="H197" s="417" t="s">
        <v>259</v>
      </c>
      <c r="I197" s="417" t="s">
        <v>281</v>
      </c>
      <c r="J197" s="355" t="s">
        <v>1358</v>
      </c>
      <c r="K197" s="101" t="s">
        <v>1052</v>
      </c>
      <c r="L197" s="353"/>
      <c r="M197" s="423" t="s">
        <v>1503</v>
      </c>
      <c r="O197" s="355"/>
      <c r="P197" s="107" t="s">
        <v>665</v>
      </c>
      <c r="Q197" s="96"/>
      <c r="S197" s="97"/>
      <c r="V197" s="432">
        <f t="shared" si="8"/>
        <v>0</v>
      </c>
      <c r="W197" s="288"/>
      <c r="X197" s="288"/>
    </row>
    <row r="198" spans="1:30" ht="45">
      <c r="A198" s="339" t="s">
        <v>1501</v>
      </c>
      <c r="B198" s="369" t="s">
        <v>1662</v>
      </c>
      <c r="C198" s="368" t="s">
        <v>660</v>
      </c>
      <c r="D198" s="352" t="s">
        <v>681</v>
      </c>
      <c r="E198" s="391" t="s">
        <v>682</v>
      </c>
      <c r="F198" s="419" t="s">
        <v>687</v>
      </c>
      <c r="G198" s="416" t="s">
        <v>688</v>
      </c>
      <c r="H198" s="417" t="s">
        <v>259</v>
      </c>
      <c r="I198" s="417" t="s">
        <v>281</v>
      </c>
      <c r="J198" s="355" t="s">
        <v>1357</v>
      </c>
      <c r="K198" s="101"/>
      <c r="L198" s="353" t="s">
        <v>52</v>
      </c>
      <c r="M198" s="423" t="s">
        <v>1503</v>
      </c>
      <c r="O198" s="355" t="s">
        <v>1600</v>
      </c>
      <c r="P198" s="107" t="s">
        <v>665</v>
      </c>
      <c r="Q198" s="90" t="s">
        <v>689</v>
      </c>
      <c r="R198" s="103" t="s">
        <v>1270</v>
      </c>
      <c r="S198" s="97"/>
      <c r="T198" s="423" t="s">
        <v>182</v>
      </c>
      <c r="V198" s="432">
        <f t="shared" si="8"/>
        <v>0</v>
      </c>
      <c r="W198" s="288" t="s">
        <v>835</v>
      </c>
      <c r="X198" s="288" t="s">
        <v>1189</v>
      </c>
      <c r="Y198" s="288" t="s">
        <v>264</v>
      </c>
      <c r="Z198" s="325" t="s">
        <v>265</v>
      </c>
      <c r="AD198" s="94" t="s">
        <v>266</v>
      </c>
    </row>
    <row r="199" spans="1:30" ht="45">
      <c r="A199" s="339" t="s">
        <v>1501</v>
      </c>
      <c r="B199" s="369" t="s">
        <v>1662</v>
      </c>
      <c r="C199" s="368" t="s">
        <v>660</v>
      </c>
      <c r="D199" s="352" t="s">
        <v>690</v>
      </c>
      <c r="E199" s="392" t="s">
        <v>691</v>
      </c>
      <c r="F199" s="419" t="s">
        <v>692</v>
      </c>
      <c r="G199" s="416" t="s">
        <v>693</v>
      </c>
      <c r="H199" s="417" t="s">
        <v>259</v>
      </c>
      <c r="I199" s="417" t="s">
        <v>281</v>
      </c>
      <c r="J199" s="355" t="s">
        <v>1354</v>
      </c>
      <c r="L199" s="353" t="s">
        <v>53</v>
      </c>
      <c r="M199" s="423" t="s">
        <v>1503</v>
      </c>
      <c r="O199" s="355" t="s">
        <v>1601</v>
      </c>
      <c r="P199" s="107" t="s">
        <v>665</v>
      </c>
      <c r="Q199" s="90" t="s">
        <v>694</v>
      </c>
      <c r="R199" s="103" t="s">
        <v>1270</v>
      </c>
      <c r="S199" s="97"/>
      <c r="T199" s="423" t="s">
        <v>182</v>
      </c>
      <c r="V199" s="432">
        <f t="shared" si="8"/>
        <v>0</v>
      </c>
      <c r="W199" s="288" t="s">
        <v>835</v>
      </c>
      <c r="X199" s="288" t="s">
        <v>1189</v>
      </c>
      <c r="Y199" s="288" t="s">
        <v>275</v>
      </c>
      <c r="Z199" s="325" t="s">
        <v>265</v>
      </c>
      <c r="AA199" s="94" t="s">
        <v>266</v>
      </c>
      <c r="AB199" s="94" t="s">
        <v>266</v>
      </c>
      <c r="AC199" s="94" t="s">
        <v>266</v>
      </c>
      <c r="AD199" s="94" t="s">
        <v>266</v>
      </c>
    </row>
    <row r="200" spans="1:30" ht="45">
      <c r="A200" s="339" t="s">
        <v>1501</v>
      </c>
      <c r="B200" s="369" t="s">
        <v>1662</v>
      </c>
      <c r="C200" s="368" t="s">
        <v>660</v>
      </c>
      <c r="D200" s="352" t="s">
        <v>690</v>
      </c>
      <c r="E200" s="391" t="s">
        <v>691</v>
      </c>
      <c r="F200" s="419" t="s">
        <v>695</v>
      </c>
      <c r="G200" s="416" t="s">
        <v>696</v>
      </c>
      <c r="H200" s="417" t="s">
        <v>259</v>
      </c>
      <c r="I200" s="417" t="s">
        <v>346</v>
      </c>
      <c r="J200" s="355" t="s">
        <v>1355</v>
      </c>
      <c r="L200" s="353" t="s">
        <v>52</v>
      </c>
      <c r="M200" s="423" t="s">
        <v>1504</v>
      </c>
      <c r="O200" s="355" t="s">
        <v>1602</v>
      </c>
      <c r="P200" s="107" t="s">
        <v>665</v>
      </c>
      <c r="Q200" s="109"/>
      <c r="R200" s="103" t="s">
        <v>1270</v>
      </c>
      <c r="S200" s="97"/>
      <c r="T200" s="423" t="s">
        <v>182</v>
      </c>
      <c r="V200" s="432">
        <f t="shared" si="8"/>
        <v>0</v>
      </c>
      <c r="W200" s="288" t="s">
        <v>835</v>
      </c>
      <c r="X200" s="288" t="s">
        <v>1189</v>
      </c>
      <c r="Y200" s="288" t="s">
        <v>264</v>
      </c>
      <c r="Z200" s="325" t="s">
        <v>265</v>
      </c>
      <c r="AC200" s="94" t="s">
        <v>266</v>
      </c>
    </row>
    <row r="201" spans="1:30" ht="60">
      <c r="A201" s="339" t="s">
        <v>1501</v>
      </c>
      <c r="B201" s="369" t="s">
        <v>1662</v>
      </c>
      <c r="C201" s="368" t="s">
        <v>660</v>
      </c>
      <c r="D201" s="352" t="s">
        <v>690</v>
      </c>
      <c r="E201" s="391" t="s">
        <v>691</v>
      </c>
      <c r="F201" s="419" t="s">
        <v>697</v>
      </c>
      <c r="G201" s="418" t="s">
        <v>698</v>
      </c>
      <c r="H201" s="417" t="s">
        <v>259</v>
      </c>
      <c r="I201" s="417" t="s">
        <v>346</v>
      </c>
      <c r="J201" s="355" t="s">
        <v>1356</v>
      </c>
      <c r="L201" s="353" t="s">
        <v>52</v>
      </c>
      <c r="M201" s="423" t="s">
        <v>1504</v>
      </c>
      <c r="O201" s="355" t="s">
        <v>1603</v>
      </c>
      <c r="P201" s="107" t="s">
        <v>665</v>
      </c>
      <c r="Q201" s="109"/>
      <c r="R201" s="103" t="s">
        <v>1270</v>
      </c>
      <c r="S201" s="97"/>
      <c r="T201" s="423" t="s">
        <v>182</v>
      </c>
      <c r="V201" s="432">
        <f t="shared" ref="V201:V266" si="10">U201*4</f>
        <v>0</v>
      </c>
      <c r="W201" s="288" t="s">
        <v>835</v>
      </c>
      <c r="X201" s="288" t="s">
        <v>1189</v>
      </c>
      <c r="Y201" s="288" t="s">
        <v>264</v>
      </c>
      <c r="Z201" s="325" t="s">
        <v>265</v>
      </c>
      <c r="AC201" s="94" t="s">
        <v>266</v>
      </c>
    </row>
    <row r="202" spans="1:30" ht="45">
      <c r="A202" s="339" t="s">
        <v>1501</v>
      </c>
      <c r="B202" s="369" t="s">
        <v>1662</v>
      </c>
      <c r="C202" s="368" t="s">
        <v>660</v>
      </c>
      <c r="D202" s="352" t="s">
        <v>690</v>
      </c>
      <c r="E202" s="391" t="s">
        <v>691</v>
      </c>
      <c r="F202" s="419" t="s">
        <v>699</v>
      </c>
      <c r="G202" s="416" t="s">
        <v>700</v>
      </c>
      <c r="H202" s="417" t="s">
        <v>259</v>
      </c>
      <c r="I202" s="417" t="s">
        <v>346</v>
      </c>
      <c r="J202" s="355" t="s">
        <v>700</v>
      </c>
      <c r="K202" s="101" t="s">
        <v>1052</v>
      </c>
      <c r="L202" s="353"/>
      <c r="M202" s="423" t="s">
        <v>1504</v>
      </c>
      <c r="O202" s="355"/>
      <c r="P202" s="107" t="s">
        <v>665</v>
      </c>
      <c r="Q202" s="109"/>
      <c r="S202" s="97"/>
      <c r="V202" s="432">
        <f t="shared" si="10"/>
        <v>0</v>
      </c>
      <c r="W202" s="288"/>
      <c r="X202" s="288"/>
    </row>
    <row r="203" spans="1:30" ht="45">
      <c r="A203" s="339" t="s">
        <v>1501</v>
      </c>
      <c r="B203" s="369" t="s">
        <v>1662</v>
      </c>
      <c r="C203" s="368" t="s">
        <v>660</v>
      </c>
      <c r="D203" s="352" t="s">
        <v>701</v>
      </c>
      <c r="E203" s="391" t="s">
        <v>702</v>
      </c>
      <c r="F203" s="419" t="s">
        <v>703</v>
      </c>
      <c r="G203" s="418" t="s">
        <v>704</v>
      </c>
      <c r="H203" s="417" t="s">
        <v>259</v>
      </c>
      <c r="I203" s="417" t="s">
        <v>281</v>
      </c>
      <c r="J203" s="355" t="s">
        <v>1353</v>
      </c>
      <c r="L203" s="428" t="s">
        <v>52</v>
      </c>
      <c r="M203" s="423" t="s">
        <v>1503</v>
      </c>
      <c r="O203" s="355" t="s">
        <v>1249</v>
      </c>
      <c r="P203" s="107" t="s">
        <v>665</v>
      </c>
      <c r="Q203" s="96"/>
      <c r="R203" s="103" t="s">
        <v>1270</v>
      </c>
      <c r="S203" s="97"/>
      <c r="T203" s="423" t="s">
        <v>182</v>
      </c>
      <c r="V203" s="432">
        <f t="shared" si="10"/>
        <v>0</v>
      </c>
      <c r="W203" s="288" t="s">
        <v>835</v>
      </c>
      <c r="X203" s="288" t="s">
        <v>1189</v>
      </c>
      <c r="Y203" s="288" t="s">
        <v>264</v>
      </c>
      <c r="Z203" s="325" t="s">
        <v>265</v>
      </c>
      <c r="AB203" s="94" t="s">
        <v>266</v>
      </c>
    </row>
    <row r="204" spans="1:30" ht="45">
      <c r="A204" s="339" t="s">
        <v>1501</v>
      </c>
      <c r="B204" s="369" t="s">
        <v>1662</v>
      </c>
      <c r="C204" s="368" t="s">
        <v>660</v>
      </c>
      <c r="D204" s="352" t="s">
        <v>701</v>
      </c>
      <c r="E204" s="391" t="s">
        <v>702</v>
      </c>
      <c r="F204" s="419" t="s">
        <v>705</v>
      </c>
      <c r="G204" s="416" t="s">
        <v>706</v>
      </c>
      <c r="H204" s="417" t="s">
        <v>259</v>
      </c>
      <c r="I204" s="417" t="s">
        <v>346</v>
      </c>
      <c r="J204" s="355" t="s">
        <v>1352</v>
      </c>
      <c r="K204" s="101" t="s">
        <v>1052</v>
      </c>
      <c r="L204" s="353"/>
      <c r="M204" s="423" t="s">
        <v>1504</v>
      </c>
      <c r="O204" s="355"/>
      <c r="P204" s="107" t="s">
        <v>665</v>
      </c>
      <c r="Q204" s="109"/>
      <c r="S204" s="97"/>
      <c r="V204" s="432">
        <f t="shared" si="10"/>
        <v>0</v>
      </c>
      <c r="W204" s="288"/>
      <c r="X204" s="288"/>
    </row>
    <row r="205" spans="1:30" ht="45">
      <c r="A205" s="339" t="s">
        <v>1501</v>
      </c>
      <c r="B205" s="369" t="s">
        <v>1662</v>
      </c>
      <c r="C205" s="368" t="s">
        <v>660</v>
      </c>
      <c r="D205" s="352" t="s">
        <v>701</v>
      </c>
      <c r="E205" s="391" t="s">
        <v>702</v>
      </c>
      <c r="F205" s="419" t="s">
        <v>707</v>
      </c>
      <c r="G205" s="416" t="s">
        <v>708</v>
      </c>
      <c r="H205" s="417" t="s">
        <v>259</v>
      </c>
      <c r="I205" s="417" t="s">
        <v>346</v>
      </c>
      <c r="J205" s="355" t="s">
        <v>1351</v>
      </c>
      <c r="K205" s="101" t="s">
        <v>1052</v>
      </c>
      <c r="L205" s="353"/>
      <c r="M205" s="423" t="s">
        <v>1504</v>
      </c>
      <c r="O205" s="355"/>
      <c r="P205" s="107" t="s">
        <v>665</v>
      </c>
      <c r="Q205" s="109"/>
      <c r="S205" s="97"/>
      <c r="V205" s="432">
        <f t="shared" si="10"/>
        <v>0</v>
      </c>
      <c r="W205" s="288"/>
      <c r="X205" s="288"/>
    </row>
    <row r="206" spans="1:30" ht="45">
      <c r="A206" s="339" t="s">
        <v>1501</v>
      </c>
      <c r="B206" s="369" t="s">
        <v>1662</v>
      </c>
      <c r="C206" s="368" t="s">
        <v>660</v>
      </c>
      <c r="D206" s="352" t="s">
        <v>701</v>
      </c>
      <c r="E206" s="391" t="s">
        <v>702</v>
      </c>
      <c r="F206" s="419" t="s">
        <v>709</v>
      </c>
      <c r="G206" s="416" t="s">
        <v>710</v>
      </c>
      <c r="H206" s="417" t="s">
        <v>259</v>
      </c>
      <c r="I206" s="417" t="s">
        <v>346</v>
      </c>
      <c r="J206" s="355" t="s">
        <v>710</v>
      </c>
      <c r="K206" s="101" t="s">
        <v>1052</v>
      </c>
      <c r="M206" s="423" t="s">
        <v>1504</v>
      </c>
      <c r="O206" s="355"/>
      <c r="P206" s="107" t="s">
        <v>665</v>
      </c>
      <c r="Q206" s="109"/>
      <c r="S206" s="97"/>
      <c r="V206" s="432">
        <f t="shared" si="10"/>
        <v>0</v>
      </c>
      <c r="W206" s="288"/>
      <c r="X206" s="288"/>
    </row>
    <row r="207" spans="1:30" ht="75">
      <c r="A207" s="339" t="s">
        <v>1501</v>
      </c>
      <c r="B207" s="369" t="s">
        <v>1662</v>
      </c>
      <c r="C207" s="368" t="s">
        <v>660</v>
      </c>
      <c r="D207" s="352" t="s">
        <v>701</v>
      </c>
      <c r="E207" s="391" t="s">
        <v>702</v>
      </c>
      <c r="F207" s="419" t="s">
        <v>711</v>
      </c>
      <c r="G207" s="418" t="s">
        <v>712</v>
      </c>
      <c r="H207" s="417" t="s">
        <v>259</v>
      </c>
      <c r="I207" s="417" t="s">
        <v>281</v>
      </c>
      <c r="J207" s="355" t="s">
        <v>712</v>
      </c>
      <c r="K207" s="101" t="s">
        <v>1052</v>
      </c>
      <c r="L207" s="353"/>
      <c r="M207" s="423" t="s">
        <v>1503</v>
      </c>
      <c r="O207" s="355"/>
      <c r="P207" s="107" t="s">
        <v>665</v>
      </c>
      <c r="Q207" s="96"/>
      <c r="S207" s="97"/>
      <c r="V207" s="432">
        <f t="shared" si="10"/>
        <v>0</v>
      </c>
      <c r="W207" s="288"/>
      <c r="X207" s="288"/>
    </row>
    <row r="208" spans="1:30" ht="45">
      <c r="A208" s="339" t="s">
        <v>1501</v>
      </c>
      <c r="B208" s="369" t="s">
        <v>1662</v>
      </c>
      <c r="C208" s="368" t="s">
        <v>660</v>
      </c>
      <c r="D208" s="352" t="s">
        <v>713</v>
      </c>
      <c r="E208" s="393" t="s">
        <v>714</v>
      </c>
      <c r="F208" s="419" t="s">
        <v>715</v>
      </c>
      <c r="G208" s="416" t="s">
        <v>716</v>
      </c>
      <c r="H208" s="417" t="s">
        <v>259</v>
      </c>
      <c r="I208" s="417" t="s">
        <v>281</v>
      </c>
      <c r="J208" s="355" t="s">
        <v>716</v>
      </c>
      <c r="L208" s="353" t="s">
        <v>52</v>
      </c>
      <c r="M208" s="423" t="s">
        <v>1503</v>
      </c>
      <c r="O208" s="355" t="s">
        <v>1604</v>
      </c>
      <c r="P208" s="107" t="s">
        <v>665</v>
      </c>
      <c r="Q208" s="96"/>
      <c r="R208" s="103" t="s">
        <v>1270</v>
      </c>
      <c r="S208" s="97"/>
      <c r="T208" s="423" t="s">
        <v>182</v>
      </c>
      <c r="V208" s="432">
        <f t="shared" si="10"/>
        <v>0</v>
      </c>
      <c r="W208" s="288" t="s">
        <v>835</v>
      </c>
      <c r="X208" s="288" t="s">
        <v>1189</v>
      </c>
      <c r="Y208" s="288" t="s">
        <v>264</v>
      </c>
      <c r="Z208" s="325" t="s">
        <v>265</v>
      </c>
      <c r="AD208" s="94" t="s">
        <v>266</v>
      </c>
    </row>
    <row r="209" spans="1:30" ht="45">
      <c r="A209" s="339" t="s">
        <v>1501</v>
      </c>
      <c r="B209" s="369" t="s">
        <v>1662</v>
      </c>
      <c r="C209" s="368" t="s">
        <v>660</v>
      </c>
      <c r="D209" s="352" t="s">
        <v>713</v>
      </c>
      <c r="E209" s="391" t="s">
        <v>714</v>
      </c>
      <c r="F209" s="419" t="s">
        <v>717</v>
      </c>
      <c r="G209" s="416" t="s">
        <v>718</v>
      </c>
      <c r="H209" s="417" t="s">
        <v>259</v>
      </c>
      <c r="I209" s="417" t="s">
        <v>281</v>
      </c>
      <c r="J209" s="355" t="s">
        <v>1350</v>
      </c>
      <c r="K209" s="101" t="s">
        <v>1052</v>
      </c>
      <c r="L209" s="353"/>
      <c r="M209" s="423" t="s">
        <v>1504</v>
      </c>
      <c r="O209" s="355"/>
      <c r="P209" s="100" t="s">
        <v>719</v>
      </c>
      <c r="Q209" s="96" t="s">
        <v>720</v>
      </c>
      <c r="S209" s="97"/>
      <c r="V209" s="432">
        <f t="shared" si="10"/>
        <v>0</v>
      </c>
      <c r="W209" s="288"/>
      <c r="X209" s="288"/>
    </row>
    <row r="210" spans="1:30" ht="45">
      <c r="A210" s="339" t="s">
        <v>1501</v>
      </c>
      <c r="B210" s="369" t="s">
        <v>1662</v>
      </c>
      <c r="C210" s="368" t="s">
        <v>660</v>
      </c>
      <c r="D210" s="394" t="s">
        <v>721</v>
      </c>
      <c r="E210" s="393" t="s">
        <v>722</v>
      </c>
      <c r="F210" s="420" t="s">
        <v>723</v>
      </c>
      <c r="G210" s="416" t="s">
        <v>724</v>
      </c>
      <c r="H210" s="417" t="s">
        <v>259</v>
      </c>
      <c r="I210" s="417" t="s">
        <v>281</v>
      </c>
      <c r="J210" s="355" t="s">
        <v>1349</v>
      </c>
      <c r="K210" s="101" t="s">
        <v>1052</v>
      </c>
      <c r="L210" s="353"/>
      <c r="M210" s="423" t="s">
        <v>1505</v>
      </c>
      <c r="O210" s="355"/>
      <c r="P210" s="107" t="s">
        <v>665</v>
      </c>
      <c r="Q210" s="109"/>
      <c r="S210" s="97"/>
      <c r="V210" s="432">
        <f t="shared" si="10"/>
        <v>0</v>
      </c>
      <c r="W210" s="288"/>
      <c r="X210" s="288"/>
    </row>
    <row r="211" spans="1:30" ht="60">
      <c r="A211" s="339" t="s">
        <v>1501</v>
      </c>
      <c r="B211" s="369" t="s">
        <v>1662</v>
      </c>
      <c r="C211" s="368" t="s">
        <v>660</v>
      </c>
      <c r="D211" s="394" t="s">
        <v>721</v>
      </c>
      <c r="E211" s="391" t="s">
        <v>722</v>
      </c>
      <c r="F211" s="420" t="s">
        <v>725</v>
      </c>
      <c r="G211" s="416" t="s">
        <v>726</v>
      </c>
      <c r="H211" s="417" t="s">
        <v>259</v>
      </c>
      <c r="I211" s="417" t="s">
        <v>346</v>
      </c>
      <c r="J211" s="355" t="s">
        <v>1348</v>
      </c>
      <c r="K211" s="101" t="s">
        <v>1052</v>
      </c>
      <c r="L211" s="353"/>
      <c r="M211" s="423" t="s">
        <v>1504</v>
      </c>
      <c r="O211" s="355"/>
      <c r="P211" s="107" t="s">
        <v>665</v>
      </c>
      <c r="Q211" s="96"/>
      <c r="S211" s="97"/>
      <c r="V211" s="432">
        <f t="shared" si="10"/>
        <v>0</v>
      </c>
      <c r="W211" s="288"/>
      <c r="X211" s="288"/>
    </row>
    <row r="212" spans="1:30" ht="45">
      <c r="A212" s="339" t="s">
        <v>1501</v>
      </c>
      <c r="B212" s="369" t="s">
        <v>1662</v>
      </c>
      <c r="C212" s="368" t="s">
        <v>660</v>
      </c>
      <c r="D212" s="394" t="s">
        <v>721</v>
      </c>
      <c r="E212" s="391" t="s">
        <v>722</v>
      </c>
      <c r="F212" s="420" t="s">
        <v>727</v>
      </c>
      <c r="G212" s="416" t="s">
        <v>728</v>
      </c>
      <c r="H212" s="417" t="s">
        <v>259</v>
      </c>
      <c r="I212" s="417" t="s">
        <v>281</v>
      </c>
      <c r="J212" s="355" t="s">
        <v>1347</v>
      </c>
      <c r="K212" s="101"/>
      <c r="L212" s="353" t="s">
        <v>52</v>
      </c>
      <c r="M212" s="423" t="s">
        <v>1504</v>
      </c>
      <c r="O212" s="355" t="s">
        <v>1605</v>
      </c>
      <c r="P212" s="107" t="s">
        <v>665</v>
      </c>
      <c r="Q212" s="96"/>
      <c r="R212" s="103" t="s">
        <v>1270</v>
      </c>
      <c r="S212" s="97"/>
      <c r="T212" s="423" t="s">
        <v>182</v>
      </c>
      <c r="V212" s="432">
        <f t="shared" si="10"/>
        <v>0</v>
      </c>
      <c r="W212" s="288" t="s">
        <v>835</v>
      </c>
      <c r="X212" s="288" t="s">
        <v>1189</v>
      </c>
      <c r="Y212" s="288" t="s">
        <v>275</v>
      </c>
      <c r="Z212" s="325" t="s">
        <v>265</v>
      </c>
      <c r="AA212" s="94" t="s">
        <v>266</v>
      </c>
      <c r="AB212" s="94" t="s">
        <v>266</v>
      </c>
      <c r="AC212" s="94" t="s">
        <v>266</v>
      </c>
      <c r="AD212" s="94" t="s">
        <v>266</v>
      </c>
    </row>
    <row r="213" spans="1:30" ht="45">
      <c r="A213" s="339" t="s">
        <v>1501</v>
      </c>
      <c r="B213" s="369" t="s">
        <v>1662</v>
      </c>
      <c r="C213" s="368" t="s">
        <v>660</v>
      </c>
      <c r="D213" s="394" t="s">
        <v>729</v>
      </c>
      <c r="E213" s="395" t="s">
        <v>730</v>
      </c>
      <c r="F213" s="420" t="s">
        <v>731</v>
      </c>
      <c r="G213" s="416" t="s">
        <v>732</v>
      </c>
      <c r="H213" s="417" t="s">
        <v>259</v>
      </c>
      <c r="I213" s="417" t="s">
        <v>346</v>
      </c>
      <c r="J213" s="355" t="s">
        <v>1346</v>
      </c>
      <c r="K213" s="101" t="s">
        <v>1052</v>
      </c>
      <c r="L213" s="353"/>
      <c r="M213" s="423" t="s">
        <v>1504</v>
      </c>
      <c r="O213" s="355"/>
      <c r="P213" s="107" t="s">
        <v>665</v>
      </c>
      <c r="Q213" s="96"/>
      <c r="S213" s="97"/>
      <c r="V213" s="432">
        <f t="shared" si="10"/>
        <v>0</v>
      </c>
      <c r="W213" s="288"/>
      <c r="X213" s="288"/>
    </row>
    <row r="214" spans="1:30" ht="45">
      <c r="A214" s="339" t="s">
        <v>1501</v>
      </c>
      <c r="B214" s="369" t="s">
        <v>1662</v>
      </c>
      <c r="C214" s="368" t="s">
        <v>660</v>
      </c>
      <c r="D214" s="394" t="s">
        <v>729</v>
      </c>
      <c r="E214" s="391" t="s">
        <v>730</v>
      </c>
      <c r="F214" s="420" t="s">
        <v>733</v>
      </c>
      <c r="G214" s="418" t="s">
        <v>734</v>
      </c>
      <c r="H214" s="417" t="s">
        <v>259</v>
      </c>
      <c r="I214" s="417" t="s">
        <v>346</v>
      </c>
      <c r="J214" s="355" t="s">
        <v>1345</v>
      </c>
      <c r="K214" s="101" t="s">
        <v>1052</v>
      </c>
      <c r="L214" s="429"/>
      <c r="M214" s="423" t="s">
        <v>1504</v>
      </c>
      <c r="O214" s="360"/>
      <c r="P214" s="107" t="s">
        <v>665</v>
      </c>
      <c r="Q214" s="96"/>
      <c r="S214" s="97"/>
      <c r="V214" s="432">
        <f t="shared" si="10"/>
        <v>0</v>
      </c>
      <c r="W214" s="288"/>
      <c r="X214" s="288"/>
    </row>
    <row r="215" spans="1:30" ht="45">
      <c r="A215" s="339" t="s">
        <v>1501</v>
      </c>
      <c r="B215" s="369" t="s">
        <v>1662</v>
      </c>
      <c r="C215" s="368" t="s">
        <v>660</v>
      </c>
      <c r="D215" s="394" t="s">
        <v>729</v>
      </c>
      <c r="E215" s="391" t="s">
        <v>730</v>
      </c>
      <c r="F215" s="420" t="s">
        <v>735</v>
      </c>
      <c r="G215" s="416" t="s">
        <v>736</v>
      </c>
      <c r="H215" s="417" t="s">
        <v>259</v>
      </c>
      <c r="I215" s="417" t="s">
        <v>346</v>
      </c>
      <c r="J215" s="355" t="s">
        <v>1343</v>
      </c>
      <c r="K215" s="101" t="s">
        <v>1052</v>
      </c>
      <c r="L215" s="353"/>
      <c r="M215" s="423" t="s">
        <v>1504</v>
      </c>
      <c r="O215" s="355"/>
      <c r="P215" s="107" t="s">
        <v>665</v>
      </c>
      <c r="Q215" s="96"/>
      <c r="S215" s="97"/>
      <c r="V215" s="432">
        <f t="shared" si="10"/>
        <v>0</v>
      </c>
      <c r="W215" s="288"/>
      <c r="X215" s="288"/>
    </row>
    <row r="216" spans="1:30" ht="45">
      <c r="A216" s="339" t="s">
        <v>1501</v>
      </c>
      <c r="B216" s="369" t="s">
        <v>1662</v>
      </c>
      <c r="C216" s="368" t="s">
        <v>660</v>
      </c>
      <c r="D216" s="394" t="s">
        <v>729</v>
      </c>
      <c r="E216" s="391" t="s">
        <v>730</v>
      </c>
      <c r="F216" s="420" t="s">
        <v>737</v>
      </c>
      <c r="G216" s="418" t="s">
        <v>738</v>
      </c>
      <c r="H216" s="417" t="s">
        <v>259</v>
      </c>
      <c r="I216" s="417" t="s">
        <v>346</v>
      </c>
      <c r="J216" s="355" t="s">
        <v>1344</v>
      </c>
      <c r="L216" s="353" t="s">
        <v>53</v>
      </c>
      <c r="M216" s="423" t="s">
        <v>1504</v>
      </c>
      <c r="O216" s="355" t="s">
        <v>1606</v>
      </c>
      <c r="P216" s="107" t="s">
        <v>665</v>
      </c>
      <c r="Q216" s="96"/>
      <c r="R216" s="103" t="s">
        <v>1270</v>
      </c>
      <c r="S216" s="97"/>
      <c r="T216" s="423" t="s">
        <v>182</v>
      </c>
      <c r="V216" s="432">
        <f t="shared" si="10"/>
        <v>0</v>
      </c>
      <c r="W216" s="288" t="s">
        <v>263</v>
      </c>
      <c r="X216" s="288" t="str">
        <f>IF(W216=Llistes!$B$18,Llistes!$D$18,IF(W216=Llistes!$B$20,Llistes!$D$20,IF(W216=Llistes!$B$22,Llistes!$D$22,IF(W216=Llistes!$B$23,Llistes!$D$23,IF(W216=Llistes!$B$24,Llistes!$D$24,IF(W216=Llistes!$B$28,Llistes!$D$28))))))</f>
        <v>Tècnic coordinador</v>
      </c>
      <c r="Y216" s="288" t="s">
        <v>275</v>
      </c>
      <c r="Z216" s="325" t="s">
        <v>265</v>
      </c>
      <c r="AA216" s="94" t="s">
        <v>266</v>
      </c>
      <c r="AB216" s="94" t="s">
        <v>266</v>
      </c>
      <c r="AC216" s="94" t="s">
        <v>266</v>
      </c>
      <c r="AD216" s="94" t="s">
        <v>266</v>
      </c>
    </row>
    <row r="217" spans="1:30" ht="45">
      <c r="A217" s="339" t="s">
        <v>1501</v>
      </c>
      <c r="B217" s="369" t="s">
        <v>1663</v>
      </c>
      <c r="C217" s="368" t="s">
        <v>739</v>
      </c>
      <c r="D217" s="352" t="s">
        <v>740</v>
      </c>
      <c r="E217" s="391" t="s">
        <v>741</v>
      </c>
      <c r="F217" s="419" t="s">
        <v>742</v>
      </c>
      <c r="G217" s="416" t="s">
        <v>743</v>
      </c>
      <c r="H217" s="417" t="s">
        <v>259</v>
      </c>
      <c r="I217" s="417" t="s">
        <v>281</v>
      </c>
      <c r="J217" s="355" t="s">
        <v>1342</v>
      </c>
      <c r="L217" s="353" t="s">
        <v>52</v>
      </c>
      <c r="M217" s="423" t="s">
        <v>1505</v>
      </c>
      <c r="O217" s="355" t="s">
        <v>1611</v>
      </c>
      <c r="P217" s="95" t="s">
        <v>744</v>
      </c>
      <c r="Q217" s="96" t="s">
        <v>745</v>
      </c>
      <c r="R217" s="103" t="s">
        <v>1270</v>
      </c>
      <c r="S217" s="97"/>
      <c r="T217" s="423" t="s">
        <v>182</v>
      </c>
      <c r="V217" s="432">
        <f t="shared" si="10"/>
        <v>0</v>
      </c>
      <c r="W217" s="288" t="s">
        <v>263</v>
      </c>
      <c r="X217" s="288" t="str">
        <f>IF(W217=Llistes!$B$18,Llistes!$D$18,IF(W217=Llistes!$B$20,Llistes!$D$20,IF(W217=Llistes!$B$22,Llistes!$D$22,IF(W217=Llistes!$B$23,Llistes!$D$23,IF(W217=Llistes!$B$24,Llistes!$D$24,IF(W217=Llistes!$B$28,Llistes!$D$28))))))</f>
        <v>Tècnic coordinador</v>
      </c>
      <c r="Y217" s="288" t="s">
        <v>275</v>
      </c>
      <c r="Z217" s="325" t="s">
        <v>265</v>
      </c>
      <c r="AA217" s="94" t="s">
        <v>266</v>
      </c>
      <c r="AB217" s="94" t="s">
        <v>266</v>
      </c>
      <c r="AC217" s="94" t="s">
        <v>266</v>
      </c>
      <c r="AD217" s="94" t="s">
        <v>266</v>
      </c>
    </row>
    <row r="218" spans="1:30" ht="45">
      <c r="A218" s="339" t="s">
        <v>1501</v>
      </c>
      <c r="B218" s="369" t="s">
        <v>1663</v>
      </c>
      <c r="C218" s="368" t="s">
        <v>739</v>
      </c>
      <c r="D218" s="352" t="s">
        <v>740</v>
      </c>
      <c r="E218" s="391" t="s">
        <v>741</v>
      </c>
      <c r="F218" s="419" t="s">
        <v>742</v>
      </c>
      <c r="G218" s="416" t="s">
        <v>743</v>
      </c>
      <c r="H218" s="417" t="s">
        <v>259</v>
      </c>
      <c r="I218" s="417" t="s">
        <v>281</v>
      </c>
      <c r="J218" s="355" t="s">
        <v>1342</v>
      </c>
      <c r="L218" s="353" t="s">
        <v>52</v>
      </c>
      <c r="M218" s="423" t="s">
        <v>1505</v>
      </c>
      <c r="O218" s="355" t="s">
        <v>1610</v>
      </c>
      <c r="P218" s="95" t="s">
        <v>744</v>
      </c>
      <c r="Q218" s="96" t="s">
        <v>745</v>
      </c>
      <c r="R218" s="288" t="s">
        <v>1136</v>
      </c>
      <c r="S218" s="97">
        <v>2</v>
      </c>
      <c r="T218" s="423">
        <v>4</v>
      </c>
      <c r="V218" s="432">
        <f t="shared" si="10"/>
        <v>0</v>
      </c>
      <c r="W218" s="288" t="s">
        <v>263</v>
      </c>
      <c r="X218" s="288" t="str">
        <f>IF(W218=Llistes!$B$18,Llistes!$D$18,IF(W218=Llistes!$B$20,Llistes!$D$20,IF(W218=Llistes!$B$22,Llistes!$D$22,IF(W218=Llistes!$B$23,Llistes!$D$23,IF(W218=Llistes!$B$24,Llistes!$D$24,IF(W218=Llistes!$B$28,Llistes!$D$28))))))</f>
        <v>Tècnic coordinador</v>
      </c>
      <c r="Y218" s="288" t="s">
        <v>275</v>
      </c>
      <c r="Z218" s="325" t="s">
        <v>265</v>
      </c>
      <c r="AA218" s="94" t="s">
        <v>266</v>
      </c>
      <c r="AB218" s="94" t="s">
        <v>266</v>
      </c>
      <c r="AC218" s="94" t="s">
        <v>266</v>
      </c>
      <c r="AD218" s="94" t="s">
        <v>266</v>
      </c>
    </row>
    <row r="219" spans="1:30" ht="45">
      <c r="A219" s="339" t="s">
        <v>1501</v>
      </c>
      <c r="B219" s="369" t="s">
        <v>1663</v>
      </c>
      <c r="C219" s="368" t="s">
        <v>739</v>
      </c>
      <c r="D219" s="352" t="s">
        <v>740</v>
      </c>
      <c r="E219" s="391" t="s">
        <v>741</v>
      </c>
      <c r="F219" s="419" t="s">
        <v>742</v>
      </c>
      <c r="G219" s="416" t="s">
        <v>743</v>
      </c>
      <c r="H219" s="417" t="s">
        <v>259</v>
      </c>
      <c r="I219" s="417" t="s">
        <v>281</v>
      </c>
      <c r="J219" s="355" t="s">
        <v>1342</v>
      </c>
      <c r="L219" s="353" t="s">
        <v>52</v>
      </c>
      <c r="M219" s="423" t="s">
        <v>1505</v>
      </c>
      <c r="O219" s="355" t="s">
        <v>1609</v>
      </c>
      <c r="P219" s="95" t="s">
        <v>744</v>
      </c>
      <c r="Q219" s="96" t="s">
        <v>745</v>
      </c>
      <c r="R219" s="103" t="s">
        <v>1270</v>
      </c>
      <c r="S219" s="97"/>
      <c r="T219" s="423" t="s">
        <v>182</v>
      </c>
      <c r="V219" s="432">
        <f t="shared" si="10"/>
        <v>0</v>
      </c>
      <c r="W219" s="288" t="s">
        <v>835</v>
      </c>
      <c r="X219" s="288" t="s">
        <v>1189</v>
      </c>
      <c r="Y219" s="288" t="s">
        <v>264</v>
      </c>
      <c r="Z219" s="325" t="s">
        <v>265</v>
      </c>
      <c r="AA219" s="94" t="s">
        <v>266</v>
      </c>
      <c r="AB219" s="94" t="s">
        <v>266</v>
      </c>
      <c r="AC219" s="94" t="s">
        <v>266</v>
      </c>
      <c r="AD219" s="94" t="s">
        <v>266</v>
      </c>
    </row>
    <row r="220" spans="1:30" ht="45">
      <c r="A220" s="339" t="s">
        <v>1501</v>
      </c>
      <c r="B220" s="369" t="s">
        <v>1663</v>
      </c>
      <c r="C220" s="368" t="s">
        <v>739</v>
      </c>
      <c r="D220" s="352" t="s">
        <v>740</v>
      </c>
      <c r="E220" s="391" t="s">
        <v>741</v>
      </c>
      <c r="F220" s="419" t="s">
        <v>742</v>
      </c>
      <c r="G220" s="416" t="s">
        <v>743</v>
      </c>
      <c r="H220" s="417" t="s">
        <v>259</v>
      </c>
      <c r="I220" s="417" t="s">
        <v>281</v>
      </c>
      <c r="J220" s="355" t="s">
        <v>1342</v>
      </c>
      <c r="L220" s="353" t="s">
        <v>52</v>
      </c>
      <c r="M220" s="423" t="s">
        <v>1505</v>
      </c>
      <c r="O220" s="355" t="s">
        <v>1608</v>
      </c>
      <c r="P220" s="95" t="s">
        <v>744</v>
      </c>
      <c r="Q220" s="96" t="s">
        <v>745</v>
      </c>
      <c r="R220" s="103" t="s">
        <v>1270</v>
      </c>
      <c r="S220" s="97"/>
      <c r="T220" s="423" t="s">
        <v>182</v>
      </c>
      <c r="V220" s="432">
        <f t="shared" si="10"/>
        <v>0</v>
      </c>
      <c r="W220" s="288" t="s">
        <v>835</v>
      </c>
      <c r="X220" s="288" t="s">
        <v>1189</v>
      </c>
      <c r="Y220" s="288" t="s">
        <v>275</v>
      </c>
      <c r="Z220" s="325" t="s">
        <v>265</v>
      </c>
      <c r="AA220" s="94" t="s">
        <v>266</v>
      </c>
      <c r="AB220" s="94" t="s">
        <v>266</v>
      </c>
      <c r="AC220" s="94" t="s">
        <v>266</v>
      </c>
      <c r="AD220" s="94" t="s">
        <v>266</v>
      </c>
    </row>
    <row r="221" spans="1:30" ht="45">
      <c r="A221" s="339" t="s">
        <v>1501</v>
      </c>
      <c r="B221" s="369" t="s">
        <v>1663</v>
      </c>
      <c r="C221" s="368" t="s">
        <v>739</v>
      </c>
      <c r="D221" s="352" t="s">
        <v>740</v>
      </c>
      <c r="E221" s="391" t="s">
        <v>741</v>
      </c>
      <c r="F221" s="419" t="s">
        <v>746</v>
      </c>
      <c r="G221" s="416" t="s">
        <v>747</v>
      </c>
      <c r="H221" s="417" t="s">
        <v>259</v>
      </c>
      <c r="I221" s="417" t="s">
        <v>281</v>
      </c>
      <c r="J221" s="355" t="s">
        <v>1341</v>
      </c>
      <c r="L221" s="353" t="s">
        <v>52</v>
      </c>
      <c r="M221" s="423" t="s">
        <v>1505</v>
      </c>
      <c r="O221" s="355" t="s">
        <v>1607</v>
      </c>
      <c r="P221" s="95"/>
      <c r="Q221" s="96"/>
      <c r="R221" s="103" t="s">
        <v>1270</v>
      </c>
      <c r="S221" s="97"/>
      <c r="T221" s="423" t="s">
        <v>182</v>
      </c>
      <c r="V221" s="432">
        <f t="shared" si="10"/>
        <v>0</v>
      </c>
      <c r="W221" s="288" t="s">
        <v>835</v>
      </c>
      <c r="X221" s="288" t="s">
        <v>1189</v>
      </c>
      <c r="Y221" s="288" t="s">
        <v>275</v>
      </c>
      <c r="Z221" s="325" t="s">
        <v>265</v>
      </c>
      <c r="AA221" s="94" t="s">
        <v>266</v>
      </c>
      <c r="AB221" s="94" t="s">
        <v>266</v>
      </c>
      <c r="AC221" s="94" t="s">
        <v>266</v>
      </c>
      <c r="AD221" s="94" t="s">
        <v>266</v>
      </c>
    </row>
    <row r="222" spans="1:30" ht="45">
      <c r="A222" s="339" t="s">
        <v>1501</v>
      </c>
      <c r="B222" s="369" t="s">
        <v>1663</v>
      </c>
      <c r="C222" s="368" t="s">
        <v>739</v>
      </c>
      <c r="D222" s="352" t="s">
        <v>748</v>
      </c>
      <c r="E222" s="391" t="s">
        <v>749</v>
      </c>
      <c r="F222" s="419" t="s">
        <v>750</v>
      </c>
      <c r="G222" s="416" t="s">
        <v>751</v>
      </c>
      <c r="H222" s="417" t="s">
        <v>259</v>
      </c>
      <c r="I222" s="417" t="s">
        <v>281</v>
      </c>
      <c r="J222" s="355" t="s">
        <v>1340</v>
      </c>
      <c r="K222" s="101"/>
      <c r="L222" s="353"/>
      <c r="M222" s="423" t="s">
        <v>1505</v>
      </c>
      <c r="O222" s="355" t="s">
        <v>1725</v>
      </c>
      <c r="P222" s="95"/>
      <c r="Q222" s="96" t="s">
        <v>752</v>
      </c>
      <c r="R222" s="103" t="s">
        <v>1270</v>
      </c>
      <c r="S222" s="97"/>
      <c r="T222" s="423" t="s">
        <v>52</v>
      </c>
      <c r="V222" s="432">
        <f t="shared" si="10"/>
        <v>0</v>
      </c>
      <c r="W222" s="288" t="s">
        <v>835</v>
      </c>
      <c r="X222" s="288" t="s">
        <v>1189</v>
      </c>
      <c r="Y222" s="288" t="s">
        <v>275</v>
      </c>
      <c r="Z222" s="325" t="s">
        <v>265</v>
      </c>
      <c r="AA222" s="94" t="s">
        <v>266</v>
      </c>
      <c r="AB222" s="94" t="s">
        <v>266</v>
      </c>
      <c r="AC222" s="94" t="s">
        <v>266</v>
      </c>
      <c r="AD222" s="94" t="s">
        <v>266</v>
      </c>
    </row>
    <row r="223" spans="1:30" ht="45">
      <c r="A223" s="339" t="s">
        <v>1501</v>
      </c>
      <c r="B223" s="369" t="s">
        <v>1663</v>
      </c>
      <c r="C223" s="368" t="s">
        <v>739</v>
      </c>
      <c r="D223" s="352" t="s">
        <v>748</v>
      </c>
      <c r="E223" s="391" t="s">
        <v>749</v>
      </c>
      <c r="F223" s="419" t="s">
        <v>750</v>
      </c>
      <c r="G223" s="416" t="s">
        <v>751</v>
      </c>
      <c r="H223" s="417" t="s">
        <v>259</v>
      </c>
      <c r="I223" s="417" t="s">
        <v>281</v>
      </c>
      <c r="J223" s="355" t="s">
        <v>1340</v>
      </c>
      <c r="K223" s="101"/>
      <c r="L223" s="353"/>
      <c r="M223" s="423" t="s">
        <v>1505</v>
      </c>
      <c r="O223" s="355" t="s">
        <v>1729</v>
      </c>
      <c r="P223" s="95"/>
      <c r="Q223" s="96" t="s">
        <v>752</v>
      </c>
      <c r="R223" s="103" t="s">
        <v>1270</v>
      </c>
      <c r="S223" s="97"/>
      <c r="T223" s="423" t="s">
        <v>52</v>
      </c>
      <c r="V223" s="432">
        <f t="shared" ref="V223" si="11">U223*4</f>
        <v>0</v>
      </c>
      <c r="W223" s="288" t="s">
        <v>835</v>
      </c>
      <c r="X223" s="288" t="s">
        <v>1189</v>
      </c>
      <c r="Y223" s="288" t="s">
        <v>275</v>
      </c>
      <c r="Z223" s="325" t="s">
        <v>265</v>
      </c>
      <c r="AC223" s="94" t="s">
        <v>266</v>
      </c>
    </row>
    <row r="224" spans="1:30" ht="45">
      <c r="A224" s="339" t="s">
        <v>1501</v>
      </c>
      <c r="B224" s="369" t="s">
        <v>1663</v>
      </c>
      <c r="C224" s="368" t="s">
        <v>739</v>
      </c>
      <c r="D224" s="352" t="s">
        <v>748</v>
      </c>
      <c r="E224" s="391" t="s">
        <v>749</v>
      </c>
      <c r="F224" s="419" t="s">
        <v>750</v>
      </c>
      <c r="G224" s="416" t="s">
        <v>751</v>
      </c>
      <c r="H224" s="417" t="s">
        <v>259</v>
      </c>
      <c r="I224" s="417" t="s">
        <v>281</v>
      </c>
      <c r="J224" s="355" t="s">
        <v>1340</v>
      </c>
      <c r="K224" s="101"/>
      <c r="L224" s="353"/>
      <c r="M224" s="423" t="s">
        <v>1505</v>
      </c>
      <c r="O224" s="355" t="s">
        <v>1728</v>
      </c>
      <c r="P224" s="95"/>
      <c r="Q224" s="96" t="s">
        <v>752</v>
      </c>
      <c r="R224" s="103" t="s">
        <v>1726</v>
      </c>
      <c r="S224" s="97">
        <v>1</v>
      </c>
      <c r="T224" s="423" t="s">
        <v>1727</v>
      </c>
      <c r="V224" s="432">
        <f t="shared" ref="V224" si="12">U224*4</f>
        <v>0</v>
      </c>
      <c r="W224" s="288" t="s">
        <v>835</v>
      </c>
      <c r="X224" s="288" t="s">
        <v>1189</v>
      </c>
      <c r="Y224" s="288" t="s">
        <v>275</v>
      </c>
      <c r="Z224" s="325" t="s">
        <v>265</v>
      </c>
      <c r="AC224" s="94" t="s">
        <v>266</v>
      </c>
    </row>
    <row r="225" spans="1:30" ht="45">
      <c r="A225" s="339" t="s">
        <v>1501</v>
      </c>
      <c r="B225" s="369" t="s">
        <v>1663</v>
      </c>
      <c r="C225" s="368" t="s">
        <v>739</v>
      </c>
      <c r="D225" s="352" t="s">
        <v>753</v>
      </c>
      <c r="E225" s="391" t="s">
        <v>754</v>
      </c>
      <c r="F225" s="419" t="s">
        <v>755</v>
      </c>
      <c r="G225" s="416" t="s">
        <v>756</v>
      </c>
      <c r="H225" s="417" t="s">
        <v>259</v>
      </c>
      <c r="I225" s="417" t="s">
        <v>281</v>
      </c>
      <c r="J225" s="355" t="s">
        <v>1339</v>
      </c>
      <c r="L225" s="353" t="s">
        <v>52</v>
      </c>
      <c r="M225" s="423" t="s">
        <v>1505</v>
      </c>
      <c r="O225" s="355" t="s">
        <v>1612</v>
      </c>
      <c r="P225" s="95" t="s">
        <v>744</v>
      </c>
      <c r="Q225" s="96"/>
      <c r="R225" s="103" t="s">
        <v>1270</v>
      </c>
      <c r="S225" s="97"/>
      <c r="T225" s="423" t="s">
        <v>182</v>
      </c>
      <c r="V225" s="432">
        <f t="shared" si="10"/>
        <v>0</v>
      </c>
      <c r="W225" s="288" t="s">
        <v>835</v>
      </c>
      <c r="X225" s="288" t="s">
        <v>1189</v>
      </c>
      <c r="Y225" s="288" t="s">
        <v>275</v>
      </c>
      <c r="Z225" s="325" t="s">
        <v>265</v>
      </c>
      <c r="AA225" s="94" t="s">
        <v>266</v>
      </c>
      <c r="AB225" s="94" t="s">
        <v>266</v>
      </c>
      <c r="AC225" s="94" t="s">
        <v>266</v>
      </c>
      <c r="AD225" s="94" t="s">
        <v>266</v>
      </c>
    </row>
    <row r="226" spans="1:30" ht="45">
      <c r="A226" s="339" t="s">
        <v>1501</v>
      </c>
      <c r="B226" s="369" t="s">
        <v>1663</v>
      </c>
      <c r="C226" s="368" t="s">
        <v>739</v>
      </c>
      <c r="D226" s="352" t="s">
        <v>753</v>
      </c>
      <c r="E226" s="391" t="s">
        <v>754</v>
      </c>
      <c r="F226" s="419" t="s">
        <v>757</v>
      </c>
      <c r="G226" s="416" t="s">
        <v>758</v>
      </c>
      <c r="H226" s="417" t="s">
        <v>259</v>
      </c>
      <c r="I226" s="417" t="s">
        <v>281</v>
      </c>
      <c r="J226" s="355" t="s">
        <v>758</v>
      </c>
      <c r="L226" s="353" t="s">
        <v>52</v>
      </c>
      <c r="M226" s="423" t="s">
        <v>1505</v>
      </c>
      <c r="O226" s="355" t="s">
        <v>1139</v>
      </c>
      <c r="P226" s="95" t="s">
        <v>744</v>
      </c>
      <c r="Q226" s="96"/>
      <c r="R226" s="103" t="s">
        <v>1270</v>
      </c>
      <c r="S226" s="97"/>
      <c r="T226" s="423" t="s">
        <v>182</v>
      </c>
      <c r="V226" s="432">
        <f t="shared" si="10"/>
        <v>0</v>
      </c>
      <c r="W226" s="288" t="s">
        <v>263</v>
      </c>
      <c r="X226" s="288" t="str">
        <f>IF(W226=Llistes!$B$18,Llistes!$D$18,IF(W226=Llistes!$B$20,Llistes!$D$20,IF(W226=Llistes!$B$22,Llistes!$D$22,IF(W226=Llistes!$B$23,Llistes!$D$23,IF(W226=Llistes!$B$24,Llistes!$D$24,IF(W226=Llistes!$B$28,Llistes!$D$28))))))</f>
        <v>Tècnic coordinador</v>
      </c>
      <c r="Y226" s="288" t="s">
        <v>275</v>
      </c>
      <c r="Z226" s="325" t="s">
        <v>265</v>
      </c>
      <c r="AA226" s="94" t="s">
        <v>266</v>
      </c>
      <c r="AB226" s="94" t="s">
        <v>266</v>
      </c>
      <c r="AC226" s="94" t="s">
        <v>266</v>
      </c>
      <c r="AD226" s="94" t="s">
        <v>266</v>
      </c>
    </row>
    <row r="227" spans="1:30" ht="45">
      <c r="A227" s="362" t="s">
        <v>1502</v>
      </c>
      <c r="B227" s="396" t="s">
        <v>1664</v>
      </c>
      <c r="C227" s="397" t="s">
        <v>760</v>
      </c>
      <c r="D227" s="398" t="s">
        <v>761</v>
      </c>
      <c r="E227" s="399" t="s">
        <v>762</v>
      </c>
      <c r="F227" s="414" t="s">
        <v>763</v>
      </c>
      <c r="G227" s="412" t="s">
        <v>764</v>
      </c>
      <c r="H227" s="413" t="s">
        <v>259</v>
      </c>
      <c r="I227" s="413" t="s">
        <v>346</v>
      </c>
      <c r="J227" s="355" t="s">
        <v>1379</v>
      </c>
      <c r="L227" s="353" t="s">
        <v>52</v>
      </c>
      <c r="M227" s="423" t="s">
        <v>1505</v>
      </c>
      <c r="O227" s="355" t="s">
        <v>765</v>
      </c>
      <c r="P227" s="95"/>
      <c r="Q227" s="99"/>
      <c r="R227" s="288" t="s">
        <v>1272</v>
      </c>
      <c r="S227" s="285">
        <v>4</v>
      </c>
      <c r="T227" s="423">
        <v>4</v>
      </c>
      <c r="V227" s="432">
        <f t="shared" si="10"/>
        <v>0</v>
      </c>
      <c r="W227" s="288" t="s">
        <v>766</v>
      </c>
      <c r="X227" s="288" t="str">
        <f>IF(W227=Llistes!$B$18,Llistes!$D$18,IF(W227=Llistes!$B$20,Llistes!$D$20,IF(W227=Llistes!$B$22,Llistes!$D$22,IF(W227=Llistes!$B$23,Llistes!$D$23,IF(W227=Llistes!$B$24,Llistes!$D$24,IF(W227=Llistes!$B$28,Llistes!$D$28))))))</f>
        <v>Director</v>
      </c>
      <c r="Y227" s="288" t="s">
        <v>275</v>
      </c>
      <c r="Z227" s="325" t="s">
        <v>265</v>
      </c>
      <c r="AA227" s="94" t="s">
        <v>266</v>
      </c>
      <c r="AB227" s="94" t="s">
        <v>266</v>
      </c>
      <c r="AC227" s="94" t="s">
        <v>266</v>
      </c>
      <c r="AD227" s="94" t="s">
        <v>266</v>
      </c>
    </row>
    <row r="228" spans="1:30" ht="45">
      <c r="A228" s="362" t="s">
        <v>1502</v>
      </c>
      <c r="B228" s="396" t="s">
        <v>1664</v>
      </c>
      <c r="C228" s="397" t="s">
        <v>760</v>
      </c>
      <c r="D228" s="398" t="s">
        <v>761</v>
      </c>
      <c r="E228" s="399" t="s">
        <v>762</v>
      </c>
      <c r="F228" s="414" t="s">
        <v>767</v>
      </c>
      <c r="G228" s="412" t="s">
        <v>768</v>
      </c>
      <c r="H228" s="413" t="s">
        <v>259</v>
      </c>
      <c r="I228" s="413" t="s">
        <v>346</v>
      </c>
      <c r="J228" s="355" t="s">
        <v>1378</v>
      </c>
      <c r="L228" s="353" t="s">
        <v>52</v>
      </c>
      <c r="M228" s="423" t="s">
        <v>1505</v>
      </c>
      <c r="O228" s="355" t="s">
        <v>769</v>
      </c>
      <c r="P228" s="95"/>
      <c r="Q228" s="99"/>
      <c r="R228" s="103" t="s">
        <v>1270</v>
      </c>
      <c r="T228" s="423" t="s">
        <v>1141</v>
      </c>
      <c r="V228" s="432">
        <f t="shared" si="10"/>
        <v>0</v>
      </c>
      <c r="W228" s="288" t="s">
        <v>263</v>
      </c>
      <c r="X228" s="288" t="str">
        <f>IF(W228=Llistes!$B$18,Llistes!$D$18,IF(W228=Llistes!$B$20,Llistes!$D$20,IF(W228=Llistes!$B$22,Llistes!$D$22,IF(W228=Llistes!$B$23,Llistes!$D$23,IF(W228=Llistes!$B$24,Llistes!$D$24,IF(W228=Llistes!$B$28,Llistes!$D$28))))))</f>
        <v>Tècnic coordinador</v>
      </c>
      <c r="Y228" s="288" t="s">
        <v>275</v>
      </c>
      <c r="Z228" s="325" t="s">
        <v>265</v>
      </c>
      <c r="AA228" s="94" t="s">
        <v>266</v>
      </c>
    </row>
    <row r="229" spans="1:30" ht="76.150000000000006" customHeight="1">
      <c r="A229" s="362" t="s">
        <v>1502</v>
      </c>
      <c r="B229" s="396" t="s">
        <v>1664</v>
      </c>
      <c r="C229" s="397" t="s">
        <v>760</v>
      </c>
      <c r="D229" s="398" t="s">
        <v>761</v>
      </c>
      <c r="E229" s="399" t="s">
        <v>762</v>
      </c>
      <c r="F229" s="414" t="s">
        <v>767</v>
      </c>
      <c r="G229" s="412" t="s">
        <v>768</v>
      </c>
      <c r="H229" s="413" t="s">
        <v>259</v>
      </c>
      <c r="I229" s="413" t="s">
        <v>346</v>
      </c>
      <c r="J229" s="355" t="s">
        <v>1378</v>
      </c>
      <c r="L229" s="353" t="s">
        <v>52</v>
      </c>
      <c r="M229" s="423" t="s">
        <v>1505</v>
      </c>
      <c r="O229" s="355" t="s">
        <v>1613</v>
      </c>
      <c r="P229" s="95"/>
      <c r="Q229" s="99"/>
      <c r="R229" s="288" t="s">
        <v>1272</v>
      </c>
      <c r="S229" s="285">
        <v>2</v>
      </c>
      <c r="T229" s="423">
        <v>4</v>
      </c>
      <c r="V229" s="432">
        <f t="shared" si="10"/>
        <v>0</v>
      </c>
      <c r="W229" s="288" t="s">
        <v>766</v>
      </c>
      <c r="X229" s="288" t="str">
        <f>IF(W229=Llistes!$B$18,Llistes!$D$18,IF(W229=Llistes!$B$20,Llistes!$D$20,IF(W229=Llistes!$B$22,Llistes!$D$22,IF(W229=Llistes!$B$23,Llistes!$D$23,IF(W229=Llistes!$B$24,Llistes!$D$24,IF(W229=Llistes!$B$28,Llistes!$D$28))))))</f>
        <v>Director</v>
      </c>
      <c r="Y229" s="288" t="s">
        <v>275</v>
      </c>
      <c r="Z229" s="325" t="s">
        <v>265</v>
      </c>
      <c r="AA229" s="94" t="s">
        <v>266</v>
      </c>
      <c r="AB229" s="94" t="s">
        <v>266</v>
      </c>
      <c r="AC229" s="94" t="s">
        <v>266</v>
      </c>
      <c r="AD229" s="94" t="s">
        <v>266</v>
      </c>
    </row>
    <row r="230" spans="1:30" ht="73.5" customHeight="1">
      <c r="A230" s="362" t="s">
        <v>1502</v>
      </c>
      <c r="B230" s="396" t="s">
        <v>1664</v>
      </c>
      <c r="C230" s="397" t="s">
        <v>760</v>
      </c>
      <c r="D230" s="398" t="s">
        <v>761</v>
      </c>
      <c r="E230" s="399" t="s">
        <v>762</v>
      </c>
      <c r="F230" s="414" t="s">
        <v>771</v>
      </c>
      <c r="G230" s="412" t="s">
        <v>772</v>
      </c>
      <c r="H230" s="413" t="s">
        <v>259</v>
      </c>
      <c r="I230" s="413" t="s">
        <v>346</v>
      </c>
      <c r="K230" s="92" t="s">
        <v>773</v>
      </c>
      <c r="L230" s="353"/>
      <c r="M230" s="423" t="s">
        <v>1505</v>
      </c>
      <c r="O230" s="355"/>
      <c r="P230" s="95"/>
      <c r="Q230" s="99"/>
      <c r="V230" s="432">
        <f t="shared" si="10"/>
        <v>0</v>
      </c>
      <c r="W230" s="288"/>
      <c r="X230" s="288"/>
    </row>
    <row r="231" spans="1:30" ht="57.6" customHeight="1">
      <c r="A231" s="362" t="s">
        <v>1502</v>
      </c>
      <c r="B231" s="396" t="s">
        <v>1664</v>
      </c>
      <c r="C231" s="397" t="s">
        <v>760</v>
      </c>
      <c r="D231" s="398" t="s">
        <v>761</v>
      </c>
      <c r="E231" s="399" t="s">
        <v>762</v>
      </c>
      <c r="F231" s="414" t="s">
        <v>774</v>
      </c>
      <c r="G231" s="412" t="s">
        <v>775</v>
      </c>
      <c r="H231" s="413" t="s">
        <v>259</v>
      </c>
      <c r="I231" s="413" t="s">
        <v>281</v>
      </c>
      <c r="J231" s="355" t="s">
        <v>1377</v>
      </c>
      <c r="K231" s="286"/>
      <c r="L231" s="353" t="s">
        <v>52</v>
      </c>
      <c r="M231" s="423" t="s">
        <v>1504</v>
      </c>
      <c r="N231" s="285">
        <v>1</v>
      </c>
      <c r="O231" s="355" t="s">
        <v>1712</v>
      </c>
      <c r="P231" s="95"/>
      <c r="Q231" s="99" t="s">
        <v>777</v>
      </c>
      <c r="R231" s="103" t="s">
        <v>1270</v>
      </c>
      <c r="T231" s="423" t="s">
        <v>182</v>
      </c>
      <c r="V231" s="432">
        <f t="shared" si="10"/>
        <v>0</v>
      </c>
      <c r="W231" s="288" t="s">
        <v>766</v>
      </c>
      <c r="X231" s="288" t="str">
        <f>IF(W231=Llistes!$B$18,Llistes!$D$18,IF(W231=Llistes!$B$20,Llistes!$D$20,IF(W231=Llistes!$B$22,Llistes!$D$22,IF(W231=Llistes!$B$23,Llistes!$D$23,IF(W231=Llistes!$B$24,Llistes!$D$24,IF(W231=Llistes!$B$28,Llistes!$D$28))))))</f>
        <v>Director</v>
      </c>
      <c r="Y231" s="288" t="s">
        <v>275</v>
      </c>
      <c r="Z231" s="325" t="s">
        <v>265</v>
      </c>
      <c r="AA231" s="94" t="s">
        <v>266</v>
      </c>
    </row>
    <row r="232" spans="1:30" ht="54.6" customHeight="1">
      <c r="A232" s="362" t="s">
        <v>1502</v>
      </c>
      <c r="B232" s="396" t="s">
        <v>1664</v>
      </c>
      <c r="C232" s="397" t="s">
        <v>760</v>
      </c>
      <c r="D232" s="398" t="s">
        <v>761</v>
      </c>
      <c r="E232" s="399" t="s">
        <v>762</v>
      </c>
      <c r="F232" s="414" t="s">
        <v>774</v>
      </c>
      <c r="G232" s="412" t="s">
        <v>775</v>
      </c>
      <c r="H232" s="413" t="s">
        <v>259</v>
      </c>
      <c r="I232" s="413" t="s">
        <v>281</v>
      </c>
      <c r="J232" s="355" t="s">
        <v>1377</v>
      </c>
      <c r="L232" s="353" t="s">
        <v>52</v>
      </c>
      <c r="M232" s="423" t="s">
        <v>1504</v>
      </c>
      <c r="N232" s="285">
        <v>2</v>
      </c>
      <c r="O232" s="355" t="s">
        <v>1614</v>
      </c>
      <c r="P232" s="95"/>
      <c r="Q232" s="90" t="s">
        <v>777</v>
      </c>
      <c r="R232" s="103" t="s">
        <v>1270</v>
      </c>
      <c r="T232" s="423" t="s">
        <v>1141</v>
      </c>
      <c r="V232" s="432">
        <f t="shared" si="10"/>
        <v>0</v>
      </c>
      <c r="W232" s="288" t="s">
        <v>780</v>
      </c>
      <c r="X232" s="288" t="str">
        <f>IF(W232=Llistes!$B$18,Llistes!$D$18,IF(W232=Llistes!$B$20,Llistes!$D$20,IF(W232=Llistes!$B$22,Llistes!$D$22,IF(W232=Llistes!$B$23,Llistes!$D$23,IF(W232=Llistes!$B$24,Llistes!$D$24,IF(W232=Llistes!$B$28,Llistes!$D$28))))))</f>
        <v>President</v>
      </c>
      <c r="Y232" s="288" t="s">
        <v>275</v>
      </c>
      <c r="Z232" s="325" t="s">
        <v>265</v>
      </c>
      <c r="AA232" s="94" t="s">
        <v>266</v>
      </c>
    </row>
    <row r="233" spans="1:30" ht="45">
      <c r="A233" s="362" t="s">
        <v>1502</v>
      </c>
      <c r="B233" s="396" t="s">
        <v>1664</v>
      </c>
      <c r="C233" s="397" t="s">
        <v>760</v>
      </c>
      <c r="D233" s="398" t="s">
        <v>761</v>
      </c>
      <c r="E233" s="399" t="s">
        <v>762</v>
      </c>
      <c r="F233" s="414" t="s">
        <v>774</v>
      </c>
      <c r="G233" s="412" t="s">
        <v>775</v>
      </c>
      <c r="H233" s="413" t="s">
        <v>259</v>
      </c>
      <c r="I233" s="413" t="s">
        <v>281</v>
      </c>
      <c r="J233" s="355" t="s">
        <v>1377</v>
      </c>
      <c r="L233" s="353" t="s">
        <v>52</v>
      </c>
      <c r="M233" s="423" t="s">
        <v>1504</v>
      </c>
      <c r="O233" s="355" t="s">
        <v>1713</v>
      </c>
      <c r="P233" s="95" t="s">
        <v>778</v>
      </c>
      <c r="Q233" s="90">
        <v>1</v>
      </c>
      <c r="R233" s="103" t="s">
        <v>1270</v>
      </c>
      <c r="T233" s="423" t="s">
        <v>182</v>
      </c>
      <c r="V233" s="432">
        <f t="shared" si="10"/>
        <v>0</v>
      </c>
      <c r="W233" s="288" t="s">
        <v>766</v>
      </c>
      <c r="X233" s="288" t="str">
        <f>IF(W233=Llistes!$B$18,Llistes!$D$18,IF(W233=Llistes!$B$20,Llistes!$D$20,IF(W233=Llistes!$B$22,Llistes!$D$22,IF(W233=Llistes!$B$23,Llistes!$D$23,IF(W233=Llistes!$B$24,Llistes!$D$24,IF(W233=Llistes!$B$28,Llistes!$D$28))))))</f>
        <v>Director</v>
      </c>
      <c r="Y233" s="288" t="s">
        <v>275</v>
      </c>
      <c r="Z233" s="325" t="s">
        <v>265</v>
      </c>
      <c r="AD233" s="94" t="s">
        <v>266</v>
      </c>
    </row>
    <row r="234" spans="1:30" ht="45">
      <c r="A234" s="362" t="s">
        <v>1502</v>
      </c>
      <c r="B234" s="396" t="s">
        <v>1664</v>
      </c>
      <c r="C234" s="397" t="s">
        <v>760</v>
      </c>
      <c r="D234" s="398" t="s">
        <v>761</v>
      </c>
      <c r="E234" s="399" t="s">
        <v>762</v>
      </c>
      <c r="F234" s="414" t="s">
        <v>774</v>
      </c>
      <c r="G234" s="412" t="s">
        <v>775</v>
      </c>
      <c r="H234" s="413" t="s">
        <v>259</v>
      </c>
      <c r="I234" s="413" t="s">
        <v>281</v>
      </c>
      <c r="J234" s="355" t="s">
        <v>1377</v>
      </c>
      <c r="L234" s="353" t="s">
        <v>52</v>
      </c>
      <c r="M234" s="423" t="s">
        <v>1504</v>
      </c>
      <c r="O234" s="355" t="s">
        <v>1714</v>
      </c>
      <c r="P234" s="95"/>
      <c r="Q234" s="90" t="s">
        <v>777</v>
      </c>
      <c r="R234" s="103" t="s">
        <v>1270</v>
      </c>
      <c r="T234" s="423" t="s">
        <v>1141</v>
      </c>
      <c r="V234" s="432">
        <f t="shared" si="10"/>
        <v>0</v>
      </c>
      <c r="W234" s="288" t="s">
        <v>780</v>
      </c>
      <c r="X234" s="288" t="str">
        <f>IF(W234=Llistes!$B$18,Llistes!$D$18,IF(W234=Llistes!$B$20,Llistes!$D$20,IF(W234=Llistes!$B$22,Llistes!$D$22,IF(W234=Llistes!$B$23,Llistes!$D$23,IF(W234=Llistes!$B$24,Llistes!$D$24,IF(W234=Llistes!$B$28,Llistes!$D$28))))))</f>
        <v>President</v>
      </c>
      <c r="Y234" s="288" t="s">
        <v>275</v>
      </c>
      <c r="Z234" s="325" t="s">
        <v>265</v>
      </c>
      <c r="AD234" s="94" t="s">
        <v>266</v>
      </c>
    </row>
    <row r="235" spans="1:30" ht="45">
      <c r="A235" s="362" t="s">
        <v>1502</v>
      </c>
      <c r="B235" s="396" t="s">
        <v>1664</v>
      </c>
      <c r="C235" s="397" t="s">
        <v>760</v>
      </c>
      <c r="D235" s="398" t="s">
        <v>761</v>
      </c>
      <c r="E235" s="399" t="s">
        <v>762</v>
      </c>
      <c r="F235" s="414" t="s">
        <v>774</v>
      </c>
      <c r="G235" s="412" t="s">
        <v>775</v>
      </c>
      <c r="H235" s="413" t="s">
        <v>259</v>
      </c>
      <c r="I235" s="413" t="s">
        <v>281</v>
      </c>
      <c r="J235" s="355" t="s">
        <v>1377</v>
      </c>
      <c r="L235" s="353" t="s">
        <v>52</v>
      </c>
      <c r="M235" s="423" t="s">
        <v>1504</v>
      </c>
      <c r="O235" s="355" t="s">
        <v>1615</v>
      </c>
      <c r="R235" s="288" t="s">
        <v>778</v>
      </c>
      <c r="S235" s="285">
        <v>4</v>
      </c>
      <c r="T235" s="423">
        <v>4</v>
      </c>
      <c r="V235" s="432">
        <f t="shared" si="10"/>
        <v>0</v>
      </c>
      <c r="W235" s="288" t="s">
        <v>263</v>
      </c>
      <c r="X235" s="288" t="str">
        <f>IF(W235=Llistes!$B$18,Llistes!$D$18,IF(W235=Llistes!$B$20,Llistes!$D$20,IF(W235=Llistes!$B$22,Llistes!$D$22,IF(W235=Llistes!$B$23,Llistes!$D$23,IF(W235=Llistes!$B$24,Llistes!$D$24,IF(W235=Llistes!$B$28,Llistes!$D$28))))))</f>
        <v>Tècnic coordinador</v>
      </c>
      <c r="Y235" s="288" t="s">
        <v>275</v>
      </c>
      <c r="Z235" s="325" t="s">
        <v>265</v>
      </c>
      <c r="AA235" s="94" t="s">
        <v>266</v>
      </c>
      <c r="AB235" s="94" t="s">
        <v>266</v>
      </c>
      <c r="AC235" s="94" t="s">
        <v>266</v>
      </c>
      <c r="AD235" s="94" t="s">
        <v>266</v>
      </c>
    </row>
    <row r="236" spans="1:30" ht="45">
      <c r="A236" s="362" t="s">
        <v>1502</v>
      </c>
      <c r="B236" s="396" t="s">
        <v>1664</v>
      </c>
      <c r="C236" s="397" t="s">
        <v>760</v>
      </c>
      <c r="D236" s="398" t="s">
        <v>761</v>
      </c>
      <c r="E236" s="399" t="s">
        <v>762</v>
      </c>
      <c r="F236" s="414" t="s">
        <v>774</v>
      </c>
      <c r="G236" s="412" t="s">
        <v>775</v>
      </c>
      <c r="H236" s="413" t="s">
        <v>259</v>
      </c>
      <c r="I236" s="413" t="s">
        <v>281</v>
      </c>
      <c r="J236" s="355" t="s">
        <v>775</v>
      </c>
      <c r="L236" s="353" t="s">
        <v>52</v>
      </c>
      <c r="M236" s="423" t="s">
        <v>1504</v>
      </c>
      <c r="O236" s="355" t="s">
        <v>1616</v>
      </c>
      <c r="R236" s="288" t="s">
        <v>785</v>
      </c>
      <c r="T236" s="423">
        <v>4</v>
      </c>
      <c r="V236" s="432">
        <f t="shared" si="10"/>
        <v>0</v>
      </c>
      <c r="W236" s="288" t="s">
        <v>780</v>
      </c>
      <c r="X236" s="288" t="str">
        <f>IF(W236=Llistes!$B$18,Llistes!$D$18,IF(W236=Llistes!$B$20,Llistes!$D$20,IF(W236=Llistes!$B$22,Llistes!$D$22,IF(W236=Llistes!$B$23,Llistes!$D$23,IF(W236=Llistes!$B$24,Llistes!$D$24,IF(W236=Llistes!$B$28,Llistes!$D$28))))))</f>
        <v>President</v>
      </c>
      <c r="Y236" s="288" t="s">
        <v>275</v>
      </c>
      <c r="Z236" s="325" t="s">
        <v>265</v>
      </c>
      <c r="AA236" s="94" t="s">
        <v>266</v>
      </c>
      <c r="AB236" s="94" t="s">
        <v>266</v>
      </c>
      <c r="AC236" s="94" t="s">
        <v>266</v>
      </c>
      <c r="AD236" s="94" t="s">
        <v>266</v>
      </c>
    </row>
    <row r="237" spans="1:30" ht="45">
      <c r="A237" s="362" t="s">
        <v>1502</v>
      </c>
      <c r="B237" s="396" t="s">
        <v>1665</v>
      </c>
      <c r="C237" s="400" t="s">
        <v>786</v>
      </c>
      <c r="D237" s="398" t="s">
        <v>787</v>
      </c>
      <c r="E237" s="399" t="s">
        <v>788</v>
      </c>
      <c r="F237" s="414" t="s">
        <v>789</v>
      </c>
      <c r="G237" s="412" t="s">
        <v>790</v>
      </c>
      <c r="H237" s="413" t="s">
        <v>259</v>
      </c>
      <c r="I237" s="413" t="s">
        <v>281</v>
      </c>
      <c r="J237" s="355" t="s">
        <v>791</v>
      </c>
      <c r="L237" s="353" t="s">
        <v>52</v>
      </c>
      <c r="M237" s="423" t="s">
        <v>1504</v>
      </c>
      <c r="N237" s="285">
        <v>1</v>
      </c>
      <c r="O237" s="355" t="s">
        <v>1715</v>
      </c>
      <c r="R237" s="288" t="s">
        <v>778</v>
      </c>
      <c r="S237" s="285">
        <v>4</v>
      </c>
      <c r="T237" s="423">
        <v>4</v>
      </c>
      <c r="V237" s="432">
        <f t="shared" si="10"/>
        <v>0</v>
      </c>
      <c r="W237" s="288" t="s">
        <v>263</v>
      </c>
      <c r="X237" s="288" t="str">
        <f>IF(W237=Llistes!$B$18,Llistes!$D$18,IF(W237=Llistes!$B$20,Llistes!$D$20,IF(W237=Llistes!$B$22,Llistes!$D$22,IF(W237=Llistes!$B$23,Llistes!$D$23,IF(W237=Llistes!$B$24,Llistes!$D$24,IF(W237=Llistes!$B$28,Llistes!$D$28))))))</f>
        <v>Tècnic coordinador</v>
      </c>
      <c r="Y237" s="288" t="s">
        <v>275</v>
      </c>
      <c r="Z237" s="325" t="s">
        <v>265</v>
      </c>
      <c r="AA237" s="94" t="s">
        <v>266</v>
      </c>
      <c r="AB237" s="94" t="s">
        <v>266</v>
      </c>
      <c r="AC237" s="94" t="s">
        <v>266</v>
      </c>
      <c r="AD237" s="94" t="s">
        <v>266</v>
      </c>
    </row>
    <row r="238" spans="1:30" ht="45">
      <c r="A238" s="362" t="s">
        <v>1502</v>
      </c>
      <c r="B238" s="396" t="s">
        <v>1665</v>
      </c>
      <c r="C238" s="400" t="s">
        <v>786</v>
      </c>
      <c r="D238" s="398" t="s">
        <v>787</v>
      </c>
      <c r="E238" s="399" t="s">
        <v>788</v>
      </c>
      <c r="F238" s="414" t="s">
        <v>789</v>
      </c>
      <c r="G238" s="412" t="s">
        <v>790</v>
      </c>
      <c r="H238" s="413" t="s">
        <v>259</v>
      </c>
      <c r="I238" s="413" t="s">
        <v>281</v>
      </c>
      <c r="J238" s="355" t="s">
        <v>791</v>
      </c>
      <c r="L238" s="353" t="s">
        <v>52</v>
      </c>
      <c r="M238" s="423" t="s">
        <v>1504</v>
      </c>
      <c r="N238" s="285">
        <v>2</v>
      </c>
      <c r="O238" s="355" t="s">
        <v>1617</v>
      </c>
      <c r="R238" s="288" t="s">
        <v>785</v>
      </c>
      <c r="S238" s="285">
        <v>4</v>
      </c>
      <c r="T238" s="423">
        <v>4</v>
      </c>
      <c r="V238" s="432">
        <f t="shared" si="10"/>
        <v>0</v>
      </c>
      <c r="W238" s="288" t="s">
        <v>766</v>
      </c>
      <c r="X238" s="288" t="str">
        <f>IF(W238=Llistes!$B$18,Llistes!$D$18,IF(W238=Llistes!$B$20,Llistes!$D$20,IF(W238=Llistes!$B$22,Llistes!$D$22,IF(W238=Llistes!$B$23,Llistes!$D$23,IF(W238=Llistes!$B$24,Llistes!$D$24,IF(W238=Llistes!$B$28,Llistes!$D$28))))))</f>
        <v>Director</v>
      </c>
      <c r="Y238" s="288" t="s">
        <v>275</v>
      </c>
      <c r="Z238" s="325" t="s">
        <v>265</v>
      </c>
      <c r="AA238" s="94" t="s">
        <v>266</v>
      </c>
      <c r="AB238" s="94" t="s">
        <v>266</v>
      </c>
      <c r="AC238" s="94" t="s">
        <v>266</v>
      </c>
      <c r="AD238" s="94" t="s">
        <v>266</v>
      </c>
    </row>
    <row r="239" spans="1:30" ht="45">
      <c r="A239" s="362" t="s">
        <v>1502</v>
      </c>
      <c r="B239" s="396" t="s">
        <v>1665</v>
      </c>
      <c r="C239" s="400" t="s">
        <v>786</v>
      </c>
      <c r="D239" s="398" t="s">
        <v>787</v>
      </c>
      <c r="E239" s="399" t="s">
        <v>788</v>
      </c>
      <c r="F239" s="414" t="s">
        <v>789</v>
      </c>
      <c r="G239" s="412" t="s">
        <v>790</v>
      </c>
      <c r="H239" s="413" t="s">
        <v>259</v>
      </c>
      <c r="I239" s="413" t="s">
        <v>281</v>
      </c>
      <c r="J239" s="355" t="s">
        <v>791</v>
      </c>
      <c r="L239" s="353" t="s">
        <v>52</v>
      </c>
      <c r="M239" s="423" t="s">
        <v>1504</v>
      </c>
      <c r="N239" s="94">
        <v>0</v>
      </c>
      <c r="O239" s="355" t="s">
        <v>1618</v>
      </c>
      <c r="P239" s="95"/>
      <c r="Q239" s="99"/>
      <c r="R239" s="103" t="s">
        <v>1270</v>
      </c>
      <c r="T239" s="423" t="s">
        <v>182</v>
      </c>
      <c r="V239" s="432">
        <f t="shared" si="10"/>
        <v>0</v>
      </c>
      <c r="W239" s="288" t="s">
        <v>286</v>
      </c>
      <c r="X239" s="288" t="str">
        <f>IF(W239=Llistes!$B$18,Llistes!$D$18,IF(W239=Llistes!$B$20,Llistes!$D$20,IF(W239=Llistes!$B$22,Llistes!$D$22,IF(W239=Llistes!$B$23,Llistes!$D$23,IF(W239=Llistes!$B$24,Llistes!$D$24,IF(W239=Llistes!$B$28,Llistes!$D$28))))))</f>
        <v>Interventora</v>
      </c>
      <c r="Y239" s="288" t="s">
        <v>275</v>
      </c>
      <c r="Z239" s="325" t="s">
        <v>265</v>
      </c>
      <c r="AA239" s="94" t="s">
        <v>266</v>
      </c>
      <c r="AB239" s="94" t="s">
        <v>266</v>
      </c>
      <c r="AC239" s="94" t="s">
        <v>266</v>
      </c>
      <c r="AD239" s="94" t="s">
        <v>266</v>
      </c>
    </row>
    <row r="240" spans="1:30" ht="45">
      <c r="A240" s="362" t="s">
        <v>1502</v>
      </c>
      <c r="B240" s="396" t="s">
        <v>1665</v>
      </c>
      <c r="C240" s="400" t="s">
        <v>786</v>
      </c>
      <c r="D240" s="398" t="s">
        <v>787</v>
      </c>
      <c r="E240" s="399" t="s">
        <v>788</v>
      </c>
      <c r="F240" s="414" t="s">
        <v>789</v>
      </c>
      <c r="G240" s="412" t="s">
        <v>790</v>
      </c>
      <c r="H240" s="413" t="s">
        <v>259</v>
      </c>
      <c r="I240" s="413" t="s">
        <v>281</v>
      </c>
      <c r="J240" s="355" t="s">
        <v>791</v>
      </c>
      <c r="L240" s="353" t="s">
        <v>52</v>
      </c>
      <c r="M240" s="423" t="s">
        <v>1504</v>
      </c>
      <c r="N240" s="285">
        <v>5</v>
      </c>
      <c r="O240" s="355" t="s">
        <v>1619</v>
      </c>
      <c r="P240" s="95"/>
      <c r="Q240" s="99"/>
      <c r="R240" s="103" t="s">
        <v>1270</v>
      </c>
      <c r="T240" s="423" t="s">
        <v>182</v>
      </c>
      <c r="V240" s="432">
        <f t="shared" si="10"/>
        <v>0</v>
      </c>
      <c r="W240" s="288" t="s">
        <v>286</v>
      </c>
      <c r="X240" s="288" t="str">
        <f>IF(W240=Llistes!$B$18,Llistes!$D$18,IF(W240=Llistes!$B$20,Llistes!$D$20,IF(W240=Llistes!$B$22,Llistes!$D$22,IF(W240=Llistes!$B$23,Llistes!$D$23,IF(W240=Llistes!$B$24,Llistes!$D$24,IF(W240=Llistes!$B$28,Llistes!$D$28))))))</f>
        <v>Interventora</v>
      </c>
      <c r="Y240" s="288" t="s">
        <v>264</v>
      </c>
      <c r="Z240" s="325" t="s">
        <v>796</v>
      </c>
      <c r="AA240" s="94" t="s">
        <v>266</v>
      </c>
      <c r="AB240" s="94" t="s">
        <v>266</v>
      </c>
      <c r="AC240" s="94" t="s">
        <v>266</v>
      </c>
      <c r="AD240" s="94" t="s">
        <v>266</v>
      </c>
    </row>
    <row r="241" spans="1:30" ht="45">
      <c r="A241" s="362" t="s">
        <v>1502</v>
      </c>
      <c r="B241" s="396" t="s">
        <v>1665</v>
      </c>
      <c r="C241" s="400" t="s">
        <v>786</v>
      </c>
      <c r="D241" s="398" t="s">
        <v>787</v>
      </c>
      <c r="E241" s="399" t="s">
        <v>788</v>
      </c>
      <c r="F241" s="414" t="s">
        <v>789</v>
      </c>
      <c r="G241" s="412" t="s">
        <v>790</v>
      </c>
      <c r="H241" s="413" t="s">
        <v>259</v>
      </c>
      <c r="I241" s="413" t="s">
        <v>281</v>
      </c>
      <c r="J241" s="355" t="s">
        <v>791</v>
      </c>
      <c r="L241" s="353" t="s">
        <v>52</v>
      </c>
      <c r="M241" s="423" t="s">
        <v>1504</v>
      </c>
      <c r="N241" s="285">
        <v>3</v>
      </c>
      <c r="O241" s="355" t="s">
        <v>1717</v>
      </c>
      <c r="P241" s="95"/>
      <c r="Q241" s="99"/>
      <c r="R241" s="103" t="s">
        <v>1270</v>
      </c>
      <c r="T241" s="423" t="s">
        <v>182</v>
      </c>
      <c r="V241" s="432">
        <f t="shared" si="10"/>
        <v>0</v>
      </c>
      <c r="W241" s="288" t="s">
        <v>286</v>
      </c>
      <c r="X241" s="288" t="str">
        <f>IF(W241=Llistes!$B$18,Llistes!$D$18,IF(W241=Llistes!$B$20,Llistes!$D$20,IF(W241=Llistes!$B$22,Llistes!$D$22,IF(W241=Llistes!$B$23,Llistes!$D$23,IF(W241=Llistes!$B$24,Llistes!$D$24,IF(W241=Llistes!$B$28,Llistes!$D$28))))))</f>
        <v>Interventora</v>
      </c>
      <c r="Y241" s="288" t="s">
        <v>275</v>
      </c>
      <c r="Z241" s="325" t="s">
        <v>265</v>
      </c>
      <c r="AA241" s="94" t="s">
        <v>266</v>
      </c>
      <c r="AB241" s="94" t="s">
        <v>266</v>
      </c>
      <c r="AC241" s="94" t="s">
        <v>266</v>
      </c>
      <c r="AD241" s="94" t="s">
        <v>266</v>
      </c>
    </row>
    <row r="242" spans="1:30" ht="45">
      <c r="A242" s="362" t="s">
        <v>1502</v>
      </c>
      <c r="B242" s="396" t="s">
        <v>1665</v>
      </c>
      <c r="C242" s="400" t="s">
        <v>786</v>
      </c>
      <c r="D242" s="398" t="s">
        <v>787</v>
      </c>
      <c r="E242" s="399" t="s">
        <v>788</v>
      </c>
      <c r="F242" s="414" t="s">
        <v>789</v>
      </c>
      <c r="G242" s="412" t="s">
        <v>790</v>
      </c>
      <c r="H242" s="413" t="s">
        <v>259</v>
      </c>
      <c r="I242" s="413" t="s">
        <v>281</v>
      </c>
      <c r="J242" s="355" t="s">
        <v>791</v>
      </c>
      <c r="L242" s="353" t="s">
        <v>52</v>
      </c>
      <c r="M242" s="423" t="s">
        <v>1504</v>
      </c>
      <c r="N242" s="285">
        <v>4</v>
      </c>
      <c r="O242" s="355" t="s">
        <v>1716</v>
      </c>
      <c r="P242" s="95"/>
      <c r="Q242" s="99"/>
      <c r="R242" s="103" t="s">
        <v>1270</v>
      </c>
      <c r="T242" s="423" t="s">
        <v>182</v>
      </c>
      <c r="V242" s="432">
        <f t="shared" si="10"/>
        <v>0</v>
      </c>
      <c r="W242" s="288" t="s">
        <v>780</v>
      </c>
      <c r="X242" s="288" t="str">
        <f>IF(W242=Llistes!$B$18,Llistes!$D$18,IF(W242=Llistes!$B$20,Llistes!$D$20,IF(W242=Llistes!$B$22,Llistes!$D$22,IF(W242=Llistes!$B$23,Llistes!$D$23,IF(W242=Llistes!$B$24,Llistes!$D$24,IF(W242=Llistes!$B$28,Llistes!$D$28))))))</f>
        <v>President</v>
      </c>
      <c r="Y242" s="288" t="s">
        <v>275</v>
      </c>
      <c r="Z242" s="325" t="s">
        <v>265</v>
      </c>
      <c r="AA242" s="94" t="s">
        <v>266</v>
      </c>
      <c r="AB242" s="94" t="s">
        <v>266</v>
      </c>
      <c r="AC242" s="94" t="s">
        <v>266</v>
      </c>
      <c r="AD242" s="94" t="s">
        <v>266</v>
      </c>
    </row>
    <row r="243" spans="1:30" ht="45">
      <c r="A243" s="362" t="s">
        <v>1502</v>
      </c>
      <c r="B243" s="396" t="s">
        <v>1665</v>
      </c>
      <c r="C243" s="400" t="s">
        <v>786</v>
      </c>
      <c r="D243" s="398" t="s">
        <v>787</v>
      </c>
      <c r="E243" s="399" t="s">
        <v>788</v>
      </c>
      <c r="F243" s="414" t="s">
        <v>789</v>
      </c>
      <c r="G243" s="412" t="s">
        <v>790</v>
      </c>
      <c r="H243" s="413" t="s">
        <v>259</v>
      </c>
      <c r="I243" s="413" t="s">
        <v>281</v>
      </c>
      <c r="J243" s="355" t="s">
        <v>791</v>
      </c>
      <c r="L243" s="353" t="s">
        <v>52</v>
      </c>
      <c r="M243" s="423" t="s">
        <v>1504</v>
      </c>
      <c r="N243" s="285">
        <v>6</v>
      </c>
      <c r="O243" s="355" t="s">
        <v>1719</v>
      </c>
      <c r="P243" s="95"/>
      <c r="Q243" s="99"/>
      <c r="R243" s="103" t="s">
        <v>1270</v>
      </c>
      <c r="T243" s="423" t="s">
        <v>182</v>
      </c>
      <c r="V243" s="432">
        <f t="shared" si="10"/>
        <v>0</v>
      </c>
      <c r="W243" s="288" t="s">
        <v>286</v>
      </c>
      <c r="X243" s="288" t="str">
        <f>IF(W243=Llistes!$B$18,Llistes!$D$18,IF(W243=Llistes!$B$20,Llistes!$D$20,IF(W243=Llistes!$B$22,Llistes!$D$22,IF(W243=Llistes!$B$23,Llistes!$D$23,IF(W243=Llistes!$B$24,Llistes!$D$24,IF(W243=Llistes!$B$28,Llistes!$D$28))))))</f>
        <v>Interventora</v>
      </c>
      <c r="Z243" s="325" t="s">
        <v>265</v>
      </c>
      <c r="AA243" s="94" t="s">
        <v>266</v>
      </c>
      <c r="AB243" s="94" t="s">
        <v>266</v>
      </c>
      <c r="AC243" s="94" t="s">
        <v>266</v>
      </c>
      <c r="AD243" s="94" t="s">
        <v>266</v>
      </c>
    </row>
    <row r="244" spans="1:30" ht="45">
      <c r="A244" s="362" t="s">
        <v>1502</v>
      </c>
      <c r="B244" s="396" t="s">
        <v>1665</v>
      </c>
      <c r="C244" s="400" t="s">
        <v>786</v>
      </c>
      <c r="D244" s="398" t="s">
        <v>787</v>
      </c>
      <c r="E244" s="399" t="s">
        <v>788</v>
      </c>
      <c r="F244" s="414" t="s">
        <v>789</v>
      </c>
      <c r="G244" s="412" t="s">
        <v>790</v>
      </c>
      <c r="H244" s="413" t="s">
        <v>259</v>
      </c>
      <c r="I244" s="413" t="s">
        <v>281</v>
      </c>
      <c r="J244" s="355" t="s">
        <v>791</v>
      </c>
      <c r="L244" s="353" t="s">
        <v>52</v>
      </c>
      <c r="M244" s="423" t="s">
        <v>1504</v>
      </c>
      <c r="N244" s="285">
        <v>7</v>
      </c>
      <c r="O244" s="355" t="s">
        <v>1718</v>
      </c>
      <c r="P244" s="95"/>
      <c r="Q244" s="99"/>
      <c r="R244" s="103" t="s">
        <v>1270</v>
      </c>
      <c r="T244" s="423" t="s">
        <v>182</v>
      </c>
      <c r="V244" s="432">
        <f t="shared" si="10"/>
        <v>0</v>
      </c>
      <c r="W244" s="288" t="s">
        <v>780</v>
      </c>
      <c r="X244" s="288" t="str">
        <f>IF(W244=Llistes!$B$18,Llistes!$D$18,IF(W244=Llistes!$B$20,Llistes!$D$20,IF(W244=Llistes!$B$22,Llistes!$D$22,IF(W244=Llistes!$B$23,Llistes!$D$23,IF(W244=Llistes!$B$24,Llistes!$D$24,IF(W244=Llistes!$B$28,Llistes!$D$28))))))</f>
        <v>President</v>
      </c>
      <c r="Y244" s="288" t="s">
        <v>275</v>
      </c>
      <c r="Z244" s="325" t="s">
        <v>265</v>
      </c>
      <c r="AA244" s="94" t="s">
        <v>266</v>
      </c>
      <c r="AB244" s="94" t="s">
        <v>266</v>
      </c>
      <c r="AC244" s="94" t="s">
        <v>266</v>
      </c>
      <c r="AD244" s="94" t="s">
        <v>266</v>
      </c>
    </row>
    <row r="245" spans="1:30" ht="72" customHeight="1">
      <c r="A245" s="362" t="s">
        <v>1502</v>
      </c>
      <c r="B245" s="396" t="s">
        <v>1665</v>
      </c>
      <c r="C245" s="400" t="s">
        <v>786</v>
      </c>
      <c r="D245" s="398" t="s">
        <v>787</v>
      </c>
      <c r="E245" s="399" t="s">
        <v>788</v>
      </c>
      <c r="F245" s="414" t="s">
        <v>789</v>
      </c>
      <c r="G245" s="412" t="s">
        <v>790</v>
      </c>
      <c r="H245" s="413" t="s">
        <v>259</v>
      </c>
      <c r="I245" s="413" t="s">
        <v>281</v>
      </c>
      <c r="J245" s="355" t="s">
        <v>1376</v>
      </c>
      <c r="L245" s="353" t="s">
        <v>52</v>
      </c>
      <c r="M245" s="423" t="s">
        <v>1505</v>
      </c>
      <c r="N245" s="285">
        <v>0</v>
      </c>
      <c r="O245" s="355" t="s">
        <v>1720</v>
      </c>
      <c r="P245" s="95"/>
      <c r="Q245" s="99"/>
      <c r="R245" s="288" t="s">
        <v>291</v>
      </c>
      <c r="S245" s="285">
        <v>1</v>
      </c>
      <c r="T245" s="423">
        <v>4</v>
      </c>
      <c r="V245" s="432">
        <f t="shared" si="10"/>
        <v>0</v>
      </c>
      <c r="W245" s="288" t="s">
        <v>263</v>
      </c>
      <c r="X245" s="288" t="str">
        <f>IF(W245=Llistes!$B$18,Llistes!$D$18,IF(W245=Llistes!$B$20,Llistes!$D$20,IF(W245=Llistes!$B$22,Llistes!$D$22,IF(W245=Llistes!$B$23,Llistes!$D$23,IF(W245=Llistes!$B$24,Llistes!$D$24,IF(W245=Llistes!$B$28,Llistes!$D$28))))))</f>
        <v>Tècnic coordinador</v>
      </c>
      <c r="Y245" s="288" t="s">
        <v>275</v>
      </c>
      <c r="Z245" s="325" t="s">
        <v>265</v>
      </c>
      <c r="AA245" s="94" t="s">
        <v>266</v>
      </c>
      <c r="AB245" s="94" t="s">
        <v>266</v>
      </c>
      <c r="AC245" s="94" t="s">
        <v>266</v>
      </c>
      <c r="AD245" s="94" t="s">
        <v>266</v>
      </c>
    </row>
    <row r="246" spans="1:30" ht="75" customHeight="1">
      <c r="A246" s="362" t="s">
        <v>1502</v>
      </c>
      <c r="B246" s="396" t="s">
        <v>1665</v>
      </c>
      <c r="C246" s="400" t="s">
        <v>786</v>
      </c>
      <c r="D246" s="398" t="s">
        <v>803</v>
      </c>
      <c r="E246" s="399" t="s">
        <v>804</v>
      </c>
      <c r="F246" s="414" t="s">
        <v>805</v>
      </c>
      <c r="G246" s="412" t="s">
        <v>806</v>
      </c>
      <c r="H246" s="413" t="s">
        <v>259</v>
      </c>
      <c r="I246" s="413" t="s">
        <v>281</v>
      </c>
      <c r="J246" s="355" t="s">
        <v>1375</v>
      </c>
      <c r="K246" s="92" t="s">
        <v>808</v>
      </c>
      <c r="L246" s="353" t="s">
        <v>52</v>
      </c>
      <c r="M246" s="423" t="s">
        <v>1505</v>
      </c>
      <c r="O246" s="355" t="s">
        <v>809</v>
      </c>
      <c r="P246" s="95"/>
      <c r="Q246" s="96" t="s">
        <v>810</v>
      </c>
      <c r="R246" s="288" t="s">
        <v>291</v>
      </c>
      <c r="S246" s="285">
        <v>2</v>
      </c>
      <c r="T246" s="423">
        <v>4</v>
      </c>
      <c r="V246" s="432">
        <f t="shared" si="10"/>
        <v>0</v>
      </c>
      <c r="W246" s="288" t="s">
        <v>263</v>
      </c>
      <c r="X246" s="288" t="str">
        <f>IF(W246=Llistes!$B$18,Llistes!$D$18,IF(W246=Llistes!$B$20,Llistes!$D$20,IF(W246=Llistes!$B$22,Llistes!$D$22,IF(W246=Llistes!$B$23,Llistes!$D$23,IF(W246=Llistes!$B$24,Llistes!$D$24,IF(W246=Llistes!$B$28,Llistes!$D$28))))))</f>
        <v>Tècnic coordinador</v>
      </c>
      <c r="Y246" s="288" t="s">
        <v>275</v>
      </c>
      <c r="Z246" s="325" t="s">
        <v>265</v>
      </c>
      <c r="AA246" s="94" t="s">
        <v>266</v>
      </c>
      <c r="AB246" s="94" t="s">
        <v>266</v>
      </c>
      <c r="AC246" s="94" t="s">
        <v>266</v>
      </c>
      <c r="AD246" s="94" t="s">
        <v>266</v>
      </c>
    </row>
    <row r="247" spans="1:30" ht="60">
      <c r="A247" s="362" t="s">
        <v>1502</v>
      </c>
      <c r="B247" s="396" t="s">
        <v>1665</v>
      </c>
      <c r="C247" s="400" t="s">
        <v>786</v>
      </c>
      <c r="D247" s="398" t="s">
        <v>803</v>
      </c>
      <c r="E247" s="399" t="s">
        <v>804</v>
      </c>
      <c r="F247" s="414" t="s">
        <v>805</v>
      </c>
      <c r="G247" s="412" t="s">
        <v>806</v>
      </c>
      <c r="H247" s="413" t="s">
        <v>259</v>
      </c>
      <c r="I247" s="413" t="s">
        <v>281</v>
      </c>
      <c r="J247" s="355" t="s">
        <v>1375</v>
      </c>
      <c r="K247" s="92" t="s">
        <v>808</v>
      </c>
      <c r="L247" s="353" t="s">
        <v>52</v>
      </c>
      <c r="M247" s="423" t="s">
        <v>1505</v>
      </c>
      <c r="O247" s="355" t="s">
        <v>1620</v>
      </c>
      <c r="P247" s="95"/>
      <c r="Q247" s="96" t="s">
        <v>810</v>
      </c>
      <c r="R247" s="288" t="s">
        <v>812</v>
      </c>
      <c r="S247" s="285">
        <v>1</v>
      </c>
      <c r="T247" s="423">
        <v>2</v>
      </c>
      <c r="V247" s="432">
        <f t="shared" si="10"/>
        <v>0</v>
      </c>
      <c r="W247" s="288" t="s">
        <v>813</v>
      </c>
      <c r="X247" s="288" t="str">
        <f>IF(W247=Llistes!$B$18,Llistes!$D$18,IF(W247=Llistes!$B$20,Llistes!$D$20,IF(W247=Llistes!$B$22,Llistes!$D$22,IF(W247=Llistes!$B$23,Llistes!$D$23,IF(W247=Llistes!$B$24,Llistes!$D$24,IF(W247=Llistes!$B$28,Llistes!$D$28))))))</f>
        <v>Secretària</v>
      </c>
      <c r="Y247" s="288" t="s">
        <v>275</v>
      </c>
      <c r="Z247" s="325" t="s">
        <v>265</v>
      </c>
      <c r="AA247" s="94" t="s">
        <v>266</v>
      </c>
      <c r="AB247" s="94" t="s">
        <v>266</v>
      </c>
      <c r="AC247" s="94" t="s">
        <v>266</v>
      </c>
      <c r="AD247" s="94" t="s">
        <v>266</v>
      </c>
    </row>
    <row r="248" spans="1:30" ht="60">
      <c r="A248" s="362" t="s">
        <v>1502</v>
      </c>
      <c r="B248" s="396" t="s">
        <v>1665</v>
      </c>
      <c r="C248" s="400" t="s">
        <v>786</v>
      </c>
      <c r="D248" s="398" t="s">
        <v>803</v>
      </c>
      <c r="E248" s="399" t="s">
        <v>804</v>
      </c>
      <c r="F248" s="414" t="s">
        <v>805</v>
      </c>
      <c r="G248" s="412" t="s">
        <v>806</v>
      </c>
      <c r="H248" s="413" t="s">
        <v>259</v>
      </c>
      <c r="I248" s="413" t="s">
        <v>281</v>
      </c>
      <c r="J248" s="355" t="s">
        <v>1375</v>
      </c>
      <c r="L248" s="353" t="s">
        <v>52</v>
      </c>
      <c r="M248" s="423" t="s">
        <v>1505</v>
      </c>
      <c r="O248" s="355" t="s">
        <v>1621</v>
      </c>
      <c r="P248" s="95"/>
      <c r="Q248" s="96"/>
      <c r="R248" s="103" t="s">
        <v>1270</v>
      </c>
      <c r="T248" s="423" t="s">
        <v>182</v>
      </c>
      <c r="V248" s="432">
        <f t="shared" si="10"/>
        <v>0</v>
      </c>
      <c r="W248" s="288" t="s">
        <v>815</v>
      </c>
      <c r="X248" s="288" t="str">
        <f>IF(W248=Llistes!$B$18,Llistes!$D$18,IF(W248=Llistes!$B$20,Llistes!$D$20,IF(W248=Llistes!$B$22,Llistes!$D$22,IF(W248=Llistes!$B$23,Llistes!$D$23,IF(W248=Llistes!$B$24,Llistes!$D$24,IF(W248=Llistes!$B$28,Llistes!$D$28))))))</f>
        <v>Gestora administrativa</v>
      </c>
      <c r="Y248" s="288" t="s">
        <v>275</v>
      </c>
      <c r="Z248" s="325" t="s">
        <v>265</v>
      </c>
      <c r="AA248" s="94" t="s">
        <v>266</v>
      </c>
      <c r="AB248" s="94" t="s">
        <v>266</v>
      </c>
      <c r="AC248" s="94" t="s">
        <v>266</v>
      </c>
      <c r="AD248" s="94" t="s">
        <v>266</v>
      </c>
    </row>
    <row r="249" spans="1:30" ht="87" customHeight="1">
      <c r="A249" s="362" t="s">
        <v>1502</v>
      </c>
      <c r="B249" s="396" t="s">
        <v>1665</v>
      </c>
      <c r="C249" s="400" t="s">
        <v>786</v>
      </c>
      <c r="D249" s="398" t="s">
        <v>803</v>
      </c>
      <c r="E249" s="399" t="s">
        <v>804</v>
      </c>
      <c r="F249" s="414" t="s">
        <v>816</v>
      </c>
      <c r="G249" s="421" t="s">
        <v>817</v>
      </c>
      <c r="H249" s="413" t="s">
        <v>259</v>
      </c>
      <c r="I249" s="413" t="s">
        <v>281</v>
      </c>
      <c r="J249" s="355" t="s">
        <v>1374</v>
      </c>
      <c r="L249" s="353" t="s">
        <v>52</v>
      </c>
      <c r="M249" s="423" t="s">
        <v>1505</v>
      </c>
      <c r="O249" s="355" t="s">
        <v>1622</v>
      </c>
      <c r="P249" s="95"/>
      <c r="Q249" s="96"/>
      <c r="R249" s="103" t="s">
        <v>1270</v>
      </c>
      <c r="T249" s="423" t="s">
        <v>182</v>
      </c>
      <c r="V249" s="432">
        <f t="shared" si="10"/>
        <v>0</v>
      </c>
      <c r="W249" s="288" t="s">
        <v>263</v>
      </c>
      <c r="X249" s="288" t="str">
        <f>IF(W249=Llistes!$B$18,Llistes!$D$18,IF(W249=Llistes!$B$20,Llistes!$D$20,IF(W249=Llistes!$B$22,Llistes!$D$22,IF(W249=Llistes!$B$23,Llistes!$D$23,IF(W249=Llistes!$B$24,Llistes!$D$24,IF(W249=Llistes!$B$28,Llistes!$D$28))))))</f>
        <v>Tècnic coordinador</v>
      </c>
      <c r="Y249" s="288" t="s">
        <v>275</v>
      </c>
      <c r="Z249" s="325" t="s">
        <v>265</v>
      </c>
      <c r="AA249" s="94" t="s">
        <v>266</v>
      </c>
      <c r="AB249" s="94" t="s">
        <v>266</v>
      </c>
      <c r="AC249" s="94" t="s">
        <v>266</v>
      </c>
      <c r="AD249" s="94" t="s">
        <v>266</v>
      </c>
    </row>
    <row r="250" spans="1:30" ht="45">
      <c r="A250" s="362" t="s">
        <v>1502</v>
      </c>
      <c r="B250" s="396" t="s">
        <v>1665</v>
      </c>
      <c r="C250" s="400" t="s">
        <v>786</v>
      </c>
      <c r="D250" s="398" t="s">
        <v>803</v>
      </c>
      <c r="E250" s="399" t="s">
        <v>804</v>
      </c>
      <c r="F250" s="414" t="s">
        <v>816</v>
      </c>
      <c r="G250" s="421" t="s">
        <v>817</v>
      </c>
      <c r="H250" s="413" t="s">
        <v>259</v>
      </c>
      <c r="I250" s="413" t="s">
        <v>281</v>
      </c>
      <c r="J250" s="355" t="s">
        <v>1374</v>
      </c>
      <c r="L250" s="353" t="s">
        <v>52</v>
      </c>
      <c r="M250" s="423" t="s">
        <v>1505</v>
      </c>
      <c r="O250" s="355" t="s">
        <v>1623</v>
      </c>
      <c r="P250" s="95"/>
      <c r="Q250" s="96"/>
      <c r="R250" s="288" t="s">
        <v>291</v>
      </c>
      <c r="S250" s="285">
        <v>1</v>
      </c>
      <c r="T250" s="423">
        <v>2</v>
      </c>
      <c r="V250" s="432">
        <f t="shared" si="10"/>
        <v>0</v>
      </c>
      <c r="W250" s="288" t="s">
        <v>263</v>
      </c>
      <c r="X250" s="288" t="str">
        <f>IF(W250=Llistes!$B$18,Llistes!$D$18,IF(W250=Llistes!$B$20,Llistes!$D$20,IF(W250=Llistes!$B$22,Llistes!$D$22,IF(W250=Llistes!$B$23,Llistes!$D$23,IF(W250=Llistes!$B$24,Llistes!$D$24,IF(W250=Llistes!$B$28,Llistes!$D$28))))))</f>
        <v>Tècnic coordinador</v>
      </c>
      <c r="Y250" s="288" t="s">
        <v>275</v>
      </c>
      <c r="Z250" s="325" t="s">
        <v>265</v>
      </c>
      <c r="AA250" s="94" t="s">
        <v>266</v>
      </c>
      <c r="AB250" s="94" t="s">
        <v>266</v>
      </c>
      <c r="AC250" s="94" t="s">
        <v>266</v>
      </c>
      <c r="AD250" s="94" t="s">
        <v>266</v>
      </c>
    </row>
    <row r="251" spans="1:30" ht="45">
      <c r="A251" s="362" t="s">
        <v>1502</v>
      </c>
      <c r="B251" s="396" t="s">
        <v>1665</v>
      </c>
      <c r="C251" s="400" t="s">
        <v>786</v>
      </c>
      <c r="D251" s="398" t="s">
        <v>803</v>
      </c>
      <c r="E251" s="399" t="s">
        <v>804</v>
      </c>
      <c r="F251" s="414" t="s">
        <v>818</v>
      </c>
      <c r="G251" s="421" t="s">
        <v>819</v>
      </c>
      <c r="H251" s="413" t="s">
        <v>259</v>
      </c>
      <c r="I251" s="413" t="s">
        <v>281</v>
      </c>
      <c r="J251" s="355" t="s">
        <v>819</v>
      </c>
      <c r="L251" s="353" t="s">
        <v>52</v>
      </c>
      <c r="M251" s="423" t="s">
        <v>1505</v>
      </c>
      <c r="O251" s="355" t="s">
        <v>1624</v>
      </c>
      <c r="P251" s="95"/>
      <c r="Q251" s="99" t="s">
        <v>820</v>
      </c>
      <c r="R251" s="103" t="s">
        <v>1270</v>
      </c>
      <c r="T251" s="423" t="s">
        <v>182</v>
      </c>
      <c r="V251" s="432">
        <f t="shared" si="10"/>
        <v>0</v>
      </c>
      <c r="W251" s="288" t="s">
        <v>815</v>
      </c>
      <c r="X251" s="288" t="str">
        <f>IF(W251=Llistes!$B$18,Llistes!$D$18,IF(W251=Llistes!$B$20,Llistes!$D$20,IF(W251=Llistes!$B$22,Llistes!$D$22,IF(W251=Llistes!$B$23,Llistes!$D$23,IF(W251=Llistes!$B$24,Llistes!$D$24,IF(W251=Llistes!$B$28,Llistes!$D$28))))))</f>
        <v>Gestora administrativa</v>
      </c>
      <c r="Y251" s="288" t="s">
        <v>275</v>
      </c>
      <c r="Z251" s="325" t="s">
        <v>265</v>
      </c>
      <c r="AA251" s="94" t="s">
        <v>266</v>
      </c>
      <c r="AB251" s="94" t="s">
        <v>266</v>
      </c>
      <c r="AC251" s="94" t="s">
        <v>266</v>
      </c>
      <c r="AD251" s="94" t="s">
        <v>266</v>
      </c>
    </row>
    <row r="252" spans="1:30" ht="45">
      <c r="A252" s="362" t="s">
        <v>1502</v>
      </c>
      <c r="B252" s="396" t="s">
        <v>1665</v>
      </c>
      <c r="C252" s="400" t="s">
        <v>786</v>
      </c>
      <c r="D252" s="398" t="s">
        <v>803</v>
      </c>
      <c r="E252" s="399" t="s">
        <v>804</v>
      </c>
      <c r="F252" s="414" t="s">
        <v>818</v>
      </c>
      <c r="G252" s="421" t="s">
        <v>819</v>
      </c>
      <c r="H252" s="413" t="s">
        <v>259</v>
      </c>
      <c r="I252" s="413" t="s">
        <v>281</v>
      </c>
      <c r="J252" s="355" t="s">
        <v>819</v>
      </c>
      <c r="L252" s="353" t="s">
        <v>52</v>
      </c>
      <c r="M252" s="423" t="s">
        <v>1505</v>
      </c>
      <c r="O252" s="355" t="s">
        <v>1629</v>
      </c>
      <c r="P252" s="95"/>
      <c r="Q252" s="99"/>
      <c r="R252" s="288" t="s">
        <v>821</v>
      </c>
      <c r="S252" s="285">
        <v>0</v>
      </c>
      <c r="T252" s="423">
        <v>1</v>
      </c>
      <c r="V252" s="432">
        <f t="shared" si="10"/>
        <v>0</v>
      </c>
      <c r="W252" s="288" t="s">
        <v>263</v>
      </c>
      <c r="X252" s="288" t="str">
        <f>IF(W252=Llistes!$B$18,Llistes!$D$18,IF(W252=Llistes!$B$20,Llistes!$D$20,IF(W252=Llistes!$B$22,Llistes!$D$22,IF(W252=Llistes!$B$23,Llistes!$D$23,IF(W252=Llistes!$B$24,Llistes!$D$24,IF(W252=Llistes!$B$28,Llistes!$D$28))))))</f>
        <v>Tècnic coordinador</v>
      </c>
      <c r="Y252" s="288" t="s">
        <v>275</v>
      </c>
      <c r="Z252" s="325" t="s">
        <v>265</v>
      </c>
      <c r="AA252" s="94" t="s">
        <v>266</v>
      </c>
      <c r="AB252" s="94" t="s">
        <v>266</v>
      </c>
      <c r="AC252" s="94" t="s">
        <v>266</v>
      </c>
      <c r="AD252" s="94" t="s">
        <v>266</v>
      </c>
    </row>
    <row r="253" spans="1:30" ht="45">
      <c r="A253" s="362" t="s">
        <v>1502</v>
      </c>
      <c r="B253" s="396" t="s">
        <v>1665</v>
      </c>
      <c r="C253" s="400" t="s">
        <v>786</v>
      </c>
      <c r="D253" s="398" t="s">
        <v>803</v>
      </c>
      <c r="E253" s="399" t="s">
        <v>804</v>
      </c>
      <c r="F253" s="414" t="s">
        <v>818</v>
      </c>
      <c r="G253" s="421" t="s">
        <v>819</v>
      </c>
      <c r="H253" s="413" t="s">
        <v>259</v>
      </c>
      <c r="I253" s="413" t="s">
        <v>281</v>
      </c>
      <c r="J253" s="355" t="s">
        <v>819</v>
      </c>
      <c r="L253" s="353" t="s">
        <v>52</v>
      </c>
      <c r="M253" s="423" t="s">
        <v>1505</v>
      </c>
      <c r="O253" s="355" t="s">
        <v>1628</v>
      </c>
      <c r="P253" s="95"/>
      <c r="Q253" s="99"/>
      <c r="R253" s="288" t="s">
        <v>1156</v>
      </c>
      <c r="S253" s="285">
        <v>0</v>
      </c>
      <c r="T253" s="423">
        <v>1</v>
      </c>
      <c r="V253" s="432">
        <f t="shared" si="10"/>
        <v>0</v>
      </c>
      <c r="W253" s="288" t="s">
        <v>263</v>
      </c>
      <c r="X253" s="288" t="str">
        <f>IF(W253=Llistes!$B$18,Llistes!$D$18,IF(W253=Llistes!$B$20,Llistes!$D$20,IF(W253=Llistes!$B$22,Llistes!$D$22,IF(W253=Llistes!$B$23,Llistes!$D$23,IF(W253=Llistes!$B$24,Llistes!$D$24,IF(W253=Llistes!$B$28,Llistes!$D$28))))))</f>
        <v>Tècnic coordinador</v>
      </c>
      <c r="Y253" s="288" t="s">
        <v>275</v>
      </c>
      <c r="Z253" s="325" t="s">
        <v>265</v>
      </c>
      <c r="AA253" s="94" t="s">
        <v>266</v>
      </c>
      <c r="AB253" s="94" t="s">
        <v>266</v>
      </c>
      <c r="AC253" s="94" t="s">
        <v>266</v>
      </c>
      <c r="AD253" s="94" t="s">
        <v>266</v>
      </c>
    </row>
    <row r="254" spans="1:30" ht="60">
      <c r="A254" s="362" t="s">
        <v>1502</v>
      </c>
      <c r="B254" s="396" t="s">
        <v>1665</v>
      </c>
      <c r="C254" s="400" t="s">
        <v>786</v>
      </c>
      <c r="D254" s="398" t="s">
        <v>823</v>
      </c>
      <c r="E254" s="399" t="s">
        <v>824</v>
      </c>
      <c r="F254" s="414" t="s">
        <v>829</v>
      </c>
      <c r="G254" s="412" t="s">
        <v>834</v>
      </c>
      <c r="H254" s="413" t="s">
        <v>259</v>
      </c>
      <c r="I254" s="413" t="s">
        <v>281</v>
      </c>
      <c r="J254" s="355" t="s">
        <v>1373</v>
      </c>
      <c r="K254" s="92"/>
      <c r="L254" s="353" t="s">
        <v>52</v>
      </c>
      <c r="O254" s="355" t="s">
        <v>1627</v>
      </c>
      <c r="P254" s="95"/>
      <c r="Q254" s="96"/>
      <c r="R254" s="103" t="s">
        <v>1270</v>
      </c>
      <c r="T254" s="423" t="s">
        <v>182</v>
      </c>
      <c r="V254" s="432">
        <f t="shared" si="10"/>
        <v>0</v>
      </c>
      <c r="W254" s="288" t="s">
        <v>835</v>
      </c>
      <c r="X254" s="288" t="s">
        <v>1189</v>
      </c>
      <c r="Y254" s="288" t="s">
        <v>275</v>
      </c>
      <c r="Z254" s="325" t="s">
        <v>265</v>
      </c>
      <c r="AA254" s="94" t="s">
        <v>266</v>
      </c>
      <c r="AB254" s="94" t="s">
        <v>266</v>
      </c>
      <c r="AC254" s="94" t="s">
        <v>266</v>
      </c>
      <c r="AD254" s="94" t="s">
        <v>266</v>
      </c>
    </row>
    <row r="255" spans="1:30" ht="30">
      <c r="A255" s="362" t="s">
        <v>1502</v>
      </c>
      <c r="B255" s="396" t="s">
        <v>1665</v>
      </c>
      <c r="C255" s="400" t="s">
        <v>786</v>
      </c>
      <c r="D255" s="398" t="s">
        <v>823</v>
      </c>
      <c r="E255" s="399" t="s">
        <v>824</v>
      </c>
      <c r="F255" s="414" t="s">
        <v>825</v>
      </c>
      <c r="G255" s="421" t="s">
        <v>826</v>
      </c>
      <c r="H255" s="413" t="s">
        <v>259</v>
      </c>
      <c r="I255" s="413" t="s">
        <v>281</v>
      </c>
      <c r="J255" s="355" t="s">
        <v>1372</v>
      </c>
      <c r="K255" s="92"/>
      <c r="L255" s="353" t="s">
        <v>52</v>
      </c>
      <c r="M255" s="423" t="s">
        <v>1505</v>
      </c>
      <c r="O255" s="355" t="s">
        <v>1626</v>
      </c>
      <c r="P255" s="95"/>
      <c r="Q255" s="99"/>
      <c r="R255" s="288" t="s">
        <v>828</v>
      </c>
      <c r="T255" s="423">
        <v>125</v>
      </c>
      <c r="V255" s="432">
        <f t="shared" si="10"/>
        <v>0</v>
      </c>
      <c r="W255" s="288" t="s">
        <v>815</v>
      </c>
      <c r="X255" s="288" t="str">
        <f>IF(W255=Llistes!$B$18,Llistes!$D$18,IF(W255=Llistes!$B$20,Llistes!$D$20,IF(W255=Llistes!$B$22,Llistes!$D$22,IF(W255=Llistes!$B$23,Llistes!$D$23,IF(W255=Llistes!$B$24,Llistes!$D$24,IF(W255=Llistes!$B$28,Llistes!$D$28))))))</f>
        <v>Gestora administrativa</v>
      </c>
      <c r="Y255" s="288" t="s">
        <v>275</v>
      </c>
      <c r="Z255" s="325" t="s">
        <v>265</v>
      </c>
      <c r="AA255" s="94" t="s">
        <v>266</v>
      </c>
      <c r="AB255" s="94" t="s">
        <v>266</v>
      </c>
      <c r="AC255" s="94" t="s">
        <v>266</v>
      </c>
      <c r="AD255" s="94" t="s">
        <v>266</v>
      </c>
    </row>
    <row r="256" spans="1:30" ht="30">
      <c r="A256" s="362" t="s">
        <v>1502</v>
      </c>
      <c r="B256" s="396" t="s">
        <v>1665</v>
      </c>
      <c r="C256" s="400" t="s">
        <v>786</v>
      </c>
      <c r="D256" s="398" t="s">
        <v>823</v>
      </c>
      <c r="E256" s="399" t="s">
        <v>824</v>
      </c>
      <c r="F256" s="414" t="s">
        <v>825</v>
      </c>
      <c r="G256" s="421" t="s">
        <v>826</v>
      </c>
      <c r="H256" s="413" t="s">
        <v>259</v>
      </c>
      <c r="I256" s="413" t="s">
        <v>281</v>
      </c>
      <c r="J256" s="355" t="s">
        <v>1372</v>
      </c>
      <c r="K256" s="92"/>
      <c r="L256" s="353" t="s">
        <v>52</v>
      </c>
      <c r="M256" s="423" t="s">
        <v>1505</v>
      </c>
      <c r="O256" s="355" t="s">
        <v>1625</v>
      </c>
      <c r="P256" s="95"/>
      <c r="Q256" s="99"/>
      <c r="R256" s="288" t="s">
        <v>831</v>
      </c>
      <c r="T256" s="423">
        <v>15</v>
      </c>
      <c r="V256" s="432">
        <f t="shared" si="10"/>
        <v>0</v>
      </c>
      <c r="W256" s="288" t="s">
        <v>263</v>
      </c>
      <c r="X256" s="288" t="str">
        <f>IF(W256=Llistes!$B$18,Llistes!$D$18,IF(W256=Llistes!$B$20,Llistes!$D$20,IF(W256=Llistes!$B$22,Llistes!$D$22,IF(W256=Llistes!$B$23,Llistes!$D$23,IF(W256=Llistes!$B$24,Llistes!$D$24,IF(W256=Llistes!$B$28,Llistes!$D$28))))))</f>
        <v>Tècnic coordinador</v>
      </c>
      <c r="Y256" s="288" t="s">
        <v>275</v>
      </c>
      <c r="Z256" s="325" t="s">
        <v>265</v>
      </c>
      <c r="AA256" s="94" t="s">
        <v>266</v>
      </c>
      <c r="AB256" s="94" t="s">
        <v>266</v>
      </c>
      <c r="AC256" s="94" t="s">
        <v>266</v>
      </c>
      <c r="AD256" s="94" t="s">
        <v>266</v>
      </c>
    </row>
    <row r="257" spans="1:30" ht="60">
      <c r="A257" s="362" t="s">
        <v>1502</v>
      </c>
      <c r="B257" s="396" t="s">
        <v>1665</v>
      </c>
      <c r="C257" s="400" t="s">
        <v>786</v>
      </c>
      <c r="D257" s="398" t="s">
        <v>823</v>
      </c>
      <c r="E257" s="399" t="s">
        <v>824</v>
      </c>
      <c r="F257" s="414" t="s">
        <v>825</v>
      </c>
      <c r="G257" s="421" t="s">
        <v>826</v>
      </c>
      <c r="H257" s="413" t="s">
        <v>259</v>
      </c>
      <c r="I257" s="413" t="s">
        <v>281</v>
      </c>
      <c r="J257" s="355" t="s">
        <v>1372</v>
      </c>
      <c r="K257" s="92" t="s">
        <v>832</v>
      </c>
      <c r="L257" s="353" t="s">
        <v>52</v>
      </c>
      <c r="M257" s="423" t="s">
        <v>1505</v>
      </c>
      <c r="O257" s="355" t="s">
        <v>1721</v>
      </c>
      <c r="P257" s="95"/>
      <c r="Q257" s="96"/>
      <c r="R257" s="288" t="s">
        <v>833</v>
      </c>
      <c r="T257" s="423">
        <v>25</v>
      </c>
      <c r="V257" s="432">
        <f t="shared" si="10"/>
        <v>0</v>
      </c>
      <c r="W257" s="288" t="s">
        <v>263</v>
      </c>
      <c r="X257" s="288" t="str">
        <f>IF(W257=Llistes!$B$18,Llistes!$D$18,IF(W257=Llistes!$B$20,Llistes!$D$20,IF(W257=Llistes!$B$22,Llistes!$D$22,IF(W257=Llistes!$B$23,Llistes!$D$23,IF(W257=Llistes!$B$24,Llistes!$D$24,IF(W257=Llistes!$B$28,Llistes!$D$28))))))</f>
        <v>Tècnic coordinador</v>
      </c>
      <c r="Y257" s="288" t="s">
        <v>275</v>
      </c>
      <c r="Z257" s="325" t="s">
        <v>265</v>
      </c>
      <c r="AA257" s="94" t="s">
        <v>266</v>
      </c>
      <c r="AB257" s="94" t="s">
        <v>266</v>
      </c>
      <c r="AC257" s="94" t="s">
        <v>266</v>
      </c>
      <c r="AD257" s="94" t="s">
        <v>266</v>
      </c>
    </row>
    <row r="258" spans="1:30" ht="60">
      <c r="A258" s="362" t="s">
        <v>1502</v>
      </c>
      <c r="B258" s="396" t="s">
        <v>1665</v>
      </c>
      <c r="C258" s="400" t="s">
        <v>786</v>
      </c>
      <c r="D258" s="398" t="s">
        <v>823</v>
      </c>
      <c r="E258" s="399" t="s">
        <v>824</v>
      </c>
      <c r="F258" s="414" t="s">
        <v>829</v>
      </c>
      <c r="G258" s="412" t="s">
        <v>834</v>
      </c>
      <c r="H258" s="413" t="s">
        <v>259</v>
      </c>
      <c r="I258" s="413" t="s">
        <v>281</v>
      </c>
      <c r="J258" s="355" t="s">
        <v>1371</v>
      </c>
      <c r="L258" s="353" t="s">
        <v>52</v>
      </c>
      <c r="M258" s="423" t="s">
        <v>1505</v>
      </c>
      <c r="O258" s="355" t="s">
        <v>1630</v>
      </c>
      <c r="P258" s="95"/>
      <c r="Q258" s="99" t="s">
        <v>838</v>
      </c>
      <c r="R258" s="103" t="s">
        <v>1270</v>
      </c>
      <c r="T258" s="423" t="s">
        <v>182</v>
      </c>
      <c r="V258" s="432">
        <f t="shared" si="10"/>
        <v>0</v>
      </c>
      <c r="W258" s="288" t="s">
        <v>815</v>
      </c>
      <c r="X258" s="288" t="str">
        <f>IF(W258=Llistes!$B$18,Llistes!$D$18,IF(W258=Llistes!$B$20,Llistes!$D$20,IF(W258=Llistes!$B$22,Llistes!$D$22,IF(W258=Llistes!$B$23,Llistes!$D$23,IF(W258=Llistes!$B$24,Llistes!$D$24,IF(W258=Llistes!$B$28,Llistes!$D$28))))))</f>
        <v>Gestora administrativa</v>
      </c>
      <c r="Y258" s="288" t="s">
        <v>275</v>
      </c>
      <c r="Z258" s="325" t="s">
        <v>265</v>
      </c>
      <c r="AA258" s="94" t="s">
        <v>266</v>
      </c>
      <c r="AB258" s="94" t="s">
        <v>266</v>
      </c>
      <c r="AC258" s="94" t="s">
        <v>266</v>
      </c>
      <c r="AD258" s="94" t="s">
        <v>266</v>
      </c>
    </row>
    <row r="259" spans="1:30" ht="97.5" customHeight="1">
      <c r="A259" s="362" t="s">
        <v>1502</v>
      </c>
      <c r="B259" s="396" t="s">
        <v>1665</v>
      </c>
      <c r="C259" s="400" t="s">
        <v>786</v>
      </c>
      <c r="D259" s="398" t="s">
        <v>823</v>
      </c>
      <c r="E259" s="399" t="s">
        <v>824</v>
      </c>
      <c r="F259" s="414" t="s">
        <v>839</v>
      </c>
      <c r="G259" s="421" t="s">
        <v>840</v>
      </c>
      <c r="H259" s="413" t="s">
        <v>259</v>
      </c>
      <c r="I259" s="413" t="s">
        <v>281</v>
      </c>
      <c r="J259" s="355" t="s">
        <v>1370</v>
      </c>
      <c r="L259" s="353" t="s">
        <v>52</v>
      </c>
      <c r="M259" s="423" t="s">
        <v>1505</v>
      </c>
      <c r="O259" s="355" t="s">
        <v>1631</v>
      </c>
      <c r="P259" s="95"/>
      <c r="Q259" s="96"/>
      <c r="R259" s="288" t="s">
        <v>841</v>
      </c>
      <c r="S259" s="285">
        <v>2</v>
      </c>
      <c r="T259" s="423">
        <v>5</v>
      </c>
      <c r="V259" s="432">
        <f t="shared" si="10"/>
        <v>0</v>
      </c>
      <c r="W259" s="288" t="s">
        <v>766</v>
      </c>
      <c r="X259" s="288" t="str">
        <f>IF(W259=Llistes!$B$18,Llistes!$D$18,IF(W259=Llistes!$B$20,Llistes!$D$20,IF(W259=Llistes!$B$22,Llistes!$D$22,IF(W259=Llistes!$B$23,Llistes!$D$23,IF(W259=Llistes!$B$24,Llistes!$D$24,IF(W259=Llistes!$B$28,Llistes!$D$28))))))</f>
        <v>Director</v>
      </c>
      <c r="Y259" s="288" t="s">
        <v>264</v>
      </c>
      <c r="Z259" s="325" t="s">
        <v>265</v>
      </c>
      <c r="AA259" s="94" t="s">
        <v>266</v>
      </c>
      <c r="AB259" s="94" t="s">
        <v>266</v>
      </c>
      <c r="AC259" s="94" t="s">
        <v>266</v>
      </c>
      <c r="AD259" s="94" t="s">
        <v>266</v>
      </c>
    </row>
    <row r="260" spans="1:30" ht="42.95" customHeight="1">
      <c r="A260" s="362" t="s">
        <v>1502</v>
      </c>
      <c r="B260" s="396" t="s">
        <v>1665</v>
      </c>
      <c r="C260" s="400" t="s">
        <v>786</v>
      </c>
      <c r="D260" s="398" t="s">
        <v>823</v>
      </c>
      <c r="E260" s="399" t="s">
        <v>824</v>
      </c>
      <c r="F260" s="414" t="s">
        <v>842</v>
      </c>
      <c r="G260" s="412" t="s">
        <v>843</v>
      </c>
      <c r="H260" s="413" t="s">
        <v>318</v>
      </c>
      <c r="I260" s="413" t="s">
        <v>281</v>
      </c>
      <c r="J260" s="355" t="s">
        <v>843</v>
      </c>
      <c r="L260" s="353" t="s">
        <v>52</v>
      </c>
      <c r="M260" s="423" t="s">
        <v>1505</v>
      </c>
      <c r="O260" s="355" t="s">
        <v>1632</v>
      </c>
      <c r="P260" s="95"/>
      <c r="Q260" s="96"/>
      <c r="R260" s="103" t="s">
        <v>1270</v>
      </c>
      <c r="T260" s="423" t="s">
        <v>182</v>
      </c>
      <c r="V260" s="432">
        <f t="shared" si="10"/>
        <v>0</v>
      </c>
      <c r="W260" s="288" t="s">
        <v>815</v>
      </c>
      <c r="X260" s="288" t="str">
        <f>IF(W260=Llistes!$B$18,Llistes!$D$18,IF(W260=Llistes!$B$20,Llistes!$D$20,IF(W260=Llistes!$B$22,Llistes!$D$22,IF(W260=Llistes!$B$23,Llistes!$D$23,IF(W260=Llistes!$B$24,Llistes!$D$24,IF(W260=Llistes!$B$28,Llistes!$D$28))))))</f>
        <v>Gestora administrativa</v>
      </c>
      <c r="Y260" s="288" t="s">
        <v>275</v>
      </c>
      <c r="Z260" s="325" t="s">
        <v>265</v>
      </c>
      <c r="AA260" s="94" t="s">
        <v>266</v>
      </c>
      <c r="AB260" s="94" t="s">
        <v>266</v>
      </c>
      <c r="AC260" s="94" t="s">
        <v>266</v>
      </c>
      <c r="AD260" s="94" t="s">
        <v>266</v>
      </c>
    </row>
    <row r="261" spans="1:30" ht="30">
      <c r="A261" s="362" t="s">
        <v>1502</v>
      </c>
      <c r="B261" s="396" t="s">
        <v>1665</v>
      </c>
      <c r="C261" s="400" t="s">
        <v>786</v>
      </c>
      <c r="D261" s="398" t="s">
        <v>823</v>
      </c>
      <c r="E261" s="399" t="s">
        <v>824</v>
      </c>
      <c r="F261" s="414" t="s">
        <v>842</v>
      </c>
      <c r="G261" s="412" t="s">
        <v>843</v>
      </c>
      <c r="H261" s="413" t="s">
        <v>318</v>
      </c>
      <c r="I261" s="413" t="s">
        <v>281</v>
      </c>
      <c r="J261" s="355" t="s">
        <v>843</v>
      </c>
      <c r="L261" s="353" t="s">
        <v>52</v>
      </c>
      <c r="M261" s="423" t="s">
        <v>1505</v>
      </c>
      <c r="O261" s="355" t="s">
        <v>1633</v>
      </c>
      <c r="P261" s="95"/>
      <c r="Q261" s="96"/>
      <c r="R261" s="288" t="s">
        <v>844</v>
      </c>
      <c r="S261" s="285">
        <v>0</v>
      </c>
      <c r="T261" s="423">
        <v>5</v>
      </c>
      <c r="V261" s="432">
        <f t="shared" si="10"/>
        <v>0</v>
      </c>
      <c r="W261" s="288" t="s">
        <v>815</v>
      </c>
      <c r="X261" s="288" t="str">
        <f>IF(W261=Llistes!$B$18,Llistes!$D$18,IF(W261=Llistes!$B$20,Llistes!$D$20,IF(W261=Llistes!$B$22,Llistes!$D$22,IF(W261=Llistes!$B$23,Llistes!$D$23,IF(W261=Llistes!$B$24,Llistes!$D$24,IF(W261=Llistes!$B$28,Llistes!$D$28))))))</f>
        <v>Gestora administrativa</v>
      </c>
      <c r="Y261" s="288" t="s">
        <v>275</v>
      </c>
      <c r="Z261" s="325" t="s">
        <v>265</v>
      </c>
      <c r="AA261" s="94" t="s">
        <v>266</v>
      </c>
      <c r="AB261" s="94" t="s">
        <v>266</v>
      </c>
      <c r="AC261" s="94" t="s">
        <v>266</v>
      </c>
      <c r="AD261" s="94" t="s">
        <v>266</v>
      </c>
    </row>
    <row r="262" spans="1:30" ht="30">
      <c r="A262" s="362" t="s">
        <v>1502</v>
      </c>
      <c r="B262" s="396" t="s">
        <v>1665</v>
      </c>
      <c r="C262" s="400" t="s">
        <v>786</v>
      </c>
      <c r="D262" s="398" t="s">
        <v>823</v>
      </c>
      <c r="E262" s="399" t="s">
        <v>824</v>
      </c>
      <c r="F262" s="414" t="s">
        <v>845</v>
      </c>
      <c r="G262" s="412" t="s">
        <v>846</v>
      </c>
      <c r="H262" s="413" t="s">
        <v>259</v>
      </c>
      <c r="I262" s="413" t="s">
        <v>346</v>
      </c>
      <c r="J262" s="355" t="s">
        <v>1369</v>
      </c>
      <c r="L262" s="353" t="s">
        <v>52</v>
      </c>
      <c r="M262" s="423" t="s">
        <v>1505</v>
      </c>
      <c r="O262" s="355" t="s">
        <v>1634</v>
      </c>
      <c r="P262" s="95"/>
      <c r="Q262" s="90"/>
      <c r="R262" s="103" t="s">
        <v>1270</v>
      </c>
      <c r="T262" s="423" t="s">
        <v>182</v>
      </c>
      <c r="V262" s="432">
        <f t="shared" si="10"/>
        <v>0</v>
      </c>
      <c r="W262" s="288" t="s">
        <v>815</v>
      </c>
      <c r="X262" s="288" t="str">
        <f>IF(W262=Llistes!$B$18,Llistes!$D$18,IF(W262=Llistes!$B$20,Llistes!$D$20,IF(W262=Llistes!$B$22,Llistes!$D$22,IF(W262=Llistes!$B$23,Llistes!$D$23,IF(W262=Llistes!$B$24,Llistes!$D$24,IF(W262=Llistes!$B$28,Llistes!$D$28))))))</f>
        <v>Gestora administrativa</v>
      </c>
      <c r="Y262" s="288" t="s">
        <v>264</v>
      </c>
      <c r="Z262" s="325" t="s">
        <v>265</v>
      </c>
      <c r="AA262" s="94" t="s">
        <v>266</v>
      </c>
      <c r="AB262" s="94" t="s">
        <v>266</v>
      </c>
      <c r="AC262" s="94" t="s">
        <v>266</v>
      </c>
      <c r="AD262" s="94" t="s">
        <v>266</v>
      </c>
    </row>
    <row r="263" spans="1:30" ht="30">
      <c r="A263" s="362" t="s">
        <v>1502</v>
      </c>
      <c r="B263" s="396" t="s">
        <v>1665</v>
      </c>
      <c r="C263" s="400" t="s">
        <v>786</v>
      </c>
      <c r="D263" s="398" t="s">
        <v>823</v>
      </c>
      <c r="E263" s="399" t="s">
        <v>824</v>
      </c>
      <c r="F263" s="414" t="s">
        <v>845</v>
      </c>
      <c r="G263" s="412" t="s">
        <v>846</v>
      </c>
      <c r="H263" s="413" t="s">
        <v>259</v>
      </c>
      <c r="I263" s="413" t="s">
        <v>346</v>
      </c>
      <c r="J263" s="355" t="s">
        <v>1369</v>
      </c>
      <c r="L263" s="353" t="s">
        <v>52</v>
      </c>
      <c r="M263" s="423" t="s">
        <v>1505</v>
      </c>
      <c r="O263" s="355" t="s">
        <v>1635</v>
      </c>
      <c r="P263" s="95"/>
      <c r="Q263" s="90"/>
      <c r="R263" s="103" t="s">
        <v>1270</v>
      </c>
      <c r="T263" s="423" t="s">
        <v>182</v>
      </c>
      <c r="V263" s="432">
        <f t="shared" si="10"/>
        <v>0</v>
      </c>
      <c r="W263" s="288" t="s">
        <v>263</v>
      </c>
      <c r="X263" s="325" t="s">
        <v>849</v>
      </c>
      <c r="Y263" s="288" t="s">
        <v>275</v>
      </c>
      <c r="Z263" s="325" t="s">
        <v>265</v>
      </c>
      <c r="AA263" s="94" t="s">
        <v>266</v>
      </c>
      <c r="AB263" s="94" t="s">
        <v>266</v>
      </c>
      <c r="AC263" s="94" t="s">
        <v>266</v>
      </c>
      <c r="AD263" s="94" t="s">
        <v>266</v>
      </c>
    </row>
    <row r="264" spans="1:30" s="1" customFormat="1" ht="45">
      <c r="A264" s="362" t="s">
        <v>1502</v>
      </c>
      <c r="B264" s="396" t="s">
        <v>1665</v>
      </c>
      <c r="C264" s="400" t="s">
        <v>786</v>
      </c>
      <c r="D264" s="398" t="s">
        <v>850</v>
      </c>
      <c r="E264" s="399" t="s">
        <v>851</v>
      </c>
      <c r="F264" s="414" t="s">
        <v>852</v>
      </c>
      <c r="G264" s="412" t="s">
        <v>853</v>
      </c>
      <c r="H264" s="413" t="s">
        <v>259</v>
      </c>
      <c r="I264" s="413" t="s">
        <v>281</v>
      </c>
      <c r="J264" s="355" t="s">
        <v>1367</v>
      </c>
      <c r="K264" s="93"/>
      <c r="L264" s="353" t="s">
        <v>52</v>
      </c>
      <c r="M264" s="423" t="s">
        <v>1503</v>
      </c>
      <c r="N264" s="291"/>
      <c r="O264" s="355" t="s">
        <v>1636</v>
      </c>
      <c r="P264" s="95"/>
      <c r="Q264" s="99" t="s">
        <v>856</v>
      </c>
      <c r="R264" s="103" t="s">
        <v>1270</v>
      </c>
      <c r="S264" s="291"/>
      <c r="T264" s="430" t="s">
        <v>182</v>
      </c>
      <c r="U264" s="113"/>
      <c r="V264" s="432">
        <f t="shared" si="10"/>
        <v>0</v>
      </c>
      <c r="W264" s="288" t="s">
        <v>815</v>
      </c>
      <c r="X264" s="325" t="s">
        <v>857</v>
      </c>
      <c r="Y264" s="288" t="s">
        <v>275</v>
      </c>
      <c r="Z264" s="325" t="s">
        <v>265</v>
      </c>
      <c r="AA264" s="298"/>
      <c r="AB264" s="298" t="s">
        <v>266</v>
      </c>
      <c r="AC264" s="298"/>
      <c r="AD264" s="298"/>
    </row>
    <row r="265" spans="1:30" s="1" customFormat="1" ht="75">
      <c r="A265" s="362" t="s">
        <v>1502</v>
      </c>
      <c r="B265" s="396" t="s">
        <v>1665</v>
      </c>
      <c r="C265" s="400" t="s">
        <v>786</v>
      </c>
      <c r="D265" s="398" t="s">
        <v>850</v>
      </c>
      <c r="E265" s="399" t="s">
        <v>851</v>
      </c>
      <c r="F265" s="414" t="s">
        <v>861</v>
      </c>
      <c r="G265" s="412" t="s">
        <v>862</v>
      </c>
      <c r="H265" s="413" t="s">
        <v>259</v>
      </c>
      <c r="I265" s="413" t="s">
        <v>281</v>
      </c>
      <c r="J265" s="355" t="s">
        <v>1368</v>
      </c>
      <c r="K265" s="93"/>
      <c r="L265" s="353" t="s">
        <v>52</v>
      </c>
      <c r="M265" s="423" t="s">
        <v>1503</v>
      </c>
      <c r="N265" s="285"/>
      <c r="O265" s="355" t="s">
        <v>1722</v>
      </c>
      <c r="P265" s="95"/>
      <c r="Q265" s="99" t="s">
        <v>864</v>
      </c>
      <c r="R265" s="103" t="s">
        <v>1270</v>
      </c>
      <c r="S265" s="285"/>
      <c r="T265" s="423" t="s">
        <v>182</v>
      </c>
      <c r="U265" s="97"/>
      <c r="V265" s="432">
        <f t="shared" si="10"/>
        <v>0</v>
      </c>
      <c r="W265" s="288" t="s">
        <v>815</v>
      </c>
      <c r="X265" s="325" t="s">
        <v>857</v>
      </c>
      <c r="Y265" s="288" t="s">
        <v>275</v>
      </c>
      <c r="Z265" s="325" t="s">
        <v>265</v>
      </c>
      <c r="AA265" s="94" t="s">
        <v>266</v>
      </c>
      <c r="AB265" s="94" t="s">
        <v>266</v>
      </c>
      <c r="AC265" s="94" t="s">
        <v>266</v>
      </c>
      <c r="AD265" s="94" t="s">
        <v>266</v>
      </c>
    </row>
    <row r="266" spans="1:30" ht="45">
      <c r="A266" s="362" t="s">
        <v>1502</v>
      </c>
      <c r="B266" s="396" t="s">
        <v>1665</v>
      </c>
      <c r="C266" s="400" t="s">
        <v>786</v>
      </c>
      <c r="D266" s="398" t="s">
        <v>850</v>
      </c>
      <c r="E266" s="399" t="s">
        <v>851</v>
      </c>
      <c r="F266" s="414" t="s">
        <v>852</v>
      </c>
      <c r="G266" s="412" t="s">
        <v>853</v>
      </c>
      <c r="H266" s="413" t="s">
        <v>259</v>
      </c>
      <c r="I266" s="413" t="s">
        <v>281</v>
      </c>
      <c r="J266" s="355" t="s">
        <v>1367</v>
      </c>
      <c r="L266" s="353" t="s">
        <v>52</v>
      </c>
      <c r="M266" s="423" t="s">
        <v>1503</v>
      </c>
      <c r="N266" s="291"/>
      <c r="O266" s="355" t="s">
        <v>1637</v>
      </c>
      <c r="P266" s="95"/>
      <c r="Q266" s="99"/>
      <c r="R266" s="103" t="s">
        <v>1270</v>
      </c>
      <c r="S266" s="291"/>
      <c r="T266" s="430" t="s">
        <v>182</v>
      </c>
      <c r="U266" s="113"/>
      <c r="V266" s="432">
        <f t="shared" si="10"/>
        <v>0</v>
      </c>
      <c r="W266" s="288" t="s">
        <v>835</v>
      </c>
      <c r="X266" s="325" t="s">
        <v>1189</v>
      </c>
      <c r="Y266" s="288" t="s">
        <v>275</v>
      </c>
      <c r="Z266" s="325" t="s">
        <v>265</v>
      </c>
      <c r="AA266" s="298"/>
      <c r="AB266" s="298" t="s">
        <v>266</v>
      </c>
      <c r="AC266" s="298"/>
      <c r="AD266" s="298"/>
    </row>
    <row r="267" spans="1:30" ht="30">
      <c r="A267" s="362" t="s">
        <v>1502</v>
      </c>
      <c r="B267" s="396" t="s">
        <v>1665</v>
      </c>
      <c r="C267" s="400" t="s">
        <v>786</v>
      </c>
      <c r="D267" s="398" t="s">
        <v>858</v>
      </c>
      <c r="E267" s="399" t="s">
        <v>866</v>
      </c>
      <c r="F267" s="414" t="s">
        <v>1147</v>
      </c>
      <c r="G267" s="412" t="s">
        <v>867</v>
      </c>
      <c r="H267" s="413" t="s">
        <v>259</v>
      </c>
      <c r="I267" s="413" t="s">
        <v>281</v>
      </c>
      <c r="J267" s="355" t="s">
        <v>1366</v>
      </c>
      <c r="L267" s="353" t="s">
        <v>52</v>
      </c>
      <c r="M267" s="423" t="s">
        <v>430</v>
      </c>
      <c r="O267" s="355" t="s">
        <v>1638</v>
      </c>
      <c r="P267" s="93"/>
      <c r="Q267" s="92"/>
      <c r="R267" s="103" t="s">
        <v>1270</v>
      </c>
      <c r="T267" s="423" t="s">
        <v>182</v>
      </c>
      <c r="V267" s="432">
        <f t="shared" ref="V267:V282" si="13">U267*4</f>
        <v>0</v>
      </c>
      <c r="W267" s="288" t="s">
        <v>815</v>
      </c>
      <c r="X267" s="325" t="s">
        <v>857</v>
      </c>
      <c r="Y267" s="288" t="s">
        <v>275</v>
      </c>
      <c r="Z267" s="325" t="s">
        <v>265</v>
      </c>
      <c r="AA267" s="94" t="s">
        <v>266</v>
      </c>
      <c r="AB267" s="94" t="s">
        <v>266</v>
      </c>
      <c r="AC267" s="94" t="s">
        <v>266</v>
      </c>
      <c r="AD267" s="94" t="s">
        <v>266</v>
      </c>
    </row>
    <row r="268" spans="1:30" ht="45">
      <c r="A268" s="362" t="s">
        <v>1502</v>
      </c>
      <c r="B268" s="396" t="s">
        <v>1665</v>
      </c>
      <c r="C268" s="400" t="s">
        <v>786</v>
      </c>
      <c r="D268" s="398" t="s">
        <v>858</v>
      </c>
      <c r="E268" s="399" t="s">
        <v>866</v>
      </c>
      <c r="F268" s="414" t="s">
        <v>1147</v>
      </c>
      <c r="G268" s="412" t="s">
        <v>867</v>
      </c>
      <c r="H268" s="413" t="s">
        <v>259</v>
      </c>
      <c r="I268" s="413" t="s">
        <v>281</v>
      </c>
      <c r="J268" s="355" t="s">
        <v>1366</v>
      </c>
      <c r="L268" s="353" t="s">
        <v>52</v>
      </c>
      <c r="M268" s="423" t="s">
        <v>430</v>
      </c>
      <c r="O268" s="355" t="s">
        <v>1639</v>
      </c>
      <c r="P268" s="93"/>
      <c r="Q268" s="92"/>
      <c r="R268" s="103" t="s">
        <v>1270</v>
      </c>
      <c r="T268" s="423" t="s">
        <v>182</v>
      </c>
      <c r="V268" s="432">
        <f t="shared" si="13"/>
        <v>0</v>
      </c>
      <c r="W268" s="288" t="s">
        <v>815</v>
      </c>
      <c r="X268" s="325" t="s">
        <v>857</v>
      </c>
      <c r="Y268" s="288" t="s">
        <v>275</v>
      </c>
      <c r="Z268" s="325" t="s">
        <v>265</v>
      </c>
      <c r="AA268" s="94" t="s">
        <v>266</v>
      </c>
      <c r="AB268" s="94" t="s">
        <v>266</v>
      </c>
      <c r="AC268" s="94" t="s">
        <v>266</v>
      </c>
      <c r="AD268" s="94" t="s">
        <v>266</v>
      </c>
    </row>
    <row r="269" spans="1:30" ht="72.95" customHeight="1">
      <c r="A269" s="362" t="s">
        <v>1502</v>
      </c>
      <c r="B269" s="396" t="s">
        <v>1665</v>
      </c>
      <c r="C269" s="400" t="s">
        <v>786</v>
      </c>
      <c r="D269" s="398" t="s">
        <v>858</v>
      </c>
      <c r="E269" s="399" t="s">
        <v>866</v>
      </c>
      <c r="F269" s="414" t="s">
        <v>1147</v>
      </c>
      <c r="G269" s="412" t="s">
        <v>867</v>
      </c>
      <c r="H269" s="413" t="s">
        <v>259</v>
      </c>
      <c r="I269" s="413" t="s">
        <v>281</v>
      </c>
      <c r="J269" s="355" t="s">
        <v>1366</v>
      </c>
      <c r="L269" s="353" t="s">
        <v>52</v>
      </c>
      <c r="M269" s="423" t="s">
        <v>430</v>
      </c>
      <c r="O269" s="355" t="s">
        <v>1264</v>
      </c>
      <c r="P269" s="93"/>
      <c r="Q269" s="92"/>
      <c r="R269" s="103" t="s">
        <v>1270</v>
      </c>
      <c r="T269" s="423" t="s">
        <v>182</v>
      </c>
      <c r="V269" s="432">
        <f t="shared" si="13"/>
        <v>0</v>
      </c>
      <c r="W269" s="288" t="s">
        <v>263</v>
      </c>
      <c r="X269" s="325" t="s">
        <v>849</v>
      </c>
      <c r="Y269" s="288" t="s">
        <v>275</v>
      </c>
      <c r="Z269" s="325" t="s">
        <v>265</v>
      </c>
      <c r="AB269" s="94" t="s">
        <v>266</v>
      </c>
    </row>
    <row r="270" spans="1:30" ht="60">
      <c r="A270" s="362" t="s">
        <v>1502</v>
      </c>
      <c r="B270" s="396" t="s">
        <v>1665</v>
      </c>
      <c r="C270" s="400" t="s">
        <v>786</v>
      </c>
      <c r="D270" s="398" t="s">
        <v>865</v>
      </c>
      <c r="E270" s="399" t="s">
        <v>869</v>
      </c>
      <c r="F270" s="414" t="s">
        <v>870</v>
      </c>
      <c r="G270" s="412" t="s">
        <v>871</v>
      </c>
      <c r="H270" s="413" t="s">
        <v>318</v>
      </c>
      <c r="I270" s="413" t="s">
        <v>281</v>
      </c>
      <c r="J270" s="355" t="s">
        <v>1365</v>
      </c>
      <c r="L270" s="353" t="s">
        <v>52</v>
      </c>
      <c r="M270" s="423" t="s">
        <v>1503</v>
      </c>
      <c r="O270" s="355" t="s">
        <v>1723</v>
      </c>
      <c r="P270" s="93"/>
      <c r="Q270" s="92"/>
      <c r="R270" s="103" t="s">
        <v>1270</v>
      </c>
      <c r="T270" s="423" t="s">
        <v>182</v>
      </c>
      <c r="V270" s="432">
        <f t="shared" si="13"/>
        <v>0</v>
      </c>
      <c r="W270" s="288" t="s">
        <v>263</v>
      </c>
      <c r="X270" s="325" t="s">
        <v>849</v>
      </c>
      <c r="Y270" s="288" t="s">
        <v>264</v>
      </c>
      <c r="Z270" s="325" t="s">
        <v>265</v>
      </c>
      <c r="AA270" s="94" t="s">
        <v>266</v>
      </c>
      <c r="AB270" s="94" t="s">
        <v>266</v>
      </c>
      <c r="AC270" s="94" t="s">
        <v>266</v>
      </c>
      <c r="AD270" s="94" t="s">
        <v>266</v>
      </c>
    </row>
    <row r="271" spans="1:30" ht="30">
      <c r="A271" s="362" t="s">
        <v>1502</v>
      </c>
      <c r="B271" s="396" t="s">
        <v>1665</v>
      </c>
      <c r="C271" s="400" t="s">
        <v>786</v>
      </c>
      <c r="D271" s="398" t="s">
        <v>865</v>
      </c>
      <c r="E271" s="399" t="s">
        <v>869</v>
      </c>
      <c r="F271" s="414" t="s">
        <v>870</v>
      </c>
      <c r="G271" s="412" t="s">
        <v>871</v>
      </c>
      <c r="H271" s="413" t="s">
        <v>318</v>
      </c>
      <c r="I271" s="413" t="s">
        <v>281</v>
      </c>
      <c r="J271" s="355" t="s">
        <v>1365</v>
      </c>
      <c r="L271" s="353" t="s">
        <v>52</v>
      </c>
      <c r="M271" s="423" t="s">
        <v>1503</v>
      </c>
      <c r="O271" s="355" t="s">
        <v>1266</v>
      </c>
      <c r="P271" s="95"/>
      <c r="Q271" s="96"/>
      <c r="R271" s="103" t="s">
        <v>1270</v>
      </c>
      <c r="T271" s="423" t="s">
        <v>182</v>
      </c>
      <c r="V271" s="432">
        <f t="shared" si="13"/>
        <v>0</v>
      </c>
      <c r="W271" s="288" t="s">
        <v>263</v>
      </c>
      <c r="X271" s="325" t="s">
        <v>849</v>
      </c>
      <c r="Y271" s="288" t="s">
        <v>264</v>
      </c>
      <c r="Z271" s="325" t="s">
        <v>265</v>
      </c>
      <c r="AA271" s="94" t="s">
        <v>266</v>
      </c>
      <c r="AB271" s="94" t="s">
        <v>266</v>
      </c>
      <c r="AC271" s="94" t="s">
        <v>266</v>
      </c>
      <c r="AD271" s="94" t="s">
        <v>266</v>
      </c>
    </row>
    <row r="272" spans="1:30" ht="60">
      <c r="A272" s="362" t="s">
        <v>1502</v>
      </c>
      <c r="B272" s="396" t="s">
        <v>1665</v>
      </c>
      <c r="C272" s="400" t="s">
        <v>786</v>
      </c>
      <c r="D272" s="398" t="s">
        <v>865</v>
      </c>
      <c r="E272" s="399" t="s">
        <v>869</v>
      </c>
      <c r="F272" s="414" t="s">
        <v>872</v>
      </c>
      <c r="G272" s="412" t="s">
        <v>873</v>
      </c>
      <c r="H272" s="413" t="s">
        <v>318</v>
      </c>
      <c r="I272" s="413" t="s">
        <v>281</v>
      </c>
      <c r="J272" s="355" t="s">
        <v>1364</v>
      </c>
      <c r="L272" s="353" t="s">
        <v>52</v>
      </c>
      <c r="M272" s="423" t="s">
        <v>1503</v>
      </c>
      <c r="O272" s="355" t="s">
        <v>1724</v>
      </c>
      <c r="P272" s="60" t="s">
        <v>875</v>
      </c>
      <c r="Q272" s="292">
        <v>1</v>
      </c>
      <c r="R272" s="103" t="s">
        <v>1270</v>
      </c>
      <c r="T272" s="423" t="s">
        <v>182</v>
      </c>
      <c r="V272" s="432">
        <f t="shared" si="13"/>
        <v>0</v>
      </c>
      <c r="W272" s="288" t="s">
        <v>766</v>
      </c>
      <c r="X272" s="325" t="s">
        <v>876</v>
      </c>
      <c r="Y272" s="288" t="s">
        <v>275</v>
      </c>
      <c r="Z272" s="325" t="s">
        <v>265</v>
      </c>
      <c r="AA272" s="94" t="s">
        <v>266</v>
      </c>
      <c r="AB272" s="94" t="s">
        <v>266</v>
      </c>
      <c r="AC272" s="94" t="s">
        <v>266</v>
      </c>
      <c r="AD272" s="94" t="s">
        <v>266</v>
      </c>
    </row>
    <row r="273" spans="1:30" ht="30">
      <c r="A273" s="362" t="s">
        <v>1502</v>
      </c>
      <c r="B273" s="396" t="s">
        <v>1665</v>
      </c>
      <c r="C273" s="400" t="s">
        <v>786</v>
      </c>
      <c r="D273" s="398" t="s">
        <v>865</v>
      </c>
      <c r="E273" s="399" t="s">
        <v>869</v>
      </c>
      <c r="F273" s="414" t="s">
        <v>872</v>
      </c>
      <c r="G273" s="412" t="s">
        <v>873</v>
      </c>
      <c r="H273" s="413" t="s">
        <v>318</v>
      </c>
      <c r="I273" s="413" t="s">
        <v>281</v>
      </c>
      <c r="J273" s="355" t="s">
        <v>1364</v>
      </c>
      <c r="L273" s="353" t="s">
        <v>52</v>
      </c>
      <c r="M273" s="423" t="s">
        <v>1504</v>
      </c>
      <c r="O273" s="355" t="s">
        <v>1640</v>
      </c>
      <c r="R273" s="288" t="s">
        <v>291</v>
      </c>
      <c r="T273" s="401">
        <v>44</v>
      </c>
      <c r="V273" s="432">
        <f t="shared" si="13"/>
        <v>0</v>
      </c>
      <c r="W273" s="288" t="s">
        <v>766</v>
      </c>
      <c r="X273" s="325" t="s">
        <v>876</v>
      </c>
      <c r="Y273" s="288" t="s">
        <v>275</v>
      </c>
      <c r="Z273" s="325" t="s">
        <v>265</v>
      </c>
      <c r="AA273" s="94" t="s">
        <v>266</v>
      </c>
      <c r="AB273" s="94" t="s">
        <v>266</v>
      </c>
      <c r="AC273" s="94" t="s">
        <v>266</v>
      </c>
      <c r="AD273" s="94" t="s">
        <v>266</v>
      </c>
    </row>
    <row r="274" spans="1:30" ht="30">
      <c r="A274" s="362" t="s">
        <v>1502</v>
      </c>
      <c r="B274" s="396" t="s">
        <v>1665</v>
      </c>
      <c r="C274" s="400" t="s">
        <v>786</v>
      </c>
      <c r="D274" s="398" t="s">
        <v>865</v>
      </c>
      <c r="E274" s="399" t="s">
        <v>869</v>
      </c>
      <c r="F274" s="414" t="s">
        <v>872</v>
      </c>
      <c r="G274" s="412" t="s">
        <v>873</v>
      </c>
      <c r="H274" s="413" t="s">
        <v>318</v>
      </c>
      <c r="I274" s="413" t="s">
        <v>281</v>
      </c>
      <c r="J274" s="355" t="s">
        <v>1364</v>
      </c>
      <c r="L274" s="353" t="s">
        <v>52</v>
      </c>
      <c r="M274" s="423" t="s">
        <v>1503</v>
      </c>
      <c r="O274" s="355" t="s">
        <v>1641</v>
      </c>
      <c r="P274" s="60"/>
      <c r="Q274" s="292"/>
      <c r="R274" s="288" t="s">
        <v>291</v>
      </c>
      <c r="T274" s="423">
        <v>44</v>
      </c>
      <c r="V274" s="432">
        <f t="shared" si="13"/>
        <v>0</v>
      </c>
      <c r="W274" s="288" t="s">
        <v>263</v>
      </c>
      <c r="X274" s="325" t="s">
        <v>849</v>
      </c>
      <c r="Y274" s="288" t="s">
        <v>275</v>
      </c>
      <c r="Z274" s="325" t="s">
        <v>265</v>
      </c>
      <c r="AA274" s="94" t="s">
        <v>266</v>
      </c>
      <c r="AB274" s="94" t="s">
        <v>266</v>
      </c>
      <c r="AC274" s="94" t="s">
        <v>266</v>
      </c>
      <c r="AD274" s="94" t="s">
        <v>266</v>
      </c>
    </row>
    <row r="275" spans="1:30" ht="30">
      <c r="A275" s="362" t="s">
        <v>1502</v>
      </c>
      <c r="B275" s="396" t="s">
        <v>1665</v>
      </c>
      <c r="C275" s="400" t="s">
        <v>786</v>
      </c>
      <c r="D275" s="398" t="s">
        <v>865</v>
      </c>
      <c r="E275" s="399" t="s">
        <v>869</v>
      </c>
      <c r="F275" s="414" t="s">
        <v>872</v>
      </c>
      <c r="G275" s="412" t="s">
        <v>873</v>
      </c>
      <c r="H275" s="413" t="s">
        <v>318</v>
      </c>
      <c r="I275" s="413" t="s">
        <v>281</v>
      </c>
      <c r="J275" s="355" t="s">
        <v>1364</v>
      </c>
      <c r="L275" s="353" t="s">
        <v>52</v>
      </c>
      <c r="M275" s="423" t="s">
        <v>1505</v>
      </c>
      <c r="O275" s="355" t="s">
        <v>1642</v>
      </c>
      <c r="P275" s="60"/>
      <c r="Q275" s="292"/>
      <c r="R275" s="103" t="s">
        <v>1270</v>
      </c>
      <c r="T275" s="423" t="s">
        <v>182</v>
      </c>
      <c r="V275" s="432">
        <f t="shared" si="13"/>
        <v>0</v>
      </c>
      <c r="W275" s="288" t="s">
        <v>815</v>
      </c>
      <c r="X275" s="325" t="s">
        <v>857</v>
      </c>
      <c r="Y275" s="288" t="s">
        <v>275</v>
      </c>
      <c r="Z275" s="325" t="s">
        <v>265</v>
      </c>
      <c r="AA275" s="94" t="s">
        <v>266</v>
      </c>
      <c r="AB275" s="94" t="s">
        <v>266</v>
      </c>
      <c r="AC275" s="94" t="s">
        <v>266</v>
      </c>
      <c r="AD275" s="94" t="s">
        <v>266</v>
      </c>
    </row>
    <row r="276" spans="1:30" ht="30">
      <c r="A276" s="362" t="s">
        <v>1502</v>
      </c>
      <c r="B276" s="396" t="s">
        <v>1665</v>
      </c>
      <c r="C276" s="400" t="s">
        <v>786</v>
      </c>
      <c r="D276" s="398" t="s">
        <v>865</v>
      </c>
      <c r="E276" s="399" t="s">
        <v>869</v>
      </c>
      <c r="F276" s="414" t="s">
        <v>872</v>
      </c>
      <c r="G276" s="412" t="s">
        <v>873</v>
      </c>
      <c r="H276" s="413" t="s">
        <v>318</v>
      </c>
      <c r="I276" s="413" t="s">
        <v>281</v>
      </c>
      <c r="J276" s="355" t="s">
        <v>1364</v>
      </c>
      <c r="L276" s="353" t="s">
        <v>52</v>
      </c>
      <c r="M276" s="423" t="s">
        <v>1505</v>
      </c>
      <c r="O276" s="355" t="s">
        <v>1643</v>
      </c>
      <c r="P276" s="60"/>
      <c r="Q276" s="292"/>
      <c r="R276" s="103" t="s">
        <v>1270</v>
      </c>
      <c r="T276" s="423" t="s">
        <v>182</v>
      </c>
      <c r="V276" s="432">
        <f t="shared" si="13"/>
        <v>0</v>
      </c>
      <c r="W276" s="288" t="s">
        <v>263</v>
      </c>
      <c r="Y276" s="288" t="s">
        <v>275</v>
      </c>
      <c r="Z276" s="325" t="s">
        <v>265</v>
      </c>
      <c r="AA276" s="94" t="s">
        <v>266</v>
      </c>
      <c r="AD276" s="94" t="s">
        <v>266</v>
      </c>
    </row>
    <row r="277" spans="1:30" ht="30">
      <c r="A277" s="362" t="s">
        <v>1502</v>
      </c>
      <c r="B277" s="396" t="s">
        <v>1665</v>
      </c>
      <c r="C277" s="400" t="s">
        <v>786</v>
      </c>
      <c r="D277" s="398" t="s">
        <v>865</v>
      </c>
      <c r="E277" s="399" t="s">
        <v>869</v>
      </c>
      <c r="F277" s="414" t="s">
        <v>872</v>
      </c>
      <c r="G277" s="412" t="s">
        <v>873</v>
      </c>
      <c r="H277" s="413" t="s">
        <v>318</v>
      </c>
      <c r="I277" s="413" t="s">
        <v>281</v>
      </c>
      <c r="J277" s="355" t="s">
        <v>1364</v>
      </c>
      <c r="L277" s="353" t="s">
        <v>52</v>
      </c>
      <c r="M277" s="423" t="s">
        <v>1505</v>
      </c>
      <c r="O277" s="355" t="s">
        <v>1644</v>
      </c>
      <c r="P277" s="60"/>
      <c r="Q277" s="292"/>
      <c r="R277" s="103" t="s">
        <v>1270</v>
      </c>
      <c r="T277" s="423" t="s">
        <v>182</v>
      </c>
      <c r="V277" s="432">
        <f t="shared" si="13"/>
        <v>0</v>
      </c>
      <c r="W277" s="288" t="s">
        <v>813</v>
      </c>
      <c r="AA277" s="94" t="s">
        <v>266</v>
      </c>
      <c r="AB277" s="94" t="s">
        <v>266</v>
      </c>
    </row>
    <row r="278" spans="1:30" ht="30">
      <c r="A278" s="362" t="s">
        <v>1502</v>
      </c>
      <c r="B278" s="396" t="s">
        <v>1665</v>
      </c>
      <c r="C278" s="400" t="s">
        <v>786</v>
      </c>
      <c r="D278" s="398" t="s">
        <v>865</v>
      </c>
      <c r="E278" s="399" t="s">
        <v>869</v>
      </c>
      <c r="F278" s="414" t="s">
        <v>872</v>
      </c>
      <c r="G278" s="412" t="s">
        <v>873</v>
      </c>
      <c r="H278" s="413" t="s">
        <v>318</v>
      </c>
      <c r="I278" s="413" t="s">
        <v>281</v>
      </c>
      <c r="J278" s="355" t="s">
        <v>1364</v>
      </c>
      <c r="L278" s="353" t="s">
        <v>52</v>
      </c>
      <c r="M278" s="423" t="s">
        <v>1505</v>
      </c>
      <c r="O278" s="355" t="s">
        <v>1645</v>
      </c>
      <c r="P278" s="60" t="s">
        <v>881</v>
      </c>
      <c r="Q278" s="292">
        <v>1</v>
      </c>
      <c r="R278" s="60" t="s">
        <v>881</v>
      </c>
      <c r="T278" s="423">
        <v>0</v>
      </c>
      <c r="V278" s="432">
        <f t="shared" si="13"/>
        <v>0</v>
      </c>
      <c r="W278" s="288" t="s">
        <v>766</v>
      </c>
      <c r="X278" s="325" t="s">
        <v>876</v>
      </c>
      <c r="Y278" s="288" t="s">
        <v>275</v>
      </c>
      <c r="Z278" s="325" t="s">
        <v>265</v>
      </c>
      <c r="AA278" s="94" t="s">
        <v>266</v>
      </c>
      <c r="AB278" s="94" t="s">
        <v>266</v>
      </c>
      <c r="AC278" s="94" t="s">
        <v>266</v>
      </c>
      <c r="AD278" s="94" t="s">
        <v>266</v>
      </c>
    </row>
    <row r="279" spans="1:30" ht="45">
      <c r="A279" s="362" t="s">
        <v>1502</v>
      </c>
      <c r="B279" s="396" t="s">
        <v>1665</v>
      </c>
      <c r="C279" s="400" t="s">
        <v>786</v>
      </c>
      <c r="D279" s="398" t="s">
        <v>865</v>
      </c>
      <c r="E279" s="399" t="s">
        <v>869</v>
      </c>
      <c r="F279" s="414" t="s">
        <v>872</v>
      </c>
      <c r="G279" s="412" t="s">
        <v>873</v>
      </c>
      <c r="H279" s="413" t="s">
        <v>318</v>
      </c>
      <c r="I279" s="413" t="s">
        <v>281</v>
      </c>
      <c r="J279" s="355" t="s">
        <v>1364</v>
      </c>
      <c r="L279" s="353" t="s">
        <v>52</v>
      </c>
      <c r="M279" s="423" t="s">
        <v>430</v>
      </c>
      <c r="O279" s="355" t="s">
        <v>1646</v>
      </c>
      <c r="P279" s="60" t="s">
        <v>883</v>
      </c>
      <c r="Q279" s="292"/>
      <c r="R279" s="103" t="s">
        <v>1270</v>
      </c>
      <c r="T279" s="423" t="s">
        <v>182</v>
      </c>
      <c r="V279" s="432">
        <f t="shared" si="13"/>
        <v>0</v>
      </c>
      <c r="W279" s="288" t="s">
        <v>766</v>
      </c>
      <c r="X279" s="325" t="s">
        <v>876</v>
      </c>
      <c r="Y279" s="288" t="s">
        <v>275</v>
      </c>
      <c r="Z279" s="325" t="s">
        <v>265</v>
      </c>
      <c r="AA279" s="94" t="s">
        <v>266</v>
      </c>
      <c r="AB279" s="94" t="s">
        <v>266</v>
      </c>
      <c r="AC279" s="94" t="s">
        <v>266</v>
      </c>
      <c r="AD279" s="94" t="s">
        <v>266</v>
      </c>
    </row>
    <row r="280" spans="1:30" ht="30">
      <c r="A280" s="362" t="s">
        <v>1502</v>
      </c>
      <c r="B280" s="396" t="s">
        <v>1665</v>
      </c>
      <c r="C280" s="400" t="s">
        <v>786</v>
      </c>
      <c r="D280" s="398" t="s">
        <v>865</v>
      </c>
      <c r="E280" s="399" t="s">
        <v>869</v>
      </c>
      <c r="F280" s="414" t="s">
        <v>872</v>
      </c>
      <c r="G280" s="412" t="s">
        <v>873</v>
      </c>
      <c r="H280" s="413" t="s">
        <v>318</v>
      </c>
      <c r="I280" s="413" t="s">
        <v>281</v>
      </c>
      <c r="J280" s="355" t="s">
        <v>1364</v>
      </c>
      <c r="L280" s="353" t="s">
        <v>52</v>
      </c>
      <c r="M280" s="423" t="s">
        <v>1503</v>
      </c>
      <c r="O280" s="355" t="s">
        <v>1647</v>
      </c>
      <c r="P280" s="60"/>
      <c r="Q280" s="292"/>
      <c r="R280" s="103" t="s">
        <v>1270</v>
      </c>
      <c r="T280" s="423" t="s">
        <v>182</v>
      </c>
      <c r="V280" s="432">
        <f t="shared" si="13"/>
        <v>0</v>
      </c>
      <c r="W280" s="288" t="s">
        <v>263</v>
      </c>
      <c r="X280" s="325" t="s">
        <v>849</v>
      </c>
      <c r="Y280" s="288" t="s">
        <v>275</v>
      </c>
      <c r="Z280" s="325" t="s">
        <v>265</v>
      </c>
      <c r="AA280" s="94" t="s">
        <v>266</v>
      </c>
      <c r="AB280" s="94" t="s">
        <v>266</v>
      </c>
      <c r="AC280" s="94" t="s">
        <v>266</v>
      </c>
      <c r="AD280" s="94" t="s">
        <v>266</v>
      </c>
    </row>
    <row r="281" spans="1:30" ht="30">
      <c r="A281" s="362" t="s">
        <v>1502</v>
      </c>
      <c r="B281" s="396" t="s">
        <v>1665</v>
      </c>
      <c r="C281" s="400" t="s">
        <v>786</v>
      </c>
      <c r="D281" s="398" t="s">
        <v>865</v>
      </c>
      <c r="E281" s="399" t="s">
        <v>869</v>
      </c>
      <c r="F281" s="414" t="s">
        <v>872</v>
      </c>
      <c r="G281" s="412" t="s">
        <v>873</v>
      </c>
      <c r="H281" s="413" t="s">
        <v>318</v>
      </c>
      <c r="I281" s="413" t="s">
        <v>281</v>
      </c>
      <c r="J281" s="355" t="s">
        <v>1364</v>
      </c>
      <c r="L281" s="353" t="s">
        <v>52</v>
      </c>
      <c r="M281" s="423" t="s">
        <v>1505</v>
      </c>
      <c r="O281" s="355" t="s">
        <v>1648</v>
      </c>
      <c r="P281" s="60"/>
      <c r="Q281" s="292"/>
      <c r="R281" s="103" t="s">
        <v>1270</v>
      </c>
      <c r="T281" s="423" t="s">
        <v>182</v>
      </c>
      <c r="V281" s="432">
        <f t="shared" si="13"/>
        <v>0</v>
      </c>
      <c r="W281" s="288" t="s">
        <v>815</v>
      </c>
      <c r="X281" s="325" t="s">
        <v>857</v>
      </c>
      <c r="Y281" s="288" t="s">
        <v>264</v>
      </c>
      <c r="Z281" s="325" t="s">
        <v>265</v>
      </c>
      <c r="AA281" s="94" t="s">
        <v>266</v>
      </c>
      <c r="AB281" s="94" t="s">
        <v>266</v>
      </c>
      <c r="AC281" s="94" t="s">
        <v>266</v>
      </c>
      <c r="AD281" s="94" t="s">
        <v>266</v>
      </c>
    </row>
    <row r="282" spans="1:30" ht="45">
      <c r="A282" s="362" t="s">
        <v>1502</v>
      </c>
      <c r="B282" s="396" t="s">
        <v>1665</v>
      </c>
      <c r="C282" s="400" t="s">
        <v>786</v>
      </c>
      <c r="D282" s="398" t="s">
        <v>865</v>
      </c>
      <c r="E282" s="399" t="s">
        <v>869</v>
      </c>
      <c r="F282" s="414" t="s">
        <v>872</v>
      </c>
      <c r="G282" s="412" t="s">
        <v>873</v>
      </c>
      <c r="H282" s="413" t="s">
        <v>318</v>
      </c>
      <c r="I282" s="413" t="s">
        <v>281</v>
      </c>
      <c r="J282" s="355" t="s">
        <v>1364</v>
      </c>
      <c r="L282" s="353" t="s">
        <v>52</v>
      </c>
      <c r="M282" s="423" t="s">
        <v>1503</v>
      </c>
      <c r="O282" s="355" t="s">
        <v>1649</v>
      </c>
      <c r="P282" s="60"/>
      <c r="Q282" s="292"/>
      <c r="R282" s="103" t="s">
        <v>1270</v>
      </c>
      <c r="T282" s="423" t="s">
        <v>182</v>
      </c>
      <c r="V282" s="432">
        <f t="shared" si="13"/>
        <v>0</v>
      </c>
      <c r="W282" s="288" t="s">
        <v>815</v>
      </c>
      <c r="X282" s="325" t="s">
        <v>857</v>
      </c>
      <c r="Y282" s="288" t="s">
        <v>264</v>
      </c>
      <c r="Z282" s="325" t="s">
        <v>265</v>
      </c>
      <c r="AA282" s="94" t="s">
        <v>266</v>
      </c>
      <c r="AB282" s="94" t="s">
        <v>266</v>
      </c>
      <c r="AC282" s="94" t="s">
        <v>266</v>
      </c>
      <c r="AD282" s="94" t="s">
        <v>266</v>
      </c>
    </row>
  </sheetData>
  <autoFilter ref="A1:AD282"/>
  <sortState ref="A2:AE277">
    <sortCondition ref="B2:B277"/>
    <sortCondition ref="D2:D277"/>
    <sortCondition ref="F2:F277"/>
  </sortState>
  <dataConsolidate/>
  <conditionalFormatting sqref="H209:I209">
    <cfRule type="duplicateValues" dxfId="1" priority="1"/>
  </conditionalFormatting>
  <pageMargins left="0.25" right="0.25" top="0.75" bottom="0.75" header="0.3" footer="0.3"/>
  <pageSetup paperSize="8" scale="53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Full1!$B$2:$B$3</xm:f>
          </x14:formula1>
          <xm:sqref>I26:I31 I33 I35:I43 I2:I24 I45:I282</xm:sqref>
        </x14:dataValidation>
        <x14:dataValidation type="list" allowBlank="1" showInputMessage="1" showErrorMessage="1">
          <x14:formula1>
            <xm:f>Full1!$A$2:$A$3</xm:f>
          </x14:formula1>
          <xm:sqref>H26:H31 H33 H35:H43 H2:H24 H45:H282</xm:sqref>
        </x14:dataValidation>
        <x14:dataValidation type="list" allowBlank="1" showInputMessage="1" showErrorMessage="1">
          <x14:formula1>
            <xm:f>Full1!$E$2:$E$3</xm:f>
          </x14:formula1>
          <xm:sqref>L26:L31 L33 L2:L24 L35:L282</xm:sqref>
        </x14:dataValidation>
        <x14:dataValidation type="list" allowBlank="1" showInputMessage="1" showErrorMessage="1">
          <x14:formula1>
            <xm:f>Full1!$C$2:$C$6</xm:f>
          </x14:formula1>
          <xm:sqref>M26:M31 M33 M2:M24 M35:M282</xm:sqref>
        </x14:dataValidation>
        <x14:dataValidation type="list" allowBlank="1" showInputMessage="1" showErrorMessage="1">
          <x14:formula1>
            <xm:f>Llistes!$B$17:$B$28</xm:f>
          </x14:formula1>
          <xm:sqref>W26:W31 W33 W2:W24 W35:W282</xm:sqref>
        </x14:dataValidation>
        <x14:dataValidation type="list" allowBlank="1" showInputMessage="1" showErrorMessage="1">
          <x14:formula1>
            <xm:f>Full1!$G$2:$G$4</xm:f>
          </x14:formula1>
          <xm:sqref>Z83:Z282 Z9:Z24 Z26:Z31 Z33 Z35:Z81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63"/>
  <sheetViews>
    <sheetView topLeftCell="A88" workbookViewId="0">
      <selection activeCell="B2" sqref="B2"/>
    </sheetView>
  </sheetViews>
  <sheetFormatPr baseColWidth="10" defaultRowHeight="15"/>
  <cols>
    <col min="1" max="1" width="3.140625" customWidth="1"/>
    <col min="2" max="2" width="229.42578125" bestFit="1" customWidth="1"/>
  </cols>
  <sheetData>
    <row r="2" spans="2:2">
      <c r="B2" s="341" t="s">
        <v>1308</v>
      </c>
    </row>
    <row r="3" spans="2:2">
      <c r="B3" s="342" t="s">
        <v>1496</v>
      </c>
    </row>
    <row r="4" spans="2:2">
      <c r="B4" s="343" t="s">
        <v>334</v>
      </c>
    </row>
    <row r="5" spans="2:2">
      <c r="B5" s="344" t="s">
        <v>348</v>
      </c>
    </row>
    <row r="6" spans="2:2">
      <c r="B6" s="345" t="s">
        <v>1073</v>
      </c>
    </row>
    <row r="7" spans="2:2">
      <c r="B7" s="345" t="s">
        <v>350</v>
      </c>
    </row>
    <row r="8" spans="2:2">
      <c r="B8" s="345" t="s">
        <v>354</v>
      </c>
    </row>
    <row r="9" spans="2:2">
      <c r="B9" s="344" t="s">
        <v>336</v>
      </c>
    </row>
    <row r="10" spans="2:2">
      <c r="B10" s="345" t="s">
        <v>338</v>
      </c>
    </row>
    <row r="11" spans="2:2">
      <c r="B11" s="345" t="s">
        <v>341</v>
      </c>
    </row>
    <row r="12" spans="2:2">
      <c r="B12" s="345" t="s">
        <v>343</v>
      </c>
    </row>
    <row r="13" spans="2:2">
      <c r="B13" s="343" t="s">
        <v>254</v>
      </c>
    </row>
    <row r="14" spans="2:2">
      <c r="B14" s="344" t="s">
        <v>256</v>
      </c>
    </row>
    <row r="15" spans="2:2">
      <c r="B15" s="345" t="s">
        <v>273</v>
      </c>
    </row>
    <row r="16" spans="2:2">
      <c r="B16" s="345" t="s">
        <v>258</v>
      </c>
    </row>
    <row r="17" spans="2:2">
      <c r="B17" s="344" t="s">
        <v>328</v>
      </c>
    </row>
    <row r="18" spans="2:2">
      <c r="B18" s="345" t="s">
        <v>1072</v>
      </c>
    </row>
    <row r="19" spans="2:2">
      <c r="B19" s="345" t="s">
        <v>331</v>
      </c>
    </row>
    <row r="20" spans="2:2">
      <c r="B20" s="345" t="s">
        <v>333</v>
      </c>
    </row>
    <row r="21" spans="2:2">
      <c r="B21" s="344" t="s">
        <v>312</v>
      </c>
    </row>
    <row r="22" spans="2:2">
      <c r="B22" s="345" t="s">
        <v>317</v>
      </c>
    </row>
    <row r="23" spans="2:2">
      <c r="B23" s="345" t="s">
        <v>1181</v>
      </c>
    </row>
    <row r="24" spans="2:2">
      <c r="B24" s="345" t="s">
        <v>321</v>
      </c>
    </row>
    <row r="25" spans="2:2">
      <c r="B25" s="345" t="s">
        <v>326</v>
      </c>
    </row>
    <row r="26" spans="2:2">
      <c r="B26" s="345" t="s">
        <v>314</v>
      </c>
    </row>
    <row r="27" spans="2:2">
      <c r="B27" s="345" t="s">
        <v>323</v>
      </c>
    </row>
    <row r="28" spans="2:2">
      <c r="B28" s="344" t="s">
        <v>1178</v>
      </c>
    </row>
    <row r="29" spans="2:2">
      <c r="B29" s="345" t="s">
        <v>1070</v>
      </c>
    </row>
    <row r="30" spans="2:2">
      <c r="B30" s="345" t="s">
        <v>298</v>
      </c>
    </row>
    <row r="31" spans="2:2">
      <c r="B31" s="345" t="s">
        <v>289</v>
      </c>
    </row>
    <row r="32" spans="2:2">
      <c r="B32" s="345" t="s">
        <v>280</v>
      </c>
    </row>
    <row r="33" spans="2:2">
      <c r="B33" s="343" t="s">
        <v>355</v>
      </c>
    </row>
    <row r="34" spans="2:2">
      <c r="B34" s="344" t="s">
        <v>364</v>
      </c>
    </row>
    <row r="35" spans="2:2">
      <c r="B35" s="345" t="s">
        <v>366</v>
      </c>
    </row>
    <row r="36" spans="2:2">
      <c r="B36" s="344" t="s">
        <v>378</v>
      </c>
    </row>
    <row r="37" spans="2:2">
      <c r="B37" s="345" t="s">
        <v>380</v>
      </c>
    </row>
    <row r="38" spans="2:2">
      <c r="B38" s="345" t="s">
        <v>383</v>
      </c>
    </row>
    <row r="39" spans="2:2">
      <c r="B39" s="344" t="s">
        <v>357</v>
      </c>
    </row>
    <row r="40" spans="2:2">
      <c r="B40" s="345" t="s">
        <v>360</v>
      </c>
    </row>
    <row r="41" spans="2:2">
      <c r="B41" s="345" t="s">
        <v>362</v>
      </c>
    </row>
    <row r="42" spans="2:2">
      <c r="B42" s="345" t="s">
        <v>1143</v>
      </c>
    </row>
    <row r="43" spans="2:2">
      <c r="B43" s="344" t="s">
        <v>369</v>
      </c>
    </row>
    <row r="44" spans="2:2">
      <c r="B44" s="345" t="s">
        <v>374</v>
      </c>
    </row>
    <row r="45" spans="2:2">
      <c r="B45" s="345" t="s">
        <v>376</v>
      </c>
    </row>
    <row r="46" spans="2:2">
      <c r="B46" s="345" t="s">
        <v>371</v>
      </c>
    </row>
    <row r="47" spans="2:2">
      <c r="B47" s="345" t="s">
        <v>1144</v>
      </c>
    </row>
    <row r="48" spans="2:2">
      <c r="B48" s="342" t="s">
        <v>1497</v>
      </c>
    </row>
    <row r="49" spans="2:2">
      <c r="B49" s="343" t="s">
        <v>385</v>
      </c>
    </row>
    <row r="50" spans="2:2">
      <c r="B50" s="344" t="s">
        <v>395</v>
      </c>
    </row>
    <row r="51" spans="2:2">
      <c r="B51" s="345" t="s">
        <v>399</v>
      </c>
    </row>
    <row r="52" spans="2:2">
      <c r="B52" s="345" t="s">
        <v>401</v>
      </c>
    </row>
    <row r="53" spans="2:2">
      <c r="B53" s="345" t="s">
        <v>403</v>
      </c>
    </row>
    <row r="54" spans="2:2">
      <c r="B54" s="345" t="s">
        <v>397</v>
      </c>
    </row>
    <row r="55" spans="2:2">
      <c r="B55" s="344" t="s">
        <v>414</v>
      </c>
    </row>
    <row r="56" spans="2:2">
      <c r="B56" s="345" t="s">
        <v>420</v>
      </c>
    </row>
    <row r="57" spans="2:2">
      <c r="B57" s="345" t="s">
        <v>418</v>
      </c>
    </row>
    <row r="58" spans="2:2">
      <c r="B58" s="345" t="s">
        <v>416</v>
      </c>
    </row>
    <row r="59" spans="2:2">
      <c r="B59" s="344" t="s">
        <v>387</v>
      </c>
    </row>
    <row r="60" spans="2:2">
      <c r="B60" s="345" t="s">
        <v>391</v>
      </c>
    </row>
    <row r="61" spans="2:2">
      <c r="B61" s="345" t="s">
        <v>393</v>
      </c>
    </row>
    <row r="62" spans="2:2">
      <c r="B62" s="345" t="s">
        <v>389</v>
      </c>
    </row>
    <row r="63" spans="2:2">
      <c r="B63" s="344" t="s">
        <v>405</v>
      </c>
    </row>
    <row r="64" spans="2:2">
      <c r="B64" s="345" t="s">
        <v>1182</v>
      </c>
    </row>
    <row r="65" spans="2:2">
      <c r="B65" s="345" t="s">
        <v>412</v>
      </c>
    </row>
    <row r="66" spans="2:2">
      <c r="B66" s="345" t="s">
        <v>407</v>
      </c>
    </row>
    <row r="67" spans="2:2">
      <c r="B67" s="345" t="s">
        <v>409</v>
      </c>
    </row>
    <row r="68" spans="2:2">
      <c r="B68" s="343" t="s">
        <v>421</v>
      </c>
    </row>
    <row r="69" spans="2:2">
      <c r="B69" s="344" t="s">
        <v>423</v>
      </c>
    </row>
    <row r="70" spans="2:2">
      <c r="B70" s="345" t="s">
        <v>425</v>
      </c>
    </row>
    <row r="71" spans="2:2">
      <c r="B71" s="344" t="s">
        <v>427</v>
      </c>
    </row>
    <row r="72" spans="2:2">
      <c r="B72" s="345" t="s">
        <v>429</v>
      </c>
    </row>
    <row r="73" spans="2:2">
      <c r="B73" s="345" t="s">
        <v>1061</v>
      </c>
    </row>
    <row r="74" spans="2:2">
      <c r="B74" s="345" t="s">
        <v>433</v>
      </c>
    </row>
    <row r="75" spans="2:2">
      <c r="B75" s="344" t="s">
        <v>435</v>
      </c>
    </row>
    <row r="76" spans="2:2">
      <c r="B76" s="345" t="s">
        <v>437</v>
      </c>
    </row>
    <row r="77" spans="2:2">
      <c r="B77" s="345" t="s">
        <v>439</v>
      </c>
    </row>
    <row r="78" spans="2:2">
      <c r="B78" s="342" t="s">
        <v>1498</v>
      </c>
    </row>
    <row r="79" spans="2:2">
      <c r="B79" s="343" t="s">
        <v>441</v>
      </c>
    </row>
    <row r="80" spans="2:2">
      <c r="B80" s="344" t="s">
        <v>451</v>
      </c>
    </row>
    <row r="81" spans="2:2">
      <c r="B81" s="345" t="s">
        <v>1186</v>
      </c>
    </row>
    <row r="82" spans="2:2">
      <c r="B82" s="345" t="s">
        <v>460</v>
      </c>
    </row>
    <row r="83" spans="2:2">
      <c r="B83" s="345" t="s">
        <v>457</v>
      </c>
    </row>
    <row r="84" spans="2:2">
      <c r="B84" s="345" t="s">
        <v>467</v>
      </c>
    </row>
    <row r="85" spans="2:2">
      <c r="B85" s="345" t="s">
        <v>463</v>
      </c>
    </row>
    <row r="86" spans="2:2">
      <c r="B86" s="345" t="s">
        <v>465</v>
      </c>
    </row>
    <row r="87" spans="2:2">
      <c r="B87" s="345" t="s">
        <v>453</v>
      </c>
    </row>
    <row r="88" spans="2:2">
      <c r="B88" s="344" t="s">
        <v>1187</v>
      </c>
    </row>
    <row r="89" spans="2:2">
      <c r="B89" s="345" t="s">
        <v>474</v>
      </c>
    </row>
    <row r="90" spans="2:2">
      <c r="B90" s="345" t="s">
        <v>477</v>
      </c>
    </row>
    <row r="91" spans="2:2">
      <c r="B91" s="345" t="s">
        <v>479</v>
      </c>
    </row>
    <row r="92" spans="2:2">
      <c r="B92" s="345" t="s">
        <v>471</v>
      </c>
    </row>
    <row r="93" spans="2:2">
      <c r="B93" s="344" t="s">
        <v>443</v>
      </c>
    </row>
    <row r="94" spans="2:2">
      <c r="B94" s="345" t="s">
        <v>448</v>
      </c>
    </row>
    <row r="95" spans="2:2">
      <c r="B95" s="345" t="s">
        <v>445</v>
      </c>
    </row>
    <row r="96" spans="2:2">
      <c r="B96" s="344" t="s">
        <v>482</v>
      </c>
    </row>
    <row r="97" spans="2:2">
      <c r="B97" s="345" t="s">
        <v>1152</v>
      </c>
    </row>
    <row r="98" spans="2:2">
      <c r="B98" s="345" t="s">
        <v>495</v>
      </c>
    </row>
    <row r="99" spans="2:2">
      <c r="B99" s="345" t="s">
        <v>484</v>
      </c>
    </row>
    <row r="100" spans="2:2">
      <c r="B100" s="345" t="s">
        <v>487</v>
      </c>
    </row>
    <row r="101" spans="2:2">
      <c r="B101" s="345" t="s">
        <v>493</v>
      </c>
    </row>
    <row r="102" spans="2:2">
      <c r="B102" s="345" t="s">
        <v>489</v>
      </c>
    </row>
    <row r="103" spans="2:2">
      <c r="B103" s="344" t="s">
        <v>497</v>
      </c>
    </row>
    <row r="104" spans="2:2">
      <c r="B104" s="345" t="s">
        <v>1171</v>
      </c>
    </row>
    <row r="105" spans="2:2">
      <c r="B105" s="345" t="s">
        <v>500</v>
      </c>
    </row>
    <row r="106" spans="2:2">
      <c r="B106" s="345" t="s">
        <v>507</v>
      </c>
    </row>
    <row r="107" spans="2:2">
      <c r="B107" s="345" t="s">
        <v>504</v>
      </c>
    </row>
    <row r="108" spans="2:2">
      <c r="B108" s="345" t="s">
        <v>502</v>
      </c>
    </row>
    <row r="109" spans="2:2">
      <c r="B109" s="345" t="s">
        <v>1168</v>
      </c>
    </row>
    <row r="110" spans="2:2">
      <c r="B110" s="342" t="s">
        <v>1499</v>
      </c>
    </row>
    <row r="111" spans="2:2">
      <c r="B111" s="343" t="s">
        <v>513</v>
      </c>
    </row>
    <row r="112" spans="2:2">
      <c r="B112" s="344" t="s">
        <v>542</v>
      </c>
    </row>
    <row r="113" spans="2:2">
      <c r="B113" s="345" t="s">
        <v>546</v>
      </c>
    </row>
    <row r="114" spans="2:2">
      <c r="B114" s="345" t="s">
        <v>548</v>
      </c>
    </row>
    <row r="115" spans="2:2">
      <c r="B115" s="345" t="s">
        <v>544</v>
      </c>
    </row>
    <row r="116" spans="2:2">
      <c r="B116" s="344" t="s">
        <v>515</v>
      </c>
    </row>
    <row r="117" spans="2:2">
      <c r="B117" s="345" t="s">
        <v>517</v>
      </c>
    </row>
    <row r="118" spans="2:2">
      <c r="B118" s="345" t="s">
        <v>519</v>
      </c>
    </row>
    <row r="119" spans="2:2">
      <c r="B119" s="345" t="s">
        <v>521</v>
      </c>
    </row>
    <row r="120" spans="2:2">
      <c r="B120" s="344" t="s">
        <v>527</v>
      </c>
    </row>
    <row r="121" spans="2:2">
      <c r="B121" s="345" t="s">
        <v>1155</v>
      </c>
    </row>
    <row r="122" spans="2:2">
      <c r="B122" s="345" t="s">
        <v>540</v>
      </c>
    </row>
    <row r="123" spans="2:2">
      <c r="B123" s="345" t="s">
        <v>537</v>
      </c>
    </row>
    <row r="124" spans="2:2">
      <c r="B124" s="345" t="s">
        <v>529</v>
      </c>
    </row>
    <row r="125" spans="2:2">
      <c r="B125" s="345" t="s">
        <v>532</v>
      </c>
    </row>
    <row r="126" spans="2:2">
      <c r="B126" s="345" t="s">
        <v>535</v>
      </c>
    </row>
    <row r="127" spans="2:2">
      <c r="B127" s="344" t="s">
        <v>523</v>
      </c>
    </row>
    <row r="128" spans="2:2">
      <c r="B128" s="345" t="s">
        <v>525</v>
      </c>
    </row>
    <row r="129" spans="2:2">
      <c r="B129" s="343" t="s">
        <v>509</v>
      </c>
    </row>
    <row r="130" spans="2:2">
      <c r="B130" s="344" t="s">
        <v>1153</v>
      </c>
    </row>
    <row r="131" spans="2:2">
      <c r="B131" s="345" t="s">
        <v>512</v>
      </c>
    </row>
    <row r="132" spans="2:2">
      <c r="B132" s="343" t="s">
        <v>550</v>
      </c>
    </row>
    <row r="133" spans="2:2">
      <c r="B133" s="344" t="s">
        <v>552</v>
      </c>
    </row>
    <row r="134" spans="2:2">
      <c r="B134" s="345" t="s">
        <v>554</v>
      </c>
    </row>
    <row r="135" spans="2:2">
      <c r="B135" s="345" t="s">
        <v>556</v>
      </c>
    </row>
    <row r="136" spans="2:2">
      <c r="B136" s="344" t="s">
        <v>558</v>
      </c>
    </row>
    <row r="137" spans="2:2">
      <c r="B137" s="345" t="s">
        <v>562</v>
      </c>
    </row>
    <row r="138" spans="2:2">
      <c r="B138" s="345" t="s">
        <v>560</v>
      </c>
    </row>
    <row r="139" spans="2:2">
      <c r="B139" s="342" t="s">
        <v>1500</v>
      </c>
    </row>
    <row r="140" spans="2:2">
      <c r="B140" s="343" t="s">
        <v>652</v>
      </c>
    </row>
    <row r="141" spans="2:2">
      <c r="B141" s="344" t="s">
        <v>654</v>
      </c>
    </row>
    <row r="142" spans="2:2">
      <c r="B142" s="345" t="s">
        <v>658</v>
      </c>
    </row>
    <row r="143" spans="2:2">
      <c r="B143" s="345" t="s">
        <v>656</v>
      </c>
    </row>
    <row r="144" spans="2:2">
      <c r="B144" s="343" t="s">
        <v>564</v>
      </c>
    </row>
    <row r="145" spans="2:2">
      <c r="B145" s="344" t="s">
        <v>566</v>
      </c>
    </row>
    <row r="146" spans="2:2">
      <c r="B146" s="345" t="s">
        <v>568</v>
      </c>
    </row>
    <row r="147" spans="2:2">
      <c r="B147" s="343" t="s">
        <v>570</v>
      </c>
    </row>
    <row r="148" spans="2:2">
      <c r="B148" s="344" t="s">
        <v>596</v>
      </c>
    </row>
    <row r="149" spans="2:2">
      <c r="B149" s="345" t="s">
        <v>598</v>
      </c>
    </row>
    <row r="150" spans="2:2">
      <c r="B150" s="345" t="s">
        <v>601</v>
      </c>
    </row>
    <row r="151" spans="2:2">
      <c r="B151" s="344" t="s">
        <v>615</v>
      </c>
    </row>
    <row r="152" spans="2:2">
      <c r="B152" s="345" t="s">
        <v>617</v>
      </c>
    </row>
    <row r="153" spans="2:2">
      <c r="B153" s="345" t="s">
        <v>619</v>
      </c>
    </row>
    <row r="154" spans="2:2">
      <c r="B154" s="344" t="s">
        <v>1173</v>
      </c>
    </row>
    <row r="155" spans="2:2">
      <c r="B155" s="345" t="s">
        <v>589</v>
      </c>
    </row>
    <row r="156" spans="2:2">
      <c r="B156" s="345" t="s">
        <v>581</v>
      </c>
    </row>
    <row r="157" spans="2:2">
      <c r="B157" s="345" t="s">
        <v>575</v>
      </c>
    </row>
    <row r="158" spans="2:2">
      <c r="B158" s="345" t="s">
        <v>593</v>
      </c>
    </row>
    <row r="159" spans="2:2">
      <c r="B159" s="345" t="s">
        <v>573</v>
      </c>
    </row>
    <row r="160" spans="2:2">
      <c r="B160" s="345" t="s">
        <v>587</v>
      </c>
    </row>
    <row r="161" spans="2:2">
      <c r="B161" s="345" t="s">
        <v>591</v>
      </c>
    </row>
    <row r="162" spans="2:2">
      <c r="B162" s="345" t="s">
        <v>583</v>
      </c>
    </row>
    <row r="163" spans="2:2">
      <c r="B163" s="345" t="s">
        <v>1146</v>
      </c>
    </row>
    <row r="164" spans="2:2">
      <c r="B164" s="345" t="s">
        <v>579</v>
      </c>
    </row>
    <row r="165" spans="2:2">
      <c r="B165" s="345" t="s">
        <v>585</v>
      </c>
    </row>
    <row r="166" spans="2:2">
      <c r="B166" s="345" t="s">
        <v>577</v>
      </c>
    </row>
    <row r="167" spans="2:2">
      <c r="B167" s="344" t="s">
        <v>645</v>
      </c>
    </row>
    <row r="168" spans="2:2">
      <c r="B168" s="345" t="s">
        <v>647</v>
      </c>
    </row>
    <row r="169" spans="2:2">
      <c r="B169" s="345" t="s">
        <v>649</v>
      </c>
    </row>
    <row r="170" spans="2:2">
      <c r="B170" s="345" t="s">
        <v>651</v>
      </c>
    </row>
    <row r="171" spans="2:2">
      <c r="B171" s="344" t="s">
        <v>604</v>
      </c>
    </row>
    <row r="172" spans="2:2">
      <c r="B172" s="345" t="s">
        <v>612</v>
      </c>
    </row>
    <row r="173" spans="2:2">
      <c r="B173" s="345" t="s">
        <v>608</v>
      </c>
    </row>
    <row r="174" spans="2:2">
      <c r="B174" s="345" t="s">
        <v>606</v>
      </c>
    </row>
    <row r="175" spans="2:2">
      <c r="B175" s="345" t="s">
        <v>1174</v>
      </c>
    </row>
    <row r="176" spans="2:2">
      <c r="B176" s="345" t="s">
        <v>610</v>
      </c>
    </row>
    <row r="177" spans="2:2">
      <c r="B177" s="344" t="s">
        <v>621</v>
      </c>
    </row>
    <row r="178" spans="2:2">
      <c r="B178" s="345" t="s">
        <v>625</v>
      </c>
    </row>
    <row r="179" spans="2:2">
      <c r="B179" s="345" t="s">
        <v>623</v>
      </c>
    </row>
    <row r="180" spans="2:2">
      <c r="B180" s="344" t="s">
        <v>1175</v>
      </c>
    </row>
    <row r="181" spans="2:2">
      <c r="B181" s="345" t="s">
        <v>642</v>
      </c>
    </row>
    <row r="182" spans="2:2">
      <c r="B182" s="345" t="s">
        <v>635</v>
      </c>
    </row>
    <row r="183" spans="2:2">
      <c r="B183" s="345" t="s">
        <v>639</v>
      </c>
    </row>
    <row r="184" spans="2:2">
      <c r="B184" s="345" t="s">
        <v>637</v>
      </c>
    </row>
    <row r="185" spans="2:2">
      <c r="B185" s="344" t="s">
        <v>628</v>
      </c>
    </row>
    <row r="186" spans="2:2">
      <c r="B186" s="345" t="s">
        <v>632</v>
      </c>
    </row>
    <row r="187" spans="2:2">
      <c r="B187" s="345" t="s">
        <v>630</v>
      </c>
    </row>
    <row r="188" spans="2:2">
      <c r="B188" s="342" t="s">
        <v>1501</v>
      </c>
    </row>
    <row r="189" spans="2:2">
      <c r="B189" s="343" t="s">
        <v>739</v>
      </c>
    </row>
    <row r="190" spans="2:2">
      <c r="B190" s="344" t="s">
        <v>741</v>
      </c>
    </row>
    <row r="191" spans="2:2">
      <c r="B191" s="345" t="s">
        <v>747</v>
      </c>
    </row>
    <row r="192" spans="2:2">
      <c r="B192" s="345" t="s">
        <v>743</v>
      </c>
    </row>
    <row r="193" spans="2:2">
      <c r="B193" s="344" t="s">
        <v>749</v>
      </c>
    </row>
    <row r="194" spans="2:2">
      <c r="B194" s="345" t="s">
        <v>751</v>
      </c>
    </row>
    <row r="195" spans="2:2">
      <c r="B195" s="344" t="s">
        <v>754</v>
      </c>
    </row>
    <row r="196" spans="2:2">
      <c r="B196" s="345" t="s">
        <v>758</v>
      </c>
    </row>
    <row r="197" spans="2:2">
      <c r="B197" s="345" t="s">
        <v>756</v>
      </c>
    </row>
    <row r="198" spans="2:2">
      <c r="B198" s="343" t="s">
        <v>660</v>
      </c>
    </row>
    <row r="199" spans="2:2">
      <c r="B199" s="344" t="s">
        <v>662</v>
      </c>
    </row>
    <row r="200" spans="2:2">
      <c r="B200" s="345" t="s">
        <v>664</v>
      </c>
    </row>
    <row r="201" spans="2:2">
      <c r="B201" s="345" t="s">
        <v>667</v>
      </c>
    </row>
    <row r="202" spans="2:2">
      <c r="B202" s="345" t="s">
        <v>670</v>
      </c>
    </row>
    <row r="203" spans="2:2">
      <c r="B203" s="344" t="s">
        <v>730</v>
      </c>
    </row>
    <row r="204" spans="2:2">
      <c r="B204" s="345" t="s">
        <v>732</v>
      </c>
    </row>
    <row r="205" spans="2:2">
      <c r="B205" s="345" t="s">
        <v>734</v>
      </c>
    </row>
    <row r="206" spans="2:2">
      <c r="B206" s="345" t="s">
        <v>736</v>
      </c>
    </row>
    <row r="207" spans="2:2">
      <c r="B207" s="345" t="s">
        <v>738</v>
      </c>
    </row>
    <row r="208" spans="2:2">
      <c r="B208" s="344" t="s">
        <v>691</v>
      </c>
    </row>
    <row r="209" spans="2:2">
      <c r="B209" s="345" t="s">
        <v>698</v>
      </c>
    </row>
    <row r="210" spans="2:2">
      <c r="B210" s="345" t="s">
        <v>696</v>
      </c>
    </row>
    <row r="211" spans="2:2">
      <c r="B211" s="345" t="s">
        <v>700</v>
      </c>
    </row>
    <row r="212" spans="2:2">
      <c r="B212" s="345" t="s">
        <v>693</v>
      </c>
    </row>
    <row r="213" spans="2:2">
      <c r="B213" s="344" t="s">
        <v>702</v>
      </c>
    </row>
    <row r="214" spans="2:2">
      <c r="B214" s="345" t="s">
        <v>712</v>
      </c>
    </row>
    <row r="215" spans="2:2">
      <c r="B215" s="345" t="s">
        <v>706</v>
      </c>
    </row>
    <row r="216" spans="2:2">
      <c r="B216" s="345" t="s">
        <v>708</v>
      </c>
    </row>
    <row r="217" spans="2:2">
      <c r="B217" s="345" t="s">
        <v>710</v>
      </c>
    </row>
    <row r="218" spans="2:2">
      <c r="B218" s="345" t="s">
        <v>704</v>
      </c>
    </row>
    <row r="219" spans="2:2">
      <c r="B219" s="344" t="s">
        <v>682</v>
      </c>
    </row>
    <row r="220" spans="2:2">
      <c r="B220" s="345" t="s">
        <v>686</v>
      </c>
    </row>
    <row r="221" spans="2:2">
      <c r="B221" s="345" t="s">
        <v>688</v>
      </c>
    </row>
    <row r="222" spans="2:2">
      <c r="B222" s="345" t="s">
        <v>684</v>
      </c>
    </row>
    <row r="223" spans="2:2">
      <c r="B223" s="344" t="s">
        <v>714</v>
      </c>
    </row>
    <row r="224" spans="2:2">
      <c r="B224" s="345" t="s">
        <v>718</v>
      </c>
    </row>
    <row r="225" spans="2:2">
      <c r="B225" s="345" t="s">
        <v>716</v>
      </c>
    </row>
    <row r="226" spans="2:2">
      <c r="B226" s="344" t="s">
        <v>672</v>
      </c>
    </row>
    <row r="227" spans="2:2">
      <c r="B227" s="345" t="s">
        <v>674</v>
      </c>
    </row>
    <row r="228" spans="2:2">
      <c r="B228" s="345" t="s">
        <v>676</v>
      </c>
    </row>
    <row r="229" spans="2:2">
      <c r="B229" s="345" t="s">
        <v>678</v>
      </c>
    </row>
    <row r="230" spans="2:2">
      <c r="B230" s="345" t="s">
        <v>680</v>
      </c>
    </row>
    <row r="231" spans="2:2">
      <c r="B231" s="344" t="s">
        <v>722</v>
      </c>
    </row>
    <row r="232" spans="2:2">
      <c r="B232" s="345" t="s">
        <v>724</v>
      </c>
    </row>
    <row r="233" spans="2:2">
      <c r="B233" s="345" t="s">
        <v>726</v>
      </c>
    </row>
    <row r="234" spans="2:2">
      <c r="B234" s="345" t="s">
        <v>728</v>
      </c>
    </row>
    <row r="235" spans="2:2">
      <c r="B235" s="342" t="s">
        <v>1502</v>
      </c>
    </row>
    <row r="236" spans="2:2">
      <c r="B236" s="343" t="s">
        <v>760</v>
      </c>
    </row>
    <row r="237" spans="2:2">
      <c r="B237" s="344" t="s">
        <v>762</v>
      </c>
    </row>
    <row r="238" spans="2:2">
      <c r="B238" s="345" t="s">
        <v>775</v>
      </c>
    </row>
    <row r="239" spans="2:2">
      <c r="B239" s="345" t="s">
        <v>764</v>
      </c>
    </row>
    <row r="240" spans="2:2">
      <c r="B240" s="345" t="s">
        <v>768</v>
      </c>
    </row>
    <row r="241" spans="2:2">
      <c r="B241" s="345" t="s">
        <v>772</v>
      </c>
    </row>
    <row r="242" spans="2:2">
      <c r="B242" s="343" t="s">
        <v>786</v>
      </c>
    </row>
    <row r="243" spans="2:2">
      <c r="B243" s="344" t="s">
        <v>824</v>
      </c>
    </row>
    <row r="244" spans="2:2">
      <c r="B244" s="345" t="s">
        <v>834</v>
      </c>
    </row>
    <row r="245" spans="2:2">
      <c r="B245" s="345" t="s">
        <v>840</v>
      </c>
    </row>
    <row r="246" spans="2:2">
      <c r="B246" s="345" t="s">
        <v>843</v>
      </c>
    </row>
    <row r="247" spans="2:2">
      <c r="B247" s="345" t="s">
        <v>846</v>
      </c>
    </row>
    <row r="248" spans="2:2">
      <c r="B248" s="345" t="s">
        <v>826</v>
      </c>
    </row>
    <row r="249" spans="2:2">
      <c r="B249" s="344" t="s">
        <v>866</v>
      </c>
    </row>
    <row r="250" spans="2:2">
      <c r="B250" s="345" t="s">
        <v>867</v>
      </c>
    </row>
    <row r="251" spans="2:2">
      <c r="B251" s="344" t="s">
        <v>869</v>
      </c>
    </row>
    <row r="252" spans="2:2">
      <c r="B252" s="345" t="s">
        <v>871</v>
      </c>
    </row>
    <row r="253" spans="2:2">
      <c r="B253" s="345" t="s">
        <v>873</v>
      </c>
    </row>
    <row r="254" spans="2:2">
      <c r="B254" s="344" t="s">
        <v>788</v>
      </c>
    </row>
    <row r="255" spans="2:2">
      <c r="B255" s="345" t="s">
        <v>790</v>
      </c>
    </row>
    <row r="256" spans="2:2">
      <c r="B256" s="344" t="s">
        <v>851</v>
      </c>
    </row>
    <row r="257" spans="2:2">
      <c r="B257" s="345" t="s">
        <v>853</v>
      </c>
    </row>
    <row r="258" spans="2:2">
      <c r="B258" s="345" t="s">
        <v>862</v>
      </c>
    </row>
    <row r="259" spans="2:2">
      <c r="B259" s="344" t="s">
        <v>804</v>
      </c>
    </row>
    <row r="260" spans="2:2">
      <c r="B260" s="345" t="s">
        <v>819</v>
      </c>
    </row>
    <row r="261" spans="2:2">
      <c r="B261" s="345" t="s">
        <v>806</v>
      </c>
    </row>
    <row r="262" spans="2:2">
      <c r="B262" s="345" t="s">
        <v>817</v>
      </c>
    </row>
    <row r="263" spans="2:2">
      <c r="B263" s="342" t="s">
        <v>1309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AD280"/>
  <sheetViews>
    <sheetView showGridLines="0" zoomScale="80" zoomScaleNormal="80" workbookViewId="0">
      <selection activeCell="C136" sqref="C136"/>
    </sheetView>
  </sheetViews>
  <sheetFormatPr baseColWidth="10" defaultColWidth="8.5703125" defaultRowHeight="15"/>
  <cols>
    <col min="1" max="1" width="22.85546875" style="24" customWidth="1"/>
    <col min="2" max="2" width="4" style="5" customWidth="1"/>
    <col min="3" max="3" width="34.140625" style="6" customWidth="1"/>
    <col min="4" max="4" width="7.42578125" style="11" customWidth="1"/>
    <col min="5" max="5" width="50" style="7" customWidth="1"/>
    <col min="6" max="6" width="7.85546875" style="9" customWidth="1"/>
    <col min="7" max="7" width="54.85546875" style="8" customWidth="1"/>
    <col min="8" max="8" width="15.42578125" style="10" customWidth="1"/>
    <col min="9" max="9" width="18.140625" style="10" customWidth="1"/>
    <col min="10" max="10" width="48.5703125" style="8" customWidth="1"/>
    <col min="11" max="11" width="25" style="10" customWidth="1"/>
    <col min="12" max="12" width="14.85546875" style="5" customWidth="1"/>
    <col min="13" max="13" width="14.85546875" style="16" customWidth="1"/>
    <col min="14" max="14" width="0" style="284" hidden="1" customWidth="1"/>
    <col min="15" max="15" width="56" style="6" customWidth="1"/>
    <col min="16" max="16" width="24.5703125" style="16" hidden="1" customWidth="1"/>
    <col min="17" max="17" width="47.5703125" style="18" hidden="1" customWidth="1"/>
    <col min="18" max="18" width="35.85546875" style="287" customWidth="1"/>
    <col min="19" max="19" width="11.140625" style="284" customWidth="1"/>
    <col min="20" max="20" width="15.7109375" style="323" customWidth="1"/>
    <col min="21" max="21" width="22.5703125" style="3" customWidth="1"/>
    <col min="22" max="22" width="13.5703125" style="3" customWidth="1"/>
    <col min="23" max="23" width="17.28515625" style="3" customWidth="1"/>
    <col min="24" max="24" width="21.28515625" style="3" customWidth="1"/>
    <col min="25" max="25" width="14.85546875" style="1" customWidth="1"/>
    <col min="26" max="26" width="12.42578125" style="3" customWidth="1"/>
    <col min="27" max="30" width="8.5703125" style="16"/>
    <col min="31" max="16384" width="8.5703125" style="3"/>
  </cols>
  <sheetData>
    <row r="1" spans="1:30" ht="18.75">
      <c r="A1" s="61" t="s">
        <v>226</v>
      </c>
      <c r="B1" s="62"/>
      <c r="C1" s="63"/>
    </row>
    <row r="2" spans="1:30" ht="18.75">
      <c r="A2" s="64"/>
      <c r="B2" s="65" t="s">
        <v>227</v>
      </c>
      <c r="C2" s="156" t="s">
        <v>228</v>
      </c>
      <c r="T2" s="284"/>
    </row>
    <row r="3" spans="1:30" ht="18.75">
      <c r="A3" s="64"/>
      <c r="B3" s="65"/>
      <c r="C3" s="70"/>
      <c r="M3" s="224"/>
      <c r="S3" s="448" t="s">
        <v>229</v>
      </c>
      <c r="T3" s="449"/>
      <c r="U3" s="448" t="s">
        <v>230</v>
      </c>
      <c r="V3" s="450"/>
      <c r="W3" s="450"/>
      <c r="X3" s="449"/>
    </row>
    <row r="4" spans="1:30" s="17" customFormat="1" ht="110.45" customHeight="1">
      <c r="A4" s="66" t="s">
        <v>231</v>
      </c>
      <c r="B4" s="68"/>
      <c r="C4" s="67" t="s">
        <v>232</v>
      </c>
      <c r="D4" s="69"/>
      <c r="E4" s="67" t="s">
        <v>233</v>
      </c>
      <c r="F4" s="82"/>
      <c r="G4" s="82" t="s">
        <v>234</v>
      </c>
      <c r="H4" s="82" t="s">
        <v>235</v>
      </c>
      <c r="I4" s="83" t="s">
        <v>236</v>
      </c>
      <c r="J4" s="84" t="s">
        <v>237</v>
      </c>
      <c r="K4" s="85" t="s">
        <v>238</v>
      </c>
      <c r="L4" s="85" t="s">
        <v>239</v>
      </c>
      <c r="M4" s="86" t="s">
        <v>240</v>
      </c>
      <c r="N4" s="17" t="s">
        <v>241</v>
      </c>
      <c r="O4" s="85" t="s">
        <v>242</v>
      </c>
      <c r="P4" s="87" t="s">
        <v>243</v>
      </c>
      <c r="Q4" s="88" t="s">
        <v>244</v>
      </c>
      <c r="R4" s="114" t="s">
        <v>245</v>
      </c>
      <c r="S4" s="114" t="s">
        <v>246</v>
      </c>
      <c r="T4" s="114" t="s">
        <v>247</v>
      </c>
      <c r="U4" s="114" t="s">
        <v>1281</v>
      </c>
      <c r="V4" s="114" t="s">
        <v>248</v>
      </c>
      <c r="W4" s="114" t="s">
        <v>249</v>
      </c>
      <c r="X4" s="114" t="s">
        <v>250</v>
      </c>
      <c r="Y4" s="114" t="s">
        <v>251</v>
      </c>
      <c r="Z4" s="225" t="s">
        <v>252</v>
      </c>
      <c r="AA4" s="17">
        <v>2026</v>
      </c>
      <c r="AB4" s="17">
        <v>2027</v>
      </c>
      <c r="AC4" s="17">
        <v>2028</v>
      </c>
      <c r="AD4" s="17">
        <v>2029</v>
      </c>
    </row>
    <row r="5" spans="1:30" s="17" customFormat="1" ht="72.95" customHeight="1">
      <c r="A5" s="25" t="s">
        <v>253</v>
      </c>
      <c r="B5" s="32">
        <v>1</v>
      </c>
      <c r="C5" s="39" t="s">
        <v>254</v>
      </c>
      <c r="D5" s="227" t="s">
        <v>255</v>
      </c>
      <c r="E5" s="226" t="s">
        <v>256</v>
      </c>
      <c r="F5" s="89" t="s">
        <v>257</v>
      </c>
      <c r="G5" s="90" t="s">
        <v>258</v>
      </c>
      <c r="H5" s="91" t="s">
        <v>259</v>
      </c>
      <c r="I5" s="91" t="s">
        <v>260</v>
      </c>
      <c r="J5" s="92" t="str">
        <f t="shared" ref="J5:J10" si="0">G5</f>
        <v>Implementar i executar plans de gestió específics per a hàbitats i espècies de conservació prioritària dins l'ENP</v>
      </c>
      <c r="K5" s="85"/>
      <c r="L5" s="60" t="s">
        <v>52</v>
      </c>
      <c r="M5" s="94" t="s">
        <v>261</v>
      </c>
      <c r="O5" s="60" t="s">
        <v>262</v>
      </c>
      <c r="P5" s="87"/>
      <c r="Q5" s="88"/>
      <c r="R5" s="103" t="s">
        <v>1270</v>
      </c>
      <c r="S5" s="158"/>
      <c r="T5" s="324" t="s">
        <v>182</v>
      </c>
      <c r="U5" s="114"/>
      <c r="V5" s="114">
        <f>U5*4</f>
        <v>0</v>
      </c>
      <c r="W5" s="298" t="s">
        <v>263</v>
      </c>
      <c r="X5" s="298" t="str">
        <f>IF(W5=Llistes!$B$18,Llistes!$D$18,IF(W5=Llistes!$B$20,Llistes!$D$20,IF(W5=Llistes!$B$22,Llistes!$D$22,IF(W5=Llistes!$B$23,Llistes!$D$23,IF(W5=Llistes!$B$24,Llistes!$D$24,IF(W5=Llistes!$B$28,Llistes!$D$28))))))</f>
        <v>Tècnic coordinador</v>
      </c>
      <c r="Y5" s="289" t="s">
        <v>264</v>
      </c>
      <c r="Z5" s="289" t="s">
        <v>265</v>
      </c>
      <c r="AB5" s="17" t="s">
        <v>266</v>
      </c>
    </row>
    <row r="6" spans="1:30" s="17" customFormat="1" ht="69.95" customHeight="1">
      <c r="A6" s="25" t="s">
        <v>253</v>
      </c>
      <c r="B6" s="32">
        <v>1</v>
      </c>
      <c r="C6" s="39" t="s">
        <v>254</v>
      </c>
      <c r="D6" s="227" t="s">
        <v>255</v>
      </c>
      <c r="E6" s="226" t="s">
        <v>256</v>
      </c>
      <c r="F6" s="89" t="s">
        <v>257</v>
      </c>
      <c r="G6" s="90" t="s">
        <v>258</v>
      </c>
      <c r="H6" s="91" t="s">
        <v>259</v>
      </c>
      <c r="I6" s="91" t="s">
        <v>260</v>
      </c>
      <c r="J6" s="92" t="str">
        <f t="shared" si="0"/>
        <v>Implementar i executar plans de gestió específics per a hàbitats i espècies de conservació prioritària dins l'ENP</v>
      </c>
      <c r="K6" s="85"/>
      <c r="L6" s="60" t="s">
        <v>52</v>
      </c>
      <c r="M6" s="94" t="s">
        <v>261</v>
      </c>
      <c r="O6" s="60" t="s">
        <v>267</v>
      </c>
      <c r="P6" s="87"/>
      <c r="Q6" s="88"/>
      <c r="R6" s="103" t="s">
        <v>1270</v>
      </c>
      <c r="S6" s="158"/>
      <c r="T6" s="324" t="s">
        <v>182</v>
      </c>
      <c r="U6" s="114"/>
      <c r="V6" s="114">
        <f t="shared" ref="V6:V69" si="1">U6*4</f>
        <v>0</v>
      </c>
      <c r="W6" s="298" t="s">
        <v>263</v>
      </c>
      <c r="X6" s="298" t="str">
        <f>IF(W6=Llistes!$B$18,Llistes!$D$18,IF(W6=Llistes!$B$20,Llistes!$D$20,IF(W6=Llistes!$B$22,Llistes!$D$22,IF(W6=Llistes!$B$23,Llistes!$D$23,IF(W6=Llistes!$B$24,Llistes!$D$24,IF(W6=Llistes!$B$28,Llistes!$D$28))))))</f>
        <v>Tècnic coordinador</v>
      </c>
      <c r="Y6" s="289" t="s">
        <v>264</v>
      </c>
      <c r="Z6" s="289" t="s">
        <v>265</v>
      </c>
      <c r="AB6" s="17" t="s">
        <v>266</v>
      </c>
    </row>
    <row r="7" spans="1:30" s="17" customFormat="1" ht="69.95" customHeight="1">
      <c r="A7" s="25" t="s">
        <v>253</v>
      </c>
      <c r="B7" s="32">
        <v>1</v>
      </c>
      <c r="C7" s="39" t="s">
        <v>254</v>
      </c>
      <c r="D7" s="251" t="s">
        <v>255</v>
      </c>
      <c r="E7" s="252" t="s">
        <v>256</v>
      </c>
      <c r="F7" s="89" t="s">
        <v>257</v>
      </c>
      <c r="G7" s="90" t="s">
        <v>258</v>
      </c>
      <c r="H7" s="91" t="s">
        <v>259</v>
      </c>
      <c r="I7" s="91" t="s">
        <v>260</v>
      </c>
      <c r="J7" s="92" t="str">
        <f t="shared" si="0"/>
        <v>Implementar i executar plans de gestió específics per a hàbitats i espècies de conservació prioritària dins l'ENP</v>
      </c>
      <c r="K7" s="93"/>
      <c r="L7" s="60" t="s">
        <v>52</v>
      </c>
      <c r="M7" s="94" t="s">
        <v>261</v>
      </c>
      <c r="O7" s="300" t="s">
        <v>268</v>
      </c>
      <c r="P7" s="87"/>
      <c r="Q7" s="88"/>
      <c r="R7" s="103" t="s">
        <v>1270</v>
      </c>
      <c r="S7" s="158"/>
      <c r="T7" s="324" t="s">
        <v>182</v>
      </c>
      <c r="U7" s="114"/>
      <c r="V7" s="114">
        <f>U7*4</f>
        <v>0</v>
      </c>
      <c r="W7" s="298" t="s">
        <v>263</v>
      </c>
      <c r="X7" s="298" t="str">
        <f>IF(W7=Llistes!$B$18,Llistes!$D$18,IF(W7=Llistes!$B$20,Llistes!$D$20,IF(W7=Llistes!$B$22,Llistes!$D$22,IF(W7=Llistes!$B$23,Llistes!$D$23,IF(W7=Llistes!$B$24,Llistes!$D$24,IF(W7=Llistes!$B$28,Llistes!$D$28))))))</f>
        <v>Tècnic coordinador</v>
      </c>
      <c r="Y7" s="289" t="s">
        <v>264</v>
      </c>
      <c r="Z7" s="289" t="s">
        <v>265</v>
      </c>
      <c r="AB7" s="17" t="s">
        <v>266</v>
      </c>
    </row>
    <row r="8" spans="1:30" s="17" customFormat="1" ht="69.95" customHeight="1">
      <c r="A8" s="25" t="s">
        <v>253</v>
      </c>
      <c r="B8" s="32">
        <v>1</v>
      </c>
      <c r="C8" s="39" t="s">
        <v>254</v>
      </c>
      <c r="D8" s="251" t="s">
        <v>255</v>
      </c>
      <c r="E8" s="252" t="s">
        <v>256</v>
      </c>
      <c r="F8" s="89" t="s">
        <v>257</v>
      </c>
      <c r="G8" s="90" t="s">
        <v>258</v>
      </c>
      <c r="H8" s="91" t="s">
        <v>259</v>
      </c>
      <c r="I8" s="91" t="s">
        <v>260</v>
      </c>
      <c r="J8" s="92" t="str">
        <f t="shared" si="0"/>
        <v>Implementar i executar plans de gestió específics per a hàbitats i espècies de conservació prioritària dins l'ENP</v>
      </c>
      <c r="K8" s="93"/>
      <c r="L8" s="60" t="s">
        <v>52</v>
      </c>
      <c r="M8" s="94" t="s">
        <v>261</v>
      </c>
      <c r="O8" s="60" t="s">
        <v>1166</v>
      </c>
      <c r="P8" s="87"/>
      <c r="Q8" s="88"/>
      <c r="R8" s="103" t="s">
        <v>1270</v>
      </c>
      <c r="S8" s="158"/>
      <c r="T8" s="324" t="s">
        <v>182</v>
      </c>
      <c r="U8" s="114"/>
      <c r="V8" s="114">
        <f t="shared" si="1"/>
        <v>0</v>
      </c>
      <c r="W8" s="298" t="s">
        <v>263</v>
      </c>
      <c r="X8" s="298" t="str">
        <f>IF(W8=Llistes!$B$18,Llistes!$D$18,IF(W8=Llistes!$B$20,Llistes!$D$20,IF(W8=Llistes!$B$22,Llistes!$D$22,IF(W8=Llistes!$B$23,Llistes!$D$23,IF(W8=Llistes!$B$24,Llistes!$D$24,IF(W8=Llistes!$B$28,Llistes!$D$28))))))</f>
        <v>Tècnic coordinador</v>
      </c>
      <c r="Y8" s="289" t="s">
        <v>264</v>
      </c>
      <c r="Z8" s="289" t="s">
        <v>265</v>
      </c>
      <c r="AC8" s="17" t="s">
        <v>266</v>
      </c>
    </row>
    <row r="9" spans="1:30" ht="75">
      <c r="A9" s="25" t="s">
        <v>253</v>
      </c>
      <c r="B9" s="32">
        <v>1</v>
      </c>
      <c r="C9" s="39" t="s">
        <v>254</v>
      </c>
      <c r="D9" s="251" t="s">
        <v>255</v>
      </c>
      <c r="E9" s="252" t="s">
        <v>256</v>
      </c>
      <c r="F9" s="89" t="s">
        <v>257</v>
      </c>
      <c r="G9" s="90" t="s">
        <v>258</v>
      </c>
      <c r="H9" s="91" t="s">
        <v>259</v>
      </c>
      <c r="I9" s="91" t="s">
        <v>260</v>
      </c>
      <c r="J9" s="92" t="str">
        <f t="shared" si="0"/>
        <v>Implementar i executar plans de gestió específics per a hàbitats i espècies de conservació prioritària dins l'ENP</v>
      </c>
      <c r="K9" s="93"/>
      <c r="L9" s="60" t="s">
        <v>52</v>
      </c>
      <c r="M9" s="94" t="s">
        <v>261</v>
      </c>
      <c r="O9" s="60" t="s">
        <v>269</v>
      </c>
      <c r="P9" s="95" t="s">
        <v>270</v>
      </c>
      <c r="Q9" s="96" t="s">
        <v>271</v>
      </c>
      <c r="R9" s="103" t="s">
        <v>1270</v>
      </c>
      <c r="S9" s="97"/>
      <c r="T9" s="324" t="s">
        <v>182</v>
      </c>
      <c r="U9" s="97"/>
      <c r="V9" s="114">
        <f t="shared" si="1"/>
        <v>0</v>
      </c>
      <c r="W9" s="298" t="s">
        <v>263</v>
      </c>
      <c r="X9" s="298" t="str">
        <f>IF(W9=Llistes!$B$18,Llistes!$D$18,IF(W9=Llistes!$B$20,Llistes!$D$20,IF(W9=Llistes!$B$22,Llistes!$D$22,IF(W9=Llistes!$B$23,Llistes!$D$23,IF(W9=Llistes!$B$24,Llistes!$D$24,IF(W9=Llistes!$B$28,Llistes!$D$28))))))</f>
        <v>Tècnic coordinador</v>
      </c>
      <c r="Y9" s="289" t="s">
        <v>264</v>
      </c>
      <c r="Z9" s="289" t="s">
        <v>265</v>
      </c>
      <c r="AC9" s="17" t="s">
        <v>266</v>
      </c>
    </row>
    <row r="10" spans="1:30" ht="75">
      <c r="A10" s="25" t="s">
        <v>253</v>
      </c>
      <c r="B10" s="32">
        <v>1</v>
      </c>
      <c r="C10" s="39" t="s">
        <v>254</v>
      </c>
      <c r="D10" s="251" t="s">
        <v>255</v>
      </c>
      <c r="E10" s="252" t="s">
        <v>256</v>
      </c>
      <c r="F10" s="89" t="s">
        <v>257</v>
      </c>
      <c r="G10" s="90" t="s">
        <v>258</v>
      </c>
      <c r="H10" s="91" t="s">
        <v>259</v>
      </c>
      <c r="I10" s="91" t="s">
        <v>260</v>
      </c>
      <c r="J10" s="92" t="str">
        <f t="shared" si="0"/>
        <v>Implementar i executar plans de gestió específics per a hàbitats i espècies de conservació prioritària dins l'ENP</v>
      </c>
      <c r="K10" s="93"/>
      <c r="L10" s="60" t="s">
        <v>52</v>
      </c>
      <c r="M10" s="94" t="s">
        <v>261</v>
      </c>
      <c r="O10" s="60" t="s">
        <v>1065</v>
      </c>
      <c r="P10" s="95"/>
      <c r="Q10" s="96"/>
      <c r="R10" s="103" t="s">
        <v>1270</v>
      </c>
      <c r="S10" s="97"/>
      <c r="T10" s="324" t="s">
        <v>182</v>
      </c>
      <c r="U10" s="97"/>
      <c r="V10" s="114">
        <f t="shared" si="1"/>
        <v>0</v>
      </c>
      <c r="W10" s="298" t="s">
        <v>263</v>
      </c>
      <c r="X10" s="298" t="str">
        <f>IF(W10=Llistes!$B$18,Llistes!$D$18,IF(W10=Llistes!$B$20,Llistes!$D$20,IF(W10=Llistes!$B$22,Llistes!$D$22,IF(W10=Llistes!$B$23,Llistes!$D$23,IF(W10=Llistes!$B$24,Llistes!$D$24,IF(W10=Llistes!$B$28,Llistes!$D$28))))))</f>
        <v>Tècnic coordinador</v>
      </c>
      <c r="Y10" s="289" t="s">
        <v>264</v>
      </c>
      <c r="Z10" s="289" t="s">
        <v>265</v>
      </c>
      <c r="AC10" s="17" t="s">
        <v>266</v>
      </c>
    </row>
    <row r="11" spans="1:30" ht="75">
      <c r="A11" s="25" t="s">
        <v>253</v>
      </c>
      <c r="B11" s="32">
        <v>1</v>
      </c>
      <c r="C11" s="39" t="s">
        <v>254</v>
      </c>
      <c r="D11" s="250" t="s">
        <v>255</v>
      </c>
      <c r="E11" s="249" t="s">
        <v>256</v>
      </c>
      <c r="F11" s="89" t="s">
        <v>272</v>
      </c>
      <c r="G11" s="90" t="s">
        <v>273</v>
      </c>
      <c r="H11" s="91" t="s">
        <v>259</v>
      </c>
      <c r="I11" s="91" t="s">
        <v>260</v>
      </c>
      <c r="J11" s="92" t="str">
        <f t="shared" ref="J11:J106" si="2">G11</f>
        <v>Adaptar i executar plans de gestió específics per a elements geològics de conservació prioritària dins l'ENP</v>
      </c>
      <c r="K11" s="93"/>
      <c r="L11" s="60" t="s">
        <v>52</v>
      </c>
      <c r="M11" s="94" t="s">
        <v>274</v>
      </c>
      <c r="O11" s="60" t="s">
        <v>277</v>
      </c>
      <c r="P11" s="95"/>
      <c r="Q11" s="99"/>
      <c r="R11" s="103" t="s">
        <v>1270</v>
      </c>
      <c r="S11" s="97"/>
      <c r="T11" s="325" t="s">
        <v>182</v>
      </c>
      <c r="U11" s="97"/>
      <c r="V11" s="114">
        <f t="shared" si="1"/>
        <v>0</v>
      </c>
      <c r="W11" s="298" t="s">
        <v>263</v>
      </c>
      <c r="X11" s="298" t="str">
        <f>IF(W11=Llistes!$B$18,Llistes!$D$18,IF(W11=Llistes!$B$20,Llistes!$D$20,IF(W11=Llistes!$B$22,Llistes!$D$22,IF(W11=Llistes!$B$23,Llistes!$D$23,IF(W11=Llistes!$B$24,Llistes!$D$24,IF(W11=Llistes!$B$28,Llistes!$D$28))))))</f>
        <v>Tècnic coordinador</v>
      </c>
      <c r="Y11" s="1" t="s">
        <v>275</v>
      </c>
      <c r="Z11" s="3" t="s">
        <v>265</v>
      </c>
      <c r="AC11" s="16" t="s">
        <v>276</v>
      </c>
    </row>
    <row r="12" spans="1:30" ht="75">
      <c r="A12" s="25" t="s">
        <v>253</v>
      </c>
      <c r="B12" s="32">
        <v>1</v>
      </c>
      <c r="C12" s="39" t="s">
        <v>254</v>
      </c>
      <c r="D12" s="227" t="s">
        <v>278</v>
      </c>
      <c r="E12" s="254" t="s">
        <v>1178</v>
      </c>
      <c r="F12" s="91" t="s">
        <v>279</v>
      </c>
      <c r="G12" s="90" t="s">
        <v>280</v>
      </c>
      <c r="H12" s="91" t="s">
        <v>259</v>
      </c>
      <c r="I12" s="91" t="s">
        <v>281</v>
      </c>
      <c r="J12" s="92" t="str">
        <f t="shared" si="2"/>
        <v>Implementar la metodologia de gestió adaptativa (Estàndards Oberts de Gestió Adaptativa a Catalunya) en tots els processos de l'ENP</v>
      </c>
      <c r="K12" s="93"/>
      <c r="L12" s="60" t="s">
        <v>52</v>
      </c>
      <c r="M12" s="94" t="s">
        <v>282</v>
      </c>
      <c r="O12" s="60" t="s">
        <v>283</v>
      </c>
      <c r="P12" s="95" t="s">
        <v>284</v>
      </c>
      <c r="Q12" s="96" t="s">
        <v>285</v>
      </c>
      <c r="R12" s="103" t="s">
        <v>1270</v>
      </c>
      <c r="S12" s="159"/>
      <c r="T12" s="103" t="s">
        <v>182</v>
      </c>
      <c r="U12" s="97"/>
      <c r="V12" s="114">
        <f t="shared" si="1"/>
        <v>0</v>
      </c>
      <c r="W12" s="298" t="s">
        <v>286</v>
      </c>
      <c r="X12" s="298" t="str">
        <f>IF(W12=Llistes!$B$18,Llistes!$D$18,IF(W12=Llistes!$B$20,Llistes!$D$20,IF(W12=Llistes!$B$22,Llistes!$D$22,IF(W12=Llistes!$B$23,Llistes!$D$23,IF(W12=Llistes!$B$24,Llistes!$D$24,IF(W12=Llistes!$B$28,Llistes!$D$28))))))</f>
        <v>Interventora</v>
      </c>
      <c r="AB12" s="16" t="s">
        <v>276</v>
      </c>
    </row>
    <row r="13" spans="1:30" ht="75">
      <c r="A13" s="25" t="s">
        <v>253</v>
      </c>
      <c r="B13" s="32">
        <v>1</v>
      </c>
      <c r="C13" s="39" t="s">
        <v>254</v>
      </c>
      <c r="D13" s="227" t="s">
        <v>278</v>
      </c>
      <c r="E13" s="254" t="s">
        <v>1178</v>
      </c>
      <c r="F13" s="91" t="s">
        <v>279</v>
      </c>
      <c r="G13" s="90" t="s">
        <v>280</v>
      </c>
      <c r="H13" s="91" t="s">
        <v>259</v>
      </c>
      <c r="I13" s="91" t="s">
        <v>281</v>
      </c>
      <c r="J13" s="92" t="str">
        <f t="shared" ref="J13:J15" si="3">G13</f>
        <v>Implementar la metodologia de gestió adaptativa (Estàndards Oberts de Gestió Adaptativa a Catalunya) en tots els processos de l'ENP</v>
      </c>
      <c r="K13" s="93"/>
      <c r="L13" s="60" t="s">
        <v>52</v>
      </c>
      <c r="M13" s="94" t="s">
        <v>282</v>
      </c>
      <c r="O13" s="60" t="s">
        <v>287</v>
      </c>
      <c r="P13" s="95"/>
      <c r="Q13" s="96"/>
      <c r="R13" s="103" t="s">
        <v>1270</v>
      </c>
      <c r="S13" s="292"/>
      <c r="T13" s="103" t="s">
        <v>182</v>
      </c>
      <c r="U13" s="97"/>
      <c r="V13" s="114">
        <f t="shared" si="1"/>
        <v>0</v>
      </c>
      <c r="W13" s="298"/>
      <c r="X13" s="298"/>
    </row>
    <row r="14" spans="1:30" ht="75">
      <c r="A14" s="25" t="s">
        <v>253</v>
      </c>
      <c r="B14" s="32">
        <v>1</v>
      </c>
      <c r="C14" s="39" t="s">
        <v>254</v>
      </c>
      <c r="D14" s="251" t="s">
        <v>278</v>
      </c>
      <c r="E14" s="252" t="s">
        <v>1178</v>
      </c>
      <c r="F14" s="91" t="s">
        <v>288</v>
      </c>
      <c r="G14" s="90" t="s">
        <v>289</v>
      </c>
      <c r="H14" s="91" t="s">
        <v>259</v>
      </c>
      <c r="I14" s="91" t="s">
        <v>260</v>
      </c>
      <c r="J14" s="92" t="str">
        <f t="shared" si="3"/>
        <v>Executar les mesures previstes en els plans de conservació o recuperació d'espècies amenaçades de forma coordinada amb el Servei de Flora i Fauna en l'àmbit de l'ENP</v>
      </c>
      <c r="K14" s="93"/>
      <c r="L14" s="60" t="s">
        <v>53</v>
      </c>
      <c r="M14" s="94" t="s">
        <v>282</v>
      </c>
      <c r="O14" s="60" t="s">
        <v>290</v>
      </c>
      <c r="P14" s="95"/>
      <c r="Q14" s="96"/>
      <c r="R14" s="103" t="s">
        <v>291</v>
      </c>
      <c r="S14" s="292">
        <v>2</v>
      </c>
      <c r="T14" s="292">
        <v>4</v>
      </c>
      <c r="U14" s="97"/>
      <c r="V14" s="114">
        <f t="shared" si="1"/>
        <v>0</v>
      </c>
      <c r="W14" s="298" t="s">
        <v>263</v>
      </c>
      <c r="X14" s="298" t="str">
        <f>IF(W14=Llistes!$B$18,Llistes!$D$18,IF(W14=Llistes!$B$20,Llistes!$D$20,IF(W14=Llistes!$B$22,Llistes!$D$22,IF(W14=Llistes!$B$23,Llistes!$D$23,IF(W14=Llistes!$B$24,Llistes!$D$24,IF(W14=Llistes!$B$28,Llistes!$D$28))))))</f>
        <v>Tècnic coordinador</v>
      </c>
      <c r="Y14" s="1" t="s">
        <v>275</v>
      </c>
      <c r="Z14" s="3" t="s">
        <v>265</v>
      </c>
      <c r="AA14" s="16" t="s">
        <v>276</v>
      </c>
      <c r="AB14" s="16" t="s">
        <v>276</v>
      </c>
      <c r="AC14" s="16" t="s">
        <v>276</v>
      </c>
      <c r="AD14" s="16" t="s">
        <v>276</v>
      </c>
    </row>
    <row r="15" spans="1:30" ht="75">
      <c r="A15" s="25" t="s">
        <v>253</v>
      </c>
      <c r="B15" s="32">
        <v>1</v>
      </c>
      <c r="C15" s="39" t="s">
        <v>254</v>
      </c>
      <c r="D15" s="251" t="s">
        <v>278</v>
      </c>
      <c r="E15" s="253" t="s">
        <v>1178</v>
      </c>
      <c r="F15" s="91" t="s">
        <v>288</v>
      </c>
      <c r="G15" s="90" t="s">
        <v>289</v>
      </c>
      <c r="H15" s="91" t="s">
        <v>259</v>
      </c>
      <c r="I15" s="91" t="s">
        <v>260</v>
      </c>
      <c r="J15" s="92" t="str">
        <f t="shared" si="3"/>
        <v>Executar les mesures previstes en els plans de conservació o recuperació d'espècies amenaçades de forma coordinada amb el Servei de Flora i Fauna en l'àmbit de l'ENP</v>
      </c>
      <c r="K15" s="93"/>
      <c r="L15" s="60" t="s">
        <v>52</v>
      </c>
      <c r="M15" s="94" t="s">
        <v>282</v>
      </c>
      <c r="O15" s="60" t="s">
        <v>292</v>
      </c>
      <c r="P15" s="95"/>
      <c r="Q15" s="96"/>
      <c r="R15" s="103" t="s">
        <v>293</v>
      </c>
      <c r="S15" s="292">
        <v>1</v>
      </c>
      <c r="T15" s="292">
        <v>3</v>
      </c>
      <c r="U15" s="97"/>
      <c r="V15" s="114">
        <f t="shared" si="1"/>
        <v>0</v>
      </c>
      <c r="W15" s="298" t="s">
        <v>263</v>
      </c>
      <c r="X15" s="298" t="str">
        <f>IF(W15=Llistes!$B$18,Llistes!$D$18,IF(W15=Llistes!$B$20,Llistes!$D$20,IF(W15=Llistes!$B$22,Llistes!$D$22,IF(W15=Llistes!$B$23,Llistes!$D$23,IF(W15=Llistes!$B$24,Llistes!$D$24,IF(W15=Llistes!$B$28,Llistes!$D$28))))))</f>
        <v>Tècnic coordinador</v>
      </c>
      <c r="Y15" s="1" t="s">
        <v>264</v>
      </c>
      <c r="Z15" s="3" t="s">
        <v>294</v>
      </c>
      <c r="AB15" s="16" t="s">
        <v>276</v>
      </c>
      <c r="AC15" s="16" t="s">
        <v>276</v>
      </c>
      <c r="AD15" s="16" t="s">
        <v>276</v>
      </c>
    </row>
    <row r="16" spans="1:30" ht="75">
      <c r="A16" s="25" t="s">
        <v>253</v>
      </c>
      <c r="B16" s="32">
        <v>1</v>
      </c>
      <c r="C16" s="39" t="s">
        <v>254</v>
      </c>
      <c r="D16" s="251" t="s">
        <v>278</v>
      </c>
      <c r="E16" s="252" t="s">
        <v>1178</v>
      </c>
      <c r="F16" s="91" t="s">
        <v>288</v>
      </c>
      <c r="G16" s="90" t="s">
        <v>289</v>
      </c>
      <c r="H16" s="91" t="s">
        <v>259</v>
      </c>
      <c r="I16" s="91" t="s">
        <v>260</v>
      </c>
      <c r="J16" s="92" t="str">
        <f t="shared" si="2"/>
        <v>Executar les mesures previstes en els plans de conservació o recuperació d'espècies amenaçades de forma coordinada amb el Servei de Flora i Fauna en l'àmbit de l'ENP</v>
      </c>
      <c r="K16" s="93"/>
      <c r="L16" s="60" t="s">
        <v>52</v>
      </c>
      <c r="M16" s="94" t="s">
        <v>282</v>
      </c>
      <c r="O16" s="60" t="s">
        <v>1179</v>
      </c>
      <c r="P16" s="100" t="s">
        <v>295</v>
      </c>
      <c r="Q16" s="96" t="s">
        <v>296</v>
      </c>
      <c r="R16" s="103" t="s">
        <v>1270</v>
      </c>
      <c r="S16" s="97"/>
      <c r="T16" s="325" t="s">
        <v>182</v>
      </c>
      <c r="U16" s="97"/>
      <c r="V16" s="114">
        <f t="shared" si="1"/>
        <v>0</v>
      </c>
      <c r="W16" s="298" t="s">
        <v>263</v>
      </c>
      <c r="X16" s="298" t="str">
        <f>IF(W16=Llistes!$B$18,Llistes!$D$18,IF(W16=Llistes!$B$20,Llistes!$D$20,IF(W16=Llistes!$B$22,Llistes!$D$22,IF(W16=Llistes!$B$23,Llistes!$D$23,IF(W16=Llistes!$B$24,Llistes!$D$24,IF(W16=Llistes!$B$28,Llistes!$D$28))))))</f>
        <v>Tècnic coordinador</v>
      </c>
      <c r="Y16" s="1" t="s">
        <v>275</v>
      </c>
      <c r="Z16" s="3" t="s">
        <v>265</v>
      </c>
      <c r="AA16" s="16" t="s">
        <v>276</v>
      </c>
      <c r="AB16" s="16" t="s">
        <v>276</v>
      </c>
      <c r="AC16" s="16" t="s">
        <v>276</v>
      </c>
      <c r="AD16" s="16" t="s">
        <v>276</v>
      </c>
    </row>
    <row r="17" spans="1:30" ht="75.75" thickBot="1">
      <c r="A17" s="25" t="s">
        <v>253</v>
      </c>
      <c r="B17" s="32">
        <v>1</v>
      </c>
      <c r="C17" s="39" t="s">
        <v>254</v>
      </c>
      <c r="D17" s="251" t="s">
        <v>278</v>
      </c>
      <c r="E17" s="252" t="s">
        <v>1178</v>
      </c>
      <c r="F17" s="91" t="s">
        <v>297</v>
      </c>
      <c r="G17" s="90" t="s">
        <v>298</v>
      </c>
      <c r="H17" s="91" t="s">
        <v>259</v>
      </c>
      <c r="I17" s="91" t="s">
        <v>260</v>
      </c>
      <c r="J17" s="92" t="s">
        <v>299</v>
      </c>
      <c r="K17" s="93"/>
      <c r="L17" s="60" t="s">
        <v>52</v>
      </c>
      <c r="M17" s="94" t="s">
        <v>282</v>
      </c>
      <c r="O17" s="60" t="s">
        <v>300</v>
      </c>
      <c r="P17" s="100"/>
      <c r="Q17" s="96"/>
      <c r="R17" s="103" t="s">
        <v>1270</v>
      </c>
      <c r="S17" s="97"/>
      <c r="T17" s="325" t="s">
        <v>182</v>
      </c>
      <c r="U17" s="97"/>
      <c r="V17" s="114">
        <f t="shared" si="1"/>
        <v>0</v>
      </c>
      <c r="W17" s="298" t="s">
        <v>263</v>
      </c>
      <c r="X17" s="298" t="str">
        <f>IF(W17=Llistes!$B$18,Llistes!$D$18,IF(W17=Llistes!$B$20,Llistes!$D$20,IF(W17=Llistes!$B$22,Llistes!$D$22,IF(W17=Llistes!$B$23,Llistes!$D$23,IF(W17=Llistes!$B$24,Llistes!$D$24,IF(W17=Llistes!$B$28,Llistes!$D$28))))))</f>
        <v>Tècnic coordinador</v>
      </c>
      <c r="Y17" s="1" t="s">
        <v>275</v>
      </c>
      <c r="Z17" s="3" t="s">
        <v>265</v>
      </c>
      <c r="AA17" s="16" t="s">
        <v>276</v>
      </c>
    </row>
    <row r="18" spans="1:30" ht="75.75" thickBot="1">
      <c r="A18" s="25" t="s">
        <v>253</v>
      </c>
      <c r="B18" s="32">
        <v>1</v>
      </c>
      <c r="C18" s="39" t="s">
        <v>254</v>
      </c>
      <c r="D18" s="251" t="s">
        <v>278</v>
      </c>
      <c r="E18" s="252" t="s">
        <v>1178</v>
      </c>
      <c r="F18" s="91" t="s">
        <v>297</v>
      </c>
      <c r="G18" s="90" t="s">
        <v>298</v>
      </c>
      <c r="H18" s="91" t="s">
        <v>259</v>
      </c>
      <c r="I18" s="91" t="s">
        <v>260</v>
      </c>
      <c r="J18" s="92" t="s">
        <v>299</v>
      </c>
      <c r="K18" s="93"/>
      <c r="L18" s="60" t="s">
        <v>52</v>
      </c>
      <c r="M18" s="94" t="s">
        <v>282</v>
      </c>
      <c r="O18" s="60" t="s">
        <v>301</v>
      </c>
      <c r="P18" s="100"/>
      <c r="Q18" s="96"/>
      <c r="R18" s="322" t="s">
        <v>1271</v>
      </c>
      <c r="S18" s="97">
        <v>4</v>
      </c>
      <c r="T18" s="97">
        <v>4</v>
      </c>
      <c r="U18" s="97"/>
      <c r="V18" s="114">
        <f t="shared" si="1"/>
        <v>0</v>
      </c>
      <c r="W18" s="298" t="s">
        <v>263</v>
      </c>
      <c r="X18" s="298" t="str">
        <f>IF(W18=Llistes!$B$18,Llistes!$D$18,IF(W18=Llistes!$B$20,Llistes!$D$20,IF(W18=Llistes!$B$22,Llistes!$D$22,IF(W18=Llistes!$B$23,Llistes!$D$23,IF(W18=Llistes!$B$24,Llistes!$D$24,IF(W18=Llistes!$B$28,Llistes!$D$28))))))</f>
        <v>Tècnic coordinador</v>
      </c>
      <c r="Y18" s="1" t="s">
        <v>275</v>
      </c>
      <c r="Z18" s="3" t="s">
        <v>265</v>
      </c>
      <c r="AA18" s="16" t="s">
        <v>276</v>
      </c>
      <c r="AB18" s="16" t="s">
        <v>276</v>
      </c>
      <c r="AC18" s="16" t="s">
        <v>276</v>
      </c>
      <c r="AD18" s="16" t="s">
        <v>276</v>
      </c>
    </row>
    <row r="19" spans="1:30" ht="75.75" thickBot="1">
      <c r="A19" s="25" t="s">
        <v>253</v>
      </c>
      <c r="B19" s="32">
        <v>1</v>
      </c>
      <c r="C19" s="39" t="s">
        <v>254</v>
      </c>
      <c r="D19" s="251" t="s">
        <v>278</v>
      </c>
      <c r="E19" s="252" t="s">
        <v>1178</v>
      </c>
      <c r="F19" s="91" t="s">
        <v>297</v>
      </c>
      <c r="G19" s="90" t="s">
        <v>298</v>
      </c>
      <c r="H19" s="91" t="s">
        <v>259</v>
      </c>
      <c r="I19" s="91" t="s">
        <v>260</v>
      </c>
      <c r="J19" s="92" t="s">
        <v>299</v>
      </c>
      <c r="K19" s="93"/>
      <c r="L19" s="60" t="s">
        <v>52</v>
      </c>
      <c r="M19" s="94" t="s">
        <v>282</v>
      </c>
      <c r="O19" s="60" t="s">
        <v>302</v>
      </c>
      <c r="P19" s="100"/>
      <c r="Q19" s="96"/>
      <c r="R19" s="103" t="s">
        <v>1270</v>
      </c>
      <c r="S19" s="97"/>
      <c r="T19" s="325" t="s">
        <v>182</v>
      </c>
      <c r="U19" s="97"/>
      <c r="V19" s="114">
        <f t="shared" si="1"/>
        <v>0</v>
      </c>
      <c r="W19" s="298" t="s">
        <v>263</v>
      </c>
      <c r="X19" s="298" t="str">
        <f>IF(W19=Llistes!$B$18,Llistes!$D$18,IF(W19=Llistes!$B$20,Llistes!$D$20,IF(W19=Llistes!$B$22,Llistes!$D$22,IF(W19=Llistes!$B$23,Llistes!$D$23,IF(W19=Llistes!$B$24,Llistes!$D$24,IF(W19=Llistes!$B$28,Llistes!$D$28))))))</f>
        <v>Tècnic coordinador</v>
      </c>
      <c r="Y19" s="1" t="s">
        <v>275</v>
      </c>
      <c r="Z19" s="3" t="s">
        <v>265</v>
      </c>
      <c r="AB19" s="16" t="s">
        <v>276</v>
      </c>
    </row>
    <row r="20" spans="1:30" ht="75.75" thickBot="1">
      <c r="A20" s="25" t="s">
        <v>253</v>
      </c>
      <c r="B20" s="32">
        <v>1</v>
      </c>
      <c r="C20" s="39" t="s">
        <v>254</v>
      </c>
      <c r="D20" s="251" t="s">
        <v>278</v>
      </c>
      <c r="E20" s="252" t="s">
        <v>1178</v>
      </c>
      <c r="F20" s="91" t="s">
        <v>297</v>
      </c>
      <c r="G20" s="90" t="s">
        <v>298</v>
      </c>
      <c r="H20" s="91" t="s">
        <v>259</v>
      </c>
      <c r="I20" s="91" t="s">
        <v>260</v>
      </c>
      <c r="J20" s="92" t="s">
        <v>299</v>
      </c>
      <c r="K20" s="93"/>
      <c r="L20" s="60" t="s">
        <v>52</v>
      </c>
      <c r="M20" s="94" t="s">
        <v>282</v>
      </c>
      <c r="O20" s="60" t="s">
        <v>303</v>
      </c>
      <c r="P20" s="100"/>
      <c r="Q20" s="96"/>
      <c r="R20" s="322" t="s">
        <v>1271</v>
      </c>
      <c r="S20" s="97">
        <v>4</v>
      </c>
      <c r="T20" s="97">
        <v>4</v>
      </c>
      <c r="U20" s="97"/>
      <c r="V20" s="114">
        <f t="shared" si="1"/>
        <v>0</v>
      </c>
      <c r="W20" s="298" t="s">
        <v>263</v>
      </c>
      <c r="X20" s="298" t="str">
        <f>IF(W20=Llistes!$B$18,Llistes!$D$18,IF(W20=Llistes!$B$20,Llistes!$D$20,IF(W20=Llistes!$B$22,Llistes!$D$22,IF(W20=Llistes!$B$23,Llistes!$D$23,IF(W20=Llistes!$B$24,Llistes!$D$24,IF(W20=Llistes!$B$28,Llistes!$D$28))))))</f>
        <v>Tècnic coordinador</v>
      </c>
      <c r="Y20" s="1" t="s">
        <v>275</v>
      </c>
      <c r="Z20" s="3" t="s">
        <v>265</v>
      </c>
      <c r="AC20" s="16" t="s">
        <v>276</v>
      </c>
      <c r="AD20" s="16" t="s">
        <v>276</v>
      </c>
    </row>
    <row r="21" spans="1:30" ht="75.75" thickBot="1">
      <c r="A21" s="25" t="s">
        <v>253</v>
      </c>
      <c r="B21" s="32">
        <v>1</v>
      </c>
      <c r="C21" s="39" t="s">
        <v>254</v>
      </c>
      <c r="D21" s="251" t="s">
        <v>278</v>
      </c>
      <c r="E21" s="252" t="s">
        <v>1178</v>
      </c>
      <c r="F21" s="91" t="s">
        <v>297</v>
      </c>
      <c r="G21" s="90" t="s">
        <v>298</v>
      </c>
      <c r="H21" s="91" t="s">
        <v>259</v>
      </c>
      <c r="I21" s="91" t="s">
        <v>260</v>
      </c>
      <c r="J21" s="92" t="s">
        <v>299</v>
      </c>
      <c r="K21" s="93"/>
      <c r="L21" s="60" t="s">
        <v>52</v>
      </c>
      <c r="M21" s="94" t="s">
        <v>282</v>
      </c>
      <c r="O21" s="60" t="s">
        <v>304</v>
      </c>
      <c r="P21" s="100"/>
      <c r="Q21" s="96"/>
      <c r="R21" s="103" t="s">
        <v>1270</v>
      </c>
      <c r="S21" s="97"/>
      <c r="T21" s="325" t="s">
        <v>182</v>
      </c>
      <c r="U21" s="97"/>
      <c r="V21" s="114">
        <f t="shared" si="1"/>
        <v>0</v>
      </c>
      <c r="W21" s="298" t="s">
        <v>263</v>
      </c>
      <c r="X21" s="298" t="str">
        <f>IF(W21=Llistes!$B$18,Llistes!$D$18,IF(W21=Llistes!$B$20,Llistes!$D$20,IF(W21=Llistes!$B$22,Llistes!$D$22,IF(W21=Llistes!$B$23,Llistes!$D$23,IF(W21=Llistes!$B$24,Llistes!$D$24,IF(W21=Llistes!$B$28,Llistes!$D$28))))))</f>
        <v>Tècnic coordinador</v>
      </c>
      <c r="Y21" s="1" t="s">
        <v>275</v>
      </c>
      <c r="Z21" s="3" t="s">
        <v>265</v>
      </c>
      <c r="AB21" s="16" t="s">
        <v>276</v>
      </c>
    </row>
    <row r="22" spans="1:30" ht="75.75" thickBot="1">
      <c r="A22" s="25" t="s">
        <v>253</v>
      </c>
      <c r="B22" s="32">
        <v>1</v>
      </c>
      <c r="C22" s="39" t="s">
        <v>254</v>
      </c>
      <c r="D22" s="251" t="s">
        <v>278</v>
      </c>
      <c r="E22" s="252" t="s">
        <v>1178</v>
      </c>
      <c r="F22" s="91" t="s">
        <v>297</v>
      </c>
      <c r="G22" s="90" t="s">
        <v>298</v>
      </c>
      <c r="H22" s="91" t="s">
        <v>259</v>
      </c>
      <c r="I22" s="91" t="s">
        <v>260</v>
      </c>
      <c r="J22" s="92" t="s">
        <v>299</v>
      </c>
      <c r="K22" s="93"/>
      <c r="L22" s="60" t="s">
        <v>52</v>
      </c>
      <c r="M22" s="94" t="s">
        <v>282</v>
      </c>
      <c r="O22" s="60" t="s">
        <v>305</v>
      </c>
      <c r="P22" s="100"/>
      <c r="Q22" s="96"/>
      <c r="R22" s="322" t="s">
        <v>1271</v>
      </c>
      <c r="S22" s="97">
        <v>4</v>
      </c>
      <c r="T22" s="97">
        <v>4</v>
      </c>
      <c r="U22" s="97"/>
      <c r="V22" s="114">
        <f t="shared" si="1"/>
        <v>0</v>
      </c>
      <c r="W22" s="298" t="s">
        <v>263</v>
      </c>
      <c r="X22" s="298" t="str">
        <f>IF(W22=Llistes!$B$18,Llistes!$D$18,IF(W22=Llistes!$B$20,Llistes!$D$20,IF(W22=Llistes!$B$22,Llistes!$D$22,IF(W22=Llistes!$B$23,Llistes!$D$23,IF(W22=Llistes!$B$24,Llistes!$D$24,IF(W22=Llistes!$B$28,Llistes!$D$28))))))</f>
        <v>Tècnic coordinador</v>
      </c>
      <c r="Y22" s="1" t="s">
        <v>275</v>
      </c>
      <c r="Z22" s="3" t="s">
        <v>294</v>
      </c>
      <c r="AC22" s="16" t="s">
        <v>276</v>
      </c>
      <c r="AD22" s="16" t="s">
        <v>276</v>
      </c>
    </row>
    <row r="23" spans="1:30" ht="75.75" thickBot="1">
      <c r="A23" s="25" t="s">
        <v>253</v>
      </c>
      <c r="B23" s="32">
        <v>1</v>
      </c>
      <c r="C23" s="39" t="s">
        <v>254</v>
      </c>
      <c r="D23" s="251" t="s">
        <v>278</v>
      </c>
      <c r="E23" s="252" t="s">
        <v>1178</v>
      </c>
      <c r="F23" s="91" t="s">
        <v>297</v>
      </c>
      <c r="G23" s="90" t="s">
        <v>298</v>
      </c>
      <c r="H23" s="91" t="s">
        <v>259</v>
      </c>
      <c r="I23" s="91" t="s">
        <v>260</v>
      </c>
      <c r="J23" s="92" t="s">
        <v>299</v>
      </c>
      <c r="K23" s="93"/>
      <c r="L23" s="60" t="s">
        <v>52</v>
      </c>
      <c r="M23" s="94" t="s">
        <v>282</v>
      </c>
      <c r="O23" s="60" t="s">
        <v>306</v>
      </c>
      <c r="P23" s="100"/>
      <c r="Q23" s="96"/>
      <c r="R23" s="103" t="s">
        <v>1270</v>
      </c>
      <c r="S23" s="97"/>
      <c r="T23" s="325" t="s">
        <v>182</v>
      </c>
      <c r="U23" s="97"/>
      <c r="V23" s="114">
        <f t="shared" si="1"/>
        <v>0</v>
      </c>
      <c r="W23" s="298" t="s">
        <v>263</v>
      </c>
      <c r="X23" s="298" t="str">
        <f>IF(W23=Llistes!$B$18,Llistes!$D$18,IF(W23=Llistes!$B$20,Llistes!$D$20,IF(W23=Llistes!$B$22,Llistes!$D$22,IF(W23=Llistes!$B$23,Llistes!$D$23,IF(W23=Llistes!$B$24,Llistes!$D$24,IF(W23=Llistes!$B$28,Llistes!$D$28))))))</f>
        <v>Tècnic coordinador</v>
      </c>
      <c r="Y23" s="1" t="s">
        <v>275</v>
      </c>
      <c r="Z23" s="3" t="s">
        <v>265</v>
      </c>
      <c r="AB23" s="16" t="s">
        <v>276</v>
      </c>
    </row>
    <row r="24" spans="1:30" ht="75.75" thickBot="1">
      <c r="A24" s="25" t="s">
        <v>253</v>
      </c>
      <c r="B24" s="32">
        <v>1</v>
      </c>
      <c r="C24" s="39" t="s">
        <v>254</v>
      </c>
      <c r="D24" s="251" t="s">
        <v>278</v>
      </c>
      <c r="E24" s="252" t="s">
        <v>1178</v>
      </c>
      <c r="F24" s="91" t="s">
        <v>297</v>
      </c>
      <c r="G24" s="90" t="s">
        <v>298</v>
      </c>
      <c r="H24" s="91" t="s">
        <v>259</v>
      </c>
      <c r="I24" s="91" t="s">
        <v>260</v>
      </c>
      <c r="J24" s="92" t="s">
        <v>299</v>
      </c>
      <c r="K24" s="93"/>
      <c r="L24" s="60" t="s">
        <v>52</v>
      </c>
      <c r="M24" s="94" t="s">
        <v>282</v>
      </c>
      <c r="O24" s="60" t="s">
        <v>307</v>
      </c>
      <c r="P24" s="100"/>
      <c r="Q24" s="96"/>
      <c r="R24" s="322" t="s">
        <v>1271</v>
      </c>
      <c r="S24" s="97">
        <v>4</v>
      </c>
      <c r="T24" s="97">
        <v>4</v>
      </c>
      <c r="U24" s="97"/>
      <c r="V24" s="114">
        <f t="shared" si="1"/>
        <v>0</v>
      </c>
      <c r="W24" s="298" t="s">
        <v>263</v>
      </c>
      <c r="X24" s="298" t="str">
        <f>IF(W24=Llistes!$B$18,Llistes!$D$18,IF(W24=Llistes!$B$20,Llistes!$D$20,IF(W24=Llistes!$B$22,Llistes!$D$22,IF(W24=Llistes!$B$23,Llistes!$D$23,IF(W24=Llistes!$B$24,Llistes!$D$24,IF(W24=Llistes!$B$28,Llistes!$D$28))))))</f>
        <v>Tècnic coordinador</v>
      </c>
      <c r="Y24" s="1" t="s">
        <v>275</v>
      </c>
      <c r="Z24" s="3" t="s">
        <v>294</v>
      </c>
      <c r="AC24" s="16" t="s">
        <v>276</v>
      </c>
      <c r="AD24" s="16" t="s">
        <v>276</v>
      </c>
    </row>
    <row r="25" spans="1:30" ht="75">
      <c r="A25" s="25" t="s">
        <v>253</v>
      </c>
      <c r="B25" s="32">
        <v>1</v>
      </c>
      <c r="C25" s="39" t="s">
        <v>254</v>
      </c>
      <c r="D25" s="251" t="s">
        <v>278</v>
      </c>
      <c r="E25" s="252" t="s">
        <v>1178</v>
      </c>
      <c r="F25" s="91" t="s">
        <v>297</v>
      </c>
      <c r="G25" s="90" t="s">
        <v>298</v>
      </c>
      <c r="H25" s="91" t="s">
        <v>259</v>
      </c>
      <c r="I25" s="91" t="s">
        <v>260</v>
      </c>
      <c r="J25" s="92" t="s">
        <v>299</v>
      </c>
      <c r="K25" s="93"/>
      <c r="L25" s="60" t="s">
        <v>53</v>
      </c>
      <c r="M25" s="94" t="s">
        <v>282</v>
      </c>
      <c r="O25" s="60" t="s">
        <v>1180</v>
      </c>
      <c r="P25" s="100" t="s">
        <v>308</v>
      </c>
      <c r="Q25" s="96" t="s">
        <v>309</v>
      </c>
      <c r="R25" s="103" t="s">
        <v>1270</v>
      </c>
      <c r="S25" s="97"/>
      <c r="T25" s="325" t="s">
        <v>182</v>
      </c>
      <c r="U25" s="97"/>
      <c r="V25" s="114">
        <f t="shared" si="1"/>
        <v>0</v>
      </c>
      <c r="W25" s="298" t="s">
        <v>263</v>
      </c>
      <c r="X25" s="298" t="str">
        <f>IF(W25=Llistes!$B$18,Llistes!$D$18,IF(W25=Llistes!$B$20,Llistes!$D$20,IF(W25=Llistes!$B$22,Llistes!$D$22,IF(W25=Llistes!$B$23,Llistes!$D$23,IF(W25=Llistes!$B$24,Llistes!$D$24,IF(W25=Llistes!$B$28,Llistes!$D$28))))))</f>
        <v>Tècnic coordinador</v>
      </c>
      <c r="Y25" s="1" t="s">
        <v>275</v>
      </c>
      <c r="Z25" s="3" t="s">
        <v>265</v>
      </c>
      <c r="AB25" s="16" t="s">
        <v>276</v>
      </c>
    </row>
    <row r="26" spans="1:30" ht="75">
      <c r="A26" s="25" t="s">
        <v>253</v>
      </c>
      <c r="B26" s="32">
        <v>1</v>
      </c>
      <c r="C26" s="39" t="s">
        <v>254</v>
      </c>
      <c r="D26" s="251" t="s">
        <v>278</v>
      </c>
      <c r="E26" s="252" t="s">
        <v>1178</v>
      </c>
      <c r="F26" s="91" t="s">
        <v>297</v>
      </c>
      <c r="G26" s="90" t="s">
        <v>298</v>
      </c>
      <c r="H26" s="91" t="s">
        <v>259</v>
      </c>
      <c r="I26" s="91" t="s">
        <v>260</v>
      </c>
      <c r="J26" s="92" t="s">
        <v>299</v>
      </c>
      <c r="K26" s="93"/>
      <c r="L26" s="60" t="s">
        <v>52</v>
      </c>
      <c r="M26" s="94" t="s">
        <v>282</v>
      </c>
      <c r="O26" s="60" t="s">
        <v>310</v>
      </c>
      <c r="P26" s="100"/>
      <c r="Q26" s="96"/>
      <c r="R26" s="103" t="s">
        <v>1270</v>
      </c>
      <c r="S26" s="97"/>
      <c r="T26" s="325" t="s">
        <v>182</v>
      </c>
      <c r="U26" s="97"/>
      <c r="V26" s="114">
        <f t="shared" si="1"/>
        <v>0</v>
      </c>
      <c r="W26" s="298" t="s">
        <v>263</v>
      </c>
      <c r="X26" s="298" t="str">
        <f>IF(W26=Llistes!$B$18,Llistes!$D$18,IF(W26=Llistes!$B$20,Llistes!$D$20,IF(W26=Llistes!$B$22,Llistes!$D$22,IF(W26=Llistes!$B$23,Llistes!$D$23,IF(W26=Llistes!$B$24,Llistes!$D$24,IF(W26=Llistes!$B$28,Llistes!$D$28))))))</f>
        <v>Tècnic coordinador</v>
      </c>
      <c r="Y26" s="1" t="s">
        <v>275</v>
      </c>
      <c r="Z26" s="3" t="s">
        <v>265</v>
      </c>
      <c r="AA26" s="16" t="s">
        <v>276</v>
      </c>
      <c r="AB26" s="16" t="s">
        <v>276</v>
      </c>
      <c r="AC26" s="16" t="s">
        <v>276</v>
      </c>
      <c r="AD26" s="16" t="s">
        <v>276</v>
      </c>
    </row>
    <row r="27" spans="1:30" ht="75">
      <c r="A27" s="301" t="s">
        <v>253</v>
      </c>
      <c r="B27" s="172">
        <v>1</v>
      </c>
      <c r="C27" s="302" t="s">
        <v>254</v>
      </c>
      <c r="D27" s="251" t="s">
        <v>278</v>
      </c>
      <c r="E27" s="252" t="s">
        <v>1178</v>
      </c>
      <c r="F27" s="91" t="s">
        <v>905</v>
      </c>
      <c r="G27" s="90" t="s">
        <v>1070</v>
      </c>
      <c r="H27" s="91" t="s">
        <v>318</v>
      </c>
      <c r="I27" s="91" t="s">
        <v>319</v>
      </c>
      <c r="J27" s="92" t="str">
        <f t="shared" ref="J27" si="4">G27</f>
        <v xml:space="preserve">Desplegar els objectius i tasques recollits en els instruments de referència i compromisos internacionals  </v>
      </c>
      <c r="K27" s="92" t="s">
        <v>1055</v>
      </c>
      <c r="L27" s="60"/>
      <c r="M27" s="93" t="s">
        <v>274</v>
      </c>
      <c r="N27" s="60"/>
      <c r="O27" s="101"/>
      <c r="P27" s="90"/>
      <c r="Q27" s="90" t="s">
        <v>1071</v>
      </c>
      <c r="R27" s="60"/>
      <c r="S27" s="299"/>
      <c r="T27" s="299"/>
      <c r="U27" s="292"/>
      <c r="V27" s="114">
        <f t="shared" si="1"/>
        <v>0</v>
      </c>
      <c r="W27" s="98"/>
      <c r="X27" s="98"/>
      <c r="Y27" s="305"/>
      <c r="Z27" s="303"/>
      <c r="AA27" s="303"/>
      <c r="AB27" s="303"/>
      <c r="AC27" s="304"/>
      <c r="AD27" s="3"/>
    </row>
    <row r="28" spans="1:30" ht="75">
      <c r="A28" s="25" t="s">
        <v>253</v>
      </c>
      <c r="B28" s="32">
        <v>1</v>
      </c>
      <c r="C28" s="39" t="s">
        <v>254</v>
      </c>
      <c r="D28" s="167" t="s">
        <v>311</v>
      </c>
      <c r="E28" s="254" t="s">
        <v>312</v>
      </c>
      <c r="F28" s="89" t="s">
        <v>313</v>
      </c>
      <c r="G28" s="90" t="s">
        <v>314</v>
      </c>
      <c r="H28" s="91" t="s">
        <v>259</v>
      </c>
      <c r="I28" s="91" t="s">
        <v>260</v>
      </c>
      <c r="J28" s="92" t="str">
        <f t="shared" ref="J28" si="5">G28</f>
        <v>Identificar espais pel foment de la dinàmica natural i l'aprofitament no extractiu</v>
      </c>
      <c r="K28" s="93"/>
      <c r="L28" s="60" t="s">
        <v>52</v>
      </c>
      <c r="M28" s="94" t="s">
        <v>274</v>
      </c>
      <c r="O28" s="60" t="s">
        <v>1025</v>
      </c>
      <c r="P28" s="100"/>
      <c r="Q28" s="96"/>
      <c r="R28" s="103" t="s">
        <v>1270</v>
      </c>
      <c r="S28" s="97"/>
      <c r="T28" s="326" t="s">
        <v>1141</v>
      </c>
      <c r="U28" s="97"/>
      <c r="V28" s="114">
        <f t="shared" si="1"/>
        <v>0</v>
      </c>
      <c r="W28" s="298" t="s">
        <v>263</v>
      </c>
      <c r="X28" s="298" t="str">
        <f>IF(W28=Llistes!$B$18,Llistes!$D$18,IF(W28=Llistes!$B$20,Llistes!$D$20,IF(W28=Llistes!$B$22,Llistes!$D$22,IF(W28=Llistes!$B$23,Llistes!$D$23,IF(W28=Llistes!$B$24,Llistes!$D$24,IF(W28=Llistes!$B$28,Llistes!$D$28))))))</f>
        <v>Tècnic coordinador</v>
      </c>
      <c r="Y28" s="1" t="s">
        <v>275</v>
      </c>
      <c r="Z28" s="3" t="s">
        <v>265</v>
      </c>
      <c r="AB28" s="16" t="s">
        <v>276</v>
      </c>
    </row>
    <row r="29" spans="1:30" ht="75">
      <c r="A29" s="25" t="s">
        <v>253</v>
      </c>
      <c r="B29" s="32">
        <v>1</v>
      </c>
      <c r="C29" s="39" t="s">
        <v>254</v>
      </c>
      <c r="D29" s="167" t="s">
        <v>311</v>
      </c>
      <c r="E29" s="254" t="s">
        <v>312</v>
      </c>
      <c r="F29" s="89" t="s">
        <v>313</v>
      </c>
      <c r="G29" s="90" t="s">
        <v>314</v>
      </c>
      <c r="H29" s="91" t="s">
        <v>259</v>
      </c>
      <c r="I29" s="91" t="s">
        <v>260</v>
      </c>
      <c r="J29" s="92" t="str">
        <f t="shared" si="2"/>
        <v>Identificar espais pel foment de la dinàmica natural i l'aprofitament no extractiu</v>
      </c>
      <c r="K29" s="93"/>
      <c r="L29" s="60" t="s">
        <v>52</v>
      </c>
      <c r="M29" s="94" t="s">
        <v>274</v>
      </c>
      <c r="O29" s="60" t="s">
        <v>1193</v>
      </c>
      <c r="P29" s="95" t="s">
        <v>284</v>
      </c>
      <c r="Q29" s="96" t="s">
        <v>315</v>
      </c>
      <c r="R29" s="288" t="s">
        <v>1026</v>
      </c>
      <c r="S29" s="97">
        <v>1</v>
      </c>
      <c r="T29" s="97">
        <v>2</v>
      </c>
      <c r="U29" s="97"/>
      <c r="V29" s="114">
        <f t="shared" si="1"/>
        <v>0</v>
      </c>
      <c r="W29" s="298" t="s">
        <v>263</v>
      </c>
      <c r="X29" s="298" t="str">
        <f>IF(W29=Llistes!$B$18,Llistes!$D$18,IF(W29=Llistes!$B$20,Llistes!$D$20,IF(W29=Llistes!$B$22,Llistes!$D$22,IF(W29=Llistes!$B$23,Llistes!$D$23,IF(W29=Llistes!$B$24,Llistes!$D$24,IF(W29=Llistes!$B$28,Llistes!$D$28))))))</f>
        <v>Tècnic coordinador</v>
      </c>
      <c r="Y29" s="1" t="s">
        <v>264</v>
      </c>
      <c r="Z29" s="3" t="s">
        <v>294</v>
      </c>
      <c r="AA29" s="16" t="s">
        <v>276</v>
      </c>
      <c r="AB29" s="16" t="s">
        <v>276</v>
      </c>
      <c r="AC29" s="16" t="s">
        <v>276</v>
      </c>
      <c r="AD29" s="16" t="s">
        <v>276</v>
      </c>
    </row>
    <row r="30" spans="1:30" ht="75">
      <c r="A30" s="25" t="s">
        <v>253</v>
      </c>
      <c r="B30" s="32">
        <v>1</v>
      </c>
      <c r="C30" s="39" t="s">
        <v>254</v>
      </c>
      <c r="D30" s="168" t="s">
        <v>311</v>
      </c>
      <c r="E30" s="253" t="s">
        <v>312</v>
      </c>
      <c r="F30" s="89" t="s">
        <v>316</v>
      </c>
      <c r="G30" s="90" t="s">
        <v>317</v>
      </c>
      <c r="H30" s="91" t="s">
        <v>318</v>
      </c>
      <c r="I30" s="91" t="s">
        <v>319</v>
      </c>
      <c r="J30" s="92" t="str">
        <f t="shared" si="2"/>
        <v>Afavorir la maduresa dels sistemes forestals</v>
      </c>
      <c r="K30" s="93"/>
      <c r="L30" s="60" t="s">
        <v>52</v>
      </c>
      <c r="M30" s="94" t="s">
        <v>261</v>
      </c>
      <c r="O30" s="60" t="s">
        <v>1027</v>
      </c>
      <c r="P30" s="95" t="s">
        <v>270</v>
      </c>
      <c r="Q30" s="96" t="s">
        <v>315</v>
      </c>
      <c r="R30" s="288" t="s">
        <v>1029</v>
      </c>
      <c r="S30" s="97">
        <v>1</v>
      </c>
      <c r="T30" s="97">
        <v>1</v>
      </c>
      <c r="U30" s="97"/>
      <c r="V30" s="114">
        <f t="shared" si="1"/>
        <v>0</v>
      </c>
      <c r="W30" s="298" t="s">
        <v>263</v>
      </c>
      <c r="X30" s="298" t="str">
        <f>IF(W30=Llistes!$B$18,Llistes!$D$18,IF(W30=Llistes!$B$20,Llistes!$D$20,IF(W30=Llistes!$B$22,Llistes!$D$22,IF(W30=Llistes!$B$23,Llistes!$D$23,IF(W30=Llistes!$B$24,Llistes!$D$24,IF(W30=Llistes!$B$28,Llistes!$D$28))))))</f>
        <v>Tècnic coordinador</v>
      </c>
      <c r="Y30" s="1" t="s">
        <v>275</v>
      </c>
      <c r="Z30" s="3" t="s">
        <v>294</v>
      </c>
      <c r="AA30" s="16" t="s">
        <v>276</v>
      </c>
      <c r="AC30" s="16" t="s">
        <v>276</v>
      </c>
    </row>
    <row r="31" spans="1:30" ht="75">
      <c r="A31" s="25" t="s">
        <v>253</v>
      </c>
      <c r="B31" s="32">
        <v>1</v>
      </c>
      <c r="C31" s="39" t="s">
        <v>254</v>
      </c>
      <c r="D31" s="168" t="s">
        <v>311</v>
      </c>
      <c r="E31" s="253" t="s">
        <v>312</v>
      </c>
      <c r="F31" s="89" t="s">
        <v>316</v>
      </c>
      <c r="G31" s="90" t="s">
        <v>317</v>
      </c>
      <c r="H31" s="91" t="s">
        <v>318</v>
      </c>
      <c r="I31" s="91" t="s">
        <v>319</v>
      </c>
      <c r="J31" s="92" t="str">
        <f t="shared" ref="J31" si="6">G31</f>
        <v>Afavorir la maduresa dels sistemes forestals</v>
      </c>
      <c r="K31" s="93"/>
      <c r="L31" s="60" t="s">
        <v>52</v>
      </c>
      <c r="M31" s="94" t="s">
        <v>261</v>
      </c>
      <c r="O31" s="60" t="s">
        <v>1028</v>
      </c>
      <c r="P31" s="95" t="s">
        <v>270</v>
      </c>
      <c r="Q31" s="96" t="s">
        <v>315</v>
      </c>
      <c r="R31" s="288" t="s">
        <v>1030</v>
      </c>
      <c r="S31" s="97">
        <v>0</v>
      </c>
      <c r="T31" s="97">
        <v>1</v>
      </c>
      <c r="U31" s="97"/>
      <c r="V31" s="114">
        <f t="shared" si="1"/>
        <v>0</v>
      </c>
      <c r="W31" s="298" t="s">
        <v>263</v>
      </c>
      <c r="X31" s="298" t="str">
        <f>IF(W31=Llistes!$B$18,Llistes!$D$18,IF(W31=Llistes!$B$20,Llistes!$D$20,IF(W31=Llistes!$B$22,Llistes!$D$22,IF(W31=Llistes!$B$23,Llistes!$D$23,IF(W31=Llistes!$B$24,Llistes!$D$24,IF(W31=Llistes!$B$28,Llistes!$D$28))))))</f>
        <v>Tècnic coordinador</v>
      </c>
      <c r="Y31" s="1" t="s">
        <v>275</v>
      </c>
      <c r="Z31" s="3" t="s">
        <v>265</v>
      </c>
      <c r="AB31" s="16" t="s">
        <v>276</v>
      </c>
      <c r="AD31" s="16" t="s">
        <v>276</v>
      </c>
    </row>
    <row r="32" spans="1:30" ht="75">
      <c r="A32" s="25" t="s">
        <v>253</v>
      </c>
      <c r="B32" s="32">
        <v>1</v>
      </c>
      <c r="C32" s="39" t="s">
        <v>254</v>
      </c>
      <c r="D32" s="168" t="s">
        <v>311</v>
      </c>
      <c r="E32" s="252" t="s">
        <v>312</v>
      </c>
      <c r="F32" s="89" t="s">
        <v>320</v>
      </c>
      <c r="G32" s="90" t="s">
        <v>321</v>
      </c>
      <c r="H32" s="91" t="s">
        <v>318</v>
      </c>
      <c r="I32" s="91" t="s">
        <v>319</v>
      </c>
      <c r="J32" s="92" t="str">
        <f t="shared" si="2"/>
        <v>Generar pertorbacions controlades</v>
      </c>
      <c r="K32" s="93"/>
      <c r="L32" s="60" t="s">
        <v>52</v>
      </c>
      <c r="M32" s="94" t="s">
        <v>274</v>
      </c>
      <c r="O32" s="60" t="s">
        <v>1148</v>
      </c>
      <c r="P32" s="95" t="s">
        <v>270</v>
      </c>
      <c r="Q32" s="96" t="s">
        <v>315</v>
      </c>
      <c r="R32" s="288" t="s">
        <v>1031</v>
      </c>
      <c r="S32" s="97">
        <v>1</v>
      </c>
      <c r="T32" s="97">
        <v>2</v>
      </c>
      <c r="U32" s="97"/>
      <c r="V32" s="114">
        <f t="shared" si="1"/>
        <v>0</v>
      </c>
      <c r="W32" s="298" t="s">
        <v>835</v>
      </c>
      <c r="X32" s="298" t="s">
        <v>1189</v>
      </c>
      <c r="Y32" s="1" t="s">
        <v>275</v>
      </c>
      <c r="Z32" s="3" t="s">
        <v>265</v>
      </c>
      <c r="AA32" s="16" t="s">
        <v>276</v>
      </c>
      <c r="AB32" s="16" t="s">
        <v>276</v>
      </c>
      <c r="AC32" s="16" t="s">
        <v>276</v>
      </c>
      <c r="AD32" s="16" t="s">
        <v>276</v>
      </c>
    </row>
    <row r="33" spans="1:30" ht="75">
      <c r="A33" s="25" t="s">
        <v>253</v>
      </c>
      <c r="B33" s="32">
        <v>1</v>
      </c>
      <c r="C33" s="39" t="s">
        <v>254</v>
      </c>
      <c r="D33" s="168" t="s">
        <v>311</v>
      </c>
      <c r="E33" s="252" t="s">
        <v>312</v>
      </c>
      <c r="F33" s="89" t="s">
        <v>322</v>
      </c>
      <c r="G33" s="90" t="s">
        <v>323</v>
      </c>
      <c r="H33" s="91" t="s">
        <v>318</v>
      </c>
      <c r="I33" s="91" t="s">
        <v>319</v>
      </c>
      <c r="J33" s="92" t="str">
        <f t="shared" si="2"/>
        <v xml:space="preserve">Restaurar la dinàmica natural dels rius </v>
      </c>
      <c r="K33" s="93"/>
      <c r="L33" s="60" t="s">
        <v>52</v>
      </c>
      <c r="M33" s="94" t="s">
        <v>274</v>
      </c>
      <c r="O33" s="60" t="s">
        <v>1032</v>
      </c>
      <c r="P33" s="95" t="s">
        <v>270</v>
      </c>
      <c r="Q33" s="96" t="s">
        <v>315</v>
      </c>
      <c r="R33" s="288" t="s">
        <v>1026</v>
      </c>
      <c r="S33" s="97">
        <v>1</v>
      </c>
      <c r="T33" s="97">
        <v>2</v>
      </c>
      <c r="U33" s="97"/>
      <c r="V33" s="114">
        <f t="shared" si="1"/>
        <v>0</v>
      </c>
      <c r="W33" s="298" t="s">
        <v>263</v>
      </c>
      <c r="X33" s="298" t="str">
        <f>IF(W33=Llistes!$B$18,Llistes!$D$18,IF(W33=Llistes!$B$20,Llistes!$D$20,IF(W33=Llistes!$B$22,Llistes!$D$22,IF(W33=Llistes!$B$23,Llistes!$D$23,IF(W33=Llistes!$B$24,Llistes!$D$24,IF(W33=Llistes!$B$28,Llistes!$D$28))))))</f>
        <v>Tècnic coordinador</v>
      </c>
      <c r="Y33" s="1" t="s">
        <v>275</v>
      </c>
      <c r="Z33" s="3" t="s">
        <v>294</v>
      </c>
      <c r="AC33" s="16" t="s">
        <v>276</v>
      </c>
      <c r="AD33" s="16" t="s">
        <v>276</v>
      </c>
    </row>
    <row r="34" spans="1:30" ht="48" customHeight="1">
      <c r="A34" s="301" t="s">
        <v>253</v>
      </c>
      <c r="B34" s="172">
        <v>1</v>
      </c>
      <c r="C34" s="302" t="s">
        <v>254</v>
      </c>
      <c r="D34" s="168" t="s">
        <v>311</v>
      </c>
      <c r="E34" s="252" t="s">
        <v>312</v>
      </c>
      <c r="F34" s="89" t="s">
        <v>324</v>
      </c>
      <c r="G34" s="90" t="s">
        <v>1181</v>
      </c>
      <c r="H34" s="91" t="s">
        <v>318</v>
      </c>
      <c r="I34" s="91" t="s">
        <v>281</v>
      </c>
      <c r="J34" s="92" t="str">
        <f t="shared" si="2"/>
        <v>Fomentar el paisatge en mosaic</v>
      </c>
      <c r="K34" s="92" t="s">
        <v>1055</v>
      </c>
      <c r="L34" s="60"/>
      <c r="M34" s="93" t="s">
        <v>261</v>
      </c>
      <c r="N34" s="60"/>
      <c r="O34" s="93"/>
      <c r="P34" s="90"/>
      <c r="Q34" s="90"/>
      <c r="R34" s="60"/>
      <c r="S34" s="292"/>
      <c r="T34" s="292"/>
      <c r="U34" s="292"/>
      <c r="V34" s="114">
        <f t="shared" si="1"/>
        <v>0</v>
      </c>
      <c r="W34" s="98"/>
      <c r="X34" s="98" t="str">
        <f>IF(W34=[1]Llistes!$K$2,[1]Llistes!$L$2,IF(W34=[1]Llistes!$K$3,[1]Llistes!$L$3,IF(W34=[1]Llistes!$K$4,[1]Llistes!$L$4,IF(W34=[1]Llistes!$K$5,[1]Llistes!$L$5,IF(W34=[1]Llistes!$K$6,[1]Llistes!$L$6,IF(W34=[1]Llistes!$K$7,[1]Llistes!$L$7,""))))))</f>
        <v/>
      </c>
      <c r="Y34" s="305"/>
      <c r="Z34" s="303"/>
      <c r="AA34" s="303"/>
      <c r="AB34" s="303"/>
      <c r="AC34" s="304"/>
      <c r="AD34" s="3"/>
    </row>
    <row r="35" spans="1:30" ht="75">
      <c r="A35" s="25" t="s">
        <v>253</v>
      </c>
      <c r="B35" s="32">
        <v>1</v>
      </c>
      <c r="C35" s="39" t="s">
        <v>254</v>
      </c>
      <c r="D35" s="176" t="s">
        <v>311</v>
      </c>
      <c r="E35" s="249" t="s">
        <v>312</v>
      </c>
      <c r="F35" s="89" t="s">
        <v>325</v>
      </c>
      <c r="G35" s="90" t="s">
        <v>326</v>
      </c>
      <c r="H35" s="91" t="s">
        <v>318</v>
      </c>
      <c r="I35" s="91" t="s">
        <v>319</v>
      </c>
      <c r="J35" s="92" t="str">
        <f t="shared" si="2"/>
        <v>Gestionar i intervenir en la dinàmica de poblacions de fauna que no tenen depredador natural</v>
      </c>
      <c r="K35" s="93"/>
      <c r="L35" s="60" t="s">
        <v>52</v>
      </c>
      <c r="M35" s="94" t="s">
        <v>274</v>
      </c>
      <c r="O35" s="60" t="s">
        <v>1194</v>
      </c>
      <c r="P35" s="95"/>
      <c r="Q35" s="96" t="s">
        <v>315</v>
      </c>
      <c r="R35" s="288" t="s">
        <v>1031</v>
      </c>
      <c r="S35" s="97">
        <v>4</v>
      </c>
      <c r="T35" s="97">
        <v>8</v>
      </c>
      <c r="U35" s="97"/>
      <c r="V35" s="114">
        <f t="shared" si="1"/>
        <v>0</v>
      </c>
      <c r="W35" s="298" t="s">
        <v>835</v>
      </c>
      <c r="X35" s="298" t="s">
        <v>1189</v>
      </c>
      <c r="Y35" s="1" t="s">
        <v>1033</v>
      </c>
      <c r="Z35" s="3" t="s">
        <v>796</v>
      </c>
      <c r="AA35" s="16" t="s">
        <v>276</v>
      </c>
      <c r="AB35" s="16" t="s">
        <v>276</v>
      </c>
      <c r="AC35" s="16" t="s">
        <v>276</v>
      </c>
      <c r="AD35" s="16" t="s">
        <v>276</v>
      </c>
    </row>
    <row r="36" spans="1:30" ht="67.900000000000006" customHeight="1">
      <c r="A36" s="301" t="s">
        <v>253</v>
      </c>
      <c r="B36" s="172">
        <v>1</v>
      </c>
      <c r="C36" s="302" t="s">
        <v>254</v>
      </c>
      <c r="D36" s="168" t="s">
        <v>327</v>
      </c>
      <c r="E36" s="252" t="s">
        <v>328</v>
      </c>
      <c r="F36" s="89" t="s">
        <v>329</v>
      </c>
      <c r="G36" s="90" t="s">
        <v>1072</v>
      </c>
      <c r="H36" s="91" t="s">
        <v>259</v>
      </c>
      <c r="I36" s="91" t="s">
        <v>281</v>
      </c>
      <c r="J36" s="92" t="str">
        <f t="shared" si="2"/>
        <v>Fomentar acords de custòdia en espais d'alt valor dins l'ENP per a la gestió dels elements prioritaris</v>
      </c>
      <c r="K36" s="92" t="s">
        <v>1055</v>
      </c>
      <c r="L36" s="60"/>
      <c r="M36" s="93" t="s">
        <v>282</v>
      </c>
      <c r="N36" s="60"/>
      <c r="O36" s="93"/>
      <c r="P36" s="90"/>
      <c r="Q36" s="90"/>
      <c r="R36" s="60"/>
      <c r="S36" s="292"/>
      <c r="T36" s="292"/>
      <c r="U36" s="292"/>
      <c r="V36" s="114">
        <f t="shared" si="1"/>
        <v>0</v>
      </c>
      <c r="W36" s="98"/>
      <c r="X36" s="98"/>
      <c r="Y36" s="305"/>
      <c r="Z36" s="303"/>
      <c r="AA36" s="303"/>
      <c r="AB36" s="303"/>
      <c r="AC36" s="304"/>
      <c r="AD36" s="3"/>
    </row>
    <row r="37" spans="1:30" ht="75">
      <c r="A37" s="25" t="s">
        <v>253</v>
      </c>
      <c r="B37" s="32">
        <v>1</v>
      </c>
      <c r="C37" s="39" t="s">
        <v>254</v>
      </c>
      <c r="D37" s="168" t="s">
        <v>327</v>
      </c>
      <c r="E37" s="252" t="s">
        <v>328</v>
      </c>
      <c r="F37" s="89" t="s">
        <v>330</v>
      </c>
      <c r="G37" s="90" t="s">
        <v>331</v>
      </c>
      <c r="H37" s="91" t="s">
        <v>259</v>
      </c>
      <c r="I37" s="91" t="s">
        <v>319</v>
      </c>
      <c r="J37" s="92" t="str">
        <f t="shared" si="2"/>
        <v>Fomentar bones pràctiques entre els col·lectius de propietaris i gestors del territori</v>
      </c>
      <c r="K37" s="93"/>
      <c r="L37" s="60" t="s">
        <v>52</v>
      </c>
      <c r="M37" s="94" t="s">
        <v>261</v>
      </c>
      <c r="O37" s="60" t="s">
        <v>1150</v>
      </c>
      <c r="P37" s="95"/>
      <c r="Q37" s="96"/>
      <c r="R37" s="103" t="s">
        <v>1270</v>
      </c>
      <c r="S37" s="97"/>
      <c r="T37" s="325" t="s">
        <v>182</v>
      </c>
      <c r="U37" s="97"/>
      <c r="V37" s="114">
        <f t="shared" si="1"/>
        <v>0</v>
      </c>
      <c r="W37" s="298" t="s">
        <v>835</v>
      </c>
      <c r="X37" s="298" t="s">
        <v>1189</v>
      </c>
      <c r="Y37" s="1" t="s">
        <v>264</v>
      </c>
      <c r="Z37" s="3" t="s">
        <v>294</v>
      </c>
      <c r="AD37" s="16" t="s">
        <v>276</v>
      </c>
    </row>
    <row r="38" spans="1:30" ht="75">
      <c r="A38" s="25" t="s">
        <v>253</v>
      </c>
      <c r="B38" s="32">
        <v>1</v>
      </c>
      <c r="C38" s="39" t="s">
        <v>254</v>
      </c>
      <c r="D38" s="168" t="s">
        <v>327</v>
      </c>
      <c r="E38" s="252" t="s">
        <v>328</v>
      </c>
      <c r="F38" s="89" t="s">
        <v>330</v>
      </c>
      <c r="G38" s="90" t="s">
        <v>331</v>
      </c>
      <c r="H38" s="91" t="s">
        <v>259</v>
      </c>
      <c r="I38" s="91" t="s">
        <v>319</v>
      </c>
      <c r="J38" s="92" t="str">
        <f t="shared" ref="J38" si="7">G38</f>
        <v>Fomentar bones pràctiques entre els col·lectius de propietaris i gestors del territori</v>
      </c>
      <c r="K38" s="93"/>
      <c r="L38" s="60" t="s">
        <v>52</v>
      </c>
      <c r="M38" s="94" t="s">
        <v>261</v>
      </c>
      <c r="O38" s="60" t="s">
        <v>1037</v>
      </c>
      <c r="P38" s="95"/>
      <c r="Q38" s="96"/>
      <c r="R38" s="103" t="s">
        <v>1270</v>
      </c>
      <c r="S38" s="97"/>
      <c r="T38" s="325" t="s">
        <v>182</v>
      </c>
      <c r="U38" s="97"/>
      <c r="V38" s="114">
        <f t="shared" si="1"/>
        <v>0</v>
      </c>
      <c r="W38" s="298" t="s">
        <v>835</v>
      </c>
      <c r="X38" s="298" t="s">
        <v>1189</v>
      </c>
      <c r="Y38" s="1" t="s">
        <v>264</v>
      </c>
      <c r="Z38" s="3" t="s">
        <v>294</v>
      </c>
      <c r="AC38" s="16" t="s">
        <v>276</v>
      </c>
    </row>
    <row r="39" spans="1:30" ht="75">
      <c r="A39" s="25" t="s">
        <v>253</v>
      </c>
      <c r="B39" s="32">
        <v>1</v>
      </c>
      <c r="C39" s="39" t="s">
        <v>254</v>
      </c>
      <c r="D39" s="168" t="s">
        <v>327</v>
      </c>
      <c r="E39" s="252" t="s">
        <v>328</v>
      </c>
      <c r="F39" s="89" t="s">
        <v>330</v>
      </c>
      <c r="G39" s="90" t="s">
        <v>331</v>
      </c>
      <c r="H39" s="91" t="s">
        <v>259</v>
      </c>
      <c r="I39" s="91" t="s">
        <v>319</v>
      </c>
      <c r="J39" s="92" t="str">
        <f t="shared" ref="J39" si="8">G39</f>
        <v>Fomentar bones pràctiques entre els col·lectius de propietaris i gestors del territori</v>
      </c>
      <c r="K39" s="93"/>
      <c r="L39" s="60" t="s">
        <v>52</v>
      </c>
      <c r="M39" s="94" t="s">
        <v>261</v>
      </c>
      <c r="O39" s="60" t="s">
        <v>1038</v>
      </c>
      <c r="P39" s="95"/>
      <c r="Q39" s="96"/>
      <c r="R39" s="103" t="s">
        <v>1270</v>
      </c>
      <c r="S39" s="97"/>
      <c r="T39" s="325" t="s">
        <v>182</v>
      </c>
      <c r="U39" s="97"/>
      <c r="V39" s="114">
        <f t="shared" si="1"/>
        <v>0</v>
      </c>
      <c r="W39" s="298" t="s">
        <v>835</v>
      </c>
      <c r="X39" s="298" t="s">
        <v>1189</v>
      </c>
      <c r="Y39" s="1" t="s">
        <v>264</v>
      </c>
      <c r="Z39" s="3" t="s">
        <v>294</v>
      </c>
      <c r="AB39" s="16" t="s">
        <v>276</v>
      </c>
    </row>
    <row r="40" spans="1:30" ht="90">
      <c r="A40" s="25" t="s">
        <v>253</v>
      </c>
      <c r="B40" s="32">
        <v>1</v>
      </c>
      <c r="C40" s="39" t="s">
        <v>254</v>
      </c>
      <c r="D40" s="176" t="s">
        <v>327</v>
      </c>
      <c r="E40" s="255" t="s">
        <v>328</v>
      </c>
      <c r="F40" s="89" t="s">
        <v>332</v>
      </c>
      <c r="G40" s="90" t="s">
        <v>333</v>
      </c>
      <c r="H40" s="91" t="s">
        <v>318</v>
      </c>
      <c r="I40" s="91" t="s">
        <v>319</v>
      </c>
      <c r="J40" s="92" t="s">
        <v>1034</v>
      </c>
      <c r="K40" s="101" t="s">
        <v>1039</v>
      </c>
      <c r="L40" s="60" t="s">
        <v>52</v>
      </c>
      <c r="M40" s="94" t="s">
        <v>282</v>
      </c>
      <c r="O40" s="60" t="s">
        <v>1035</v>
      </c>
      <c r="P40" s="95" t="s">
        <v>284</v>
      </c>
      <c r="Q40" s="96"/>
      <c r="R40" s="103" t="s">
        <v>1270</v>
      </c>
      <c r="S40" s="97"/>
      <c r="T40" s="325" t="s">
        <v>182</v>
      </c>
      <c r="U40" s="97"/>
      <c r="V40" s="114">
        <f t="shared" si="1"/>
        <v>0</v>
      </c>
      <c r="W40" s="298" t="s">
        <v>263</v>
      </c>
      <c r="X40" s="298" t="str">
        <f>IF(W40=Llistes!$B$18,Llistes!$D$18,IF(W40=Llistes!$B$20,Llistes!$D$20,IF(W40=Llistes!$B$22,Llistes!$D$22,IF(W40=Llistes!$B$23,Llistes!$D$23,IF(W40=Llistes!$B$24,Llistes!$D$24,IF(W40=Llistes!$B$28,Llistes!$D$28))))))</f>
        <v>Tècnic coordinador</v>
      </c>
      <c r="Y40" s="1" t="s">
        <v>1036</v>
      </c>
      <c r="Z40" s="3" t="s">
        <v>265</v>
      </c>
      <c r="AA40" s="16" t="s">
        <v>276</v>
      </c>
      <c r="AB40" s="16" t="s">
        <v>276</v>
      </c>
      <c r="AC40" s="16" t="s">
        <v>276</v>
      </c>
      <c r="AD40" s="16" t="s">
        <v>276</v>
      </c>
    </row>
    <row r="41" spans="1:30" ht="60">
      <c r="A41" s="25" t="s">
        <v>253</v>
      </c>
      <c r="B41" s="172">
        <v>2</v>
      </c>
      <c r="C41" s="173" t="s">
        <v>334</v>
      </c>
      <c r="D41" s="167" t="s">
        <v>335</v>
      </c>
      <c r="E41" s="257" t="s">
        <v>336</v>
      </c>
      <c r="F41" s="89" t="s">
        <v>337</v>
      </c>
      <c r="G41" s="90" t="s">
        <v>338</v>
      </c>
      <c r="H41" s="91" t="s">
        <v>259</v>
      </c>
      <c r="I41" s="91" t="s">
        <v>260</v>
      </c>
      <c r="J41" s="92" t="str">
        <f t="shared" si="2"/>
        <v>Adaptar i implementar el Pla d'adaptació de l'ENP al canvi climàtic</v>
      </c>
      <c r="K41" s="93"/>
      <c r="L41" s="60" t="s">
        <v>52</v>
      </c>
      <c r="M41" s="94" t="s">
        <v>261</v>
      </c>
      <c r="O41" s="60" t="s">
        <v>1195</v>
      </c>
      <c r="P41" s="95"/>
      <c r="Q41" s="96" t="s">
        <v>339</v>
      </c>
      <c r="R41" s="103" t="s">
        <v>1270</v>
      </c>
      <c r="S41" s="97"/>
      <c r="T41" s="325" t="s">
        <v>182</v>
      </c>
      <c r="U41" s="97"/>
      <c r="V41" s="114">
        <f t="shared" si="1"/>
        <v>0</v>
      </c>
      <c r="W41" s="298" t="s">
        <v>835</v>
      </c>
      <c r="X41" s="298" t="s">
        <v>1189</v>
      </c>
      <c r="Y41" s="1" t="s">
        <v>264</v>
      </c>
      <c r="Z41" s="3" t="s">
        <v>265</v>
      </c>
      <c r="AD41" s="16" t="s">
        <v>276</v>
      </c>
    </row>
    <row r="42" spans="1:30" ht="60">
      <c r="A42" s="25" t="s">
        <v>253</v>
      </c>
      <c r="B42" s="32">
        <v>2</v>
      </c>
      <c r="C42" s="174" t="s">
        <v>334</v>
      </c>
      <c r="D42" s="168" t="s">
        <v>335</v>
      </c>
      <c r="E42" s="258" t="s">
        <v>336</v>
      </c>
      <c r="F42" s="89" t="s">
        <v>340</v>
      </c>
      <c r="G42" s="90" t="s">
        <v>341</v>
      </c>
      <c r="H42" s="91" t="s">
        <v>259</v>
      </c>
      <c r="I42" s="91" t="s">
        <v>281</v>
      </c>
      <c r="J42" s="92" t="str">
        <f t="shared" si="2"/>
        <v>Gestionar i planificar els recursos hídrics de l'ENP</v>
      </c>
      <c r="K42" s="93"/>
      <c r="L42" s="60" t="s">
        <v>52</v>
      </c>
      <c r="M42" s="94" t="s">
        <v>261</v>
      </c>
      <c r="O42" s="60" t="s">
        <v>1149</v>
      </c>
      <c r="P42" s="95"/>
      <c r="Q42" s="96"/>
      <c r="R42" s="288" t="s">
        <v>291</v>
      </c>
      <c r="S42" s="97">
        <v>4</v>
      </c>
      <c r="T42" s="97">
        <v>8</v>
      </c>
      <c r="U42" s="97"/>
      <c r="V42" s="114">
        <f t="shared" si="1"/>
        <v>0</v>
      </c>
      <c r="W42" s="298" t="s">
        <v>263</v>
      </c>
      <c r="X42" s="298" t="str">
        <f>IF(W42=Llistes!$B$18,Llistes!$D$18,IF(W42=Llistes!$B$20,Llistes!$D$20,IF(W42=Llistes!$B$22,Llistes!$D$22,IF(W42=Llistes!$B$23,Llistes!$D$23,IF(W42=Llistes!$B$24,Llistes!$D$24,IF(W42=Llistes!$B$28,Llistes!$D$28))))))</f>
        <v>Tècnic coordinador</v>
      </c>
      <c r="Y42" s="1" t="s">
        <v>275</v>
      </c>
      <c r="Z42" s="3" t="s">
        <v>265</v>
      </c>
      <c r="AA42" s="16" t="s">
        <v>276</v>
      </c>
      <c r="AB42" s="16" t="s">
        <v>276</v>
      </c>
      <c r="AC42" s="16" t="s">
        <v>276</v>
      </c>
      <c r="AD42" s="16" t="s">
        <v>276</v>
      </c>
    </row>
    <row r="43" spans="1:30" ht="60">
      <c r="A43" s="25" t="s">
        <v>253</v>
      </c>
      <c r="B43" s="32">
        <v>2</v>
      </c>
      <c r="C43" s="174" t="s">
        <v>334</v>
      </c>
      <c r="D43" s="168" t="s">
        <v>335</v>
      </c>
      <c r="E43" s="256" t="s">
        <v>336</v>
      </c>
      <c r="F43" s="89" t="s">
        <v>342</v>
      </c>
      <c r="G43" s="90" t="s">
        <v>343</v>
      </c>
      <c r="H43" s="91" t="s">
        <v>318</v>
      </c>
      <c r="I43" s="91" t="s">
        <v>319</v>
      </c>
      <c r="J43" s="92" t="str">
        <f t="shared" si="2"/>
        <v>Participar en la redacció i execució dels instruments d'ordenació forestal sostenible i per la conservació en finques públiques</v>
      </c>
      <c r="K43" s="93"/>
      <c r="L43" s="60" t="s">
        <v>52</v>
      </c>
      <c r="M43" s="94" t="s">
        <v>274</v>
      </c>
      <c r="O43" s="60" t="s">
        <v>1041</v>
      </c>
      <c r="P43" s="95"/>
      <c r="Q43" s="96" t="s">
        <v>344</v>
      </c>
      <c r="R43" s="103" t="s">
        <v>1270</v>
      </c>
      <c r="S43" s="97"/>
      <c r="T43" s="325" t="s">
        <v>182</v>
      </c>
      <c r="U43" s="97"/>
      <c r="V43" s="114">
        <f t="shared" si="1"/>
        <v>0</v>
      </c>
      <c r="W43" s="298" t="s">
        <v>835</v>
      </c>
      <c r="X43" s="298" t="s">
        <v>1189</v>
      </c>
      <c r="Y43" s="1" t="s">
        <v>264</v>
      </c>
      <c r="Z43" s="3" t="s">
        <v>265</v>
      </c>
      <c r="AB43" s="16" t="s">
        <v>276</v>
      </c>
    </row>
    <row r="44" spans="1:30" ht="60">
      <c r="A44" s="25" t="s">
        <v>253</v>
      </c>
      <c r="B44" s="32">
        <v>2</v>
      </c>
      <c r="C44" s="174" t="s">
        <v>334</v>
      </c>
      <c r="D44" s="168" t="s">
        <v>335</v>
      </c>
      <c r="E44" s="256" t="s">
        <v>336</v>
      </c>
      <c r="F44" s="89" t="s">
        <v>342</v>
      </c>
      <c r="G44" s="90" t="s">
        <v>343</v>
      </c>
      <c r="H44" s="91" t="s">
        <v>318</v>
      </c>
      <c r="I44" s="91" t="s">
        <v>319</v>
      </c>
      <c r="J44" s="92" t="str">
        <f t="shared" ref="J44" si="9">G44</f>
        <v>Participar en la redacció i execució dels instruments d'ordenació forestal sostenible i per la conservació en finques públiques</v>
      </c>
      <c r="K44" s="93"/>
      <c r="L44" s="60" t="s">
        <v>52</v>
      </c>
      <c r="M44" s="94" t="s">
        <v>274</v>
      </c>
      <c r="O44" s="60" t="s">
        <v>1040</v>
      </c>
      <c r="P44" s="95"/>
      <c r="Q44" s="96" t="s">
        <v>344</v>
      </c>
      <c r="R44" s="103" t="s">
        <v>1270</v>
      </c>
      <c r="S44" s="97"/>
      <c r="T44" s="325" t="s">
        <v>182</v>
      </c>
      <c r="U44" s="97"/>
      <c r="V44" s="114">
        <f t="shared" si="1"/>
        <v>0</v>
      </c>
      <c r="W44" s="298" t="s">
        <v>835</v>
      </c>
      <c r="X44" s="298" t="s">
        <v>1189</v>
      </c>
      <c r="Y44" s="1" t="s">
        <v>264</v>
      </c>
      <c r="Z44" s="3" t="s">
        <v>265</v>
      </c>
      <c r="AC44" s="16" t="s">
        <v>276</v>
      </c>
    </row>
    <row r="45" spans="1:30" ht="60">
      <c r="A45" s="25" t="s">
        <v>253</v>
      </c>
      <c r="B45" s="32">
        <v>2</v>
      </c>
      <c r="C45" s="174" t="s">
        <v>334</v>
      </c>
      <c r="D45" s="167" t="s">
        <v>347</v>
      </c>
      <c r="E45" s="226" t="s">
        <v>348</v>
      </c>
      <c r="F45" s="89" t="s">
        <v>349</v>
      </c>
      <c r="G45" s="90" t="s">
        <v>350</v>
      </c>
      <c r="H45" s="91" t="s">
        <v>259</v>
      </c>
      <c r="I45" s="91" t="s">
        <v>260</v>
      </c>
      <c r="J45" s="92" t="str">
        <f t="shared" si="2"/>
        <v xml:space="preserve">Redactar i implementar el Pla de Prevenció d'Incendis </v>
      </c>
      <c r="K45" s="93" t="s">
        <v>1042</v>
      </c>
      <c r="L45" s="60"/>
      <c r="M45" s="94" t="s">
        <v>261</v>
      </c>
      <c r="O45" s="60"/>
      <c r="P45" s="95" t="s">
        <v>284</v>
      </c>
      <c r="Q45" s="96" t="s">
        <v>351</v>
      </c>
      <c r="R45" s="288"/>
      <c r="S45" s="97"/>
      <c r="T45" s="97"/>
      <c r="U45" s="97"/>
      <c r="V45" s="114">
        <f t="shared" si="1"/>
        <v>0</v>
      </c>
      <c r="W45" s="298"/>
      <c r="X45" s="298"/>
    </row>
    <row r="46" spans="1:30" ht="60">
      <c r="A46" s="25" t="s">
        <v>253</v>
      </c>
      <c r="B46" s="32">
        <v>2</v>
      </c>
      <c r="C46" s="174" t="s">
        <v>334</v>
      </c>
      <c r="D46" s="167" t="s">
        <v>347</v>
      </c>
      <c r="E46" s="226" t="s">
        <v>348</v>
      </c>
      <c r="F46" s="89" t="s">
        <v>352</v>
      </c>
      <c r="G46" s="90" t="s">
        <v>1073</v>
      </c>
      <c r="H46" s="91" t="s">
        <v>318</v>
      </c>
      <c r="I46" s="91" t="s">
        <v>281</v>
      </c>
      <c r="J46" s="92" t="str">
        <f t="shared" si="2"/>
        <v>Definir i planificar la gestió del foc per a la millora de l'ENP</v>
      </c>
      <c r="K46" s="92" t="s">
        <v>1055</v>
      </c>
      <c r="L46" s="60"/>
      <c r="M46" s="94" t="s">
        <v>261</v>
      </c>
      <c r="O46" s="60"/>
      <c r="P46" s="95"/>
      <c r="Q46" s="96"/>
      <c r="R46" s="288"/>
      <c r="S46" s="97"/>
      <c r="T46" s="97"/>
      <c r="U46" s="97"/>
      <c r="V46" s="114">
        <f t="shared" si="1"/>
        <v>0</v>
      </c>
      <c r="W46" s="298"/>
      <c r="X46" s="298"/>
    </row>
    <row r="47" spans="1:30" ht="60">
      <c r="A47" s="25" t="s">
        <v>253</v>
      </c>
      <c r="B47" s="33">
        <v>2</v>
      </c>
      <c r="C47" s="203" t="s">
        <v>334</v>
      </c>
      <c r="D47" s="176" t="s">
        <v>347</v>
      </c>
      <c r="E47" s="249" t="s">
        <v>348</v>
      </c>
      <c r="F47" s="89" t="s">
        <v>353</v>
      </c>
      <c r="G47" s="90" t="s">
        <v>354</v>
      </c>
      <c r="H47" s="91" t="s">
        <v>259</v>
      </c>
      <c r="I47" s="91" t="s">
        <v>260</v>
      </c>
      <c r="J47" s="92" t="str">
        <f t="shared" si="2"/>
        <v>Treballar per a la prevenció d'incendis juntament amb els propietaris, ajuntaments, protecció civil, ADF i bombers.</v>
      </c>
      <c r="K47" s="93"/>
      <c r="L47" s="60" t="s">
        <v>52</v>
      </c>
      <c r="M47" s="94" t="s">
        <v>274</v>
      </c>
      <c r="O47" s="60" t="s">
        <v>1196</v>
      </c>
      <c r="P47" s="95"/>
      <c r="Q47" s="96"/>
      <c r="R47" s="288" t="s">
        <v>1045</v>
      </c>
      <c r="S47" s="97">
        <v>2</v>
      </c>
      <c r="T47" s="97">
        <v>4</v>
      </c>
      <c r="U47" s="97"/>
      <c r="V47" s="114">
        <f t="shared" si="1"/>
        <v>0</v>
      </c>
      <c r="W47" s="298" t="s">
        <v>766</v>
      </c>
      <c r="X47" s="298" t="str">
        <f>IF(W47=Llistes!$B$18,Llistes!$D$18,IF(W47=Llistes!$B$20,Llistes!$D$20,IF(W47=Llistes!$B$22,Llistes!$D$22,IF(W47=Llistes!$B$23,Llistes!$D$23,IF(W47=Llistes!$B$24,Llistes!$D$24,IF(W47=Llistes!$B$28,Llistes!$D$28))))))</f>
        <v>Director</v>
      </c>
      <c r="Y47" s="1" t="s">
        <v>275</v>
      </c>
      <c r="Z47" s="3" t="s">
        <v>265</v>
      </c>
      <c r="AA47" s="16" t="s">
        <v>276</v>
      </c>
      <c r="AB47" s="16" t="s">
        <v>276</v>
      </c>
      <c r="AC47" s="16" t="s">
        <v>276</v>
      </c>
      <c r="AD47" s="16" t="s">
        <v>276</v>
      </c>
    </row>
    <row r="48" spans="1:30" ht="45" customHeight="1">
      <c r="A48" s="25" t="s">
        <v>253</v>
      </c>
      <c r="B48" s="172">
        <v>3</v>
      </c>
      <c r="C48" s="173" t="s">
        <v>355</v>
      </c>
      <c r="D48" s="167" t="s">
        <v>356</v>
      </c>
      <c r="E48" s="166" t="s">
        <v>357</v>
      </c>
      <c r="F48" s="89" t="s">
        <v>358</v>
      </c>
      <c r="G48" s="90" t="s">
        <v>1143</v>
      </c>
      <c r="H48" s="91" t="s">
        <v>259</v>
      </c>
      <c r="I48" s="91" t="s">
        <v>281</v>
      </c>
      <c r="J48" s="92" t="str">
        <f t="shared" si="2"/>
        <v>Participar en les consultes dels processos d'Avaluació Ambiental que afectin directament o indirectament l’espai del ENP</v>
      </c>
      <c r="K48" s="93"/>
      <c r="L48" s="98" t="s">
        <v>52</v>
      </c>
      <c r="M48" s="94" t="s">
        <v>274</v>
      </c>
      <c r="O48" s="60" t="s">
        <v>1197</v>
      </c>
      <c r="P48" s="95"/>
      <c r="Q48" s="96"/>
      <c r="R48" s="103" t="s">
        <v>1270</v>
      </c>
      <c r="S48" s="97"/>
      <c r="T48" s="325" t="s">
        <v>182</v>
      </c>
      <c r="U48" s="97"/>
      <c r="V48" s="114">
        <f t="shared" si="1"/>
        <v>0</v>
      </c>
      <c r="W48" s="298" t="s">
        <v>263</v>
      </c>
      <c r="X48" s="298" t="str">
        <f>IF(W48=Llistes!$B$18,Llistes!$D$18,IF(W48=Llistes!$B$20,Llistes!$D$20,IF(W48=Llistes!$B$22,Llistes!$D$22,IF(W48=Llistes!$B$23,Llistes!$D$23,IF(W48=Llistes!$B$24,Llistes!$D$24,IF(W48=Llistes!$B$28,Llistes!$D$28))))))</f>
        <v>Tècnic coordinador</v>
      </c>
      <c r="Y48" s="1" t="s">
        <v>275</v>
      </c>
      <c r="Z48" s="3" t="s">
        <v>265</v>
      </c>
      <c r="AA48" s="16" t="s">
        <v>276</v>
      </c>
      <c r="AB48" s="16" t="s">
        <v>276</v>
      </c>
      <c r="AC48" s="16" t="s">
        <v>276</v>
      </c>
      <c r="AD48" s="16" t="s">
        <v>276</v>
      </c>
    </row>
    <row r="49" spans="1:30" ht="60">
      <c r="A49" s="25" t="s">
        <v>253</v>
      </c>
      <c r="B49" s="32">
        <v>3</v>
      </c>
      <c r="C49" s="174" t="s">
        <v>355</v>
      </c>
      <c r="D49" s="168" t="s">
        <v>356</v>
      </c>
      <c r="E49" s="258" t="s">
        <v>357</v>
      </c>
      <c r="F49" s="89" t="s">
        <v>359</v>
      </c>
      <c r="G49" s="90" t="s">
        <v>360</v>
      </c>
      <c r="H49" s="91" t="s">
        <v>259</v>
      </c>
      <c r="I49" s="91" t="s">
        <v>281</v>
      </c>
      <c r="J49" s="92" t="str">
        <f t="shared" si="2"/>
        <v>Exercir un seguiment efectiu de les obres al Parc juntament amb les Oficines Territorials d'Acció i Avaluació Ambiental als efectes d'assegurar la correcta translació de la tutela administrativa.</v>
      </c>
      <c r="K49" s="93"/>
      <c r="L49" s="60" t="s">
        <v>52</v>
      </c>
      <c r="M49" s="94" t="s">
        <v>274</v>
      </c>
      <c r="O49" s="60" t="s">
        <v>1198</v>
      </c>
      <c r="P49" s="95"/>
      <c r="Q49" s="96"/>
      <c r="R49" s="288" t="s">
        <v>1043</v>
      </c>
      <c r="S49" s="97">
        <v>1</v>
      </c>
      <c r="T49" s="97">
        <v>4</v>
      </c>
      <c r="U49" s="97"/>
      <c r="V49" s="114">
        <f t="shared" si="1"/>
        <v>0</v>
      </c>
      <c r="W49" s="298" t="s">
        <v>263</v>
      </c>
      <c r="X49" s="298" t="str">
        <f>IF(W49=Llistes!$B$18,Llistes!$D$18,IF(W49=Llistes!$B$20,Llistes!$D$20,IF(W49=Llistes!$B$22,Llistes!$D$22,IF(W49=Llistes!$B$23,Llistes!$D$23,IF(W49=Llistes!$B$24,Llistes!$D$24,IF(W49=Llistes!$B$28,Llistes!$D$28))))))</f>
        <v>Tècnic coordinador</v>
      </c>
      <c r="Y49" s="1" t="s">
        <v>275</v>
      </c>
      <c r="Z49" s="3" t="s">
        <v>265</v>
      </c>
      <c r="AA49" s="16" t="s">
        <v>276</v>
      </c>
      <c r="AB49" s="16" t="s">
        <v>276</v>
      </c>
      <c r="AC49" s="16" t="s">
        <v>276</v>
      </c>
      <c r="AD49" s="16" t="s">
        <v>276</v>
      </c>
    </row>
    <row r="50" spans="1:30" ht="60">
      <c r="A50" s="25" t="s">
        <v>253</v>
      </c>
      <c r="B50" s="32">
        <v>3</v>
      </c>
      <c r="C50" s="174" t="s">
        <v>355</v>
      </c>
      <c r="D50" s="176" t="s">
        <v>356</v>
      </c>
      <c r="E50" s="259" t="s">
        <v>357</v>
      </c>
      <c r="F50" s="89" t="s">
        <v>361</v>
      </c>
      <c r="G50" s="90" t="s">
        <v>362</v>
      </c>
      <c r="H50" s="91" t="s">
        <v>259</v>
      </c>
      <c r="I50" s="91" t="s">
        <v>319</v>
      </c>
      <c r="J50" s="92" t="str">
        <f t="shared" si="2"/>
        <v>Participar en la compensació d'impactes residuals durant els processos d'avaluació ambiental mitjançant la identificació de necessitats d'actuació prioritària dins i fora dels límits de l’ENP</v>
      </c>
      <c r="K50" s="93" t="s">
        <v>1044</v>
      </c>
      <c r="L50" s="60"/>
      <c r="M50" s="94" t="s">
        <v>274</v>
      </c>
      <c r="O50" s="60"/>
      <c r="P50" s="95"/>
      <c r="Q50" s="96"/>
      <c r="R50" s="288"/>
      <c r="S50" s="97"/>
      <c r="T50" s="97"/>
      <c r="U50" s="97"/>
      <c r="V50" s="114">
        <f t="shared" si="1"/>
        <v>0</v>
      </c>
      <c r="W50" s="298"/>
      <c r="X50" s="298"/>
    </row>
    <row r="51" spans="1:30" ht="120">
      <c r="A51" s="25" t="s">
        <v>253</v>
      </c>
      <c r="B51" s="32">
        <v>3</v>
      </c>
      <c r="C51" s="174" t="s">
        <v>355</v>
      </c>
      <c r="D51" s="12" t="s">
        <v>363</v>
      </c>
      <c r="E51" s="73" t="s">
        <v>364</v>
      </c>
      <c r="F51" s="89" t="s">
        <v>365</v>
      </c>
      <c r="G51" s="90" t="s">
        <v>366</v>
      </c>
      <c r="H51" s="91" t="s">
        <v>259</v>
      </c>
      <c r="I51" s="89" t="s">
        <v>281</v>
      </c>
      <c r="J51" s="92" t="str">
        <f t="shared" si="2"/>
        <v>Participar en l'elaboració dels instruments de planificació de l'ENP</v>
      </c>
      <c r="K51" s="101" t="s">
        <v>1046</v>
      </c>
      <c r="L51" s="60" t="s">
        <v>52</v>
      </c>
      <c r="M51" s="94" t="s">
        <v>282</v>
      </c>
      <c r="O51" s="60" t="s">
        <v>1199</v>
      </c>
      <c r="P51" s="95"/>
      <c r="Q51" s="96" t="s">
        <v>367</v>
      </c>
      <c r="R51" s="288" t="s">
        <v>1045</v>
      </c>
      <c r="S51" s="97">
        <v>1</v>
      </c>
      <c r="T51" s="284">
        <v>4</v>
      </c>
      <c r="U51" s="97"/>
      <c r="V51" s="114">
        <f t="shared" si="1"/>
        <v>0</v>
      </c>
      <c r="W51" s="298" t="s">
        <v>766</v>
      </c>
      <c r="X51" s="298" t="str">
        <f>IF(W51=Llistes!$B$18,Llistes!$D$18,IF(W51=Llistes!$B$20,Llistes!$D$20,IF(W51=Llistes!$B$22,Llistes!$D$22,IF(W51=Llistes!$B$23,Llistes!$D$23,IF(W51=Llistes!$B$24,Llistes!$D$24,IF(W51=Llistes!$B$28,Llistes!$D$28))))))</f>
        <v>Director</v>
      </c>
      <c r="Y51" s="1" t="s">
        <v>275</v>
      </c>
      <c r="Z51" s="3" t="s">
        <v>265</v>
      </c>
      <c r="AA51" s="16" t="s">
        <v>276</v>
      </c>
      <c r="AB51" s="16" t="s">
        <v>276</v>
      </c>
      <c r="AC51" s="16" t="s">
        <v>276</v>
      </c>
      <c r="AD51" s="16" t="s">
        <v>276</v>
      </c>
    </row>
    <row r="52" spans="1:30" ht="60">
      <c r="A52" s="25" t="s">
        <v>253</v>
      </c>
      <c r="B52" s="32">
        <v>3</v>
      </c>
      <c r="C52" s="174" t="s">
        <v>355</v>
      </c>
      <c r="D52" s="167" t="s">
        <v>368</v>
      </c>
      <c r="E52" s="226" t="s">
        <v>369</v>
      </c>
      <c r="F52" s="89" t="s">
        <v>370</v>
      </c>
      <c r="G52" s="90" t="s">
        <v>371</v>
      </c>
      <c r="H52" s="91" t="s">
        <v>318</v>
      </c>
      <c r="I52" s="91" t="s">
        <v>281</v>
      </c>
      <c r="J52" s="92" t="s">
        <v>1047</v>
      </c>
      <c r="K52" s="93" t="s">
        <v>1048</v>
      </c>
      <c r="L52" s="60" t="s">
        <v>53</v>
      </c>
      <c r="M52" s="94" t="s">
        <v>261</v>
      </c>
      <c r="O52" s="60" t="s">
        <v>1200</v>
      </c>
      <c r="P52" s="95" t="s">
        <v>284</v>
      </c>
      <c r="Q52" s="96" t="s">
        <v>372</v>
      </c>
      <c r="R52" s="288" t="s">
        <v>1045</v>
      </c>
      <c r="S52" s="97">
        <v>1</v>
      </c>
      <c r="T52" s="97">
        <v>4</v>
      </c>
      <c r="U52" s="97"/>
      <c r="V52" s="114">
        <f t="shared" si="1"/>
        <v>0</v>
      </c>
      <c r="W52" s="298" t="s">
        <v>263</v>
      </c>
      <c r="X52" s="298" t="str">
        <f>IF(W52=Llistes!$B$18,Llistes!$D$18,IF(W52=Llistes!$B$20,Llistes!$D$20,IF(W52=Llistes!$B$22,Llistes!$D$22,IF(W52=Llistes!$B$23,Llistes!$D$23,IF(W52=Llistes!$B$24,Llistes!$D$24,IF(W52=Llistes!$B$28,Llistes!$D$28))))))</f>
        <v>Tècnic coordinador</v>
      </c>
      <c r="Y52" s="1" t="s">
        <v>275</v>
      </c>
      <c r="Z52" s="3" t="s">
        <v>265</v>
      </c>
      <c r="AA52" s="16" t="s">
        <v>276</v>
      </c>
      <c r="AB52" s="16" t="s">
        <v>276</v>
      </c>
      <c r="AC52" s="16" t="s">
        <v>276</v>
      </c>
      <c r="AD52" s="16" t="s">
        <v>276</v>
      </c>
    </row>
    <row r="53" spans="1:30" ht="60">
      <c r="A53" s="25" t="s">
        <v>253</v>
      </c>
      <c r="B53" s="32">
        <v>3</v>
      </c>
      <c r="C53" s="174" t="s">
        <v>355</v>
      </c>
      <c r="D53" s="167" t="s">
        <v>368</v>
      </c>
      <c r="E53" s="226" t="s">
        <v>369</v>
      </c>
      <c r="F53" s="89" t="s">
        <v>370</v>
      </c>
      <c r="G53" s="90" t="s">
        <v>371</v>
      </c>
      <c r="H53" s="91" t="s">
        <v>318</v>
      </c>
      <c r="I53" s="91" t="s">
        <v>281</v>
      </c>
      <c r="J53" s="92" t="s">
        <v>1047</v>
      </c>
      <c r="K53" s="93" t="s">
        <v>1048</v>
      </c>
      <c r="L53" s="60" t="s">
        <v>52</v>
      </c>
      <c r="M53" s="94" t="s">
        <v>261</v>
      </c>
      <c r="O53" s="60" t="s">
        <v>1201</v>
      </c>
      <c r="P53" s="95" t="s">
        <v>284</v>
      </c>
      <c r="Q53" s="96" t="s">
        <v>372</v>
      </c>
      <c r="R53" s="103" t="s">
        <v>1270</v>
      </c>
      <c r="S53" s="97"/>
      <c r="T53" s="325" t="s">
        <v>1049</v>
      </c>
      <c r="U53" s="97"/>
      <c r="V53" s="114">
        <f t="shared" si="1"/>
        <v>0</v>
      </c>
      <c r="W53" s="298" t="s">
        <v>835</v>
      </c>
      <c r="X53" s="298" t="s">
        <v>1189</v>
      </c>
      <c r="Y53" s="1" t="s">
        <v>275</v>
      </c>
      <c r="Z53" s="3" t="s">
        <v>265</v>
      </c>
      <c r="AA53" s="16" t="s">
        <v>276</v>
      </c>
      <c r="AB53" s="16" t="s">
        <v>276</v>
      </c>
      <c r="AC53" s="16" t="s">
        <v>276</v>
      </c>
      <c r="AD53" s="16" t="s">
        <v>276</v>
      </c>
    </row>
    <row r="54" spans="1:30" ht="60">
      <c r="A54" s="25"/>
      <c r="B54" s="32"/>
      <c r="C54" s="174" t="s">
        <v>355</v>
      </c>
      <c r="D54" s="167" t="s">
        <v>368</v>
      </c>
      <c r="E54" s="226" t="s">
        <v>369</v>
      </c>
      <c r="F54" s="89" t="s">
        <v>912</v>
      </c>
      <c r="G54" s="90" t="s">
        <v>1144</v>
      </c>
      <c r="H54" s="91" t="s">
        <v>318</v>
      </c>
      <c r="I54" s="91" t="s">
        <v>346</v>
      </c>
      <c r="J54" s="92"/>
      <c r="K54" s="93" t="s">
        <v>1044</v>
      </c>
      <c r="L54" s="60"/>
      <c r="M54" s="94"/>
      <c r="O54" s="60"/>
      <c r="P54" s="95"/>
      <c r="Q54" s="96"/>
      <c r="R54" s="288"/>
      <c r="S54" s="97"/>
      <c r="T54" s="97"/>
      <c r="U54" s="97"/>
      <c r="V54" s="114">
        <f t="shared" si="1"/>
        <v>0</v>
      </c>
      <c r="W54" s="298"/>
      <c r="X54" s="298"/>
    </row>
    <row r="55" spans="1:30" ht="60">
      <c r="A55" s="25" t="s">
        <v>253</v>
      </c>
      <c r="B55" s="32">
        <v>3</v>
      </c>
      <c r="C55" s="174" t="s">
        <v>355</v>
      </c>
      <c r="D55" s="168" t="s">
        <v>368</v>
      </c>
      <c r="E55" s="252" t="s">
        <v>369</v>
      </c>
      <c r="F55" s="89" t="s">
        <v>373</v>
      </c>
      <c r="G55" s="90" t="s">
        <v>374</v>
      </c>
      <c r="H55" s="91" t="s">
        <v>318</v>
      </c>
      <c r="I55" s="91" t="s">
        <v>319</v>
      </c>
      <c r="J55" s="92" t="str">
        <f t="shared" si="2"/>
        <v>Avaluar i controlar les actuacions que produeixin drenatges, captacions o que puguin impedir l’arribada d’aigua tant superficial com freàtica</v>
      </c>
      <c r="K55" s="93"/>
      <c r="L55" s="60" t="s">
        <v>52</v>
      </c>
      <c r="M55" s="94" t="s">
        <v>261</v>
      </c>
      <c r="O55" s="60" t="s">
        <v>1202</v>
      </c>
      <c r="P55" s="95"/>
      <c r="Q55" s="96"/>
      <c r="R55" s="103" t="s">
        <v>1270</v>
      </c>
      <c r="S55" s="97"/>
      <c r="T55" s="325" t="s">
        <v>182</v>
      </c>
      <c r="U55" s="97"/>
      <c r="V55" s="114">
        <f t="shared" si="1"/>
        <v>0</v>
      </c>
      <c r="W55" s="298" t="s">
        <v>835</v>
      </c>
      <c r="X55" s="298" t="s">
        <v>1189</v>
      </c>
      <c r="Y55" s="1" t="s">
        <v>275</v>
      </c>
      <c r="Z55" s="3" t="s">
        <v>265</v>
      </c>
      <c r="AC55" s="16" t="s">
        <v>276</v>
      </c>
    </row>
    <row r="56" spans="1:30" ht="60">
      <c r="A56" s="25" t="s">
        <v>253</v>
      </c>
      <c r="B56" s="32">
        <v>3</v>
      </c>
      <c r="C56" s="174" t="s">
        <v>355</v>
      </c>
      <c r="D56" s="176" t="s">
        <v>368</v>
      </c>
      <c r="E56" s="255" t="s">
        <v>369</v>
      </c>
      <c r="F56" s="89" t="s">
        <v>375</v>
      </c>
      <c r="G56" s="90" t="s">
        <v>376</v>
      </c>
      <c r="H56" s="91" t="s">
        <v>318</v>
      </c>
      <c r="I56" s="91" t="s">
        <v>319</v>
      </c>
      <c r="J56" s="92" t="str">
        <f t="shared" si="2"/>
        <v>Vetllar pel compliment de la normativa de depuració dels efluents agroramaders, urbans i industrials que s'aboquen als cursos fluvials</v>
      </c>
      <c r="K56" s="93"/>
      <c r="L56" s="60" t="s">
        <v>52</v>
      </c>
      <c r="M56" s="94" t="s">
        <v>261</v>
      </c>
      <c r="O56" s="60" t="s">
        <v>1050</v>
      </c>
      <c r="P56" s="95"/>
      <c r="Q56" s="96"/>
      <c r="R56" s="103" t="s">
        <v>1270</v>
      </c>
      <c r="S56" s="97"/>
      <c r="T56" s="325" t="s">
        <v>182</v>
      </c>
      <c r="U56" s="97"/>
      <c r="V56" s="114">
        <f t="shared" si="1"/>
        <v>0</v>
      </c>
      <c r="W56" s="298" t="s">
        <v>835</v>
      </c>
      <c r="X56" s="298" t="s">
        <v>1189</v>
      </c>
      <c r="Y56" s="1" t="s">
        <v>275</v>
      </c>
      <c r="Z56" s="3" t="s">
        <v>265</v>
      </c>
      <c r="AD56" s="16" t="s">
        <v>276</v>
      </c>
    </row>
    <row r="57" spans="1:30" ht="60">
      <c r="A57" s="25" t="s">
        <v>253</v>
      </c>
      <c r="B57" s="32">
        <v>3</v>
      </c>
      <c r="C57" s="174" t="s">
        <v>355</v>
      </c>
      <c r="D57" s="167" t="s">
        <v>377</v>
      </c>
      <c r="E57" s="226" t="s">
        <v>378</v>
      </c>
      <c r="F57" s="89" t="s">
        <v>379</v>
      </c>
      <c r="G57" s="90" t="s">
        <v>380</v>
      </c>
      <c r="H57" s="91" t="s">
        <v>259</v>
      </c>
      <c r="I57" s="91" t="s">
        <v>319</v>
      </c>
      <c r="J57" s="92" t="str">
        <f t="shared" si="2"/>
        <v xml:space="preserve">Identificar espais prioritaris per a la compra de terrenys de més valor dins l'ENP </v>
      </c>
      <c r="K57" s="93"/>
      <c r="L57" s="60" t="s">
        <v>52</v>
      </c>
      <c r="M57" s="94" t="s">
        <v>261</v>
      </c>
      <c r="O57" s="60" t="s">
        <v>1051</v>
      </c>
      <c r="P57" s="95"/>
      <c r="Q57" s="96" t="s">
        <v>381</v>
      </c>
      <c r="R57" s="103" t="s">
        <v>1270</v>
      </c>
      <c r="S57" s="97"/>
      <c r="T57" s="325" t="s">
        <v>182</v>
      </c>
      <c r="U57" s="97"/>
      <c r="V57" s="114">
        <f t="shared" si="1"/>
        <v>0</v>
      </c>
      <c r="W57" s="298" t="s">
        <v>835</v>
      </c>
      <c r="X57" s="298" t="s">
        <v>1189</v>
      </c>
      <c r="Y57" s="1" t="s">
        <v>275</v>
      </c>
      <c r="Z57" s="3" t="s">
        <v>265</v>
      </c>
      <c r="AB57" s="16" t="s">
        <v>276</v>
      </c>
    </row>
    <row r="58" spans="1:30" ht="60">
      <c r="A58" s="25" t="s">
        <v>253</v>
      </c>
      <c r="B58" s="32">
        <v>3</v>
      </c>
      <c r="C58" s="203" t="s">
        <v>355</v>
      </c>
      <c r="D58" s="176" t="s">
        <v>377</v>
      </c>
      <c r="E58" s="249" t="s">
        <v>378</v>
      </c>
      <c r="F58" s="89" t="s">
        <v>382</v>
      </c>
      <c r="G58" s="90" t="s">
        <v>383</v>
      </c>
      <c r="H58" s="91" t="s">
        <v>259</v>
      </c>
      <c r="I58" s="91" t="s">
        <v>346</v>
      </c>
      <c r="J58" s="92" t="str">
        <f t="shared" si="2"/>
        <v>Identificar espais prioritaris per a la gestió directa</v>
      </c>
      <c r="K58" s="93"/>
      <c r="L58" s="60" t="s">
        <v>52</v>
      </c>
      <c r="M58" s="94" t="s">
        <v>261</v>
      </c>
      <c r="O58" s="60" t="s">
        <v>1203</v>
      </c>
      <c r="P58" s="95"/>
      <c r="Q58" s="96" t="s">
        <v>381</v>
      </c>
      <c r="R58" s="103" t="s">
        <v>1270</v>
      </c>
      <c r="S58" s="97"/>
      <c r="T58" s="325" t="s">
        <v>182</v>
      </c>
      <c r="U58" s="97"/>
      <c r="V58" s="114">
        <f t="shared" si="1"/>
        <v>0</v>
      </c>
      <c r="W58" s="298" t="s">
        <v>835</v>
      </c>
      <c r="X58" s="298" t="s">
        <v>1189</v>
      </c>
      <c r="Y58" s="1" t="s">
        <v>275</v>
      </c>
      <c r="Z58" s="3" t="s">
        <v>265</v>
      </c>
      <c r="AB58" s="16" t="s">
        <v>276</v>
      </c>
    </row>
    <row r="59" spans="1:30" ht="60">
      <c r="A59" s="13" t="s">
        <v>384</v>
      </c>
      <c r="B59" s="50">
        <v>4</v>
      </c>
      <c r="C59" s="48" t="s">
        <v>385</v>
      </c>
      <c r="D59" s="199" t="s">
        <v>386</v>
      </c>
      <c r="E59" s="200" t="s">
        <v>387</v>
      </c>
      <c r="F59" s="89" t="s">
        <v>388</v>
      </c>
      <c r="G59" s="90" t="s">
        <v>389</v>
      </c>
      <c r="H59" s="91" t="s">
        <v>259</v>
      </c>
      <c r="I59" s="91" t="s">
        <v>346</v>
      </c>
      <c r="J59" s="92" t="str">
        <f t="shared" si="2"/>
        <v>Elaborar l'inventari i cartografia de patrimoni cultural de l'ENP, que també inclogui el patrimoni etnològic i immaterial</v>
      </c>
      <c r="K59" s="101"/>
      <c r="L59" s="60" t="s">
        <v>52</v>
      </c>
      <c r="M59" s="94" t="s">
        <v>274</v>
      </c>
      <c r="O59" s="60" t="s">
        <v>1204</v>
      </c>
      <c r="P59" s="95"/>
      <c r="Q59" s="96"/>
      <c r="R59" s="103" t="s">
        <v>1270</v>
      </c>
      <c r="S59" s="97"/>
      <c r="T59" s="325" t="s">
        <v>182</v>
      </c>
      <c r="U59" s="97"/>
      <c r="V59" s="114">
        <f t="shared" si="1"/>
        <v>0</v>
      </c>
      <c r="W59" s="298" t="s">
        <v>835</v>
      </c>
      <c r="X59" s="298" t="s">
        <v>1189</v>
      </c>
      <c r="Y59" s="1" t="s">
        <v>264</v>
      </c>
      <c r="Z59" s="3" t="s">
        <v>265</v>
      </c>
      <c r="AD59" s="16" t="s">
        <v>276</v>
      </c>
    </row>
    <row r="60" spans="1:30" ht="60">
      <c r="A60" s="13" t="s">
        <v>384</v>
      </c>
      <c r="B60" s="51">
        <v>4</v>
      </c>
      <c r="C60" s="49" t="s">
        <v>385</v>
      </c>
      <c r="D60" s="260" t="s">
        <v>386</v>
      </c>
      <c r="E60" s="262" t="s">
        <v>387</v>
      </c>
      <c r="F60" s="89" t="s">
        <v>390</v>
      </c>
      <c r="G60" s="90" t="s">
        <v>391</v>
      </c>
      <c r="H60" s="91" t="s">
        <v>259</v>
      </c>
      <c r="I60" s="91" t="s">
        <v>346</v>
      </c>
      <c r="J60" s="92" t="str">
        <f t="shared" si="2"/>
        <v>Elaborar el catàleg lingüístic (localismes) de patrimoni natural, geografia popular, festes i activitats tradicionals de l'ENP</v>
      </c>
      <c r="K60" s="101" t="s">
        <v>1052</v>
      </c>
      <c r="L60" s="60"/>
      <c r="M60" s="94" t="s">
        <v>274</v>
      </c>
      <c r="O60" s="60"/>
      <c r="P60" s="95"/>
      <c r="Q60" s="96"/>
      <c r="R60" s="288"/>
      <c r="S60" s="97"/>
      <c r="T60" s="97"/>
      <c r="U60" s="97"/>
      <c r="V60" s="114">
        <f t="shared" si="1"/>
        <v>0</v>
      </c>
      <c r="W60" s="298"/>
      <c r="X60" s="298"/>
    </row>
    <row r="61" spans="1:30" ht="60">
      <c r="A61" s="13" t="s">
        <v>384</v>
      </c>
      <c r="B61" s="51">
        <v>4</v>
      </c>
      <c r="C61" s="49" t="s">
        <v>385</v>
      </c>
      <c r="D61" s="263" t="s">
        <v>386</v>
      </c>
      <c r="E61" s="261" t="s">
        <v>387</v>
      </c>
      <c r="F61" s="89" t="s">
        <v>392</v>
      </c>
      <c r="G61" s="90" t="s">
        <v>393</v>
      </c>
      <c r="H61" s="91" t="s">
        <v>259</v>
      </c>
      <c r="I61" s="91" t="s">
        <v>346</v>
      </c>
      <c r="J61" s="92" t="s">
        <v>1054</v>
      </c>
      <c r="K61" s="101" t="s">
        <v>1053</v>
      </c>
      <c r="L61" s="60" t="s">
        <v>52</v>
      </c>
      <c r="M61" s="94" t="s">
        <v>274</v>
      </c>
      <c r="O61" s="92" t="s">
        <v>1205</v>
      </c>
      <c r="P61" s="95"/>
      <c r="Q61" s="96"/>
      <c r="R61" s="103" t="s">
        <v>1270</v>
      </c>
      <c r="S61" s="97"/>
      <c r="T61" s="325" t="s">
        <v>182</v>
      </c>
      <c r="U61" s="97"/>
      <c r="V61" s="114">
        <f t="shared" si="1"/>
        <v>0</v>
      </c>
      <c r="W61" s="298" t="s">
        <v>835</v>
      </c>
      <c r="X61" s="298" t="s">
        <v>1189</v>
      </c>
      <c r="Y61" s="1" t="s">
        <v>264</v>
      </c>
      <c r="Z61" s="3" t="s">
        <v>265</v>
      </c>
      <c r="AC61" s="16" t="s">
        <v>276</v>
      </c>
    </row>
    <row r="62" spans="1:30" ht="45">
      <c r="A62" s="13" t="s">
        <v>384</v>
      </c>
      <c r="B62" s="51">
        <v>4</v>
      </c>
      <c r="C62" s="49" t="s">
        <v>385</v>
      </c>
      <c r="D62" s="260" t="s">
        <v>394</v>
      </c>
      <c r="E62" s="200" t="s">
        <v>395</v>
      </c>
      <c r="F62" s="89" t="s">
        <v>396</v>
      </c>
      <c r="G62" s="90" t="s">
        <v>397</v>
      </c>
      <c r="H62" s="91" t="s">
        <v>259</v>
      </c>
      <c r="I62" s="91" t="s">
        <v>281</v>
      </c>
      <c r="J62" s="92" t="str">
        <f t="shared" si="2"/>
        <v>Identificar els ens de referència en patrimoni cultural (entitats, associacions, museus i ecomuseus, etc.) en l'àmbit de l'ENP</v>
      </c>
      <c r="K62" s="93" t="s">
        <v>1055</v>
      </c>
      <c r="L62" s="60"/>
      <c r="M62" s="94" t="s">
        <v>274</v>
      </c>
      <c r="O62" s="60"/>
      <c r="P62" s="95"/>
      <c r="Q62" s="96"/>
      <c r="R62" s="288"/>
      <c r="S62" s="97"/>
      <c r="T62" s="97"/>
      <c r="U62" s="97"/>
      <c r="V62" s="114">
        <f t="shared" si="1"/>
        <v>0</v>
      </c>
      <c r="W62" s="298"/>
      <c r="X62" s="298"/>
    </row>
    <row r="63" spans="1:30" ht="45">
      <c r="A63" s="13" t="s">
        <v>384</v>
      </c>
      <c r="B63" s="51">
        <v>4</v>
      </c>
      <c r="C63" s="49" t="s">
        <v>385</v>
      </c>
      <c r="D63" s="223" t="s">
        <v>394</v>
      </c>
      <c r="E63" s="175" t="s">
        <v>395</v>
      </c>
      <c r="F63" s="89" t="s">
        <v>398</v>
      </c>
      <c r="G63" s="90" t="s">
        <v>399</v>
      </c>
      <c r="H63" s="91" t="s">
        <v>259</v>
      </c>
      <c r="I63" s="91" t="s">
        <v>346</v>
      </c>
      <c r="J63" s="92" t="str">
        <f t="shared" si="2"/>
        <v>Articular treballs conjunts entre l'ENP i representants, gestors o custodis del patrimoni cultural per a la seva protecció i millora</v>
      </c>
      <c r="K63" s="101" t="s">
        <v>1052</v>
      </c>
      <c r="L63" s="60"/>
      <c r="M63" s="94" t="s">
        <v>274</v>
      </c>
      <c r="O63" s="60"/>
      <c r="P63" s="95"/>
      <c r="Q63" s="96"/>
      <c r="R63" s="288"/>
      <c r="S63" s="97"/>
      <c r="T63" s="97"/>
      <c r="U63" s="97"/>
      <c r="V63" s="114">
        <f t="shared" si="1"/>
        <v>0</v>
      </c>
      <c r="W63" s="298"/>
      <c r="X63" s="298"/>
    </row>
    <row r="64" spans="1:30" ht="45">
      <c r="A64" s="13" t="s">
        <v>384</v>
      </c>
      <c r="B64" s="51">
        <v>4</v>
      </c>
      <c r="C64" s="49" t="s">
        <v>385</v>
      </c>
      <c r="D64" s="223" t="s">
        <v>394</v>
      </c>
      <c r="E64" s="175" t="s">
        <v>395</v>
      </c>
      <c r="F64" s="89" t="s">
        <v>400</v>
      </c>
      <c r="G64" s="90" t="s">
        <v>401</v>
      </c>
      <c r="H64" s="91" t="s">
        <v>259</v>
      </c>
      <c r="I64" s="91" t="s">
        <v>346</v>
      </c>
      <c r="J64" s="92" t="str">
        <f t="shared" si="2"/>
        <v>Coordinar i participar dels treballs de restauració arquitectònica i del patrimoni cultural</v>
      </c>
      <c r="K64" s="101" t="s">
        <v>1042</v>
      </c>
      <c r="L64" s="60"/>
      <c r="M64" s="94" t="s">
        <v>274</v>
      </c>
      <c r="O64" s="60"/>
      <c r="P64" s="95"/>
      <c r="Q64" s="96"/>
      <c r="R64" s="288"/>
      <c r="S64" s="97"/>
      <c r="T64" s="97"/>
      <c r="U64" s="97"/>
      <c r="V64" s="114">
        <f t="shared" si="1"/>
        <v>0</v>
      </c>
      <c r="W64" s="298"/>
      <c r="X64" s="298"/>
    </row>
    <row r="65" spans="1:30" ht="61.9" customHeight="1">
      <c r="A65" s="13" t="s">
        <v>384</v>
      </c>
      <c r="B65" s="51">
        <v>4</v>
      </c>
      <c r="C65" s="49" t="s">
        <v>385</v>
      </c>
      <c r="D65" s="223" t="s">
        <v>394</v>
      </c>
      <c r="E65" s="175" t="s">
        <v>395</v>
      </c>
      <c r="F65" s="89" t="s">
        <v>402</v>
      </c>
      <c r="G65" s="90" t="s">
        <v>403</v>
      </c>
      <c r="H65" s="91" t="s">
        <v>259</v>
      </c>
      <c r="I65" s="91" t="s">
        <v>260</v>
      </c>
      <c r="J65" s="92" t="str">
        <f t="shared" si="2"/>
        <v>Disposar de personal especialitzat en patrimoni cultural</v>
      </c>
      <c r="K65" s="101" t="s">
        <v>1056</v>
      </c>
      <c r="L65" s="60"/>
      <c r="M65" s="94" t="s">
        <v>274</v>
      </c>
      <c r="O65" s="60"/>
      <c r="P65" s="95"/>
      <c r="Q65" s="96"/>
      <c r="R65" s="288"/>
      <c r="S65" s="97"/>
      <c r="T65" s="97"/>
      <c r="U65" s="97"/>
      <c r="V65" s="114">
        <f t="shared" si="1"/>
        <v>0</v>
      </c>
      <c r="W65" s="298"/>
      <c r="X65" s="298"/>
    </row>
    <row r="66" spans="1:30" ht="45">
      <c r="A66" s="13" t="s">
        <v>384</v>
      </c>
      <c r="B66" s="51">
        <v>4</v>
      </c>
      <c r="C66" s="49" t="s">
        <v>385</v>
      </c>
      <c r="D66" s="264" t="s">
        <v>404</v>
      </c>
      <c r="E66" s="266" t="s">
        <v>405</v>
      </c>
      <c r="F66" s="89" t="s">
        <v>406</v>
      </c>
      <c r="G66" s="90" t="s">
        <v>407</v>
      </c>
      <c r="H66" s="91" t="s">
        <v>259</v>
      </c>
      <c r="I66" s="91" t="s">
        <v>260</v>
      </c>
      <c r="J66" s="92" t="str">
        <f t="shared" si="2"/>
        <v xml:space="preserve">Recuperar i conservar el patrimoni cultural rural immaterial associat a les activitats i aprofitaments tradicionals </v>
      </c>
      <c r="K66" s="101" t="s">
        <v>1052</v>
      </c>
      <c r="L66" s="60"/>
      <c r="M66" s="94" t="s">
        <v>274</v>
      </c>
      <c r="O66" s="60"/>
      <c r="P66" s="95" t="s">
        <v>270</v>
      </c>
      <c r="Q66" s="96"/>
      <c r="R66" s="288"/>
      <c r="S66" s="97"/>
      <c r="T66" s="97"/>
      <c r="U66" s="97"/>
      <c r="V66" s="114">
        <f t="shared" si="1"/>
        <v>0</v>
      </c>
      <c r="W66" s="298"/>
      <c r="X66" s="298"/>
    </row>
    <row r="67" spans="1:30" ht="45">
      <c r="A67" s="13" t="s">
        <v>384</v>
      </c>
      <c r="B67" s="51">
        <v>4</v>
      </c>
      <c r="C67" s="49" t="s">
        <v>385</v>
      </c>
      <c r="D67" s="265" t="s">
        <v>404</v>
      </c>
      <c r="E67" s="261" t="s">
        <v>405</v>
      </c>
      <c r="F67" s="89" t="s">
        <v>408</v>
      </c>
      <c r="G67" s="90" t="s">
        <v>409</v>
      </c>
      <c r="H67" s="91" t="s">
        <v>318</v>
      </c>
      <c r="I67" s="91" t="s">
        <v>260</v>
      </c>
      <c r="J67" s="92" t="str">
        <f t="shared" si="2"/>
        <v>Recuperar i conservar el patrimoni cultural rural vinculat específicament a construccions de pedra en sec</v>
      </c>
      <c r="K67" s="101" t="s">
        <v>1057</v>
      </c>
      <c r="L67" s="60"/>
      <c r="M67" s="94" t="s">
        <v>274</v>
      </c>
      <c r="O67" s="60"/>
      <c r="P67" s="95" t="s">
        <v>270</v>
      </c>
      <c r="Q67" s="96"/>
      <c r="R67" s="288"/>
      <c r="S67" s="97"/>
      <c r="T67" s="97"/>
      <c r="U67" s="97"/>
      <c r="V67" s="114">
        <f t="shared" si="1"/>
        <v>0</v>
      </c>
      <c r="W67" s="298"/>
      <c r="X67" s="298"/>
    </row>
    <row r="68" spans="1:30" ht="45">
      <c r="A68" s="13" t="s">
        <v>384</v>
      </c>
      <c r="B68" s="51">
        <v>4</v>
      </c>
      <c r="C68" s="49" t="s">
        <v>385</v>
      </c>
      <c r="D68" s="265" t="s">
        <v>404</v>
      </c>
      <c r="E68" s="268" t="s">
        <v>405</v>
      </c>
      <c r="F68" s="89" t="s">
        <v>410</v>
      </c>
      <c r="G68" s="90" t="s">
        <v>1182</v>
      </c>
      <c r="H68" s="91" t="s">
        <v>259</v>
      </c>
      <c r="I68" s="91" t="s">
        <v>319</v>
      </c>
      <c r="J68" s="92" t="str">
        <f t="shared" si="2"/>
        <v xml:space="preserve">Fomentar la recuperació i conservació de l'arquitectura tradicional d'interès de les edificacions i construccions </v>
      </c>
      <c r="K68" s="101" t="s">
        <v>1042</v>
      </c>
      <c r="L68" s="60"/>
      <c r="M68" s="94" t="s">
        <v>274</v>
      </c>
      <c r="O68" s="60"/>
      <c r="P68" s="95"/>
      <c r="Q68" s="96"/>
      <c r="R68" s="288"/>
      <c r="S68" s="97"/>
      <c r="T68" s="97"/>
      <c r="U68" s="97"/>
      <c r="V68" s="114">
        <f t="shared" si="1"/>
        <v>0</v>
      </c>
      <c r="W68" s="298"/>
      <c r="X68" s="298"/>
    </row>
    <row r="69" spans="1:30" ht="45">
      <c r="A69" s="13" t="s">
        <v>384</v>
      </c>
      <c r="B69" s="51">
        <v>4</v>
      </c>
      <c r="C69" s="49" t="s">
        <v>385</v>
      </c>
      <c r="D69" s="263" t="s">
        <v>404</v>
      </c>
      <c r="E69" s="201" t="s">
        <v>405</v>
      </c>
      <c r="F69" s="89" t="s">
        <v>411</v>
      </c>
      <c r="G69" s="90" t="s">
        <v>412</v>
      </c>
      <c r="H69" s="91" t="s">
        <v>259</v>
      </c>
      <c r="I69" s="91" t="s">
        <v>281</v>
      </c>
      <c r="J69" s="92" t="str">
        <f t="shared" si="2"/>
        <v>Identificar i conservar la diversitat domesticada de varietats agrícoles i ramaderes locals</v>
      </c>
      <c r="K69" s="101" t="s">
        <v>1058</v>
      </c>
      <c r="L69" s="60"/>
      <c r="M69" s="94" t="s">
        <v>274</v>
      </c>
      <c r="O69" s="60"/>
      <c r="P69" s="95" t="s">
        <v>284</v>
      </c>
      <c r="Q69" s="96"/>
      <c r="R69" s="288"/>
      <c r="S69" s="97"/>
      <c r="T69" s="97"/>
      <c r="U69" s="97"/>
      <c r="V69" s="114">
        <f t="shared" si="1"/>
        <v>0</v>
      </c>
      <c r="W69" s="298"/>
      <c r="X69" s="298"/>
    </row>
    <row r="70" spans="1:30" ht="45">
      <c r="A70" s="13" t="s">
        <v>384</v>
      </c>
      <c r="B70" s="51">
        <v>4</v>
      </c>
      <c r="C70" s="49" t="s">
        <v>385</v>
      </c>
      <c r="D70" s="264" t="s">
        <v>413</v>
      </c>
      <c r="E70" s="267" t="s">
        <v>414</v>
      </c>
      <c r="F70" s="91" t="s">
        <v>415</v>
      </c>
      <c r="G70" s="90" t="s">
        <v>416</v>
      </c>
      <c r="H70" s="91" t="s">
        <v>259</v>
      </c>
      <c r="I70" s="91" t="s">
        <v>260</v>
      </c>
      <c r="J70" s="92" t="str">
        <f t="shared" si="2"/>
        <v>Integrar el patrimoni cultural als itineraris i cartelleria de l'ENP.</v>
      </c>
      <c r="K70" s="93" t="s">
        <v>1059</v>
      </c>
      <c r="L70" s="60"/>
      <c r="M70" s="94" t="s">
        <v>274</v>
      </c>
      <c r="O70" s="60"/>
      <c r="P70" s="95"/>
      <c r="Q70" s="96"/>
      <c r="R70" s="288"/>
      <c r="S70" s="97"/>
      <c r="T70" s="97"/>
      <c r="U70" s="97"/>
      <c r="V70" s="114">
        <f t="shared" ref="V70:V133" si="10">U70*4</f>
        <v>0</v>
      </c>
      <c r="W70" s="298"/>
      <c r="X70" s="298"/>
    </row>
    <row r="71" spans="1:30" ht="45">
      <c r="A71" s="13" t="s">
        <v>384</v>
      </c>
      <c r="B71" s="51">
        <v>4</v>
      </c>
      <c r="C71" s="49" t="s">
        <v>385</v>
      </c>
      <c r="D71" s="265" t="s">
        <v>413</v>
      </c>
      <c r="E71" s="268" t="s">
        <v>414</v>
      </c>
      <c r="F71" s="91" t="s">
        <v>417</v>
      </c>
      <c r="G71" s="90" t="s">
        <v>418</v>
      </c>
      <c r="H71" s="91" t="s">
        <v>259</v>
      </c>
      <c r="I71" s="91" t="s">
        <v>260</v>
      </c>
      <c r="J71" s="92" t="str">
        <f t="shared" si="2"/>
        <v>Incorporar el patrimoni cultural en els plans d’ús públic i educació ambiental per fomentar-ne la seva conservació i divulgació.</v>
      </c>
      <c r="K71" s="93"/>
      <c r="L71" s="60" t="s">
        <v>52</v>
      </c>
      <c r="M71" s="94" t="s">
        <v>274</v>
      </c>
      <c r="O71" s="92" t="s">
        <v>1206</v>
      </c>
      <c r="P71" s="95"/>
      <c r="Q71" s="96"/>
      <c r="R71" s="103" t="s">
        <v>1270</v>
      </c>
      <c r="S71" s="97"/>
      <c r="T71" s="325" t="s">
        <v>182</v>
      </c>
      <c r="U71" s="97"/>
      <c r="V71" s="114">
        <f t="shared" si="10"/>
        <v>0</v>
      </c>
      <c r="W71" s="298" t="s">
        <v>835</v>
      </c>
      <c r="X71" s="298" t="s">
        <v>1189</v>
      </c>
      <c r="Y71" s="1" t="s">
        <v>275</v>
      </c>
      <c r="Z71" s="3" t="s">
        <v>265</v>
      </c>
      <c r="AA71" s="16" t="s">
        <v>276</v>
      </c>
      <c r="AB71" s="16" t="s">
        <v>276</v>
      </c>
      <c r="AC71" s="16" t="s">
        <v>276</v>
      </c>
      <c r="AD71" s="16" t="s">
        <v>276</v>
      </c>
    </row>
    <row r="72" spans="1:30" ht="45">
      <c r="A72" s="13" t="s">
        <v>384</v>
      </c>
      <c r="B72" s="270">
        <v>4</v>
      </c>
      <c r="C72" s="269" t="s">
        <v>385</v>
      </c>
      <c r="D72" s="263" t="s">
        <v>413</v>
      </c>
      <c r="E72" s="201" t="s">
        <v>414</v>
      </c>
      <c r="F72" s="91" t="s">
        <v>419</v>
      </c>
      <c r="G72" s="90" t="s">
        <v>420</v>
      </c>
      <c r="H72" s="91" t="s">
        <v>259</v>
      </c>
      <c r="I72" s="91" t="s">
        <v>260</v>
      </c>
      <c r="J72" s="92" t="str">
        <f t="shared" si="2"/>
        <v>Formar el personal dels punts d’informació en els valors culturals de l'ENP</v>
      </c>
      <c r="K72" s="101" t="s">
        <v>1060</v>
      </c>
      <c r="L72" s="60"/>
      <c r="M72" s="94" t="s">
        <v>274</v>
      </c>
      <c r="O72" s="60"/>
      <c r="P72" s="95"/>
      <c r="Q72" s="96"/>
      <c r="R72" s="288"/>
      <c r="S72" s="97"/>
      <c r="T72" s="97"/>
      <c r="U72" s="97"/>
      <c r="V72" s="114">
        <f t="shared" si="10"/>
        <v>0</v>
      </c>
      <c r="W72" s="298"/>
      <c r="X72" s="298"/>
    </row>
    <row r="73" spans="1:30" ht="45">
      <c r="A73" s="13" t="s">
        <v>384</v>
      </c>
      <c r="B73" s="206">
        <v>5</v>
      </c>
      <c r="C73" s="208" t="s">
        <v>421</v>
      </c>
      <c r="D73" s="20" t="s">
        <v>422</v>
      </c>
      <c r="E73" s="19" t="s">
        <v>423</v>
      </c>
      <c r="F73" s="91" t="s">
        <v>424</v>
      </c>
      <c r="G73" s="90" t="s">
        <v>425</v>
      </c>
      <c r="H73" s="91" t="s">
        <v>259</v>
      </c>
      <c r="I73" s="91" t="s">
        <v>346</v>
      </c>
      <c r="J73" s="92" t="str">
        <f t="shared" si="2"/>
        <v xml:space="preserve">Elaborar un inventari d'elements d'interès paisatgístic de l'ENP d'acord amb el Catàleg de paisatge de la zona </v>
      </c>
      <c r="K73" s="101" t="s">
        <v>1052</v>
      </c>
      <c r="L73" s="60"/>
      <c r="M73" s="94" t="s">
        <v>274</v>
      </c>
      <c r="O73" s="60"/>
      <c r="P73" s="95"/>
      <c r="Q73" s="96"/>
      <c r="R73" s="288"/>
      <c r="S73" s="97"/>
      <c r="T73" s="97"/>
      <c r="U73" s="97"/>
      <c r="V73" s="114">
        <f t="shared" si="10"/>
        <v>0</v>
      </c>
      <c r="W73" s="298"/>
      <c r="X73" s="298"/>
    </row>
    <row r="74" spans="1:30" ht="30">
      <c r="A74" s="13" t="s">
        <v>384</v>
      </c>
      <c r="B74" s="207">
        <v>5</v>
      </c>
      <c r="C74" s="209" t="s">
        <v>421</v>
      </c>
      <c r="D74" s="205" t="s">
        <v>426</v>
      </c>
      <c r="E74" s="211" t="s">
        <v>427</v>
      </c>
      <c r="F74" s="89" t="s">
        <v>428</v>
      </c>
      <c r="G74" s="90" t="s">
        <v>429</v>
      </c>
      <c r="H74" s="91" t="s">
        <v>259</v>
      </c>
      <c r="I74" s="91" t="s">
        <v>346</v>
      </c>
      <c r="J74" s="92" t="str">
        <f t="shared" si="2"/>
        <v>Desplegar actuacions de restauració dels elements d'interès paisatgístic degradats</v>
      </c>
      <c r="K74" s="101" t="s">
        <v>1052</v>
      </c>
      <c r="L74" s="60"/>
      <c r="M74" s="94" t="s">
        <v>430</v>
      </c>
      <c r="O74" s="60"/>
      <c r="P74" s="95"/>
      <c r="Q74" s="96"/>
      <c r="R74" s="288"/>
      <c r="S74" s="97"/>
      <c r="T74" s="97"/>
      <c r="U74" s="97"/>
      <c r="V74" s="114">
        <f t="shared" si="10"/>
        <v>0</v>
      </c>
      <c r="W74" s="298"/>
      <c r="X74" s="298"/>
    </row>
    <row r="75" spans="1:30" ht="45">
      <c r="A75" s="13" t="s">
        <v>384</v>
      </c>
      <c r="B75" s="207">
        <v>5</v>
      </c>
      <c r="C75" s="209" t="s">
        <v>421</v>
      </c>
      <c r="D75" s="223" t="s">
        <v>426</v>
      </c>
      <c r="E75" s="248" t="s">
        <v>427</v>
      </c>
      <c r="F75" s="89" t="s">
        <v>431</v>
      </c>
      <c r="G75" s="90" t="s">
        <v>1061</v>
      </c>
      <c r="H75" s="91"/>
      <c r="I75" s="91"/>
      <c r="J75" s="92" t="str">
        <f t="shared" si="2"/>
        <v>Gestionar l'abandonament d'infraestructures i instal·lacions amb impactes sobre els valors de l'espai</v>
      </c>
      <c r="K75" s="93" t="s">
        <v>1055</v>
      </c>
      <c r="L75" s="60"/>
      <c r="M75" s="94" t="s">
        <v>274</v>
      </c>
      <c r="O75" s="60"/>
      <c r="P75" s="95"/>
      <c r="Q75" s="96"/>
      <c r="R75" s="288"/>
      <c r="S75" s="97"/>
      <c r="T75" s="97"/>
      <c r="U75" s="97"/>
      <c r="V75" s="114">
        <f t="shared" si="10"/>
        <v>0</v>
      </c>
      <c r="W75" s="298"/>
      <c r="X75" s="298"/>
    </row>
    <row r="76" spans="1:30" ht="60">
      <c r="A76" s="13" t="s">
        <v>384</v>
      </c>
      <c r="B76" s="207">
        <v>5</v>
      </c>
      <c r="C76" s="209" t="s">
        <v>421</v>
      </c>
      <c r="D76" s="245" t="s">
        <v>426</v>
      </c>
      <c r="E76" s="247" t="s">
        <v>427</v>
      </c>
      <c r="F76" s="89" t="s">
        <v>432</v>
      </c>
      <c r="G76" s="90" t="s">
        <v>433</v>
      </c>
      <c r="H76" s="91" t="s">
        <v>259</v>
      </c>
      <c r="I76" s="91" t="s">
        <v>281</v>
      </c>
      <c r="J76" s="92" t="str">
        <f t="shared" si="2"/>
        <v>Minimitzar la brutícia, deixalles, vandalisme i males praxis dins l'ENP</v>
      </c>
      <c r="K76" s="101" t="s">
        <v>1183</v>
      </c>
      <c r="L76" s="60" t="s">
        <v>52</v>
      </c>
      <c r="M76" s="94" t="s">
        <v>274</v>
      </c>
      <c r="O76" s="60" t="s">
        <v>1207</v>
      </c>
      <c r="P76" s="95"/>
      <c r="Q76" s="96"/>
      <c r="R76" s="103" t="s">
        <v>1270</v>
      </c>
      <c r="S76" s="97"/>
      <c r="T76" s="325" t="s">
        <v>182</v>
      </c>
      <c r="U76" s="97"/>
      <c r="V76" s="114">
        <f t="shared" si="10"/>
        <v>0</v>
      </c>
      <c r="W76" s="298" t="s">
        <v>835</v>
      </c>
      <c r="X76" s="298" t="s">
        <v>1189</v>
      </c>
      <c r="Y76" s="1" t="s">
        <v>275</v>
      </c>
      <c r="Z76" s="3" t="s">
        <v>265</v>
      </c>
      <c r="AA76" s="16" t="s">
        <v>276</v>
      </c>
      <c r="AB76" s="16" t="s">
        <v>276</v>
      </c>
      <c r="AC76" s="16" t="s">
        <v>276</v>
      </c>
      <c r="AD76" s="16" t="s">
        <v>276</v>
      </c>
    </row>
    <row r="77" spans="1:30" ht="30">
      <c r="A77" s="13" t="s">
        <v>384</v>
      </c>
      <c r="B77" s="207">
        <v>5</v>
      </c>
      <c r="C77" s="209" t="s">
        <v>421</v>
      </c>
      <c r="D77" s="210" t="s">
        <v>434</v>
      </c>
      <c r="E77" s="211" t="s">
        <v>435</v>
      </c>
      <c r="F77" s="89" t="s">
        <v>436</v>
      </c>
      <c r="G77" s="90" t="s">
        <v>437</v>
      </c>
      <c r="H77" s="91" t="s">
        <v>318</v>
      </c>
      <c r="I77" s="91" t="s">
        <v>346</v>
      </c>
      <c r="J77" s="92" t="str">
        <f t="shared" si="2"/>
        <v>Promoure la certificació de qualitat del cel nocturn</v>
      </c>
      <c r="K77" s="101" t="s">
        <v>1052</v>
      </c>
      <c r="L77" s="60"/>
      <c r="M77" s="94" t="s">
        <v>274</v>
      </c>
      <c r="O77" s="60"/>
      <c r="P77" s="95" t="s">
        <v>284</v>
      </c>
      <c r="Q77" s="96"/>
      <c r="R77" s="288"/>
      <c r="S77" s="97"/>
      <c r="T77" s="97"/>
      <c r="U77" s="97"/>
      <c r="V77" s="114">
        <f t="shared" si="10"/>
        <v>0</v>
      </c>
      <c r="W77" s="298"/>
      <c r="X77" s="298"/>
    </row>
    <row r="78" spans="1:30" ht="30">
      <c r="A78" s="13" t="s">
        <v>384</v>
      </c>
      <c r="B78" s="207">
        <v>5</v>
      </c>
      <c r="C78" s="209" t="s">
        <v>421</v>
      </c>
      <c r="D78" s="245" t="s">
        <v>434</v>
      </c>
      <c r="E78" s="246" t="s">
        <v>435</v>
      </c>
      <c r="F78" s="89" t="s">
        <v>438</v>
      </c>
      <c r="G78" s="90" t="s">
        <v>439</v>
      </c>
      <c r="H78" s="91" t="s">
        <v>318</v>
      </c>
      <c r="I78" s="91" t="s">
        <v>346</v>
      </c>
      <c r="J78" s="92" t="str">
        <f t="shared" si="2"/>
        <v>Promoure la certificació de zones d'especial protecció de la qualitat acústica</v>
      </c>
      <c r="K78" s="101" t="s">
        <v>1052</v>
      </c>
      <c r="L78" s="60"/>
      <c r="M78" s="94" t="s">
        <v>274</v>
      </c>
      <c r="O78" s="60"/>
      <c r="P78" s="95" t="s">
        <v>284</v>
      </c>
      <c r="Q78" s="96"/>
      <c r="R78" s="288"/>
      <c r="S78" s="97"/>
      <c r="T78" s="97"/>
      <c r="U78" s="97"/>
      <c r="V78" s="114">
        <f t="shared" si="10"/>
        <v>0</v>
      </c>
      <c r="W78" s="298"/>
      <c r="X78" s="298"/>
    </row>
    <row r="79" spans="1:30" ht="75">
      <c r="A79" s="26" t="s">
        <v>440</v>
      </c>
      <c r="B79" s="37">
        <v>6</v>
      </c>
      <c r="C79" s="271" t="s">
        <v>441</v>
      </c>
      <c r="D79" s="237" t="s">
        <v>442</v>
      </c>
      <c r="E79" s="241" t="s">
        <v>443</v>
      </c>
      <c r="F79" s="89" t="s">
        <v>444</v>
      </c>
      <c r="G79" s="102" t="s">
        <v>445</v>
      </c>
      <c r="H79" s="91" t="s">
        <v>259</v>
      </c>
      <c r="I79" s="91" t="s">
        <v>281</v>
      </c>
      <c r="J79" s="92" t="str">
        <f t="shared" si="2"/>
        <v>Identificar i prioritzar els elements clau i d'interès per la gestió de la biodiversitat i geodiversitat de Catalunya es troben dins l'ENP (especies amenaçades, espècies exòtiques invasores,.. )</v>
      </c>
      <c r="K79" s="101" t="s">
        <v>1184</v>
      </c>
      <c r="L79" s="103" t="s">
        <v>53</v>
      </c>
      <c r="M79" s="94" t="s">
        <v>282</v>
      </c>
      <c r="O79" s="103" t="s">
        <v>1062</v>
      </c>
      <c r="P79" s="100" t="s">
        <v>1185</v>
      </c>
      <c r="Q79" s="96" t="s">
        <v>446</v>
      </c>
      <c r="R79" s="288" t="s">
        <v>1045</v>
      </c>
      <c r="S79" s="97">
        <v>2</v>
      </c>
      <c r="T79" s="97">
        <v>4</v>
      </c>
      <c r="U79" s="97"/>
      <c r="V79" s="114">
        <f t="shared" si="10"/>
        <v>0</v>
      </c>
      <c r="W79" s="298" t="s">
        <v>263</v>
      </c>
      <c r="X79" s="298" t="str">
        <f>IF(W79=Llistes!$B$18,Llistes!$D$18,IF(W79=Llistes!$B$20,Llistes!$D$20,IF(W79=Llistes!$B$22,Llistes!$D$22,IF(W79=Llistes!$B$23,Llistes!$D$23,IF(W79=Llistes!$B$24,Llistes!$D$24,IF(W79=Llistes!$B$28,Llistes!$D$28))))))</f>
        <v>Tècnic coordinador</v>
      </c>
      <c r="Y79" s="1" t="s">
        <v>275</v>
      </c>
      <c r="Z79" s="3" t="s">
        <v>265</v>
      </c>
      <c r="AA79" s="16" t="s">
        <v>276</v>
      </c>
      <c r="AB79" s="16" t="s">
        <v>276</v>
      </c>
      <c r="AC79" s="16" t="s">
        <v>276</v>
      </c>
      <c r="AD79" s="16" t="s">
        <v>276</v>
      </c>
    </row>
    <row r="80" spans="1:30" ht="60">
      <c r="A80" s="26" t="s">
        <v>440</v>
      </c>
      <c r="B80" s="37">
        <v>6</v>
      </c>
      <c r="C80" s="271" t="s">
        <v>441</v>
      </c>
      <c r="D80" s="237" t="s">
        <v>442</v>
      </c>
      <c r="E80" s="241" t="s">
        <v>443</v>
      </c>
      <c r="F80" s="89" t="s">
        <v>444</v>
      </c>
      <c r="G80" s="102" t="s">
        <v>445</v>
      </c>
      <c r="H80" s="91" t="s">
        <v>259</v>
      </c>
      <c r="I80" s="91" t="s">
        <v>281</v>
      </c>
      <c r="J80" s="92" t="str">
        <f t="shared" si="2"/>
        <v>Identificar i prioritzar els elements clau i d'interès per la gestió de la biodiversitat i geodiversitat de Catalunya es troben dins l'ENP (especies amenaçades, espècies exòtiques invasores,.. )</v>
      </c>
      <c r="K80" s="93"/>
      <c r="L80" s="103" t="s">
        <v>52</v>
      </c>
      <c r="M80" s="94" t="s">
        <v>282</v>
      </c>
      <c r="O80" s="60" t="s">
        <v>1067</v>
      </c>
      <c r="P80" s="95"/>
      <c r="Q80" s="96"/>
      <c r="R80" s="103" t="s">
        <v>1270</v>
      </c>
      <c r="S80" s="97"/>
      <c r="T80" s="324" t="s">
        <v>182</v>
      </c>
      <c r="U80" s="97"/>
      <c r="V80" s="114">
        <f t="shared" si="10"/>
        <v>0</v>
      </c>
      <c r="W80" s="298" t="s">
        <v>835</v>
      </c>
      <c r="X80" s="298" t="s">
        <v>1189</v>
      </c>
      <c r="Y80" s="289" t="s">
        <v>275</v>
      </c>
      <c r="Z80" s="289" t="s">
        <v>265</v>
      </c>
      <c r="AC80" s="17"/>
      <c r="AD80" s="16" t="s">
        <v>276</v>
      </c>
    </row>
    <row r="81" spans="1:30" ht="75">
      <c r="A81" s="26" t="s">
        <v>440</v>
      </c>
      <c r="B81" s="37">
        <v>6</v>
      </c>
      <c r="C81" s="271" t="s">
        <v>441</v>
      </c>
      <c r="D81" s="237" t="s">
        <v>442</v>
      </c>
      <c r="E81" s="241" t="s">
        <v>443</v>
      </c>
      <c r="F81" s="89" t="s">
        <v>444</v>
      </c>
      <c r="G81" s="102" t="s">
        <v>445</v>
      </c>
      <c r="H81" s="91" t="s">
        <v>259</v>
      </c>
      <c r="I81" s="91" t="s">
        <v>281</v>
      </c>
      <c r="J81" s="92" t="str">
        <f t="shared" ref="J81" si="11">G81</f>
        <v>Identificar i prioritzar els elements clau i d'interès per la gestió de la biodiversitat i geodiversitat de Catalunya es troben dins l'ENP (especies amenaçades, espècies exòtiques invasores,.. )</v>
      </c>
      <c r="K81" s="93"/>
      <c r="L81" s="103" t="s">
        <v>52</v>
      </c>
      <c r="M81" s="94" t="s">
        <v>282</v>
      </c>
      <c r="O81" s="103" t="s">
        <v>1066</v>
      </c>
      <c r="P81" s="100" t="s">
        <v>1185</v>
      </c>
      <c r="Q81" s="96" t="s">
        <v>446</v>
      </c>
      <c r="R81" s="103" t="s">
        <v>1270</v>
      </c>
      <c r="S81" s="97"/>
      <c r="T81" s="324" t="s">
        <v>182</v>
      </c>
      <c r="U81" s="97"/>
      <c r="V81" s="114">
        <f t="shared" si="10"/>
        <v>0</v>
      </c>
      <c r="W81" s="298" t="s">
        <v>835</v>
      </c>
      <c r="X81" s="298" t="s">
        <v>1189</v>
      </c>
      <c r="Y81" s="1" t="s">
        <v>275</v>
      </c>
      <c r="Z81" s="3" t="s">
        <v>265</v>
      </c>
      <c r="AC81" s="16" t="s">
        <v>276</v>
      </c>
    </row>
    <row r="82" spans="1:30" ht="75">
      <c r="A82" s="26" t="s">
        <v>440</v>
      </c>
      <c r="B82" s="37">
        <v>6</v>
      </c>
      <c r="C82" s="271" t="s">
        <v>441</v>
      </c>
      <c r="D82" s="237" t="s">
        <v>442</v>
      </c>
      <c r="E82" s="241" t="s">
        <v>443</v>
      </c>
      <c r="F82" s="89" t="s">
        <v>444</v>
      </c>
      <c r="G82" s="102" t="s">
        <v>445</v>
      </c>
      <c r="H82" s="91" t="s">
        <v>259</v>
      </c>
      <c r="I82" s="91" t="s">
        <v>281</v>
      </c>
      <c r="J82" s="92" t="str">
        <f t="shared" ref="J82" si="12">G82</f>
        <v>Identificar i prioritzar els elements clau i d'interès per la gestió de la biodiversitat i geodiversitat de Catalunya es troben dins l'ENP (especies amenaçades, espècies exòtiques invasores,.. )</v>
      </c>
      <c r="K82" s="93"/>
      <c r="L82" s="103" t="s">
        <v>52</v>
      </c>
      <c r="M82" s="94" t="s">
        <v>282</v>
      </c>
      <c r="O82" s="103" t="s">
        <v>1068</v>
      </c>
      <c r="P82" s="100" t="s">
        <v>1185</v>
      </c>
      <c r="Q82" s="96" t="s">
        <v>446</v>
      </c>
      <c r="R82" s="103" t="s">
        <v>1270</v>
      </c>
      <c r="S82" s="97"/>
      <c r="T82" s="324" t="s">
        <v>182</v>
      </c>
      <c r="U82" s="97"/>
      <c r="V82" s="114">
        <f t="shared" si="10"/>
        <v>0</v>
      </c>
      <c r="W82" s="298" t="s">
        <v>835</v>
      </c>
      <c r="X82" s="298" t="s">
        <v>1189</v>
      </c>
      <c r="Y82" s="1" t="s">
        <v>275</v>
      </c>
      <c r="Z82" s="3" t="s">
        <v>265</v>
      </c>
      <c r="AB82" s="16" t="s">
        <v>276</v>
      </c>
    </row>
    <row r="83" spans="1:30" ht="45">
      <c r="A83" s="26" t="s">
        <v>440</v>
      </c>
      <c r="B83" s="46">
        <v>6</v>
      </c>
      <c r="C83" s="36" t="s">
        <v>441</v>
      </c>
      <c r="D83" s="236" t="s">
        <v>442</v>
      </c>
      <c r="E83" s="242" t="s">
        <v>443</v>
      </c>
      <c r="F83" s="89" t="s">
        <v>447</v>
      </c>
      <c r="G83" s="90" t="s">
        <v>448</v>
      </c>
      <c r="H83" s="91" t="s">
        <v>259</v>
      </c>
      <c r="I83" s="91" t="s">
        <v>281</v>
      </c>
      <c r="J83" s="92" t="str">
        <f t="shared" si="2"/>
        <v>Definir espais fràgils i zones d'especial atenció</v>
      </c>
      <c r="K83" s="93"/>
      <c r="L83" s="103" t="s">
        <v>52</v>
      </c>
      <c r="M83" s="94" t="s">
        <v>282</v>
      </c>
      <c r="O83" s="60" t="s">
        <v>1151</v>
      </c>
      <c r="P83" s="95"/>
      <c r="Q83" s="96" t="s">
        <v>449</v>
      </c>
      <c r="R83" s="103" t="s">
        <v>1270</v>
      </c>
      <c r="S83" s="97"/>
      <c r="T83" s="324" t="s">
        <v>182</v>
      </c>
      <c r="U83" s="97"/>
      <c r="V83" s="114">
        <f t="shared" si="10"/>
        <v>0</v>
      </c>
      <c r="W83" s="298" t="s">
        <v>263</v>
      </c>
      <c r="X83" s="298" t="str">
        <f>IF(W83=Llistes!$B$18,Llistes!$D$18,IF(W83=Llistes!$B$20,Llistes!$D$20,IF(W83=Llistes!$B$22,Llistes!$D$22,IF(W83=Llistes!$B$23,Llistes!$D$23,IF(W83=Llistes!$B$24,Llistes!$D$24,IF(W83=Llistes!$B$28,Llistes!$D$28))))))</f>
        <v>Tècnic coordinador</v>
      </c>
      <c r="Y83" s="1" t="s">
        <v>264</v>
      </c>
      <c r="Z83" s="3" t="s">
        <v>265</v>
      </c>
      <c r="AC83" s="16" t="s">
        <v>276</v>
      </c>
    </row>
    <row r="84" spans="1:30" ht="63.95" customHeight="1">
      <c r="A84" s="26" t="s">
        <v>440</v>
      </c>
      <c r="B84" s="46">
        <v>6</v>
      </c>
      <c r="C84" s="36" t="s">
        <v>441</v>
      </c>
      <c r="D84" s="237" t="s">
        <v>450</v>
      </c>
      <c r="E84" s="239" t="s">
        <v>451</v>
      </c>
      <c r="F84" s="89" t="s">
        <v>452</v>
      </c>
      <c r="G84" s="90" t="s">
        <v>453</v>
      </c>
      <c r="H84" s="91" t="s">
        <v>259</v>
      </c>
      <c r="I84" s="91" t="s">
        <v>281</v>
      </c>
      <c r="J84" s="92" t="str">
        <f t="shared" si="2"/>
        <v>Participar en l'elaboració de la cartografia que elabora la UIC</v>
      </c>
      <c r="K84" s="93"/>
      <c r="L84" s="60" t="s">
        <v>52</v>
      </c>
      <c r="M84" s="94" t="s">
        <v>261</v>
      </c>
      <c r="O84" s="60" t="s">
        <v>454</v>
      </c>
      <c r="P84" s="95" t="s">
        <v>284</v>
      </c>
      <c r="Q84" s="96" t="s">
        <v>455</v>
      </c>
      <c r="R84" s="103" t="s">
        <v>1270</v>
      </c>
      <c r="S84" s="97"/>
      <c r="T84" s="324" t="s">
        <v>182</v>
      </c>
      <c r="U84" s="97"/>
      <c r="V84" s="114">
        <f t="shared" si="10"/>
        <v>0</v>
      </c>
      <c r="W84" s="298" t="s">
        <v>835</v>
      </c>
      <c r="X84" s="298" t="s">
        <v>1189</v>
      </c>
      <c r="Y84" s="1" t="s">
        <v>275</v>
      </c>
      <c r="Z84" s="3" t="s">
        <v>265</v>
      </c>
      <c r="AA84" s="16" t="s">
        <v>276</v>
      </c>
      <c r="AB84" s="16" t="s">
        <v>276</v>
      </c>
      <c r="AC84" s="16" t="s">
        <v>276</v>
      </c>
      <c r="AD84" s="16" t="s">
        <v>276</v>
      </c>
    </row>
    <row r="85" spans="1:30" ht="139.5" customHeight="1">
      <c r="A85" s="26" t="s">
        <v>440</v>
      </c>
      <c r="B85" s="46">
        <v>6</v>
      </c>
      <c r="C85" s="36" t="s">
        <v>441</v>
      </c>
      <c r="D85" s="243" t="s">
        <v>450</v>
      </c>
      <c r="E85" s="244" t="s">
        <v>451</v>
      </c>
      <c r="F85" s="89" t="s">
        <v>456</v>
      </c>
      <c r="G85" s="90" t="s">
        <v>457</v>
      </c>
      <c r="H85" s="91" t="s">
        <v>259</v>
      </c>
      <c r="I85" s="91" t="s">
        <v>281</v>
      </c>
      <c r="J85" s="92" t="str">
        <f t="shared" ref="J85" si="13">G85</f>
        <v>Conèixer i estudiar els processos naturals propis de l’espai, la seva funcionalitat, i ecologia en referència als ecosistemes</v>
      </c>
      <c r="K85" s="93"/>
      <c r="L85" s="60" t="s">
        <v>52</v>
      </c>
      <c r="M85" s="94" t="s">
        <v>274</v>
      </c>
      <c r="O85" s="60" t="s">
        <v>1063</v>
      </c>
      <c r="P85" s="95"/>
      <c r="Q85" s="96"/>
      <c r="R85" s="288" t="s">
        <v>1064</v>
      </c>
      <c r="S85" s="97">
        <v>2</v>
      </c>
      <c r="T85" s="97">
        <v>4</v>
      </c>
      <c r="U85" s="97"/>
      <c r="V85" s="114">
        <f t="shared" si="10"/>
        <v>0</v>
      </c>
      <c r="W85" s="298" t="s">
        <v>835</v>
      </c>
      <c r="X85" s="298" t="s">
        <v>1189</v>
      </c>
      <c r="Y85" s="1" t="s">
        <v>275</v>
      </c>
      <c r="Z85" s="3" t="s">
        <v>265</v>
      </c>
      <c r="AA85" s="16" t="s">
        <v>276</v>
      </c>
      <c r="AB85" s="16" t="s">
        <v>276</v>
      </c>
      <c r="AC85" s="16" t="s">
        <v>276</v>
      </c>
      <c r="AD85" s="16" t="s">
        <v>276</v>
      </c>
    </row>
    <row r="86" spans="1:30" ht="139.5" customHeight="1">
      <c r="A86" s="26" t="s">
        <v>440</v>
      </c>
      <c r="B86" s="46">
        <v>6</v>
      </c>
      <c r="C86" s="36" t="s">
        <v>441</v>
      </c>
      <c r="D86" s="243" t="s">
        <v>450</v>
      </c>
      <c r="E86" s="244" t="s">
        <v>451</v>
      </c>
      <c r="F86" s="89" t="s">
        <v>456</v>
      </c>
      <c r="G86" s="90" t="s">
        <v>457</v>
      </c>
      <c r="H86" s="91" t="s">
        <v>259</v>
      </c>
      <c r="I86" s="91" t="s">
        <v>281</v>
      </c>
      <c r="J86" s="92" t="str">
        <f t="shared" si="2"/>
        <v>Conèixer i estudiar els processos naturals propis de l’espai, la seva funcionalitat, i ecologia en referència als ecosistemes</v>
      </c>
      <c r="K86" s="93"/>
      <c r="L86" s="60" t="s">
        <v>52</v>
      </c>
      <c r="M86" s="94" t="s">
        <v>274</v>
      </c>
      <c r="O86" s="60" t="s">
        <v>1208</v>
      </c>
      <c r="P86" s="95"/>
      <c r="Q86" s="96"/>
      <c r="R86" s="103" t="s">
        <v>1270</v>
      </c>
      <c r="S86" s="97"/>
      <c r="T86" s="324" t="s">
        <v>182</v>
      </c>
      <c r="U86" s="97"/>
      <c r="V86" s="114">
        <f t="shared" si="10"/>
        <v>0</v>
      </c>
      <c r="W86" s="298" t="s">
        <v>835</v>
      </c>
      <c r="X86" s="298" t="s">
        <v>1189</v>
      </c>
      <c r="Y86" s="1" t="s">
        <v>264</v>
      </c>
      <c r="Z86" s="3" t="s">
        <v>265</v>
      </c>
      <c r="AD86" s="16" t="s">
        <v>276</v>
      </c>
    </row>
    <row r="87" spans="1:30" ht="60">
      <c r="A87" s="26" t="s">
        <v>440</v>
      </c>
      <c r="B87" s="46">
        <v>6</v>
      </c>
      <c r="C87" s="36" t="s">
        <v>441</v>
      </c>
      <c r="D87" s="243" t="s">
        <v>450</v>
      </c>
      <c r="E87" s="244" t="s">
        <v>451</v>
      </c>
      <c r="F87" s="89" t="s">
        <v>456</v>
      </c>
      <c r="G87" s="90" t="s">
        <v>457</v>
      </c>
      <c r="H87" s="91" t="s">
        <v>259</v>
      </c>
      <c r="I87" s="91" t="s">
        <v>281</v>
      </c>
      <c r="J87" s="92" t="str">
        <f t="shared" ref="J87" si="14">G87</f>
        <v>Conèixer i estudiar els processos naturals propis de l’espai, la seva funcionalitat, i ecologia en referència als ecosistemes</v>
      </c>
      <c r="K87" s="93"/>
      <c r="L87" s="60" t="s">
        <v>52</v>
      </c>
      <c r="M87" s="94" t="s">
        <v>274</v>
      </c>
      <c r="O87" s="60" t="s">
        <v>1209</v>
      </c>
      <c r="P87" s="95"/>
      <c r="Q87" s="96"/>
      <c r="R87" s="103" t="s">
        <v>1270</v>
      </c>
      <c r="S87" s="97"/>
      <c r="T87" s="325" t="s">
        <v>182</v>
      </c>
      <c r="U87" s="97"/>
      <c r="V87" s="114">
        <f t="shared" si="10"/>
        <v>0</v>
      </c>
      <c r="W87" s="298" t="s">
        <v>263</v>
      </c>
      <c r="X87" s="298" t="str">
        <f>IF(W87=Llistes!$B$18,Llistes!$D$18,IF(W87=Llistes!$B$20,Llistes!$D$20,IF(W87=Llistes!$B$22,Llistes!$D$22,IF(W87=Llistes!$B$23,Llistes!$D$23,IF(W87=Llistes!$B$24,Llistes!$D$24,IF(W87=Llistes!$B$28,Llistes!$D$28))))))</f>
        <v>Tècnic coordinador</v>
      </c>
      <c r="Y87" s="1" t="s">
        <v>264</v>
      </c>
      <c r="Z87" s="3" t="s">
        <v>265</v>
      </c>
      <c r="AB87" s="16" t="s">
        <v>276</v>
      </c>
    </row>
    <row r="88" spans="1:30" ht="60">
      <c r="A88" s="26" t="s">
        <v>440</v>
      </c>
      <c r="B88" s="46">
        <v>6</v>
      </c>
      <c r="C88" s="36" t="s">
        <v>441</v>
      </c>
      <c r="D88" s="243" t="s">
        <v>450</v>
      </c>
      <c r="E88" s="244" t="s">
        <v>451</v>
      </c>
      <c r="F88" s="89" t="s">
        <v>456</v>
      </c>
      <c r="G88" s="90" t="s">
        <v>457</v>
      </c>
      <c r="H88" s="91" t="s">
        <v>259</v>
      </c>
      <c r="I88" s="91" t="s">
        <v>281</v>
      </c>
      <c r="J88" s="92" t="str">
        <f t="shared" ref="J88:J89" si="15">G88</f>
        <v>Conèixer i estudiar els processos naturals propis de l’espai, la seva funcionalitat, i ecologia en referència als ecosistemes</v>
      </c>
      <c r="K88" s="93"/>
      <c r="L88" s="60" t="s">
        <v>52</v>
      </c>
      <c r="M88" s="94"/>
      <c r="O88" s="60" t="s">
        <v>1210</v>
      </c>
      <c r="P88" s="95"/>
      <c r="Q88" s="96"/>
      <c r="R88" s="288" t="s">
        <v>458</v>
      </c>
      <c r="S88" s="97">
        <v>2</v>
      </c>
      <c r="T88" s="97">
        <v>5</v>
      </c>
      <c r="U88" s="97"/>
      <c r="V88" s="114">
        <f t="shared" si="10"/>
        <v>0</v>
      </c>
      <c r="W88" s="298" t="s">
        <v>263</v>
      </c>
      <c r="X88" s="298" t="str">
        <f>IF(W88=Llistes!$B$18,Llistes!$D$18,IF(W88=Llistes!$B$20,Llistes!$D$20,IF(W88=Llistes!$B$22,Llistes!$D$22,IF(W88=Llistes!$B$23,Llistes!$D$23,IF(W88=Llistes!$B$24,Llistes!$D$24,IF(W88=Llistes!$B$28,Llistes!$D$28))))))</f>
        <v>Tècnic coordinador</v>
      </c>
      <c r="Y88" s="1" t="s">
        <v>264</v>
      </c>
      <c r="Z88" s="3" t="s">
        <v>265</v>
      </c>
      <c r="AC88" s="16" t="s">
        <v>276</v>
      </c>
      <c r="AD88" s="16" t="s">
        <v>276</v>
      </c>
    </row>
    <row r="89" spans="1:30" ht="60">
      <c r="A89" s="26" t="s">
        <v>440</v>
      </c>
      <c r="B89" s="46">
        <v>6</v>
      </c>
      <c r="C89" s="36" t="s">
        <v>441</v>
      </c>
      <c r="D89" s="243" t="s">
        <v>450</v>
      </c>
      <c r="E89" s="240" t="s">
        <v>451</v>
      </c>
      <c r="F89" s="89" t="s">
        <v>459</v>
      </c>
      <c r="G89" s="90" t="s">
        <v>460</v>
      </c>
      <c r="H89" s="91" t="s">
        <v>259</v>
      </c>
      <c r="I89" s="91" t="s">
        <v>281</v>
      </c>
      <c r="J89" s="92" t="str">
        <f t="shared" si="15"/>
        <v>Conèixer els usos i factors de canvi rellevants en l'evolució dels elements de conservació, i avaluar els efectes que generen en l’espai (pressions i amenaces)</v>
      </c>
      <c r="K89" s="93"/>
      <c r="L89" s="60" t="s">
        <v>52</v>
      </c>
      <c r="M89" s="94" t="s">
        <v>261</v>
      </c>
      <c r="O89" s="60" t="s">
        <v>1211</v>
      </c>
      <c r="P89" s="95" t="s">
        <v>284</v>
      </c>
      <c r="Q89" s="96" t="s">
        <v>461</v>
      </c>
      <c r="R89" s="103" t="s">
        <v>1270</v>
      </c>
      <c r="S89" s="97"/>
      <c r="T89" s="325" t="s">
        <v>182</v>
      </c>
      <c r="U89" s="97"/>
      <c r="V89" s="114">
        <f t="shared" si="10"/>
        <v>0</v>
      </c>
      <c r="W89" s="298" t="s">
        <v>835</v>
      </c>
      <c r="X89" s="298" t="s">
        <v>1189</v>
      </c>
      <c r="Y89" s="1" t="s">
        <v>264</v>
      </c>
      <c r="Z89" s="3" t="s">
        <v>265</v>
      </c>
      <c r="AB89" s="16" t="s">
        <v>276</v>
      </c>
    </row>
    <row r="90" spans="1:30" ht="60">
      <c r="A90" s="26" t="s">
        <v>440</v>
      </c>
      <c r="B90" s="46">
        <v>6</v>
      </c>
      <c r="C90" s="36" t="s">
        <v>441</v>
      </c>
      <c r="D90" s="243" t="s">
        <v>450</v>
      </c>
      <c r="E90" s="244" t="s">
        <v>451</v>
      </c>
      <c r="F90" s="89" t="s">
        <v>462</v>
      </c>
      <c r="G90" s="90" t="s">
        <v>463</v>
      </c>
      <c r="H90" s="91" t="s">
        <v>259</v>
      </c>
      <c r="I90" s="91" t="s">
        <v>346</v>
      </c>
      <c r="J90" s="92" t="str">
        <f t="shared" si="2"/>
        <v>Conèixer l'impacte de les gestió de l'aigua, sobre la biodiversitat.</v>
      </c>
      <c r="K90" s="93"/>
      <c r="L90" s="60" t="s">
        <v>52</v>
      </c>
      <c r="M90" s="94" t="s">
        <v>274</v>
      </c>
      <c r="O90" s="60" t="s">
        <v>1212</v>
      </c>
      <c r="P90" s="95"/>
      <c r="Q90" s="96"/>
      <c r="R90" s="103" t="s">
        <v>1270</v>
      </c>
      <c r="S90" s="97"/>
      <c r="T90" s="325" t="s">
        <v>182</v>
      </c>
      <c r="U90" s="97"/>
      <c r="V90" s="114">
        <f t="shared" si="10"/>
        <v>0</v>
      </c>
      <c r="W90" s="298" t="s">
        <v>835</v>
      </c>
      <c r="X90" s="298" t="s">
        <v>1189</v>
      </c>
      <c r="Y90" s="1" t="s">
        <v>264</v>
      </c>
      <c r="Z90" s="3" t="s">
        <v>265</v>
      </c>
      <c r="AC90" s="16" t="s">
        <v>276</v>
      </c>
    </row>
    <row r="91" spans="1:30" ht="60">
      <c r="A91" s="26" t="s">
        <v>440</v>
      </c>
      <c r="B91" s="46">
        <v>6</v>
      </c>
      <c r="C91" s="36" t="s">
        <v>441</v>
      </c>
      <c r="D91" s="243" t="s">
        <v>450</v>
      </c>
      <c r="E91" s="240" t="s">
        <v>451</v>
      </c>
      <c r="F91" s="89" t="s">
        <v>464</v>
      </c>
      <c r="G91" s="90" t="s">
        <v>465</v>
      </c>
      <c r="H91" s="91" t="s">
        <v>259</v>
      </c>
      <c r="I91" s="91" t="s">
        <v>346</v>
      </c>
      <c r="J91" s="92" t="str">
        <f t="shared" ref="J91" si="16">G91</f>
        <v>Participar en el coneixement de la tendència d'espècies plaga amb afectacions sobre ecosistemes o activitats econòmiques dins l'ENP</v>
      </c>
      <c r="K91" s="93"/>
      <c r="L91" s="60" t="s">
        <v>52</v>
      </c>
      <c r="M91" s="94"/>
      <c r="O91" s="60" t="s">
        <v>1069</v>
      </c>
      <c r="P91" s="95"/>
      <c r="Q91" s="96"/>
      <c r="R91" s="103" t="s">
        <v>1270</v>
      </c>
      <c r="S91" s="97"/>
      <c r="T91" s="325" t="s">
        <v>182</v>
      </c>
      <c r="U91" s="97"/>
      <c r="V91" s="114">
        <f t="shared" si="10"/>
        <v>0</v>
      </c>
      <c r="W91" s="298" t="s">
        <v>835</v>
      </c>
      <c r="X91" s="298" t="s">
        <v>1189</v>
      </c>
      <c r="Y91" s="1" t="s">
        <v>275</v>
      </c>
      <c r="Z91" s="3" t="s">
        <v>796</v>
      </c>
      <c r="AB91" s="16" t="s">
        <v>276</v>
      </c>
      <c r="AD91" s="16" t="s">
        <v>276</v>
      </c>
    </row>
    <row r="92" spans="1:30" ht="60">
      <c r="A92" s="26" t="s">
        <v>440</v>
      </c>
      <c r="B92" s="46">
        <v>6</v>
      </c>
      <c r="C92" s="36" t="s">
        <v>441</v>
      </c>
      <c r="D92" s="243" t="s">
        <v>450</v>
      </c>
      <c r="E92" s="240" t="s">
        <v>451</v>
      </c>
      <c r="F92" s="89" t="s">
        <v>466</v>
      </c>
      <c r="G92" s="90" t="s">
        <v>467</v>
      </c>
      <c r="H92" s="91" t="s">
        <v>259</v>
      </c>
      <c r="I92" s="91" t="s">
        <v>281</v>
      </c>
      <c r="J92" s="92" t="str">
        <f t="shared" si="2"/>
        <v>Conèixer la tendència d'espècies exòtiques invasores amb afectacions sobre ecosistemes o activitats econòmiques dins l'ENP</v>
      </c>
      <c r="K92" s="93"/>
      <c r="L92" s="60" t="s">
        <v>52</v>
      </c>
      <c r="M92" s="94" t="s">
        <v>261</v>
      </c>
      <c r="O92" s="60" t="s">
        <v>1213</v>
      </c>
      <c r="P92" s="95" t="s">
        <v>284</v>
      </c>
      <c r="Q92" s="96"/>
      <c r="R92" s="288" t="s">
        <v>1045</v>
      </c>
      <c r="S92" s="97">
        <v>2</v>
      </c>
      <c r="T92" s="97">
        <v>4</v>
      </c>
      <c r="U92" s="97"/>
      <c r="V92" s="114">
        <f t="shared" si="10"/>
        <v>0</v>
      </c>
      <c r="W92" s="298" t="s">
        <v>263</v>
      </c>
      <c r="X92" s="298" t="str">
        <f>IF(W92=Llistes!$B$18,Llistes!$D$18,IF(W92=Llistes!$B$20,Llistes!$D$20,IF(W92=Llistes!$B$22,Llistes!$D$22,IF(W92=Llistes!$B$23,Llistes!$D$23,IF(W92=Llistes!$B$24,Llistes!$D$24,IF(W92=Llistes!$B$28,Llistes!$D$28))))))</f>
        <v>Tècnic coordinador</v>
      </c>
      <c r="Y92" s="1" t="s">
        <v>275</v>
      </c>
      <c r="Z92" s="3" t="s">
        <v>265</v>
      </c>
      <c r="AA92" s="16" t="s">
        <v>276</v>
      </c>
      <c r="AB92" s="16" t="s">
        <v>276</v>
      </c>
      <c r="AC92" s="16" t="s">
        <v>276</v>
      </c>
      <c r="AD92" s="16" t="s">
        <v>276</v>
      </c>
    </row>
    <row r="93" spans="1:30" ht="60">
      <c r="A93" s="26" t="s">
        <v>440</v>
      </c>
      <c r="B93" s="46">
        <v>6</v>
      </c>
      <c r="C93" s="36" t="s">
        <v>441</v>
      </c>
      <c r="D93" s="243" t="s">
        <v>450</v>
      </c>
      <c r="E93" s="240" t="s">
        <v>451</v>
      </c>
      <c r="F93" s="89" t="s">
        <v>466</v>
      </c>
      <c r="G93" s="90" t="s">
        <v>467</v>
      </c>
      <c r="H93" s="91" t="s">
        <v>259</v>
      </c>
      <c r="I93" s="91" t="s">
        <v>281</v>
      </c>
      <c r="J93" s="92" t="str">
        <f t="shared" ref="J93" si="17">G93</f>
        <v>Conèixer la tendència d'espècies exòtiques invasores amb afectacions sobre ecosistemes o activitats econòmiques dins l'ENP</v>
      </c>
      <c r="K93" s="93"/>
      <c r="L93" s="60" t="s">
        <v>52</v>
      </c>
      <c r="M93" s="94" t="s">
        <v>261</v>
      </c>
      <c r="O93" s="60" t="s">
        <v>1214</v>
      </c>
      <c r="P93" s="95" t="s">
        <v>284</v>
      </c>
      <c r="Q93" s="96"/>
      <c r="R93" s="103" t="s">
        <v>1270</v>
      </c>
      <c r="S93" s="97"/>
      <c r="T93" s="325" t="s">
        <v>182</v>
      </c>
      <c r="U93" s="97"/>
      <c r="V93" s="114">
        <f t="shared" si="10"/>
        <v>0</v>
      </c>
      <c r="W93" s="298" t="s">
        <v>263</v>
      </c>
      <c r="X93" s="298" t="str">
        <f>IF(W93=Llistes!$B$18,Llistes!$D$18,IF(W93=Llistes!$B$20,Llistes!$D$20,IF(W93=Llistes!$B$22,Llistes!$D$22,IF(W93=Llistes!$B$23,Llistes!$D$23,IF(W93=Llistes!$B$24,Llistes!$D$24,IF(W93=Llistes!$B$28,Llistes!$D$28))))))</f>
        <v>Tècnic coordinador</v>
      </c>
      <c r="Y93" s="1" t="s">
        <v>275</v>
      </c>
      <c r="Z93" s="3" t="s">
        <v>265</v>
      </c>
      <c r="AD93" s="16" t="s">
        <v>276</v>
      </c>
    </row>
    <row r="94" spans="1:30" ht="60">
      <c r="A94" s="26" t="s">
        <v>440</v>
      </c>
      <c r="B94" s="46">
        <v>6</v>
      </c>
      <c r="C94" s="36" t="s">
        <v>441</v>
      </c>
      <c r="D94" s="243" t="s">
        <v>450</v>
      </c>
      <c r="E94" s="240" t="s">
        <v>451</v>
      </c>
      <c r="F94" s="89" t="s">
        <v>466</v>
      </c>
      <c r="G94" s="90" t="s">
        <v>467</v>
      </c>
      <c r="H94" s="91" t="s">
        <v>259</v>
      </c>
      <c r="I94" s="91" t="s">
        <v>281</v>
      </c>
      <c r="J94" s="92" t="str">
        <f t="shared" ref="J94" si="18">G94</f>
        <v>Conèixer la tendència d'espècies exòtiques invasores amb afectacions sobre ecosistemes o activitats econòmiques dins l'ENP</v>
      </c>
      <c r="K94" s="93"/>
      <c r="L94" s="60" t="s">
        <v>52</v>
      </c>
      <c r="M94" s="94" t="s">
        <v>261</v>
      </c>
      <c r="O94" s="60" t="s">
        <v>1215</v>
      </c>
      <c r="P94" s="95" t="s">
        <v>284</v>
      </c>
      <c r="Q94" s="96"/>
      <c r="R94" s="103" t="s">
        <v>1270</v>
      </c>
      <c r="S94" s="97"/>
      <c r="T94" s="325" t="s">
        <v>182</v>
      </c>
      <c r="U94" s="97"/>
      <c r="V94" s="114">
        <f t="shared" si="10"/>
        <v>0</v>
      </c>
      <c r="W94" s="298" t="s">
        <v>263</v>
      </c>
      <c r="X94" s="298" t="str">
        <f>IF(W94=Llistes!$B$18,Llistes!$D$18,IF(W94=Llistes!$B$20,Llistes!$D$20,IF(W94=Llistes!$B$22,Llistes!$D$22,IF(W94=Llistes!$B$23,Llistes!$D$23,IF(W94=Llistes!$B$24,Llistes!$D$24,IF(W94=Llistes!$B$28,Llistes!$D$28))))))</f>
        <v>Tècnic coordinador</v>
      </c>
      <c r="Y94" s="1" t="s">
        <v>275</v>
      </c>
      <c r="Z94" s="3" t="s">
        <v>265</v>
      </c>
      <c r="AD94" s="16" t="s">
        <v>276</v>
      </c>
    </row>
    <row r="95" spans="1:30" ht="60">
      <c r="A95" s="26" t="s">
        <v>440</v>
      </c>
      <c r="B95" s="46">
        <v>6</v>
      </c>
      <c r="C95" s="36" t="s">
        <v>441</v>
      </c>
      <c r="D95" s="243" t="s">
        <v>450</v>
      </c>
      <c r="E95" s="240" t="s">
        <v>451</v>
      </c>
      <c r="F95" s="89" t="s">
        <v>466</v>
      </c>
      <c r="G95" s="90" t="s">
        <v>467</v>
      </c>
      <c r="H95" s="91" t="s">
        <v>259</v>
      </c>
      <c r="I95" s="91" t="s">
        <v>281</v>
      </c>
      <c r="J95" s="92" t="str">
        <f t="shared" ref="J95" si="19">G95</f>
        <v>Conèixer la tendència d'espècies exòtiques invasores amb afectacions sobre ecosistemes o activitats econòmiques dins l'ENP</v>
      </c>
      <c r="K95" s="93"/>
      <c r="L95" s="60" t="s">
        <v>52</v>
      </c>
      <c r="M95" s="94" t="s">
        <v>261</v>
      </c>
      <c r="O95" s="60" t="s">
        <v>1216</v>
      </c>
      <c r="P95" s="95" t="s">
        <v>284</v>
      </c>
      <c r="Q95" s="96"/>
      <c r="R95" s="103" t="s">
        <v>1270</v>
      </c>
      <c r="S95" s="97"/>
      <c r="T95" s="325" t="s">
        <v>182</v>
      </c>
      <c r="U95" s="97"/>
      <c r="V95" s="114">
        <f t="shared" si="10"/>
        <v>0</v>
      </c>
      <c r="W95" s="298" t="s">
        <v>263</v>
      </c>
      <c r="X95" s="298" t="str">
        <f>IF(W95=Llistes!$B$18,Llistes!$D$18,IF(W95=Llistes!$B$20,Llistes!$D$20,IF(W95=Llistes!$B$22,Llistes!$D$22,IF(W95=Llistes!$B$23,Llistes!$D$23,IF(W95=Llistes!$B$24,Llistes!$D$24,IF(W95=Llistes!$B$28,Llistes!$D$28))))))</f>
        <v>Tècnic coordinador</v>
      </c>
      <c r="Y95" s="1" t="s">
        <v>275</v>
      </c>
      <c r="Z95" s="3" t="s">
        <v>265</v>
      </c>
      <c r="AD95" s="16" t="s">
        <v>276</v>
      </c>
    </row>
    <row r="96" spans="1:30" ht="60">
      <c r="A96" s="26" t="s">
        <v>440</v>
      </c>
      <c r="B96" s="46">
        <v>6</v>
      </c>
      <c r="C96" s="36" t="s">
        <v>441</v>
      </c>
      <c r="D96" s="243" t="s">
        <v>450</v>
      </c>
      <c r="E96" s="240" t="s">
        <v>451</v>
      </c>
      <c r="F96" s="89" t="s">
        <v>466</v>
      </c>
      <c r="G96" s="90" t="s">
        <v>467</v>
      </c>
      <c r="H96" s="91" t="s">
        <v>259</v>
      </c>
      <c r="I96" s="91" t="s">
        <v>281</v>
      </c>
      <c r="J96" s="92" t="str">
        <f t="shared" ref="J96" si="20">G96</f>
        <v>Conèixer la tendència d'espècies exòtiques invasores amb afectacions sobre ecosistemes o activitats econòmiques dins l'ENP</v>
      </c>
      <c r="K96" s="93"/>
      <c r="L96" s="60" t="s">
        <v>52</v>
      </c>
      <c r="M96" s="94" t="s">
        <v>261</v>
      </c>
      <c r="O96" s="60" t="s">
        <v>1217</v>
      </c>
      <c r="P96" s="95" t="s">
        <v>284</v>
      </c>
      <c r="Q96" s="96"/>
      <c r="R96" s="103" t="s">
        <v>1270</v>
      </c>
      <c r="S96" s="97"/>
      <c r="T96" s="325" t="s">
        <v>182</v>
      </c>
      <c r="U96" s="97"/>
      <c r="V96" s="114">
        <f t="shared" si="10"/>
        <v>0</v>
      </c>
      <c r="W96" s="298" t="s">
        <v>263</v>
      </c>
      <c r="X96" s="298" t="str">
        <f>IF(W96=Llistes!$B$18,Llistes!$D$18,IF(W96=Llistes!$B$20,Llistes!$D$20,IF(W96=Llistes!$B$22,Llistes!$D$22,IF(W96=Llistes!$B$23,Llistes!$D$23,IF(W96=Llistes!$B$24,Llistes!$D$24,IF(W96=Llistes!$B$28,Llistes!$D$28))))))</f>
        <v>Tècnic coordinador</v>
      </c>
      <c r="Y96" s="1" t="s">
        <v>275</v>
      </c>
      <c r="Z96" s="3" t="s">
        <v>265</v>
      </c>
      <c r="AD96" s="16" t="s">
        <v>276</v>
      </c>
    </row>
    <row r="97" spans="1:30" ht="60">
      <c r="A97" s="26" t="s">
        <v>440</v>
      </c>
      <c r="B97" s="46">
        <v>6</v>
      </c>
      <c r="C97" s="36" t="s">
        <v>441</v>
      </c>
      <c r="D97" s="236" t="s">
        <v>450</v>
      </c>
      <c r="E97" s="242" t="s">
        <v>451</v>
      </c>
      <c r="F97" s="89" t="s">
        <v>468</v>
      </c>
      <c r="G97" s="90" t="s">
        <v>1186</v>
      </c>
      <c r="H97" s="91" t="s">
        <v>259</v>
      </c>
      <c r="I97" s="91" t="s">
        <v>346</v>
      </c>
      <c r="J97" s="92" t="str">
        <f t="shared" si="2"/>
        <v>Conèixer com millorar la connectivitat de forma coordinada amb altres ENP</v>
      </c>
      <c r="K97" s="101" t="s">
        <v>1052</v>
      </c>
      <c r="L97" s="60"/>
      <c r="M97" s="94" t="s">
        <v>261</v>
      </c>
      <c r="O97" s="60"/>
      <c r="P97" s="95" t="s">
        <v>284</v>
      </c>
      <c r="Q97" s="96"/>
      <c r="R97" s="288"/>
      <c r="S97" s="97"/>
      <c r="T97" s="97"/>
      <c r="U97" s="97"/>
      <c r="V97" s="114">
        <f t="shared" si="10"/>
        <v>0</v>
      </c>
      <c r="W97" s="298"/>
      <c r="X97" s="298"/>
    </row>
    <row r="98" spans="1:30" ht="45">
      <c r="A98" s="26" t="s">
        <v>440</v>
      </c>
      <c r="B98" s="46">
        <v>6</v>
      </c>
      <c r="C98" s="36" t="s">
        <v>441</v>
      </c>
      <c r="D98" s="237" t="s">
        <v>469</v>
      </c>
      <c r="E98" s="241" t="s">
        <v>1187</v>
      </c>
      <c r="F98" s="89" t="s">
        <v>470</v>
      </c>
      <c r="G98" s="90" t="s">
        <v>471</v>
      </c>
      <c r="H98" s="91" t="s">
        <v>259</v>
      </c>
      <c r="I98" s="91" t="s">
        <v>281</v>
      </c>
      <c r="J98" s="92" t="str">
        <f t="shared" si="2"/>
        <v>Participar en la definició del sistema estàndard de seguiment de flora, fauna i hàbitats de la DG</v>
      </c>
      <c r="K98" s="93"/>
      <c r="L98" s="60" t="s">
        <v>53</v>
      </c>
      <c r="M98" s="94" t="s">
        <v>261</v>
      </c>
      <c r="O98" s="60" t="s">
        <v>1074</v>
      </c>
      <c r="P98" s="95" t="s">
        <v>284</v>
      </c>
      <c r="Q98" s="96" t="s">
        <v>472</v>
      </c>
      <c r="R98" s="288" t="s">
        <v>1045</v>
      </c>
      <c r="S98" s="97">
        <v>1</v>
      </c>
      <c r="T98" s="97">
        <v>2</v>
      </c>
      <c r="U98" s="97"/>
      <c r="V98" s="114">
        <f t="shared" si="10"/>
        <v>0</v>
      </c>
      <c r="W98" s="298" t="s">
        <v>263</v>
      </c>
      <c r="X98" s="298" t="str">
        <f>IF(W98=Llistes!$B$18,Llistes!$D$18,IF(W98=Llistes!$B$20,Llistes!$D$20,IF(W98=Llistes!$B$22,Llistes!$D$22,IF(W98=Llistes!$B$23,Llistes!$D$23,IF(W98=Llistes!$B$24,Llistes!$D$24,IF(W98=Llistes!$B$28,Llistes!$D$28))))))</f>
        <v>Tècnic coordinador</v>
      </c>
      <c r="Y98" s="1" t="s">
        <v>275</v>
      </c>
      <c r="Z98" s="3" t="s">
        <v>265</v>
      </c>
      <c r="AA98" s="16" t="s">
        <v>276</v>
      </c>
      <c r="AC98" s="16" t="s">
        <v>276</v>
      </c>
    </row>
    <row r="99" spans="1:30" ht="60">
      <c r="A99" s="26" t="s">
        <v>440</v>
      </c>
      <c r="B99" s="46">
        <v>6</v>
      </c>
      <c r="C99" s="36" t="s">
        <v>441</v>
      </c>
      <c r="D99" s="243" t="s">
        <v>469</v>
      </c>
      <c r="E99" s="240" t="s">
        <v>1187</v>
      </c>
      <c r="F99" s="89" t="s">
        <v>473</v>
      </c>
      <c r="G99" s="90" t="s">
        <v>474</v>
      </c>
      <c r="H99" s="91" t="s">
        <v>259</v>
      </c>
      <c r="I99" s="91" t="s">
        <v>281</v>
      </c>
      <c r="J99" s="92" t="str">
        <f t="shared" si="2"/>
        <v>Adequar i executar el sistema de seguiment periòdic dels grups clau de l'ENP al sistema estàndard de seguiment</v>
      </c>
      <c r="K99" s="93"/>
      <c r="L99" s="60" t="s">
        <v>52</v>
      </c>
      <c r="M99" s="94" t="s">
        <v>261</v>
      </c>
      <c r="O99" s="60" t="s">
        <v>1188</v>
      </c>
      <c r="P99" s="95" t="s">
        <v>284</v>
      </c>
      <c r="Q99" s="96" t="s">
        <v>475</v>
      </c>
      <c r="R99" s="103" t="s">
        <v>1270</v>
      </c>
      <c r="S99" s="97"/>
      <c r="T99" s="325" t="s">
        <v>182</v>
      </c>
      <c r="U99" s="97"/>
      <c r="V99" s="114">
        <f t="shared" si="10"/>
        <v>0</v>
      </c>
      <c r="W99" s="298" t="s">
        <v>835</v>
      </c>
      <c r="X99" s="298" t="s">
        <v>1189</v>
      </c>
      <c r="Y99" s="1" t="s">
        <v>275</v>
      </c>
      <c r="Z99" s="3" t="s">
        <v>265</v>
      </c>
      <c r="AA99" s="16" t="s">
        <v>276</v>
      </c>
      <c r="AB99" s="16" t="s">
        <v>276</v>
      </c>
      <c r="AC99" s="16" t="s">
        <v>276</v>
      </c>
      <c r="AD99" s="16" t="s">
        <v>276</v>
      </c>
    </row>
    <row r="100" spans="1:30" ht="45">
      <c r="A100" s="26" t="s">
        <v>440</v>
      </c>
      <c r="B100" s="46">
        <v>6</v>
      </c>
      <c r="C100" s="36" t="s">
        <v>441</v>
      </c>
      <c r="D100" s="243" t="s">
        <v>469</v>
      </c>
      <c r="E100" s="240" t="s">
        <v>1187</v>
      </c>
      <c r="F100" s="89" t="s">
        <v>473</v>
      </c>
      <c r="G100" s="90" t="s">
        <v>474</v>
      </c>
      <c r="H100" s="91" t="s">
        <v>259</v>
      </c>
      <c r="I100" s="91" t="s">
        <v>281</v>
      </c>
      <c r="J100" s="92" t="str">
        <f t="shared" ref="J100:J101" si="21">G100</f>
        <v>Adequar i executar el sistema de seguiment periòdic dels grups clau de l'ENP al sistema estàndard de seguiment</v>
      </c>
      <c r="K100" s="93"/>
      <c r="L100" s="60" t="s">
        <v>52</v>
      </c>
      <c r="M100" s="94" t="s">
        <v>261</v>
      </c>
      <c r="O100" s="60" t="s">
        <v>1076</v>
      </c>
      <c r="P100" s="95"/>
      <c r="Q100" s="96"/>
      <c r="R100" s="103" t="s">
        <v>1270</v>
      </c>
      <c r="S100" s="97"/>
      <c r="T100" s="325" t="s">
        <v>182</v>
      </c>
      <c r="U100" s="97"/>
      <c r="V100" s="114">
        <f t="shared" si="10"/>
        <v>0</v>
      </c>
      <c r="W100" s="298" t="s">
        <v>835</v>
      </c>
      <c r="X100" s="298" t="s">
        <v>1189</v>
      </c>
      <c r="Y100" s="1" t="s">
        <v>275</v>
      </c>
      <c r="Z100" s="3" t="s">
        <v>265</v>
      </c>
      <c r="AA100" s="16" t="s">
        <v>276</v>
      </c>
      <c r="AB100" s="16" t="s">
        <v>276</v>
      </c>
      <c r="AC100" s="16" t="s">
        <v>276</v>
      </c>
      <c r="AD100" s="16" t="s">
        <v>276</v>
      </c>
    </row>
    <row r="101" spans="1:30" ht="45">
      <c r="A101" s="26" t="s">
        <v>440</v>
      </c>
      <c r="B101" s="46">
        <v>6</v>
      </c>
      <c r="C101" s="36" t="s">
        <v>441</v>
      </c>
      <c r="D101" s="243" t="s">
        <v>469</v>
      </c>
      <c r="E101" s="240" t="s">
        <v>1187</v>
      </c>
      <c r="F101" s="89" t="s">
        <v>473</v>
      </c>
      <c r="G101" s="90" t="s">
        <v>474</v>
      </c>
      <c r="H101" s="91" t="s">
        <v>259</v>
      </c>
      <c r="I101" s="91" t="s">
        <v>281</v>
      </c>
      <c r="J101" s="92" t="str">
        <f t="shared" si="21"/>
        <v>Adequar i executar el sistema de seguiment periòdic dels grups clau de l'ENP al sistema estàndard de seguiment</v>
      </c>
      <c r="K101" s="93"/>
      <c r="L101" s="60" t="s">
        <v>52</v>
      </c>
      <c r="M101" s="94" t="s">
        <v>261</v>
      </c>
      <c r="O101" s="60" t="s">
        <v>1075</v>
      </c>
      <c r="P101" s="95"/>
      <c r="Q101" s="96"/>
      <c r="R101" s="103" t="s">
        <v>1270</v>
      </c>
      <c r="S101" s="97"/>
      <c r="T101" s="325" t="s">
        <v>182</v>
      </c>
      <c r="U101" s="97"/>
      <c r="V101" s="114">
        <f t="shared" si="10"/>
        <v>0</v>
      </c>
      <c r="W101" s="298" t="s">
        <v>835</v>
      </c>
      <c r="X101" s="298" t="s">
        <v>1189</v>
      </c>
      <c r="Y101" s="1" t="s">
        <v>275</v>
      </c>
      <c r="Z101" s="3" t="s">
        <v>265</v>
      </c>
      <c r="AA101" s="16" t="s">
        <v>276</v>
      </c>
      <c r="AB101" s="16" t="s">
        <v>276</v>
      </c>
      <c r="AC101" s="16" t="s">
        <v>276</v>
      </c>
      <c r="AD101" s="16" t="s">
        <v>276</v>
      </c>
    </row>
    <row r="102" spans="1:30" ht="51.6" customHeight="1">
      <c r="A102" s="26" t="s">
        <v>440</v>
      </c>
      <c r="B102" s="46">
        <v>6</v>
      </c>
      <c r="C102" s="36" t="s">
        <v>441</v>
      </c>
      <c r="D102" s="243" t="s">
        <v>469</v>
      </c>
      <c r="E102" s="240" t="s">
        <v>1187</v>
      </c>
      <c r="F102" s="89" t="s">
        <v>473</v>
      </c>
      <c r="G102" s="90" t="s">
        <v>474</v>
      </c>
      <c r="H102" s="91" t="s">
        <v>259</v>
      </c>
      <c r="I102" s="91" t="s">
        <v>281</v>
      </c>
      <c r="J102" s="92" t="str">
        <f t="shared" ref="J102" si="22">G102</f>
        <v>Adequar i executar el sistema de seguiment periòdic dels grups clau de l'ENP al sistema estàndard de seguiment</v>
      </c>
      <c r="K102" s="93"/>
      <c r="L102" s="60" t="s">
        <v>52</v>
      </c>
      <c r="M102" s="94" t="s">
        <v>261</v>
      </c>
      <c r="O102" s="60" t="s">
        <v>1077</v>
      </c>
      <c r="P102" s="95"/>
      <c r="Q102" s="96"/>
      <c r="R102" s="103" t="s">
        <v>1270</v>
      </c>
      <c r="S102" s="97"/>
      <c r="T102" s="325" t="s">
        <v>182</v>
      </c>
      <c r="U102" s="97"/>
      <c r="V102" s="114">
        <f t="shared" si="10"/>
        <v>0</v>
      </c>
      <c r="W102" s="298" t="s">
        <v>835</v>
      </c>
      <c r="X102" s="298" t="s">
        <v>1189</v>
      </c>
      <c r="Y102" s="1" t="s">
        <v>275</v>
      </c>
      <c r="Z102" s="3" t="s">
        <v>265</v>
      </c>
      <c r="AA102" s="16" t="s">
        <v>276</v>
      </c>
      <c r="AB102" s="16" t="s">
        <v>276</v>
      </c>
      <c r="AC102" s="16" t="s">
        <v>276</v>
      </c>
      <c r="AD102" s="16" t="s">
        <v>276</v>
      </c>
    </row>
    <row r="103" spans="1:30" ht="51.6" customHeight="1">
      <c r="A103" s="26" t="s">
        <v>440</v>
      </c>
      <c r="B103" s="46">
        <v>6</v>
      </c>
      <c r="C103" s="36" t="s">
        <v>441</v>
      </c>
      <c r="D103" s="243" t="s">
        <v>469</v>
      </c>
      <c r="E103" s="240" t="s">
        <v>1187</v>
      </c>
      <c r="F103" s="89" t="s">
        <v>473</v>
      </c>
      <c r="G103" s="90" t="s">
        <v>474</v>
      </c>
      <c r="H103" s="91" t="s">
        <v>259</v>
      </c>
      <c r="I103" s="91" t="s">
        <v>281</v>
      </c>
      <c r="J103" s="92" t="str">
        <f t="shared" ref="J103" si="23">G103</f>
        <v>Adequar i executar el sistema de seguiment periòdic dels grups clau de l'ENP al sistema estàndard de seguiment</v>
      </c>
      <c r="K103" s="93"/>
      <c r="L103" s="60" t="s">
        <v>52</v>
      </c>
      <c r="M103" s="94" t="s">
        <v>261</v>
      </c>
      <c r="O103" s="60" t="s">
        <v>1078</v>
      </c>
      <c r="P103" s="95"/>
      <c r="Q103" s="96"/>
      <c r="R103" s="103" t="s">
        <v>1270</v>
      </c>
      <c r="S103" s="97"/>
      <c r="T103" s="325" t="s">
        <v>182</v>
      </c>
      <c r="U103" s="97"/>
      <c r="V103" s="114">
        <f t="shared" si="10"/>
        <v>0</v>
      </c>
      <c r="W103" s="298" t="s">
        <v>835</v>
      </c>
      <c r="X103" s="298" t="s">
        <v>1189</v>
      </c>
      <c r="Y103" s="1" t="s">
        <v>275</v>
      </c>
      <c r="Z103" s="3" t="s">
        <v>265</v>
      </c>
      <c r="AA103" s="16" t="s">
        <v>276</v>
      </c>
      <c r="AB103" s="16" t="s">
        <v>276</v>
      </c>
      <c r="AC103" s="16" t="s">
        <v>276</v>
      </c>
      <c r="AD103" s="16" t="s">
        <v>276</v>
      </c>
    </row>
    <row r="104" spans="1:30" ht="45">
      <c r="A104" s="26" t="s">
        <v>440</v>
      </c>
      <c r="B104" s="46">
        <v>6</v>
      </c>
      <c r="C104" s="36" t="s">
        <v>441</v>
      </c>
      <c r="D104" s="243" t="s">
        <v>469</v>
      </c>
      <c r="E104" s="240" t="s">
        <v>1187</v>
      </c>
      <c r="F104" s="89" t="s">
        <v>476</v>
      </c>
      <c r="G104" s="90" t="s">
        <v>477</v>
      </c>
      <c r="H104" s="91" t="s">
        <v>259</v>
      </c>
      <c r="I104" s="91" t="s">
        <v>281</v>
      </c>
      <c r="J104" s="92" t="str">
        <f t="shared" si="2"/>
        <v xml:space="preserve">Mantenir una base de dades de seguiment de patrimoni natural de l'ENP actualitzada i ordenada </v>
      </c>
      <c r="K104" s="93"/>
      <c r="L104" s="60" t="s">
        <v>52</v>
      </c>
      <c r="M104" s="94" t="s">
        <v>274</v>
      </c>
      <c r="O104" s="60" t="s">
        <v>1218</v>
      </c>
      <c r="P104" s="95"/>
      <c r="Q104" s="96"/>
      <c r="R104" s="103" t="s">
        <v>1270</v>
      </c>
      <c r="S104" s="97"/>
      <c r="T104" s="325" t="s">
        <v>182</v>
      </c>
      <c r="U104" s="97"/>
      <c r="V104" s="114">
        <f t="shared" si="10"/>
        <v>0</v>
      </c>
      <c r="W104" s="298" t="s">
        <v>835</v>
      </c>
      <c r="X104" s="298" t="s">
        <v>1189</v>
      </c>
      <c r="Y104" s="1" t="s">
        <v>275</v>
      </c>
      <c r="Z104" s="3" t="s">
        <v>265</v>
      </c>
      <c r="AA104" s="16" t="s">
        <v>276</v>
      </c>
      <c r="AB104" s="16" t="s">
        <v>276</v>
      </c>
      <c r="AC104" s="16" t="s">
        <v>276</v>
      </c>
      <c r="AD104" s="16" t="s">
        <v>276</v>
      </c>
    </row>
    <row r="105" spans="1:30" ht="45">
      <c r="A105" s="26" t="s">
        <v>440</v>
      </c>
      <c r="B105" s="46">
        <v>6</v>
      </c>
      <c r="C105" s="36" t="s">
        <v>441</v>
      </c>
      <c r="D105" s="243" t="s">
        <v>469</v>
      </c>
      <c r="E105" s="240" t="s">
        <v>1187</v>
      </c>
      <c r="F105" s="89" t="s">
        <v>476</v>
      </c>
      <c r="G105" s="90" t="s">
        <v>477</v>
      </c>
      <c r="H105" s="91" t="s">
        <v>259</v>
      </c>
      <c r="I105" s="91" t="s">
        <v>281</v>
      </c>
      <c r="J105" s="92" t="str">
        <f t="shared" ref="J105" si="24">G105</f>
        <v xml:space="preserve">Mantenir una base de dades de seguiment de patrimoni natural de l'ENP actualitzada i ordenada </v>
      </c>
      <c r="K105" s="93"/>
      <c r="L105" s="60" t="s">
        <v>52</v>
      </c>
      <c r="M105" s="94" t="s">
        <v>274</v>
      </c>
      <c r="O105" s="60" t="s">
        <v>1079</v>
      </c>
      <c r="P105" s="95"/>
      <c r="Q105" s="96"/>
      <c r="R105" s="103" t="s">
        <v>1270</v>
      </c>
      <c r="S105" s="97"/>
      <c r="T105" s="325" t="s">
        <v>182</v>
      </c>
      <c r="U105" s="97"/>
      <c r="V105" s="114">
        <f t="shared" si="10"/>
        <v>0</v>
      </c>
      <c r="W105" s="298" t="s">
        <v>835</v>
      </c>
      <c r="X105" s="298" t="s">
        <v>1189</v>
      </c>
      <c r="Y105" s="1" t="s">
        <v>264</v>
      </c>
      <c r="Z105" s="3" t="s">
        <v>265</v>
      </c>
      <c r="AB105" s="16" t="s">
        <v>276</v>
      </c>
    </row>
    <row r="106" spans="1:30" ht="45">
      <c r="A106" s="26" t="s">
        <v>440</v>
      </c>
      <c r="B106" s="46">
        <v>6</v>
      </c>
      <c r="C106" s="36" t="s">
        <v>441</v>
      </c>
      <c r="D106" s="236" t="s">
        <v>469</v>
      </c>
      <c r="E106" s="238" t="s">
        <v>1187</v>
      </c>
      <c r="F106" s="89" t="s">
        <v>478</v>
      </c>
      <c r="G106" s="90" t="s">
        <v>479</v>
      </c>
      <c r="H106" s="91" t="s">
        <v>259</v>
      </c>
      <c r="I106" s="91" t="s">
        <v>281</v>
      </c>
      <c r="J106" s="92" t="str">
        <f t="shared" si="2"/>
        <v>Participar en el grups de treball per a la definició i organització del SINATCAT</v>
      </c>
      <c r="K106" s="93"/>
      <c r="L106" s="60" t="s">
        <v>52</v>
      </c>
      <c r="M106" s="94" t="s">
        <v>274</v>
      </c>
      <c r="O106" s="60" t="s">
        <v>1219</v>
      </c>
      <c r="P106" s="95"/>
      <c r="Q106" s="96" t="s">
        <v>480</v>
      </c>
      <c r="R106" s="288" t="s">
        <v>1045</v>
      </c>
      <c r="S106" s="97">
        <v>1</v>
      </c>
      <c r="T106" s="97">
        <v>4</v>
      </c>
      <c r="U106" s="97"/>
      <c r="V106" s="114">
        <f t="shared" si="10"/>
        <v>0</v>
      </c>
      <c r="W106" s="298" t="s">
        <v>263</v>
      </c>
      <c r="X106" s="298" t="str">
        <f>IF(W106=Llistes!$B$18,Llistes!$D$18,IF(W106=Llistes!$B$20,Llistes!$D$20,IF(W106=Llistes!$B$22,Llistes!$D$22,IF(W106=Llistes!$B$23,Llistes!$D$23,IF(W106=Llistes!$B$24,Llistes!$D$24,IF(W106=Llistes!$B$28,Llistes!$D$28))))))</f>
        <v>Tècnic coordinador</v>
      </c>
      <c r="Y106" s="1" t="s">
        <v>275</v>
      </c>
      <c r="Z106" s="3" t="s">
        <v>265</v>
      </c>
      <c r="AA106" s="16" t="s">
        <v>276</v>
      </c>
      <c r="AB106" s="16" t="s">
        <v>276</v>
      </c>
      <c r="AC106" s="16" t="s">
        <v>276</v>
      </c>
      <c r="AD106" s="16" t="s">
        <v>276</v>
      </c>
    </row>
    <row r="107" spans="1:30" ht="45" customHeight="1">
      <c r="A107" s="26" t="s">
        <v>440</v>
      </c>
      <c r="B107" s="46">
        <v>6</v>
      </c>
      <c r="C107" s="36" t="s">
        <v>441</v>
      </c>
      <c r="D107" s="237" t="s">
        <v>481</v>
      </c>
      <c r="E107" s="241" t="s">
        <v>482</v>
      </c>
      <c r="F107" s="89" t="s">
        <v>483</v>
      </c>
      <c r="G107" s="90" t="s">
        <v>484</v>
      </c>
      <c r="H107" s="91" t="s">
        <v>259</v>
      </c>
      <c r="I107" s="91" t="s">
        <v>346</v>
      </c>
      <c r="J107" s="92" t="str">
        <f t="shared" ref="J107:J183" si="25">G107</f>
        <v>Crear sinèrgies i col·laborar amb museus i equipaments de referència per definir línies d'actuació conjunta entre patrimoni cultural i natural</v>
      </c>
      <c r="K107" s="101" t="s">
        <v>1052</v>
      </c>
      <c r="L107" s="60"/>
      <c r="M107" s="94" t="s">
        <v>274</v>
      </c>
      <c r="O107" s="60"/>
      <c r="P107" s="95"/>
      <c r="Q107" s="96" t="s">
        <v>485</v>
      </c>
      <c r="R107" s="288"/>
      <c r="S107" s="97"/>
      <c r="T107" s="97"/>
      <c r="U107" s="97"/>
      <c r="V107" s="114">
        <f t="shared" si="10"/>
        <v>0</v>
      </c>
      <c r="W107" s="298"/>
      <c r="X107" s="298"/>
    </row>
    <row r="108" spans="1:30" ht="75">
      <c r="A108" s="26" t="s">
        <v>440</v>
      </c>
      <c r="B108" s="46">
        <v>6</v>
      </c>
      <c r="C108" s="36" t="s">
        <v>441</v>
      </c>
      <c r="D108" s="243" t="s">
        <v>481</v>
      </c>
      <c r="E108" s="240" t="s">
        <v>482</v>
      </c>
      <c r="F108" s="89" t="s">
        <v>486</v>
      </c>
      <c r="G108" s="90" t="s">
        <v>487</v>
      </c>
      <c r="H108" s="91" t="s">
        <v>259</v>
      </c>
      <c r="I108" s="91" t="s">
        <v>346</v>
      </c>
      <c r="J108" s="92" t="str">
        <f t="shared" si="25"/>
        <v>Establir acords amb les institucions de recerca i naturalistes per al desenvolupament d'estudis i inventaris dins l'ENP en el marc de les seves línies de recerca</v>
      </c>
      <c r="K108" s="101"/>
      <c r="L108" s="60" t="s">
        <v>52</v>
      </c>
      <c r="M108" s="94" t="s">
        <v>274</v>
      </c>
      <c r="O108" s="60" t="s">
        <v>1220</v>
      </c>
      <c r="P108" s="95"/>
      <c r="Q108" s="96" t="s">
        <v>485</v>
      </c>
      <c r="R108" s="288" t="s">
        <v>1080</v>
      </c>
      <c r="S108" s="97">
        <v>1</v>
      </c>
      <c r="T108" s="97">
        <v>4</v>
      </c>
      <c r="U108" s="97"/>
      <c r="V108" s="114">
        <f t="shared" si="10"/>
        <v>0</v>
      </c>
      <c r="W108" s="298" t="s">
        <v>263</v>
      </c>
      <c r="X108" s="298" t="str">
        <f>IF(W108=Llistes!$B$18,Llistes!$D$18,IF(W108=Llistes!$B$20,Llistes!$D$20,IF(W108=Llistes!$B$22,Llistes!$D$22,IF(W108=Llistes!$B$23,Llistes!$D$23,IF(W108=Llistes!$B$24,Llistes!$D$24,IF(W108=Llistes!$B$28,Llistes!$D$28))))))</f>
        <v>Tècnic coordinador</v>
      </c>
      <c r="Y108" s="1" t="s">
        <v>275</v>
      </c>
      <c r="Z108" s="3" t="s">
        <v>265</v>
      </c>
      <c r="AA108" s="16" t="s">
        <v>276</v>
      </c>
      <c r="AB108" s="16" t="s">
        <v>276</v>
      </c>
      <c r="AC108" s="16" t="s">
        <v>276</v>
      </c>
      <c r="AD108" s="16" t="s">
        <v>276</v>
      </c>
    </row>
    <row r="109" spans="1:30" ht="75">
      <c r="A109" s="26" t="s">
        <v>440</v>
      </c>
      <c r="B109" s="46">
        <v>6</v>
      </c>
      <c r="C109" s="36" t="s">
        <v>441</v>
      </c>
      <c r="D109" s="243" t="s">
        <v>481</v>
      </c>
      <c r="E109" s="240" t="s">
        <v>482</v>
      </c>
      <c r="F109" s="89" t="s">
        <v>488</v>
      </c>
      <c r="G109" s="90" t="s">
        <v>489</v>
      </c>
      <c r="H109" s="91" t="s">
        <v>259</v>
      </c>
      <c r="I109" s="91" t="s">
        <v>346</v>
      </c>
      <c r="J109" s="92" t="str">
        <f t="shared" si="25"/>
        <v xml:space="preserve">Potenciar la ciència ciutadana en l’ENP com a eina per generar coneixement </v>
      </c>
      <c r="K109" s="101" t="s">
        <v>1052</v>
      </c>
      <c r="L109" s="60"/>
      <c r="M109" s="94" t="s">
        <v>274</v>
      </c>
      <c r="O109" s="60"/>
      <c r="P109" s="95"/>
      <c r="Q109" s="96"/>
      <c r="R109" s="288"/>
      <c r="S109" s="97"/>
      <c r="T109" s="97"/>
      <c r="U109" s="97"/>
      <c r="V109" s="114">
        <f t="shared" si="10"/>
        <v>0</v>
      </c>
      <c r="W109" s="298"/>
      <c r="X109" s="298"/>
    </row>
    <row r="110" spans="1:30" ht="75">
      <c r="A110" s="26" t="s">
        <v>440</v>
      </c>
      <c r="B110" s="46">
        <v>6</v>
      </c>
      <c r="C110" s="36" t="s">
        <v>441</v>
      </c>
      <c r="D110" s="243" t="s">
        <v>481</v>
      </c>
      <c r="E110" s="244" t="s">
        <v>482</v>
      </c>
      <c r="F110" s="89" t="s">
        <v>490</v>
      </c>
      <c r="G110" s="90" t="s">
        <v>1152</v>
      </c>
      <c r="H110" s="91" t="s">
        <v>259</v>
      </c>
      <c r="I110" s="91" t="s">
        <v>346</v>
      </c>
      <c r="J110" s="92" t="str">
        <f t="shared" si="25"/>
        <v xml:space="preserve">Crear i desenvolupar jornades de recerca de l'ENP de forma anual on els diferents centres mostrin els estudis realitzats en l'ENP </v>
      </c>
      <c r="K110" s="93"/>
      <c r="L110" s="60" t="s">
        <v>52</v>
      </c>
      <c r="M110" s="94" t="s">
        <v>274</v>
      </c>
      <c r="O110" s="60" t="s">
        <v>1221</v>
      </c>
      <c r="P110" s="95"/>
      <c r="Q110" s="96" t="s">
        <v>491</v>
      </c>
      <c r="R110" s="103" t="s">
        <v>1270</v>
      </c>
      <c r="S110" s="97"/>
      <c r="T110" s="325" t="s">
        <v>182</v>
      </c>
      <c r="U110" s="97"/>
      <c r="V110" s="114">
        <f t="shared" si="10"/>
        <v>0</v>
      </c>
      <c r="W110" s="298" t="s">
        <v>263</v>
      </c>
      <c r="X110" s="298" t="str">
        <f>IF(W110=Llistes!$B$18,Llistes!$D$18,IF(W110=Llistes!$B$20,Llistes!$D$20,IF(W110=Llistes!$B$22,Llistes!$D$22,IF(W110=Llistes!$B$23,Llistes!$D$23,IF(W110=Llistes!$B$24,Llistes!$D$24,IF(W110=Llistes!$B$28,Llistes!$D$28))))))</f>
        <v>Tècnic coordinador</v>
      </c>
      <c r="Y110" s="1" t="s">
        <v>275</v>
      </c>
      <c r="Z110" s="3" t="s">
        <v>265</v>
      </c>
      <c r="AD110" s="16" t="s">
        <v>276</v>
      </c>
    </row>
    <row r="111" spans="1:30" ht="75">
      <c r="A111" s="26" t="s">
        <v>440</v>
      </c>
      <c r="B111" s="46">
        <v>6</v>
      </c>
      <c r="C111" s="36" t="s">
        <v>441</v>
      </c>
      <c r="D111" s="243" t="s">
        <v>481</v>
      </c>
      <c r="E111" s="240" t="s">
        <v>482</v>
      </c>
      <c r="F111" s="89" t="s">
        <v>492</v>
      </c>
      <c r="G111" s="90" t="s">
        <v>493</v>
      </c>
      <c r="H111" s="91" t="s">
        <v>259</v>
      </c>
      <c r="I111" s="91" t="s">
        <v>346</v>
      </c>
      <c r="J111" s="92" t="str">
        <f t="shared" si="25"/>
        <v>Posar a disposició de la recerca, equipaments i serveis de l'ENP</v>
      </c>
      <c r="K111" s="93"/>
      <c r="L111" s="60" t="s">
        <v>52</v>
      </c>
      <c r="M111" s="94" t="s">
        <v>274</v>
      </c>
      <c r="O111" s="60" t="s">
        <v>1222</v>
      </c>
      <c r="P111" s="95" t="s">
        <v>284</v>
      </c>
      <c r="Q111" s="96"/>
      <c r="R111" s="288" t="s">
        <v>1080</v>
      </c>
      <c r="S111" s="97">
        <v>1</v>
      </c>
      <c r="T111" s="97">
        <v>2</v>
      </c>
      <c r="U111" s="97"/>
      <c r="V111" s="114">
        <f t="shared" si="10"/>
        <v>0</v>
      </c>
      <c r="W111" s="298" t="s">
        <v>263</v>
      </c>
      <c r="X111" s="298" t="str">
        <f>IF(W111=Llistes!$B$18,Llistes!$D$18,IF(W111=Llistes!$B$20,Llistes!$D$20,IF(W111=Llistes!$B$22,Llistes!$D$22,IF(W111=Llistes!$B$23,Llistes!$D$23,IF(W111=Llistes!$B$24,Llistes!$D$24,IF(W111=Llistes!$B$28,Llistes!$D$28))))))</f>
        <v>Tècnic coordinador</v>
      </c>
      <c r="Y111" s="1" t="s">
        <v>275</v>
      </c>
      <c r="Z111" s="3" t="s">
        <v>265</v>
      </c>
      <c r="AA111" s="16" t="s">
        <v>276</v>
      </c>
      <c r="AB111" s="16" t="s">
        <v>276</v>
      </c>
      <c r="AC111" s="16" t="s">
        <v>276</v>
      </c>
      <c r="AD111" s="16" t="s">
        <v>276</v>
      </c>
    </row>
    <row r="112" spans="1:30" ht="75">
      <c r="A112" s="26" t="s">
        <v>440</v>
      </c>
      <c r="B112" s="46">
        <v>6</v>
      </c>
      <c r="C112" s="36" t="s">
        <v>441</v>
      </c>
      <c r="D112" s="236" t="s">
        <v>481</v>
      </c>
      <c r="E112" s="238" t="s">
        <v>482</v>
      </c>
      <c r="F112" s="89" t="s">
        <v>494</v>
      </c>
      <c r="G112" s="90" t="s">
        <v>495</v>
      </c>
      <c r="H112" s="91" t="s">
        <v>259</v>
      </c>
      <c r="I112" s="91" t="s">
        <v>346</v>
      </c>
      <c r="J112" s="92" t="str">
        <f t="shared" si="25"/>
        <v xml:space="preserve">Crear l'Observatori de recerca de l'ENP vinculat a l'Observatori del Patrimoni natural i la biodiversitat </v>
      </c>
      <c r="K112" s="101" t="s">
        <v>1052</v>
      </c>
      <c r="L112" s="60"/>
      <c r="M112" s="94" t="s">
        <v>274</v>
      </c>
      <c r="O112" s="60"/>
      <c r="P112" s="95"/>
      <c r="Q112" s="96" t="s">
        <v>1167</v>
      </c>
      <c r="R112" s="288"/>
      <c r="S112" s="97"/>
      <c r="T112" s="97"/>
      <c r="U112" s="97"/>
      <c r="V112" s="114">
        <f t="shared" si="10"/>
        <v>0</v>
      </c>
      <c r="W112" s="298"/>
      <c r="X112" s="298"/>
    </row>
    <row r="113" spans="1:30" ht="45">
      <c r="A113" s="26" t="s">
        <v>440</v>
      </c>
      <c r="B113" s="46">
        <v>6</v>
      </c>
      <c r="C113" s="36" t="s">
        <v>441</v>
      </c>
      <c r="D113" s="237" t="s">
        <v>496</v>
      </c>
      <c r="E113" s="241" t="s">
        <v>497</v>
      </c>
      <c r="F113" s="89" t="s">
        <v>498</v>
      </c>
      <c r="G113" s="90" t="s">
        <v>1168</v>
      </c>
      <c r="H113" s="91" t="s">
        <v>259</v>
      </c>
      <c r="I113" s="91" t="s">
        <v>281</v>
      </c>
      <c r="J113" s="92" t="str">
        <f t="shared" si="25"/>
        <v>Participar en la definició del sistema estàndard de seguiment de l'ús públic amb el SENP</v>
      </c>
      <c r="K113" s="93"/>
      <c r="L113" s="60" t="s">
        <v>53</v>
      </c>
      <c r="M113" s="94" t="s">
        <v>274</v>
      </c>
      <c r="O113" s="60" t="s">
        <v>1223</v>
      </c>
      <c r="P113" s="95"/>
      <c r="Q113" s="96" t="s">
        <v>1169</v>
      </c>
      <c r="R113" s="288" t="s">
        <v>1045</v>
      </c>
      <c r="S113" s="97">
        <v>1</v>
      </c>
      <c r="T113" s="97">
        <v>4</v>
      </c>
      <c r="U113" s="97"/>
      <c r="V113" s="114">
        <f t="shared" si="10"/>
        <v>0</v>
      </c>
      <c r="W113" s="298" t="s">
        <v>263</v>
      </c>
      <c r="X113" s="298" t="str">
        <f>IF(W113=Llistes!$B$18,Llistes!$D$18,IF(W113=Llistes!$B$20,Llistes!$D$20,IF(W113=Llistes!$B$22,Llistes!$D$22,IF(W113=Llistes!$B$23,Llistes!$D$23,IF(W113=Llistes!$B$24,Llistes!$D$24,IF(W113=Llistes!$B$28,Llistes!$D$28))))))</f>
        <v>Tècnic coordinador</v>
      </c>
      <c r="Y113" s="1" t="s">
        <v>275</v>
      </c>
      <c r="Z113" s="3" t="s">
        <v>265</v>
      </c>
      <c r="AA113" s="16" t="s">
        <v>276</v>
      </c>
      <c r="AB113" s="16" t="s">
        <v>276</v>
      </c>
      <c r="AC113" s="16" t="s">
        <v>276</v>
      </c>
      <c r="AD113" s="16" t="s">
        <v>276</v>
      </c>
    </row>
    <row r="114" spans="1:30" ht="45">
      <c r="A114" s="26" t="s">
        <v>440</v>
      </c>
      <c r="B114" s="46">
        <v>6</v>
      </c>
      <c r="C114" s="36" t="s">
        <v>441</v>
      </c>
      <c r="D114" s="243" t="s">
        <v>496</v>
      </c>
      <c r="E114" s="240" t="s">
        <v>497</v>
      </c>
      <c r="F114" s="89" t="s">
        <v>499</v>
      </c>
      <c r="G114" s="90" t="s">
        <v>500</v>
      </c>
      <c r="H114" s="91" t="s">
        <v>259</v>
      </c>
      <c r="I114" s="91" t="s">
        <v>281</v>
      </c>
      <c r="J114" s="92" t="s">
        <v>1082</v>
      </c>
      <c r="K114" s="93" t="s">
        <v>1081</v>
      </c>
      <c r="L114" s="60" t="s">
        <v>52</v>
      </c>
      <c r="M114" s="94" t="s">
        <v>282</v>
      </c>
      <c r="O114" s="60" t="s">
        <v>1224</v>
      </c>
      <c r="P114" s="95"/>
      <c r="Q114" s="96" t="s">
        <v>1170</v>
      </c>
      <c r="R114" s="103" t="s">
        <v>1270</v>
      </c>
      <c r="S114" s="97"/>
      <c r="T114" s="325" t="s">
        <v>182</v>
      </c>
      <c r="U114" s="97"/>
      <c r="V114" s="114">
        <f t="shared" si="10"/>
        <v>0</v>
      </c>
      <c r="W114" s="298" t="s">
        <v>835</v>
      </c>
      <c r="X114" s="298" t="s">
        <v>1189</v>
      </c>
      <c r="Y114" s="1" t="s">
        <v>275</v>
      </c>
      <c r="Z114" s="3" t="s">
        <v>265</v>
      </c>
      <c r="AC114" s="16" t="s">
        <v>276</v>
      </c>
    </row>
    <row r="115" spans="1:30" ht="45">
      <c r="A115" s="26" t="s">
        <v>440</v>
      </c>
      <c r="B115" s="46">
        <v>6</v>
      </c>
      <c r="C115" s="36" t="s">
        <v>441</v>
      </c>
      <c r="D115" s="243" t="s">
        <v>496</v>
      </c>
      <c r="E115" s="240" t="s">
        <v>497</v>
      </c>
      <c r="F115" s="89" t="s">
        <v>501</v>
      </c>
      <c r="G115" s="90" t="s">
        <v>502</v>
      </c>
      <c r="H115" s="91" t="s">
        <v>259</v>
      </c>
      <c r="I115" s="91" t="s">
        <v>281</v>
      </c>
      <c r="J115" s="92" t="str">
        <f t="shared" si="25"/>
        <v>Identificar les activitats i actors de l’espai.</v>
      </c>
      <c r="K115" s="93"/>
      <c r="L115" s="60" t="s">
        <v>52</v>
      </c>
      <c r="M115" s="94" t="s">
        <v>274</v>
      </c>
      <c r="O115" s="60" t="s">
        <v>1083</v>
      </c>
      <c r="P115" s="95"/>
      <c r="Q115" s="96"/>
      <c r="R115" s="103" t="s">
        <v>1270</v>
      </c>
      <c r="S115" s="97"/>
      <c r="T115" s="325" t="s">
        <v>182</v>
      </c>
      <c r="U115" s="97"/>
      <c r="V115" s="114">
        <f t="shared" si="10"/>
        <v>0</v>
      </c>
      <c r="W115" s="298" t="s">
        <v>835</v>
      </c>
      <c r="X115" s="298" t="s">
        <v>1189</v>
      </c>
      <c r="Y115" s="1" t="s">
        <v>275</v>
      </c>
      <c r="Z115" s="3" t="s">
        <v>265</v>
      </c>
      <c r="AC115" s="16" t="s">
        <v>276</v>
      </c>
    </row>
    <row r="116" spans="1:30" ht="45">
      <c r="A116" s="26" t="s">
        <v>440</v>
      </c>
      <c r="B116" s="46">
        <v>6</v>
      </c>
      <c r="C116" s="36" t="s">
        <v>441</v>
      </c>
      <c r="D116" s="243" t="s">
        <v>496</v>
      </c>
      <c r="E116" s="240" t="s">
        <v>497</v>
      </c>
      <c r="F116" s="89" t="s">
        <v>503</v>
      </c>
      <c r="G116" s="90" t="s">
        <v>504</v>
      </c>
      <c r="H116" s="91"/>
      <c r="I116" s="91"/>
      <c r="J116" s="92" t="str">
        <f t="shared" si="25"/>
        <v>Identificar en cartografia les males praxis i punts de massificació</v>
      </c>
      <c r="K116" s="93"/>
      <c r="L116" s="60" t="s">
        <v>52</v>
      </c>
      <c r="M116" s="94" t="s">
        <v>274</v>
      </c>
      <c r="O116" s="60" t="s">
        <v>1225</v>
      </c>
      <c r="P116" s="95"/>
      <c r="Q116" s="96"/>
      <c r="R116" s="103" t="s">
        <v>1270</v>
      </c>
      <c r="S116" s="97"/>
      <c r="T116" s="325" t="s">
        <v>182</v>
      </c>
      <c r="U116" s="97"/>
      <c r="V116" s="114">
        <f t="shared" si="10"/>
        <v>0</v>
      </c>
      <c r="W116" s="298" t="s">
        <v>835</v>
      </c>
      <c r="X116" s="298" t="s">
        <v>1189</v>
      </c>
      <c r="Y116" s="1" t="s">
        <v>264</v>
      </c>
      <c r="Z116" s="3" t="s">
        <v>265</v>
      </c>
      <c r="AB116" s="16" t="s">
        <v>276</v>
      </c>
    </row>
    <row r="117" spans="1:30" ht="45">
      <c r="A117" s="26" t="s">
        <v>440</v>
      </c>
      <c r="B117" s="46">
        <v>6</v>
      </c>
      <c r="C117" s="36" t="s">
        <v>441</v>
      </c>
      <c r="D117" s="243" t="s">
        <v>496</v>
      </c>
      <c r="E117" s="240" t="s">
        <v>497</v>
      </c>
      <c r="F117" s="89" t="s">
        <v>505</v>
      </c>
      <c r="G117" s="90" t="s">
        <v>1171</v>
      </c>
      <c r="H117" s="91" t="s">
        <v>259</v>
      </c>
      <c r="I117" s="91" t="s">
        <v>281</v>
      </c>
      <c r="J117" s="92" t="str">
        <f t="shared" si="25"/>
        <v>Adaptar i mantenir un registre d'activitats, actors i incidències en ús públic (curses, conflictes, queixes, etc)</v>
      </c>
      <c r="K117" s="93"/>
      <c r="L117" s="60" t="s">
        <v>52</v>
      </c>
      <c r="M117" s="94" t="s">
        <v>274</v>
      </c>
      <c r="O117" s="60" t="s">
        <v>1098</v>
      </c>
      <c r="P117" s="95"/>
      <c r="Q117" s="96" t="s">
        <v>1172</v>
      </c>
      <c r="R117" s="103" t="s">
        <v>1270</v>
      </c>
      <c r="S117" s="97"/>
      <c r="T117" s="325" t="s">
        <v>182</v>
      </c>
      <c r="U117" s="97"/>
      <c r="V117" s="114">
        <f t="shared" si="10"/>
        <v>0</v>
      </c>
      <c r="W117" s="298" t="s">
        <v>835</v>
      </c>
      <c r="X117" s="298" t="s">
        <v>1189</v>
      </c>
      <c r="Y117" s="1" t="s">
        <v>264</v>
      </c>
      <c r="Z117" s="3" t="s">
        <v>265</v>
      </c>
      <c r="AB117" s="16" t="s">
        <v>276</v>
      </c>
    </row>
    <row r="118" spans="1:30" ht="60">
      <c r="A118" s="26" t="s">
        <v>440</v>
      </c>
      <c r="B118" s="46">
        <v>6</v>
      </c>
      <c r="C118" s="36" t="s">
        <v>441</v>
      </c>
      <c r="D118" s="236" t="s">
        <v>496</v>
      </c>
      <c r="E118" s="238" t="s">
        <v>497</v>
      </c>
      <c r="F118" s="89" t="s">
        <v>506</v>
      </c>
      <c r="G118" s="90" t="s">
        <v>507</v>
      </c>
      <c r="H118" s="91" t="s">
        <v>259</v>
      </c>
      <c r="I118" s="91" t="s">
        <v>281</v>
      </c>
      <c r="J118" s="92" t="str">
        <f t="shared" si="25"/>
        <v>Identificar els impactes (positius i negatius) que generen les activitats d'ús públic dins l'ENP</v>
      </c>
      <c r="K118" s="93"/>
      <c r="L118" s="60" t="s">
        <v>52</v>
      </c>
      <c r="M118" s="94" t="s">
        <v>261</v>
      </c>
      <c r="O118" s="60" t="s">
        <v>1084</v>
      </c>
      <c r="P118" s="95" t="s">
        <v>284</v>
      </c>
      <c r="Q118" s="96"/>
      <c r="R118" s="103" t="s">
        <v>1270</v>
      </c>
      <c r="S118" s="97"/>
      <c r="T118" s="325" t="s">
        <v>182</v>
      </c>
      <c r="U118" s="97"/>
      <c r="V118" s="114">
        <f t="shared" si="10"/>
        <v>0</v>
      </c>
      <c r="W118" s="298" t="s">
        <v>835</v>
      </c>
      <c r="X118" s="298" t="s">
        <v>1189</v>
      </c>
      <c r="Y118" s="1" t="s">
        <v>264</v>
      </c>
      <c r="Z118" s="3" t="s">
        <v>265</v>
      </c>
      <c r="AD118" s="16" t="s">
        <v>276</v>
      </c>
    </row>
    <row r="119" spans="1:30" ht="45">
      <c r="A119" s="27" t="s">
        <v>508</v>
      </c>
      <c r="B119" s="34">
        <v>7</v>
      </c>
      <c r="C119" s="35" t="s">
        <v>509</v>
      </c>
      <c r="D119" s="14" t="s">
        <v>510</v>
      </c>
      <c r="E119" s="74" t="s">
        <v>1153</v>
      </c>
      <c r="F119" s="89" t="s">
        <v>511</v>
      </c>
      <c r="G119" s="90" t="s">
        <v>512</v>
      </c>
      <c r="H119" s="91" t="s">
        <v>259</v>
      </c>
      <c r="I119" s="91" t="s">
        <v>260</v>
      </c>
      <c r="J119" s="92" t="str">
        <f t="shared" si="25"/>
        <v xml:space="preserve">Promoure i col·laborar en l'aplicació de Plans de Desenvolupament Local Sostenible </v>
      </c>
      <c r="K119" s="93"/>
      <c r="L119" s="60" t="s">
        <v>53</v>
      </c>
      <c r="M119" s="94" t="s">
        <v>274</v>
      </c>
      <c r="O119" s="60" t="s">
        <v>1085</v>
      </c>
      <c r="P119" s="95"/>
      <c r="Q119" s="96"/>
      <c r="R119" s="103" t="s">
        <v>1270</v>
      </c>
      <c r="S119" s="97"/>
      <c r="T119" s="325" t="s">
        <v>182</v>
      </c>
      <c r="U119" s="97"/>
      <c r="V119" s="114">
        <f t="shared" si="10"/>
        <v>0</v>
      </c>
      <c r="W119" s="298" t="s">
        <v>263</v>
      </c>
      <c r="X119" s="298" t="str">
        <f>IF(W119=Llistes!$B$18,Llistes!$D$18,IF(W119=Llistes!$B$20,Llistes!$D$20,IF(W119=Llistes!$B$22,Llistes!$D$22,IF(W119=Llistes!$B$23,Llistes!$D$23,IF(W119=Llistes!$B$24,Llistes!$D$24,IF(W119=Llistes!$B$28,Llistes!$D$28))))))</f>
        <v>Tècnic coordinador</v>
      </c>
      <c r="Y119" s="1" t="s">
        <v>275</v>
      </c>
      <c r="Z119" s="3" t="s">
        <v>265</v>
      </c>
      <c r="AA119" s="16" t="s">
        <v>276</v>
      </c>
      <c r="AB119" s="16" t="s">
        <v>276</v>
      </c>
      <c r="AC119" s="16" t="s">
        <v>276</v>
      </c>
      <c r="AD119" s="16" t="s">
        <v>276</v>
      </c>
    </row>
    <row r="120" spans="1:30" ht="90">
      <c r="A120" s="27" t="s">
        <v>508</v>
      </c>
      <c r="B120" s="34">
        <v>8</v>
      </c>
      <c r="C120" s="35" t="s">
        <v>513</v>
      </c>
      <c r="D120" s="185" t="s">
        <v>514</v>
      </c>
      <c r="E120" s="182" t="s">
        <v>515</v>
      </c>
      <c r="F120" s="89" t="s">
        <v>516</v>
      </c>
      <c r="G120" s="90" t="s">
        <v>517</v>
      </c>
      <c r="H120" s="91" t="s">
        <v>259</v>
      </c>
      <c r="I120" s="91" t="s">
        <v>260</v>
      </c>
      <c r="J120" s="92" t="str">
        <f t="shared" si="25"/>
        <v xml:space="preserve">Acompanyar i assessorar els productors agraris per millorar les tècniques productives agràries i afavorir la conservació dels hàbitats i paisatges </v>
      </c>
      <c r="K120" s="93"/>
      <c r="L120" s="60" t="s">
        <v>52</v>
      </c>
      <c r="M120" s="94" t="s">
        <v>274</v>
      </c>
      <c r="O120" s="60" t="s">
        <v>1226</v>
      </c>
      <c r="P120" s="95"/>
      <c r="Q120" s="96"/>
      <c r="R120" s="103" t="s">
        <v>1270</v>
      </c>
      <c r="S120" s="97"/>
      <c r="T120" s="325" t="s">
        <v>182</v>
      </c>
      <c r="U120" s="97"/>
      <c r="V120" s="114">
        <f t="shared" si="10"/>
        <v>0</v>
      </c>
      <c r="W120" s="298" t="s">
        <v>835</v>
      </c>
      <c r="X120" s="298" t="s">
        <v>1189</v>
      </c>
      <c r="Y120" s="1" t="s">
        <v>264</v>
      </c>
      <c r="Z120" s="3" t="s">
        <v>265</v>
      </c>
      <c r="AD120" s="16" t="s">
        <v>276</v>
      </c>
    </row>
    <row r="121" spans="1:30" ht="90">
      <c r="A121" s="27" t="s">
        <v>508</v>
      </c>
      <c r="B121" s="184">
        <v>8</v>
      </c>
      <c r="C121" s="204" t="s">
        <v>513</v>
      </c>
      <c r="D121" s="186" t="s">
        <v>514</v>
      </c>
      <c r="E121" s="232" t="s">
        <v>515</v>
      </c>
      <c r="F121" s="89" t="s">
        <v>518</v>
      </c>
      <c r="G121" s="90" t="s">
        <v>519</v>
      </c>
      <c r="H121" s="91" t="s">
        <v>259</v>
      </c>
      <c r="I121" s="91" t="s">
        <v>260</v>
      </c>
      <c r="J121" s="92" t="str">
        <f t="shared" si="25"/>
        <v xml:space="preserve">Oferir formació als productors agraris per millorar el seu coneixement sobre tècniques eficients i respectuoses amb la conservació del patrimoni natural i cultural </v>
      </c>
      <c r="K121" s="93"/>
      <c r="L121" s="60" t="s">
        <v>52</v>
      </c>
      <c r="M121" s="94" t="s">
        <v>274</v>
      </c>
      <c r="O121" s="60" t="s">
        <v>1227</v>
      </c>
      <c r="P121" s="95"/>
      <c r="Q121" s="96"/>
      <c r="R121" s="103" t="s">
        <v>1270</v>
      </c>
      <c r="S121" s="97"/>
      <c r="T121" s="325" t="s">
        <v>182</v>
      </c>
      <c r="U121" s="97"/>
      <c r="V121" s="114">
        <f t="shared" si="10"/>
        <v>0</v>
      </c>
      <c r="W121" s="298" t="s">
        <v>835</v>
      </c>
      <c r="X121" s="298" t="s">
        <v>1189</v>
      </c>
      <c r="Y121" s="1" t="s">
        <v>264</v>
      </c>
      <c r="Z121" s="3" t="s">
        <v>265</v>
      </c>
      <c r="AB121" s="16" t="s">
        <v>276</v>
      </c>
    </row>
    <row r="122" spans="1:30" ht="90">
      <c r="A122" s="27" t="s">
        <v>508</v>
      </c>
      <c r="B122" s="184">
        <v>8</v>
      </c>
      <c r="C122" s="204" t="s">
        <v>513</v>
      </c>
      <c r="D122" s="186" t="s">
        <v>514</v>
      </c>
      <c r="E122" s="230" t="s">
        <v>515</v>
      </c>
      <c r="F122" s="89" t="s">
        <v>520</v>
      </c>
      <c r="G122" s="90" t="s">
        <v>521</v>
      </c>
      <c r="H122" s="91" t="s">
        <v>318</v>
      </c>
      <c r="I122" s="91" t="s">
        <v>346</v>
      </c>
      <c r="J122" s="92" t="str">
        <f t="shared" si="25"/>
        <v>Promoure la recuperació i conservació de marges i punts d'aigua associats a la ramaderia i l'agricultura i d'interès per la biodiversitat</v>
      </c>
      <c r="K122" s="93"/>
      <c r="L122" s="60" t="s">
        <v>52</v>
      </c>
      <c r="M122" s="94" t="s">
        <v>274</v>
      </c>
      <c r="O122" s="60" t="s">
        <v>1228</v>
      </c>
      <c r="P122" s="95"/>
      <c r="Q122" s="96"/>
      <c r="R122" s="103" t="s">
        <v>1270</v>
      </c>
      <c r="S122" s="97"/>
      <c r="T122" s="325" t="s">
        <v>182</v>
      </c>
      <c r="U122" s="97"/>
      <c r="V122" s="114">
        <f t="shared" si="10"/>
        <v>0</v>
      </c>
      <c r="W122" s="298" t="s">
        <v>835</v>
      </c>
      <c r="X122" s="298" t="s">
        <v>1189</v>
      </c>
      <c r="Y122" s="1" t="s">
        <v>264</v>
      </c>
      <c r="Z122" s="3" t="s">
        <v>265</v>
      </c>
      <c r="AC122" s="16" t="s">
        <v>276</v>
      </c>
    </row>
    <row r="123" spans="1:30" ht="90">
      <c r="A123" s="27" t="s">
        <v>508</v>
      </c>
      <c r="B123" s="184">
        <v>8</v>
      </c>
      <c r="C123" s="204" t="s">
        <v>513</v>
      </c>
      <c r="D123" s="14" t="s">
        <v>522</v>
      </c>
      <c r="E123" s="74" t="s">
        <v>523</v>
      </c>
      <c r="F123" s="91" t="s">
        <v>524</v>
      </c>
      <c r="G123" s="90" t="s">
        <v>525</v>
      </c>
      <c r="H123" s="95"/>
      <c r="I123" s="95"/>
      <c r="J123" s="92" t="str">
        <f t="shared" ref="J123" si="26">G123</f>
        <v>Establir una relació contínua amb agents socioeconòmics del territori, i si s'escau, crear una Taula de desenvolupament local</v>
      </c>
      <c r="K123" s="94"/>
      <c r="L123" s="60" t="s">
        <v>52</v>
      </c>
      <c r="M123" s="94" t="s">
        <v>261</v>
      </c>
      <c r="O123" s="60" t="s">
        <v>1097</v>
      </c>
      <c r="P123" s="95" t="s">
        <v>284</v>
      </c>
      <c r="Q123" s="96"/>
      <c r="R123" s="103" t="s">
        <v>1270</v>
      </c>
      <c r="S123" s="97"/>
      <c r="T123" s="325" t="s">
        <v>182</v>
      </c>
      <c r="U123" s="97"/>
      <c r="V123" s="114">
        <f t="shared" si="10"/>
        <v>0</v>
      </c>
      <c r="W123" s="298" t="s">
        <v>835</v>
      </c>
      <c r="X123" s="298" t="s">
        <v>1189</v>
      </c>
      <c r="Y123" s="1" t="s">
        <v>275</v>
      </c>
      <c r="Z123" s="3" t="s">
        <v>265</v>
      </c>
      <c r="AB123" s="16" t="s">
        <v>276</v>
      </c>
      <c r="AC123" s="16" t="s">
        <v>276</v>
      </c>
      <c r="AD123" s="16" t="s">
        <v>276</v>
      </c>
    </row>
    <row r="124" spans="1:30" ht="90">
      <c r="A124" s="27" t="s">
        <v>508</v>
      </c>
      <c r="B124" s="184">
        <v>8</v>
      </c>
      <c r="C124" s="204" t="s">
        <v>513</v>
      </c>
      <c r="D124" s="14" t="s">
        <v>522</v>
      </c>
      <c r="E124" s="74" t="s">
        <v>523</v>
      </c>
      <c r="F124" s="91" t="s">
        <v>524</v>
      </c>
      <c r="G124" s="90" t="s">
        <v>525</v>
      </c>
      <c r="H124" s="95"/>
      <c r="I124" s="95"/>
      <c r="J124" s="92" t="str">
        <f t="shared" si="25"/>
        <v>Establir una relació contínua amb agents socioeconòmics del territori, i si s'escau, crear una Taula de desenvolupament local</v>
      </c>
      <c r="K124" s="94"/>
      <c r="L124" s="60" t="s">
        <v>52</v>
      </c>
      <c r="M124" s="94" t="s">
        <v>261</v>
      </c>
      <c r="O124" s="60" t="s">
        <v>1086</v>
      </c>
      <c r="P124" s="95" t="s">
        <v>284</v>
      </c>
      <c r="Q124" s="96"/>
      <c r="R124" s="288" t="s">
        <v>1045</v>
      </c>
      <c r="S124" s="97">
        <v>2</v>
      </c>
      <c r="T124" s="97">
        <v>3</v>
      </c>
      <c r="U124" s="97"/>
      <c r="V124" s="114">
        <f t="shared" si="10"/>
        <v>0</v>
      </c>
      <c r="W124" s="298" t="s">
        <v>263</v>
      </c>
      <c r="X124" s="298" t="str">
        <f>IF(W124=Llistes!$B$18,Llistes!$D$18,IF(W124=Llistes!$B$20,Llistes!$D$20,IF(W124=Llistes!$B$22,Llistes!$D$22,IF(W124=Llistes!$B$23,Llistes!$D$23,IF(W124=Llistes!$B$24,Llistes!$D$24,IF(W124=Llistes!$B$28,Llistes!$D$28))))))</f>
        <v>Tècnic coordinador</v>
      </c>
      <c r="Y124" s="1" t="s">
        <v>275</v>
      </c>
      <c r="Z124" s="3" t="s">
        <v>265</v>
      </c>
      <c r="AB124" s="16" t="s">
        <v>276</v>
      </c>
      <c r="AC124" s="16" t="s">
        <v>276</v>
      </c>
      <c r="AD124" s="16" t="s">
        <v>276</v>
      </c>
    </row>
    <row r="125" spans="1:30" ht="90">
      <c r="A125" s="27" t="s">
        <v>508</v>
      </c>
      <c r="B125" s="184">
        <v>8</v>
      </c>
      <c r="C125" s="204" t="s">
        <v>513</v>
      </c>
      <c r="D125" s="185" t="s">
        <v>526</v>
      </c>
      <c r="E125" s="233" t="s">
        <v>527</v>
      </c>
      <c r="F125" s="89" t="s">
        <v>528</v>
      </c>
      <c r="G125" s="90" t="s">
        <v>529</v>
      </c>
      <c r="H125" s="91" t="s">
        <v>259</v>
      </c>
      <c r="I125" s="91" t="s">
        <v>346</v>
      </c>
      <c r="J125" s="92" t="str">
        <f t="shared" si="25"/>
        <v>Implantar un distintiu de qualitat i compatibilitat amb la conservació dels productes de la Xarxa d'ENP o criteris de qualitat propis de l'ENP</v>
      </c>
      <c r="K125" s="101" t="s">
        <v>1087</v>
      </c>
      <c r="L125" s="60"/>
      <c r="M125" s="94" t="s">
        <v>274</v>
      </c>
      <c r="O125" s="60"/>
      <c r="P125" s="95" t="s">
        <v>284</v>
      </c>
      <c r="Q125" s="96" t="s">
        <v>530</v>
      </c>
      <c r="R125" s="288"/>
      <c r="S125" s="97"/>
      <c r="T125" s="97"/>
      <c r="U125" s="97"/>
      <c r="V125" s="114">
        <f t="shared" si="10"/>
        <v>0</v>
      </c>
      <c r="W125" s="298"/>
      <c r="X125" s="298"/>
    </row>
    <row r="126" spans="1:30" ht="90">
      <c r="A126" s="27" t="s">
        <v>508</v>
      </c>
      <c r="B126" s="184">
        <v>8</v>
      </c>
      <c r="C126" s="204" t="s">
        <v>513</v>
      </c>
      <c r="D126" s="186" t="s">
        <v>526</v>
      </c>
      <c r="E126" s="235" t="s">
        <v>527</v>
      </c>
      <c r="F126" s="89" t="s">
        <v>531</v>
      </c>
      <c r="G126" s="90" t="s">
        <v>532</v>
      </c>
      <c r="H126" s="91" t="s">
        <v>259</v>
      </c>
      <c r="I126" s="91" t="s">
        <v>281</v>
      </c>
      <c r="J126" s="92" t="str">
        <f t="shared" si="25"/>
        <v>Integrar els productes i activitats locals de qualitat en l'oferta d'activitats d'informació i turístiques de l'ENP</v>
      </c>
      <c r="K126" s="101" t="s">
        <v>1087</v>
      </c>
      <c r="L126" s="60"/>
      <c r="M126" s="94" t="s">
        <v>274</v>
      </c>
      <c r="O126" s="60"/>
      <c r="P126" s="100" t="s">
        <v>533</v>
      </c>
      <c r="Q126" s="96"/>
      <c r="R126" s="288"/>
      <c r="S126" s="97"/>
      <c r="T126" s="97"/>
      <c r="U126" s="97"/>
      <c r="V126" s="114">
        <f t="shared" si="10"/>
        <v>0</v>
      </c>
      <c r="W126" s="298"/>
      <c r="X126" s="298"/>
    </row>
    <row r="127" spans="1:30" ht="90">
      <c r="A127" s="27" t="s">
        <v>508</v>
      </c>
      <c r="B127" s="184">
        <v>8</v>
      </c>
      <c r="C127" s="204" t="s">
        <v>513</v>
      </c>
      <c r="D127" s="186" t="s">
        <v>526</v>
      </c>
      <c r="E127" s="235" t="s">
        <v>527</v>
      </c>
      <c r="F127" s="89" t="s">
        <v>534</v>
      </c>
      <c r="G127" s="90" t="s">
        <v>535</v>
      </c>
      <c r="H127" s="91" t="s">
        <v>259</v>
      </c>
      <c r="I127" s="91" t="s">
        <v>346</v>
      </c>
      <c r="J127" s="92" t="str">
        <f t="shared" si="25"/>
        <v>Promoure fires d'artesania i productes locals de l'ENP</v>
      </c>
      <c r="K127" s="101" t="s">
        <v>1087</v>
      </c>
      <c r="L127" s="98"/>
      <c r="M127" s="94" t="s">
        <v>430</v>
      </c>
      <c r="O127" s="60"/>
      <c r="P127" s="95"/>
      <c r="Q127" s="96"/>
      <c r="R127" s="288"/>
      <c r="S127" s="97"/>
      <c r="T127" s="97"/>
      <c r="U127" s="97"/>
      <c r="V127" s="114">
        <f t="shared" si="10"/>
        <v>0</v>
      </c>
      <c r="W127" s="298"/>
      <c r="X127" s="298"/>
    </row>
    <row r="128" spans="1:30" ht="90">
      <c r="A128" s="27" t="s">
        <v>508</v>
      </c>
      <c r="B128" s="184">
        <v>8</v>
      </c>
      <c r="C128" s="204" t="s">
        <v>513</v>
      </c>
      <c r="D128" s="186" t="s">
        <v>526</v>
      </c>
      <c r="E128" s="235" t="s">
        <v>527</v>
      </c>
      <c r="F128" s="89" t="s">
        <v>536</v>
      </c>
      <c r="G128" s="90" t="s">
        <v>537</v>
      </c>
      <c r="H128" s="91" t="s">
        <v>259</v>
      </c>
      <c r="I128" s="91" t="s">
        <v>346</v>
      </c>
      <c r="J128" s="92" t="str">
        <f t="shared" si="25"/>
        <v xml:space="preserve">Generar aliances entre el sector primari, el turisme, la restauració i altres per fomentar la gastronomia local </v>
      </c>
      <c r="K128" s="101" t="s">
        <v>1087</v>
      </c>
      <c r="L128" s="60"/>
      <c r="M128" s="94" t="s">
        <v>274</v>
      </c>
      <c r="O128" s="60"/>
      <c r="P128" s="100" t="s">
        <v>533</v>
      </c>
      <c r="Q128" s="96"/>
      <c r="R128" s="288"/>
      <c r="S128" s="97"/>
      <c r="T128" s="97"/>
      <c r="U128" s="97"/>
      <c r="V128" s="114">
        <f t="shared" si="10"/>
        <v>0</v>
      </c>
      <c r="W128" s="298"/>
      <c r="X128" s="298"/>
    </row>
    <row r="129" spans="1:30" ht="90">
      <c r="A129" s="27" t="s">
        <v>508</v>
      </c>
      <c r="B129" s="184">
        <v>8</v>
      </c>
      <c r="C129" s="204" t="s">
        <v>513</v>
      </c>
      <c r="D129" s="186" t="s">
        <v>526</v>
      </c>
      <c r="E129" s="235" t="s">
        <v>527</v>
      </c>
      <c r="F129" s="89" t="s">
        <v>538</v>
      </c>
      <c r="G129" s="90" t="s">
        <v>1155</v>
      </c>
      <c r="H129" s="91" t="s">
        <v>259</v>
      </c>
      <c r="I129" s="91" t="s">
        <v>346</v>
      </c>
      <c r="J129" s="92" t="s">
        <v>1154</v>
      </c>
      <c r="K129" s="101" t="s">
        <v>1088</v>
      </c>
      <c r="L129" s="60" t="s">
        <v>52</v>
      </c>
      <c r="M129" s="94" t="s">
        <v>274</v>
      </c>
      <c r="O129" s="92" t="s">
        <v>1229</v>
      </c>
      <c r="P129" s="100" t="s">
        <v>284</v>
      </c>
      <c r="Q129" s="96"/>
      <c r="R129" s="103" t="s">
        <v>1270</v>
      </c>
      <c r="S129" s="97"/>
      <c r="T129" s="325" t="s">
        <v>182</v>
      </c>
      <c r="U129" s="97"/>
      <c r="V129" s="114">
        <f t="shared" si="10"/>
        <v>0</v>
      </c>
      <c r="W129" s="298" t="s">
        <v>835</v>
      </c>
      <c r="X129" s="298" t="s">
        <v>1189</v>
      </c>
      <c r="Y129" s="1" t="s">
        <v>264</v>
      </c>
      <c r="Z129" s="3" t="s">
        <v>265</v>
      </c>
      <c r="AC129" s="16" t="s">
        <v>276</v>
      </c>
    </row>
    <row r="130" spans="1:30" ht="90">
      <c r="A130" s="27" t="s">
        <v>508</v>
      </c>
      <c r="B130" s="184">
        <v>8</v>
      </c>
      <c r="C130" s="204" t="s">
        <v>513</v>
      </c>
      <c r="D130" s="187" t="s">
        <v>526</v>
      </c>
      <c r="E130" s="234" t="s">
        <v>527</v>
      </c>
      <c r="F130" s="89" t="s">
        <v>539</v>
      </c>
      <c r="G130" s="90" t="s">
        <v>540</v>
      </c>
      <c r="H130" s="91" t="s">
        <v>259</v>
      </c>
      <c r="I130" s="91" t="s">
        <v>346</v>
      </c>
      <c r="J130" s="92" t="str">
        <f t="shared" si="25"/>
        <v>Elaborar una guia per promocionar els agents del territori que potencien i difonen els productes alimentaris locals i de qualitat (allotjaments, restaurants, cellers, establiments, elaboradors i productors)</v>
      </c>
      <c r="K130" s="101" t="s">
        <v>1087</v>
      </c>
      <c r="L130" s="98"/>
      <c r="M130" s="94" t="s">
        <v>430</v>
      </c>
      <c r="O130" s="60"/>
      <c r="P130" s="95"/>
      <c r="Q130" s="96"/>
      <c r="R130" s="288"/>
      <c r="S130" s="97"/>
      <c r="T130" s="97"/>
      <c r="U130" s="97"/>
      <c r="V130" s="114">
        <f t="shared" si="10"/>
        <v>0</v>
      </c>
      <c r="W130" s="298"/>
      <c r="X130" s="298"/>
    </row>
    <row r="131" spans="1:30" ht="90">
      <c r="A131" s="27" t="s">
        <v>508</v>
      </c>
      <c r="B131" s="184">
        <v>8</v>
      </c>
      <c r="C131" s="204" t="s">
        <v>513</v>
      </c>
      <c r="D131" s="185" t="s">
        <v>541</v>
      </c>
      <c r="E131" s="231" t="s">
        <v>542</v>
      </c>
      <c r="F131" s="89" t="s">
        <v>543</v>
      </c>
      <c r="G131" s="90" t="s">
        <v>544</v>
      </c>
      <c r="H131" s="91" t="s">
        <v>259</v>
      </c>
      <c r="I131" s="91" t="s">
        <v>281</v>
      </c>
      <c r="J131" s="92" t="str">
        <f t="shared" si="25"/>
        <v>Treballar amb l'autoritat competent per garantir objectius de conservació d’espècies i hàbitats en la revisió dels Plans de Gestió Cinegètica</v>
      </c>
      <c r="K131" s="93"/>
      <c r="L131" s="60" t="s">
        <v>52</v>
      </c>
      <c r="M131" s="94" t="s">
        <v>274</v>
      </c>
      <c r="O131" s="60" t="s">
        <v>1230</v>
      </c>
      <c r="P131" s="95" t="s">
        <v>270</v>
      </c>
      <c r="Q131" s="96"/>
      <c r="R131" s="288" t="s">
        <v>1089</v>
      </c>
      <c r="S131" s="97">
        <v>1</v>
      </c>
      <c r="T131" s="97">
        <v>2</v>
      </c>
      <c r="U131" s="97"/>
      <c r="V131" s="114">
        <f t="shared" si="10"/>
        <v>0</v>
      </c>
      <c r="W131" s="298" t="s">
        <v>766</v>
      </c>
      <c r="X131" s="298" t="str">
        <f>IF(W131=Llistes!$B$18,Llistes!$D$18,IF(W131=Llistes!$B$20,Llistes!$D$20,IF(W131=Llistes!$B$22,Llistes!$D$22,IF(W131=Llistes!$B$23,Llistes!$D$23,IF(W131=Llistes!$B$24,Llistes!$D$24,IF(W131=Llistes!$B$28,Llistes!$D$28))))))</f>
        <v>Director</v>
      </c>
      <c r="Y131" s="1" t="s">
        <v>275</v>
      </c>
      <c r="Z131" s="3" t="s">
        <v>265</v>
      </c>
      <c r="AB131" s="16" t="s">
        <v>276</v>
      </c>
      <c r="AC131" s="16" t="s">
        <v>276</v>
      </c>
      <c r="AD131" s="16" t="s">
        <v>276</v>
      </c>
    </row>
    <row r="132" spans="1:30" ht="90">
      <c r="A132" s="27" t="s">
        <v>508</v>
      </c>
      <c r="B132" s="184">
        <v>8</v>
      </c>
      <c r="C132" s="204" t="s">
        <v>513</v>
      </c>
      <c r="D132" s="186" t="s">
        <v>541</v>
      </c>
      <c r="E132" s="232" t="s">
        <v>542</v>
      </c>
      <c r="F132" s="89" t="s">
        <v>545</v>
      </c>
      <c r="G132" s="90" t="s">
        <v>546</v>
      </c>
      <c r="H132" s="91" t="s">
        <v>259</v>
      </c>
      <c r="I132" s="91" t="s">
        <v>281</v>
      </c>
      <c r="J132" s="92" t="str">
        <f t="shared" ref="J132" si="27">G132</f>
        <v>Col·laborar en la regulació i ordenació de la caça i la pesca en zones sensibles o amb risc d'afectació d'elements clau objecte de conservació</v>
      </c>
      <c r="K132" s="93"/>
      <c r="L132" s="60" t="s">
        <v>52</v>
      </c>
      <c r="M132" s="94" t="s">
        <v>261</v>
      </c>
      <c r="O132" s="60" t="s">
        <v>1231</v>
      </c>
      <c r="P132" s="95" t="s">
        <v>270</v>
      </c>
      <c r="Q132" s="96"/>
      <c r="R132" s="103" t="s">
        <v>1270</v>
      </c>
      <c r="S132" s="97"/>
      <c r="T132" s="325" t="s">
        <v>182</v>
      </c>
      <c r="U132" s="97"/>
      <c r="V132" s="114">
        <f t="shared" si="10"/>
        <v>0</v>
      </c>
      <c r="W132" s="298" t="s">
        <v>835</v>
      </c>
      <c r="X132" s="298" t="s">
        <v>1189</v>
      </c>
      <c r="Y132" s="1" t="s">
        <v>275</v>
      </c>
      <c r="Z132" s="3" t="s">
        <v>265</v>
      </c>
      <c r="AB132" s="16" t="s">
        <v>276</v>
      </c>
      <c r="AC132" s="16" t="s">
        <v>276</v>
      </c>
    </row>
    <row r="133" spans="1:30" ht="90">
      <c r="A133" s="27" t="s">
        <v>508</v>
      </c>
      <c r="B133" s="184">
        <v>8</v>
      </c>
      <c r="C133" s="204" t="s">
        <v>513</v>
      </c>
      <c r="D133" s="186" t="s">
        <v>541</v>
      </c>
      <c r="E133" s="232" t="s">
        <v>542</v>
      </c>
      <c r="F133" s="89" t="s">
        <v>545</v>
      </c>
      <c r="G133" s="90" t="s">
        <v>546</v>
      </c>
      <c r="H133" s="91" t="s">
        <v>259</v>
      </c>
      <c r="I133" s="91" t="s">
        <v>281</v>
      </c>
      <c r="J133" s="92" t="str">
        <f t="shared" ref="J133" si="28">G133</f>
        <v>Col·laborar en la regulació i ordenació de la caça i la pesca en zones sensibles o amb risc d'afectació d'elements clau objecte de conservació</v>
      </c>
      <c r="K133" s="93"/>
      <c r="L133" s="60" t="s">
        <v>52</v>
      </c>
      <c r="M133" s="94" t="s">
        <v>261</v>
      </c>
      <c r="O133" s="60" t="s">
        <v>1232</v>
      </c>
      <c r="P133" s="95" t="s">
        <v>270</v>
      </c>
      <c r="Q133" s="96"/>
      <c r="R133" s="103" t="s">
        <v>1270</v>
      </c>
      <c r="S133" s="97"/>
      <c r="T133" s="325" t="s">
        <v>182</v>
      </c>
      <c r="U133" s="97"/>
      <c r="V133" s="114">
        <f t="shared" si="10"/>
        <v>0</v>
      </c>
      <c r="W133" s="298" t="s">
        <v>835</v>
      </c>
      <c r="X133" s="298" t="s">
        <v>1189</v>
      </c>
      <c r="Y133" s="1" t="s">
        <v>275</v>
      </c>
      <c r="Z133" s="3" t="s">
        <v>265</v>
      </c>
      <c r="AB133" s="16" t="s">
        <v>276</v>
      </c>
      <c r="AC133" s="16" t="s">
        <v>276</v>
      </c>
    </row>
    <row r="134" spans="1:30" ht="90">
      <c r="A134" s="27" t="s">
        <v>508</v>
      </c>
      <c r="B134" s="184">
        <v>8</v>
      </c>
      <c r="C134" s="204" t="s">
        <v>513</v>
      </c>
      <c r="D134" s="186" t="s">
        <v>541</v>
      </c>
      <c r="E134" s="232" t="s">
        <v>542</v>
      </c>
      <c r="F134" s="89" t="s">
        <v>545</v>
      </c>
      <c r="G134" s="90" t="s">
        <v>546</v>
      </c>
      <c r="H134" s="91" t="s">
        <v>259</v>
      </c>
      <c r="I134" s="91" t="s">
        <v>281</v>
      </c>
      <c r="J134" s="92" t="str">
        <f t="shared" si="25"/>
        <v>Col·laborar en la regulació i ordenació de la caça i la pesca en zones sensibles o amb risc d'afectació d'elements clau objecte de conservació</v>
      </c>
      <c r="K134" s="93"/>
      <c r="L134" s="60" t="s">
        <v>52</v>
      </c>
      <c r="M134" s="94" t="s">
        <v>261</v>
      </c>
      <c r="O134" s="60" t="s">
        <v>1090</v>
      </c>
      <c r="P134" s="95" t="s">
        <v>270</v>
      </c>
      <c r="Q134" s="96"/>
      <c r="R134" s="103" t="s">
        <v>1270</v>
      </c>
      <c r="S134" s="97"/>
      <c r="T134" s="325" t="s">
        <v>182</v>
      </c>
      <c r="U134" s="97"/>
      <c r="V134" s="114">
        <f t="shared" ref="V134:V197" si="29">U134*4</f>
        <v>0</v>
      </c>
      <c r="W134" s="298" t="s">
        <v>835</v>
      </c>
      <c r="X134" s="298" t="s">
        <v>1189</v>
      </c>
      <c r="Y134" s="1" t="s">
        <v>275</v>
      </c>
      <c r="Z134" s="3" t="s">
        <v>265</v>
      </c>
      <c r="AB134" s="16" t="s">
        <v>276</v>
      </c>
    </row>
    <row r="135" spans="1:30" ht="90">
      <c r="A135" s="27" t="s">
        <v>508</v>
      </c>
      <c r="B135" s="184">
        <v>8</v>
      </c>
      <c r="C135" s="204" t="s">
        <v>513</v>
      </c>
      <c r="D135" s="187" t="s">
        <v>541</v>
      </c>
      <c r="E135" s="183" t="s">
        <v>542</v>
      </c>
      <c r="F135" s="89" t="s">
        <v>547</v>
      </c>
      <c r="G135" s="90" t="s">
        <v>548</v>
      </c>
      <c r="H135" s="91" t="s">
        <v>259</v>
      </c>
      <c r="I135" s="91" t="s">
        <v>281</v>
      </c>
      <c r="J135" s="92" t="s">
        <v>549</v>
      </c>
      <c r="K135" s="93"/>
      <c r="L135" s="60" t="s">
        <v>52</v>
      </c>
      <c r="M135" s="94" t="s">
        <v>274</v>
      </c>
      <c r="O135" s="60" t="s">
        <v>1092</v>
      </c>
      <c r="P135" s="95"/>
      <c r="Q135" s="96"/>
      <c r="R135" s="103" t="s">
        <v>1270</v>
      </c>
      <c r="S135" s="97"/>
      <c r="T135" s="325" t="s">
        <v>182</v>
      </c>
      <c r="U135" s="97"/>
      <c r="V135" s="114">
        <f t="shared" si="29"/>
        <v>0</v>
      </c>
      <c r="W135" s="298" t="s">
        <v>835</v>
      </c>
      <c r="X135" s="298" t="s">
        <v>1189</v>
      </c>
      <c r="Y135" s="1" t="s">
        <v>264</v>
      </c>
      <c r="Z135" s="3" t="s">
        <v>265</v>
      </c>
      <c r="AB135" s="16" t="s">
        <v>276</v>
      </c>
    </row>
    <row r="136" spans="1:30" ht="90">
      <c r="A136" s="27" t="s">
        <v>508</v>
      </c>
      <c r="B136" s="184">
        <v>8</v>
      </c>
      <c r="C136" s="204" t="s">
        <v>513</v>
      </c>
      <c r="D136" s="187" t="s">
        <v>541</v>
      </c>
      <c r="E136" s="183" t="s">
        <v>542</v>
      </c>
      <c r="F136" s="89" t="s">
        <v>547</v>
      </c>
      <c r="G136" s="90" t="s">
        <v>548</v>
      </c>
      <c r="H136" s="91" t="s">
        <v>259</v>
      </c>
      <c r="I136" s="91" t="s">
        <v>281</v>
      </c>
      <c r="J136" s="92" t="s">
        <v>549</v>
      </c>
      <c r="K136" s="93"/>
      <c r="L136" s="60" t="s">
        <v>52</v>
      </c>
      <c r="M136" s="94" t="s">
        <v>274</v>
      </c>
      <c r="O136" s="60" t="s">
        <v>1093</v>
      </c>
      <c r="P136" s="95"/>
      <c r="Q136" s="96"/>
      <c r="R136" s="103" t="s">
        <v>1270</v>
      </c>
      <c r="S136" s="97"/>
      <c r="T136" s="325" t="s">
        <v>182</v>
      </c>
      <c r="U136" s="97"/>
      <c r="V136" s="114">
        <f t="shared" si="29"/>
        <v>0</v>
      </c>
      <c r="W136" s="298" t="s">
        <v>835</v>
      </c>
      <c r="X136" s="298" t="s">
        <v>1094</v>
      </c>
      <c r="Y136" s="1" t="s">
        <v>275</v>
      </c>
      <c r="Z136" s="3" t="s">
        <v>265</v>
      </c>
      <c r="AB136" s="16" t="s">
        <v>276</v>
      </c>
      <c r="AC136" s="16" t="s">
        <v>276</v>
      </c>
      <c r="AD136" s="16" t="s">
        <v>276</v>
      </c>
    </row>
    <row r="137" spans="1:30" ht="90">
      <c r="A137" s="27" t="s">
        <v>508</v>
      </c>
      <c r="B137" s="184">
        <v>8</v>
      </c>
      <c r="C137" s="204" t="s">
        <v>513</v>
      </c>
      <c r="D137" s="187" t="s">
        <v>541</v>
      </c>
      <c r="E137" s="183" t="s">
        <v>542</v>
      </c>
      <c r="F137" s="89" t="s">
        <v>547</v>
      </c>
      <c r="G137" s="90" t="s">
        <v>548</v>
      </c>
      <c r="H137" s="91" t="s">
        <v>259</v>
      </c>
      <c r="I137" s="91" t="s">
        <v>281</v>
      </c>
      <c r="J137" s="92" t="s">
        <v>549</v>
      </c>
      <c r="K137" s="93"/>
      <c r="L137" s="60" t="s">
        <v>52</v>
      </c>
      <c r="M137" s="94" t="s">
        <v>274</v>
      </c>
      <c r="O137" s="60" t="s">
        <v>1091</v>
      </c>
      <c r="P137" s="95"/>
      <c r="Q137" s="96"/>
      <c r="R137" s="288" t="s">
        <v>1031</v>
      </c>
      <c r="S137" s="97">
        <v>4</v>
      </c>
      <c r="T137" s="97">
        <v>8</v>
      </c>
      <c r="U137" s="97"/>
      <c r="V137" s="114">
        <f t="shared" si="29"/>
        <v>0</v>
      </c>
      <c r="W137" s="298" t="s">
        <v>835</v>
      </c>
      <c r="X137" s="298" t="s">
        <v>1189</v>
      </c>
      <c r="Y137" s="1" t="s">
        <v>275</v>
      </c>
      <c r="Z137" s="3" t="s">
        <v>265</v>
      </c>
      <c r="AA137" s="16" t="s">
        <v>276</v>
      </c>
      <c r="AB137" s="16" t="s">
        <v>276</v>
      </c>
      <c r="AC137" s="16" t="s">
        <v>276</v>
      </c>
      <c r="AD137" s="16" t="s">
        <v>276</v>
      </c>
    </row>
    <row r="138" spans="1:30" ht="45">
      <c r="A138" s="27" t="s">
        <v>508</v>
      </c>
      <c r="B138" s="40">
        <v>9</v>
      </c>
      <c r="C138" s="44" t="s">
        <v>550</v>
      </c>
      <c r="D138" s="185" t="s">
        <v>551</v>
      </c>
      <c r="E138" s="182" t="s">
        <v>552</v>
      </c>
      <c r="F138" s="89" t="s">
        <v>553</v>
      </c>
      <c r="G138" s="90" t="s">
        <v>554</v>
      </c>
      <c r="H138" s="91" t="s">
        <v>259</v>
      </c>
      <c r="I138" s="91" t="s">
        <v>346</v>
      </c>
      <c r="J138" s="92" t="str">
        <f t="shared" si="25"/>
        <v>Desplegar la Carta Europea de Turisme Sostenible (CETS)</v>
      </c>
      <c r="K138" s="101" t="s">
        <v>1052</v>
      </c>
      <c r="L138" s="98"/>
      <c r="M138" s="94" t="s">
        <v>261</v>
      </c>
      <c r="O138" s="60"/>
      <c r="P138" s="95" t="s">
        <v>284</v>
      </c>
      <c r="Q138" s="96"/>
      <c r="R138" s="288"/>
      <c r="S138" s="97"/>
      <c r="T138" s="97"/>
      <c r="U138" s="97"/>
      <c r="V138" s="114">
        <f t="shared" si="29"/>
        <v>0</v>
      </c>
      <c r="W138" s="298"/>
      <c r="X138" s="298"/>
    </row>
    <row r="139" spans="1:30" ht="45">
      <c r="A139" s="27" t="s">
        <v>508</v>
      </c>
      <c r="B139" s="41">
        <v>9</v>
      </c>
      <c r="C139" s="45" t="s">
        <v>550</v>
      </c>
      <c r="D139" s="187"/>
      <c r="E139" s="183"/>
      <c r="F139" s="89" t="s">
        <v>555</v>
      </c>
      <c r="G139" s="90" t="s">
        <v>556</v>
      </c>
      <c r="H139" s="91" t="s">
        <v>259</v>
      </c>
      <c r="I139" s="91" t="s">
        <v>346</v>
      </c>
      <c r="J139" s="92" t="str">
        <f t="shared" si="25"/>
        <v>Tramitar la certificació Biosphere</v>
      </c>
      <c r="K139" s="101" t="s">
        <v>1052</v>
      </c>
      <c r="L139" s="98"/>
      <c r="M139" s="94" t="s">
        <v>274</v>
      </c>
      <c r="O139" s="60"/>
      <c r="P139" s="95"/>
      <c r="Q139" s="96"/>
      <c r="R139" s="288"/>
      <c r="S139" s="97"/>
      <c r="T139" s="97"/>
      <c r="U139" s="97"/>
      <c r="V139" s="114">
        <f t="shared" si="29"/>
        <v>0</v>
      </c>
      <c r="W139" s="298"/>
      <c r="X139" s="298"/>
    </row>
    <row r="140" spans="1:30" ht="45">
      <c r="A140" s="27" t="s">
        <v>508</v>
      </c>
      <c r="B140" s="41">
        <v>9</v>
      </c>
      <c r="C140" s="45" t="s">
        <v>550</v>
      </c>
      <c r="D140" s="185" t="s">
        <v>557</v>
      </c>
      <c r="E140" s="231" t="s">
        <v>558</v>
      </c>
      <c r="F140" s="89" t="s">
        <v>559</v>
      </c>
      <c r="G140" s="90" t="s">
        <v>560</v>
      </c>
      <c r="H140" s="91" t="s">
        <v>259</v>
      </c>
      <c r="I140" s="91" t="s">
        <v>346</v>
      </c>
      <c r="J140" s="92" t="s">
        <v>1099</v>
      </c>
      <c r="K140" s="101" t="s">
        <v>1101</v>
      </c>
      <c r="L140" s="98" t="s">
        <v>52</v>
      </c>
      <c r="M140" s="94" t="s">
        <v>274</v>
      </c>
      <c r="O140" s="60" t="s">
        <v>1096</v>
      </c>
      <c r="P140" s="95" t="s">
        <v>284</v>
      </c>
      <c r="Q140" s="96"/>
      <c r="R140" s="103" t="s">
        <v>1270</v>
      </c>
      <c r="S140" s="97"/>
      <c r="T140" s="325" t="s">
        <v>182</v>
      </c>
      <c r="U140" s="97"/>
      <c r="V140" s="114">
        <f t="shared" si="29"/>
        <v>0</v>
      </c>
      <c r="W140" s="298" t="s">
        <v>835</v>
      </c>
      <c r="X140" s="298" t="s">
        <v>1189</v>
      </c>
      <c r="Y140" s="1" t="s">
        <v>275</v>
      </c>
      <c r="Z140" s="3" t="s">
        <v>265</v>
      </c>
      <c r="AB140" s="16" t="s">
        <v>276</v>
      </c>
      <c r="AC140" s="16" t="s">
        <v>276</v>
      </c>
      <c r="AD140" s="16" t="s">
        <v>276</v>
      </c>
    </row>
    <row r="141" spans="1:30" ht="45">
      <c r="A141" s="27" t="s">
        <v>508</v>
      </c>
      <c r="B141" s="41">
        <v>9</v>
      </c>
      <c r="C141" s="45" t="s">
        <v>550</v>
      </c>
      <c r="D141" s="185" t="s">
        <v>557</v>
      </c>
      <c r="E141" s="231" t="s">
        <v>558</v>
      </c>
      <c r="F141" s="89" t="s">
        <v>559</v>
      </c>
      <c r="G141" s="90" t="s">
        <v>560</v>
      </c>
      <c r="H141" s="91" t="s">
        <v>259</v>
      </c>
      <c r="I141" s="91" t="s">
        <v>346</v>
      </c>
      <c r="J141" s="92" t="s">
        <v>1099</v>
      </c>
      <c r="K141" s="101" t="s">
        <v>1100</v>
      </c>
      <c r="L141" s="98" t="s">
        <v>52</v>
      </c>
      <c r="M141" s="94" t="s">
        <v>274</v>
      </c>
      <c r="O141" s="60" t="s">
        <v>1095</v>
      </c>
      <c r="P141" s="95" t="s">
        <v>284</v>
      </c>
      <c r="Q141" s="96"/>
      <c r="R141" s="288" t="s">
        <v>1045</v>
      </c>
      <c r="S141" s="97">
        <v>2</v>
      </c>
      <c r="T141" s="97">
        <v>3</v>
      </c>
      <c r="U141" s="97"/>
      <c r="V141" s="114">
        <f t="shared" si="29"/>
        <v>0</v>
      </c>
      <c r="W141" s="298" t="s">
        <v>263</v>
      </c>
      <c r="X141" s="298" t="str">
        <f>IF(W141=Llistes!$B$18,Llistes!$D$18,IF(W141=Llistes!$B$20,Llistes!$D$20,IF(W141=Llistes!$B$22,Llistes!$D$22,IF(W141=Llistes!$B$23,Llistes!$D$23,IF(W141=Llistes!$B$24,Llistes!$D$24,IF(W141=Llistes!$B$28,Llistes!$D$28))))))</f>
        <v>Tècnic coordinador</v>
      </c>
      <c r="Y141" s="1" t="s">
        <v>275</v>
      </c>
      <c r="Z141" s="3" t="s">
        <v>265</v>
      </c>
      <c r="AB141" s="16" t="s">
        <v>276</v>
      </c>
      <c r="AC141" s="16" t="s">
        <v>276</v>
      </c>
      <c r="AD141" s="16" t="s">
        <v>276</v>
      </c>
    </row>
    <row r="142" spans="1:30" ht="45">
      <c r="A142" s="27" t="s">
        <v>508</v>
      </c>
      <c r="B142" s="41">
        <v>9</v>
      </c>
      <c r="C142" s="45" t="s">
        <v>550</v>
      </c>
      <c r="D142" s="187" t="s">
        <v>557</v>
      </c>
      <c r="E142" s="230" t="s">
        <v>558</v>
      </c>
      <c r="F142" s="89" t="s">
        <v>561</v>
      </c>
      <c r="G142" s="90" t="s">
        <v>562</v>
      </c>
      <c r="H142" s="91" t="s">
        <v>259</v>
      </c>
      <c r="I142" s="91" t="s">
        <v>346</v>
      </c>
      <c r="J142" s="92" t="str">
        <f t="shared" si="25"/>
        <v>Crear productes i paquets turístics amb associacions d’empreses turístiques i operadors turístics</v>
      </c>
      <c r="K142" s="93" t="s">
        <v>1055</v>
      </c>
      <c r="L142" s="60"/>
      <c r="M142" s="94" t="s">
        <v>274</v>
      </c>
      <c r="O142" s="60"/>
      <c r="P142" s="95" t="s">
        <v>284</v>
      </c>
      <c r="Q142" s="96"/>
      <c r="R142" s="288"/>
      <c r="S142" s="97"/>
      <c r="T142" s="97"/>
      <c r="U142" s="97"/>
      <c r="V142" s="114">
        <f t="shared" si="29"/>
        <v>0</v>
      </c>
      <c r="W142" s="298"/>
      <c r="X142" s="298"/>
    </row>
    <row r="143" spans="1:30" ht="75">
      <c r="A143" s="28" t="s">
        <v>563</v>
      </c>
      <c r="B143" s="42">
        <v>10</v>
      </c>
      <c r="C143" s="47" t="s">
        <v>564</v>
      </c>
      <c r="D143" s="43" t="s">
        <v>565</v>
      </c>
      <c r="E143" s="75" t="s">
        <v>566</v>
      </c>
      <c r="F143" s="89" t="s">
        <v>567</v>
      </c>
      <c r="G143" s="90" t="s">
        <v>568</v>
      </c>
      <c r="H143" s="91" t="s">
        <v>259</v>
      </c>
      <c r="I143" s="91" t="s">
        <v>281</v>
      </c>
      <c r="J143" s="92" t="s">
        <v>1108</v>
      </c>
      <c r="K143" s="101" t="s">
        <v>1100</v>
      </c>
      <c r="L143" s="104" t="s">
        <v>52</v>
      </c>
      <c r="M143" s="94" t="s">
        <v>261</v>
      </c>
      <c r="O143" s="104" t="s">
        <v>1145</v>
      </c>
      <c r="P143" s="95"/>
      <c r="Q143" s="96" t="s">
        <v>569</v>
      </c>
      <c r="R143" s="103" t="s">
        <v>1270</v>
      </c>
      <c r="S143" s="97"/>
      <c r="T143" s="325" t="s">
        <v>182</v>
      </c>
      <c r="U143" s="97"/>
      <c r="V143" s="114">
        <f t="shared" si="29"/>
        <v>0</v>
      </c>
      <c r="W143" s="298" t="s">
        <v>835</v>
      </c>
      <c r="X143" s="298" t="s">
        <v>1189</v>
      </c>
      <c r="Y143" s="1" t="s">
        <v>264</v>
      </c>
      <c r="Z143" s="3" t="s">
        <v>265</v>
      </c>
      <c r="AB143" s="16" t="s">
        <v>276</v>
      </c>
    </row>
    <row r="144" spans="1:30" ht="45">
      <c r="A144" s="28" t="s">
        <v>563</v>
      </c>
      <c r="B144" s="30">
        <v>11</v>
      </c>
      <c r="C144" s="216" t="s">
        <v>570</v>
      </c>
      <c r="D144" s="195" t="s">
        <v>571</v>
      </c>
      <c r="E144" s="197" t="s">
        <v>1173</v>
      </c>
      <c r="F144" s="89" t="s">
        <v>572</v>
      </c>
      <c r="G144" s="90" t="s">
        <v>573</v>
      </c>
      <c r="H144" s="91" t="s">
        <v>259</v>
      </c>
      <c r="I144" s="91" t="s">
        <v>281</v>
      </c>
      <c r="J144" s="92" t="str">
        <f t="shared" si="25"/>
        <v>Regular l'acampada i pernoctació  en base al model de Pla de protecció</v>
      </c>
      <c r="K144" s="101" t="s">
        <v>1109</v>
      </c>
      <c r="L144" s="92"/>
      <c r="M144" s="94" t="s">
        <v>261</v>
      </c>
      <c r="O144" s="92"/>
      <c r="P144" s="95"/>
      <c r="Q144" s="96" t="s">
        <v>569</v>
      </c>
      <c r="R144" s="288"/>
      <c r="S144" s="97"/>
      <c r="T144" s="97"/>
      <c r="U144" s="97"/>
      <c r="V144" s="114">
        <f t="shared" si="29"/>
        <v>0</v>
      </c>
      <c r="W144" s="298"/>
      <c r="X144" s="298"/>
    </row>
    <row r="145" spans="1:30" ht="45">
      <c r="A145" s="28" t="s">
        <v>563</v>
      </c>
      <c r="B145" s="31">
        <v>11</v>
      </c>
      <c r="C145" s="217" t="s">
        <v>570</v>
      </c>
      <c r="D145" s="220" t="s">
        <v>571</v>
      </c>
      <c r="E145" s="229" t="s">
        <v>1173</v>
      </c>
      <c r="F145" s="89" t="s">
        <v>574</v>
      </c>
      <c r="G145" s="90" t="s">
        <v>575</v>
      </c>
      <c r="H145" s="91" t="s">
        <v>259</v>
      </c>
      <c r="I145" s="91" t="s">
        <v>281</v>
      </c>
      <c r="J145" s="92" t="str">
        <f t="shared" si="25"/>
        <v>Regular la circulació rodada no motoritzada en base al model de Pla de protecció</v>
      </c>
      <c r="K145" s="101" t="s">
        <v>1109</v>
      </c>
      <c r="L145" s="92"/>
      <c r="M145" s="94" t="s">
        <v>282</v>
      </c>
      <c r="O145" s="92"/>
      <c r="P145" s="95"/>
      <c r="Q145" s="96" t="s">
        <v>569</v>
      </c>
      <c r="R145" s="288"/>
      <c r="S145" s="97"/>
      <c r="T145" s="97"/>
      <c r="U145" s="97"/>
      <c r="V145" s="114">
        <f t="shared" si="29"/>
        <v>0</v>
      </c>
      <c r="W145" s="298"/>
      <c r="X145" s="298"/>
    </row>
    <row r="146" spans="1:30" ht="45">
      <c r="A146" s="28" t="s">
        <v>563</v>
      </c>
      <c r="B146" s="31">
        <v>11</v>
      </c>
      <c r="C146" s="217" t="s">
        <v>570</v>
      </c>
      <c r="D146" s="220" t="s">
        <v>571</v>
      </c>
      <c r="E146" s="219" t="s">
        <v>1173</v>
      </c>
      <c r="F146" s="89" t="s">
        <v>576</v>
      </c>
      <c r="G146" s="90" t="s">
        <v>577</v>
      </c>
      <c r="H146" s="91" t="s">
        <v>318</v>
      </c>
      <c r="I146" s="91" t="s">
        <v>281</v>
      </c>
      <c r="J146" s="92" t="str">
        <f t="shared" si="25"/>
        <v>Regular l'escalada i alpinisme, barranquisme, i espeleologia  en base al model de Pla de protecció</v>
      </c>
      <c r="K146" s="101" t="s">
        <v>1110</v>
      </c>
      <c r="L146" s="92"/>
      <c r="M146" s="94" t="s">
        <v>282</v>
      </c>
      <c r="O146" s="92"/>
      <c r="P146" s="95"/>
      <c r="Q146" s="96" t="s">
        <v>569</v>
      </c>
      <c r="R146" s="288"/>
      <c r="S146" s="97"/>
      <c r="T146" s="97"/>
      <c r="U146" s="97"/>
      <c r="V146" s="114">
        <f t="shared" si="29"/>
        <v>0</v>
      </c>
      <c r="W146" s="298"/>
      <c r="X146" s="298"/>
    </row>
    <row r="147" spans="1:30" ht="45">
      <c r="A147" s="28" t="s">
        <v>563</v>
      </c>
      <c r="B147" s="31">
        <v>11</v>
      </c>
      <c r="C147" s="217" t="s">
        <v>570</v>
      </c>
      <c r="D147" s="220" t="s">
        <v>571</v>
      </c>
      <c r="E147" s="229" t="s">
        <v>1173</v>
      </c>
      <c r="F147" s="89" t="s">
        <v>578</v>
      </c>
      <c r="G147" s="90" t="s">
        <v>579</v>
      </c>
      <c r="H147" s="91" t="s">
        <v>259</v>
      </c>
      <c r="I147" s="91" t="s">
        <v>281</v>
      </c>
      <c r="J147" s="92" t="s">
        <v>1112</v>
      </c>
      <c r="K147" s="101" t="s">
        <v>1101</v>
      </c>
      <c r="L147" s="60" t="s">
        <v>53</v>
      </c>
      <c r="M147" s="94" t="s">
        <v>282</v>
      </c>
      <c r="O147" s="92" t="s">
        <v>1233</v>
      </c>
      <c r="P147" s="95"/>
      <c r="Q147" s="96" t="s">
        <v>569</v>
      </c>
      <c r="R147" s="103" t="s">
        <v>1270</v>
      </c>
      <c r="S147" s="97"/>
      <c r="T147" s="325" t="s">
        <v>182</v>
      </c>
      <c r="U147" s="97"/>
      <c r="V147" s="114">
        <f t="shared" si="29"/>
        <v>0</v>
      </c>
      <c r="W147" s="298" t="s">
        <v>263</v>
      </c>
      <c r="X147" s="298" t="str">
        <f>IF(W147=Llistes!$B$18,Llistes!$D$18,IF(W147=Llistes!$B$20,Llistes!$D$20,IF(W147=Llistes!$B$22,Llistes!$D$22,IF(W147=Llistes!$B$23,Llistes!$D$23,IF(W147=Llistes!$B$24,Llistes!$D$24,IF(W147=Llistes!$B$28,Llistes!$D$28))))))</f>
        <v>Tècnic coordinador</v>
      </c>
      <c r="Y147" s="1" t="s">
        <v>275</v>
      </c>
      <c r="Z147" s="3" t="s">
        <v>265</v>
      </c>
      <c r="AA147" s="16" t="s">
        <v>276</v>
      </c>
      <c r="AB147" s="16" t="s">
        <v>276</v>
      </c>
      <c r="AC147" s="16" t="s">
        <v>276</v>
      </c>
      <c r="AD147" s="16" t="s">
        <v>276</v>
      </c>
    </row>
    <row r="148" spans="1:30" ht="45">
      <c r="A148" s="28" t="s">
        <v>563</v>
      </c>
      <c r="B148" s="31">
        <v>11</v>
      </c>
      <c r="C148" s="217" t="s">
        <v>570</v>
      </c>
      <c r="D148" s="220" t="s">
        <v>571</v>
      </c>
      <c r="E148" s="229" t="s">
        <v>1173</v>
      </c>
      <c r="F148" s="89" t="s">
        <v>580</v>
      </c>
      <c r="G148" s="90" t="s">
        <v>581</v>
      </c>
      <c r="H148" s="91" t="s">
        <v>259</v>
      </c>
      <c r="I148" s="91" t="s">
        <v>281</v>
      </c>
      <c r="J148" s="92" t="s">
        <v>1111</v>
      </c>
      <c r="K148" s="101" t="s">
        <v>1101</v>
      </c>
      <c r="L148" s="60" t="s">
        <v>53</v>
      </c>
      <c r="M148" s="94" t="s">
        <v>274</v>
      </c>
      <c r="O148" s="92" t="s">
        <v>1235</v>
      </c>
      <c r="P148" s="95"/>
      <c r="Q148" s="96" t="s">
        <v>569</v>
      </c>
      <c r="R148" s="103" t="s">
        <v>1270</v>
      </c>
      <c r="S148" s="97"/>
      <c r="T148" s="325" t="s">
        <v>182</v>
      </c>
      <c r="U148" s="97"/>
      <c r="V148" s="114">
        <f t="shared" si="29"/>
        <v>0</v>
      </c>
      <c r="W148" s="298" t="s">
        <v>263</v>
      </c>
      <c r="X148" s="298" t="str">
        <f>IF(W148=Llistes!$B$18,Llistes!$D$18,IF(W148=Llistes!$B$20,Llistes!$D$20,IF(W148=Llistes!$B$22,Llistes!$D$22,IF(W148=Llistes!$B$23,Llistes!$D$23,IF(W148=Llistes!$B$24,Llistes!$D$24,IF(W148=Llistes!$B$28,Llistes!$D$28))))))</f>
        <v>Tècnic coordinador</v>
      </c>
      <c r="Y148" s="1" t="s">
        <v>275</v>
      </c>
      <c r="Z148" s="3" t="s">
        <v>265</v>
      </c>
      <c r="AA148" s="16" t="s">
        <v>276</v>
      </c>
      <c r="AB148" s="16" t="s">
        <v>276</v>
      </c>
      <c r="AC148" s="16" t="s">
        <v>276</v>
      </c>
      <c r="AD148" s="16" t="s">
        <v>276</v>
      </c>
    </row>
    <row r="149" spans="1:30" ht="45">
      <c r="A149" s="28" t="s">
        <v>563</v>
      </c>
      <c r="B149" s="31">
        <v>11</v>
      </c>
      <c r="C149" s="217" t="s">
        <v>570</v>
      </c>
      <c r="D149" s="220" t="s">
        <v>571</v>
      </c>
      <c r="E149" s="219" t="s">
        <v>1173</v>
      </c>
      <c r="F149" s="89" t="s">
        <v>582</v>
      </c>
      <c r="G149" s="90" t="s">
        <v>583</v>
      </c>
      <c r="H149" s="91" t="s">
        <v>259</v>
      </c>
      <c r="I149" s="91" t="s">
        <v>281</v>
      </c>
      <c r="J149" s="92" t="s">
        <v>1113</v>
      </c>
      <c r="K149" s="101" t="s">
        <v>1101</v>
      </c>
      <c r="L149" s="60" t="s">
        <v>53</v>
      </c>
      <c r="M149" s="94" t="s">
        <v>274</v>
      </c>
      <c r="O149" s="92" t="s">
        <v>1234</v>
      </c>
      <c r="P149" s="95"/>
      <c r="Q149" s="96" t="s">
        <v>569</v>
      </c>
      <c r="R149" s="103" t="s">
        <v>1270</v>
      </c>
      <c r="S149" s="97"/>
      <c r="T149" s="325" t="s">
        <v>182</v>
      </c>
      <c r="U149" s="97"/>
      <c r="V149" s="114">
        <f t="shared" si="29"/>
        <v>0</v>
      </c>
      <c r="W149" s="298" t="s">
        <v>263</v>
      </c>
      <c r="X149" s="298" t="str">
        <f>IF(W149=Llistes!$B$18,Llistes!$D$18,IF(W149=Llistes!$B$20,Llistes!$D$20,IF(W149=Llistes!$B$22,Llistes!$D$22,IF(W149=Llistes!$B$23,Llistes!$D$23,IF(W149=Llistes!$B$24,Llistes!$D$24,IF(W149=Llistes!$B$28,Llistes!$D$28))))))</f>
        <v>Tècnic coordinador</v>
      </c>
      <c r="Y149" s="1" t="s">
        <v>275</v>
      </c>
      <c r="Z149" s="3" t="s">
        <v>265</v>
      </c>
      <c r="AA149" s="16" t="s">
        <v>276</v>
      </c>
      <c r="AB149" s="16" t="s">
        <v>276</v>
      </c>
      <c r="AC149" s="16" t="s">
        <v>276</v>
      </c>
      <c r="AD149" s="16" t="s">
        <v>276</v>
      </c>
    </row>
    <row r="150" spans="1:30" ht="45">
      <c r="A150" s="28" t="s">
        <v>563</v>
      </c>
      <c r="B150" s="31">
        <v>11</v>
      </c>
      <c r="C150" s="217" t="s">
        <v>570</v>
      </c>
      <c r="D150" s="220" t="s">
        <v>571</v>
      </c>
      <c r="E150" s="229" t="s">
        <v>1173</v>
      </c>
      <c r="F150" s="89" t="s">
        <v>584</v>
      </c>
      <c r="G150" s="90" t="s">
        <v>585</v>
      </c>
      <c r="H150" s="91" t="s">
        <v>318</v>
      </c>
      <c r="I150" s="91" t="s">
        <v>281</v>
      </c>
      <c r="J150" s="92" t="str">
        <f t="shared" si="25"/>
        <v>Regular les zones de bany</v>
      </c>
      <c r="K150" s="101" t="s">
        <v>1109</v>
      </c>
      <c r="L150" s="92"/>
      <c r="M150" s="94" t="s">
        <v>261</v>
      </c>
      <c r="O150" s="92"/>
      <c r="P150" s="95"/>
      <c r="Q150" s="96" t="s">
        <v>569</v>
      </c>
      <c r="R150" s="288"/>
      <c r="S150" s="97"/>
      <c r="T150" s="97"/>
      <c r="U150" s="97"/>
      <c r="V150" s="114">
        <f t="shared" si="29"/>
        <v>0</v>
      </c>
      <c r="W150" s="298"/>
      <c r="X150" s="298"/>
    </row>
    <row r="151" spans="1:30" ht="45">
      <c r="A151" s="28" t="s">
        <v>563</v>
      </c>
      <c r="B151" s="31">
        <v>11</v>
      </c>
      <c r="C151" s="217" t="s">
        <v>570</v>
      </c>
      <c r="D151" s="220" t="s">
        <v>571</v>
      </c>
      <c r="E151" s="229" t="s">
        <v>1173</v>
      </c>
      <c r="F151" s="89" t="s">
        <v>586</v>
      </c>
      <c r="G151" s="90" t="s">
        <v>587</v>
      </c>
      <c r="H151" s="91" t="s">
        <v>318</v>
      </c>
      <c r="I151" s="91" t="s">
        <v>281</v>
      </c>
      <c r="J151" s="92" t="str">
        <f t="shared" si="25"/>
        <v>Regular l'enlairament i aterratge sense motor</v>
      </c>
      <c r="K151" s="101" t="s">
        <v>1109</v>
      </c>
      <c r="L151" s="92"/>
      <c r="M151" s="94" t="s">
        <v>274</v>
      </c>
      <c r="O151" s="92"/>
      <c r="P151" s="95"/>
      <c r="Q151" s="96" t="s">
        <v>569</v>
      </c>
      <c r="R151" s="288"/>
      <c r="S151" s="97"/>
      <c r="T151" s="97"/>
      <c r="U151" s="97"/>
      <c r="V151" s="114">
        <f t="shared" si="29"/>
        <v>0</v>
      </c>
      <c r="W151" s="298"/>
      <c r="X151" s="298"/>
    </row>
    <row r="152" spans="1:30" ht="45">
      <c r="A152" s="28" t="s">
        <v>563</v>
      </c>
      <c r="B152" s="31">
        <v>11</v>
      </c>
      <c r="C152" s="217" t="s">
        <v>570</v>
      </c>
      <c r="D152" s="220" t="s">
        <v>571</v>
      </c>
      <c r="E152" s="219" t="s">
        <v>1173</v>
      </c>
      <c r="F152" s="89" t="s">
        <v>588</v>
      </c>
      <c r="G152" s="90" t="s">
        <v>589</v>
      </c>
      <c r="H152" s="91" t="s">
        <v>318</v>
      </c>
      <c r="I152" s="91" t="s">
        <v>281</v>
      </c>
      <c r="J152" s="92" t="str">
        <f t="shared" si="25"/>
        <v>Regular el submarinisme i l'snorkel</v>
      </c>
      <c r="K152" s="101" t="s">
        <v>1109</v>
      </c>
      <c r="L152" s="92"/>
      <c r="M152" s="94" t="s">
        <v>261</v>
      </c>
      <c r="O152" s="92"/>
      <c r="P152" s="95"/>
      <c r="Q152" s="96" t="s">
        <v>569</v>
      </c>
      <c r="R152" s="288"/>
      <c r="S152" s="97"/>
      <c r="T152" s="97"/>
      <c r="U152" s="97"/>
      <c r="V152" s="114">
        <f t="shared" si="29"/>
        <v>0</v>
      </c>
      <c r="W152" s="298"/>
      <c r="X152" s="298"/>
    </row>
    <row r="153" spans="1:30" ht="45">
      <c r="A153" s="28" t="s">
        <v>563</v>
      </c>
      <c r="B153" s="31">
        <v>11</v>
      </c>
      <c r="C153" s="217" t="s">
        <v>570</v>
      </c>
      <c r="D153" s="220" t="s">
        <v>571</v>
      </c>
      <c r="E153" s="229" t="s">
        <v>1173</v>
      </c>
      <c r="F153" s="89" t="s">
        <v>590</v>
      </c>
      <c r="G153" s="90" t="s">
        <v>591</v>
      </c>
      <c r="H153" s="91" t="s">
        <v>318</v>
      </c>
      <c r="I153" s="91" t="s">
        <v>281</v>
      </c>
      <c r="J153" s="92" t="str">
        <f t="shared" si="25"/>
        <v>Regular les activitats aquàtiques i nàutiques i zones de fondeig</v>
      </c>
      <c r="K153" s="101" t="s">
        <v>1109</v>
      </c>
      <c r="L153" s="92"/>
      <c r="M153" s="94" t="s">
        <v>261</v>
      </c>
      <c r="O153" s="92"/>
      <c r="P153" s="95"/>
      <c r="Q153" s="96" t="s">
        <v>569</v>
      </c>
      <c r="R153" s="288"/>
      <c r="S153" s="97"/>
      <c r="T153" s="97"/>
      <c r="U153" s="97"/>
      <c r="V153" s="114">
        <f t="shared" si="29"/>
        <v>0</v>
      </c>
      <c r="W153" s="298"/>
      <c r="X153" s="298"/>
    </row>
    <row r="154" spans="1:30" ht="45">
      <c r="A154" s="28" t="s">
        <v>563</v>
      </c>
      <c r="B154" s="31">
        <v>11</v>
      </c>
      <c r="C154" s="217" t="s">
        <v>570</v>
      </c>
      <c r="D154" s="220" t="s">
        <v>571</v>
      </c>
      <c r="E154" s="229" t="s">
        <v>1173</v>
      </c>
      <c r="F154" s="89" t="s">
        <v>592</v>
      </c>
      <c r="G154" s="90" t="s">
        <v>593</v>
      </c>
      <c r="H154" s="91" t="s">
        <v>259</v>
      </c>
      <c r="I154" s="91" t="s">
        <v>281</v>
      </c>
      <c r="J154" s="92" t="str">
        <f t="shared" si="25"/>
        <v>Regular la presència d'animals de companyia</v>
      </c>
      <c r="K154" s="101" t="s">
        <v>1109</v>
      </c>
      <c r="L154" s="92"/>
      <c r="M154" s="94" t="s">
        <v>261</v>
      </c>
      <c r="O154" s="92"/>
      <c r="P154" s="95"/>
      <c r="Q154" s="96" t="s">
        <v>569</v>
      </c>
      <c r="R154" s="288"/>
      <c r="S154" s="97"/>
      <c r="T154" s="97"/>
      <c r="U154" s="97"/>
      <c r="V154" s="114">
        <f t="shared" si="29"/>
        <v>0</v>
      </c>
      <c r="W154" s="298"/>
      <c r="X154" s="298"/>
    </row>
    <row r="155" spans="1:30" ht="45">
      <c r="A155" s="28" t="s">
        <v>563</v>
      </c>
      <c r="B155" s="31">
        <v>11</v>
      </c>
      <c r="C155" s="217" t="s">
        <v>570</v>
      </c>
      <c r="D155" s="196" t="s">
        <v>571</v>
      </c>
      <c r="E155" s="228" t="s">
        <v>1173</v>
      </c>
      <c r="F155" s="89" t="s">
        <v>594</v>
      </c>
      <c r="G155" s="90" t="s">
        <v>1146</v>
      </c>
      <c r="H155" s="91" t="s">
        <v>259</v>
      </c>
      <c r="I155" s="91" t="s">
        <v>281</v>
      </c>
      <c r="J155" s="92" t="str">
        <f t="shared" si="25"/>
        <v>Regular les activitats d'educació ambiental i el lleure educatiu</v>
      </c>
      <c r="K155" s="93"/>
      <c r="L155" s="92" t="s">
        <v>52</v>
      </c>
      <c r="M155" s="94" t="s">
        <v>274</v>
      </c>
      <c r="O155" s="92" t="s">
        <v>1114</v>
      </c>
      <c r="P155" s="95"/>
      <c r="Q155" s="96" t="s">
        <v>569</v>
      </c>
      <c r="R155" s="103" t="s">
        <v>1270</v>
      </c>
      <c r="S155" s="97"/>
      <c r="T155" s="325" t="s">
        <v>182</v>
      </c>
      <c r="U155" s="97"/>
      <c r="V155" s="114">
        <f t="shared" si="29"/>
        <v>0</v>
      </c>
      <c r="W155" s="298" t="s">
        <v>835</v>
      </c>
      <c r="X155" s="298" t="s">
        <v>1189</v>
      </c>
      <c r="Y155" s="1" t="s">
        <v>264</v>
      </c>
      <c r="Z155" s="3" t="s">
        <v>265</v>
      </c>
      <c r="AB155" s="16" t="s">
        <v>276</v>
      </c>
    </row>
    <row r="156" spans="1:30" ht="45">
      <c r="A156" s="28" t="s">
        <v>563</v>
      </c>
      <c r="B156" s="31">
        <v>11</v>
      </c>
      <c r="C156" s="217" t="s">
        <v>570</v>
      </c>
      <c r="D156" s="195" t="s">
        <v>595</v>
      </c>
      <c r="E156" s="221" t="s">
        <v>596</v>
      </c>
      <c r="F156" s="91" t="s">
        <v>597</v>
      </c>
      <c r="G156" s="90" t="s">
        <v>598</v>
      </c>
      <c r="H156" s="91" t="s">
        <v>259</v>
      </c>
      <c r="I156" s="91" t="s">
        <v>281</v>
      </c>
      <c r="J156" s="92" t="str">
        <f t="shared" si="25"/>
        <v xml:space="preserve">Identificar i classificar la xarxa viària bàsica, secundària, senders i itineraris senyalitzats d'acord amb els ajuntaments </v>
      </c>
      <c r="K156" s="93"/>
      <c r="L156" s="92" t="s">
        <v>52</v>
      </c>
      <c r="M156" s="94" t="s">
        <v>274</v>
      </c>
      <c r="O156" s="60" t="s">
        <v>1115</v>
      </c>
      <c r="P156" s="95"/>
      <c r="Q156" s="90" t="s">
        <v>599</v>
      </c>
      <c r="R156" s="103" t="s">
        <v>1270</v>
      </c>
      <c r="S156" s="97"/>
      <c r="T156" s="325" t="s">
        <v>182</v>
      </c>
      <c r="U156" s="97"/>
      <c r="V156" s="114">
        <f t="shared" si="29"/>
        <v>0</v>
      </c>
      <c r="W156" s="298" t="s">
        <v>835</v>
      </c>
      <c r="X156" s="298" t="s">
        <v>1189</v>
      </c>
      <c r="Y156" s="1" t="s">
        <v>264</v>
      </c>
      <c r="Z156" s="3" t="s">
        <v>265</v>
      </c>
      <c r="AB156" s="16" t="s">
        <v>276</v>
      </c>
    </row>
    <row r="157" spans="1:30" ht="45">
      <c r="A157" s="28" t="s">
        <v>563</v>
      </c>
      <c r="B157" s="31">
        <v>11</v>
      </c>
      <c r="C157" s="217" t="s">
        <v>570</v>
      </c>
      <c r="D157" s="196" t="s">
        <v>595</v>
      </c>
      <c r="E157" s="222" t="s">
        <v>596</v>
      </c>
      <c r="F157" s="91" t="s">
        <v>600</v>
      </c>
      <c r="G157" s="90" t="s">
        <v>601</v>
      </c>
      <c r="H157" s="91" t="s">
        <v>259</v>
      </c>
      <c r="I157" s="91" t="s">
        <v>281</v>
      </c>
      <c r="J157" s="92" t="str">
        <f t="shared" si="25"/>
        <v>Treballar conjuntament amb els principals canals d’informació de rutes  per prioritzar itineraris oficials dins l’ENP</v>
      </c>
      <c r="K157" s="93"/>
      <c r="L157" s="92" t="s">
        <v>52</v>
      </c>
      <c r="M157" s="94" t="s">
        <v>261</v>
      </c>
      <c r="O157" s="60" t="s">
        <v>1116</v>
      </c>
      <c r="P157" s="95"/>
      <c r="Q157" s="90" t="s">
        <v>602</v>
      </c>
      <c r="R157" s="103" t="s">
        <v>1270</v>
      </c>
      <c r="S157" s="97"/>
      <c r="T157" s="325" t="s">
        <v>182</v>
      </c>
      <c r="U157" s="97"/>
      <c r="V157" s="114">
        <f t="shared" si="29"/>
        <v>0</v>
      </c>
      <c r="W157" s="298" t="s">
        <v>835</v>
      </c>
      <c r="X157" s="298" t="s">
        <v>1189</v>
      </c>
      <c r="Y157" s="1" t="s">
        <v>275</v>
      </c>
      <c r="Z157" s="3" t="s">
        <v>265</v>
      </c>
      <c r="AD157" s="16" t="s">
        <v>276</v>
      </c>
    </row>
    <row r="158" spans="1:30" ht="45">
      <c r="A158" s="28" t="s">
        <v>563</v>
      </c>
      <c r="B158" s="31">
        <v>11</v>
      </c>
      <c r="C158" s="217" t="s">
        <v>570</v>
      </c>
      <c r="D158" s="195" t="s">
        <v>603</v>
      </c>
      <c r="E158" s="197" t="s">
        <v>604</v>
      </c>
      <c r="F158" s="89" t="s">
        <v>605</v>
      </c>
      <c r="G158" s="90" t="s">
        <v>606</v>
      </c>
      <c r="H158" s="91" t="s">
        <v>259</v>
      </c>
      <c r="I158" s="91" t="s">
        <v>281</v>
      </c>
      <c r="J158" s="92" t="str">
        <f t="shared" si="25"/>
        <v>Regular l'accés i la circulació</v>
      </c>
      <c r="K158" s="92" t="s">
        <v>1118</v>
      </c>
      <c r="L158" s="60" t="s">
        <v>52</v>
      </c>
      <c r="M158" s="94" t="s">
        <v>282</v>
      </c>
      <c r="O158" s="60" t="s">
        <v>1236</v>
      </c>
      <c r="P158" s="95"/>
      <c r="Q158" s="96" t="s">
        <v>569</v>
      </c>
      <c r="R158" s="103" t="s">
        <v>1270</v>
      </c>
      <c r="S158" s="97"/>
      <c r="T158" s="325" t="s">
        <v>182</v>
      </c>
      <c r="U158" s="97"/>
      <c r="V158" s="114">
        <f t="shared" si="29"/>
        <v>0</v>
      </c>
      <c r="W158" s="298" t="s">
        <v>835</v>
      </c>
      <c r="X158" s="298" t="s">
        <v>1189</v>
      </c>
      <c r="Y158" s="1" t="s">
        <v>275</v>
      </c>
      <c r="Z158" s="3" t="s">
        <v>265</v>
      </c>
      <c r="AA158" s="16" t="s">
        <v>276</v>
      </c>
      <c r="AB158" s="16" t="s">
        <v>276</v>
      </c>
      <c r="AC158" s="16" t="s">
        <v>276</v>
      </c>
      <c r="AD158" s="16" t="s">
        <v>276</v>
      </c>
    </row>
    <row r="159" spans="1:30" ht="45">
      <c r="A159" s="28" t="s">
        <v>563</v>
      </c>
      <c r="B159" s="31">
        <v>11</v>
      </c>
      <c r="C159" s="217" t="s">
        <v>570</v>
      </c>
      <c r="D159" s="220" t="s">
        <v>603</v>
      </c>
      <c r="E159" s="219" t="s">
        <v>604</v>
      </c>
      <c r="F159" s="89" t="s">
        <v>607</v>
      </c>
      <c r="G159" s="90" t="s">
        <v>608</v>
      </c>
      <c r="H159" s="91" t="s">
        <v>259</v>
      </c>
      <c r="I159" s="91" t="s">
        <v>281</v>
      </c>
      <c r="J159" s="92" t="str">
        <f t="shared" si="25"/>
        <v>Regular la xarxa viària principal, secundària i restringida</v>
      </c>
      <c r="K159" s="92" t="s">
        <v>1117</v>
      </c>
      <c r="L159" s="92" t="s">
        <v>52</v>
      </c>
      <c r="M159" s="94" t="s">
        <v>274</v>
      </c>
      <c r="O159" s="92" t="s">
        <v>1237</v>
      </c>
      <c r="P159" s="95"/>
      <c r="Q159" s="96" t="s">
        <v>569</v>
      </c>
      <c r="R159" s="103" t="s">
        <v>1270</v>
      </c>
      <c r="S159" s="97"/>
      <c r="T159" s="325" t="s">
        <v>182</v>
      </c>
      <c r="U159" s="97"/>
      <c r="V159" s="114">
        <f t="shared" si="29"/>
        <v>0</v>
      </c>
      <c r="W159" s="298" t="s">
        <v>835</v>
      </c>
      <c r="X159" s="298" t="s">
        <v>1189</v>
      </c>
      <c r="Y159" s="1" t="s">
        <v>275</v>
      </c>
      <c r="Z159" s="3" t="s">
        <v>265</v>
      </c>
      <c r="AA159" s="16" t="s">
        <v>276</v>
      </c>
      <c r="AB159" s="16" t="s">
        <v>276</v>
      </c>
      <c r="AC159" s="16" t="s">
        <v>276</v>
      </c>
      <c r="AD159" s="16" t="s">
        <v>276</v>
      </c>
    </row>
    <row r="160" spans="1:30" ht="45">
      <c r="A160" s="28" t="s">
        <v>563</v>
      </c>
      <c r="B160" s="31">
        <v>11</v>
      </c>
      <c r="C160" s="217" t="s">
        <v>570</v>
      </c>
      <c r="D160" s="220" t="s">
        <v>603</v>
      </c>
      <c r="E160" s="219" t="s">
        <v>604</v>
      </c>
      <c r="F160" s="89" t="s">
        <v>609</v>
      </c>
      <c r="G160" s="90" t="s">
        <v>610</v>
      </c>
      <c r="H160" s="91" t="s">
        <v>318</v>
      </c>
      <c r="I160" s="91" t="s">
        <v>281</v>
      </c>
      <c r="J160" s="92" t="str">
        <f t="shared" si="25"/>
        <v>Regular l'ús de drons, l'enlairament i l'aterratge</v>
      </c>
      <c r="K160" s="101" t="s">
        <v>1109</v>
      </c>
      <c r="L160" s="92" t="s">
        <v>52</v>
      </c>
      <c r="M160" s="94" t="s">
        <v>274</v>
      </c>
      <c r="O160" s="92" t="s">
        <v>1238</v>
      </c>
      <c r="P160" s="95"/>
      <c r="Q160" s="96" t="s">
        <v>569</v>
      </c>
      <c r="R160" s="288" t="s">
        <v>1119</v>
      </c>
      <c r="S160" s="97">
        <v>2</v>
      </c>
      <c r="T160" s="97">
        <v>4</v>
      </c>
      <c r="U160" s="97"/>
      <c r="V160" s="114">
        <f t="shared" si="29"/>
        <v>0</v>
      </c>
      <c r="W160" s="298" t="s">
        <v>263</v>
      </c>
      <c r="X160" s="298" t="str">
        <f>IF(W160=Llistes!$B$18,Llistes!$D$18,IF(W160=Llistes!$B$20,Llistes!$D$20,IF(W160=Llistes!$B$22,Llistes!$D$22,IF(W160=Llistes!$B$23,Llistes!$D$23,IF(W160=Llistes!$B$24,Llistes!$D$24,IF(W160=Llistes!$B$28,Llistes!$D$28))))))</f>
        <v>Tècnic coordinador</v>
      </c>
      <c r="Y160" s="1" t="s">
        <v>275</v>
      </c>
      <c r="Z160" s="3" t="s">
        <v>265</v>
      </c>
      <c r="AA160" s="16" t="s">
        <v>276</v>
      </c>
      <c r="AB160" s="16" t="s">
        <v>276</v>
      </c>
      <c r="AC160" s="16" t="s">
        <v>276</v>
      </c>
      <c r="AD160" s="16" t="s">
        <v>276</v>
      </c>
    </row>
    <row r="161" spans="1:30" ht="45">
      <c r="A161" s="28" t="s">
        <v>563</v>
      </c>
      <c r="B161" s="31">
        <v>11</v>
      </c>
      <c r="C161" s="217" t="s">
        <v>570</v>
      </c>
      <c r="D161" s="220" t="s">
        <v>603</v>
      </c>
      <c r="E161" s="219" t="s">
        <v>604</v>
      </c>
      <c r="F161" s="89" t="s">
        <v>609</v>
      </c>
      <c r="G161" s="90" t="s">
        <v>610</v>
      </c>
      <c r="H161" s="91" t="s">
        <v>318</v>
      </c>
      <c r="I161" s="91" t="s">
        <v>281</v>
      </c>
      <c r="J161" s="92" t="str">
        <f t="shared" ref="J161" si="30">G161</f>
        <v>Regular l'ús de drons, l'enlairament i l'aterratge</v>
      </c>
      <c r="K161" s="101" t="s">
        <v>1109</v>
      </c>
      <c r="L161" s="92" t="s">
        <v>52</v>
      </c>
      <c r="M161" s="94" t="s">
        <v>274</v>
      </c>
      <c r="O161" s="92" t="s">
        <v>1237</v>
      </c>
      <c r="P161" s="95"/>
      <c r="Q161" s="96" t="s">
        <v>569</v>
      </c>
      <c r="R161" s="103" t="s">
        <v>1270</v>
      </c>
      <c r="S161" s="97"/>
      <c r="T161" s="325" t="s">
        <v>182</v>
      </c>
      <c r="U161" s="97"/>
      <c r="V161" s="114">
        <f t="shared" si="29"/>
        <v>0</v>
      </c>
      <c r="W161" s="298" t="s">
        <v>263</v>
      </c>
      <c r="X161" s="298" t="str">
        <f>IF(W161=Llistes!$B$18,Llistes!$D$18,IF(W161=Llistes!$B$20,Llistes!$D$20,IF(W161=Llistes!$B$22,Llistes!$D$22,IF(W161=Llistes!$B$23,Llistes!$D$23,IF(W161=Llistes!$B$24,Llistes!$D$24,IF(W161=Llistes!$B$28,Llistes!$D$28))))))</f>
        <v>Tècnic coordinador</v>
      </c>
      <c r="Y161" s="1" t="s">
        <v>275</v>
      </c>
      <c r="Z161" s="3" t="s">
        <v>265</v>
      </c>
      <c r="AA161" s="16" t="s">
        <v>276</v>
      </c>
      <c r="AB161" s="16" t="s">
        <v>276</v>
      </c>
      <c r="AC161" s="16" t="s">
        <v>276</v>
      </c>
      <c r="AD161" s="16" t="s">
        <v>276</v>
      </c>
    </row>
    <row r="162" spans="1:30" ht="45">
      <c r="A162" s="28" t="s">
        <v>563</v>
      </c>
      <c r="B162" s="31">
        <v>11</v>
      </c>
      <c r="C162" s="217" t="s">
        <v>570</v>
      </c>
      <c r="D162" s="220" t="s">
        <v>603</v>
      </c>
      <c r="E162" s="219" t="s">
        <v>604</v>
      </c>
      <c r="F162" s="89" t="s">
        <v>611</v>
      </c>
      <c r="G162" s="90" t="s">
        <v>612</v>
      </c>
      <c r="H162" s="91" t="s">
        <v>259</v>
      </c>
      <c r="I162" s="91" t="s">
        <v>281</v>
      </c>
      <c r="J162" s="92" t="str">
        <f t="shared" si="25"/>
        <v>Aplicar limitacions temporals d'accés o circulació</v>
      </c>
      <c r="K162" s="101" t="s">
        <v>1109</v>
      </c>
      <c r="L162" s="92"/>
      <c r="M162" s="94" t="s">
        <v>274</v>
      </c>
      <c r="O162" s="92"/>
      <c r="P162" s="95"/>
      <c r="Q162" s="96" t="s">
        <v>569</v>
      </c>
      <c r="R162" s="288"/>
      <c r="S162" s="97"/>
      <c r="T162" s="97"/>
      <c r="U162" s="97"/>
      <c r="V162" s="114">
        <f t="shared" si="29"/>
        <v>0</v>
      </c>
      <c r="W162" s="298"/>
      <c r="X162" s="298"/>
    </row>
    <row r="163" spans="1:30" ht="45">
      <c r="A163" s="28" t="s">
        <v>563</v>
      </c>
      <c r="B163" s="31">
        <v>11</v>
      </c>
      <c r="C163" s="217" t="s">
        <v>570</v>
      </c>
      <c r="D163" s="196" t="s">
        <v>603</v>
      </c>
      <c r="E163" s="198" t="s">
        <v>604</v>
      </c>
      <c r="F163" s="89" t="s">
        <v>613</v>
      </c>
      <c r="G163" s="90" t="s">
        <v>1174</v>
      </c>
      <c r="H163" s="91" t="s">
        <v>259</v>
      </c>
      <c r="I163" s="91" t="s">
        <v>281</v>
      </c>
      <c r="J163" s="92" t="str">
        <f t="shared" si="25"/>
        <v>Regular l'aparcament de vehicles</v>
      </c>
      <c r="K163" s="101" t="s">
        <v>1109</v>
      </c>
      <c r="L163" s="92" t="s">
        <v>52</v>
      </c>
      <c r="M163" s="94" t="s">
        <v>274</v>
      </c>
      <c r="O163" s="92" t="s">
        <v>1239</v>
      </c>
      <c r="P163" s="95"/>
      <c r="Q163" s="96" t="s">
        <v>569</v>
      </c>
      <c r="R163" s="103" t="s">
        <v>1270</v>
      </c>
      <c r="S163" s="97"/>
      <c r="T163" s="325" t="s">
        <v>182</v>
      </c>
      <c r="U163" s="97"/>
      <c r="V163" s="114">
        <f t="shared" si="29"/>
        <v>0</v>
      </c>
      <c r="W163" s="298" t="s">
        <v>263</v>
      </c>
      <c r="X163" s="298" t="str">
        <f>IF(W163=Llistes!$B$18,Llistes!$D$18,IF(W163=Llistes!$B$20,Llistes!$D$20,IF(W163=Llistes!$B$22,Llistes!$D$22,IF(W163=Llistes!$B$23,Llistes!$D$23,IF(W163=Llistes!$B$24,Llistes!$D$24,IF(W163=Llistes!$B$28,Llistes!$D$28))))))</f>
        <v>Tècnic coordinador</v>
      </c>
      <c r="Y163" s="1" t="s">
        <v>275</v>
      </c>
      <c r="Z163" s="3" t="s">
        <v>265</v>
      </c>
      <c r="AA163" s="16" t="s">
        <v>276</v>
      </c>
      <c r="AB163" s="16" t="s">
        <v>276</v>
      </c>
      <c r="AC163" s="16" t="s">
        <v>276</v>
      </c>
      <c r="AD163" s="16" t="s">
        <v>276</v>
      </c>
    </row>
    <row r="164" spans="1:30" ht="45">
      <c r="A164" s="28" t="s">
        <v>563</v>
      </c>
      <c r="B164" s="31">
        <v>11</v>
      </c>
      <c r="C164" s="217" t="s">
        <v>570</v>
      </c>
      <c r="D164" s="195" t="s">
        <v>614</v>
      </c>
      <c r="E164" s="197" t="s">
        <v>615</v>
      </c>
      <c r="F164" s="89" t="s">
        <v>616</v>
      </c>
      <c r="G164" s="90" t="s">
        <v>617</v>
      </c>
      <c r="H164" s="91" t="s">
        <v>259</v>
      </c>
      <c r="I164" s="91" t="s">
        <v>281</v>
      </c>
      <c r="J164" s="92" t="str">
        <f t="shared" si="25"/>
        <v>Implementar l'ordenació de l'ús públic en col·laboració amb els agents del territori</v>
      </c>
      <c r="K164" s="101" t="s">
        <v>1052</v>
      </c>
      <c r="L164" s="60"/>
      <c r="M164" s="94" t="s">
        <v>282</v>
      </c>
      <c r="O164" s="60"/>
      <c r="P164" s="95"/>
      <c r="Q164" s="96"/>
      <c r="R164" s="288"/>
      <c r="S164" s="97"/>
      <c r="T164" s="97"/>
      <c r="U164" s="97"/>
      <c r="V164" s="114">
        <f t="shared" si="29"/>
        <v>0</v>
      </c>
      <c r="W164" s="298"/>
      <c r="X164" s="298"/>
    </row>
    <row r="165" spans="1:30" ht="60">
      <c r="A165" s="28" t="s">
        <v>563</v>
      </c>
      <c r="B165" s="31">
        <v>11</v>
      </c>
      <c r="C165" s="217" t="s">
        <v>570</v>
      </c>
      <c r="D165" s="196" t="s">
        <v>614</v>
      </c>
      <c r="E165" s="198" t="s">
        <v>615</v>
      </c>
      <c r="F165" s="89" t="s">
        <v>618</v>
      </c>
      <c r="G165" s="90" t="s">
        <v>619</v>
      </c>
      <c r="H165" s="91" t="s">
        <v>259</v>
      </c>
      <c r="I165" s="91" t="s">
        <v>281</v>
      </c>
      <c r="J165" s="92" t="str">
        <f t="shared" si="25"/>
        <v>Promoció i acompanyament en l'ordenació de l'ús públic de l'ENP des de l'àmbit municipal</v>
      </c>
      <c r="K165" s="93"/>
      <c r="L165" s="105" t="s">
        <v>52</v>
      </c>
      <c r="M165" s="94" t="s">
        <v>261</v>
      </c>
      <c r="O165" s="115" t="s">
        <v>1240</v>
      </c>
      <c r="P165" s="95"/>
      <c r="Q165" s="96"/>
      <c r="R165" s="103" t="s">
        <v>1270</v>
      </c>
      <c r="S165" s="97"/>
      <c r="T165" s="325" t="s">
        <v>182</v>
      </c>
      <c r="U165" s="97"/>
      <c r="V165" s="114">
        <f t="shared" si="29"/>
        <v>0</v>
      </c>
      <c r="W165" s="298" t="s">
        <v>263</v>
      </c>
      <c r="X165" s="298" t="str">
        <f>IF(W165=Llistes!$B$18,Llistes!$D$18,IF(W165=Llistes!$B$20,Llistes!$D$20,IF(W165=Llistes!$B$22,Llistes!$D$22,IF(W165=Llistes!$B$23,Llistes!$D$23,IF(W165=Llistes!$B$24,Llistes!$D$24,IF(W165=Llistes!$B$28,Llistes!$D$28))))))</f>
        <v>Tècnic coordinador</v>
      </c>
      <c r="Y165" s="1" t="s">
        <v>275</v>
      </c>
      <c r="Z165" s="3" t="s">
        <v>265</v>
      </c>
      <c r="AC165" s="16" t="s">
        <v>276</v>
      </c>
    </row>
    <row r="166" spans="1:30" ht="45">
      <c r="A166" s="28" t="s">
        <v>563</v>
      </c>
      <c r="B166" s="31">
        <v>11</v>
      </c>
      <c r="C166" s="217" t="s">
        <v>570</v>
      </c>
      <c r="D166" s="195" t="s">
        <v>620</v>
      </c>
      <c r="E166" s="197" t="s">
        <v>621</v>
      </c>
      <c r="F166" s="89" t="s">
        <v>622</v>
      </c>
      <c r="G166" s="90" t="s">
        <v>623</v>
      </c>
      <c r="H166" s="91" t="s">
        <v>259</v>
      </c>
      <c r="I166" s="91" t="s">
        <v>281</v>
      </c>
      <c r="J166" s="92" t="str">
        <f t="shared" si="25"/>
        <v>Realitzar l'inventari de senyalètica de l'ENP</v>
      </c>
      <c r="K166" s="93"/>
      <c r="L166" s="105" t="s">
        <v>52</v>
      </c>
      <c r="M166" s="94" t="s">
        <v>261</v>
      </c>
      <c r="O166" s="60" t="s">
        <v>1241</v>
      </c>
      <c r="P166" s="95"/>
      <c r="Q166" s="96"/>
      <c r="R166" s="103" t="s">
        <v>1270</v>
      </c>
      <c r="S166" s="97"/>
      <c r="T166" s="325" t="s">
        <v>182</v>
      </c>
      <c r="U166" s="97"/>
      <c r="V166" s="114">
        <f t="shared" si="29"/>
        <v>0</v>
      </c>
      <c r="W166" s="298" t="s">
        <v>263</v>
      </c>
      <c r="X166" s="298" t="str">
        <f>IF(W166=Llistes!$B$18,Llistes!$D$18,IF(W166=Llistes!$B$20,Llistes!$D$20,IF(W166=Llistes!$B$22,Llistes!$D$22,IF(W166=Llistes!$B$23,Llistes!$D$23,IF(W166=Llistes!$B$24,Llistes!$D$24,IF(W166=Llistes!$B$28,Llistes!$D$28))))))</f>
        <v>Tècnic coordinador</v>
      </c>
      <c r="Y166" s="1" t="s">
        <v>264</v>
      </c>
      <c r="Z166" s="3" t="s">
        <v>265</v>
      </c>
      <c r="AB166" s="16" t="s">
        <v>276</v>
      </c>
    </row>
    <row r="167" spans="1:30" ht="45">
      <c r="A167" s="28" t="s">
        <v>563</v>
      </c>
      <c r="B167" s="31">
        <v>11</v>
      </c>
      <c r="C167" s="217" t="s">
        <v>570</v>
      </c>
      <c r="D167" s="196" t="s">
        <v>620</v>
      </c>
      <c r="E167" s="198" t="s">
        <v>621</v>
      </c>
      <c r="F167" s="89" t="s">
        <v>624</v>
      </c>
      <c r="G167" s="90" t="s">
        <v>625</v>
      </c>
      <c r="H167" s="91" t="s">
        <v>259</v>
      </c>
      <c r="I167" s="91" t="s">
        <v>281</v>
      </c>
      <c r="J167" s="92" t="str">
        <f t="shared" si="25"/>
        <v xml:space="preserve">Implantar el programa de senyalització i manteniment </v>
      </c>
      <c r="K167" s="101"/>
      <c r="L167" s="105" t="s">
        <v>52</v>
      </c>
      <c r="M167" s="94" t="s">
        <v>274</v>
      </c>
      <c r="O167" s="60" t="s">
        <v>1120</v>
      </c>
      <c r="P167" s="100" t="s">
        <v>308</v>
      </c>
      <c r="Q167" s="90" t="s">
        <v>626</v>
      </c>
      <c r="R167" s="103" t="s">
        <v>1270</v>
      </c>
      <c r="S167" s="97"/>
      <c r="T167" s="325" t="s">
        <v>182</v>
      </c>
      <c r="U167" s="97"/>
      <c r="V167" s="114">
        <f t="shared" si="29"/>
        <v>0</v>
      </c>
      <c r="W167" s="298" t="s">
        <v>263</v>
      </c>
      <c r="X167" s="298" t="str">
        <f>IF(W167=Llistes!$B$18,Llistes!$D$18,IF(W167=Llistes!$B$20,Llistes!$D$20,IF(W167=Llistes!$B$22,Llistes!$D$22,IF(W167=Llistes!$B$23,Llistes!$D$23,IF(W167=Llistes!$B$24,Llistes!$D$24,IF(W167=Llistes!$B$28,Llistes!$D$28))))))</f>
        <v>Tècnic coordinador</v>
      </c>
      <c r="Y167" s="1" t="s">
        <v>264</v>
      </c>
      <c r="Z167" s="3" t="s">
        <v>265</v>
      </c>
      <c r="AB167" s="16" t="s">
        <v>276</v>
      </c>
    </row>
    <row r="168" spans="1:30" ht="45">
      <c r="A168" s="28" t="s">
        <v>563</v>
      </c>
      <c r="B168" s="31">
        <v>11</v>
      </c>
      <c r="C168" s="217" t="s">
        <v>570</v>
      </c>
      <c r="D168" s="196" t="s">
        <v>620</v>
      </c>
      <c r="E168" s="198" t="s">
        <v>621</v>
      </c>
      <c r="F168" s="89" t="s">
        <v>624</v>
      </c>
      <c r="G168" s="90" t="s">
        <v>625</v>
      </c>
      <c r="H168" s="91" t="s">
        <v>259</v>
      </c>
      <c r="I168" s="91" t="s">
        <v>281</v>
      </c>
      <c r="J168" s="92" t="str">
        <f t="shared" ref="J168" si="31">G168</f>
        <v xml:space="preserve">Implantar el programa de senyalització i manteniment </v>
      </c>
      <c r="K168" s="101"/>
      <c r="L168" s="60" t="s">
        <v>52</v>
      </c>
      <c r="M168" s="94" t="s">
        <v>274</v>
      </c>
      <c r="O168" s="60" t="s">
        <v>1121</v>
      </c>
      <c r="P168" s="100" t="s">
        <v>308</v>
      </c>
      <c r="Q168" s="90" t="s">
        <v>626</v>
      </c>
      <c r="R168" s="103" t="s">
        <v>1270</v>
      </c>
      <c r="S168" s="97"/>
      <c r="T168" s="325" t="s">
        <v>182</v>
      </c>
      <c r="U168" s="97"/>
      <c r="V168" s="114">
        <f t="shared" si="29"/>
        <v>0</v>
      </c>
      <c r="W168" s="298" t="s">
        <v>835</v>
      </c>
      <c r="X168" s="298" t="s">
        <v>1189</v>
      </c>
      <c r="Y168" s="1" t="s">
        <v>264</v>
      </c>
      <c r="Z168" s="3" t="s">
        <v>265</v>
      </c>
      <c r="AA168" s="16" t="s">
        <v>276</v>
      </c>
      <c r="AB168" s="16" t="s">
        <v>276</v>
      </c>
      <c r="AC168" s="16" t="s">
        <v>276</v>
      </c>
      <c r="AD168" s="16" t="s">
        <v>276</v>
      </c>
    </row>
    <row r="169" spans="1:30" ht="45">
      <c r="A169" s="28" t="s">
        <v>563</v>
      </c>
      <c r="B169" s="31">
        <v>11</v>
      </c>
      <c r="C169" s="217" t="s">
        <v>570</v>
      </c>
      <c r="D169" s="195" t="s">
        <v>627</v>
      </c>
      <c r="E169" s="197" t="s">
        <v>628</v>
      </c>
      <c r="F169" s="89" t="s">
        <v>629</v>
      </c>
      <c r="G169" s="90" t="s">
        <v>630</v>
      </c>
      <c r="H169" s="91" t="s">
        <v>259</v>
      </c>
      <c r="I169" s="91" t="s">
        <v>346</v>
      </c>
      <c r="J169" s="92" t="str">
        <f t="shared" si="25"/>
        <v xml:space="preserve">Potenciar la visita a espais alternatius dins de l'àmbit d'influència de l'espai natural per reduir la pressió en zones sensibles </v>
      </c>
      <c r="K169" s="101" t="s">
        <v>1122</v>
      </c>
      <c r="L169" s="60"/>
      <c r="M169" s="94" t="s">
        <v>274</v>
      </c>
      <c r="O169" s="60"/>
      <c r="P169" s="95"/>
      <c r="Q169" s="96"/>
      <c r="R169" s="288"/>
      <c r="S169" s="97"/>
      <c r="T169" s="97"/>
      <c r="U169" s="97"/>
      <c r="V169" s="114">
        <f t="shared" si="29"/>
        <v>0</v>
      </c>
      <c r="W169" s="298"/>
      <c r="X169" s="298"/>
    </row>
    <row r="170" spans="1:30" ht="45">
      <c r="A170" s="28" t="s">
        <v>563</v>
      </c>
      <c r="B170" s="31">
        <v>11</v>
      </c>
      <c r="C170" s="217" t="s">
        <v>570</v>
      </c>
      <c r="D170" s="196" t="s">
        <v>627</v>
      </c>
      <c r="E170" s="198" t="s">
        <v>628</v>
      </c>
      <c r="F170" s="89" t="s">
        <v>631</v>
      </c>
      <c r="G170" s="102" t="s">
        <v>632</v>
      </c>
      <c r="H170" s="91" t="s">
        <v>259</v>
      </c>
      <c r="I170" s="91" t="s">
        <v>346</v>
      </c>
      <c r="J170" s="92" t="s">
        <v>1124</v>
      </c>
      <c r="K170" s="101" t="s">
        <v>1123</v>
      </c>
      <c r="L170" s="60" t="s">
        <v>52</v>
      </c>
      <c r="M170" s="94" t="s">
        <v>282</v>
      </c>
      <c r="O170" s="60" t="s">
        <v>1242</v>
      </c>
      <c r="P170" s="95"/>
      <c r="Q170" s="96"/>
      <c r="R170" s="103" t="s">
        <v>1270</v>
      </c>
      <c r="S170" s="97"/>
      <c r="T170" s="325" t="s">
        <v>182</v>
      </c>
      <c r="U170" s="97"/>
      <c r="V170" s="114">
        <f t="shared" si="29"/>
        <v>0</v>
      </c>
      <c r="W170" s="298" t="s">
        <v>263</v>
      </c>
      <c r="X170" s="298" t="str">
        <f>IF(W170=Llistes!$B$18,Llistes!$D$18,IF(W170=Llistes!$B$20,Llistes!$D$20,IF(W170=Llistes!$B$22,Llistes!$D$22,IF(W170=Llistes!$B$23,Llistes!$D$23,IF(W170=Llistes!$B$24,Llistes!$D$24,IF(W170=Llistes!$B$28,Llistes!$D$28))))))</f>
        <v>Tècnic coordinador</v>
      </c>
      <c r="Y170" s="1" t="s">
        <v>275</v>
      </c>
      <c r="Z170" s="3" t="s">
        <v>265</v>
      </c>
      <c r="AA170" s="16" t="s">
        <v>276</v>
      </c>
      <c r="AB170" s="16" t="s">
        <v>276</v>
      </c>
      <c r="AC170" s="16" t="s">
        <v>276</v>
      </c>
      <c r="AD170" s="16" t="s">
        <v>276</v>
      </c>
    </row>
    <row r="171" spans="1:30" ht="44.45" customHeight="1">
      <c r="A171" s="28" t="s">
        <v>563</v>
      </c>
      <c r="B171" s="31">
        <v>11</v>
      </c>
      <c r="C171" s="217" t="s">
        <v>570</v>
      </c>
      <c r="D171" s="195" t="s">
        <v>633</v>
      </c>
      <c r="E171" s="197" t="s">
        <v>1175</v>
      </c>
      <c r="F171" s="89" t="s">
        <v>634</v>
      </c>
      <c r="G171" s="90" t="s">
        <v>635</v>
      </c>
      <c r="H171" s="91" t="s">
        <v>259</v>
      </c>
      <c r="I171" s="91" t="s">
        <v>281</v>
      </c>
      <c r="J171" s="92" t="str">
        <f t="shared" si="25"/>
        <v>Adequar els principals accessos, aparcaments i centres d'interès amb un ús elevat</v>
      </c>
      <c r="K171" s="93"/>
      <c r="L171" s="60" t="s">
        <v>52</v>
      </c>
      <c r="M171" s="94" t="s">
        <v>282</v>
      </c>
      <c r="O171" s="60" t="s">
        <v>1243</v>
      </c>
      <c r="P171" s="95"/>
      <c r="Q171" s="96"/>
      <c r="R171" s="103" t="s">
        <v>1270</v>
      </c>
      <c r="S171" s="97"/>
      <c r="T171" s="325" t="s">
        <v>182</v>
      </c>
      <c r="U171" s="97"/>
      <c r="V171" s="114">
        <f t="shared" si="29"/>
        <v>0</v>
      </c>
      <c r="W171" s="298" t="s">
        <v>835</v>
      </c>
      <c r="X171" s="298" t="s">
        <v>1189</v>
      </c>
      <c r="Y171" s="1" t="s">
        <v>264</v>
      </c>
      <c r="Z171" s="3" t="s">
        <v>265</v>
      </c>
      <c r="AB171" s="16" t="s">
        <v>276</v>
      </c>
    </row>
    <row r="172" spans="1:30" ht="60">
      <c r="A172" s="28" t="s">
        <v>563</v>
      </c>
      <c r="B172" s="31">
        <v>11</v>
      </c>
      <c r="C172" s="217" t="s">
        <v>570</v>
      </c>
      <c r="D172" s="220" t="s">
        <v>633</v>
      </c>
      <c r="E172" s="219" t="s">
        <v>1175</v>
      </c>
      <c r="F172" s="89" t="s">
        <v>636</v>
      </c>
      <c r="G172" s="102" t="s">
        <v>637</v>
      </c>
      <c r="H172" s="91" t="s">
        <v>259</v>
      </c>
      <c r="I172" s="91" t="s">
        <v>281</v>
      </c>
      <c r="J172" s="92" t="str">
        <f t="shared" ref="J172:J176" si="32">G172</f>
        <v>Disposar dels equipaments i infraestructures necessàries i accessibles per acollir, informar, facilitar la visita i garantir la seguretat dels visitants i la protecció de l'entorn</v>
      </c>
      <c r="K172" s="93"/>
      <c r="L172" s="60" t="s">
        <v>52</v>
      </c>
      <c r="M172" s="94" t="s">
        <v>261</v>
      </c>
      <c r="O172" s="60" t="s">
        <v>1104</v>
      </c>
      <c r="P172" s="95"/>
      <c r="Q172" s="96"/>
      <c r="R172" s="103" t="s">
        <v>1270</v>
      </c>
      <c r="S172" s="97"/>
      <c r="T172" s="325" t="s">
        <v>182</v>
      </c>
      <c r="U172" s="97"/>
      <c r="V172" s="114">
        <f t="shared" si="29"/>
        <v>0</v>
      </c>
      <c r="W172" s="298" t="s">
        <v>835</v>
      </c>
      <c r="X172" s="298" t="s">
        <v>1189</v>
      </c>
      <c r="Y172" s="1" t="s">
        <v>264</v>
      </c>
      <c r="Z172" s="3" t="s">
        <v>265</v>
      </c>
      <c r="AA172" s="16" t="s">
        <v>276</v>
      </c>
      <c r="AB172" s="16" t="s">
        <v>276</v>
      </c>
      <c r="AC172" s="16" t="s">
        <v>276</v>
      </c>
      <c r="AD172" s="16" t="s">
        <v>276</v>
      </c>
    </row>
    <row r="173" spans="1:30" ht="60">
      <c r="A173" s="28" t="s">
        <v>563</v>
      </c>
      <c r="B173" s="31">
        <v>11</v>
      </c>
      <c r="C173" s="217" t="s">
        <v>570</v>
      </c>
      <c r="D173" s="220" t="s">
        <v>633</v>
      </c>
      <c r="E173" s="219" t="s">
        <v>1175</v>
      </c>
      <c r="F173" s="89" t="s">
        <v>636</v>
      </c>
      <c r="G173" s="102" t="s">
        <v>637</v>
      </c>
      <c r="H173" s="91" t="s">
        <v>259</v>
      </c>
      <c r="I173" s="91" t="s">
        <v>281</v>
      </c>
      <c r="J173" s="92" t="str">
        <f t="shared" si="32"/>
        <v>Disposar dels equipaments i infraestructures necessàries i accessibles per acollir, informar, facilitar la visita i garantir la seguretat dels visitants i la protecció de l'entorn</v>
      </c>
      <c r="K173" s="93"/>
      <c r="L173" s="60" t="s">
        <v>52</v>
      </c>
      <c r="M173" s="94" t="s">
        <v>261</v>
      </c>
      <c r="O173" s="60" t="s">
        <v>1102</v>
      </c>
      <c r="P173" s="95"/>
      <c r="Q173" s="96"/>
      <c r="R173" s="103" t="s">
        <v>1270</v>
      </c>
      <c r="S173" s="97"/>
      <c r="T173" s="325" t="s">
        <v>182</v>
      </c>
      <c r="U173" s="97"/>
      <c r="V173" s="114">
        <f t="shared" si="29"/>
        <v>0</v>
      </c>
      <c r="W173" s="298" t="s">
        <v>835</v>
      </c>
      <c r="X173" s="298" t="s">
        <v>1189</v>
      </c>
      <c r="Y173" s="1" t="s">
        <v>264</v>
      </c>
      <c r="Z173" s="3" t="s">
        <v>265</v>
      </c>
      <c r="AA173" s="16" t="s">
        <v>276</v>
      </c>
      <c r="AB173" s="16" t="s">
        <v>276</v>
      </c>
      <c r="AC173" s="16" t="s">
        <v>276</v>
      </c>
      <c r="AD173" s="16" t="s">
        <v>276</v>
      </c>
    </row>
    <row r="174" spans="1:30" ht="60">
      <c r="A174" s="28" t="s">
        <v>563</v>
      </c>
      <c r="B174" s="31">
        <v>11</v>
      </c>
      <c r="C174" s="217" t="s">
        <v>570</v>
      </c>
      <c r="D174" s="220" t="s">
        <v>633</v>
      </c>
      <c r="E174" s="219" t="s">
        <v>1175</v>
      </c>
      <c r="F174" s="89" t="s">
        <v>636</v>
      </c>
      <c r="G174" s="102" t="s">
        <v>637</v>
      </c>
      <c r="H174" s="91" t="s">
        <v>259</v>
      </c>
      <c r="I174" s="91" t="s">
        <v>281</v>
      </c>
      <c r="J174" s="92" t="str">
        <f t="shared" si="32"/>
        <v>Disposar dels equipaments i infraestructures necessàries i accessibles per acollir, informar, facilitar la visita i garantir la seguretat dels visitants i la protecció de l'entorn</v>
      </c>
      <c r="K174" s="93"/>
      <c r="L174" s="60" t="s">
        <v>52</v>
      </c>
      <c r="M174" s="94" t="s">
        <v>261</v>
      </c>
      <c r="O174" s="60" t="s">
        <v>1103</v>
      </c>
      <c r="P174" s="95"/>
      <c r="Q174" s="96"/>
      <c r="R174" s="103" t="s">
        <v>1270</v>
      </c>
      <c r="S174" s="97"/>
      <c r="T174" s="325" t="s">
        <v>182</v>
      </c>
      <c r="U174" s="97"/>
      <c r="V174" s="114">
        <f t="shared" si="29"/>
        <v>0</v>
      </c>
      <c r="W174" s="298" t="s">
        <v>835</v>
      </c>
      <c r="X174" s="298" t="s">
        <v>1189</v>
      </c>
      <c r="Y174" s="1" t="s">
        <v>264</v>
      </c>
      <c r="Z174" s="3" t="s">
        <v>265</v>
      </c>
      <c r="AA174" s="16" t="s">
        <v>276</v>
      </c>
      <c r="AB174" s="16" t="s">
        <v>276</v>
      </c>
      <c r="AC174" s="16" t="s">
        <v>276</v>
      </c>
      <c r="AD174" s="16" t="s">
        <v>276</v>
      </c>
    </row>
    <row r="175" spans="1:30" ht="60">
      <c r="A175" s="28" t="s">
        <v>563</v>
      </c>
      <c r="B175" s="31">
        <v>11</v>
      </c>
      <c r="C175" s="217" t="s">
        <v>570</v>
      </c>
      <c r="D175" s="220" t="s">
        <v>633</v>
      </c>
      <c r="E175" s="219" t="s">
        <v>1175</v>
      </c>
      <c r="F175" s="89" t="s">
        <v>636</v>
      </c>
      <c r="G175" s="102" t="s">
        <v>637</v>
      </c>
      <c r="H175" s="91" t="s">
        <v>259</v>
      </c>
      <c r="I175" s="91" t="s">
        <v>281</v>
      </c>
      <c r="J175" s="92" t="str">
        <f t="shared" si="32"/>
        <v>Disposar dels equipaments i infraestructures necessàries i accessibles per acollir, informar, facilitar la visita i garantir la seguretat dels visitants i la protecció de l'entorn</v>
      </c>
      <c r="K175" s="93"/>
      <c r="L175" s="60" t="s">
        <v>52</v>
      </c>
      <c r="M175" s="94" t="s">
        <v>261</v>
      </c>
      <c r="O175" s="60" t="s">
        <v>1105</v>
      </c>
      <c r="P175" s="95"/>
      <c r="Q175" s="96"/>
      <c r="R175" s="103" t="s">
        <v>1270</v>
      </c>
      <c r="S175" s="97"/>
      <c r="T175" s="325" t="s">
        <v>182</v>
      </c>
      <c r="U175" s="97"/>
      <c r="V175" s="114">
        <f t="shared" si="29"/>
        <v>0</v>
      </c>
      <c r="W175" s="298" t="s">
        <v>835</v>
      </c>
      <c r="X175" s="298" t="s">
        <v>1189</v>
      </c>
      <c r="Y175" s="1" t="s">
        <v>264</v>
      </c>
      <c r="Z175" s="3" t="s">
        <v>265</v>
      </c>
      <c r="AA175" s="16" t="s">
        <v>276</v>
      </c>
      <c r="AB175" s="16" t="s">
        <v>276</v>
      </c>
      <c r="AC175" s="16" t="s">
        <v>276</v>
      </c>
      <c r="AD175" s="16" t="s">
        <v>276</v>
      </c>
    </row>
    <row r="176" spans="1:30" ht="60">
      <c r="A176" s="28" t="s">
        <v>563</v>
      </c>
      <c r="B176" s="31">
        <v>11</v>
      </c>
      <c r="C176" s="217" t="s">
        <v>570</v>
      </c>
      <c r="D176" s="220" t="s">
        <v>633</v>
      </c>
      <c r="E176" s="219" t="s">
        <v>1175</v>
      </c>
      <c r="F176" s="89" t="s">
        <v>636</v>
      </c>
      <c r="G176" s="102" t="s">
        <v>637</v>
      </c>
      <c r="H176" s="91" t="s">
        <v>259</v>
      </c>
      <c r="I176" s="91" t="s">
        <v>281</v>
      </c>
      <c r="J176" s="92" t="str">
        <f t="shared" si="32"/>
        <v>Disposar dels equipaments i infraestructures necessàries i accessibles per acollir, informar, facilitar la visita i garantir la seguretat dels visitants i la protecció de l'entorn</v>
      </c>
      <c r="K176" s="93"/>
      <c r="L176" s="60" t="s">
        <v>52</v>
      </c>
      <c r="M176" s="94" t="s">
        <v>261</v>
      </c>
      <c r="O176" s="60" t="s">
        <v>1106</v>
      </c>
      <c r="P176" s="95"/>
      <c r="Q176" s="96"/>
      <c r="R176" s="103" t="s">
        <v>1270</v>
      </c>
      <c r="S176" s="97"/>
      <c r="T176" s="325" t="s">
        <v>182</v>
      </c>
      <c r="U176" s="97"/>
      <c r="V176" s="114">
        <f t="shared" si="29"/>
        <v>0</v>
      </c>
      <c r="W176" s="298" t="s">
        <v>835</v>
      </c>
      <c r="X176" s="298" t="s">
        <v>1189</v>
      </c>
      <c r="Y176" s="1" t="s">
        <v>264</v>
      </c>
      <c r="Z176" s="3" t="s">
        <v>265</v>
      </c>
      <c r="AA176" s="16" t="s">
        <v>276</v>
      </c>
      <c r="AB176" s="16" t="s">
        <v>276</v>
      </c>
      <c r="AC176" s="16" t="s">
        <v>276</v>
      </c>
      <c r="AD176" s="16" t="s">
        <v>276</v>
      </c>
    </row>
    <row r="177" spans="1:30" ht="60">
      <c r="A177" s="28" t="s">
        <v>563</v>
      </c>
      <c r="B177" s="31">
        <v>11</v>
      </c>
      <c r="C177" s="217" t="s">
        <v>570</v>
      </c>
      <c r="D177" s="220" t="s">
        <v>633</v>
      </c>
      <c r="E177" s="219" t="s">
        <v>1175</v>
      </c>
      <c r="F177" s="89" t="s">
        <v>636</v>
      </c>
      <c r="G177" s="102" t="s">
        <v>637</v>
      </c>
      <c r="H177" s="91" t="s">
        <v>259</v>
      </c>
      <c r="I177" s="91" t="s">
        <v>281</v>
      </c>
      <c r="J177" s="92" t="str">
        <f t="shared" si="25"/>
        <v>Disposar dels equipaments i infraestructures necessàries i accessibles per acollir, informar, facilitar la visita i garantir la seguretat dels visitants i la protecció de l'entorn</v>
      </c>
      <c r="K177" s="93"/>
      <c r="L177" s="60" t="s">
        <v>52</v>
      </c>
      <c r="M177" s="94" t="s">
        <v>261</v>
      </c>
      <c r="O177" s="60" t="s">
        <v>1107</v>
      </c>
      <c r="P177" s="95"/>
      <c r="Q177" s="96"/>
      <c r="R177" s="103" t="s">
        <v>1270</v>
      </c>
      <c r="S177" s="97"/>
      <c r="T177" s="325" t="s">
        <v>182</v>
      </c>
      <c r="U177" s="97"/>
      <c r="V177" s="114">
        <f t="shared" si="29"/>
        <v>0</v>
      </c>
      <c r="W177" s="298" t="s">
        <v>835</v>
      </c>
      <c r="X177" s="298" t="s">
        <v>1189</v>
      </c>
      <c r="Y177" s="1" t="s">
        <v>264</v>
      </c>
      <c r="Z177" s="3" t="s">
        <v>265</v>
      </c>
      <c r="AB177" s="16" t="s">
        <v>276</v>
      </c>
    </row>
    <row r="178" spans="1:30" ht="45">
      <c r="A178" s="28" t="s">
        <v>563</v>
      </c>
      <c r="B178" s="31">
        <v>11</v>
      </c>
      <c r="C178" s="217" t="s">
        <v>570</v>
      </c>
      <c r="D178" s="220" t="s">
        <v>633</v>
      </c>
      <c r="E178" s="219" t="s">
        <v>1175</v>
      </c>
      <c r="F178" s="89" t="s">
        <v>638</v>
      </c>
      <c r="G178" s="102" t="s">
        <v>639</v>
      </c>
      <c r="H178" s="91" t="s">
        <v>259</v>
      </c>
      <c r="I178" s="91" t="s">
        <v>281</v>
      </c>
      <c r="J178" s="92" t="str">
        <f t="shared" si="25"/>
        <v>Desenvolupar el Pla d'acollida als visitants en base al model de la DG</v>
      </c>
      <c r="K178" s="101" t="s">
        <v>1052</v>
      </c>
      <c r="L178" s="106"/>
      <c r="M178" s="94" t="s">
        <v>282</v>
      </c>
      <c r="O178" s="106"/>
      <c r="P178" s="95"/>
      <c r="Q178" s="90" t="s">
        <v>640</v>
      </c>
      <c r="R178" s="288"/>
      <c r="S178" s="97"/>
      <c r="T178" s="97"/>
      <c r="U178" s="97"/>
      <c r="V178" s="114">
        <f t="shared" si="29"/>
        <v>0</v>
      </c>
      <c r="W178" s="298"/>
      <c r="X178" s="298"/>
    </row>
    <row r="179" spans="1:30" ht="45">
      <c r="A179" s="28" t="s">
        <v>563</v>
      </c>
      <c r="B179" s="31">
        <v>11</v>
      </c>
      <c r="C179" s="217" t="s">
        <v>570</v>
      </c>
      <c r="D179" s="196" t="s">
        <v>633</v>
      </c>
      <c r="E179" s="198" t="s">
        <v>1175</v>
      </c>
      <c r="F179" s="89" t="s">
        <v>641</v>
      </c>
      <c r="G179" s="102" t="s">
        <v>642</v>
      </c>
      <c r="H179" s="91" t="s">
        <v>259</v>
      </c>
      <c r="I179" s="91" t="s">
        <v>281</v>
      </c>
      <c r="J179" s="92" t="str">
        <f t="shared" si="25"/>
        <v>Adaptar els missatges a donar des d'oficines d’informació, pròpies i alienes, d'acord amb el model de la DG</v>
      </c>
      <c r="K179" s="101" t="s">
        <v>1052</v>
      </c>
      <c r="L179" s="60"/>
      <c r="M179" s="94" t="s">
        <v>261</v>
      </c>
      <c r="O179" s="60"/>
      <c r="P179" s="95" t="s">
        <v>270</v>
      </c>
      <c r="Q179" s="90" t="s">
        <v>643</v>
      </c>
      <c r="R179" s="288"/>
      <c r="S179" s="97"/>
      <c r="T179" s="97"/>
      <c r="U179" s="97"/>
      <c r="V179" s="114">
        <f t="shared" si="29"/>
        <v>0</v>
      </c>
      <c r="W179" s="298"/>
      <c r="X179" s="298"/>
    </row>
    <row r="180" spans="1:30" ht="60">
      <c r="A180" s="28" t="s">
        <v>563</v>
      </c>
      <c r="B180" s="31">
        <v>11</v>
      </c>
      <c r="C180" s="217" t="s">
        <v>570</v>
      </c>
      <c r="D180" s="195" t="s">
        <v>644</v>
      </c>
      <c r="E180" s="197" t="s">
        <v>645</v>
      </c>
      <c r="F180" s="89" t="s">
        <v>646</v>
      </c>
      <c r="G180" s="90" t="s">
        <v>647</v>
      </c>
      <c r="H180" s="91" t="s">
        <v>259</v>
      </c>
      <c r="I180" s="91" t="s">
        <v>346</v>
      </c>
      <c r="J180" s="92" t="str">
        <f t="shared" si="25"/>
        <v>Elaborar i executar el Pla de vigilància de l’espai d'acord amb els cossos d’inspecció i seguretat</v>
      </c>
      <c r="K180" s="101" t="s">
        <v>1052</v>
      </c>
      <c r="L180" s="60"/>
      <c r="M180" s="94" t="s">
        <v>274</v>
      </c>
      <c r="O180" s="60"/>
      <c r="P180" s="95"/>
      <c r="Q180" s="96"/>
      <c r="R180" s="288"/>
      <c r="S180" s="97"/>
      <c r="T180" s="97"/>
      <c r="U180" s="97"/>
      <c r="V180" s="114">
        <f t="shared" si="29"/>
        <v>0</v>
      </c>
      <c r="W180" s="298"/>
      <c r="X180" s="298"/>
    </row>
    <row r="181" spans="1:30" ht="60">
      <c r="A181" s="28" t="s">
        <v>563</v>
      </c>
      <c r="B181" s="31">
        <v>11</v>
      </c>
      <c r="C181" s="217" t="s">
        <v>570</v>
      </c>
      <c r="D181" s="220" t="s">
        <v>644</v>
      </c>
      <c r="E181" s="219" t="s">
        <v>645</v>
      </c>
      <c r="F181" s="89" t="s">
        <v>648</v>
      </c>
      <c r="G181" s="90" t="s">
        <v>649</v>
      </c>
      <c r="H181" s="91" t="s">
        <v>259</v>
      </c>
      <c r="I181" s="91" t="s">
        <v>281</v>
      </c>
      <c r="J181" s="92" t="str">
        <f t="shared" si="25"/>
        <v>Millorar la coordinació amb els cossos de seguretat per efectuar accions de control i vigilància</v>
      </c>
      <c r="K181" s="93"/>
      <c r="L181" s="60" t="s">
        <v>52</v>
      </c>
      <c r="M181" s="94" t="s">
        <v>274</v>
      </c>
      <c r="O181" s="60" t="s">
        <v>1125</v>
      </c>
      <c r="P181" s="95"/>
      <c r="Q181" s="96"/>
      <c r="R181" s="103" t="s">
        <v>1270</v>
      </c>
      <c r="S181" s="97"/>
      <c r="T181" s="325" t="s">
        <v>182</v>
      </c>
      <c r="U181" s="97"/>
      <c r="V181" s="114">
        <f t="shared" si="29"/>
        <v>0</v>
      </c>
      <c r="W181" s="298" t="s">
        <v>263</v>
      </c>
      <c r="X181" s="298" t="str">
        <f>IF(W181=Llistes!$B$18,Llistes!$D$18,IF(W181=Llistes!$B$20,Llistes!$D$20,IF(W181=Llistes!$B$22,Llistes!$D$22,IF(W181=Llistes!$B$23,Llistes!$D$23,IF(W181=Llistes!$B$24,Llistes!$D$24,IF(W181=Llistes!$B$28,Llistes!$D$28))))))</f>
        <v>Tècnic coordinador</v>
      </c>
      <c r="Y181" s="1" t="s">
        <v>275</v>
      </c>
      <c r="Z181" s="3" t="s">
        <v>265</v>
      </c>
      <c r="AA181" s="16" t="s">
        <v>276</v>
      </c>
      <c r="AB181" s="16" t="s">
        <v>276</v>
      </c>
      <c r="AC181" s="16" t="s">
        <v>276</v>
      </c>
      <c r="AD181" s="16" t="s">
        <v>276</v>
      </c>
    </row>
    <row r="182" spans="1:30" ht="60">
      <c r="A182" s="28" t="s">
        <v>563</v>
      </c>
      <c r="B182" s="31">
        <v>11</v>
      </c>
      <c r="C182" s="217" t="s">
        <v>570</v>
      </c>
      <c r="D182" s="220" t="s">
        <v>644</v>
      </c>
      <c r="E182" s="219" t="s">
        <v>645</v>
      </c>
      <c r="F182" s="89" t="s">
        <v>650</v>
      </c>
      <c r="G182" s="90" t="s">
        <v>651</v>
      </c>
      <c r="H182" s="91" t="s">
        <v>259</v>
      </c>
      <c r="I182" s="91" t="s">
        <v>281</v>
      </c>
      <c r="J182" s="92" t="str">
        <f t="shared" si="25"/>
        <v>Vetllar pel compliment d'informes i la vigilància tècnica de l'espai</v>
      </c>
      <c r="K182" s="93"/>
      <c r="L182" s="60" t="s">
        <v>52</v>
      </c>
      <c r="M182" s="94" t="s">
        <v>274</v>
      </c>
      <c r="O182" s="60" t="s">
        <v>1126</v>
      </c>
      <c r="P182" s="95"/>
      <c r="Q182" s="96"/>
      <c r="R182" s="103" t="s">
        <v>1270</v>
      </c>
      <c r="S182" s="97"/>
      <c r="T182" s="325" t="s">
        <v>182</v>
      </c>
      <c r="U182" s="97"/>
      <c r="V182" s="114">
        <f t="shared" si="29"/>
        <v>0</v>
      </c>
      <c r="W182" s="298" t="s">
        <v>835</v>
      </c>
      <c r="X182" s="298" t="s">
        <v>1189</v>
      </c>
      <c r="Y182" s="1" t="s">
        <v>275</v>
      </c>
      <c r="Z182" s="3" t="s">
        <v>265</v>
      </c>
      <c r="AA182" s="16" t="s">
        <v>276</v>
      </c>
      <c r="AB182" s="16" t="s">
        <v>276</v>
      </c>
      <c r="AC182" s="16" t="s">
        <v>276</v>
      </c>
      <c r="AD182" s="16" t="s">
        <v>276</v>
      </c>
    </row>
    <row r="183" spans="1:30" ht="45">
      <c r="A183" s="28" t="s">
        <v>563</v>
      </c>
      <c r="B183" s="52">
        <v>12</v>
      </c>
      <c r="C183" s="53" t="s">
        <v>652</v>
      </c>
      <c r="D183" s="195" t="s">
        <v>653</v>
      </c>
      <c r="E183" s="197" t="s">
        <v>654</v>
      </c>
      <c r="F183" s="89" t="s">
        <v>655</v>
      </c>
      <c r="G183" s="90" t="s">
        <v>656</v>
      </c>
      <c r="H183" s="91" t="s">
        <v>259</v>
      </c>
      <c r="I183" s="91" t="s">
        <v>281</v>
      </c>
      <c r="J183" s="92" t="str">
        <f t="shared" si="25"/>
        <v>Ordenar el pla d’emergències</v>
      </c>
      <c r="K183" s="101" t="s">
        <v>1109</v>
      </c>
      <c r="L183" s="60"/>
      <c r="M183" s="94" t="s">
        <v>261</v>
      </c>
      <c r="O183" s="60"/>
      <c r="P183" s="95"/>
      <c r="Q183" s="96"/>
      <c r="R183" s="288"/>
      <c r="S183" s="97"/>
      <c r="T183" s="97"/>
      <c r="U183" s="97"/>
      <c r="V183" s="114">
        <f t="shared" si="29"/>
        <v>0</v>
      </c>
      <c r="W183" s="298"/>
      <c r="X183" s="298"/>
    </row>
    <row r="184" spans="1:30" ht="45">
      <c r="A184" s="28" t="s">
        <v>563</v>
      </c>
      <c r="B184" s="54">
        <v>12</v>
      </c>
      <c r="C184" s="55" t="s">
        <v>652</v>
      </c>
      <c r="D184" s="196" t="s">
        <v>653</v>
      </c>
      <c r="E184" s="198" t="s">
        <v>654</v>
      </c>
      <c r="F184" s="89" t="s">
        <v>657</v>
      </c>
      <c r="G184" s="90" t="s">
        <v>658</v>
      </c>
      <c r="H184" s="91" t="s">
        <v>259</v>
      </c>
      <c r="I184" s="91" t="s">
        <v>281</v>
      </c>
      <c r="J184" s="92" t="str">
        <f t="shared" ref="J184:J266" si="33">G184</f>
        <v>Contribuir a la protecció dels assentaments humans respecte dels riscos naturals</v>
      </c>
      <c r="K184" s="101" t="s">
        <v>1109</v>
      </c>
      <c r="L184" s="60"/>
      <c r="M184" s="94" t="s">
        <v>261</v>
      </c>
      <c r="O184" s="60"/>
      <c r="P184" s="95"/>
      <c r="Q184" s="96"/>
      <c r="R184" s="288"/>
      <c r="S184" s="97"/>
      <c r="T184" s="97"/>
      <c r="U184" s="97"/>
      <c r="V184" s="114">
        <f t="shared" si="29"/>
        <v>0</v>
      </c>
      <c r="W184" s="298"/>
      <c r="X184" s="298"/>
    </row>
    <row r="185" spans="1:30" ht="60">
      <c r="A185" s="29" t="s">
        <v>659</v>
      </c>
      <c r="B185" s="213">
        <v>13</v>
      </c>
      <c r="C185" s="177" t="s">
        <v>660</v>
      </c>
      <c r="D185" s="180" t="s">
        <v>661</v>
      </c>
      <c r="E185" s="178" t="s">
        <v>662</v>
      </c>
      <c r="F185" s="107" t="s">
        <v>663</v>
      </c>
      <c r="G185" s="90" t="s">
        <v>664</v>
      </c>
      <c r="H185" s="91" t="s">
        <v>259</v>
      </c>
      <c r="I185" s="91" t="s">
        <v>281</v>
      </c>
      <c r="J185" s="92" t="str">
        <f t="shared" si="33"/>
        <v>Definir el model de Xarxa d'Escoles de l'Espai Natural (XEEN) a l'ENP amb els agents educatius del territori</v>
      </c>
      <c r="K185" s="93"/>
      <c r="L185" s="60" t="s">
        <v>52</v>
      </c>
      <c r="M185" s="94" t="s">
        <v>282</v>
      </c>
      <c r="O185" s="60" t="s">
        <v>1244</v>
      </c>
      <c r="P185" s="107" t="s">
        <v>665</v>
      </c>
      <c r="Q185" s="96"/>
      <c r="R185" s="103" t="s">
        <v>1270</v>
      </c>
      <c r="S185" s="97"/>
      <c r="T185" s="325" t="s">
        <v>182</v>
      </c>
      <c r="U185" s="97"/>
      <c r="V185" s="114">
        <f t="shared" si="29"/>
        <v>0</v>
      </c>
      <c r="W185" s="298" t="s">
        <v>835</v>
      </c>
      <c r="X185" s="298" t="s">
        <v>1189</v>
      </c>
      <c r="Y185" s="1" t="s">
        <v>264</v>
      </c>
      <c r="Z185" s="3" t="s">
        <v>265</v>
      </c>
      <c r="AC185" s="16" t="s">
        <v>276</v>
      </c>
    </row>
    <row r="186" spans="1:30" ht="45">
      <c r="A186" s="29" t="s">
        <v>659</v>
      </c>
      <c r="B186" s="213">
        <v>13</v>
      </c>
      <c r="C186" s="177" t="s">
        <v>660</v>
      </c>
      <c r="D186" s="180" t="s">
        <v>661</v>
      </c>
      <c r="E186" s="178" t="s">
        <v>662</v>
      </c>
      <c r="F186" s="107" t="s">
        <v>666</v>
      </c>
      <c r="G186" s="102" t="s">
        <v>667</v>
      </c>
      <c r="H186" s="91" t="s">
        <v>259</v>
      </c>
      <c r="I186" s="91" t="s">
        <v>281</v>
      </c>
      <c r="J186" s="92" t="str">
        <f t="shared" si="33"/>
        <v>Desplegar el model de Xarxa d'Escoles de l'Espai Natural (XEEN) a l'ENP d'acord amb el model general</v>
      </c>
      <c r="K186" s="101" t="s">
        <v>1127</v>
      </c>
      <c r="L186" s="60" t="s">
        <v>52</v>
      </c>
      <c r="M186" s="94" t="s">
        <v>282</v>
      </c>
      <c r="O186" s="108" t="s">
        <v>1129</v>
      </c>
      <c r="P186" s="107" t="s">
        <v>665</v>
      </c>
      <c r="Q186" s="90" t="s">
        <v>668</v>
      </c>
      <c r="R186" s="103" t="s">
        <v>1270</v>
      </c>
      <c r="S186" s="97"/>
      <c r="T186" s="325" t="s">
        <v>182</v>
      </c>
      <c r="U186" s="97"/>
      <c r="V186" s="114">
        <f t="shared" si="29"/>
        <v>0</v>
      </c>
      <c r="W186" s="298" t="s">
        <v>263</v>
      </c>
      <c r="X186" s="298" t="str">
        <f>IF(W186=Llistes!$B$18,Llistes!$D$18,IF(W186=Llistes!$B$20,Llistes!$D$20,IF(W186=Llistes!$B$22,Llistes!$D$22,IF(W186=Llistes!$B$23,Llistes!$D$23,IF(W186=Llistes!$B$24,Llistes!$D$24,IF(W186=Llistes!$B$28,Llistes!$D$28))))))</f>
        <v>Tècnic coordinador</v>
      </c>
      <c r="Y186" s="1" t="s">
        <v>275</v>
      </c>
      <c r="Z186" s="3" t="s">
        <v>265</v>
      </c>
      <c r="AD186" s="16" t="s">
        <v>276</v>
      </c>
    </row>
    <row r="187" spans="1:30" ht="45">
      <c r="A187" s="29" t="s">
        <v>659</v>
      </c>
      <c r="B187" s="213">
        <v>13</v>
      </c>
      <c r="C187" s="177" t="s">
        <v>660</v>
      </c>
      <c r="D187" s="181" t="s">
        <v>661</v>
      </c>
      <c r="E187" s="179" t="s">
        <v>662</v>
      </c>
      <c r="F187" s="107" t="s">
        <v>669</v>
      </c>
      <c r="G187" s="90" t="s">
        <v>670</v>
      </c>
      <c r="H187" s="91" t="s">
        <v>259</v>
      </c>
      <c r="I187" s="91" t="s">
        <v>281</v>
      </c>
      <c r="J187" s="92" t="str">
        <f t="shared" si="33"/>
        <v xml:space="preserve">Formar i capacitar al professorat de la XEEN </v>
      </c>
      <c r="K187" s="101" t="s">
        <v>1127</v>
      </c>
      <c r="L187" s="60" t="s">
        <v>52</v>
      </c>
      <c r="M187" s="94" t="s">
        <v>282</v>
      </c>
      <c r="O187" s="108" t="s">
        <v>1128</v>
      </c>
      <c r="P187" s="107" t="s">
        <v>665</v>
      </c>
      <c r="Q187" s="90"/>
      <c r="R187" s="103" t="s">
        <v>1270</v>
      </c>
      <c r="S187" s="97"/>
      <c r="T187" s="325" t="s">
        <v>182</v>
      </c>
      <c r="U187" s="97"/>
      <c r="V187" s="114">
        <f t="shared" si="29"/>
        <v>0</v>
      </c>
      <c r="W187" s="298" t="s">
        <v>263</v>
      </c>
      <c r="X187" s="298" t="str">
        <f>IF(W187=Llistes!$B$18,Llistes!$D$18,IF(W187=Llistes!$B$20,Llistes!$D$20,IF(W187=Llistes!$B$22,Llistes!$D$22,IF(W187=Llistes!$B$23,Llistes!$D$23,IF(W187=Llistes!$B$24,Llistes!$D$24,IF(W187=Llistes!$B$28,Llistes!$D$28))))))</f>
        <v>Tècnic coordinador</v>
      </c>
      <c r="Y187" s="1" t="s">
        <v>275</v>
      </c>
      <c r="Z187" s="3" t="s">
        <v>265</v>
      </c>
      <c r="AD187" s="16" t="s">
        <v>276</v>
      </c>
    </row>
    <row r="188" spans="1:30" ht="88.9" customHeight="1">
      <c r="A188" s="29" t="s">
        <v>659</v>
      </c>
      <c r="B188" s="213">
        <v>13</v>
      </c>
      <c r="C188" s="177" t="s">
        <v>660</v>
      </c>
      <c r="D188" s="202" t="s">
        <v>671</v>
      </c>
      <c r="E188" s="189" t="s">
        <v>672</v>
      </c>
      <c r="F188" s="89" t="s">
        <v>673</v>
      </c>
      <c r="G188" s="90" t="s">
        <v>674</v>
      </c>
      <c r="H188" s="91" t="s">
        <v>259</v>
      </c>
      <c r="I188" s="91" t="s">
        <v>281</v>
      </c>
      <c r="J188" s="92" t="str">
        <f t="shared" si="33"/>
        <v>Adaptar i millorar l'oferta pedagògica de l'ENP generant situacions d'aprenentatge i treballs per projecte</v>
      </c>
      <c r="K188" s="101" t="s">
        <v>1127</v>
      </c>
      <c r="L188" s="60" t="s">
        <v>52</v>
      </c>
      <c r="M188" s="94" t="s">
        <v>282</v>
      </c>
      <c r="O188" s="60" t="s">
        <v>1130</v>
      </c>
      <c r="P188" s="107" t="s">
        <v>665</v>
      </c>
      <c r="Q188" s="90" t="s">
        <v>1176</v>
      </c>
      <c r="R188" s="103" t="s">
        <v>1270</v>
      </c>
      <c r="S188" s="97"/>
      <c r="T188" s="325" t="s">
        <v>182</v>
      </c>
      <c r="U188" s="97"/>
      <c r="V188" s="114">
        <f t="shared" si="29"/>
        <v>0</v>
      </c>
      <c r="W188" s="298" t="s">
        <v>263</v>
      </c>
      <c r="X188" s="298" t="str">
        <f>IF(W188=Llistes!$B$18,Llistes!$D$18,IF(W188=Llistes!$B$20,Llistes!$D$20,IF(W188=Llistes!$B$22,Llistes!$D$22,IF(W188=Llistes!$B$23,Llistes!$D$23,IF(W188=Llistes!$B$24,Llistes!$D$24,IF(W188=Llistes!$B$28,Llistes!$D$28))))))</f>
        <v>Tècnic coordinador</v>
      </c>
      <c r="Y188" s="1" t="s">
        <v>275</v>
      </c>
      <c r="Z188" s="3" t="s">
        <v>265</v>
      </c>
      <c r="AD188" s="16" t="s">
        <v>276</v>
      </c>
    </row>
    <row r="189" spans="1:30" ht="60">
      <c r="A189" s="29" t="s">
        <v>659</v>
      </c>
      <c r="B189" s="213">
        <v>13</v>
      </c>
      <c r="C189" s="177" t="s">
        <v>660</v>
      </c>
      <c r="D189" s="180" t="s">
        <v>671</v>
      </c>
      <c r="E189" s="178" t="s">
        <v>672</v>
      </c>
      <c r="F189" s="89" t="s">
        <v>675</v>
      </c>
      <c r="G189" s="90" t="s">
        <v>676</v>
      </c>
      <c r="H189" s="91" t="s">
        <v>259</v>
      </c>
      <c r="I189" s="91" t="s">
        <v>346</v>
      </c>
      <c r="J189" s="92" t="str">
        <f t="shared" si="33"/>
        <v>Dissenyar projectes d'ApS ambiental i Ciència ciutadana i projectes compartits amb entitats del territori que s'incloguin dins de l'oferta pedagògica.</v>
      </c>
      <c r="K189" s="101" t="s">
        <v>1052</v>
      </c>
      <c r="L189" s="60"/>
      <c r="M189" s="94" t="s">
        <v>261</v>
      </c>
      <c r="O189" s="60"/>
      <c r="P189" s="107" t="s">
        <v>665</v>
      </c>
      <c r="Q189" s="96"/>
      <c r="R189" s="288"/>
      <c r="S189" s="97"/>
      <c r="T189" s="97"/>
      <c r="U189" s="97"/>
      <c r="V189" s="114">
        <f t="shared" si="29"/>
        <v>0</v>
      </c>
      <c r="W189" s="298"/>
      <c r="X189" s="298"/>
    </row>
    <row r="190" spans="1:30" ht="60">
      <c r="A190" s="29" t="s">
        <v>659</v>
      </c>
      <c r="B190" s="213">
        <v>13</v>
      </c>
      <c r="C190" s="177" t="s">
        <v>660</v>
      </c>
      <c r="D190" s="180" t="s">
        <v>671</v>
      </c>
      <c r="E190" s="178" t="s">
        <v>672</v>
      </c>
      <c r="F190" s="89" t="s">
        <v>677</v>
      </c>
      <c r="G190" s="90" t="s">
        <v>678</v>
      </c>
      <c r="H190" s="91" t="s">
        <v>259</v>
      </c>
      <c r="I190" s="91" t="s">
        <v>346</v>
      </c>
      <c r="J190" s="92" t="str">
        <f t="shared" si="33"/>
        <v>Elaborar recursos educatius sobre l’espai (que tinguin en compte les problemàtiques singulars del seu espai) i posar-los a disposició dels centres educatius</v>
      </c>
      <c r="K190" s="101" t="s">
        <v>1052</v>
      </c>
      <c r="L190" s="60"/>
      <c r="M190" s="94" t="s">
        <v>261</v>
      </c>
      <c r="O190" s="60"/>
      <c r="P190" s="107" t="s">
        <v>665</v>
      </c>
      <c r="Q190" s="96"/>
      <c r="R190" s="288"/>
      <c r="S190" s="97"/>
      <c r="T190" s="97"/>
      <c r="U190" s="97"/>
      <c r="V190" s="114">
        <f t="shared" si="29"/>
        <v>0</v>
      </c>
      <c r="W190" s="298"/>
      <c r="X190" s="298"/>
    </row>
    <row r="191" spans="1:30" ht="60">
      <c r="A191" s="29" t="s">
        <v>659</v>
      </c>
      <c r="B191" s="213">
        <v>13</v>
      </c>
      <c r="C191" s="177" t="s">
        <v>660</v>
      </c>
      <c r="D191" s="181" t="s">
        <v>671</v>
      </c>
      <c r="E191" s="179" t="s">
        <v>672</v>
      </c>
      <c r="F191" s="89" t="s">
        <v>679</v>
      </c>
      <c r="G191" s="90" t="s">
        <v>680</v>
      </c>
      <c r="H191" s="91" t="s">
        <v>259</v>
      </c>
      <c r="I191" s="91" t="s">
        <v>346</v>
      </c>
      <c r="J191" s="92" t="str">
        <f t="shared" si="33"/>
        <v>Oferir projectes de recerca vinculats a l'espai natural per a l'alumnat universitari i de la XEEN</v>
      </c>
      <c r="K191" s="93"/>
      <c r="L191" s="60" t="s">
        <v>52</v>
      </c>
      <c r="M191" s="94" t="s">
        <v>261</v>
      </c>
      <c r="O191" s="60" t="s">
        <v>1245</v>
      </c>
      <c r="P191" s="107" t="s">
        <v>665</v>
      </c>
      <c r="Q191" s="96"/>
      <c r="R191" s="288" t="s">
        <v>1132</v>
      </c>
      <c r="S191" s="97">
        <v>2</v>
      </c>
      <c r="T191" s="97">
        <v>6</v>
      </c>
      <c r="U191" s="97"/>
      <c r="V191" s="114">
        <f t="shared" si="29"/>
        <v>0</v>
      </c>
      <c r="W191" s="298" t="s">
        <v>263</v>
      </c>
      <c r="X191" s="298" t="str">
        <f>IF(W191=Llistes!$B$18,Llistes!$D$18,IF(W191=Llistes!$B$20,Llistes!$D$20,IF(W191=Llistes!$B$22,Llistes!$D$22,IF(W191=Llistes!$B$23,Llistes!$D$23,IF(W191=Llistes!$B$24,Llistes!$D$24,IF(W191=Llistes!$B$28,Llistes!$D$28))))))</f>
        <v>Tècnic coordinador</v>
      </c>
      <c r="Y191" s="1" t="s">
        <v>275</v>
      </c>
      <c r="Z191" s="3" t="s">
        <v>265</v>
      </c>
      <c r="AA191" s="16" t="s">
        <v>276</v>
      </c>
      <c r="AB191" s="16" t="s">
        <v>276</v>
      </c>
      <c r="AC191" s="16" t="s">
        <v>276</v>
      </c>
      <c r="AD191" s="16" t="s">
        <v>276</v>
      </c>
    </row>
    <row r="192" spans="1:30" ht="45">
      <c r="A192" s="29" t="s">
        <v>659</v>
      </c>
      <c r="B192" s="213">
        <v>13</v>
      </c>
      <c r="C192" s="177" t="s">
        <v>660</v>
      </c>
      <c r="D192" s="202" t="s">
        <v>681</v>
      </c>
      <c r="E192" s="189" t="s">
        <v>682</v>
      </c>
      <c r="F192" s="89" t="s">
        <v>683</v>
      </c>
      <c r="G192" s="90" t="s">
        <v>684</v>
      </c>
      <c r="H192" s="91" t="s">
        <v>259</v>
      </c>
      <c r="I192" s="91" t="s">
        <v>281</v>
      </c>
      <c r="J192" s="92" t="str">
        <f t="shared" si="33"/>
        <v>Establir un model de coordinació territorial amb agents clau de l'educació ambiental</v>
      </c>
      <c r="K192" s="101" t="s">
        <v>1052</v>
      </c>
      <c r="L192" s="60"/>
      <c r="M192" s="94" t="s">
        <v>282</v>
      </c>
      <c r="O192" s="60"/>
      <c r="P192" s="107" t="s">
        <v>665</v>
      </c>
      <c r="Q192" s="96"/>
      <c r="R192" s="288"/>
      <c r="S192" s="97"/>
      <c r="T192" s="97"/>
      <c r="U192" s="97"/>
      <c r="V192" s="114">
        <f t="shared" si="29"/>
        <v>0</v>
      </c>
      <c r="W192" s="298"/>
      <c r="X192" s="298"/>
    </row>
    <row r="193" spans="1:30" ht="45">
      <c r="A193" s="29" t="s">
        <v>659</v>
      </c>
      <c r="B193" s="213">
        <v>13</v>
      </c>
      <c r="C193" s="177" t="s">
        <v>660</v>
      </c>
      <c r="D193" s="180" t="s">
        <v>681</v>
      </c>
      <c r="E193" s="178" t="s">
        <v>682</v>
      </c>
      <c r="F193" s="89" t="s">
        <v>685</v>
      </c>
      <c r="G193" s="90" t="s">
        <v>686</v>
      </c>
      <c r="H193" s="91" t="s">
        <v>259</v>
      </c>
      <c r="I193" s="91" t="s">
        <v>281</v>
      </c>
      <c r="J193" s="92" t="str">
        <f t="shared" si="33"/>
        <v>Cercar i establir col·laboracions i projectes conjunts amb agents clau del territori</v>
      </c>
      <c r="K193" s="101" t="s">
        <v>1052</v>
      </c>
      <c r="L193" s="60"/>
      <c r="M193" s="94" t="s">
        <v>282</v>
      </c>
      <c r="O193" s="60"/>
      <c r="P193" s="107" t="s">
        <v>665</v>
      </c>
      <c r="Q193" s="96"/>
      <c r="R193" s="288"/>
      <c r="S193" s="97"/>
      <c r="T193" s="97"/>
      <c r="U193" s="97"/>
      <c r="V193" s="114">
        <f t="shared" si="29"/>
        <v>0</v>
      </c>
      <c r="W193" s="298"/>
      <c r="X193" s="298"/>
    </row>
    <row r="194" spans="1:30" ht="45">
      <c r="A194" s="29" t="s">
        <v>659</v>
      </c>
      <c r="B194" s="213">
        <v>13</v>
      </c>
      <c r="C194" s="177" t="s">
        <v>660</v>
      </c>
      <c r="D194" s="181" t="s">
        <v>681</v>
      </c>
      <c r="E194" s="179" t="s">
        <v>682</v>
      </c>
      <c r="F194" s="89" t="s">
        <v>687</v>
      </c>
      <c r="G194" s="90" t="s">
        <v>688</v>
      </c>
      <c r="H194" s="91" t="s">
        <v>259</v>
      </c>
      <c r="I194" s="91" t="s">
        <v>281</v>
      </c>
      <c r="J194" s="92" t="str">
        <f t="shared" si="33"/>
        <v>Elaborar formacions dirigides als informadors, educadors i altres prescriptors del territori</v>
      </c>
      <c r="K194" s="101"/>
      <c r="L194" s="60" t="s">
        <v>52</v>
      </c>
      <c r="M194" s="94" t="s">
        <v>282</v>
      </c>
      <c r="O194" s="60" t="s">
        <v>1131</v>
      </c>
      <c r="P194" s="107" t="s">
        <v>665</v>
      </c>
      <c r="Q194" s="90" t="s">
        <v>689</v>
      </c>
      <c r="R194" s="103" t="s">
        <v>1270</v>
      </c>
      <c r="S194" s="97"/>
      <c r="T194" s="325" t="s">
        <v>182</v>
      </c>
      <c r="U194" s="97"/>
      <c r="V194" s="114">
        <f t="shared" si="29"/>
        <v>0</v>
      </c>
      <c r="W194" s="298" t="s">
        <v>835</v>
      </c>
      <c r="X194" s="298" t="s">
        <v>1189</v>
      </c>
      <c r="Y194" s="1" t="s">
        <v>264</v>
      </c>
      <c r="Z194" s="3" t="s">
        <v>265</v>
      </c>
      <c r="AD194" s="16" t="s">
        <v>276</v>
      </c>
    </row>
    <row r="195" spans="1:30" ht="45">
      <c r="A195" s="29" t="s">
        <v>659</v>
      </c>
      <c r="B195" s="213">
        <v>13</v>
      </c>
      <c r="C195" s="177" t="s">
        <v>660</v>
      </c>
      <c r="D195" s="202" t="s">
        <v>690</v>
      </c>
      <c r="E195" s="188" t="s">
        <v>691</v>
      </c>
      <c r="F195" s="89" t="s">
        <v>692</v>
      </c>
      <c r="G195" s="90" t="s">
        <v>693</v>
      </c>
      <c r="H195" s="91" t="s">
        <v>259</v>
      </c>
      <c r="I195" s="91" t="s">
        <v>281</v>
      </c>
      <c r="J195" s="92" t="str">
        <f t="shared" si="33"/>
        <v>Desplegar en el territori les campanyes de sensibilització i bones pràctiques que s'impulsin des de la DG</v>
      </c>
      <c r="K195" s="93"/>
      <c r="L195" s="60" t="s">
        <v>53</v>
      </c>
      <c r="M195" s="94" t="s">
        <v>282</v>
      </c>
      <c r="O195" s="60" t="s">
        <v>1246</v>
      </c>
      <c r="P195" s="107" t="s">
        <v>665</v>
      </c>
      <c r="Q195" s="90" t="s">
        <v>694</v>
      </c>
      <c r="R195" s="103" t="s">
        <v>1270</v>
      </c>
      <c r="S195" s="97"/>
      <c r="T195" s="325" t="s">
        <v>182</v>
      </c>
      <c r="U195" s="97"/>
      <c r="V195" s="114">
        <f t="shared" si="29"/>
        <v>0</v>
      </c>
      <c r="W195" s="298" t="s">
        <v>835</v>
      </c>
      <c r="X195" s="298" t="s">
        <v>1189</v>
      </c>
      <c r="Y195" s="1" t="s">
        <v>275</v>
      </c>
      <c r="Z195" s="3" t="s">
        <v>265</v>
      </c>
      <c r="AA195" s="16" t="s">
        <v>276</v>
      </c>
      <c r="AB195" s="16" t="s">
        <v>276</v>
      </c>
      <c r="AC195" s="16" t="s">
        <v>276</v>
      </c>
      <c r="AD195" s="16" t="s">
        <v>276</v>
      </c>
    </row>
    <row r="196" spans="1:30" ht="45">
      <c r="A196" s="29" t="s">
        <v>659</v>
      </c>
      <c r="B196" s="213">
        <v>13</v>
      </c>
      <c r="C196" s="177" t="s">
        <v>660</v>
      </c>
      <c r="D196" s="180" t="s">
        <v>690</v>
      </c>
      <c r="E196" s="178" t="s">
        <v>691</v>
      </c>
      <c r="F196" s="89" t="s">
        <v>695</v>
      </c>
      <c r="G196" s="90" t="s">
        <v>696</v>
      </c>
      <c r="H196" s="91" t="s">
        <v>259</v>
      </c>
      <c r="I196" s="91" t="s">
        <v>346</v>
      </c>
      <c r="J196" s="92" t="str">
        <f t="shared" si="33"/>
        <v xml:space="preserve">Adaptar el programa de divulgació i sensibilització de l'ENP perquè incorpori una oferta d’activitats adequada per a famílies </v>
      </c>
      <c r="K196" s="93"/>
      <c r="L196" s="60" t="s">
        <v>52</v>
      </c>
      <c r="M196" s="94" t="s">
        <v>261</v>
      </c>
      <c r="O196" s="60" t="s">
        <v>1247</v>
      </c>
      <c r="P196" s="107" t="s">
        <v>665</v>
      </c>
      <c r="Q196" s="109"/>
      <c r="R196" s="103" t="s">
        <v>1270</v>
      </c>
      <c r="S196" s="97"/>
      <c r="T196" s="325" t="s">
        <v>182</v>
      </c>
      <c r="U196" s="97"/>
      <c r="V196" s="114">
        <f t="shared" si="29"/>
        <v>0</v>
      </c>
      <c r="W196" s="298" t="s">
        <v>835</v>
      </c>
      <c r="X196" s="298" t="s">
        <v>1189</v>
      </c>
      <c r="Y196" s="1" t="s">
        <v>264</v>
      </c>
      <c r="Z196" s="3" t="s">
        <v>265</v>
      </c>
      <c r="AB196" s="16" t="s">
        <v>276</v>
      </c>
    </row>
    <row r="197" spans="1:30" ht="60">
      <c r="A197" s="29" t="s">
        <v>659</v>
      </c>
      <c r="B197" s="213">
        <v>13</v>
      </c>
      <c r="C197" s="177" t="s">
        <v>660</v>
      </c>
      <c r="D197" s="180" t="s">
        <v>690</v>
      </c>
      <c r="E197" s="178" t="s">
        <v>691</v>
      </c>
      <c r="F197" s="89" t="s">
        <v>697</v>
      </c>
      <c r="G197" s="102" t="s">
        <v>698</v>
      </c>
      <c r="H197" s="91" t="s">
        <v>259</v>
      </c>
      <c r="I197" s="91" t="s">
        <v>346</v>
      </c>
      <c r="J197" s="92" t="str">
        <f t="shared" si="33"/>
        <v xml:space="preserve">Adaptar el programa de divulgació i sensibilització de l'ENP perquè incorpori una oferta d’activitats adequada per a altres perfils </v>
      </c>
      <c r="K197" s="93"/>
      <c r="L197" s="60" t="s">
        <v>52</v>
      </c>
      <c r="M197" s="94" t="s">
        <v>261</v>
      </c>
      <c r="O197" s="60" t="s">
        <v>1248</v>
      </c>
      <c r="P197" s="107" t="s">
        <v>665</v>
      </c>
      <c r="Q197" s="109"/>
      <c r="R197" s="103" t="s">
        <v>1270</v>
      </c>
      <c r="S197" s="97"/>
      <c r="T197" s="325" t="s">
        <v>182</v>
      </c>
      <c r="U197" s="97"/>
      <c r="V197" s="114">
        <f t="shared" si="29"/>
        <v>0</v>
      </c>
      <c r="W197" s="298" t="s">
        <v>835</v>
      </c>
      <c r="X197" s="298" t="s">
        <v>1189</v>
      </c>
      <c r="Y197" s="1" t="s">
        <v>264</v>
      </c>
      <c r="Z197" s="3" t="s">
        <v>265</v>
      </c>
      <c r="AB197" s="16" t="s">
        <v>276</v>
      </c>
    </row>
    <row r="198" spans="1:30" ht="45">
      <c r="A198" s="29" t="s">
        <v>659</v>
      </c>
      <c r="B198" s="213">
        <v>13</v>
      </c>
      <c r="C198" s="177" t="s">
        <v>660</v>
      </c>
      <c r="D198" s="181" t="s">
        <v>690</v>
      </c>
      <c r="E198" s="179" t="s">
        <v>691</v>
      </c>
      <c r="F198" s="89" t="s">
        <v>699</v>
      </c>
      <c r="G198" s="90" t="s">
        <v>700</v>
      </c>
      <c r="H198" s="91" t="s">
        <v>259</v>
      </c>
      <c r="I198" s="91" t="s">
        <v>346</v>
      </c>
      <c r="J198" s="92" t="str">
        <f t="shared" si="33"/>
        <v xml:space="preserve">Adaptar el programa de divulgació i sensibilització de l'ENP perquè incorpori una oferta d’activitats dirigida al lleure educatiu </v>
      </c>
      <c r="K198" s="101" t="s">
        <v>1052</v>
      </c>
      <c r="L198" s="60"/>
      <c r="M198" s="94" t="s">
        <v>261</v>
      </c>
      <c r="O198" s="60"/>
      <c r="P198" s="107" t="s">
        <v>665</v>
      </c>
      <c r="Q198" s="109"/>
      <c r="R198" s="288"/>
      <c r="S198" s="97"/>
      <c r="T198" s="97"/>
      <c r="U198" s="97"/>
      <c r="V198" s="114">
        <f t="shared" ref="V198:V261" si="34">U198*4</f>
        <v>0</v>
      </c>
      <c r="W198" s="298"/>
      <c r="X198" s="298"/>
    </row>
    <row r="199" spans="1:30" ht="45">
      <c r="A199" s="29" t="s">
        <v>659</v>
      </c>
      <c r="B199" s="213">
        <v>13</v>
      </c>
      <c r="C199" s="177" t="s">
        <v>660</v>
      </c>
      <c r="D199" s="202" t="s">
        <v>701</v>
      </c>
      <c r="E199" s="189" t="s">
        <v>702</v>
      </c>
      <c r="F199" s="89" t="s">
        <v>703</v>
      </c>
      <c r="G199" s="102" t="s">
        <v>704</v>
      </c>
      <c r="H199" s="91" t="s">
        <v>259</v>
      </c>
      <c r="I199" s="91" t="s">
        <v>281</v>
      </c>
      <c r="J199" s="92" t="str">
        <f t="shared" si="33"/>
        <v>Identificar col·lectius estratègics implicats en la gestió i l'ús del territori</v>
      </c>
      <c r="K199" s="93"/>
      <c r="L199" s="110" t="s">
        <v>52</v>
      </c>
      <c r="M199" s="94" t="s">
        <v>282</v>
      </c>
      <c r="O199" s="60" t="s">
        <v>1249</v>
      </c>
      <c r="P199" s="107" t="s">
        <v>665</v>
      </c>
      <c r="Q199" s="96"/>
      <c r="R199" s="103" t="s">
        <v>1270</v>
      </c>
      <c r="S199" s="97"/>
      <c r="T199" s="325" t="s">
        <v>182</v>
      </c>
      <c r="U199" s="97"/>
      <c r="V199" s="114">
        <f t="shared" si="34"/>
        <v>0</v>
      </c>
      <c r="W199" s="298" t="s">
        <v>835</v>
      </c>
      <c r="X199" s="298" t="s">
        <v>1189</v>
      </c>
      <c r="Y199" s="1" t="s">
        <v>264</v>
      </c>
      <c r="Z199" s="3" t="s">
        <v>265</v>
      </c>
      <c r="AB199" s="16" t="s">
        <v>276</v>
      </c>
    </row>
    <row r="200" spans="1:30" ht="45">
      <c r="A200" s="29" t="s">
        <v>659</v>
      </c>
      <c r="B200" s="213">
        <v>13</v>
      </c>
      <c r="C200" s="177" t="s">
        <v>660</v>
      </c>
      <c r="D200" s="180" t="s">
        <v>701</v>
      </c>
      <c r="E200" s="178" t="s">
        <v>702</v>
      </c>
      <c r="F200" s="89" t="s">
        <v>705</v>
      </c>
      <c r="G200" s="90" t="s">
        <v>706</v>
      </c>
      <c r="H200" s="91" t="s">
        <v>259</v>
      </c>
      <c r="I200" s="91" t="s">
        <v>346</v>
      </c>
      <c r="J200" s="92" t="str">
        <f t="shared" si="33"/>
        <v>Executar els projectes de sensibilització i formació dirigits al sector turístic, esportiu i de lleure</v>
      </c>
      <c r="K200" s="101" t="s">
        <v>1052</v>
      </c>
      <c r="L200" s="60"/>
      <c r="M200" s="94" t="s">
        <v>261</v>
      </c>
      <c r="O200" s="60"/>
      <c r="P200" s="107" t="s">
        <v>665</v>
      </c>
      <c r="Q200" s="109"/>
      <c r="R200" s="288"/>
      <c r="S200" s="97"/>
      <c r="T200" s="97"/>
      <c r="U200" s="97"/>
      <c r="V200" s="114">
        <f t="shared" si="34"/>
        <v>0</v>
      </c>
      <c r="W200" s="298"/>
      <c r="X200" s="298"/>
    </row>
    <row r="201" spans="1:30" ht="45">
      <c r="A201" s="29" t="s">
        <v>659</v>
      </c>
      <c r="B201" s="213">
        <v>13</v>
      </c>
      <c r="C201" s="177" t="s">
        <v>660</v>
      </c>
      <c r="D201" s="180" t="s">
        <v>701</v>
      </c>
      <c r="E201" s="178" t="s">
        <v>702</v>
      </c>
      <c r="F201" s="89" t="s">
        <v>707</v>
      </c>
      <c r="G201" s="90" t="s">
        <v>708</v>
      </c>
      <c r="H201" s="91" t="s">
        <v>259</v>
      </c>
      <c r="I201" s="91" t="s">
        <v>346</v>
      </c>
      <c r="J201" s="92" t="str">
        <f t="shared" si="33"/>
        <v xml:space="preserve">Executar els projectes de sensibilització i formació dirigits als agents de lleure educatiu </v>
      </c>
      <c r="K201" s="101" t="s">
        <v>1052</v>
      </c>
      <c r="L201" s="60"/>
      <c r="M201" s="94" t="s">
        <v>261</v>
      </c>
      <c r="O201" s="60"/>
      <c r="P201" s="107" t="s">
        <v>665</v>
      </c>
      <c r="Q201" s="109"/>
      <c r="R201" s="288"/>
      <c r="S201" s="97"/>
      <c r="T201" s="97"/>
      <c r="U201" s="97"/>
      <c r="V201" s="114">
        <f t="shared" si="34"/>
        <v>0</v>
      </c>
      <c r="W201" s="298"/>
      <c r="X201" s="298"/>
    </row>
    <row r="202" spans="1:30" ht="45">
      <c r="A202" s="29" t="s">
        <v>659</v>
      </c>
      <c r="B202" s="213">
        <v>13</v>
      </c>
      <c r="C202" s="177" t="s">
        <v>660</v>
      </c>
      <c r="D202" s="180" t="s">
        <v>701</v>
      </c>
      <c r="E202" s="178" t="s">
        <v>702</v>
      </c>
      <c r="F202" s="89" t="s">
        <v>709</v>
      </c>
      <c r="G202" s="90" t="s">
        <v>710</v>
      </c>
      <c r="H202" s="91" t="s">
        <v>259</v>
      </c>
      <c r="I202" s="91" t="s">
        <v>346</v>
      </c>
      <c r="J202" s="92" t="str">
        <f t="shared" si="33"/>
        <v xml:space="preserve">Executar els projectes de sensibilització i formació dirigits als agents del sector primari </v>
      </c>
      <c r="K202" s="101" t="s">
        <v>1052</v>
      </c>
      <c r="L202" s="98"/>
      <c r="M202" s="94" t="s">
        <v>261</v>
      </c>
      <c r="O202" s="60"/>
      <c r="P202" s="107" t="s">
        <v>665</v>
      </c>
      <c r="Q202" s="109"/>
      <c r="R202" s="288"/>
      <c r="S202" s="97"/>
      <c r="T202" s="97"/>
      <c r="U202" s="97"/>
      <c r="V202" s="114">
        <f t="shared" si="34"/>
        <v>0</v>
      </c>
      <c r="W202" s="298"/>
      <c r="X202" s="298"/>
    </row>
    <row r="203" spans="1:30" ht="60">
      <c r="A203" s="29" t="s">
        <v>659</v>
      </c>
      <c r="B203" s="213">
        <v>13</v>
      </c>
      <c r="C203" s="177" t="s">
        <v>660</v>
      </c>
      <c r="D203" s="181" t="s">
        <v>701</v>
      </c>
      <c r="E203" s="179" t="s">
        <v>702</v>
      </c>
      <c r="F203" s="89" t="s">
        <v>711</v>
      </c>
      <c r="G203" s="102" t="s">
        <v>712</v>
      </c>
      <c r="H203" s="91" t="s">
        <v>259</v>
      </c>
      <c r="I203" s="91" t="s">
        <v>281</v>
      </c>
      <c r="J203" s="92" t="str">
        <f t="shared" si="33"/>
        <v>Elaborar i renovar periòdicament un programa d’educació ambiental adreçat a la població local que contribueixi a fomentar el sentiment de pertinença i la implicació en la conservació de l'ENP.</v>
      </c>
      <c r="K203" s="101" t="s">
        <v>1052</v>
      </c>
      <c r="L203" s="60"/>
      <c r="M203" s="94" t="s">
        <v>282</v>
      </c>
      <c r="O203" s="60"/>
      <c r="P203" s="107" t="s">
        <v>665</v>
      </c>
      <c r="Q203" s="96"/>
      <c r="R203" s="288"/>
      <c r="S203" s="97"/>
      <c r="T203" s="97"/>
      <c r="U203" s="97"/>
      <c r="V203" s="114">
        <f t="shared" si="34"/>
        <v>0</v>
      </c>
      <c r="W203" s="298"/>
      <c r="X203" s="298"/>
    </row>
    <row r="204" spans="1:30" ht="45">
      <c r="A204" s="29" t="s">
        <v>659</v>
      </c>
      <c r="B204" s="213">
        <v>13</v>
      </c>
      <c r="C204" s="177" t="s">
        <v>660</v>
      </c>
      <c r="D204" s="202" t="s">
        <v>713</v>
      </c>
      <c r="E204" s="193" t="s">
        <v>714</v>
      </c>
      <c r="F204" s="89" t="s">
        <v>715</v>
      </c>
      <c r="G204" s="90" t="s">
        <v>716</v>
      </c>
      <c r="H204" s="91" t="s">
        <v>259</v>
      </c>
      <c r="I204" s="91" t="s">
        <v>281</v>
      </c>
      <c r="J204" s="92" t="str">
        <f t="shared" si="33"/>
        <v>Identificar els programes, projectes i accions en marxa o previstos a l’ENP que poden rebre el suport del voluntariat</v>
      </c>
      <c r="K204" s="93"/>
      <c r="L204" s="60" t="s">
        <v>52</v>
      </c>
      <c r="M204" s="94" t="s">
        <v>282</v>
      </c>
      <c r="O204" s="60" t="s">
        <v>1250</v>
      </c>
      <c r="P204" s="107" t="s">
        <v>665</v>
      </c>
      <c r="Q204" s="96"/>
      <c r="R204" s="103" t="s">
        <v>1270</v>
      </c>
      <c r="S204" s="97"/>
      <c r="T204" s="325" t="s">
        <v>182</v>
      </c>
      <c r="U204" s="97"/>
      <c r="V204" s="114">
        <f t="shared" si="34"/>
        <v>0</v>
      </c>
      <c r="W204" s="298" t="s">
        <v>835</v>
      </c>
      <c r="X204" s="298" t="s">
        <v>1189</v>
      </c>
      <c r="Y204" s="1" t="s">
        <v>264</v>
      </c>
      <c r="Z204" s="3" t="s">
        <v>265</v>
      </c>
      <c r="AD204" s="16" t="s">
        <v>276</v>
      </c>
    </row>
    <row r="205" spans="1:30" ht="45">
      <c r="A205" s="29" t="s">
        <v>659</v>
      </c>
      <c r="B205" s="213">
        <v>13</v>
      </c>
      <c r="C205" s="177" t="s">
        <v>660</v>
      </c>
      <c r="D205" s="181" t="s">
        <v>713</v>
      </c>
      <c r="E205" s="179" t="s">
        <v>714</v>
      </c>
      <c r="F205" s="89" t="s">
        <v>717</v>
      </c>
      <c r="G205" s="90" t="s">
        <v>718</v>
      </c>
      <c r="H205" s="91" t="s">
        <v>259</v>
      </c>
      <c r="I205" s="91" t="s">
        <v>281</v>
      </c>
      <c r="J205" s="92" t="str">
        <f t="shared" si="33"/>
        <v>Establir un model de coordinació territorial amb agents clau del voluntariat ambiental</v>
      </c>
      <c r="K205" s="101" t="s">
        <v>1052</v>
      </c>
      <c r="L205" s="60"/>
      <c r="M205" s="94" t="s">
        <v>261</v>
      </c>
      <c r="O205" s="60"/>
      <c r="P205" s="100" t="s">
        <v>719</v>
      </c>
      <c r="Q205" s="96" t="s">
        <v>720</v>
      </c>
      <c r="R205" s="288"/>
      <c r="S205" s="97"/>
      <c r="T205" s="97"/>
      <c r="U205" s="97"/>
      <c r="V205" s="114">
        <f t="shared" si="34"/>
        <v>0</v>
      </c>
      <c r="W205" s="298"/>
      <c r="X205" s="298"/>
    </row>
    <row r="206" spans="1:30" ht="45">
      <c r="A206" s="29" t="s">
        <v>659</v>
      </c>
      <c r="B206" s="213">
        <v>13</v>
      </c>
      <c r="C206" s="177" t="s">
        <v>660</v>
      </c>
      <c r="D206" s="190" t="s">
        <v>721</v>
      </c>
      <c r="E206" s="193" t="s">
        <v>722</v>
      </c>
      <c r="F206" s="111" t="s">
        <v>723</v>
      </c>
      <c r="G206" s="90" t="s">
        <v>724</v>
      </c>
      <c r="H206" s="91" t="s">
        <v>259</v>
      </c>
      <c r="I206" s="91" t="s">
        <v>281</v>
      </c>
      <c r="J206" s="92" t="str">
        <f t="shared" si="33"/>
        <v>Dissenyar i adaptar activitats inclusives per a persones amb necessitats específiques</v>
      </c>
      <c r="K206" s="101" t="s">
        <v>1052</v>
      </c>
      <c r="L206" s="60"/>
      <c r="M206" s="94" t="s">
        <v>274</v>
      </c>
      <c r="O206" s="60"/>
      <c r="P206" s="107" t="s">
        <v>665</v>
      </c>
      <c r="Q206" s="109"/>
      <c r="R206" s="288"/>
      <c r="S206" s="97"/>
      <c r="T206" s="97"/>
      <c r="U206" s="97"/>
      <c r="V206" s="114">
        <f t="shared" si="34"/>
        <v>0</v>
      </c>
      <c r="W206" s="298"/>
      <c r="X206" s="298"/>
    </row>
    <row r="207" spans="1:30" ht="45">
      <c r="A207" s="29" t="s">
        <v>659</v>
      </c>
      <c r="B207" s="213">
        <v>13</v>
      </c>
      <c r="C207" s="177" t="s">
        <v>660</v>
      </c>
      <c r="D207" s="191" t="s">
        <v>721</v>
      </c>
      <c r="E207" s="178" t="s">
        <v>722</v>
      </c>
      <c r="F207" s="111" t="s">
        <v>725</v>
      </c>
      <c r="G207" s="90" t="s">
        <v>726</v>
      </c>
      <c r="H207" s="91" t="s">
        <v>259</v>
      </c>
      <c r="I207" s="91" t="s">
        <v>346</v>
      </c>
      <c r="J207" s="92" t="str">
        <f t="shared" si="33"/>
        <v>Formar el personal de l'ENP (informadors i personal que treballa de cara al públic) en accessibilitat, diversitat funcional i diversitat de gènere</v>
      </c>
      <c r="K207" s="101" t="s">
        <v>1052</v>
      </c>
      <c r="L207" s="60"/>
      <c r="M207" s="94" t="s">
        <v>261</v>
      </c>
      <c r="O207" s="60"/>
      <c r="P207" s="107" t="s">
        <v>665</v>
      </c>
      <c r="Q207" s="96"/>
      <c r="R207" s="288"/>
      <c r="S207" s="97"/>
      <c r="T207" s="97"/>
      <c r="U207" s="97"/>
      <c r="V207" s="114">
        <f t="shared" si="34"/>
        <v>0</v>
      </c>
      <c r="W207" s="298"/>
      <c r="X207" s="298"/>
    </row>
    <row r="208" spans="1:30" ht="45">
      <c r="A208" s="29" t="s">
        <v>659</v>
      </c>
      <c r="B208" s="213">
        <v>13</v>
      </c>
      <c r="C208" s="177" t="s">
        <v>660</v>
      </c>
      <c r="D208" s="192" t="s">
        <v>721</v>
      </c>
      <c r="E208" s="179" t="s">
        <v>722</v>
      </c>
      <c r="F208" s="111" t="s">
        <v>727</v>
      </c>
      <c r="G208" s="90" t="s">
        <v>728</v>
      </c>
      <c r="H208" s="91" t="s">
        <v>259</v>
      </c>
      <c r="I208" s="91" t="s">
        <v>281</v>
      </c>
      <c r="J208" s="92" t="str">
        <f t="shared" si="33"/>
        <v>Incorporar la perspectiva de gènere als continguts i activitats de l'ENP</v>
      </c>
      <c r="K208" s="101"/>
      <c r="L208" s="60" t="s">
        <v>52</v>
      </c>
      <c r="M208" s="94" t="s">
        <v>261</v>
      </c>
      <c r="O208" s="60" t="s">
        <v>1133</v>
      </c>
      <c r="P208" s="107" t="s">
        <v>665</v>
      </c>
      <c r="Q208" s="96"/>
      <c r="R208" s="103" t="s">
        <v>1270</v>
      </c>
      <c r="S208" s="97"/>
      <c r="T208" s="325" t="s">
        <v>182</v>
      </c>
      <c r="U208" s="97"/>
      <c r="V208" s="114">
        <f t="shared" si="34"/>
        <v>0</v>
      </c>
      <c r="W208" s="298" t="s">
        <v>835</v>
      </c>
      <c r="X208" s="298" t="s">
        <v>1189</v>
      </c>
      <c r="Y208" s="1" t="s">
        <v>275</v>
      </c>
      <c r="Z208" s="3" t="s">
        <v>265</v>
      </c>
      <c r="AA208" s="16" t="s">
        <v>276</v>
      </c>
      <c r="AB208" s="16" t="s">
        <v>276</v>
      </c>
      <c r="AC208" s="16" t="s">
        <v>276</v>
      </c>
      <c r="AD208" s="16" t="s">
        <v>276</v>
      </c>
    </row>
    <row r="209" spans="1:30" ht="45">
      <c r="A209" s="29" t="s">
        <v>659</v>
      </c>
      <c r="B209" s="213">
        <v>13</v>
      </c>
      <c r="C209" s="177" t="s">
        <v>660</v>
      </c>
      <c r="D209" s="190" t="s">
        <v>729</v>
      </c>
      <c r="E209" s="194" t="s">
        <v>730</v>
      </c>
      <c r="F209" s="111" t="s">
        <v>731</v>
      </c>
      <c r="G209" s="90" t="s">
        <v>732</v>
      </c>
      <c r="H209" s="91" t="s">
        <v>259</v>
      </c>
      <c r="I209" s="91" t="s">
        <v>346</v>
      </c>
      <c r="J209" s="92" t="str">
        <f t="shared" si="33"/>
        <v>Dissenyar, implementar i fomentar itineraris saludables dins dels itineraris oficials dels ENP i en la zona d'influència</v>
      </c>
      <c r="K209" s="101" t="s">
        <v>1052</v>
      </c>
      <c r="L209" s="60"/>
      <c r="M209" s="94" t="s">
        <v>261</v>
      </c>
      <c r="O209" s="60"/>
      <c r="P209" s="107" t="s">
        <v>665</v>
      </c>
      <c r="Q209" s="96"/>
      <c r="R209" s="288"/>
      <c r="S209" s="97"/>
      <c r="T209" s="97"/>
      <c r="U209" s="97"/>
      <c r="V209" s="114">
        <f t="shared" si="34"/>
        <v>0</v>
      </c>
      <c r="W209" s="298"/>
      <c r="X209" s="298"/>
    </row>
    <row r="210" spans="1:30" ht="45">
      <c r="A210" s="29" t="s">
        <v>659</v>
      </c>
      <c r="B210" s="213">
        <v>13</v>
      </c>
      <c r="C210" s="177" t="s">
        <v>660</v>
      </c>
      <c r="D210" s="191" t="s">
        <v>729</v>
      </c>
      <c r="E210" s="178" t="s">
        <v>730</v>
      </c>
      <c r="F210" s="111" t="s">
        <v>733</v>
      </c>
      <c r="G210" s="102" t="s">
        <v>734</v>
      </c>
      <c r="H210" s="91" t="s">
        <v>259</v>
      </c>
      <c r="I210" s="91" t="s">
        <v>346</v>
      </c>
      <c r="J210" s="92" t="str">
        <f t="shared" si="33"/>
        <v>Identificar els agents clau i els àmbits de col·laboració per implementar el binomi salut i natura</v>
      </c>
      <c r="K210" s="101" t="s">
        <v>1052</v>
      </c>
      <c r="L210" s="108"/>
      <c r="M210" s="94" t="s">
        <v>261</v>
      </c>
      <c r="O210" s="108"/>
      <c r="P210" s="107" t="s">
        <v>665</v>
      </c>
      <c r="Q210" s="96"/>
      <c r="R210" s="288"/>
      <c r="S210" s="97"/>
      <c r="T210" s="97"/>
      <c r="U210" s="97"/>
      <c r="V210" s="114">
        <f t="shared" si="34"/>
        <v>0</v>
      </c>
      <c r="W210" s="298"/>
      <c r="X210" s="298"/>
    </row>
    <row r="211" spans="1:30" ht="45">
      <c r="A211" s="29" t="s">
        <v>659</v>
      </c>
      <c r="B211" s="213">
        <v>13</v>
      </c>
      <c r="C211" s="177" t="s">
        <v>660</v>
      </c>
      <c r="D211" s="191" t="s">
        <v>729</v>
      </c>
      <c r="E211" s="178" t="s">
        <v>730</v>
      </c>
      <c r="F211" s="111" t="s">
        <v>735</v>
      </c>
      <c r="G211" s="90" t="s">
        <v>736</v>
      </c>
      <c r="H211" s="91" t="s">
        <v>259</v>
      </c>
      <c r="I211" s="91" t="s">
        <v>346</v>
      </c>
      <c r="J211" s="92" t="str">
        <f t="shared" si="33"/>
        <v xml:space="preserve">Incloure el concepte de salut i natura en els missatges educatius i comunicatius de l'ENP </v>
      </c>
      <c r="K211" s="101" t="s">
        <v>1052</v>
      </c>
      <c r="L211" s="60"/>
      <c r="M211" s="94" t="s">
        <v>261</v>
      </c>
      <c r="O211" s="60"/>
      <c r="P211" s="107" t="s">
        <v>665</v>
      </c>
      <c r="Q211" s="96"/>
      <c r="R211" s="288"/>
      <c r="S211" s="97"/>
      <c r="T211" s="97"/>
      <c r="U211" s="97"/>
      <c r="V211" s="114">
        <f t="shared" si="34"/>
        <v>0</v>
      </c>
      <c r="W211" s="298"/>
      <c r="X211" s="298"/>
    </row>
    <row r="212" spans="1:30" ht="45">
      <c r="A212" s="29" t="s">
        <v>659</v>
      </c>
      <c r="B212" s="213">
        <v>13</v>
      </c>
      <c r="C212" s="177" t="s">
        <v>660</v>
      </c>
      <c r="D212" s="192" t="s">
        <v>729</v>
      </c>
      <c r="E212" s="179" t="s">
        <v>730</v>
      </c>
      <c r="F212" s="111" t="s">
        <v>737</v>
      </c>
      <c r="G212" s="102" t="s">
        <v>738</v>
      </c>
      <c r="H212" s="91" t="s">
        <v>259</v>
      </c>
      <c r="I212" s="91" t="s">
        <v>346</v>
      </c>
      <c r="J212" s="92" t="str">
        <f t="shared" si="33"/>
        <v>Participar a les Taules territorials de Salut i Natura</v>
      </c>
      <c r="K212" s="93"/>
      <c r="L212" s="60" t="s">
        <v>53</v>
      </c>
      <c r="M212" s="94" t="s">
        <v>261</v>
      </c>
      <c r="O212" s="60" t="s">
        <v>1134</v>
      </c>
      <c r="P212" s="107" t="s">
        <v>665</v>
      </c>
      <c r="Q212" s="96"/>
      <c r="R212" s="103" t="s">
        <v>1270</v>
      </c>
      <c r="S212" s="97"/>
      <c r="T212" s="325" t="s">
        <v>182</v>
      </c>
      <c r="U212" s="97"/>
      <c r="V212" s="114">
        <f t="shared" si="34"/>
        <v>0</v>
      </c>
      <c r="W212" s="298" t="s">
        <v>263</v>
      </c>
      <c r="X212" s="298" t="str">
        <f>IF(W212=Llistes!$B$18,Llistes!$D$18,IF(W212=Llistes!$B$20,Llistes!$D$20,IF(W212=Llistes!$B$22,Llistes!$D$22,IF(W212=Llistes!$B$23,Llistes!$D$23,IF(W212=Llistes!$B$24,Llistes!$D$24,IF(W212=Llistes!$B$28,Llistes!$D$28))))))</f>
        <v>Tècnic coordinador</v>
      </c>
      <c r="Y212" s="1" t="s">
        <v>275</v>
      </c>
      <c r="Z212" s="3" t="s">
        <v>265</v>
      </c>
      <c r="AA212" s="16" t="s">
        <v>276</v>
      </c>
      <c r="AB212" s="16" t="s">
        <v>276</v>
      </c>
      <c r="AC212" s="16" t="s">
        <v>276</v>
      </c>
      <c r="AD212" s="16" t="s">
        <v>276</v>
      </c>
    </row>
    <row r="213" spans="1:30" ht="45">
      <c r="A213" s="29" t="s">
        <v>659</v>
      </c>
      <c r="B213" s="273">
        <v>14</v>
      </c>
      <c r="C213" s="272" t="s">
        <v>739</v>
      </c>
      <c r="D213" s="202" t="s">
        <v>740</v>
      </c>
      <c r="E213" s="189" t="s">
        <v>741</v>
      </c>
      <c r="F213" s="89" t="s">
        <v>742</v>
      </c>
      <c r="G213" s="90" t="s">
        <v>743</v>
      </c>
      <c r="H213" s="91" t="s">
        <v>259</v>
      </c>
      <c r="I213" s="91" t="s">
        <v>281</v>
      </c>
      <c r="J213" s="92" t="str">
        <f t="shared" si="33"/>
        <v>Informar periòdicament sobre les tasques, projectes i actuacions que duu a terme l'ENP a la població</v>
      </c>
      <c r="K213" s="93"/>
      <c r="L213" s="60" t="s">
        <v>52</v>
      </c>
      <c r="M213" s="94" t="s">
        <v>274</v>
      </c>
      <c r="O213" s="103" t="s">
        <v>1251</v>
      </c>
      <c r="P213" s="95" t="s">
        <v>744</v>
      </c>
      <c r="Q213" s="96" t="s">
        <v>745</v>
      </c>
      <c r="R213" s="103" t="s">
        <v>1270</v>
      </c>
      <c r="S213" s="97"/>
      <c r="T213" s="325" t="s">
        <v>182</v>
      </c>
      <c r="U213" s="97"/>
      <c r="V213" s="114">
        <f t="shared" si="34"/>
        <v>0</v>
      </c>
      <c r="W213" s="298" t="s">
        <v>263</v>
      </c>
      <c r="X213" s="298" t="str">
        <f>IF(W213=Llistes!$B$18,Llistes!$D$18,IF(W213=Llistes!$B$20,Llistes!$D$20,IF(W213=Llistes!$B$22,Llistes!$D$22,IF(W213=Llistes!$B$23,Llistes!$D$23,IF(W213=Llistes!$B$24,Llistes!$D$24,IF(W213=Llistes!$B$28,Llistes!$D$28))))))</f>
        <v>Tècnic coordinador</v>
      </c>
      <c r="Y213" s="1" t="s">
        <v>275</v>
      </c>
      <c r="Z213" s="3" t="s">
        <v>265</v>
      </c>
      <c r="AA213" s="16" t="s">
        <v>276</v>
      </c>
      <c r="AB213" s="16" t="s">
        <v>276</v>
      </c>
      <c r="AC213" s="16" t="s">
        <v>276</v>
      </c>
      <c r="AD213" s="16" t="s">
        <v>276</v>
      </c>
    </row>
    <row r="214" spans="1:30" ht="45">
      <c r="A214" s="29" t="s">
        <v>659</v>
      </c>
      <c r="B214" s="273">
        <v>14</v>
      </c>
      <c r="C214" s="272" t="s">
        <v>739</v>
      </c>
      <c r="D214" s="202" t="s">
        <v>740</v>
      </c>
      <c r="E214" s="189" t="s">
        <v>741</v>
      </c>
      <c r="F214" s="89" t="s">
        <v>742</v>
      </c>
      <c r="G214" s="90" t="s">
        <v>743</v>
      </c>
      <c r="H214" s="91" t="s">
        <v>259</v>
      </c>
      <c r="I214" s="91" t="s">
        <v>281</v>
      </c>
      <c r="J214" s="92" t="str">
        <f t="shared" si="33"/>
        <v>Informar periòdicament sobre les tasques, projectes i actuacions que duu a terme l'ENP a la població</v>
      </c>
      <c r="K214" s="93"/>
      <c r="L214" s="60" t="s">
        <v>52</v>
      </c>
      <c r="M214" s="94" t="s">
        <v>274</v>
      </c>
      <c r="O214" s="103" t="s">
        <v>1252</v>
      </c>
      <c r="P214" s="95" t="s">
        <v>744</v>
      </c>
      <c r="Q214" s="96" t="s">
        <v>745</v>
      </c>
      <c r="R214" s="288" t="s">
        <v>1136</v>
      </c>
      <c r="S214" s="97">
        <v>2</v>
      </c>
      <c r="T214" s="97">
        <v>4</v>
      </c>
      <c r="U214" s="97"/>
      <c r="V214" s="114">
        <f t="shared" si="34"/>
        <v>0</v>
      </c>
      <c r="W214" s="298" t="s">
        <v>263</v>
      </c>
      <c r="X214" s="298" t="str">
        <f>IF(W214=Llistes!$B$18,Llistes!$D$18,IF(W214=Llistes!$B$20,Llistes!$D$20,IF(W214=Llistes!$B$22,Llistes!$D$22,IF(W214=Llistes!$B$23,Llistes!$D$23,IF(W214=Llistes!$B$24,Llistes!$D$24,IF(W214=Llistes!$B$28,Llistes!$D$28))))))</f>
        <v>Tècnic coordinador</v>
      </c>
      <c r="Y214" s="1" t="s">
        <v>275</v>
      </c>
      <c r="Z214" s="3" t="s">
        <v>265</v>
      </c>
      <c r="AA214" s="16" t="s">
        <v>276</v>
      </c>
      <c r="AB214" s="16" t="s">
        <v>276</v>
      </c>
      <c r="AC214" s="16" t="s">
        <v>276</v>
      </c>
      <c r="AD214" s="16" t="s">
        <v>276</v>
      </c>
    </row>
    <row r="215" spans="1:30" ht="45">
      <c r="A215" s="29" t="s">
        <v>659</v>
      </c>
      <c r="B215" s="273">
        <v>14</v>
      </c>
      <c r="C215" s="272" t="s">
        <v>739</v>
      </c>
      <c r="D215" s="202" t="s">
        <v>740</v>
      </c>
      <c r="E215" s="189" t="s">
        <v>741</v>
      </c>
      <c r="F215" s="89" t="s">
        <v>742</v>
      </c>
      <c r="G215" s="90" t="s">
        <v>743</v>
      </c>
      <c r="H215" s="91" t="s">
        <v>259</v>
      </c>
      <c r="I215" s="91" t="s">
        <v>281</v>
      </c>
      <c r="J215" s="92" t="str">
        <f t="shared" ref="J215" si="35">G215</f>
        <v>Informar periòdicament sobre les tasques, projectes i actuacions que duu a terme l'ENP a la població</v>
      </c>
      <c r="K215" s="93"/>
      <c r="L215" s="60" t="s">
        <v>52</v>
      </c>
      <c r="M215" s="94" t="s">
        <v>274</v>
      </c>
      <c r="O215" s="103" t="s">
        <v>1137</v>
      </c>
      <c r="P215" s="95" t="s">
        <v>744</v>
      </c>
      <c r="Q215" s="96" t="s">
        <v>745</v>
      </c>
      <c r="R215" s="103" t="s">
        <v>1270</v>
      </c>
      <c r="S215" s="97"/>
      <c r="T215" s="325" t="s">
        <v>182</v>
      </c>
      <c r="U215" s="97"/>
      <c r="V215" s="114">
        <f t="shared" si="34"/>
        <v>0</v>
      </c>
      <c r="W215" s="298" t="s">
        <v>835</v>
      </c>
      <c r="X215" s="298" t="s">
        <v>1189</v>
      </c>
      <c r="Y215" s="1" t="s">
        <v>264</v>
      </c>
      <c r="Z215" s="3" t="s">
        <v>265</v>
      </c>
      <c r="AA215" s="16" t="s">
        <v>276</v>
      </c>
      <c r="AB215" s="16" t="s">
        <v>276</v>
      </c>
      <c r="AC215" s="16" t="s">
        <v>276</v>
      </c>
      <c r="AD215" s="16" t="s">
        <v>276</v>
      </c>
    </row>
    <row r="216" spans="1:30" ht="45">
      <c r="A216" s="29" t="s">
        <v>659</v>
      </c>
      <c r="B216" s="273">
        <v>14</v>
      </c>
      <c r="C216" s="272" t="s">
        <v>739</v>
      </c>
      <c r="D216" s="202" t="s">
        <v>740</v>
      </c>
      <c r="E216" s="189" t="s">
        <v>741</v>
      </c>
      <c r="F216" s="89" t="s">
        <v>742</v>
      </c>
      <c r="G216" s="90" t="s">
        <v>743</v>
      </c>
      <c r="H216" s="91" t="s">
        <v>259</v>
      </c>
      <c r="I216" s="91" t="s">
        <v>281</v>
      </c>
      <c r="J216" s="92" t="str">
        <f t="shared" si="33"/>
        <v>Informar periòdicament sobre les tasques, projectes i actuacions que duu a terme l'ENP a la població</v>
      </c>
      <c r="K216" s="93"/>
      <c r="L216" s="60" t="s">
        <v>52</v>
      </c>
      <c r="M216" s="94" t="s">
        <v>274</v>
      </c>
      <c r="O216" s="103" t="s">
        <v>1253</v>
      </c>
      <c r="P216" s="95" t="s">
        <v>744</v>
      </c>
      <c r="Q216" s="96" t="s">
        <v>745</v>
      </c>
      <c r="R216" s="103" t="s">
        <v>1270</v>
      </c>
      <c r="S216" s="97"/>
      <c r="T216" s="325" t="s">
        <v>182</v>
      </c>
      <c r="U216" s="97"/>
      <c r="V216" s="114">
        <f t="shared" si="34"/>
        <v>0</v>
      </c>
      <c r="W216" s="298" t="s">
        <v>835</v>
      </c>
      <c r="X216" s="298" t="s">
        <v>1189</v>
      </c>
      <c r="Y216" s="1" t="s">
        <v>275</v>
      </c>
      <c r="Z216" s="3" t="s">
        <v>265</v>
      </c>
      <c r="AA216" s="16" t="s">
        <v>276</v>
      </c>
      <c r="AB216" s="16" t="s">
        <v>276</v>
      </c>
      <c r="AC216" s="16" t="s">
        <v>276</v>
      </c>
      <c r="AD216" s="16" t="s">
        <v>276</v>
      </c>
    </row>
    <row r="217" spans="1:30" ht="45">
      <c r="A217" s="29" t="s">
        <v>659</v>
      </c>
      <c r="B217" s="213">
        <v>14</v>
      </c>
      <c r="C217" s="177" t="s">
        <v>739</v>
      </c>
      <c r="D217" s="181" t="s">
        <v>740</v>
      </c>
      <c r="E217" s="179" t="s">
        <v>741</v>
      </c>
      <c r="F217" s="89" t="s">
        <v>746</v>
      </c>
      <c r="G217" s="90" t="s">
        <v>747</v>
      </c>
      <c r="H217" s="91" t="s">
        <v>259</v>
      </c>
      <c r="I217" s="91" t="s">
        <v>281</v>
      </c>
      <c r="J217" s="92" t="str">
        <f t="shared" si="33"/>
        <v>Garantir l'accessibilitat i gestió del coneixement disponible sobre l'ENP</v>
      </c>
      <c r="K217" s="93"/>
      <c r="L217" s="60" t="s">
        <v>52</v>
      </c>
      <c r="M217" s="94" t="s">
        <v>274</v>
      </c>
      <c r="O217" s="103" t="s">
        <v>1135</v>
      </c>
      <c r="P217" s="95"/>
      <c r="Q217" s="96"/>
      <c r="R217" s="103" t="s">
        <v>1270</v>
      </c>
      <c r="S217" s="97"/>
      <c r="T217" s="325" t="s">
        <v>182</v>
      </c>
      <c r="U217" s="97"/>
      <c r="V217" s="114">
        <f t="shared" si="34"/>
        <v>0</v>
      </c>
      <c r="W217" s="298" t="s">
        <v>835</v>
      </c>
      <c r="X217" s="298" t="s">
        <v>1189</v>
      </c>
      <c r="Y217" s="1" t="s">
        <v>275</v>
      </c>
      <c r="Z217" s="3" t="s">
        <v>265</v>
      </c>
      <c r="AA217" s="16" t="s">
        <v>276</v>
      </c>
      <c r="AB217" s="16" t="s">
        <v>276</v>
      </c>
      <c r="AC217" s="16" t="s">
        <v>276</v>
      </c>
      <c r="AD217" s="16" t="s">
        <v>276</v>
      </c>
    </row>
    <row r="218" spans="1:30" ht="45">
      <c r="A218" s="29" t="s">
        <v>659</v>
      </c>
      <c r="B218" s="213">
        <v>14</v>
      </c>
      <c r="C218" s="177" t="s">
        <v>739</v>
      </c>
      <c r="D218" s="15" t="s">
        <v>748</v>
      </c>
      <c r="E218" s="76" t="s">
        <v>749</v>
      </c>
      <c r="F218" s="89" t="s">
        <v>750</v>
      </c>
      <c r="G218" s="90" t="s">
        <v>751</v>
      </c>
      <c r="H218" s="91" t="s">
        <v>259</v>
      </c>
      <c r="I218" s="91" t="s">
        <v>281</v>
      </c>
      <c r="J218" s="92" t="str">
        <f t="shared" si="33"/>
        <v>Sensibilitzar als diferents agents sobre els valors de l'ENP</v>
      </c>
      <c r="K218" s="101" t="s">
        <v>1052</v>
      </c>
      <c r="L218" s="103"/>
      <c r="M218" s="94" t="s">
        <v>274</v>
      </c>
      <c r="O218" s="103"/>
      <c r="P218" s="95"/>
      <c r="Q218" s="96" t="s">
        <v>752</v>
      </c>
      <c r="R218" s="288"/>
      <c r="S218" s="97"/>
      <c r="T218" s="97"/>
      <c r="U218" s="97"/>
      <c r="V218" s="114">
        <f t="shared" si="34"/>
        <v>0</v>
      </c>
      <c r="W218" s="298"/>
      <c r="X218" s="298"/>
    </row>
    <row r="219" spans="1:30" ht="45">
      <c r="A219" s="29" t="s">
        <v>659</v>
      </c>
      <c r="B219" s="213">
        <v>14</v>
      </c>
      <c r="C219" s="177" t="s">
        <v>739</v>
      </c>
      <c r="D219" s="202" t="s">
        <v>753</v>
      </c>
      <c r="E219" s="283" t="s">
        <v>754</v>
      </c>
      <c r="F219" s="89" t="s">
        <v>755</v>
      </c>
      <c r="G219" s="90" t="s">
        <v>756</v>
      </c>
      <c r="H219" s="91" t="s">
        <v>259</v>
      </c>
      <c r="I219" s="91" t="s">
        <v>281</v>
      </c>
      <c r="J219" s="92" t="str">
        <f t="shared" ref="J219" si="36">G219</f>
        <v>Optimitzar els canals de comunicació</v>
      </c>
      <c r="K219" s="93"/>
      <c r="L219" s="60" t="s">
        <v>52</v>
      </c>
      <c r="M219" s="94" t="s">
        <v>274</v>
      </c>
      <c r="O219" s="103" t="s">
        <v>1138</v>
      </c>
      <c r="P219" s="95" t="s">
        <v>744</v>
      </c>
      <c r="Q219" s="96"/>
      <c r="R219" s="103" t="s">
        <v>1270</v>
      </c>
      <c r="S219" s="97"/>
      <c r="T219" s="325" t="s">
        <v>182</v>
      </c>
      <c r="U219" s="97"/>
      <c r="V219" s="114">
        <f t="shared" si="34"/>
        <v>0</v>
      </c>
      <c r="W219" s="298" t="s">
        <v>835</v>
      </c>
      <c r="X219" s="298" t="s">
        <v>1189</v>
      </c>
      <c r="Y219" s="1" t="s">
        <v>275</v>
      </c>
      <c r="Z219" s="3" t="s">
        <v>265</v>
      </c>
      <c r="AA219" s="16" t="s">
        <v>276</v>
      </c>
      <c r="AB219" s="16" t="s">
        <v>276</v>
      </c>
      <c r="AC219" s="16" t="s">
        <v>276</v>
      </c>
      <c r="AD219" s="16" t="s">
        <v>276</v>
      </c>
    </row>
    <row r="220" spans="1:30" ht="45">
      <c r="A220" s="29" t="s">
        <v>659</v>
      </c>
      <c r="B220" s="214">
        <v>14</v>
      </c>
      <c r="C220" s="274" t="s">
        <v>739</v>
      </c>
      <c r="D220" s="282" t="s">
        <v>753</v>
      </c>
      <c r="E220" s="179" t="s">
        <v>754</v>
      </c>
      <c r="F220" s="89" t="s">
        <v>757</v>
      </c>
      <c r="G220" s="90" t="s">
        <v>758</v>
      </c>
      <c r="H220" s="91" t="s">
        <v>259</v>
      </c>
      <c r="I220" s="91" t="s">
        <v>281</v>
      </c>
      <c r="J220" s="92" t="str">
        <f t="shared" si="33"/>
        <v>Garantir l'harmonització de la comunicació com a Parc, Xarxa i Generalitat.</v>
      </c>
      <c r="K220" s="93"/>
      <c r="L220" s="60" t="s">
        <v>52</v>
      </c>
      <c r="M220" s="94" t="s">
        <v>274</v>
      </c>
      <c r="O220" s="103" t="s">
        <v>1139</v>
      </c>
      <c r="P220" s="95" t="s">
        <v>744</v>
      </c>
      <c r="Q220" s="96"/>
      <c r="R220" s="103" t="s">
        <v>1270</v>
      </c>
      <c r="S220" s="97"/>
      <c r="T220" s="325" t="s">
        <v>182</v>
      </c>
      <c r="U220" s="97"/>
      <c r="V220" s="114">
        <f t="shared" si="34"/>
        <v>0</v>
      </c>
      <c r="W220" s="298" t="s">
        <v>263</v>
      </c>
      <c r="X220" s="298" t="str">
        <f>IF(W220=Llistes!$B$18,Llistes!$D$18,IF(W220=Llistes!$B$20,Llistes!$D$20,IF(W220=Llistes!$B$22,Llistes!$D$22,IF(W220=Llistes!$B$23,Llistes!$D$23,IF(W220=Llistes!$B$24,Llistes!$D$24,IF(W220=Llistes!$B$28,Llistes!$D$28))))))</f>
        <v>Tècnic coordinador</v>
      </c>
      <c r="Y220" s="1" t="s">
        <v>275</v>
      </c>
      <c r="Z220" s="3" t="s">
        <v>265</v>
      </c>
      <c r="AA220" s="16" t="s">
        <v>276</v>
      </c>
      <c r="AB220" s="16" t="s">
        <v>276</v>
      </c>
      <c r="AC220" s="16" t="s">
        <v>276</v>
      </c>
      <c r="AD220" s="16" t="s">
        <v>276</v>
      </c>
    </row>
    <row r="221" spans="1:30" ht="45">
      <c r="A221" s="23" t="s">
        <v>759</v>
      </c>
      <c r="B221" s="212">
        <v>15</v>
      </c>
      <c r="C221" s="279" t="s">
        <v>760</v>
      </c>
      <c r="D221" s="21" t="s">
        <v>761</v>
      </c>
      <c r="E221" s="77" t="s">
        <v>762</v>
      </c>
      <c r="F221" s="89" t="s">
        <v>763</v>
      </c>
      <c r="G221" s="90" t="s">
        <v>764</v>
      </c>
      <c r="H221" s="91" t="s">
        <v>259</v>
      </c>
      <c r="I221" s="91" t="s">
        <v>346</v>
      </c>
      <c r="J221" s="92" t="s">
        <v>764</v>
      </c>
      <c r="K221" s="93"/>
      <c r="L221" s="60" t="s">
        <v>52</v>
      </c>
      <c r="M221" s="94" t="s">
        <v>274</v>
      </c>
      <c r="O221" s="103" t="s">
        <v>765</v>
      </c>
      <c r="P221" s="95"/>
      <c r="Q221" s="99"/>
      <c r="R221" s="288" t="s">
        <v>1272</v>
      </c>
      <c r="S221" s="285">
        <v>4</v>
      </c>
      <c r="T221" s="285">
        <v>4</v>
      </c>
      <c r="U221" s="97"/>
      <c r="V221" s="114">
        <f t="shared" si="34"/>
        <v>0</v>
      </c>
      <c r="W221" s="298" t="s">
        <v>766</v>
      </c>
      <c r="X221" s="298" t="str">
        <f>IF(W221=Llistes!$B$18,Llistes!$D$18,IF(W221=Llistes!$B$20,Llistes!$D$20,IF(W221=Llistes!$B$22,Llistes!$D$22,IF(W221=Llistes!$B$23,Llistes!$D$23,IF(W221=Llistes!$B$24,Llistes!$D$24,IF(W221=Llistes!$B$28,Llistes!$D$28))))))</f>
        <v>Director</v>
      </c>
      <c r="Y221" s="1" t="s">
        <v>275</v>
      </c>
      <c r="Z221" s="3" t="s">
        <v>265</v>
      </c>
      <c r="AA221" s="16" t="s">
        <v>266</v>
      </c>
      <c r="AB221" s="16" t="s">
        <v>266</v>
      </c>
      <c r="AC221" s="16" t="s">
        <v>266</v>
      </c>
      <c r="AD221" s="16" t="s">
        <v>266</v>
      </c>
    </row>
    <row r="222" spans="1:30" ht="45">
      <c r="A222" s="23" t="s">
        <v>759</v>
      </c>
      <c r="B222" s="276">
        <v>15</v>
      </c>
      <c r="C222" s="280" t="s">
        <v>760</v>
      </c>
      <c r="D222" s="38" t="s">
        <v>761</v>
      </c>
      <c r="E222" s="80" t="s">
        <v>762</v>
      </c>
      <c r="F222" s="89" t="s">
        <v>767</v>
      </c>
      <c r="G222" s="90" t="s">
        <v>768</v>
      </c>
      <c r="H222" s="91" t="s">
        <v>259</v>
      </c>
      <c r="I222" s="91" t="s">
        <v>346</v>
      </c>
      <c r="J222" s="92" t="s">
        <v>768</v>
      </c>
      <c r="K222" s="93"/>
      <c r="L222" s="103" t="s">
        <v>52</v>
      </c>
      <c r="M222" s="94" t="s">
        <v>274</v>
      </c>
      <c r="O222" s="103" t="s">
        <v>769</v>
      </c>
      <c r="P222" s="95"/>
      <c r="Q222" s="99"/>
      <c r="R222" s="103" t="s">
        <v>1270</v>
      </c>
      <c r="S222" s="285"/>
      <c r="T222" s="326" t="s">
        <v>1141</v>
      </c>
      <c r="U222" s="97"/>
      <c r="V222" s="114">
        <f t="shared" si="34"/>
        <v>0</v>
      </c>
      <c r="W222" s="298" t="s">
        <v>263</v>
      </c>
      <c r="X222" s="298" t="str">
        <f>IF(W222=Llistes!$B$18,Llistes!$D$18,IF(W222=Llistes!$B$20,Llistes!$D$20,IF(W222=Llistes!$B$22,Llistes!$D$22,IF(W222=Llistes!$B$23,Llistes!$D$23,IF(W222=Llistes!$B$24,Llistes!$D$24,IF(W222=Llistes!$B$28,Llistes!$D$28))))))</f>
        <v>Tècnic coordinador</v>
      </c>
      <c r="Y222" s="1" t="s">
        <v>275</v>
      </c>
      <c r="Z222" s="3" t="s">
        <v>265</v>
      </c>
      <c r="AB222" s="16" t="s">
        <v>266</v>
      </c>
    </row>
    <row r="223" spans="1:30" ht="76.150000000000006" customHeight="1">
      <c r="A223" s="23" t="s">
        <v>759</v>
      </c>
      <c r="B223" s="276">
        <v>15</v>
      </c>
      <c r="C223" s="280" t="s">
        <v>760</v>
      </c>
      <c r="D223" s="38" t="s">
        <v>761</v>
      </c>
      <c r="E223" s="80" t="s">
        <v>762</v>
      </c>
      <c r="F223" s="89" t="s">
        <v>767</v>
      </c>
      <c r="G223" s="90" t="s">
        <v>768</v>
      </c>
      <c r="H223" s="91" t="s">
        <v>259</v>
      </c>
      <c r="I223" s="91" t="s">
        <v>346</v>
      </c>
      <c r="J223" s="92" t="s">
        <v>768</v>
      </c>
      <c r="K223" s="93"/>
      <c r="L223" s="60" t="s">
        <v>52</v>
      </c>
      <c r="M223" s="94" t="s">
        <v>274</v>
      </c>
      <c r="O223" s="103" t="s">
        <v>770</v>
      </c>
      <c r="P223" s="95"/>
      <c r="Q223" s="99"/>
      <c r="R223" s="288" t="s">
        <v>1272</v>
      </c>
      <c r="S223" s="285">
        <v>2</v>
      </c>
      <c r="T223" s="285">
        <v>4</v>
      </c>
      <c r="U223" s="97"/>
      <c r="V223" s="114">
        <f t="shared" si="34"/>
        <v>0</v>
      </c>
      <c r="W223" s="298" t="s">
        <v>766</v>
      </c>
      <c r="X223" s="298" t="str">
        <f>IF(W223=Llistes!$B$18,Llistes!$D$18,IF(W223=Llistes!$B$20,Llistes!$D$20,IF(W223=Llistes!$B$22,Llistes!$D$22,IF(W223=Llistes!$B$23,Llistes!$D$23,IF(W223=Llistes!$B$24,Llistes!$D$24,IF(W223=Llistes!$B$28,Llistes!$D$28))))))</f>
        <v>Director</v>
      </c>
      <c r="Y223" s="1" t="s">
        <v>275</v>
      </c>
      <c r="Z223" s="3" t="s">
        <v>265</v>
      </c>
      <c r="AA223" s="16" t="s">
        <v>266</v>
      </c>
      <c r="AB223" s="16" t="s">
        <v>266</v>
      </c>
      <c r="AC223" s="16" t="s">
        <v>266</v>
      </c>
      <c r="AD223" s="16" t="s">
        <v>266</v>
      </c>
    </row>
    <row r="224" spans="1:30" ht="73.5" customHeight="1">
      <c r="A224" s="23" t="s">
        <v>759</v>
      </c>
      <c r="B224" s="276">
        <v>15</v>
      </c>
      <c r="C224" s="278" t="s">
        <v>760</v>
      </c>
      <c r="D224" s="38" t="s">
        <v>761</v>
      </c>
      <c r="E224" s="80" t="s">
        <v>762</v>
      </c>
      <c r="F224" s="89" t="s">
        <v>771</v>
      </c>
      <c r="G224" s="90" t="s">
        <v>772</v>
      </c>
      <c r="H224" s="91" t="s">
        <v>259</v>
      </c>
      <c r="I224" s="91" t="s">
        <v>346</v>
      </c>
      <c r="J224" s="92"/>
      <c r="K224" s="92" t="s">
        <v>773</v>
      </c>
      <c r="L224" s="103"/>
      <c r="M224" s="94" t="s">
        <v>274</v>
      </c>
      <c r="O224" s="103"/>
      <c r="P224" s="95"/>
      <c r="Q224" s="99"/>
      <c r="R224" s="288"/>
      <c r="S224" s="285"/>
      <c r="T224" s="285"/>
      <c r="U224" s="97"/>
      <c r="V224" s="114">
        <f t="shared" si="34"/>
        <v>0</v>
      </c>
      <c r="W224" s="298"/>
      <c r="X224" s="298"/>
    </row>
    <row r="225" spans="1:30" ht="57.6" customHeight="1">
      <c r="A225" s="23" t="s">
        <v>759</v>
      </c>
      <c r="B225" s="276">
        <v>15</v>
      </c>
      <c r="C225" s="278" t="s">
        <v>760</v>
      </c>
      <c r="D225" s="38" t="s">
        <v>761</v>
      </c>
      <c r="E225" s="80" t="s">
        <v>762</v>
      </c>
      <c r="F225" s="89" t="s">
        <v>774</v>
      </c>
      <c r="G225" s="90" t="s">
        <v>775</v>
      </c>
      <c r="H225" s="91" t="s">
        <v>259</v>
      </c>
      <c r="I225" s="91" t="s">
        <v>281</v>
      </c>
      <c r="J225" s="92" t="s">
        <v>775</v>
      </c>
      <c r="K225" s="286"/>
      <c r="L225" s="103" t="s">
        <v>52</v>
      </c>
      <c r="M225" s="94" t="s">
        <v>261</v>
      </c>
      <c r="N225" s="284">
        <v>1</v>
      </c>
      <c r="O225" s="103" t="s">
        <v>776</v>
      </c>
      <c r="P225" s="95"/>
      <c r="Q225" s="99" t="s">
        <v>777</v>
      </c>
      <c r="R225" s="103" t="s">
        <v>1270</v>
      </c>
      <c r="S225" s="285"/>
      <c r="T225" s="325" t="s">
        <v>182</v>
      </c>
      <c r="U225" s="97"/>
      <c r="V225" s="114">
        <f t="shared" si="34"/>
        <v>0</v>
      </c>
      <c r="W225" s="298" t="s">
        <v>766</v>
      </c>
      <c r="X225" s="298" t="str">
        <f>IF(W225=Llistes!$B$18,Llistes!$D$18,IF(W225=Llistes!$B$20,Llistes!$D$20,IF(W225=Llistes!$B$22,Llistes!$D$22,IF(W225=Llistes!$B$23,Llistes!$D$23,IF(W225=Llistes!$B$24,Llistes!$D$24,IF(W225=Llistes!$B$28,Llistes!$D$28))))))</f>
        <v>Director</v>
      </c>
      <c r="Y225" s="1" t="s">
        <v>275</v>
      </c>
      <c r="Z225" s="3" t="s">
        <v>265</v>
      </c>
      <c r="AA225" s="16" t="s">
        <v>266</v>
      </c>
    </row>
    <row r="226" spans="1:30" ht="54.6" customHeight="1">
      <c r="A226" s="23" t="s">
        <v>759</v>
      </c>
      <c r="B226" s="275">
        <v>15</v>
      </c>
      <c r="C226" s="277" t="s">
        <v>760</v>
      </c>
      <c r="D226" s="215" t="s">
        <v>761</v>
      </c>
      <c r="E226" s="218" t="s">
        <v>762</v>
      </c>
      <c r="F226" s="89" t="s">
        <v>774</v>
      </c>
      <c r="G226" s="90" t="s">
        <v>775</v>
      </c>
      <c r="H226" s="91" t="s">
        <v>259</v>
      </c>
      <c r="I226" s="91" t="s">
        <v>281</v>
      </c>
      <c r="J226" s="92" t="s">
        <v>775</v>
      </c>
      <c r="K226" s="93"/>
      <c r="L226" s="103" t="s">
        <v>52</v>
      </c>
      <c r="M226" s="94" t="s">
        <v>261</v>
      </c>
      <c r="N226" s="284">
        <v>2</v>
      </c>
      <c r="O226" s="103" t="s">
        <v>779</v>
      </c>
      <c r="P226" s="95"/>
      <c r="Q226" s="90" t="s">
        <v>777</v>
      </c>
      <c r="R226" s="103" t="s">
        <v>1270</v>
      </c>
      <c r="S226" s="285"/>
      <c r="T226" s="326" t="s">
        <v>1141</v>
      </c>
      <c r="U226" s="97"/>
      <c r="V226" s="114">
        <f t="shared" si="34"/>
        <v>0</v>
      </c>
      <c r="W226" s="298" t="s">
        <v>780</v>
      </c>
      <c r="X226" s="298" t="str">
        <f>IF(W226=Llistes!$B$18,Llistes!$D$18,IF(W226=Llistes!$B$20,Llistes!$D$20,IF(W226=Llistes!$B$22,Llistes!$D$22,IF(W226=Llistes!$B$23,Llistes!$D$23,IF(W226=Llistes!$B$24,Llistes!$D$24,IF(W226=Llistes!$B$28,Llistes!$D$28))))))</f>
        <v>President</v>
      </c>
      <c r="Y226" s="1" t="s">
        <v>275</v>
      </c>
      <c r="Z226" s="3" t="s">
        <v>265</v>
      </c>
      <c r="AA226" s="16" t="s">
        <v>266</v>
      </c>
    </row>
    <row r="227" spans="1:30" ht="45">
      <c r="A227" s="23" t="s">
        <v>759</v>
      </c>
      <c r="B227" s="275">
        <v>15</v>
      </c>
      <c r="C227" s="277" t="s">
        <v>760</v>
      </c>
      <c r="D227" s="215" t="s">
        <v>761</v>
      </c>
      <c r="E227" s="218" t="s">
        <v>762</v>
      </c>
      <c r="F227" s="89" t="s">
        <v>774</v>
      </c>
      <c r="G227" s="90" t="s">
        <v>775</v>
      </c>
      <c r="H227" s="91" t="s">
        <v>259</v>
      </c>
      <c r="I227" s="91" t="s">
        <v>281</v>
      </c>
      <c r="J227" s="92" t="s">
        <v>775</v>
      </c>
      <c r="K227" s="93"/>
      <c r="L227" s="103" t="s">
        <v>52</v>
      </c>
      <c r="M227" s="94" t="s">
        <v>261</v>
      </c>
      <c r="O227" s="103" t="s">
        <v>781</v>
      </c>
      <c r="P227" s="95" t="s">
        <v>778</v>
      </c>
      <c r="Q227" s="90">
        <v>1</v>
      </c>
      <c r="R227" s="103" t="s">
        <v>1270</v>
      </c>
      <c r="S227" s="285"/>
      <c r="T227" s="325" t="s">
        <v>182</v>
      </c>
      <c r="U227" s="97"/>
      <c r="V227" s="114">
        <f t="shared" si="34"/>
        <v>0</v>
      </c>
      <c r="W227" s="298" t="s">
        <v>766</v>
      </c>
      <c r="X227" s="298" t="str">
        <f>IF(W227=Llistes!$B$18,Llistes!$D$18,IF(W227=Llistes!$B$20,Llistes!$D$20,IF(W227=Llistes!$B$22,Llistes!$D$22,IF(W227=Llistes!$B$23,Llistes!$D$23,IF(W227=Llistes!$B$24,Llistes!$D$24,IF(W227=Llistes!$B$28,Llistes!$D$28))))))</f>
        <v>Director</v>
      </c>
      <c r="Y227" s="1" t="s">
        <v>275</v>
      </c>
      <c r="Z227" s="3" t="s">
        <v>265</v>
      </c>
      <c r="AD227" s="16" t="s">
        <v>266</v>
      </c>
    </row>
    <row r="228" spans="1:30" ht="45">
      <c r="A228" s="23" t="s">
        <v>759</v>
      </c>
      <c r="B228" s="275">
        <v>15</v>
      </c>
      <c r="C228" s="277" t="s">
        <v>760</v>
      </c>
      <c r="D228" s="215" t="s">
        <v>761</v>
      </c>
      <c r="E228" s="218" t="s">
        <v>762</v>
      </c>
      <c r="F228" s="89" t="s">
        <v>774</v>
      </c>
      <c r="G228" s="90" t="s">
        <v>775</v>
      </c>
      <c r="H228" s="91" t="s">
        <v>259</v>
      </c>
      <c r="I228" s="91" t="s">
        <v>281</v>
      </c>
      <c r="J228" s="92" t="s">
        <v>775</v>
      </c>
      <c r="K228" s="93"/>
      <c r="L228" s="103" t="s">
        <v>52</v>
      </c>
      <c r="M228" s="290" t="s">
        <v>261</v>
      </c>
      <c r="O228" s="103" t="s">
        <v>782</v>
      </c>
      <c r="P228" s="293"/>
      <c r="Q228" s="294" t="s">
        <v>777</v>
      </c>
      <c r="R228" s="103" t="s">
        <v>1270</v>
      </c>
      <c r="S228" s="285"/>
      <c r="T228" s="326" t="s">
        <v>1141</v>
      </c>
      <c r="U228" s="97"/>
      <c r="V228" s="114">
        <f t="shared" si="34"/>
        <v>0</v>
      </c>
      <c r="W228" s="298" t="s">
        <v>780</v>
      </c>
      <c r="X228" s="298" t="str">
        <f>IF(W228=Llistes!$B$18,Llistes!$D$18,IF(W228=Llistes!$B$20,Llistes!$D$20,IF(W228=Llistes!$B$22,Llistes!$D$22,IF(W228=Llistes!$B$23,Llistes!$D$23,IF(W228=Llistes!$B$24,Llistes!$D$24,IF(W228=Llistes!$B$28,Llistes!$D$28))))))</f>
        <v>President</v>
      </c>
      <c r="Y228" s="1" t="s">
        <v>275</v>
      </c>
      <c r="Z228" s="3" t="s">
        <v>265</v>
      </c>
      <c r="AD228" s="16" t="s">
        <v>266</v>
      </c>
    </row>
    <row r="229" spans="1:30" ht="45">
      <c r="A229" s="23" t="s">
        <v>759</v>
      </c>
      <c r="B229" s="275">
        <v>15</v>
      </c>
      <c r="C229" s="277" t="s">
        <v>760</v>
      </c>
      <c r="D229" s="215" t="s">
        <v>761</v>
      </c>
      <c r="E229" s="218" t="s">
        <v>762</v>
      </c>
      <c r="F229" s="89" t="s">
        <v>774</v>
      </c>
      <c r="G229" s="90" t="s">
        <v>775</v>
      </c>
      <c r="H229" s="91" t="s">
        <v>259</v>
      </c>
      <c r="I229" s="91" t="s">
        <v>281</v>
      </c>
      <c r="J229" s="92" t="s">
        <v>775</v>
      </c>
      <c r="K229" s="93"/>
      <c r="L229" s="60" t="s">
        <v>52</v>
      </c>
      <c r="M229" s="290" t="s">
        <v>261</v>
      </c>
      <c r="O229" s="60" t="s">
        <v>783</v>
      </c>
      <c r="R229" s="288" t="s">
        <v>778</v>
      </c>
      <c r="S229" s="285">
        <v>4</v>
      </c>
      <c r="T229" s="285">
        <v>4</v>
      </c>
      <c r="U229" s="97"/>
      <c r="V229" s="114">
        <f t="shared" si="34"/>
        <v>0</v>
      </c>
      <c r="W229" s="298" t="s">
        <v>263</v>
      </c>
      <c r="X229" s="298" t="str">
        <f>IF(W229=Llistes!$B$18,Llistes!$D$18,IF(W229=Llistes!$B$20,Llistes!$D$20,IF(W229=Llistes!$B$22,Llistes!$D$22,IF(W229=Llistes!$B$23,Llistes!$D$23,IF(W229=Llistes!$B$24,Llistes!$D$24,IF(W229=Llistes!$B$28,Llistes!$D$28))))))</f>
        <v>Tècnic coordinador</v>
      </c>
      <c r="Y229" s="1" t="s">
        <v>275</v>
      </c>
      <c r="Z229" s="3" t="s">
        <v>265</v>
      </c>
      <c r="AA229" s="16" t="s">
        <v>266</v>
      </c>
      <c r="AB229" s="16" t="s">
        <v>266</v>
      </c>
      <c r="AC229" s="16" t="s">
        <v>266</v>
      </c>
      <c r="AD229" s="16" t="s">
        <v>266</v>
      </c>
    </row>
    <row r="230" spans="1:30" ht="45">
      <c r="A230" s="23" t="s">
        <v>759</v>
      </c>
      <c r="B230" s="275">
        <v>15</v>
      </c>
      <c r="C230" s="277" t="s">
        <v>760</v>
      </c>
      <c r="D230" s="215" t="s">
        <v>761</v>
      </c>
      <c r="E230" s="218" t="s">
        <v>762</v>
      </c>
      <c r="F230" s="89" t="s">
        <v>774</v>
      </c>
      <c r="G230" s="90" t="s">
        <v>775</v>
      </c>
      <c r="H230" s="91" t="s">
        <v>259</v>
      </c>
      <c r="I230" s="91" t="s">
        <v>281</v>
      </c>
      <c r="J230" s="92" t="s">
        <v>775</v>
      </c>
      <c r="K230" s="93"/>
      <c r="L230" s="60" t="s">
        <v>52</v>
      </c>
      <c r="M230" s="290" t="s">
        <v>261</v>
      </c>
      <c r="O230" s="60" t="s">
        <v>784</v>
      </c>
      <c r="R230" s="288" t="s">
        <v>785</v>
      </c>
      <c r="S230" s="285"/>
      <c r="T230" s="285">
        <v>4</v>
      </c>
      <c r="U230" s="97"/>
      <c r="V230" s="114">
        <f t="shared" si="34"/>
        <v>0</v>
      </c>
      <c r="W230" s="298" t="s">
        <v>780</v>
      </c>
      <c r="X230" s="298" t="str">
        <f>IF(W230=Llistes!$B$18,Llistes!$D$18,IF(W230=Llistes!$B$20,Llistes!$D$20,IF(W230=Llistes!$B$22,Llistes!$D$22,IF(W230=Llistes!$B$23,Llistes!$D$23,IF(W230=Llistes!$B$24,Llistes!$D$24,IF(W230=Llistes!$B$28,Llistes!$D$28))))))</f>
        <v>President</v>
      </c>
      <c r="Y230" s="1" t="s">
        <v>275</v>
      </c>
      <c r="Z230" s="3" t="s">
        <v>265</v>
      </c>
      <c r="AA230" s="16" t="s">
        <v>266</v>
      </c>
      <c r="AB230" s="16" t="s">
        <v>266</v>
      </c>
      <c r="AC230" s="16" t="s">
        <v>266</v>
      </c>
      <c r="AD230" s="16" t="s">
        <v>266</v>
      </c>
    </row>
    <row r="231" spans="1:30" ht="45">
      <c r="A231" s="23" t="s">
        <v>759</v>
      </c>
      <c r="B231" s="58">
        <v>16</v>
      </c>
      <c r="C231" s="56" t="s">
        <v>786</v>
      </c>
      <c r="D231" s="21" t="s">
        <v>787</v>
      </c>
      <c r="E231" s="77" t="s">
        <v>788</v>
      </c>
      <c r="F231" s="89" t="s">
        <v>789</v>
      </c>
      <c r="G231" s="90" t="s">
        <v>790</v>
      </c>
      <c r="H231" s="91" t="s">
        <v>259</v>
      </c>
      <c r="I231" s="91" t="s">
        <v>281</v>
      </c>
      <c r="J231" s="92" t="s">
        <v>791</v>
      </c>
      <c r="K231" s="93"/>
      <c r="L231" s="60" t="s">
        <v>52</v>
      </c>
      <c r="M231" s="290" t="s">
        <v>261</v>
      </c>
      <c r="N231" s="284">
        <v>1</v>
      </c>
      <c r="O231" s="60" t="s">
        <v>792</v>
      </c>
      <c r="R231" s="288" t="s">
        <v>778</v>
      </c>
      <c r="S231" s="285">
        <v>4</v>
      </c>
      <c r="T231" s="285">
        <v>4</v>
      </c>
      <c r="U231" s="97"/>
      <c r="V231" s="114">
        <f t="shared" si="34"/>
        <v>0</v>
      </c>
      <c r="W231" s="298" t="s">
        <v>263</v>
      </c>
      <c r="X231" s="298" t="str">
        <f>IF(W231=Llistes!$B$18,Llistes!$D$18,IF(W231=Llistes!$B$20,Llistes!$D$20,IF(W231=Llistes!$B$22,Llistes!$D$22,IF(W231=Llistes!$B$23,Llistes!$D$23,IF(W231=Llistes!$B$24,Llistes!$D$24,IF(W231=Llistes!$B$28,Llistes!$D$28))))))</f>
        <v>Tècnic coordinador</v>
      </c>
      <c r="Y231" s="1" t="s">
        <v>275</v>
      </c>
      <c r="Z231" s="3" t="s">
        <v>265</v>
      </c>
      <c r="AA231" s="16" t="s">
        <v>266</v>
      </c>
      <c r="AB231" s="16" t="s">
        <v>266</v>
      </c>
      <c r="AC231" s="16" t="s">
        <v>266</v>
      </c>
      <c r="AD231" s="16" t="s">
        <v>266</v>
      </c>
    </row>
    <row r="232" spans="1:30" ht="45">
      <c r="A232" s="23" t="s">
        <v>759</v>
      </c>
      <c r="B232" s="58">
        <v>16</v>
      </c>
      <c r="C232" s="56" t="s">
        <v>786</v>
      </c>
      <c r="D232" s="21" t="s">
        <v>787</v>
      </c>
      <c r="E232" s="77" t="s">
        <v>788</v>
      </c>
      <c r="F232" s="89" t="s">
        <v>789</v>
      </c>
      <c r="G232" s="90" t="s">
        <v>790</v>
      </c>
      <c r="H232" s="91" t="s">
        <v>259</v>
      </c>
      <c r="I232" s="91" t="s">
        <v>281</v>
      </c>
      <c r="J232" s="92" t="s">
        <v>791</v>
      </c>
      <c r="K232" s="93"/>
      <c r="L232" s="60" t="s">
        <v>52</v>
      </c>
      <c r="M232" s="290" t="s">
        <v>261</v>
      </c>
      <c r="N232" s="284">
        <v>2</v>
      </c>
      <c r="O232" s="60" t="s">
        <v>793</v>
      </c>
      <c r="R232" s="288" t="s">
        <v>785</v>
      </c>
      <c r="S232" s="285">
        <v>4</v>
      </c>
      <c r="T232" s="285">
        <v>4</v>
      </c>
      <c r="U232" s="97"/>
      <c r="V232" s="114">
        <f t="shared" si="34"/>
        <v>0</v>
      </c>
      <c r="W232" s="298" t="s">
        <v>766</v>
      </c>
      <c r="X232" s="298" t="str">
        <f>IF(W232=Llistes!$B$18,Llistes!$D$18,IF(W232=Llistes!$B$20,Llistes!$D$20,IF(W232=Llistes!$B$22,Llistes!$D$22,IF(W232=Llistes!$B$23,Llistes!$D$23,IF(W232=Llistes!$B$24,Llistes!$D$24,IF(W232=Llistes!$B$28,Llistes!$D$28))))))</f>
        <v>Director</v>
      </c>
      <c r="Y232" s="1" t="s">
        <v>275</v>
      </c>
      <c r="Z232" s="3" t="s">
        <v>265</v>
      </c>
      <c r="AA232" s="16" t="s">
        <v>266</v>
      </c>
      <c r="AB232" s="16" t="s">
        <v>266</v>
      </c>
      <c r="AC232" s="16" t="s">
        <v>266</v>
      </c>
      <c r="AD232" s="16" t="s">
        <v>266</v>
      </c>
    </row>
    <row r="233" spans="1:30" ht="45">
      <c r="A233" s="23" t="s">
        <v>759</v>
      </c>
      <c r="B233" s="58">
        <v>16</v>
      </c>
      <c r="C233" s="56" t="s">
        <v>786</v>
      </c>
      <c r="D233" s="21" t="s">
        <v>787</v>
      </c>
      <c r="E233" s="77" t="s">
        <v>788</v>
      </c>
      <c r="F233" s="89" t="s">
        <v>789</v>
      </c>
      <c r="G233" s="90" t="s">
        <v>790</v>
      </c>
      <c r="H233" s="91" t="s">
        <v>259</v>
      </c>
      <c r="I233" s="91" t="s">
        <v>281</v>
      </c>
      <c r="J233" s="92" t="s">
        <v>791</v>
      </c>
      <c r="K233" s="93"/>
      <c r="L233" s="60" t="s">
        <v>52</v>
      </c>
      <c r="M233" s="290" t="s">
        <v>261</v>
      </c>
      <c r="N233" s="16">
        <v>0</v>
      </c>
      <c r="O233" s="103" t="s">
        <v>794</v>
      </c>
      <c r="P233" s="95"/>
      <c r="Q233" s="99"/>
      <c r="R233" s="103" t="s">
        <v>1270</v>
      </c>
      <c r="S233" s="285"/>
      <c r="T233" s="325" t="s">
        <v>182</v>
      </c>
      <c r="U233" s="97"/>
      <c r="V233" s="114">
        <f t="shared" si="34"/>
        <v>0</v>
      </c>
      <c r="W233" s="298" t="s">
        <v>286</v>
      </c>
      <c r="X233" s="298" t="str">
        <f>IF(W233=Llistes!$B$18,Llistes!$D$18,IF(W233=Llistes!$B$20,Llistes!$D$20,IF(W233=Llistes!$B$22,Llistes!$D$22,IF(W233=Llistes!$B$23,Llistes!$D$23,IF(W233=Llistes!$B$24,Llistes!$D$24,IF(W233=Llistes!$B$28,Llistes!$D$28))))))</f>
        <v>Interventora</v>
      </c>
      <c r="Y233" s="1" t="s">
        <v>275</v>
      </c>
      <c r="Z233" s="3" t="s">
        <v>265</v>
      </c>
      <c r="AA233" s="16" t="s">
        <v>266</v>
      </c>
      <c r="AB233" s="16" t="s">
        <v>266</v>
      </c>
      <c r="AC233" s="16" t="s">
        <v>266</v>
      </c>
      <c r="AD233" s="16" t="s">
        <v>266</v>
      </c>
    </row>
    <row r="234" spans="1:30" ht="45">
      <c r="A234" s="23" t="s">
        <v>759</v>
      </c>
      <c r="B234" s="58">
        <v>16</v>
      </c>
      <c r="C234" s="56" t="s">
        <v>786</v>
      </c>
      <c r="D234" s="21" t="s">
        <v>787</v>
      </c>
      <c r="E234" s="77" t="s">
        <v>788</v>
      </c>
      <c r="F234" s="89" t="s">
        <v>789</v>
      </c>
      <c r="G234" s="90" t="s">
        <v>790</v>
      </c>
      <c r="H234" s="91" t="s">
        <v>259</v>
      </c>
      <c r="I234" s="91" t="s">
        <v>281</v>
      </c>
      <c r="J234" s="92" t="s">
        <v>791</v>
      </c>
      <c r="K234" s="93"/>
      <c r="L234" s="60" t="s">
        <v>52</v>
      </c>
      <c r="M234" s="290" t="s">
        <v>261</v>
      </c>
      <c r="N234" s="284">
        <v>5</v>
      </c>
      <c r="O234" s="103" t="s">
        <v>795</v>
      </c>
      <c r="P234" s="95"/>
      <c r="Q234" s="99"/>
      <c r="R234" s="103" t="s">
        <v>1270</v>
      </c>
      <c r="S234" s="285"/>
      <c r="T234" s="325" t="s">
        <v>182</v>
      </c>
      <c r="U234" s="97"/>
      <c r="V234" s="114">
        <f t="shared" si="34"/>
        <v>0</v>
      </c>
      <c r="W234" s="298" t="s">
        <v>286</v>
      </c>
      <c r="X234" s="298" t="str">
        <f>IF(W234=Llistes!$B$18,Llistes!$D$18,IF(W234=Llistes!$B$20,Llistes!$D$20,IF(W234=Llistes!$B$22,Llistes!$D$22,IF(W234=Llistes!$B$23,Llistes!$D$23,IF(W234=Llistes!$B$24,Llistes!$D$24,IF(W234=Llistes!$B$28,Llistes!$D$28))))))</f>
        <v>Interventora</v>
      </c>
      <c r="Y234" s="1" t="s">
        <v>264</v>
      </c>
      <c r="Z234" s="3" t="s">
        <v>796</v>
      </c>
      <c r="AA234" s="16" t="s">
        <v>266</v>
      </c>
      <c r="AB234" s="16" t="s">
        <v>266</v>
      </c>
      <c r="AC234" s="16" t="s">
        <v>266</v>
      </c>
      <c r="AD234" s="16" t="s">
        <v>266</v>
      </c>
    </row>
    <row r="235" spans="1:30" ht="45">
      <c r="A235" s="23" t="s">
        <v>759</v>
      </c>
      <c r="B235" s="58">
        <v>16</v>
      </c>
      <c r="C235" s="56" t="s">
        <v>786</v>
      </c>
      <c r="D235" s="21" t="s">
        <v>787</v>
      </c>
      <c r="E235" s="77" t="s">
        <v>788</v>
      </c>
      <c r="F235" s="89" t="s">
        <v>789</v>
      </c>
      <c r="G235" s="90" t="s">
        <v>790</v>
      </c>
      <c r="H235" s="91" t="s">
        <v>259</v>
      </c>
      <c r="I235" s="91" t="s">
        <v>281</v>
      </c>
      <c r="J235" s="92" t="s">
        <v>791</v>
      </c>
      <c r="K235" s="93"/>
      <c r="L235" s="60" t="s">
        <v>52</v>
      </c>
      <c r="M235" s="290" t="s">
        <v>261</v>
      </c>
      <c r="N235" s="284">
        <v>3</v>
      </c>
      <c r="O235" s="103" t="s">
        <v>797</v>
      </c>
      <c r="P235" s="95"/>
      <c r="Q235" s="99"/>
      <c r="R235" s="103" t="s">
        <v>1270</v>
      </c>
      <c r="S235" s="285"/>
      <c r="T235" s="325" t="s">
        <v>182</v>
      </c>
      <c r="U235" s="97"/>
      <c r="V235" s="114">
        <f t="shared" si="34"/>
        <v>0</v>
      </c>
      <c r="W235" s="298" t="s">
        <v>286</v>
      </c>
      <c r="X235" s="298" t="str">
        <f>IF(W235=Llistes!$B$18,Llistes!$D$18,IF(W235=Llistes!$B$20,Llistes!$D$20,IF(W235=Llistes!$B$22,Llistes!$D$22,IF(W235=Llistes!$B$23,Llistes!$D$23,IF(W235=Llistes!$B$24,Llistes!$D$24,IF(W235=Llistes!$B$28,Llistes!$D$28))))))</f>
        <v>Interventora</v>
      </c>
      <c r="Y235" s="1" t="s">
        <v>275</v>
      </c>
      <c r="Z235" s="3" t="s">
        <v>265</v>
      </c>
      <c r="AA235" s="16" t="s">
        <v>266</v>
      </c>
      <c r="AB235" s="16" t="s">
        <v>266</v>
      </c>
      <c r="AC235" s="16" t="s">
        <v>266</v>
      </c>
      <c r="AD235" s="16" t="s">
        <v>266</v>
      </c>
    </row>
    <row r="236" spans="1:30" ht="45">
      <c r="A236" s="23" t="s">
        <v>759</v>
      </c>
      <c r="B236" s="58">
        <v>16</v>
      </c>
      <c r="C236" s="56" t="s">
        <v>786</v>
      </c>
      <c r="D236" s="21" t="s">
        <v>787</v>
      </c>
      <c r="E236" s="77" t="s">
        <v>788</v>
      </c>
      <c r="F236" s="89" t="s">
        <v>789</v>
      </c>
      <c r="G236" s="90" t="s">
        <v>790</v>
      </c>
      <c r="H236" s="91" t="s">
        <v>259</v>
      </c>
      <c r="I236" s="91" t="s">
        <v>281</v>
      </c>
      <c r="J236" s="92" t="s">
        <v>791</v>
      </c>
      <c r="K236" s="93"/>
      <c r="L236" s="60" t="s">
        <v>52</v>
      </c>
      <c r="M236" s="290" t="s">
        <v>261</v>
      </c>
      <c r="N236" s="284">
        <v>4</v>
      </c>
      <c r="O236" s="103" t="s">
        <v>798</v>
      </c>
      <c r="P236" s="95"/>
      <c r="Q236" s="99"/>
      <c r="R236" s="103" t="s">
        <v>1270</v>
      </c>
      <c r="S236" s="285"/>
      <c r="T236" s="325" t="s">
        <v>182</v>
      </c>
      <c r="U236" s="97"/>
      <c r="V236" s="114">
        <f t="shared" si="34"/>
        <v>0</v>
      </c>
      <c r="W236" s="298" t="s">
        <v>780</v>
      </c>
      <c r="X236" s="298" t="str">
        <f>IF(W236=Llistes!$B$18,Llistes!$D$18,IF(W236=Llistes!$B$20,Llistes!$D$20,IF(W236=Llistes!$B$22,Llistes!$D$22,IF(W236=Llistes!$B$23,Llistes!$D$23,IF(W236=Llistes!$B$24,Llistes!$D$24,IF(W236=Llistes!$B$28,Llistes!$D$28))))))</f>
        <v>President</v>
      </c>
      <c r="Y236" s="1" t="s">
        <v>275</v>
      </c>
      <c r="Z236" s="3" t="s">
        <v>265</v>
      </c>
      <c r="AA236" s="16" t="s">
        <v>266</v>
      </c>
      <c r="AB236" s="16" t="s">
        <v>266</v>
      </c>
      <c r="AC236" s="16" t="s">
        <v>266</v>
      </c>
      <c r="AD236" s="16" t="s">
        <v>266</v>
      </c>
    </row>
    <row r="237" spans="1:30" ht="45">
      <c r="A237" s="23" t="s">
        <v>759</v>
      </c>
      <c r="B237" s="58">
        <v>16</v>
      </c>
      <c r="C237" s="56" t="s">
        <v>786</v>
      </c>
      <c r="D237" s="21" t="s">
        <v>787</v>
      </c>
      <c r="E237" s="77" t="s">
        <v>788</v>
      </c>
      <c r="F237" s="89" t="s">
        <v>789</v>
      </c>
      <c r="G237" s="90" t="s">
        <v>790</v>
      </c>
      <c r="H237" s="91" t="s">
        <v>259</v>
      </c>
      <c r="I237" s="91" t="s">
        <v>281</v>
      </c>
      <c r="J237" s="92" t="s">
        <v>791</v>
      </c>
      <c r="K237" s="93"/>
      <c r="L237" s="60" t="s">
        <v>52</v>
      </c>
      <c r="M237" s="290" t="s">
        <v>261</v>
      </c>
      <c r="N237" s="284">
        <v>6</v>
      </c>
      <c r="O237" s="103" t="s">
        <v>799</v>
      </c>
      <c r="P237" s="95"/>
      <c r="Q237" s="99"/>
      <c r="R237" s="103" t="s">
        <v>1270</v>
      </c>
      <c r="S237" s="285"/>
      <c r="T237" s="325" t="s">
        <v>182</v>
      </c>
      <c r="U237" s="97"/>
      <c r="V237" s="114">
        <f t="shared" si="34"/>
        <v>0</v>
      </c>
      <c r="W237" s="298" t="s">
        <v>286</v>
      </c>
      <c r="X237" s="298" t="str">
        <f>IF(W237=Llistes!$B$18,Llistes!$D$18,IF(W237=Llistes!$B$20,Llistes!$D$20,IF(W237=Llistes!$B$22,Llistes!$D$22,IF(W237=Llistes!$B$23,Llistes!$D$23,IF(W237=Llistes!$B$24,Llistes!$D$24,IF(W237=Llistes!$B$28,Llistes!$D$28))))))</f>
        <v>Interventora</v>
      </c>
      <c r="Z237" s="3" t="s">
        <v>265</v>
      </c>
      <c r="AA237" s="16" t="s">
        <v>266</v>
      </c>
      <c r="AB237" s="16" t="s">
        <v>266</v>
      </c>
      <c r="AC237" s="16" t="s">
        <v>266</v>
      </c>
      <c r="AD237" s="16" t="s">
        <v>266</v>
      </c>
    </row>
    <row r="238" spans="1:30" ht="45">
      <c r="A238" s="23" t="s">
        <v>759</v>
      </c>
      <c r="B238" s="58">
        <v>16</v>
      </c>
      <c r="C238" s="56" t="s">
        <v>786</v>
      </c>
      <c r="D238" s="21" t="s">
        <v>787</v>
      </c>
      <c r="E238" s="77" t="s">
        <v>788</v>
      </c>
      <c r="F238" s="89" t="s">
        <v>789</v>
      </c>
      <c r="G238" s="90" t="s">
        <v>790</v>
      </c>
      <c r="H238" s="91" t="s">
        <v>259</v>
      </c>
      <c r="I238" s="91" t="s">
        <v>281</v>
      </c>
      <c r="J238" s="92" t="s">
        <v>791</v>
      </c>
      <c r="K238" s="93"/>
      <c r="L238" s="60" t="s">
        <v>52</v>
      </c>
      <c r="M238" s="290" t="s">
        <v>261</v>
      </c>
      <c r="N238" s="284">
        <v>7</v>
      </c>
      <c r="O238" s="103" t="s">
        <v>800</v>
      </c>
      <c r="P238" s="95"/>
      <c r="Q238" s="99"/>
      <c r="R238" s="103" t="s">
        <v>1270</v>
      </c>
      <c r="S238" s="285"/>
      <c r="T238" s="325" t="s">
        <v>182</v>
      </c>
      <c r="U238" s="97"/>
      <c r="V238" s="114">
        <f t="shared" si="34"/>
        <v>0</v>
      </c>
      <c r="W238" s="298" t="s">
        <v>780</v>
      </c>
      <c r="X238" s="298" t="str">
        <f>IF(W238=Llistes!$B$18,Llistes!$D$18,IF(W238=Llistes!$B$20,Llistes!$D$20,IF(W238=Llistes!$B$22,Llistes!$D$22,IF(W238=Llistes!$B$23,Llistes!$D$23,IF(W238=Llistes!$B$24,Llistes!$D$24,IF(W238=Llistes!$B$28,Llistes!$D$28))))))</f>
        <v>President</v>
      </c>
      <c r="Y238" s="1" t="s">
        <v>275</v>
      </c>
      <c r="Z238" s="3" t="s">
        <v>265</v>
      </c>
      <c r="AA238" s="16" t="s">
        <v>266</v>
      </c>
      <c r="AB238" s="16" t="s">
        <v>266</v>
      </c>
      <c r="AC238" s="16" t="s">
        <v>266</v>
      </c>
      <c r="AD238" s="16" t="s">
        <v>266</v>
      </c>
    </row>
    <row r="239" spans="1:30" ht="45">
      <c r="A239" s="23" t="s">
        <v>759</v>
      </c>
      <c r="B239" s="58">
        <v>16</v>
      </c>
      <c r="C239" s="56" t="s">
        <v>786</v>
      </c>
      <c r="D239" s="21" t="s">
        <v>787</v>
      </c>
      <c r="E239" s="77" t="s">
        <v>788</v>
      </c>
      <c r="F239" s="89" t="s">
        <v>789</v>
      </c>
      <c r="G239" s="90" t="s">
        <v>790</v>
      </c>
      <c r="H239" s="91" t="s">
        <v>259</v>
      </c>
      <c r="I239" s="91" t="s">
        <v>281</v>
      </c>
      <c r="J239" s="92" t="s">
        <v>801</v>
      </c>
      <c r="K239" s="93"/>
      <c r="L239" s="60" t="s">
        <v>52</v>
      </c>
      <c r="M239" s="94" t="s">
        <v>274</v>
      </c>
      <c r="N239" s="284">
        <v>0</v>
      </c>
      <c r="O239" s="103" t="s">
        <v>802</v>
      </c>
      <c r="P239" s="95"/>
      <c r="Q239" s="99"/>
      <c r="R239" s="288" t="s">
        <v>291</v>
      </c>
      <c r="S239" s="285">
        <v>1</v>
      </c>
      <c r="T239" s="285">
        <v>4</v>
      </c>
      <c r="U239" s="97"/>
      <c r="V239" s="114">
        <f t="shared" si="34"/>
        <v>0</v>
      </c>
      <c r="W239" s="298" t="s">
        <v>263</v>
      </c>
      <c r="X239" s="298" t="str">
        <f>IF(W239=Llistes!$B$18,Llistes!$D$18,IF(W239=Llistes!$B$20,Llistes!$D$20,IF(W239=Llistes!$B$22,Llistes!$D$22,IF(W239=Llistes!$B$23,Llistes!$D$23,IF(W239=Llistes!$B$24,Llistes!$D$24,IF(W239=Llistes!$B$28,Llistes!$D$28))))))</f>
        <v>Tècnic coordinador</v>
      </c>
      <c r="Y239" s="1" t="s">
        <v>275</v>
      </c>
      <c r="Z239" s="3" t="s">
        <v>265</v>
      </c>
      <c r="AA239" s="16" t="s">
        <v>266</v>
      </c>
      <c r="AB239" s="16" t="s">
        <v>266</v>
      </c>
      <c r="AC239" s="16" t="s">
        <v>266</v>
      </c>
      <c r="AD239" s="16" t="s">
        <v>266</v>
      </c>
    </row>
    <row r="240" spans="1:30" ht="75" customHeight="1">
      <c r="A240" s="23" t="s">
        <v>759</v>
      </c>
      <c r="B240" s="281">
        <v>16</v>
      </c>
      <c r="C240" s="57" t="s">
        <v>786</v>
      </c>
      <c r="D240" s="169" t="s">
        <v>803</v>
      </c>
      <c r="E240" s="170" t="s">
        <v>804</v>
      </c>
      <c r="F240" s="89" t="s">
        <v>805</v>
      </c>
      <c r="G240" s="90" t="s">
        <v>806</v>
      </c>
      <c r="H240" s="91" t="s">
        <v>259</v>
      </c>
      <c r="I240" s="91" t="s">
        <v>281</v>
      </c>
      <c r="J240" s="92" t="s">
        <v>807</v>
      </c>
      <c r="K240" s="92" t="s">
        <v>808</v>
      </c>
      <c r="L240" s="60" t="s">
        <v>52</v>
      </c>
      <c r="M240" s="94" t="s">
        <v>274</v>
      </c>
      <c r="O240" s="103" t="s">
        <v>809</v>
      </c>
      <c r="P240" s="95"/>
      <c r="Q240" s="96" t="s">
        <v>810</v>
      </c>
      <c r="R240" s="288" t="s">
        <v>291</v>
      </c>
      <c r="S240" s="285">
        <v>2</v>
      </c>
      <c r="T240" s="285">
        <v>4</v>
      </c>
      <c r="U240" s="97"/>
      <c r="V240" s="114">
        <f t="shared" si="34"/>
        <v>0</v>
      </c>
      <c r="W240" s="298" t="s">
        <v>263</v>
      </c>
      <c r="X240" s="298" t="str">
        <f>IF(W240=Llistes!$B$18,Llistes!$D$18,IF(W240=Llistes!$B$20,Llistes!$D$20,IF(W240=Llistes!$B$22,Llistes!$D$22,IF(W240=Llistes!$B$23,Llistes!$D$23,IF(W240=Llistes!$B$24,Llistes!$D$24,IF(W240=Llistes!$B$28,Llistes!$D$28))))))</f>
        <v>Tècnic coordinador</v>
      </c>
      <c r="Y240" s="1" t="s">
        <v>275</v>
      </c>
      <c r="Z240" s="3" t="s">
        <v>265</v>
      </c>
      <c r="AA240" s="16" t="s">
        <v>266</v>
      </c>
      <c r="AB240" s="16" t="s">
        <v>266</v>
      </c>
      <c r="AC240" s="16" t="s">
        <v>266</v>
      </c>
      <c r="AD240" s="16" t="s">
        <v>266</v>
      </c>
    </row>
    <row r="241" spans="1:30" ht="75">
      <c r="A241" s="23" t="s">
        <v>759</v>
      </c>
      <c r="B241" s="281">
        <v>16</v>
      </c>
      <c r="C241" s="57" t="s">
        <v>786</v>
      </c>
      <c r="D241" s="169" t="s">
        <v>803</v>
      </c>
      <c r="E241" s="170" t="s">
        <v>804</v>
      </c>
      <c r="F241" s="89" t="s">
        <v>805</v>
      </c>
      <c r="G241" s="90" t="s">
        <v>806</v>
      </c>
      <c r="H241" s="91" t="s">
        <v>259</v>
      </c>
      <c r="I241" s="91" t="s">
        <v>281</v>
      </c>
      <c r="J241" s="92" t="s">
        <v>807</v>
      </c>
      <c r="K241" s="92" t="s">
        <v>808</v>
      </c>
      <c r="L241" s="60" t="s">
        <v>52</v>
      </c>
      <c r="M241" s="94" t="s">
        <v>274</v>
      </c>
      <c r="O241" s="103" t="s">
        <v>811</v>
      </c>
      <c r="P241" s="95"/>
      <c r="Q241" s="96" t="s">
        <v>810</v>
      </c>
      <c r="R241" s="288" t="s">
        <v>812</v>
      </c>
      <c r="S241" s="285">
        <v>1</v>
      </c>
      <c r="T241" s="285">
        <v>2</v>
      </c>
      <c r="U241" s="97"/>
      <c r="V241" s="114">
        <f t="shared" si="34"/>
        <v>0</v>
      </c>
      <c r="W241" s="298" t="s">
        <v>813</v>
      </c>
      <c r="X241" s="298" t="str">
        <f>IF(W241=Llistes!$B$18,Llistes!$D$18,IF(W241=Llistes!$B$20,Llistes!$D$20,IF(W241=Llistes!$B$22,Llistes!$D$22,IF(W241=Llistes!$B$23,Llistes!$D$23,IF(W241=Llistes!$B$24,Llistes!$D$24,IF(W241=Llistes!$B$28,Llistes!$D$28))))))</f>
        <v>Secretària</v>
      </c>
      <c r="Y241" s="1" t="s">
        <v>275</v>
      </c>
      <c r="Z241" s="3" t="s">
        <v>265</v>
      </c>
      <c r="AA241" s="16" t="s">
        <v>266</v>
      </c>
      <c r="AB241" s="16" t="s">
        <v>266</v>
      </c>
      <c r="AC241" s="16" t="s">
        <v>266</v>
      </c>
      <c r="AD241" s="16" t="s">
        <v>266</v>
      </c>
    </row>
    <row r="242" spans="1:30" ht="60">
      <c r="A242" s="23" t="s">
        <v>759</v>
      </c>
      <c r="B242" s="281">
        <v>16</v>
      </c>
      <c r="C242" s="57" t="s">
        <v>786</v>
      </c>
      <c r="D242" s="169" t="s">
        <v>803</v>
      </c>
      <c r="E242" s="170" t="s">
        <v>804</v>
      </c>
      <c r="F242" s="89" t="s">
        <v>805</v>
      </c>
      <c r="G242" s="90" t="s">
        <v>806</v>
      </c>
      <c r="H242" s="91" t="s">
        <v>259</v>
      </c>
      <c r="I242" s="91" t="s">
        <v>281</v>
      </c>
      <c r="J242" s="92" t="s">
        <v>807</v>
      </c>
      <c r="K242" s="93"/>
      <c r="L242" s="60" t="s">
        <v>52</v>
      </c>
      <c r="M242" s="94" t="s">
        <v>274</v>
      </c>
      <c r="O242" s="103" t="s">
        <v>814</v>
      </c>
      <c r="P242" s="95"/>
      <c r="Q242" s="96"/>
      <c r="R242" s="103" t="s">
        <v>1270</v>
      </c>
      <c r="S242" s="285"/>
      <c r="T242" s="325" t="s">
        <v>182</v>
      </c>
      <c r="U242" s="97"/>
      <c r="V242" s="114">
        <f t="shared" si="34"/>
        <v>0</v>
      </c>
      <c r="W242" s="298" t="s">
        <v>815</v>
      </c>
      <c r="X242" s="298" t="str">
        <f>IF(W242=Llistes!$B$18,Llistes!$D$18,IF(W242=Llistes!$B$20,Llistes!$D$20,IF(W242=Llistes!$B$22,Llistes!$D$22,IF(W242=Llistes!$B$23,Llistes!$D$23,IF(W242=Llistes!$B$24,Llistes!$D$24,IF(W242=Llistes!$B$28,Llistes!$D$28))))))</f>
        <v>Gestora administrativa</v>
      </c>
      <c r="Y242" s="1" t="s">
        <v>275</v>
      </c>
      <c r="Z242" s="3" t="s">
        <v>265</v>
      </c>
      <c r="AA242" s="16" t="s">
        <v>266</v>
      </c>
      <c r="AB242" s="16" t="s">
        <v>266</v>
      </c>
      <c r="AC242" s="16" t="s">
        <v>266</v>
      </c>
      <c r="AD242" s="16" t="s">
        <v>266</v>
      </c>
    </row>
    <row r="243" spans="1:30" ht="87" customHeight="1">
      <c r="A243" s="23" t="s">
        <v>759</v>
      </c>
      <c r="B243" s="281">
        <v>16</v>
      </c>
      <c r="C243" s="57" t="s">
        <v>786</v>
      </c>
      <c r="D243" s="38" t="s">
        <v>803</v>
      </c>
      <c r="E243" s="80" t="s">
        <v>804</v>
      </c>
      <c r="F243" s="89" t="s">
        <v>816</v>
      </c>
      <c r="G243" s="112" t="s">
        <v>817</v>
      </c>
      <c r="H243" s="91" t="s">
        <v>259</v>
      </c>
      <c r="I243" s="91" t="s">
        <v>281</v>
      </c>
      <c r="J243" s="92" t="str">
        <f>G243</f>
        <v>Planificar i detectar les tasques de convocatòries d'ajuts de l'ENP</v>
      </c>
      <c r="K243" s="93"/>
      <c r="L243" s="60" t="s">
        <v>52</v>
      </c>
      <c r="M243" s="94" t="s">
        <v>274</v>
      </c>
      <c r="O243" s="92" t="s">
        <v>1254</v>
      </c>
      <c r="P243" s="95"/>
      <c r="Q243" s="96"/>
      <c r="R243" s="103" t="s">
        <v>1270</v>
      </c>
      <c r="S243" s="285"/>
      <c r="T243" s="325" t="s">
        <v>182</v>
      </c>
      <c r="U243" s="97"/>
      <c r="V243" s="114">
        <f t="shared" si="34"/>
        <v>0</v>
      </c>
      <c r="W243" s="298" t="s">
        <v>263</v>
      </c>
      <c r="X243" s="298" t="str">
        <f>IF(W243=Llistes!$B$18,Llistes!$D$18,IF(W243=Llistes!$B$20,Llistes!$D$20,IF(W243=Llistes!$B$22,Llistes!$D$22,IF(W243=Llistes!$B$23,Llistes!$D$23,IF(W243=Llistes!$B$24,Llistes!$D$24,IF(W243=Llistes!$B$28,Llistes!$D$28))))))</f>
        <v>Tècnic coordinador</v>
      </c>
      <c r="Y243" s="1" t="s">
        <v>275</v>
      </c>
      <c r="Z243" s="3" t="s">
        <v>265</v>
      </c>
      <c r="AA243" s="16" t="s">
        <v>266</v>
      </c>
      <c r="AB243" s="16" t="s">
        <v>266</v>
      </c>
      <c r="AC243" s="16" t="s">
        <v>266</v>
      </c>
      <c r="AD243" s="16" t="s">
        <v>266</v>
      </c>
    </row>
    <row r="244" spans="1:30" ht="45">
      <c r="A244" s="23" t="s">
        <v>759</v>
      </c>
      <c r="B244" s="281">
        <v>16</v>
      </c>
      <c r="C244" s="57" t="s">
        <v>786</v>
      </c>
      <c r="D244" s="38" t="s">
        <v>803</v>
      </c>
      <c r="E244" s="80" t="s">
        <v>804</v>
      </c>
      <c r="F244" s="89" t="s">
        <v>816</v>
      </c>
      <c r="G244" s="112" t="s">
        <v>817</v>
      </c>
      <c r="H244" s="91" t="s">
        <v>259</v>
      </c>
      <c r="I244" s="91" t="s">
        <v>281</v>
      </c>
      <c r="J244" s="92" t="str">
        <f>G244</f>
        <v>Planificar i detectar les tasques de convocatòries d'ajuts de l'ENP</v>
      </c>
      <c r="K244" s="93"/>
      <c r="L244" s="60" t="s">
        <v>52</v>
      </c>
      <c r="M244" s="94" t="s">
        <v>274</v>
      </c>
      <c r="O244" s="92" t="s">
        <v>1255</v>
      </c>
      <c r="P244" s="95"/>
      <c r="Q244" s="96"/>
      <c r="R244" s="288" t="s">
        <v>291</v>
      </c>
      <c r="S244" s="285">
        <v>1</v>
      </c>
      <c r="T244" s="285">
        <v>2</v>
      </c>
      <c r="U244" s="97"/>
      <c r="V244" s="114">
        <f t="shared" si="34"/>
        <v>0</v>
      </c>
      <c r="W244" s="298" t="s">
        <v>263</v>
      </c>
      <c r="X244" s="298" t="str">
        <f>IF(W244=Llistes!$B$18,Llistes!$D$18,IF(W244=Llistes!$B$20,Llistes!$D$20,IF(W244=Llistes!$B$22,Llistes!$D$22,IF(W244=Llistes!$B$23,Llistes!$D$23,IF(W244=Llistes!$B$24,Llistes!$D$24,IF(W244=Llistes!$B$28,Llistes!$D$28))))))</f>
        <v>Tècnic coordinador</v>
      </c>
      <c r="Y244" s="1" t="s">
        <v>275</v>
      </c>
      <c r="Z244" s="3" t="s">
        <v>265</v>
      </c>
      <c r="AA244" s="16" t="s">
        <v>266</v>
      </c>
      <c r="AB244" s="16" t="s">
        <v>266</v>
      </c>
      <c r="AC244" s="16" t="s">
        <v>266</v>
      </c>
      <c r="AD244" s="16" t="s">
        <v>266</v>
      </c>
    </row>
    <row r="245" spans="1:30" ht="45">
      <c r="A245" s="23" t="s">
        <v>759</v>
      </c>
      <c r="B245" s="281">
        <v>16</v>
      </c>
      <c r="C245" s="57" t="s">
        <v>786</v>
      </c>
      <c r="D245" s="38" t="s">
        <v>803</v>
      </c>
      <c r="E245" s="80" t="s">
        <v>804</v>
      </c>
      <c r="F245" s="89" t="s">
        <v>818</v>
      </c>
      <c r="G245" s="112" t="s">
        <v>819</v>
      </c>
      <c r="H245" s="91" t="s">
        <v>259</v>
      </c>
      <c r="I245" s="91" t="s">
        <v>281</v>
      </c>
      <c r="J245" s="92" t="str">
        <f t="shared" si="33"/>
        <v>Establir i renovar en temps i forma convenis de col·laboració, convenis marc, acords, protocols i altres instruments de col·laboració.</v>
      </c>
      <c r="K245" s="93"/>
      <c r="L245" s="60" t="s">
        <v>52</v>
      </c>
      <c r="M245" s="94" t="s">
        <v>274</v>
      </c>
      <c r="O245" s="92" t="s">
        <v>1256</v>
      </c>
      <c r="P245" s="95"/>
      <c r="Q245" s="99" t="s">
        <v>820</v>
      </c>
      <c r="R245" s="103" t="s">
        <v>1270</v>
      </c>
      <c r="S245" s="285"/>
      <c r="T245" s="325" t="s">
        <v>182</v>
      </c>
      <c r="U245" s="97"/>
      <c r="V245" s="114">
        <f t="shared" si="34"/>
        <v>0</v>
      </c>
      <c r="W245" s="298" t="s">
        <v>815</v>
      </c>
      <c r="X245" s="298" t="str">
        <f>IF(W245=Llistes!$B$18,Llistes!$D$18,IF(W245=Llistes!$B$20,Llistes!$D$20,IF(W245=Llistes!$B$22,Llistes!$D$22,IF(W245=Llistes!$B$23,Llistes!$D$23,IF(W245=Llistes!$B$24,Llistes!$D$24,IF(W245=Llistes!$B$28,Llistes!$D$28))))))</f>
        <v>Gestora administrativa</v>
      </c>
      <c r="Y245" s="1" t="s">
        <v>275</v>
      </c>
      <c r="Z245" s="3" t="s">
        <v>265</v>
      </c>
      <c r="AA245" s="16" t="s">
        <v>266</v>
      </c>
      <c r="AB245" s="16" t="s">
        <v>266</v>
      </c>
      <c r="AC245" s="16" t="s">
        <v>266</v>
      </c>
      <c r="AD245" s="16" t="s">
        <v>266</v>
      </c>
    </row>
    <row r="246" spans="1:30" ht="45">
      <c r="A246" s="23" t="s">
        <v>759</v>
      </c>
      <c r="B246" s="281">
        <v>16</v>
      </c>
      <c r="C246" s="57" t="s">
        <v>786</v>
      </c>
      <c r="D246" s="38" t="s">
        <v>803</v>
      </c>
      <c r="E246" s="80" t="s">
        <v>804</v>
      </c>
      <c r="F246" s="89" t="s">
        <v>818</v>
      </c>
      <c r="G246" s="112" t="s">
        <v>819</v>
      </c>
      <c r="H246" s="91" t="s">
        <v>259</v>
      </c>
      <c r="I246" s="91" t="s">
        <v>281</v>
      </c>
      <c r="J246" s="92" t="str">
        <f t="shared" ref="J246" si="37">G246</f>
        <v>Establir i renovar en temps i forma convenis de col·laboració, convenis marc, acords, protocols i altres instruments de col·laboració.</v>
      </c>
      <c r="K246" s="93"/>
      <c r="L246" s="60" t="s">
        <v>52</v>
      </c>
      <c r="M246" s="94" t="s">
        <v>274</v>
      </c>
      <c r="O246" s="92" t="s">
        <v>1257</v>
      </c>
      <c r="P246" s="95"/>
      <c r="Q246" s="99"/>
      <c r="R246" s="288" t="s">
        <v>821</v>
      </c>
      <c r="S246" s="285">
        <v>0</v>
      </c>
      <c r="T246" s="285">
        <v>1</v>
      </c>
      <c r="U246" s="97"/>
      <c r="V246" s="114">
        <f t="shared" si="34"/>
        <v>0</v>
      </c>
      <c r="W246" s="298" t="s">
        <v>263</v>
      </c>
      <c r="X246" s="298" t="str">
        <f>IF(W246=Llistes!$B$18,Llistes!$D$18,IF(W246=Llistes!$B$20,Llistes!$D$20,IF(W246=Llistes!$B$22,Llistes!$D$22,IF(W246=Llistes!$B$23,Llistes!$D$23,IF(W246=Llistes!$B$24,Llistes!$D$24,IF(W246=Llistes!$B$28,Llistes!$D$28))))))</f>
        <v>Tècnic coordinador</v>
      </c>
      <c r="Y246" s="1" t="s">
        <v>275</v>
      </c>
      <c r="Z246" s="3" t="s">
        <v>265</v>
      </c>
      <c r="AA246" s="16" t="s">
        <v>266</v>
      </c>
      <c r="AB246" s="16" t="s">
        <v>266</v>
      </c>
      <c r="AC246" s="16" t="s">
        <v>266</v>
      </c>
      <c r="AD246" s="16" t="s">
        <v>266</v>
      </c>
    </row>
    <row r="247" spans="1:30" ht="45">
      <c r="A247" s="23" t="s">
        <v>759</v>
      </c>
      <c r="B247" s="281">
        <v>16</v>
      </c>
      <c r="C247" s="57" t="s">
        <v>786</v>
      </c>
      <c r="D247" s="38" t="s">
        <v>803</v>
      </c>
      <c r="E247" s="80" t="s">
        <v>804</v>
      </c>
      <c r="F247" s="89" t="s">
        <v>818</v>
      </c>
      <c r="G247" s="112" t="s">
        <v>819</v>
      </c>
      <c r="H247" s="91" t="s">
        <v>259</v>
      </c>
      <c r="I247" s="91" t="s">
        <v>281</v>
      </c>
      <c r="J247" s="92" t="str">
        <f t="shared" ref="J247" si="38">G247</f>
        <v>Establir i renovar en temps i forma convenis de col·laboració, convenis marc, acords, protocols i altres instruments de col·laboració.</v>
      </c>
      <c r="K247" s="93"/>
      <c r="L247" s="60" t="s">
        <v>52</v>
      </c>
      <c r="M247" s="94" t="s">
        <v>274</v>
      </c>
      <c r="O247" s="92" t="s">
        <v>822</v>
      </c>
      <c r="P247" s="95"/>
      <c r="Q247" s="99"/>
      <c r="R247" s="288" t="s">
        <v>1156</v>
      </c>
      <c r="S247" s="285">
        <v>0</v>
      </c>
      <c r="T247" s="285">
        <v>1</v>
      </c>
      <c r="U247" s="97"/>
      <c r="V247" s="114">
        <f t="shared" si="34"/>
        <v>0</v>
      </c>
      <c r="W247" s="298" t="s">
        <v>263</v>
      </c>
      <c r="X247" s="298" t="str">
        <f>IF(W247=Llistes!$B$18,Llistes!$D$18,IF(W247=Llistes!$B$20,Llistes!$D$20,IF(W247=Llistes!$B$22,Llistes!$D$22,IF(W247=Llistes!$B$23,Llistes!$D$23,IF(W247=Llistes!$B$24,Llistes!$D$24,IF(W247=Llistes!$B$28,Llistes!$D$28))))))</f>
        <v>Tècnic coordinador</v>
      </c>
      <c r="Y247" s="1" t="s">
        <v>275</v>
      </c>
      <c r="Z247" s="3" t="s">
        <v>265</v>
      </c>
      <c r="AA247" s="16" t="s">
        <v>266</v>
      </c>
      <c r="AB247" s="16" t="s">
        <v>266</v>
      </c>
      <c r="AC247" s="16" t="s">
        <v>266</v>
      </c>
      <c r="AD247" s="16" t="s">
        <v>266</v>
      </c>
    </row>
    <row r="248" spans="1:30" ht="30">
      <c r="A248" s="23" t="s">
        <v>759</v>
      </c>
      <c r="B248" s="58">
        <v>16</v>
      </c>
      <c r="C248" s="57" t="s">
        <v>786</v>
      </c>
      <c r="D248" s="169" t="s">
        <v>823</v>
      </c>
      <c r="E248" s="78" t="s">
        <v>824</v>
      </c>
      <c r="F248" s="89" t="s">
        <v>825</v>
      </c>
      <c r="G248" s="112" t="s">
        <v>826</v>
      </c>
      <c r="H248" s="91" t="s">
        <v>259</v>
      </c>
      <c r="I248" s="91" t="s">
        <v>281</v>
      </c>
      <c r="J248" s="92" t="str">
        <f t="shared" si="33"/>
        <v>Optimitzar l'elaboració d'informes</v>
      </c>
      <c r="K248" s="92"/>
      <c r="L248" s="60" t="s">
        <v>52</v>
      </c>
      <c r="M248" s="94" t="s">
        <v>274</v>
      </c>
      <c r="O248" s="92" t="s">
        <v>827</v>
      </c>
      <c r="P248" s="95"/>
      <c r="Q248" s="99"/>
      <c r="R248" s="288" t="s">
        <v>828</v>
      </c>
      <c r="S248" s="285"/>
      <c r="T248" s="285">
        <v>125</v>
      </c>
      <c r="U248" s="97"/>
      <c r="V248" s="114">
        <f t="shared" si="34"/>
        <v>0</v>
      </c>
      <c r="W248" s="298" t="s">
        <v>815</v>
      </c>
      <c r="X248" s="298" t="str">
        <f>IF(W248=Llistes!$B$18,Llistes!$D$18,IF(W248=Llistes!$B$20,Llistes!$D$20,IF(W248=Llistes!$B$22,Llistes!$D$22,IF(W248=Llistes!$B$23,Llistes!$D$23,IF(W248=Llistes!$B$24,Llistes!$D$24,IF(W248=Llistes!$B$28,Llistes!$D$28))))))</f>
        <v>Gestora administrativa</v>
      </c>
      <c r="Y248" s="1" t="s">
        <v>275</v>
      </c>
      <c r="Z248" s="3" t="s">
        <v>265</v>
      </c>
      <c r="AA248" s="16" t="s">
        <v>266</v>
      </c>
      <c r="AB248" s="16" t="s">
        <v>266</v>
      </c>
      <c r="AC248" s="16" t="s">
        <v>266</v>
      </c>
      <c r="AD248" s="16" t="s">
        <v>266</v>
      </c>
    </row>
    <row r="249" spans="1:30" ht="30">
      <c r="A249" s="23" t="s">
        <v>759</v>
      </c>
      <c r="B249" s="58">
        <v>16</v>
      </c>
      <c r="C249" s="57" t="s">
        <v>786</v>
      </c>
      <c r="D249" s="169" t="s">
        <v>823</v>
      </c>
      <c r="E249" s="78" t="s">
        <v>824</v>
      </c>
      <c r="F249" s="89" t="s">
        <v>825</v>
      </c>
      <c r="G249" s="112" t="s">
        <v>826</v>
      </c>
      <c r="H249" s="91" t="s">
        <v>259</v>
      </c>
      <c r="I249" s="91" t="s">
        <v>281</v>
      </c>
      <c r="J249" s="92" t="str">
        <f t="shared" ref="J249" si="39">G249</f>
        <v>Optimitzar l'elaboració d'informes</v>
      </c>
      <c r="K249" s="92"/>
      <c r="L249" s="60" t="s">
        <v>52</v>
      </c>
      <c r="M249" s="94" t="s">
        <v>274</v>
      </c>
      <c r="O249" s="92" t="s">
        <v>830</v>
      </c>
      <c r="P249" s="95"/>
      <c r="Q249" s="99"/>
      <c r="R249" s="288" t="s">
        <v>831</v>
      </c>
      <c r="S249" s="285"/>
      <c r="T249" s="285">
        <v>15</v>
      </c>
      <c r="U249" s="97"/>
      <c r="V249" s="114">
        <f t="shared" si="34"/>
        <v>0</v>
      </c>
      <c r="W249" s="298" t="s">
        <v>263</v>
      </c>
      <c r="X249" s="298" t="str">
        <f>IF(W249=Llistes!$B$18,Llistes!$D$18,IF(W249=Llistes!$B$20,Llistes!$D$20,IF(W249=Llistes!$B$22,Llistes!$D$22,IF(W249=Llistes!$B$23,Llistes!$D$23,IF(W249=Llistes!$B$24,Llistes!$D$24,IF(W249=Llistes!$B$28,Llistes!$D$28))))))</f>
        <v>Tècnic coordinador</v>
      </c>
      <c r="Y249" s="1" t="s">
        <v>275</v>
      </c>
      <c r="Z249" s="3" t="s">
        <v>265</v>
      </c>
      <c r="AA249" s="16" t="s">
        <v>266</v>
      </c>
      <c r="AB249" s="16" t="s">
        <v>266</v>
      </c>
      <c r="AC249" s="16" t="s">
        <v>266</v>
      </c>
      <c r="AD249" s="16" t="s">
        <v>266</v>
      </c>
    </row>
    <row r="250" spans="1:30" ht="75">
      <c r="A250" s="23" t="s">
        <v>759</v>
      </c>
      <c r="B250" s="58">
        <v>16</v>
      </c>
      <c r="C250" s="57" t="s">
        <v>786</v>
      </c>
      <c r="D250" s="169" t="s">
        <v>823</v>
      </c>
      <c r="E250" s="78" t="s">
        <v>824</v>
      </c>
      <c r="F250" s="89" t="s">
        <v>825</v>
      </c>
      <c r="G250" s="112" t="s">
        <v>826</v>
      </c>
      <c r="H250" s="91" t="s">
        <v>259</v>
      </c>
      <c r="I250" s="91" t="s">
        <v>281</v>
      </c>
      <c r="J250" s="92" t="str">
        <f t="shared" si="33"/>
        <v>Optimitzar l'elaboració d'informes</v>
      </c>
      <c r="K250" s="92" t="s">
        <v>832</v>
      </c>
      <c r="L250" s="60" t="s">
        <v>52</v>
      </c>
      <c r="M250" s="94" t="s">
        <v>274</v>
      </c>
      <c r="O250" s="92" t="s">
        <v>1258</v>
      </c>
      <c r="P250" s="95"/>
      <c r="Q250" s="96"/>
      <c r="R250" s="288" t="s">
        <v>833</v>
      </c>
      <c r="S250" s="285"/>
      <c r="T250" s="285">
        <v>25</v>
      </c>
      <c r="U250" s="97"/>
      <c r="V250" s="114">
        <f t="shared" si="34"/>
        <v>0</v>
      </c>
      <c r="W250" s="298" t="s">
        <v>263</v>
      </c>
      <c r="X250" s="298" t="str">
        <f>IF(W250=Llistes!$B$18,Llistes!$D$18,IF(W250=Llistes!$B$20,Llistes!$D$20,IF(W250=Llistes!$B$22,Llistes!$D$22,IF(W250=Llistes!$B$23,Llistes!$D$23,IF(W250=Llistes!$B$24,Llistes!$D$24,IF(W250=Llistes!$B$28,Llistes!$D$28))))))</f>
        <v>Tècnic coordinador</v>
      </c>
      <c r="Y250" s="1" t="s">
        <v>275</v>
      </c>
      <c r="Z250" s="3" t="s">
        <v>265</v>
      </c>
      <c r="AA250" s="16" t="s">
        <v>266</v>
      </c>
      <c r="AB250" s="16" t="s">
        <v>266</v>
      </c>
      <c r="AC250" s="16" t="s">
        <v>266</v>
      </c>
      <c r="AD250" s="16" t="s">
        <v>266</v>
      </c>
    </row>
    <row r="251" spans="1:30" ht="45">
      <c r="A251" s="23" t="s">
        <v>759</v>
      </c>
      <c r="B251" s="58">
        <v>16</v>
      </c>
      <c r="C251" s="57" t="s">
        <v>786</v>
      </c>
      <c r="D251" s="38" t="s">
        <v>803</v>
      </c>
      <c r="E251" s="79" t="s">
        <v>824</v>
      </c>
      <c r="F251" s="89" t="s">
        <v>829</v>
      </c>
      <c r="G251" s="90" t="s">
        <v>834</v>
      </c>
      <c r="H251" s="91" t="s">
        <v>259</v>
      </c>
      <c r="I251" s="91" t="s">
        <v>281</v>
      </c>
      <c r="J251" s="92" t="s">
        <v>834</v>
      </c>
      <c r="K251" s="92"/>
      <c r="L251" s="60" t="s">
        <v>52</v>
      </c>
      <c r="M251" s="94"/>
      <c r="O251" s="6" t="s">
        <v>1274</v>
      </c>
      <c r="P251" s="95"/>
      <c r="Q251" s="96"/>
      <c r="R251" s="103" t="s">
        <v>1270</v>
      </c>
      <c r="S251" s="285"/>
      <c r="T251" s="325" t="s">
        <v>182</v>
      </c>
      <c r="U251" s="97"/>
      <c r="V251" s="114">
        <f t="shared" si="34"/>
        <v>0</v>
      </c>
      <c r="W251" s="298" t="s">
        <v>835</v>
      </c>
      <c r="X251" s="298" t="s">
        <v>1189</v>
      </c>
      <c r="Y251" s="1" t="s">
        <v>275</v>
      </c>
      <c r="Z251" s="3" t="s">
        <v>265</v>
      </c>
      <c r="AA251" s="16" t="s">
        <v>266</v>
      </c>
      <c r="AB251" s="16" t="s">
        <v>266</v>
      </c>
      <c r="AC251" s="16" t="s">
        <v>266</v>
      </c>
      <c r="AD251" s="16" t="s">
        <v>266</v>
      </c>
    </row>
    <row r="252" spans="1:30" ht="60">
      <c r="A252" s="23" t="s">
        <v>759</v>
      </c>
      <c r="B252" s="58">
        <v>16</v>
      </c>
      <c r="C252" s="57" t="s">
        <v>786</v>
      </c>
      <c r="D252" s="38" t="s">
        <v>823</v>
      </c>
      <c r="E252" s="79" t="s">
        <v>824</v>
      </c>
      <c r="F252" s="89" t="s">
        <v>829</v>
      </c>
      <c r="G252" s="90" t="s">
        <v>834</v>
      </c>
      <c r="H252" s="91" t="s">
        <v>259</v>
      </c>
      <c r="I252" s="91" t="s">
        <v>281</v>
      </c>
      <c r="J252" s="92" t="s">
        <v>836</v>
      </c>
      <c r="K252" s="93"/>
      <c r="L252" s="60" t="s">
        <v>52</v>
      </c>
      <c r="M252" s="94" t="s">
        <v>274</v>
      </c>
      <c r="O252" s="92" t="s">
        <v>837</v>
      </c>
      <c r="P252" s="95"/>
      <c r="Q252" s="99" t="s">
        <v>838</v>
      </c>
      <c r="R252" s="103" t="s">
        <v>1270</v>
      </c>
      <c r="S252" s="285"/>
      <c r="T252" s="325" t="s">
        <v>182</v>
      </c>
      <c r="U252" s="97"/>
      <c r="V252" s="114">
        <f t="shared" si="34"/>
        <v>0</v>
      </c>
      <c r="W252" s="298" t="s">
        <v>815</v>
      </c>
      <c r="X252" s="298" t="str">
        <f>IF(W252=Llistes!$B$18,Llistes!$D$18,IF(W252=Llistes!$B$20,Llistes!$D$20,IF(W252=Llistes!$B$22,Llistes!$D$22,IF(W252=Llistes!$B$23,Llistes!$D$23,IF(W252=Llistes!$B$24,Llistes!$D$24,IF(W252=Llistes!$B$28,Llistes!$D$28))))))</f>
        <v>Gestora administrativa</v>
      </c>
      <c r="Y252" s="1" t="s">
        <v>275</v>
      </c>
      <c r="Z252" s="3" t="s">
        <v>265</v>
      </c>
      <c r="AA252" s="16" t="s">
        <v>266</v>
      </c>
      <c r="AB252" s="16" t="s">
        <v>266</v>
      </c>
      <c r="AC252" s="16" t="s">
        <v>266</v>
      </c>
      <c r="AD252" s="16" t="s">
        <v>266</v>
      </c>
    </row>
    <row r="253" spans="1:30" ht="97.5" customHeight="1">
      <c r="A253" s="23" t="s">
        <v>759</v>
      </c>
      <c r="B253" s="58">
        <v>16</v>
      </c>
      <c r="C253" s="57" t="s">
        <v>786</v>
      </c>
      <c r="D253" s="38" t="s">
        <v>823</v>
      </c>
      <c r="E253" s="79" t="s">
        <v>824</v>
      </c>
      <c r="F253" s="89" t="s">
        <v>839</v>
      </c>
      <c r="G253" s="112" t="s">
        <v>840</v>
      </c>
      <c r="H253" s="91" t="s">
        <v>259</v>
      </c>
      <c r="I253" s="91" t="s">
        <v>281</v>
      </c>
      <c r="J253" s="92" t="str">
        <f t="shared" si="33"/>
        <v>Augmentar el coneixement de l'equip de treball en matèria de procediment administratiu</v>
      </c>
      <c r="K253" s="93"/>
      <c r="L253" s="60" t="s">
        <v>52</v>
      </c>
      <c r="M253" s="94" t="s">
        <v>274</v>
      </c>
      <c r="O253" s="103" t="s">
        <v>1157</v>
      </c>
      <c r="P253" s="95"/>
      <c r="Q253" s="96"/>
      <c r="R253" s="288" t="s">
        <v>841</v>
      </c>
      <c r="S253" s="285">
        <v>2</v>
      </c>
      <c r="T253" s="285">
        <v>5</v>
      </c>
      <c r="U253" s="97"/>
      <c r="V253" s="114">
        <f t="shared" si="34"/>
        <v>0</v>
      </c>
      <c r="W253" s="298" t="s">
        <v>766</v>
      </c>
      <c r="X253" s="298" t="str">
        <f>IF(W253=Llistes!$B$18,Llistes!$D$18,IF(W253=Llistes!$B$20,Llistes!$D$20,IF(W253=Llistes!$B$22,Llistes!$D$22,IF(W253=Llistes!$B$23,Llistes!$D$23,IF(W253=Llistes!$B$24,Llistes!$D$24,IF(W253=Llistes!$B$28,Llistes!$D$28))))))</f>
        <v>Director</v>
      </c>
      <c r="Y253" s="1" t="s">
        <v>264</v>
      </c>
      <c r="Z253" s="3" t="s">
        <v>265</v>
      </c>
      <c r="AA253" s="16" t="s">
        <v>266</v>
      </c>
      <c r="AB253" s="16" t="s">
        <v>266</v>
      </c>
      <c r="AC253" s="16" t="s">
        <v>266</v>
      </c>
      <c r="AD253" s="16" t="s">
        <v>266</v>
      </c>
    </row>
    <row r="254" spans="1:30" ht="42.95" customHeight="1">
      <c r="A254" s="23" t="s">
        <v>759</v>
      </c>
      <c r="B254" s="58">
        <v>16</v>
      </c>
      <c r="C254" s="57" t="s">
        <v>786</v>
      </c>
      <c r="D254" s="38" t="s">
        <v>823</v>
      </c>
      <c r="E254" s="79" t="s">
        <v>824</v>
      </c>
      <c r="F254" s="89" t="s">
        <v>842</v>
      </c>
      <c r="G254" s="90" t="s">
        <v>843</v>
      </c>
      <c r="H254" s="91" t="s">
        <v>318</v>
      </c>
      <c r="I254" s="91" t="s">
        <v>281</v>
      </c>
      <c r="J254" s="92" t="str">
        <f t="shared" si="33"/>
        <v>Garantir la transparència administrativa</v>
      </c>
      <c r="K254" s="93"/>
      <c r="L254" s="60" t="s">
        <v>52</v>
      </c>
      <c r="M254" s="94" t="s">
        <v>274</v>
      </c>
      <c r="O254" s="103" t="s">
        <v>1259</v>
      </c>
      <c r="P254" s="95"/>
      <c r="Q254" s="96"/>
      <c r="R254" s="103" t="s">
        <v>1270</v>
      </c>
      <c r="S254" s="285"/>
      <c r="T254" s="325" t="s">
        <v>182</v>
      </c>
      <c r="U254" s="97"/>
      <c r="V254" s="114">
        <f t="shared" si="34"/>
        <v>0</v>
      </c>
      <c r="W254" s="298" t="s">
        <v>815</v>
      </c>
      <c r="X254" s="298" t="str">
        <f>IF(W254=Llistes!$B$18,Llistes!$D$18,IF(W254=Llistes!$B$20,Llistes!$D$20,IF(W254=Llistes!$B$22,Llistes!$D$22,IF(W254=Llistes!$B$23,Llistes!$D$23,IF(W254=Llistes!$B$24,Llistes!$D$24,IF(W254=Llistes!$B$28,Llistes!$D$28))))))</f>
        <v>Gestora administrativa</v>
      </c>
      <c r="Y254" s="1" t="s">
        <v>275</v>
      </c>
      <c r="Z254" s="3" t="s">
        <v>265</v>
      </c>
      <c r="AA254" s="16" t="s">
        <v>266</v>
      </c>
      <c r="AB254" s="16" t="s">
        <v>266</v>
      </c>
      <c r="AC254" s="16" t="s">
        <v>266</v>
      </c>
      <c r="AD254" s="16" t="s">
        <v>266</v>
      </c>
    </row>
    <row r="255" spans="1:30" ht="30">
      <c r="A255" s="23" t="s">
        <v>759</v>
      </c>
      <c r="B255" s="58">
        <v>16</v>
      </c>
      <c r="C255" s="57" t="s">
        <v>786</v>
      </c>
      <c r="D255" s="38" t="s">
        <v>823</v>
      </c>
      <c r="E255" s="79" t="s">
        <v>824</v>
      </c>
      <c r="F255" s="89" t="s">
        <v>842</v>
      </c>
      <c r="G255" s="90" t="s">
        <v>843</v>
      </c>
      <c r="H255" s="91" t="s">
        <v>318</v>
      </c>
      <c r="I255" s="91" t="s">
        <v>281</v>
      </c>
      <c r="J255" s="92" t="str">
        <f t="shared" ref="J255" si="40">G255</f>
        <v>Garantir la transparència administrativa</v>
      </c>
      <c r="K255" s="93"/>
      <c r="L255" s="60" t="s">
        <v>52</v>
      </c>
      <c r="M255" s="94" t="s">
        <v>274</v>
      </c>
      <c r="O255" s="103" t="s">
        <v>1260</v>
      </c>
      <c r="P255" s="95"/>
      <c r="Q255" s="96"/>
      <c r="R255" s="288" t="s">
        <v>844</v>
      </c>
      <c r="S255" s="285">
        <v>0</v>
      </c>
      <c r="T255" s="285">
        <v>5</v>
      </c>
      <c r="U255" s="97"/>
      <c r="V255" s="114">
        <f t="shared" si="34"/>
        <v>0</v>
      </c>
      <c r="W255" s="298" t="s">
        <v>815</v>
      </c>
      <c r="X255" s="298" t="str">
        <f>IF(W255=Llistes!$B$18,Llistes!$D$18,IF(W255=Llistes!$B$20,Llistes!$D$20,IF(W255=Llistes!$B$22,Llistes!$D$22,IF(W255=Llistes!$B$23,Llistes!$D$23,IF(W255=Llistes!$B$24,Llistes!$D$24,IF(W255=Llistes!$B$28,Llistes!$D$28))))))</f>
        <v>Gestora administrativa</v>
      </c>
      <c r="Y255" s="1" t="s">
        <v>275</v>
      </c>
      <c r="Z255" s="3" t="s">
        <v>265</v>
      </c>
      <c r="AA255" s="16" t="s">
        <v>266</v>
      </c>
      <c r="AB255" s="16" t="s">
        <v>266</v>
      </c>
      <c r="AC255" s="16" t="s">
        <v>266</v>
      </c>
      <c r="AD255" s="16" t="s">
        <v>266</v>
      </c>
    </row>
    <row r="256" spans="1:30" ht="30">
      <c r="A256" s="23" t="s">
        <v>759</v>
      </c>
      <c r="B256" s="58">
        <v>16</v>
      </c>
      <c r="C256" s="57" t="s">
        <v>786</v>
      </c>
      <c r="D256" s="38" t="s">
        <v>823</v>
      </c>
      <c r="E256" s="80" t="s">
        <v>824</v>
      </c>
      <c r="F256" s="89" t="s">
        <v>845</v>
      </c>
      <c r="G256" s="90" t="s">
        <v>846</v>
      </c>
      <c r="H256" s="91" t="s">
        <v>259</v>
      </c>
      <c r="I256" s="91" t="s">
        <v>346</v>
      </c>
      <c r="J256" s="92" t="str">
        <f t="shared" si="33"/>
        <v>Millorar i mantenir el material i infraestructures de gestió</v>
      </c>
      <c r="K256" s="93"/>
      <c r="L256" s="60" t="s">
        <v>52</v>
      </c>
      <c r="M256" s="94" t="s">
        <v>274</v>
      </c>
      <c r="O256" s="103" t="s">
        <v>847</v>
      </c>
      <c r="P256" s="95"/>
      <c r="Q256" s="90"/>
      <c r="R256" s="103" t="s">
        <v>1270</v>
      </c>
      <c r="S256" s="285"/>
      <c r="T256" s="325" t="s">
        <v>182</v>
      </c>
      <c r="U256" s="97"/>
      <c r="V256" s="114">
        <f t="shared" si="34"/>
        <v>0</v>
      </c>
      <c r="W256" s="298" t="s">
        <v>815</v>
      </c>
      <c r="X256" s="298" t="str">
        <f>IF(W256=Llistes!$B$18,Llistes!$D$18,IF(W256=Llistes!$B$20,Llistes!$D$20,IF(W256=Llistes!$B$22,Llistes!$D$22,IF(W256=Llistes!$B$23,Llistes!$D$23,IF(W256=Llistes!$B$24,Llistes!$D$24,IF(W256=Llistes!$B$28,Llistes!$D$28))))))</f>
        <v>Gestora administrativa</v>
      </c>
      <c r="Y256" s="1" t="s">
        <v>264</v>
      </c>
      <c r="Z256" s="3" t="s">
        <v>265</v>
      </c>
      <c r="AA256" s="16" t="s">
        <v>276</v>
      </c>
      <c r="AB256" s="16" t="s">
        <v>276</v>
      </c>
      <c r="AC256" s="16" t="s">
        <v>276</v>
      </c>
      <c r="AD256" s="16" t="s">
        <v>276</v>
      </c>
    </row>
    <row r="257" spans="1:30" ht="30">
      <c r="A257" s="23" t="s">
        <v>759</v>
      </c>
      <c r="B257" s="58">
        <v>16</v>
      </c>
      <c r="C257" s="57" t="s">
        <v>786</v>
      </c>
      <c r="D257" s="38" t="s">
        <v>823</v>
      </c>
      <c r="E257" s="80" t="s">
        <v>824</v>
      </c>
      <c r="F257" s="89" t="s">
        <v>845</v>
      </c>
      <c r="G257" s="90" t="s">
        <v>846</v>
      </c>
      <c r="H257" s="91" t="s">
        <v>259</v>
      </c>
      <c r="I257" s="91" t="s">
        <v>346</v>
      </c>
      <c r="J257" s="92" t="str">
        <f t="shared" ref="J257" si="41">G257</f>
        <v>Millorar i mantenir el material i infraestructures de gestió</v>
      </c>
      <c r="K257" s="93"/>
      <c r="L257" s="60" t="s">
        <v>52</v>
      </c>
      <c r="M257" s="94" t="s">
        <v>274</v>
      </c>
      <c r="O257" s="103" t="s">
        <v>848</v>
      </c>
      <c r="P257" s="95"/>
      <c r="Q257" s="90"/>
      <c r="R257" s="103" t="s">
        <v>1270</v>
      </c>
      <c r="S257" s="285"/>
      <c r="T257" s="325" t="s">
        <v>182</v>
      </c>
      <c r="U257" s="97"/>
      <c r="V257" s="114">
        <f t="shared" si="34"/>
        <v>0</v>
      </c>
      <c r="W257" s="298" t="s">
        <v>263</v>
      </c>
      <c r="X257" s="97" t="s">
        <v>849</v>
      </c>
      <c r="Y257" s="1" t="s">
        <v>275</v>
      </c>
      <c r="Z257" s="3" t="s">
        <v>265</v>
      </c>
      <c r="AA257" s="16" t="s">
        <v>276</v>
      </c>
      <c r="AB257" s="16" t="s">
        <v>276</v>
      </c>
      <c r="AC257" s="16" t="s">
        <v>276</v>
      </c>
      <c r="AD257" s="16" t="s">
        <v>276</v>
      </c>
    </row>
    <row r="258" spans="1:30" s="1" customFormat="1" ht="45">
      <c r="A258" s="23" t="s">
        <v>759</v>
      </c>
      <c r="B258" s="58">
        <v>16</v>
      </c>
      <c r="C258" s="57" t="s">
        <v>786</v>
      </c>
      <c r="D258" s="21" t="s">
        <v>850</v>
      </c>
      <c r="E258" s="77" t="s">
        <v>851</v>
      </c>
      <c r="F258" s="89" t="s">
        <v>852</v>
      </c>
      <c r="G258" s="90" t="s">
        <v>853</v>
      </c>
      <c r="H258" s="91" t="s">
        <v>259</v>
      </c>
      <c r="I258" s="91" t="s">
        <v>281</v>
      </c>
      <c r="J258" s="92" t="s">
        <v>854</v>
      </c>
      <c r="K258" s="93"/>
      <c r="L258" s="60" t="s">
        <v>52</v>
      </c>
      <c r="M258" s="94" t="s">
        <v>282</v>
      </c>
      <c r="N258" s="295"/>
      <c r="O258" s="103" t="s">
        <v>855</v>
      </c>
      <c r="P258" s="95"/>
      <c r="Q258" s="99" t="s">
        <v>856</v>
      </c>
      <c r="R258" s="103" t="s">
        <v>1270</v>
      </c>
      <c r="S258" s="291"/>
      <c r="T258" s="288" t="s">
        <v>182</v>
      </c>
      <c r="U258" s="113"/>
      <c r="V258" s="114">
        <f t="shared" si="34"/>
        <v>0</v>
      </c>
      <c r="W258" s="298" t="s">
        <v>815</v>
      </c>
      <c r="X258" s="97" t="s">
        <v>857</v>
      </c>
      <c r="Y258" s="1" t="s">
        <v>275</v>
      </c>
      <c r="Z258" s="3" t="s">
        <v>265</v>
      </c>
      <c r="AA258" s="289"/>
      <c r="AB258" s="289" t="s">
        <v>276</v>
      </c>
      <c r="AC258" s="289"/>
      <c r="AD258" s="289"/>
    </row>
    <row r="259" spans="1:30" s="1" customFormat="1" ht="45">
      <c r="A259" s="23" t="s">
        <v>759</v>
      </c>
      <c r="B259" s="58">
        <v>16</v>
      </c>
      <c r="C259" s="57" t="s">
        <v>786</v>
      </c>
      <c r="D259" s="21" t="s">
        <v>858</v>
      </c>
      <c r="E259" s="77" t="s">
        <v>851</v>
      </c>
      <c r="F259" s="89" t="s">
        <v>852</v>
      </c>
      <c r="G259" s="90" t="s">
        <v>853</v>
      </c>
      <c r="H259" s="91" t="s">
        <v>259</v>
      </c>
      <c r="I259" s="91" t="s">
        <v>281</v>
      </c>
      <c r="J259" s="92" t="s">
        <v>854</v>
      </c>
      <c r="K259" s="93"/>
      <c r="L259" s="60" t="s">
        <v>52</v>
      </c>
      <c r="M259" s="94" t="s">
        <v>282</v>
      </c>
      <c r="N259" s="295"/>
      <c r="O259" s="103" t="s">
        <v>859</v>
      </c>
      <c r="P259" s="95"/>
      <c r="Q259" s="99"/>
      <c r="R259" s="103" t="s">
        <v>1270</v>
      </c>
      <c r="S259" s="291"/>
      <c r="T259" s="288" t="s">
        <v>182</v>
      </c>
      <c r="U259" s="113"/>
      <c r="V259" s="114">
        <f t="shared" si="34"/>
        <v>0</v>
      </c>
      <c r="W259" s="298" t="s">
        <v>835</v>
      </c>
      <c r="X259" s="97" t="s">
        <v>1189</v>
      </c>
      <c r="Y259" s="1" t="s">
        <v>275</v>
      </c>
      <c r="Z259" s="3" t="s">
        <v>265</v>
      </c>
      <c r="AA259" s="289"/>
      <c r="AB259" s="289" t="s">
        <v>276</v>
      </c>
      <c r="AC259" s="289"/>
      <c r="AD259" s="289"/>
    </row>
    <row r="260" spans="1:30" ht="75">
      <c r="A260" s="23" t="s">
        <v>759</v>
      </c>
      <c r="B260" s="58">
        <v>16</v>
      </c>
      <c r="C260" s="57" t="s">
        <v>786</v>
      </c>
      <c r="D260" s="38" t="s">
        <v>850</v>
      </c>
      <c r="E260" s="80" t="s">
        <v>851</v>
      </c>
      <c r="F260" s="89" t="s">
        <v>861</v>
      </c>
      <c r="G260" s="90" t="s">
        <v>862</v>
      </c>
      <c r="H260" s="91" t="s">
        <v>259</v>
      </c>
      <c r="I260" s="91" t="s">
        <v>281</v>
      </c>
      <c r="J260" s="92" t="s">
        <v>863</v>
      </c>
      <c r="K260" s="93"/>
      <c r="L260" s="60" t="s">
        <v>52</v>
      </c>
      <c r="M260" s="94" t="s">
        <v>282</v>
      </c>
      <c r="O260" s="103" t="s">
        <v>1261</v>
      </c>
      <c r="P260" s="95"/>
      <c r="Q260" s="99" t="s">
        <v>864</v>
      </c>
      <c r="R260" s="103" t="s">
        <v>1270</v>
      </c>
      <c r="S260" s="285"/>
      <c r="T260" s="325" t="s">
        <v>182</v>
      </c>
      <c r="U260" s="97"/>
      <c r="V260" s="114">
        <f t="shared" si="34"/>
        <v>0</v>
      </c>
      <c r="W260" s="298" t="s">
        <v>815</v>
      </c>
      <c r="X260" s="97" t="s">
        <v>857</v>
      </c>
      <c r="Y260" s="1" t="s">
        <v>275</v>
      </c>
      <c r="Z260" s="3" t="s">
        <v>265</v>
      </c>
      <c r="AA260" s="16" t="s">
        <v>276</v>
      </c>
      <c r="AB260" s="16" t="s">
        <v>276</v>
      </c>
      <c r="AC260" s="16" t="s">
        <v>276</v>
      </c>
      <c r="AD260" s="16" t="s">
        <v>276</v>
      </c>
    </row>
    <row r="261" spans="1:30" ht="30">
      <c r="A261" s="23" t="s">
        <v>759</v>
      </c>
      <c r="B261" s="58">
        <v>16</v>
      </c>
      <c r="C261" s="57" t="s">
        <v>786</v>
      </c>
      <c r="D261" s="22" t="s">
        <v>865</v>
      </c>
      <c r="E261" s="81" t="s">
        <v>866</v>
      </c>
      <c r="F261" s="89" t="s">
        <v>1147</v>
      </c>
      <c r="G261" s="90" t="s">
        <v>867</v>
      </c>
      <c r="H261" s="91" t="s">
        <v>259</v>
      </c>
      <c r="I261" s="91" t="s">
        <v>281</v>
      </c>
      <c r="J261" s="92" t="s">
        <v>868</v>
      </c>
      <c r="K261" s="93"/>
      <c r="L261" s="60" t="s">
        <v>52</v>
      </c>
      <c r="M261" s="94" t="s">
        <v>430</v>
      </c>
      <c r="O261" s="60" t="s">
        <v>1262</v>
      </c>
      <c r="P261" s="93"/>
      <c r="Q261" s="92"/>
      <c r="R261" s="103" t="s">
        <v>1270</v>
      </c>
      <c r="S261" s="285"/>
      <c r="T261" s="325" t="s">
        <v>182</v>
      </c>
      <c r="U261" s="97"/>
      <c r="V261" s="114">
        <f t="shared" si="34"/>
        <v>0</v>
      </c>
      <c r="W261" s="298" t="s">
        <v>815</v>
      </c>
      <c r="X261" s="97" t="s">
        <v>857</v>
      </c>
      <c r="Y261" s="1" t="s">
        <v>275</v>
      </c>
      <c r="Z261" s="3" t="s">
        <v>265</v>
      </c>
      <c r="AA261" s="16" t="s">
        <v>276</v>
      </c>
      <c r="AB261" s="16" t="s">
        <v>276</v>
      </c>
      <c r="AC261" s="16" t="s">
        <v>276</v>
      </c>
      <c r="AD261" s="16" t="s">
        <v>276</v>
      </c>
    </row>
    <row r="262" spans="1:30" ht="45">
      <c r="A262" s="23" t="s">
        <v>759</v>
      </c>
      <c r="B262" s="58">
        <v>16</v>
      </c>
      <c r="C262" s="57" t="s">
        <v>786</v>
      </c>
      <c r="D262" s="22" t="s">
        <v>865</v>
      </c>
      <c r="E262" s="81" t="s">
        <v>866</v>
      </c>
      <c r="F262" s="89" t="s">
        <v>1147</v>
      </c>
      <c r="G262" s="90" t="s">
        <v>867</v>
      </c>
      <c r="H262" s="91" t="s">
        <v>259</v>
      </c>
      <c r="I262" s="91" t="s">
        <v>281</v>
      </c>
      <c r="J262" s="92" t="s">
        <v>868</v>
      </c>
      <c r="K262" s="93"/>
      <c r="L262" s="60" t="s">
        <v>52</v>
      </c>
      <c r="M262" s="94" t="s">
        <v>430</v>
      </c>
      <c r="O262" s="60" t="s">
        <v>1263</v>
      </c>
      <c r="P262" s="93"/>
      <c r="Q262" s="92"/>
      <c r="R262" s="103" t="s">
        <v>1270</v>
      </c>
      <c r="S262" s="285"/>
      <c r="T262" s="325" t="s">
        <v>182</v>
      </c>
      <c r="U262" s="97"/>
      <c r="V262" s="114">
        <f t="shared" ref="V262:V276" si="42">U262*4</f>
        <v>0</v>
      </c>
      <c r="W262" s="298" t="s">
        <v>815</v>
      </c>
      <c r="X262" s="97" t="s">
        <v>857</v>
      </c>
      <c r="Y262" s="1" t="s">
        <v>275</v>
      </c>
      <c r="Z262" s="3" t="s">
        <v>265</v>
      </c>
      <c r="AA262" s="16" t="s">
        <v>276</v>
      </c>
      <c r="AB262" s="16" t="s">
        <v>276</v>
      </c>
      <c r="AC262" s="16" t="s">
        <v>276</v>
      </c>
      <c r="AD262" s="16" t="s">
        <v>276</v>
      </c>
    </row>
    <row r="263" spans="1:30" ht="72.95" customHeight="1">
      <c r="A263" s="23" t="s">
        <v>759</v>
      </c>
      <c r="B263" s="58">
        <v>16</v>
      </c>
      <c r="C263" s="57" t="s">
        <v>786</v>
      </c>
      <c r="D263" s="22" t="s">
        <v>865</v>
      </c>
      <c r="E263" s="81" t="s">
        <v>866</v>
      </c>
      <c r="F263" s="89" t="s">
        <v>1147</v>
      </c>
      <c r="G263" s="90" t="s">
        <v>867</v>
      </c>
      <c r="H263" s="91" t="s">
        <v>259</v>
      </c>
      <c r="I263" s="91" t="s">
        <v>281</v>
      </c>
      <c r="J263" s="92" t="s">
        <v>868</v>
      </c>
      <c r="K263" s="93"/>
      <c r="L263" s="60" t="s">
        <v>52</v>
      </c>
      <c r="M263" s="94" t="s">
        <v>430</v>
      </c>
      <c r="O263" s="60" t="s">
        <v>1264</v>
      </c>
      <c r="P263" s="93"/>
      <c r="Q263" s="92"/>
      <c r="R263" s="103" t="s">
        <v>1270</v>
      </c>
      <c r="S263" s="285"/>
      <c r="T263" s="325" t="s">
        <v>182</v>
      </c>
      <c r="U263" s="97"/>
      <c r="V263" s="114">
        <f t="shared" si="42"/>
        <v>0</v>
      </c>
      <c r="W263" s="298" t="s">
        <v>263</v>
      </c>
      <c r="X263" s="97" t="s">
        <v>849</v>
      </c>
      <c r="Y263" s="1" t="s">
        <v>275</v>
      </c>
      <c r="Z263" s="3" t="s">
        <v>265</v>
      </c>
      <c r="AB263" s="16" t="s">
        <v>276</v>
      </c>
    </row>
    <row r="264" spans="1:30" ht="45">
      <c r="A264" s="23" t="s">
        <v>759</v>
      </c>
      <c r="B264" s="58">
        <v>16</v>
      </c>
      <c r="C264" s="57" t="s">
        <v>786</v>
      </c>
      <c r="D264" s="169" t="s">
        <v>865</v>
      </c>
      <c r="E264" s="170" t="s">
        <v>869</v>
      </c>
      <c r="F264" s="89" t="s">
        <v>870</v>
      </c>
      <c r="G264" s="90" t="s">
        <v>871</v>
      </c>
      <c r="H264" s="91" t="s">
        <v>318</v>
      </c>
      <c r="I264" s="91" t="s">
        <v>281</v>
      </c>
      <c r="J264" s="92" t="str">
        <f t="shared" si="33"/>
        <v>Gestió de la brigada de manteniment</v>
      </c>
      <c r="K264" s="93"/>
      <c r="L264" s="60" t="s">
        <v>52</v>
      </c>
      <c r="M264" s="94" t="s">
        <v>282</v>
      </c>
      <c r="O264" s="60" t="s">
        <v>1265</v>
      </c>
      <c r="P264" s="93"/>
      <c r="Q264" s="92"/>
      <c r="R264" s="103" t="s">
        <v>1270</v>
      </c>
      <c r="S264" s="285"/>
      <c r="T264" s="325" t="s">
        <v>182</v>
      </c>
      <c r="U264" s="97"/>
      <c r="V264" s="114">
        <f t="shared" si="42"/>
        <v>0</v>
      </c>
      <c r="W264" s="298" t="s">
        <v>263</v>
      </c>
      <c r="X264" s="97" t="s">
        <v>849</v>
      </c>
      <c r="Y264" s="1" t="s">
        <v>264</v>
      </c>
      <c r="Z264" s="3" t="s">
        <v>265</v>
      </c>
      <c r="AA264" s="16" t="s">
        <v>276</v>
      </c>
      <c r="AB264" s="16" t="s">
        <v>276</v>
      </c>
      <c r="AC264" s="16" t="s">
        <v>276</v>
      </c>
      <c r="AD264" s="16" t="s">
        <v>276</v>
      </c>
    </row>
    <row r="265" spans="1:30" ht="30">
      <c r="A265" s="23" t="s">
        <v>759</v>
      </c>
      <c r="B265" s="58">
        <v>16</v>
      </c>
      <c r="C265" s="57" t="s">
        <v>786</v>
      </c>
      <c r="D265" s="169" t="s">
        <v>865</v>
      </c>
      <c r="E265" s="170" t="s">
        <v>869</v>
      </c>
      <c r="F265" s="89" t="s">
        <v>870</v>
      </c>
      <c r="G265" s="90" t="s">
        <v>871</v>
      </c>
      <c r="H265" s="91" t="s">
        <v>318</v>
      </c>
      <c r="I265" s="91" t="s">
        <v>281</v>
      </c>
      <c r="J265" s="92" t="str">
        <f t="shared" ref="J265" si="43">G265</f>
        <v>Gestió de la brigada de manteniment</v>
      </c>
      <c r="K265" s="93"/>
      <c r="L265" s="60" t="s">
        <v>52</v>
      </c>
      <c r="M265" s="94" t="s">
        <v>282</v>
      </c>
      <c r="O265" s="60" t="s">
        <v>1266</v>
      </c>
      <c r="P265" s="95"/>
      <c r="Q265" s="96"/>
      <c r="R265" s="103" t="s">
        <v>1270</v>
      </c>
      <c r="S265" s="285"/>
      <c r="T265" s="325" t="s">
        <v>182</v>
      </c>
      <c r="U265" s="97"/>
      <c r="V265" s="114">
        <f t="shared" si="42"/>
        <v>0</v>
      </c>
      <c r="W265" s="298" t="s">
        <v>263</v>
      </c>
      <c r="X265" s="97" t="s">
        <v>849</v>
      </c>
      <c r="Y265" s="1" t="s">
        <v>264</v>
      </c>
      <c r="Z265" s="3" t="s">
        <v>265</v>
      </c>
      <c r="AA265" s="16" t="s">
        <v>276</v>
      </c>
      <c r="AB265" s="16" t="s">
        <v>276</v>
      </c>
      <c r="AC265" s="16" t="s">
        <v>276</v>
      </c>
      <c r="AD265" s="16" t="s">
        <v>276</v>
      </c>
    </row>
    <row r="266" spans="1:30" ht="75">
      <c r="A266" s="23" t="s">
        <v>759</v>
      </c>
      <c r="B266" s="58">
        <v>16</v>
      </c>
      <c r="C266" s="57" t="s">
        <v>786</v>
      </c>
      <c r="D266" s="169" t="s">
        <v>865</v>
      </c>
      <c r="E266" s="171" t="s">
        <v>869</v>
      </c>
      <c r="F266" s="89" t="s">
        <v>872</v>
      </c>
      <c r="G266" s="90" t="s">
        <v>873</v>
      </c>
      <c r="H266" s="91" t="s">
        <v>318</v>
      </c>
      <c r="I266" s="91" t="s">
        <v>281</v>
      </c>
      <c r="J266" s="92" t="str">
        <f t="shared" si="33"/>
        <v>Gestió de personal</v>
      </c>
      <c r="K266" s="93"/>
      <c r="L266" s="60" t="s">
        <v>52</v>
      </c>
      <c r="M266" s="94" t="s">
        <v>282</v>
      </c>
      <c r="O266" s="60" t="s">
        <v>874</v>
      </c>
      <c r="P266" s="60" t="s">
        <v>875</v>
      </c>
      <c r="Q266" s="292">
        <v>1</v>
      </c>
      <c r="R266" s="103" t="s">
        <v>1270</v>
      </c>
      <c r="S266" s="285"/>
      <c r="T266" s="325" t="s">
        <v>182</v>
      </c>
      <c r="U266" s="97"/>
      <c r="V266" s="114">
        <f t="shared" si="42"/>
        <v>0</v>
      </c>
      <c r="W266" s="298" t="s">
        <v>766</v>
      </c>
      <c r="X266" s="97" t="s">
        <v>876</v>
      </c>
      <c r="Y266" s="1" t="s">
        <v>275</v>
      </c>
      <c r="Z266" s="3" t="s">
        <v>265</v>
      </c>
      <c r="AA266" s="16" t="s">
        <v>276</v>
      </c>
      <c r="AB266" s="16" t="s">
        <v>276</v>
      </c>
      <c r="AC266" s="16" t="s">
        <v>276</v>
      </c>
      <c r="AD266" s="16" t="s">
        <v>276</v>
      </c>
    </row>
    <row r="267" spans="1:30" ht="30">
      <c r="A267" s="23" t="s">
        <v>759</v>
      </c>
      <c r="B267" s="58">
        <v>16</v>
      </c>
      <c r="C267" s="57" t="s">
        <v>786</v>
      </c>
      <c r="D267" s="169" t="s">
        <v>865</v>
      </c>
      <c r="E267" s="171" t="s">
        <v>869</v>
      </c>
      <c r="F267" s="89" t="s">
        <v>872</v>
      </c>
      <c r="G267" s="90" t="s">
        <v>873</v>
      </c>
      <c r="H267" s="91" t="s">
        <v>318</v>
      </c>
      <c r="I267" s="91" t="s">
        <v>281</v>
      </c>
      <c r="J267" s="92" t="str">
        <f t="shared" ref="J267:J269" si="44">G267</f>
        <v>Gestió de personal</v>
      </c>
      <c r="K267" s="93"/>
      <c r="L267" s="60" t="s">
        <v>52</v>
      </c>
      <c r="M267" s="94" t="s">
        <v>261</v>
      </c>
      <c r="O267" s="60" t="s">
        <v>1267</v>
      </c>
      <c r="P267" s="94"/>
      <c r="Q267" s="296"/>
      <c r="R267" s="288" t="s">
        <v>291</v>
      </c>
      <c r="S267" s="285"/>
      <c r="T267" s="297">
        <v>44</v>
      </c>
      <c r="U267" s="97"/>
      <c r="V267" s="114">
        <f t="shared" si="42"/>
        <v>0</v>
      </c>
      <c r="W267" s="298" t="s">
        <v>766</v>
      </c>
      <c r="X267" s="97" t="s">
        <v>876</v>
      </c>
      <c r="Y267" s="1" t="s">
        <v>275</v>
      </c>
      <c r="Z267" s="3" t="s">
        <v>265</v>
      </c>
      <c r="AA267" s="16" t="s">
        <v>276</v>
      </c>
      <c r="AB267" s="16" t="s">
        <v>276</v>
      </c>
      <c r="AC267" s="16" t="s">
        <v>276</v>
      </c>
      <c r="AD267" s="16" t="s">
        <v>276</v>
      </c>
    </row>
    <row r="268" spans="1:30" ht="30">
      <c r="A268" s="23" t="s">
        <v>759</v>
      </c>
      <c r="B268" s="58">
        <v>16</v>
      </c>
      <c r="C268" s="57" t="s">
        <v>786</v>
      </c>
      <c r="D268" s="169" t="s">
        <v>865</v>
      </c>
      <c r="E268" s="171" t="s">
        <v>869</v>
      </c>
      <c r="F268" s="89" t="s">
        <v>872</v>
      </c>
      <c r="G268" s="90" t="s">
        <v>873</v>
      </c>
      <c r="H268" s="91" t="s">
        <v>318</v>
      </c>
      <c r="I268" s="91" t="s">
        <v>281</v>
      </c>
      <c r="J268" s="92" t="str">
        <f t="shared" si="44"/>
        <v>Gestió de personal</v>
      </c>
      <c r="K268" s="93"/>
      <c r="L268" s="60" t="s">
        <v>52</v>
      </c>
      <c r="M268" s="94" t="s">
        <v>282</v>
      </c>
      <c r="O268" s="60" t="s">
        <v>877</v>
      </c>
      <c r="P268" s="60"/>
      <c r="Q268" s="292"/>
      <c r="R268" s="288" t="s">
        <v>291</v>
      </c>
      <c r="S268" s="285"/>
      <c r="T268" s="285">
        <v>44</v>
      </c>
      <c r="U268" s="97"/>
      <c r="V268" s="114">
        <f t="shared" si="42"/>
        <v>0</v>
      </c>
      <c r="W268" s="298" t="s">
        <v>263</v>
      </c>
      <c r="X268" s="97" t="s">
        <v>849</v>
      </c>
      <c r="Y268" s="1" t="s">
        <v>275</v>
      </c>
      <c r="Z268" s="3" t="s">
        <v>265</v>
      </c>
      <c r="AA268" s="16" t="s">
        <v>276</v>
      </c>
      <c r="AB268" s="16" t="s">
        <v>276</v>
      </c>
      <c r="AC268" s="16" t="s">
        <v>276</v>
      </c>
      <c r="AD268" s="16" t="s">
        <v>276</v>
      </c>
    </row>
    <row r="269" spans="1:30" ht="30">
      <c r="A269" s="23" t="s">
        <v>759</v>
      </c>
      <c r="B269" s="58">
        <v>16</v>
      </c>
      <c r="C269" s="57" t="s">
        <v>786</v>
      </c>
      <c r="D269" s="169" t="s">
        <v>865</v>
      </c>
      <c r="E269" s="171" t="s">
        <v>869</v>
      </c>
      <c r="F269" s="89" t="s">
        <v>872</v>
      </c>
      <c r="G269" s="90" t="s">
        <v>873</v>
      </c>
      <c r="H269" s="91" t="s">
        <v>318</v>
      </c>
      <c r="I269" s="91" t="s">
        <v>281</v>
      </c>
      <c r="J269" s="92" t="str">
        <f t="shared" si="44"/>
        <v>Gestió de personal</v>
      </c>
      <c r="K269" s="93"/>
      <c r="L269" s="60" t="s">
        <v>52</v>
      </c>
      <c r="M269" s="94" t="s">
        <v>274</v>
      </c>
      <c r="O269" s="60" t="s">
        <v>878</v>
      </c>
      <c r="P269" s="60"/>
      <c r="Q269" s="292"/>
      <c r="R269" s="103" t="s">
        <v>1270</v>
      </c>
      <c r="S269" s="285"/>
      <c r="T269" s="325" t="s">
        <v>182</v>
      </c>
      <c r="U269" s="97"/>
      <c r="V269" s="114">
        <f t="shared" si="42"/>
        <v>0</v>
      </c>
      <c r="W269" s="298" t="s">
        <v>815</v>
      </c>
      <c r="X269" s="97" t="s">
        <v>857</v>
      </c>
      <c r="Y269" s="1" t="s">
        <v>275</v>
      </c>
      <c r="Z269" s="3" t="s">
        <v>265</v>
      </c>
      <c r="AA269" s="16" t="s">
        <v>276</v>
      </c>
      <c r="AB269" s="16" t="s">
        <v>276</v>
      </c>
      <c r="AC269" s="16" t="s">
        <v>276</v>
      </c>
      <c r="AD269" s="16" t="s">
        <v>276</v>
      </c>
    </row>
    <row r="270" spans="1:30" ht="30">
      <c r="A270" s="23" t="s">
        <v>759</v>
      </c>
      <c r="B270" s="58">
        <v>16</v>
      </c>
      <c r="C270" s="57" t="s">
        <v>786</v>
      </c>
      <c r="D270" s="169" t="s">
        <v>865</v>
      </c>
      <c r="E270" s="171" t="s">
        <v>869</v>
      </c>
      <c r="F270" s="89" t="s">
        <v>872</v>
      </c>
      <c r="G270" s="90" t="s">
        <v>873</v>
      </c>
      <c r="H270" s="91" t="s">
        <v>318</v>
      </c>
      <c r="I270" s="91" t="s">
        <v>281</v>
      </c>
      <c r="J270" s="92" t="str">
        <f t="shared" ref="J270" si="45">G270</f>
        <v>Gestió de personal</v>
      </c>
      <c r="K270" s="93"/>
      <c r="L270" s="60" t="s">
        <v>52</v>
      </c>
      <c r="M270" s="94" t="s">
        <v>274</v>
      </c>
      <c r="O270" s="60" t="s">
        <v>879</v>
      </c>
      <c r="P270" s="60"/>
      <c r="Q270" s="292"/>
      <c r="R270" s="103" t="s">
        <v>1270</v>
      </c>
      <c r="S270" s="285"/>
      <c r="T270" s="325" t="s">
        <v>182</v>
      </c>
      <c r="U270" s="97"/>
      <c r="V270" s="114">
        <f t="shared" si="42"/>
        <v>0</v>
      </c>
      <c r="W270" s="298" t="s">
        <v>263</v>
      </c>
      <c r="X270" s="97"/>
      <c r="Y270" s="1" t="s">
        <v>275</v>
      </c>
      <c r="Z270" s="3" t="s">
        <v>265</v>
      </c>
      <c r="AA270" s="16" t="s">
        <v>276</v>
      </c>
      <c r="AD270" s="16" t="s">
        <v>276</v>
      </c>
    </row>
    <row r="271" spans="1:30" ht="30">
      <c r="A271" s="23" t="s">
        <v>759</v>
      </c>
      <c r="B271" s="58">
        <v>16</v>
      </c>
      <c r="C271" s="57" t="s">
        <v>786</v>
      </c>
      <c r="D271" s="169" t="s">
        <v>865</v>
      </c>
      <c r="E271" s="171" t="s">
        <v>869</v>
      </c>
      <c r="F271" s="89" t="s">
        <v>872</v>
      </c>
      <c r="G271" s="90" t="s">
        <v>873</v>
      </c>
      <c r="H271" s="91" t="s">
        <v>318</v>
      </c>
      <c r="I271" s="91" t="s">
        <v>281</v>
      </c>
      <c r="J271" s="92" t="str">
        <f t="shared" ref="J271" si="46">G271</f>
        <v>Gestió de personal</v>
      </c>
      <c r="K271" s="93"/>
      <c r="L271" s="60" t="s">
        <v>52</v>
      </c>
      <c r="M271" s="94" t="s">
        <v>274</v>
      </c>
      <c r="O271" s="60" t="s">
        <v>1177</v>
      </c>
      <c r="P271" s="60"/>
      <c r="Q271" s="292"/>
      <c r="R271" s="103" t="s">
        <v>1270</v>
      </c>
      <c r="S271" s="285"/>
      <c r="T271" s="325" t="s">
        <v>182</v>
      </c>
      <c r="U271" s="97"/>
      <c r="V271" s="114">
        <f t="shared" si="42"/>
        <v>0</v>
      </c>
      <c r="W271" s="298" t="s">
        <v>813</v>
      </c>
      <c r="X271" s="97"/>
    </row>
    <row r="272" spans="1:30" ht="30">
      <c r="A272" s="23" t="s">
        <v>759</v>
      </c>
      <c r="B272" s="58">
        <v>16</v>
      </c>
      <c r="C272" s="57" t="s">
        <v>786</v>
      </c>
      <c r="D272" s="169" t="s">
        <v>865</v>
      </c>
      <c r="E272" s="171" t="s">
        <v>869</v>
      </c>
      <c r="F272" s="89" t="s">
        <v>872</v>
      </c>
      <c r="G272" s="90" t="s">
        <v>873</v>
      </c>
      <c r="H272" s="91" t="s">
        <v>318</v>
      </c>
      <c r="I272" s="91" t="s">
        <v>281</v>
      </c>
      <c r="J272" s="92" t="str">
        <f t="shared" ref="J272:J273" si="47">G272</f>
        <v>Gestió de personal</v>
      </c>
      <c r="K272" s="93"/>
      <c r="L272" s="60" t="s">
        <v>52</v>
      </c>
      <c r="M272" s="94" t="s">
        <v>274</v>
      </c>
      <c r="O272" s="60" t="s">
        <v>880</v>
      </c>
      <c r="P272" s="60" t="s">
        <v>881</v>
      </c>
      <c r="Q272" s="292">
        <v>1</v>
      </c>
      <c r="R272" s="60" t="s">
        <v>881</v>
      </c>
      <c r="S272" s="285"/>
      <c r="T272" s="285">
        <v>0</v>
      </c>
      <c r="U272" s="97"/>
      <c r="V272" s="114">
        <f t="shared" si="42"/>
        <v>0</v>
      </c>
      <c r="W272" s="298" t="s">
        <v>766</v>
      </c>
      <c r="X272" s="97" t="s">
        <v>876</v>
      </c>
      <c r="Y272" s="1" t="s">
        <v>275</v>
      </c>
      <c r="Z272" s="3" t="s">
        <v>265</v>
      </c>
      <c r="AA272" s="16" t="s">
        <v>276</v>
      </c>
      <c r="AB272" s="16" t="s">
        <v>276</v>
      </c>
      <c r="AC272" s="16" t="s">
        <v>276</v>
      </c>
      <c r="AD272" s="16" t="s">
        <v>276</v>
      </c>
    </row>
    <row r="273" spans="1:30" ht="45">
      <c r="A273" s="23" t="s">
        <v>759</v>
      </c>
      <c r="B273" s="58">
        <v>16</v>
      </c>
      <c r="C273" s="57" t="s">
        <v>786</v>
      </c>
      <c r="D273" s="169" t="s">
        <v>865</v>
      </c>
      <c r="E273" s="171" t="s">
        <v>869</v>
      </c>
      <c r="F273" s="89" t="s">
        <v>872</v>
      </c>
      <c r="G273" s="90" t="s">
        <v>873</v>
      </c>
      <c r="H273" s="91" t="s">
        <v>318</v>
      </c>
      <c r="I273" s="91" t="s">
        <v>281</v>
      </c>
      <c r="J273" s="92" t="str">
        <f t="shared" si="47"/>
        <v>Gestió de personal</v>
      </c>
      <c r="K273" s="93"/>
      <c r="L273" s="60" t="s">
        <v>52</v>
      </c>
      <c r="M273" s="94" t="s">
        <v>430</v>
      </c>
      <c r="O273" s="60" t="s">
        <v>882</v>
      </c>
      <c r="P273" s="60" t="s">
        <v>883</v>
      </c>
      <c r="Q273" s="292"/>
      <c r="R273" s="103" t="s">
        <v>1270</v>
      </c>
      <c r="S273" s="285"/>
      <c r="T273" s="325" t="s">
        <v>182</v>
      </c>
      <c r="U273" s="97"/>
      <c r="V273" s="114">
        <f t="shared" si="42"/>
        <v>0</v>
      </c>
      <c r="W273" s="298" t="s">
        <v>766</v>
      </c>
      <c r="X273" s="97" t="s">
        <v>876</v>
      </c>
      <c r="Y273" s="1" t="s">
        <v>275</v>
      </c>
      <c r="Z273" s="3" t="s">
        <v>265</v>
      </c>
      <c r="AA273" s="16" t="s">
        <v>276</v>
      </c>
      <c r="AB273" s="16" t="s">
        <v>276</v>
      </c>
      <c r="AC273" s="16" t="s">
        <v>276</v>
      </c>
      <c r="AD273" s="16" t="s">
        <v>276</v>
      </c>
    </row>
    <row r="274" spans="1:30" ht="30">
      <c r="A274" s="23" t="s">
        <v>759</v>
      </c>
      <c r="B274" s="58">
        <v>16</v>
      </c>
      <c r="C274" s="57" t="s">
        <v>786</v>
      </c>
      <c r="D274" s="169" t="s">
        <v>865</v>
      </c>
      <c r="E274" s="171" t="s">
        <v>869</v>
      </c>
      <c r="F274" s="89" t="s">
        <v>872</v>
      </c>
      <c r="G274" s="90" t="s">
        <v>873</v>
      </c>
      <c r="H274" s="91" t="s">
        <v>318</v>
      </c>
      <c r="I274" s="91" t="s">
        <v>281</v>
      </c>
      <c r="J274" s="92" t="str">
        <f t="shared" ref="J274" si="48">G274</f>
        <v>Gestió de personal</v>
      </c>
      <c r="K274" s="93"/>
      <c r="L274" s="60" t="s">
        <v>52</v>
      </c>
      <c r="M274" s="94" t="s">
        <v>282</v>
      </c>
      <c r="O274" s="60" t="s">
        <v>884</v>
      </c>
      <c r="P274" s="60"/>
      <c r="Q274" s="292"/>
      <c r="R274" s="103" t="s">
        <v>1270</v>
      </c>
      <c r="S274" s="285"/>
      <c r="T274" s="325" t="s">
        <v>182</v>
      </c>
      <c r="U274" s="97"/>
      <c r="V274" s="114">
        <f t="shared" si="42"/>
        <v>0</v>
      </c>
      <c r="W274" s="298" t="s">
        <v>263</v>
      </c>
      <c r="X274" s="97" t="s">
        <v>849</v>
      </c>
      <c r="Y274" s="1" t="s">
        <v>275</v>
      </c>
      <c r="Z274" s="3" t="s">
        <v>265</v>
      </c>
      <c r="AA274" s="16" t="s">
        <v>276</v>
      </c>
      <c r="AB274" s="16" t="s">
        <v>276</v>
      </c>
      <c r="AC274" s="16" t="s">
        <v>276</v>
      </c>
      <c r="AD274" s="16" t="s">
        <v>276</v>
      </c>
    </row>
    <row r="275" spans="1:30" ht="30">
      <c r="A275" s="23" t="s">
        <v>759</v>
      </c>
      <c r="B275" s="58">
        <v>16</v>
      </c>
      <c r="C275" s="57" t="s">
        <v>786</v>
      </c>
      <c r="D275" s="169" t="s">
        <v>865</v>
      </c>
      <c r="E275" s="171" t="s">
        <v>869</v>
      </c>
      <c r="F275" s="89" t="s">
        <v>872</v>
      </c>
      <c r="G275" s="90" t="s">
        <v>873</v>
      </c>
      <c r="H275" s="91" t="s">
        <v>318</v>
      </c>
      <c r="I275" s="91" t="s">
        <v>281</v>
      </c>
      <c r="J275" s="92" t="str">
        <f t="shared" ref="J275" si="49">G275</f>
        <v>Gestió de personal</v>
      </c>
      <c r="K275" s="93"/>
      <c r="L275" s="60" t="s">
        <v>52</v>
      </c>
      <c r="M275" s="94" t="s">
        <v>274</v>
      </c>
      <c r="O275" s="60" t="s">
        <v>1268</v>
      </c>
      <c r="P275" s="60"/>
      <c r="Q275" s="292"/>
      <c r="R275" s="103" t="s">
        <v>1270</v>
      </c>
      <c r="S275" s="285"/>
      <c r="T275" s="325" t="s">
        <v>182</v>
      </c>
      <c r="U275" s="97"/>
      <c r="V275" s="114">
        <f t="shared" si="42"/>
        <v>0</v>
      </c>
      <c r="W275" s="298" t="s">
        <v>815</v>
      </c>
      <c r="X275" s="97" t="s">
        <v>857</v>
      </c>
      <c r="Y275" s="1" t="s">
        <v>264</v>
      </c>
      <c r="Z275" s="3" t="s">
        <v>265</v>
      </c>
      <c r="AA275" s="16" t="s">
        <v>276</v>
      </c>
      <c r="AB275" s="16" t="s">
        <v>276</v>
      </c>
      <c r="AC275" s="16" t="s">
        <v>276</v>
      </c>
      <c r="AD275" s="16" t="s">
        <v>276</v>
      </c>
    </row>
    <row r="276" spans="1:30" ht="45">
      <c r="A276" s="23" t="s">
        <v>759</v>
      </c>
      <c r="B276" s="58">
        <v>16</v>
      </c>
      <c r="C276" s="57" t="s">
        <v>786</v>
      </c>
      <c r="D276" s="169" t="s">
        <v>865</v>
      </c>
      <c r="E276" s="171" t="s">
        <v>869</v>
      </c>
      <c r="F276" s="89" t="s">
        <v>872</v>
      </c>
      <c r="G276" s="90" t="s">
        <v>873</v>
      </c>
      <c r="H276" s="91" t="s">
        <v>318</v>
      </c>
      <c r="I276" s="91" t="s">
        <v>281</v>
      </c>
      <c r="J276" s="92" t="str">
        <f t="shared" ref="J276" si="50">G276</f>
        <v>Gestió de personal</v>
      </c>
      <c r="K276" s="93"/>
      <c r="L276" s="60" t="s">
        <v>52</v>
      </c>
      <c r="M276" s="94" t="s">
        <v>282</v>
      </c>
      <c r="O276" s="60" t="s">
        <v>1269</v>
      </c>
      <c r="P276" s="60"/>
      <c r="Q276" s="292"/>
      <c r="R276" s="103" t="s">
        <v>1270</v>
      </c>
      <c r="S276" s="285"/>
      <c r="T276" s="325" t="s">
        <v>182</v>
      </c>
      <c r="U276" s="97"/>
      <c r="V276" s="114">
        <f t="shared" si="42"/>
        <v>0</v>
      </c>
      <c r="W276" s="298" t="s">
        <v>815</v>
      </c>
      <c r="X276" s="97" t="s">
        <v>857</v>
      </c>
      <c r="Y276" s="1" t="s">
        <v>264</v>
      </c>
      <c r="Z276" s="3" t="s">
        <v>265</v>
      </c>
      <c r="AA276" s="16" t="s">
        <v>276</v>
      </c>
      <c r="AB276" s="16" t="s">
        <v>276</v>
      </c>
      <c r="AC276" s="16" t="s">
        <v>276</v>
      </c>
      <c r="AD276" s="16" t="s">
        <v>276</v>
      </c>
    </row>
    <row r="280" spans="1:30" s="17" customFormat="1">
      <c r="T280" s="327"/>
      <c r="W280" s="16"/>
      <c r="X280" s="16"/>
      <c r="Y280" s="225"/>
    </row>
  </sheetData>
  <autoFilter ref="A1:AD276"/>
  <dataConsolidate/>
  <mergeCells count="2">
    <mergeCell ref="S3:T3"/>
    <mergeCell ref="U3:X3"/>
  </mergeCells>
  <phoneticPr fontId="2" type="noConversion"/>
  <conditionalFormatting sqref="H205:I205">
    <cfRule type="duplicateValues" dxfId="0" priority="1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Full1!$G$2:$G$4</xm:f>
          </x14:formula1>
          <xm:sqref>Z280 Z37:Z79 Z11:Z26 Z28:Z33 Z35 Z81:Z276</xm:sqref>
        </x14:dataValidation>
        <x14:dataValidation type="list" allowBlank="1" showInputMessage="1" showErrorMessage="1">
          <x14:formula1>
            <xm:f>Llistes!$B$17:$B$28</xm:f>
          </x14:formula1>
          <xm:sqref>W28:W33 W35 W37:W276 W5:W26</xm:sqref>
        </x14:dataValidation>
        <x14:dataValidation type="list" allowBlank="1" showInputMessage="1" showErrorMessage="1">
          <x14:formula1>
            <xm:f>Full1!$C$2:$C$6</xm:f>
          </x14:formula1>
          <xm:sqref>M28:M33 M35 M37:M276 M5:M26</xm:sqref>
        </x14:dataValidation>
        <x14:dataValidation type="list" allowBlank="1" showInputMessage="1" showErrorMessage="1">
          <x14:formula1>
            <xm:f>Full1!$E$2:$E$3</xm:f>
          </x14:formula1>
          <xm:sqref>L28:L33 L35 L5:L26 L37:L276</xm:sqref>
        </x14:dataValidation>
        <x14:dataValidation type="list" allowBlank="1" showInputMessage="1" showErrorMessage="1">
          <x14:formula1>
            <xm:f>Full1!$A$2:$A$3</xm:f>
          </x14:formula1>
          <xm:sqref>H28:H33 H35 H37:H45 H5:H26 H47:H276</xm:sqref>
        </x14:dataValidation>
        <x14:dataValidation type="list" allowBlank="1" showInputMessage="1" showErrorMessage="1">
          <x14:formula1>
            <xm:f>Full1!$B$2:$B$3</xm:f>
          </x14:formula1>
          <xm:sqref>I28:I33 I35 I37:I45 I5:I26 I47:I276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5" sqref="B25"/>
    </sheetView>
  </sheetViews>
  <sheetFormatPr baseColWidth="10" defaultRowHeight="15"/>
  <cols>
    <col min="1" max="1" width="39.140625" customWidth="1"/>
    <col min="2" max="2" width="28.28515625" bestFit="1" customWidth="1"/>
    <col min="3" max="3" width="11" customWidth="1"/>
    <col min="4" max="4" width="12.5703125" bestFit="1" customWidth="1"/>
    <col min="5" max="5" width="12.85546875" bestFit="1" customWidth="1"/>
    <col min="6" max="6" width="11" bestFit="1" customWidth="1"/>
    <col min="7" max="7" width="15.85546875" bestFit="1" customWidth="1"/>
    <col min="8" max="8" width="12.5703125" bestFit="1" customWidth="1"/>
    <col min="9" max="9" width="12.85546875" bestFit="1" customWidth="1"/>
    <col min="10" max="10" width="11" bestFit="1" customWidth="1"/>
    <col min="11" max="11" width="7" bestFit="1" customWidth="1"/>
    <col min="12" max="12" width="12.85546875" bestFit="1" customWidth="1"/>
    <col min="13" max="13" width="11" bestFit="1" customWidth="1"/>
    <col min="14" max="15" width="15.85546875" bestFit="1" customWidth="1"/>
    <col min="16" max="16" width="12.5703125" bestFit="1" customWidth="1"/>
    <col min="17" max="17" width="7" customWidth="1"/>
    <col min="18" max="18" width="12.85546875" bestFit="1" customWidth="1"/>
    <col min="19" max="19" width="11" customWidth="1"/>
    <col min="20" max="20" width="15.85546875" bestFit="1" customWidth="1"/>
    <col min="21" max="21" width="7" customWidth="1"/>
    <col min="22" max="22" width="12.85546875" bestFit="1" customWidth="1"/>
    <col min="23" max="23" width="11" customWidth="1"/>
    <col min="24" max="24" width="7" customWidth="1"/>
    <col min="25" max="25" width="12.85546875" bestFit="1" customWidth="1"/>
    <col min="26" max="26" width="11" customWidth="1"/>
    <col min="27" max="29" width="15.85546875" bestFit="1" customWidth="1"/>
    <col min="30" max="30" width="12.5703125" bestFit="1" customWidth="1"/>
  </cols>
  <sheetData>
    <row r="1" spans="1:2">
      <c r="A1" s="341" t="s">
        <v>242</v>
      </c>
      <c r="B1" t="s">
        <v>1733</v>
      </c>
    </row>
    <row r="3" spans="1:2">
      <c r="A3" s="341" t="s">
        <v>1308</v>
      </c>
      <c r="B3" t="s">
        <v>1732</v>
      </c>
    </row>
    <row r="4" spans="1:2">
      <c r="A4" s="342" t="s">
        <v>1496</v>
      </c>
      <c r="B4" s="441">
        <v>50</v>
      </c>
    </row>
    <row r="5" spans="1:2">
      <c r="A5" s="342" t="s">
        <v>1497</v>
      </c>
      <c r="B5" s="441">
        <v>8</v>
      </c>
    </row>
    <row r="6" spans="1:2">
      <c r="A6" s="342" t="s">
        <v>1498</v>
      </c>
      <c r="B6" s="441">
        <v>38</v>
      </c>
    </row>
    <row r="7" spans="1:2">
      <c r="A7" s="342" t="s">
        <v>1499</v>
      </c>
      <c r="B7" s="441">
        <v>16</v>
      </c>
    </row>
    <row r="8" spans="1:2">
      <c r="A8" s="342" t="s">
        <v>1500</v>
      </c>
      <c r="B8" s="441">
        <v>26</v>
      </c>
    </row>
    <row r="9" spans="1:2">
      <c r="A9" s="342" t="s">
        <v>1501</v>
      </c>
      <c r="B9" s="441">
        <v>23</v>
      </c>
    </row>
    <row r="10" spans="1:2">
      <c r="A10" s="342" t="s">
        <v>1502</v>
      </c>
      <c r="B10" s="441">
        <v>55</v>
      </c>
    </row>
    <row r="11" spans="1:2">
      <c r="A11" s="342" t="s">
        <v>1309</v>
      </c>
      <c r="B11" s="441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topLeftCell="A22" workbookViewId="0">
      <selection activeCell="B5" sqref="B5"/>
    </sheetView>
  </sheetViews>
  <sheetFormatPr baseColWidth="10" defaultColWidth="9.140625" defaultRowHeight="15"/>
  <cols>
    <col min="1" max="1" width="6.42578125" customWidth="1"/>
    <col min="2" max="2" width="57.140625" customWidth="1"/>
    <col min="3" max="3" width="45" customWidth="1"/>
    <col min="4" max="4" width="61" style="59" customWidth="1"/>
    <col min="8" max="8" width="26.42578125" customWidth="1"/>
  </cols>
  <sheetData>
    <row r="1" spans="1:4" ht="15.75">
      <c r="A1" s="121" t="s">
        <v>897</v>
      </c>
    </row>
    <row r="2" spans="1:4" ht="15.75">
      <c r="A2" s="121"/>
    </row>
    <row r="3" spans="1:4" ht="16.5" thickBot="1">
      <c r="A3" s="121" t="s">
        <v>898</v>
      </c>
    </row>
    <row r="4" spans="1:4" ht="16.5" thickBot="1">
      <c r="A4" s="124" t="s">
        <v>899</v>
      </c>
      <c r="B4" s="147" t="s">
        <v>900</v>
      </c>
      <c r="C4" s="126" t="s">
        <v>901</v>
      </c>
      <c r="D4" s="125" t="s">
        <v>902</v>
      </c>
    </row>
    <row r="5" spans="1:4" ht="30">
      <c r="A5" s="101" t="s">
        <v>257</v>
      </c>
      <c r="B5" s="146" t="str">
        <f>PLA!J9</f>
        <v>Implementar i executar plans de gestió específics per a hàbitats i espècies de conservació prioritària dins l'ENP</v>
      </c>
      <c r="C5" s="146" t="s">
        <v>903</v>
      </c>
      <c r="D5" s="123"/>
    </row>
    <row r="6" spans="1:4" ht="30">
      <c r="A6" s="101" t="s">
        <v>272</v>
      </c>
      <c r="B6" s="146" t="str">
        <f>PLA!J11</f>
        <v>Adaptar i executar plans de gestió específics per a elements geològics de conservació prioritària dins l'ENP</v>
      </c>
      <c r="C6" s="146" t="s">
        <v>903</v>
      </c>
      <c r="D6" s="122"/>
    </row>
    <row r="7" spans="1:4" ht="45">
      <c r="A7" s="93" t="s">
        <v>279</v>
      </c>
      <c r="B7" s="146" t="str">
        <f>PLA!J12</f>
        <v>Implementar la metodologia de gestió adaptativa (Estàndards Oberts de Gestió Adaptativa a Catalunya) en tots els processos de l'ENP</v>
      </c>
      <c r="C7" s="146" t="s">
        <v>903</v>
      </c>
      <c r="D7" s="122"/>
    </row>
    <row r="8" spans="1:4" ht="45">
      <c r="A8" s="93" t="s">
        <v>288</v>
      </c>
      <c r="B8" s="146" t="str">
        <f>PLA!J16</f>
        <v>Executar les mesures previstes en els plans de conservació o recuperació d'espècies amenaçades de forma coordinada amb el Servei de Flora i Fauna en l'àmbit de l'ENP</v>
      </c>
      <c r="C8" s="146" t="s">
        <v>903</v>
      </c>
      <c r="D8" s="122"/>
    </row>
    <row r="9" spans="1:4">
      <c r="A9" s="93" t="s">
        <v>297</v>
      </c>
      <c r="B9" s="146" t="str">
        <f>PLA!J25</f>
        <v>Executar les mesures de control d'EEI</v>
      </c>
      <c r="C9" s="146" t="s">
        <v>904</v>
      </c>
      <c r="D9" s="122"/>
    </row>
    <row r="10" spans="1:4">
      <c r="A10" s="93" t="s">
        <v>905</v>
      </c>
      <c r="B10" s="146" t="e">
        <f>PLA!#REF!</f>
        <v>#REF!</v>
      </c>
      <c r="C10" s="146" t="s">
        <v>903</v>
      </c>
      <c r="D10" s="122"/>
    </row>
    <row r="11" spans="1:4" ht="30">
      <c r="A11" s="101" t="s">
        <v>313</v>
      </c>
      <c r="B11" s="146" t="str">
        <f>PLA!J29</f>
        <v>Identificar espais pel foment de la dinàmica natural i l'aprofitament no extractiu</v>
      </c>
      <c r="C11" s="146" t="s">
        <v>906</v>
      </c>
      <c r="D11" s="122"/>
    </row>
    <row r="12" spans="1:4">
      <c r="A12" s="101" t="s">
        <v>316</v>
      </c>
      <c r="B12" s="146" t="str">
        <f>PLA!J30</f>
        <v>Afavorir la maduresa dels sistemes forestals</v>
      </c>
      <c r="C12" s="146" t="s">
        <v>906</v>
      </c>
      <c r="D12" s="122"/>
    </row>
    <row r="13" spans="1:4">
      <c r="A13" s="101" t="s">
        <v>320</v>
      </c>
      <c r="B13" s="146" t="str">
        <f>PLA!J32</f>
        <v>Generar pertorbacions controlades</v>
      </c>
      <c r="C13" s="146" t="s">
        <v>906</v>
      </c>
      <c r="D13" s="122"/>
    </row>
    <row r="14" spans="1:4">
      <c r="A14" s="101" t="s">
        <v>322</v>
      </c>
      <c r="B14" s="146" t="str">
        <f>PLA!J33</f>
        <v xml:space="preserve">Restaurar la dinàmica natural dels rius </v>
      </c>
      <c r="C14" s="146" t="s">
        <v>906</v>
      </c>
      <c r="D14" s="122"/>
    </row>
    <row r="15" spans="1:4">
      <c r="A15" s="101" t="s">
        <v>324</v>
      </c>
      <c r="B15" s="146" t="e">
        <f>PLA!#REF!</f>
        <v>#REF!</v>
      </c>
      <c r="C15" s="146" t="s">
        <v>906</v>
      </c>
      <c r="D15" s="122"/>
    </row>
    <row r="16" spans="1:4" ht="30">
      <c r="A16" s="101" t="s">
        <v>325</v>
      </c>
      <c r="B16" s="146" t="str">
        <f>PLA!J35</f>
        <v>Gestionar i intervenir en la dinàmica de poblacions de fauna que no tenen depredador natural</v>
      </c>
      <c r="C16" s="146" t="s">
        <v>906</v>
      </c>
      <c r="D16" s="122"/>
    </row>
    <row r="17" spans="1:4">
      <c r="A17" s="101" t="s">
        <v>329</v>
      </c>
      <c r="B17" s="146" t="e">
        <f>PLA!#REF!</f>
        <v>#REF!</v>
      </c>
      <c r="C17" s="146" t="s">
        <v>903</v>
      </c>
      <c r="D17" s="122"/>
    </row>
    <row r="18" spans="1:4" ht="30">
      <c r="A18" s="101" t="s">
        <v>330</v>
      </c>
      <c r="B18" s="146" t="str">
        <f>PLA!J37</f>
        <v>Fomentar bones pràctiques entre els col·lectius de propietaris i gestors del territori</v>
      </c>
      <c r="C18" s="146" t="s">
        <v>903</v>
      </c>
      <c r="D18" s="122"/>
    </row>
    <row r="19" spans="1:4" ht="30">
      <c r="A19" s="101" t="s">
        <v>332</v>
      </c>
      <c r="B19" s="146" t="str">
        <f>PLA!J40</f>
        <v>Coordinar i gestionar les propietats públiques o en règim de custòdia de l'espai</v>
      </c>
      <c r="C19" s="146" t="s">
        <v>903</v>
      </c>
      <c r="D19" s="122"/>
    </row>
    <row r="20" spans="1:4" ht="30">
      <c r="A20" s="101" t="s">
        <v>337</v>
      </c>
      <c r="B20" s="146" t="str">
        <f>PLA!J41</f>
        <v>Adaptar i implementar el Pla d'adaptació de l'ENP al canvi climàtic</v>
      </c>
      <c r="C20" s="146" t="s">
        <v>907</v>
      </c>
      <c r="D20" s="122"/>
    </row>
    <row r="21" spans="1:4">
      <c r="A21" s="101" t="s">
        <v>340</v>
      </c>
      <c r="B21" s="146" t="str">
        <f>PLA!J42</f>
        <v>Gestionar i planificar els recursos hídrics de l'ENP</v>
      </c>
      <c r="C21" s="146" t="s">
        <v>908</v>
      </c>
      <c r="D21" s="122"/>
    </row>
    <row r="22" spans="1:4" ht="45">
      <c r="A22" s="101" t="s">
        <v>342</v>
      </c>
      <c r="B22" s="146" t="str">
        <f>PLA!J43</f>
        <v>Participar en la redacció i execució dels instruments d'ordenació forestal sostenible i per la conservació en finques públiques</v>
      </c>
      <c r="C22" s="146" t="s">
        <v>909</v>
      </c>
      <c r="D22" s="122"/>
    </row>
    <row r="23" spans="1:4">
      <c r="A23" s="101" t="s">
        <v>345</v>
      </c>
      <c r="B23" s="146" t="e">
        <f>PLA!#REF!</f>
        <v>#REF!</v>
      </c>
      <c r="C23" s="146" t="s">
        <v>909</v>
      </c>
      <c r="D23" s="122"/>
    </row>
    <row r="24" spans="1:4">
      <c r="A24" s="101" t="s">
        <v>349</v>
      </c>
      <c r="B24" s="146" t="str">
        <f>PLA!J45</f>
        <v xml:space="preserve">Redactar i implementar el Pla de Prevenció d'Incendis </v>
      </c>
      <c r="C24" s="146" t="s">
        <v>910</v>
      </c>
      <c r="D24" s="122"/>
    </row>
    <row r="25" spans="1:4">
      <c r="A25" s="101" t="s">
        <v>352</v>
      </c>
      <c r="B25" s="146" t="e">
        <f>PLA!#REF!</f>
        <v>#REF!</v>
      </c>
      <c r="C25" s="146" t="s">
        <v>910</v>
      </c>
      <c r="D25" s="122"/>
    </row>
    <row r="26" spans="1:4" ht="30">
      <c r="A26" s="101" t="s">
        <v>353</v>
      </c>
      <c r="B26" s="146" t="str">
        <f>PLA!J47</f>
        <v>Treballar per a la prevenció d'incendis juntament amb els propietaris, ajuntaments, protecció civil, ADF i bombers.</v>
      </c>
      <c r="C26" s="146" t="s">
        <v>910</v>
      </c>
      <c r="D26" s="122"/>
    </row>
    <row r="27" spans="1:4" ht="45">
      <c r="A27" s="101" t="s">
        <v>358</v>
      </c>
      <c r="B27" s="146" t="str">
        <f>PLA!J48</f>
        <v>Participar en les consultes dels processos d'Avaluació Ambiental que afectin directament o indirectament l’espai del ENP</v>
      </c>
      <c r="C27" s="146" t="s">
        <v>911</v>
      </c>
      <c r="D27" s="122"/>
    </row>
    <row r="28" spans="1:4" ht="60">
      <c r="A28" s="101" t="s">
        <v>359</v>
      </c>
      <c r="B28" s="146" t="str">
        <f>PLA!J49</f>
        <v>Exercir un seguiment efectiu de les obres al Parc juntament amb les Oficines Territorials d'Acció i Avaluació Ambiental als efectes d'assegurar la correcta translació de la tutela administrativa.</v>
      </c>
      <c r="C28" s="146" t="s">
        <v>903</v>
      </c>
      <c r="D28" s="122"/>
    </row>
    <row r="29" spans="1:4" ht="45">
      <c r="A29" s="101" t="s">
        <v>361</v>
      </c>
      <c r="B29" s="146" t="str">
        <f>PLA!J50</f>
        <v>Participar en la compensació d'impactes residuals durant els processos d'avaluació ambiental mitjançant la identificació de necessitats d'actuació prioritària dins i fora dels límits de l’ENP</v>
      </c>
      <c r="C29" s="146" t="s">
        <v>911</v>
      </c>
      <c r="D29" s="122"/>
    </row>
    <row r="30" spans="1:4" ht="30">
      <c r="A30" s="101" t="s">
        <v>365</v>
      </c>
      <c r="B30" s="146" t="str">
        <f>PLA!J51</f>
        <v>Participar en l'elaboració dels instruments de planificació de l'ENP</v>
      </c>
      <c r="C30" s="146" t="s">
        <v>903</v>
      </c>
      <c r="D30" s="122"/>
    </row>
    <row r="31" spans="1:4" ht="30">
      <c r="A31" s="101" t="s">
        <v>370</v>
      </c>
      <c r="B31" s="146" t="str">
        <f>PLA!J52</f>
        <v>Vetllar pel manteniment ecològic dels recs i rieres del Pla sectorial corresponent</v>
      </c>
      <c r="C31" s="146" t="s">
        <v>908</v>
      </c>
      <c r="D31" s="122"/>
    </row>
    <row r="32" spans="1:4">
      <c r="A32" s="101" t="s">
        <v>912</v>
      </c>
      <c r="B32" s="146" t="e">
        <f>PLA!#REF!</f>
        <v>#REF!</v>
      </c>
      <c r="C32" s="146" t="s">
        <v>908</v>
      </c>
      <c r="D32" s="122"/>
    </row>
    <row r="33" spans="1:4" ht="45">
      <c r="A33" s="101" t="s">
        <v>373</v>
      </c>
      <c r="B33" s="146" t="str">
        <f>PLA!J55</f>
        <v>Avaluar i controlar les actuacions que produeixin drenatges, captacions o que puguin impedir l’arribada d’aigua tant superficial com freàtica</v>
      </c>
      <c r="C33" s="146" t="s">
        <v>908</v>
      </c>
      <c r="D33" s="122"/>
    </row>
    <row r="34" spans="1:4" ht="45">
      <c r="A34" s="101" t="s">
        <v>375</v>
      </c>
      <c r="B34" s="146" t="str">
        <f>PLA!J56</f>
        <v>Vetllar pel compliment de la normativa de depuració dels efluents agroramaders, urbans i industrials que s'aboquen als cursos fluvials</v>
      </c>
      <c r="C34" s="146" t="s">
        <v>913</v>
      </c>
      <c r="D34" s="122"/>
    </row>
    <row r="35" spans="1:4" ht="30">
      <c r="A35" s="101" t="s">
        <v>379</v>
      </c>
      <c r="B35" s="146" t="str">
        <f>PLA!J57</f>
        <v xml:space="preserve">Identificar espais prioritaris per a la compra de terrenys de més valor dins l'ENP </v>
      </c>
      <c r="C35" s="146" t="s">
        <v>903</v>
      </c>
      <c r="D35" s="122"/>
    </row>
    <row r="36" spans="1:4">
      <c r="A36" s="101" t="s">
        <v>382</v>
      </c>
      <c r="B36" s="146" t="str">
        <f>PLA!J58</f>
        <v>Identificar espais prioritaris per a la gestió directa</v>
      </c>
      <c r="C36" s="146" t="s">
        <v>903</v>
      </c>
      <c r="D36" s="122"/>
    </row>
    <row r="37" spans="1:4">
      <c r="A37" s="122"/>
      <c r="B37" s="157"/>
      <c r="C37" s="157"/>
      <c r="D37" s="122"/>
    </row>
    <row r="38" spans="1:4">
      <c r="A38" s="122"/>
      <c r="B38" s="157"/>
      <c r="C38" s="157"/>
      <c r="D38" s="122"/>
    </row>
    <row r="39" spans="1:4">
      <c r="A39" s="122"/>
      <c r="B39" s="157"/>
      <c r="C39" s="122"/>
      <c r="D39" s="157"/>
    </row>
    <row r="40" spans="1:4">
      <c r="A40" s="122"/>
      <c r="B40" s="157"/>
      <c r="C40" s="122"/>
      <c r="D40" s="157"/>
    </row>
    <row r="41" spans="1:4">
      <c r="A41" s="122"/>
      <c r="B41" s="157"/>
      <c r="C41" s="122"/>
      <c r="D41" s="157"/>
    </row>
    <row r="42" spans="1:4">
      <c r="A42" s="122"/>
      <c r="B42" s="157"/>
      <c r="C42" s="122"/>
      <c r="D42" s="157"/>
    </row>
    <row r="43" spans="1:4">
      <c r="A43" s="122"/>
      <c r="B43" s="157"/>
      <c r="C43" s="122"/>
      <c r="D43" s="157"/>
    </row>
    <row r="44" spans="1:4">
      <c r="A44" s="122"/>
      <c r="B44" s="157"/>
      <c r="C44" s="122"/>
      <c r="D44" s="157"/>
    </row>
    <row r="45" spans="1:4">
      <c r="A45" s="122"/>
      <c r="B45" s="157"/>
      <c r="C45" s="122"/>
      <c r="D45" s="157"/>
    </row>
    <row r="46" spans="1:4">
      <c r="A46" s="122"/>
      <c r="B46" s="157"/>
      <c r="C46" s="122"/>
      <c r="D46" s="157"/>
    </row>
    <row r="47" spans="1:4">
      <c r="A47" s="122"/>
      <c r="B47" s="157"/>
      <c r="C47" s="122"/>
      <c r="D47" s="157"/>
    </row>
    <row r="48" spans="1:4">
      <c r="A48" s="122"/>
      <c r="B48" s="157"/>
      <c r="C48" s="122"/>
      <c r="D48" s="157"/>
    </row>
    <row r="49" spans="1:4">
      <c r="A49" s="122"/>
      <c r="B49" s="157"/>
      <c r="C49" s="122"/>
      <c r="D49" s="157"/>
    </row>
    <row r="50" spans="1:4">
      <c r="A50" s="122"/>
      <c r="B50" s="157"/>
      <c r="C50" s="122"/>
      <c r="D50" s="157"/>
    </row>
    <row r="51" spans="1:4">
      <c r="A51" s="122"/>
      <c r="B51" s="157"/>
      <c r="C51" s="122"/>
      <c r="D51" s="157"/>
    </row>
    <row r="52" spans="1:4">
      <c r="A52" s="122"/>
      <c r="B52" s="157"/>
      <c r="C52" s="122"/>
      <c r="D52" s="157"/>
    </row>
    <row r="53" spans="1:4">
      <c r="A53" s="122"/>
      <c r="B53" s="157"/>
      <c r="C53" s="122"/>
      <c r="D53" s="157"/>
    </row>
    <row r="54" spans="1:4">
      <c r="A54" s="122"/>
      <c r="B54" s="157"/>
      <c r="C54" s="122"/>
      <c r="D54" s="157"/>
    </row>
    <row r="55" spans="1:4">
      <c r="A55" s="122"/>
      <c r="B55" s="157"/>
      <c r="C55" s="122"/>
      <c r="D55" s="157"/>
    </row>
    <row r="56" spans="1:4">
      <c r="A56" s="122"/>
      <c r="B56" s="157"/>
      <c r="C56" s="122"/>
      <c r="D56" s="157"/>
    </row>
    <row r="57" spans="1:4">
      <c r="A57" s="122"/>
      <c r="B57" s="157"/>
      <c r="C57" s="122"/>
      <c r="D57" s="157"/>
    </row>
    <row r="58" spans="1:4">
      <c r="A58" s="122"/>
      <c r="B58" s="157"/>
      <c r="C58" s="122"/>
      <c r="D58" s="157"/>
    </row>
    <row r="59" spans="1:4">
      <c r="A59" s="122"/>
      <c r="B59" s="157"/>
      <c r="C59" s="122"/>
      <c r="D59" s="157"/>
    </row>
    <row r="60" spans="1:4">
      <c r="A60" s="122"/>
      <c r="B60" s="157"/>
      <c r="C60" s="122"/>
      <c r="D60" s="157"/>
    </row>
    <row r="61" spans="1:4">
      <c r="A61" s="122"/>
      <c r="B61" s="157"/>
      <c r="C61" s="122"/>
      <c r="D61" s="157"/>
    </row>
    <row r="62" spans="1:4">
      <c r="A62" s="122"/>
      <c r="B62" s="157"/>
      <c r="C62" s="122"/>
      <c r="D62" s="157"/>
    </row>
    <row r="63" spans="1:4">
      <c r="A63" s="122"/>
      <c r="B63" s="157"/>
      <c r="C63" s="122"/>
      <c r="D63" s="157"/>
    </row>
    <row r="64" spans="1:4">
      <c r="A64" s="122"/>
      <c r="B64" s="157"/>
      <c r="C64" s="122"/>
      <c r="D64" s="157"/>
    </row>
    <row r="65" spans="1:4">
      <c r="A65" s="122"/>
      <c r="B65" s="157"/>
      <c r="C65" s="122"/>
      <c r="D65" s="157"/>
    </row>
    <row r="66" spans="1:4">
      <c r="A66" s="122"/>
      <c r="B66" s="157"/>
      <c r="C66" s="122"/>
      <c r="D66" s="157"/>
    </row>
    <row r="67" spans="1:4">
      <c r="A67" s="122"/>
      <c r="B67" s="157"/>
      <c r="C67" s="122"/>
      <c r="D67" s="157"/>
    </row>
    <row r="68" spans="1:4">
      <c r="A68" s="122"/>
      <c r="B68" s="157"/>
      <c r="C68" s="122"/>
      <c r="D68" s="157"/>
    </row>
    <row r="69" spans="1:4">
      <c r="A69" s="122"/>
      <c r="B69" s="157"/>
      <c r="C69" s="122"/>
      <c r="D69" s="157"/>
    </row>
    <row r="70" spans="1:4">
      <c r="A70" s="122"/>
      <c r="B70" s="157"/>
      <c r="C70" s="122"/>
      <c r="D70" s="157"/>
    </row>
    <row r="71" spans="1:4">
      <c r="A71" s="122"/>
      <c r="B71" s="157"/>
      <c r="C71" s="122"/>
      <c r="D71" s="157"/>
    </row>
    <row r="72" spans="1:4">
      <c r="A72" s="122"/>
      <c r="B72" s="157"/>
      <c r="C72" s="122"/>
      <c r="D72" s="157"/>
    </row>
    <row r="73" spans="1:4">
      <c r="A73" s="122"/>
      <c r="B73" s="157"/>
      <c r="C73" s="122"/>
      <c r="D73" s="157"/>
    </row>
    <row r="74" spans="1:4">
      <c r="A74" s="122"/>
      <c r="B74" s="157"/>
      <c r="C74" s="122"/>
      <c r="D74" s="157"/>
    </row>
    <row r="75" spans="1:4">
      <c r="A75" s="122"/>
      <c r="B75" s="157"/>
      <c r="C75" s="122"/>
      <c r="D75" s="157"/>
    </row>
    <row r="76" spans="1:4">
      <c r="A76" s="122"/>
      <c r="B76" s="157"/>
      <c r="C76" s="122"/>
      <c r="D76" s="157"/>
    </row>
    <row r="77" spans="1:4">
      <c r="A77" s="122"/>
      <c r="B77" s="157"/>
      <c r="C77" s="122"/>
      <c r="D77" s="157"/>
    </row>
    <row r="78" spans="1:4">
      <c r="A78" s="122"/>
      <c r="B78" s="157"/>
      <c r="C78" s="122"/>
      <c r="D78" s="157"/>
    </row>
    <row r="79" spans="1:4">
      <c r="A79" s="122"/>
      <c r="B79" s="157"/>
      <c r="C79" s="122"/>
      <c r="D79" s="157"/>
    </row>
    <row r="80" spans="1:4">
      <c r="A80" s="122"/>
      <c r="B80" s="157"/>
      <c r="C80" s="122"/>
      <c r="D80" s="157"/>
    </row>
    <row r="81" spans="1:4">
      <c r="A81" s="122"/>
      <c r="B81" s="157"/>
      <c r="C81" s="122"/>
      <c r="D81" s="157"/>
    </row>
    <row r="82" spans="1:4">
      <c r="A82" s="122"/>
      <c r="B82" s="157"/>
      <c r="C82" s="122"/>
      <c r="D82" s="157"/>
    </row>
    <row r="83" spans="1:4">
      <c r="A83" s="122"/>
      <c r="B83" s="157"/>
      <c r="C83" s="122"/>
      <c r="D83" s="157"/>
    </row>
    <row r="84" spans="1:4">
      <c r="A84" s="122"/>
      <c r="B84" s="157"/>
      <c r="C84" s="122"/>
      <c r="D84" s="157"/>
    </row>
    <row r="85" spans="1:4">
      <c r="A85" s="122"/>
      <c r="B85" s="157"/>
      <c r="C85" s="122"/>
      <c r="D85" s="157"/>
    </row>
    <row r="86" spans="1:4">
      <c r="A86" s="122"/>
      <c r="B86" s="157"/>
      <c r="C86" s="122"/>
      <c r="D86" s="157"/>
    </row>
    <row r="87" spans="1:4">
      <c r="A87" s="122"/>
      <c r="B87" s="157"/>
      <c r="C87" s="122"/>
      <c r="D87" s="157"/>
    </row>
    <row r="88" spans="1:4">
      <c r="A88" s="122"/>
      <c r="B88" s="157"/>
      <c r="C88" s="122"/>
      <c r="D88" s="157"/>
    </row>
    <row r="89" spans="1:4">
      <c r="A89" s="122"/>
      <c r="B89" s="157"/>
      <c r="C89" s="122"/>
      <c r="D89" s="157"/>
    </row>
    <row r="90" spans="1:4">
      <c r="A90" s="122"/>
      <c r="B90" s="157"/>
      <c r="C90" s="122"/>
      <c r="D90" s="157"/>
    </row>
    <row r="91" spans="1:4">
      <c r="A91" s="122"/>
      <c r="B91" s="157"/>
      <c r="C91" s="122"/>
      <c r="D91" s="157"/>
    </row>
    <row r="92" spans="1:4">
      <c r="A92" s="122"/>
      <c r="B92" s="157"/>
      <c r="C92" s="122"/>
      <c r="D92" s="157"/>
    </row>
    <row r="93" spans="1:4">
      <c r="A93" s="122"/>
      <c r="B93" s="157"/>
      <c r="C93" s="122"/>
      <c r="D93" s="157"/>
    </row>
    <row r="94" spans="1:4">
      <c r="A94" s="122"/>
      <c r="B94" s="157"/>
      <c r="C94" s="122"/>
      <c r="D94" s="157"/>
    </row>
    <row r="95" spans="1:4">
      <c r="A95" s="122"/>
      <c r="B95" s="157"/>
      <c r="C95" s="122"/>
      <c r="D95" s="157"/>
    </row>
    <row r="96" spans="1:4">
      <c r="A96" s="122"/>
      <c r="B96" s="157"/>
      <c r="C96" s="122"/>
      <c r="D96" s="157"/>
    </row>
    <row r="97" spans="1:4">
      <c r="A97" s="122"/>
      <c r="B97" s="157"/>
      <c r="C97" s="122"/>
      <c r="D97" s="157"/>
    </row>
    <row r="98" spans="1:4">
      <c r="A98" s="122"/>
      <c r="B98" s="157"/>
      <c r="C98" s="122"/>
      <c r="D98" s="157"/>
    </row>
    <row r="99" spans="1:4">
      <c r="A99" s="122"/>
      <c r="B99" s="157"/>
      <c r="C99" s="122"/>
      <c r="D99" s="157"/>
    </row>
    <row r="100" spans="1:4">
      <c r="A100" s="122"/>
      <c r="B100" s="157"/>
      <c r="C100" s="122"/>
      <c r="D100" s="157"/>
    </row>
    <row r="101" spans="1:4">
      <c r="A101" s="122"/>
      <c r="B101" s="157"/>
      <c r="C101" s="122"/>
      <c r="D101" s="157"/>
    </row>
    <row r="102" spans="1:4">
      <c r="A102" s="122"/>
      <c r="B102" s="157"/>
      <c r="C102" s="122"/>
      <c r="D102" s="157"/>
    </row>
    <row r="103" spans="1:4">
      <c r="A103" s="122"/>
      <c r="B103" s="157"/>
      <c r="C103" s="122"/>
      <c r="D103" s="157"/>
    </row>
    <row r="104" spans="1:4">
      <c r="A104" s="122"/>
      <c r="B104" s="157"/>
      <c r="C104" s="122"/>
      <c r="D104" s="157"/>
    </row>
    <row r="105" spans="1:4">
      <c r="A105" s="122"/>
      <c r="B105" s="157"/>
      <c r="C105" s="122"/>
      <c r="D105" s="157"/>
    </row>
    <row r="106" spans="1:4">
      <c r="A106" s="122"/>
      <c r="B106" s="157"/>
      <c r="C106" s="122"/>
      <c r="D106" s="157"/>
    </row>
  </sheetData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Llistes!$B$2:$B$12</xm:f>
          </x14:formula1>
          <xm:sqref>D39:D105</xm:sqref>
        </x14:dataValidation>
        <x14:dataValidation type="list" showInputMessage="1" showErrorMessage="1">
          <x14:formula1>
            <xm:f>Llistes!$B$2:$B$13</xm:f>
          </x14:formula1>
          <xm:sqref>C5:C77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842"/>
  <sheetViews>
    <sheetView topLeftCell="A25" workbookViewId="0">
      <selection activeCell="D38" sqref="D38"/>
    </sheetView>
  </sheetViews>
  <sheetFormatPr baseColWidth="10" defaultColWidth="12.5703125" defaultRowHeight="15.75" customHeight="1"/>
  <cols>
    <col min="1" max="1" width="11.5703125" style="131" customWidth="1"/>
    <col min="2" max="2" width="24.85546875" style="131" customWidth="1"/>
    <col min="3" max="3" width="9.85546875" style="131" customWidth="1"/>
    <col min="4" max="4" width="33.42578125" style="131" customWidth="1"/>
    <col min="5" max="5" width="60.42578125" style="131" customWidth="1"/>
    <col min="6" max="16384" width="12.5703125" style="131"/>
  </cols>
  <sheetData>
    <row r="1" spans="1:25" ht="22.5">
      <c r="A1" s="127" t="s">
        <v>914</v>
      </c>
      <c r="B1" s="128"/>
      <c r="C1" s="129"/>
      <c r="D1" s="130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pans="1:25" ht="12.75">
      <c r="A2" s="129" t="s">
        <v>915</v>
      </c>
      <c r="B2" s="128"/>
      <c r="C2" s="129"/>
      <c r="D2" s="130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pans="1:25" ht="12.75">
      <c r="A3" s="132" t="s">
        <v>916</v>
      </c>
      <c r="B3" s="128"/>
      <c r="C3" s="129"/>
      <c r="D3" s="130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</row>
    <row r="4" spans="1:25" ht="12.75">
      <c r="A4" s="128" t="s">
        <v>917</v>
      </c>
      <c r="B4" s="128"/>
      <c r="C4" s="129"/>
      <c r="D4" s="130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</row>
    <row r="5" spans="1:25" ht="17.25" customHeight="1">
      <c r="A5" s="133" t="s">
        <v>918</v>
      </c>
      <c r="B5" s="128"/>
      <c r="C5" s="129"/>
      <c r="D5" s="130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 spans="1:25" ht="17.25" customHeight="1">
      <c r="A6" s="129"/>
      <c r="B6" s="128"/>
      <c r="C6" s="129"/>
      <c r="D6" s="130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</row>
    <row r="7" spans="1:25" ht="17.25" customHeight="1">
      <c r="A7" s="129"/>
      <c r="B7" s="128"/>
      <c r="C7" s="129"/>
      <c r="D7" s="130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</row>
    <row r="8" spans="1:25" ht="30">
      <c r="A8" s="134" t="s">
        <v>919</v>
      </c>
      <c r="B8" s="135" t="s">
        <v>920</v>
      </c>
      <c r="C8" s="134" t="s">
        <v>919</v>
      </c>
      <c r="D8" s="136" t="s">
        <v>921</v>
      </c>
      <c r="E8" s="136" t="s">
        <v>922</v>
      </c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</row>
    <row r="9" spans="1:25" ht="89.25">
      <c r="A9" s="451">
        <v>1</v>
      </c>
      <c r="B9" s="453" t="s">
        <v>923</v>
      </c>
      <c r="C9" s="137">
        <v>1.1000000000000001</v>
      </c>
      <c r="D9" s="138" t="s">
        <v>924</v>
      </c>
      <c r="E9" s="138" t="s">
        <v>925</v>
      </c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</row>
    <row r="10" spans="1:25" ht="12.75">
      <c r="A10" s="452"/>
      <c r="B10" s="452"/>
      <c r="C10" s="137">
        <v>1.2</v>
      </c>
      <c r="D10" s="138" t="s">
        <v>926</v>
      </c>
      <c r="E10" s="13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</row>
    <row r="11" spans="1:25" ht="12.75">
      <c r="A11" s="452"/>
      <c r="B11" s="452"/>
      <c r="C11" s="137">
        <v>1.3</v>
      </c>
      <c r="D11" s="138" t="s">
        <v>927</v>
      </c>
      <c r="E11" s="138" t="s">
        <v>928</v>
      </c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</row>
    <row r="12" spans="1:25" ht="38.25">
      <c r="A12" s="451">
        <v>2</v>
      </c>
      <c r="B12" s="453" t="s">
        <v>909</v>
      </c>
      <c r="C12" s="137">
        <v>2.1</v>
      </c>
      <c r="D12" s="138" t="s">
        <v>929</v>
      </c>
      <c r="E12" s="138" t="s">
        <v>930</v>
      </c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</row>
    <row r="13" spans="1:25" ht="12.75">
      <c r="A13" s="452"/>
      <c r="B13" s="452"/>
      <c r="C13" s="137">
        <v>2.2000000000000002</v>
      </c>
      <c r="D13" s="138" t="s">
        <v>931</v>
      </c>
      <c r="E13" s="13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</row>
    <row r="14" spans="1:25" ht="25.5">
      <c r="A14" s="452"/>
      <c r="B14" s="452"/>
      <c r="C14" s="137">
        <v>2.2999999999999998</v>
      </c>
      <c r="D14" s="138" t="s">
        <v>932</v>
      </c>
      <c r="E14" s="138" t="s">
        <v>933</v>
      </c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</row>
    <row r="15" spans="1:25" ht="12.75">
      <c r="A15" s="452"/>
      <c r="B15" s="452"/>
      <c r="C15" s="137">
        <v>2.4</v>
      </c>
      <c r="D15" s="138" t="s">
        <v>934</v>
      </c>
      <c r="E15" s="138" t="s">
        <v>935</v>
      </c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</row>
    <row r="16" spans="1:25" ht="51">
      <c r="A16" s="451">
        <v>3</v>
      </c>
      <c r="B16" s="453" t="s">
        <v>936</v>
      </c>
      <c r="C16" s="137">
        <v>3.1</v>
      </c>
      <c r="D16" s="138" t="s">
        <v>937</v>
      </c>
      <c r="E16" s="138" t="s">
        <v>938</v>
      </c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</row>
    <row r="17" spans="1:25" ht="51">
      <c r="A17" s="452"/>
      <c r="B17" s="452"/>
      <c r="C17" s="137">
        <v>3.2</v>
      </c>
      <c r="D17" s="138" t="s">
        <v>939</v>
      </c>
      <c r="E17" s="138" t="s">
        <v>940</v>
      </c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</row>
    <row r="18" spans="1:25" ht="12.75">
      <c r="A18" s="451">
        <v>4</v>
      </c>
      <c r="B18" s="453" t="s">
        <v>911</v>
      </c>
      <c r="C18" s="137">
        <v>4.0999999999999996</v>
      </c>
      <c r="D18" s="138" t="s">
        <v>941</v>
      </c>
      <c r="E18" s="138" t="s">
        <v>942</v>
      </c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</row>
    <row r="19" spans="1:25" ht="25.5">
      <c r="A19" s="452"/>
      <c r="B19" s="452"/>
      <c r="C19" s="137">
        <v>4.2</v>
      </c>
      <c r="D19" s="138" t="s">
        <v>943</v>
      </c>
      <c r="E19" s="138" t="s">
        <v>944</v>
      </c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</row>
    <row r="20" spans="1:25" ht="25.5">
      <c r="A20" s="452"/>
      <c r="B20" s="452"/>
      <c r="C20" s="137">
        <v>4.3</v>
      </c>
      <c r="D20" s="138" t="s">
        <v>945</v>
      </c>
      <c r="E20" s="138" t="s">
        <v>946</v>
      </c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</row>
    <row r="21" spans="1:25" ht="25.5">
      <c r="A21" s="452"/>
      <c r="B21" s="452"/>
      <c r="C21" s="137">
        <v>4.4000000000000004</v>
      </c>
      <c r="D21" s="138" t="s">
        <v>947</v>
      </c>
      <c r="E21" s="138" t="s">
        <v>948</v>
      </c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</row>
    <row r="22" spans="1:25" ht="25.5">
      <c r="A22" s="451">
        <v>5</v>
      </c>
      <c r="B22" s="453" t="s">
        <v>908</v>
      </c>
      <c r="C22" s="137">
        <v>5.0999999999999996</v>
      </c>
      <c r="D22" s="138" t="s">
        <v>949</v>
      </c>
      <c r="E22" s="138" t="s">
        <v>950</v>
      </c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</row>
    <row r="23" spans="1:25" ht="12.75">
      <c r="A23" s="452"/>
      <c r="B23" s="452"/>
      <c r="C23" s="140">
        <v>5.2</v>
      </c>
      <c r="D23" s="138" t="s">
        <v>951</v>
      </c>
      <c r="E23" s="138" t="s">
        <v>952</v>
      </c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</row>
    <row r="24" spans="1:25" ht="12.75">
      <c r="A24" s="452"/>
      <c r="B24" s="452"/>
      <c r="C24" s="137">
        <v>5.3</v>
      </c>
      <c r="D24" s="138" t="s">
        <v>953</v>
      </c>
      <c r="E24" s="138" t="s">
        <v>954</v>
      </c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</row>
    <row r="25" spans="1:25" ht="38.25">
      <c r="A25" s="452"/>
      <c r="B25" s="452"/>
      <c r="C25" s="137">
        <v>5.4</v>
      </c>
      <c r="D25" s="138" t="s">
        <v>955</v>
      </c>
      <c r="E25" s="138" t="s">
        <v>956</v>
      </c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</row>
    <row r="26" spans="1:25" ht="76.5">
      <c r="A26" s="451">
        <v>6</v>
      </c>
      <c r="B26" s="453" t="s">
        <v>957</v>
      </c>
      <c r="C26" s="137">
        <v>6.1</v>
      </c>
      <c r="D26" s="138" t="s">
        <v>958</v>
      </c>
      <c r="E26" s="138" t="s">
        <v>959</v>
      </c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</row>
    <row r="27" spans="1:25" ht="25.5">
      <c r="A27" s="452"/>
      <c r="B27" s="452"/>
      <c r="C27" s="137">
        <v>6.2</v>
      </c>
      <c r="D27" s="138" t="s">
        <v>960</v>
      </c>
      <c r="E27" s="138" t="s">
        <v>961</v>
      </c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</row>
    <row r="28" spans="1:25" ht="38.25">
      <c r="A28" s="452"/>
      <c r="B28" s="452"/>
      <c r="C28" s="137">
        <v>6.3</v>
      </c>
      <c r="D28" s="138" t="s">
        <v>962</v>
      </c>
      <c r="E28" s="138" t="s">
        <v>963</v>
      </c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</row>
    <row r="29" spans="1:25" ht="25.5">
      <c r="A29" s="452"/>
      <c r="B29" s="452"/>
      <c r="C29" s="137">
        <v>6.4</v>
      </c>
      <c r="D29" s="138" t="s">
        <v>964</v>
      </c>
      <c r="E29" s="138" t="s">
        <v>965</v>
      </c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</row>
    <row r="30" spans="1:25" ht="25.5">
      <c r="A30" s="451">
        <v>7</v>
      </c>
      <c r="B30" s="453" t="s">
        <v>906</v>
      </c>
      <c r="C30" s="137">
        <v>7.1</v>
      </c>
      <c r="D30" s="138" t="s">
        <v>966</v>
      </c>
      <c r="E30" s="138" t="s">
        <v>967</v>
      </c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</row>
    <row r="31" spans="1:25" ht="63.75">
      <c r="A31" s="452"/>
      <c r="B31" s="452"/>
      <c r="C31" s="137">
        <v>7.2</v>
      </c>
      <c r="D31" s="138" t="s">
        <v>968</v>
      </c>
      <c r="E31" s="138" t="s">
        <v>1142</v>
      </c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</row>
    <row r="32" spans="1:25" ht="38.25">
      <c r="A32" s="452"/>
      <c r="B32" s="452"/>
      <c r="C32" s="137">
        <v>7.3</v>
      </c>
      <c r="D32" s="138" t="s">
        <v>969</v>
      </c>
      <c r="E32" s="141" t="s">
        <v>970</v>
      </c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</row>
    <row r="33" spans="1:25" ht="25.5">
      <c r="A33" s="452"/>
      <c r="B33" s="452"/>
      <c r="C33" s="137">
        <v>7.4</v>
      </c>
      <c r="D33" s="138" t="s">
        <v>971</v>
      </c>
      <c r="E33" s="138" t="s">
        <v>972</v>
      </c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</row>
    <row r="34" spans="1:25" ht="51">
      <c r="A34" s="452"/>
      <c r="B34" s="452"/>
      <c r="C34" s="137">
        <v>7.5</v>
      </c>
      <c r="D34" s="138" t="s">
        <v>973</v>
      </c>
      <c r="E34" s="138" t="s">
        <v>974</v>
      </c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</row>
    <row r="35" spans="1:25" ht="38.25">
      <c r="A35" s="452"/>
      <c r="B35" s="452"/>
      <c r="C35" s="137">
        <v>7.6</v>
      </c>
      <c r="D35" s="138" t="s">
        <v>975</v>
      </c>
      <c r="E35" s="138" t="s">
        <v>976</v>
      </c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</row>
    <row r="36" spans="1:25" ht="38.25">
      <c r="A36" s="451">
        <v>8</v>
      </c>
      <c r="B36" s="453" t="s">
        <v>904</v>
      </c>
      <c r="C36" s="137">
        <v>8.1</v>
      </c>
      <c r="D36" s="138" t="s">
        <v>977</v>
      </c>
      <c r="E36" s="138" t="s">
        <v>978</v>
      </c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</row>
    <row r="37" spans="1:25" ht="51">
      <c r="A37" s="452"/>
      <c r="B37" s="452"/>
      <c r="C37" s="137">
        <v>8.1999999999999993</v>
      </c>
      <c r="D37" s="138" t="s">
        <v>979</v>
      </c>
      <c r="E37" s="138" t="s">
        <v>980</v>
      </c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</row>
    <row r="38" spans="1:25" ht="51">
      <c r="A38" s="452"/>
      <c r="B38" s="452"/>
      <c r="C38" s="137">
        <v>8.3000000000000007</v>
      </c>
      <c r="D38" s="138" t="s">
        <v>981</v>
      </c>
      <c r="E38" s="138" t="s">
        <v>982</v>
      </c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</row>
    <row r="39" spans="1:25" ht="25.5">
      <c r="A39" s="452"/>
      <c r="B39" s="452"/>
      <c r="C39" s="137">
        <v>8.4</v>
      </c>
      <c r="D39" s="138" t="s">
        <v>983</v>
      </c>
      <c r="E39" s="138" t="s">
        <v>984</v>
      </c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</row>
    <row r="40" spans="1:25" ht="51">
      <c r="A40" s="451">
        <v>9</v>
      </c>
      <c r="B40" s="453" t="s">
        <v>913</v>
      </c>
      <c r="C40" s="137">
        <v>9.1</v>
      </c>
      <c r="D40" s="138" t="s">
        <v>985</v>
      </c>
      <c r="E40" s="138" t="s">
        <v>986</v>
      </c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</row>
    <row r="41" spans="1:25" ht="38.25">
      <c r="A41" s="452"/>
      <c r="B41" s="452"/>
      <c r="C41" s="137">
        <v>9.1999999999999993</v>
      </c>
      <c r="D41" s="138" t="s">
        <v>987</v>
      </c>
      <c r="E41" s="138" t="s">
        <v>988</v>
      </c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</row>
    <row r="42" spans="1:25" ht="12.75">
      <c r="A42" s="452"/>
      <c r="B42" s="452"/>
      <c r="C42" s="137">
        <v>9.3000000000000007</v>
      </c>
      <c r="D42" s="138" t="s">
        <v>989</v>
      </c>
      <c r="E42" s="138" t="s">
        <v>990</v>
      </c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</row>
    <row r="43" spans="1:25" ht="76.5">
      <c r="A43" s="452"/>
      <c r="B43" s="452"/>
      <c r="C43" s="137">
        <v>9.4</v>
      </c>
      <c r="D43" s="138" t="s">
        <v>991</v>
      </c>
      <c r="E43" s="138" t="s">
        <v>992</v>
      </c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</row>
    <row r="44" spans="1:25" ht="25.5">
      <c r="A44" s="451">
        <v>10</v>
      </c>
      <c r="B44" s="453" t="s">
        <v>910</v>
      </c>
      <c r="C44" s="137">
        <v>10.1</v>
      </c>
      <c r="D44" s="138" t="s">
        <v>993</v>
      </c>
      <c r="E44" s="138" t="s">
        <v>994</v>
      </c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</row>
    <row r="45" spans="1:25" ht="12.75">
      <c r="A45" s="452"/>
      <c r="B45" s="452"/>
      <c r="C45" s="137">
        <v>10.199999999999999</v>
      </c>
      <c r="D45" s="138" t="s">
        <v>995</v>
      </c>
      <c r="E45" s="138" t="s">
        <v>996</v>
      </c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</row>
    <row r="46" spans="1:25" ht="51">
      <c r="A46" s="451">
        <v>11</v>
      </c>
      <c r="B46" s="453" t="s">
        <v>907</v>
      </c>
      <c r="C46" s="137">
        <v>11.1</v>
      </c>
      <c r="D46" s="138" t="s">
        <v>997</v>
      </c>
      <c r="E46" s="138" t="s">
        <v>998</v>
      </c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</row>
    <row r="47" spans="1:25" ht="25.5">
      <c r="A47" s="452"/>
      <c r="B47" s="452"/>
      <c r="C47" s="137">
        <v>11.2</v>
      </c>
      <c r="D47" s="138" t="s">
        <v>999</v>
      </c>
      <c r="E47" s="138" t="s">
        <v>1000</v>
      </c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</row>
    <row r="48" spans="1:25" ht="38.25">
      <c r="A48" s="452"/>
      <c r="B48" s="452"/>
      <c r="C48" s="137">
        <v>11.3</v>
      </c>
      <c r="D48" s="138" t="s">
        <v>1001</v>
      </c>
      <c r="E48" s="138" t="s">
        <v>1002</v>
      </c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</row>
    <row r="49" spans="1:25" ht="12.75">
      <c r="A49" s="452"/>
      <c r="B49" s="452"/>
      <c r="C49" s="137">
        <v>11.4</v>
      </c>
      <c r="D49" s="138" t="s">
        <v>1003</v>
      </c>
      <c r="E49" s="13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</row>
    <row r="50" spans="1:25" ht="12.75">
      <c r="A50" s="142"/>
      <c r="B50" s="143"/>
      <c r="C50" s="144"/>
      <c r="D50" s="130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</row>
    <row r="51" spans="1:25" ht="12.75">
      <c r="A51" s="142"/>
      <c r="B51" s="143"/>
      <c r="C51" s="144"/>
      <c r="D51" s="130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</row>
    <row r="52" spans="1:25" ht="12.75">
      <c r="A52" s="142"/>
      <c r="B52" s="143"/>
      <c r="C52" s="144"/>
      <c r="D52" s="130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</row>
    <row r="53" spans="1:25" ht="12.75">
      <c r="A53" s="128"/>
      <c r="B53" s="143"/>
      <c r="C53" s="144"/>
      <c r="D53" s="130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</row>
    <row r="54" spans="1:25" ht="12.75">
      <c r="A54" s="142"/>
      <c r="B54" s="143"/>
      <c r="C54" s="144"/>
      <c r="D54" s="130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</row>
    <row r="55" spans="1:25" ht="12.75">
      <c r="A55" s="142"/>
      <c r="B55" s="143"/>
      <c r="C55" s="144"/>
      <c r="D55" s="130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</row>
    <row r="56" spans="1:25" ht="12.75">
      <c r="A56" s="142"/>
      <c r="B56" s="143"/>
      <c r="C56" s="144"/>
      <c r="D56" s="130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</row>
    <row r="57" spans="1:25" ht="12.75">
      <c r="A57" s="142"/>
      <c r="B57" s="143"/>
      <c r="C57" s="144"/>
      <c r="D57" s="130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</row>
    <row r="58" spans="1:25" ht="12.75">
      <c r="A58" s="142"/>
      <c r="B58" s="130"/>
      <c r="C58" s="144"/>
      <c r="D58" s="143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</row>
    <row r="59" spans="1:25" ht="12.75">
      <c r="A59" s="142"/>
      <c r="B59" s="143"/>
      <c r="C59" s="144"/>
      <c r="D59" s="130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</row>
    <row r="60" spans="1:25" ht="12.75">
      <c r="A60" s="142"/>
      <c r="B60" s="143"/>
      <c r="C60" s="144"/>
      <c r="D60" s="130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</row>
    <row r="61" spans="1:25" ht="12.75">
      <c r="A61" s="142"/>
      <c r="B61" s="143"/>
      <c r="C61" s="144"/>
      <c r="D61" s="130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</row>
    <row r="62" spans="1:25" ht="12.75">
      <c r="A62" s="142"/>
      <c r="B62" s="143"/>
      <c r="C62" s="144"/>
      <c r="D62" s="130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</row>
    <row r="63" spans="1:25" ht="12.75">
      <c r="A63" s="142"/>
      <c r="B63" s="143"/>
      <c r="C63" s="144"/>
      <c r="D63" s="130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</row>
    <row r="64" spans="1:25" ht="12.75">
      <c r="A64" s="142"/>
      <c r="B64" s="143"/>
      <c r="C64" s="144"/>
      <c r="D64" s="130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</row>
    <row r="65" spans="1:25" ht="12.75">
      <c r="A65" s="142"/>
      <c r="B65" s="143"/>
      <c r="C65" s="144"/>
      <c r="D65" s="130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</row>
    <row r="66" spans="1:25" ht="12.75">
      <c r="A66" s="142"/>
      <c r="B66" s="143"/>
      <c r="C66" s="144"/>
      <c r="D66" s="130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</row>
    <row r="67" spans="1:25" ht="12.75">
      <c r="A67" s="142"/>
      <c r="B67" s="143"/>
      <c r="C67" s="144"/>
      <c r="D67" s="130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</row>
    <row r="68" spans="1:25" ht="12.75">
      <c r="A68" s="142"/>
      <c r="B68" s="143"/>
      <c r="C68" s="144"/>
      <c r="D68" s="130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</row>
    <row r="69" spans="1:25" ht="12.75">
      <c r="A69" s="142"/>
      <c r="B69" s="143"/>
      <c r="C69" s="144"/>
      <c r="D69" s="130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</row>
    <row r="70" spans="1:25" ht="12.75">
      <c r="A70" s="142"/>
      <c r="B70" s="143"/>
      <c r="C70" s="144"/>
      <c r="D70" s="130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</row>
    <row r="71" spans="1:25" ht="12.75">
      <c r="A71" s="142"/>
      <c r="B71" s="143"/>
      <c r="C71" s="144"/>
      <c r="D71" s="130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</row>
    <row r="72" spans="1:25" ht="12.75">
      <c r="A72" s="142"/>
      <c r="B72" s="143"/>
      <c r="C72" s="144"/>
      <c r="D72" s="130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</row>
    <row r="73" spans="1:25" ht="12.75">
      <c r="A73" s="142"/>
      <c r="B73" s="143"/>
      <c r="C73" s="144"/>
      <c r="D73" s="130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</row>
    <row r="74" spans="1:25" ht="12.75">
      <c r="A74" s="142"/>
      <c r="B74" s="143"/>
      <c r="C74" s="145"/>
      <c r="D74" s="130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</row>
    <row r="75" spans="1:25" ht="12.75">
      <c r="A75" s="142"/>
      <c r="B75" s="143"/>
      <c r="C75" s="144"/>
      <c r="D75" s="130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</row>
    <row r="76" spans="1:25" ht="12.75">
      <c r="A76" s="142"/>
      <c r="B76" s="143"/>
      <c r="C76" s="144"/>
      <c r="D76" s="130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</row>
    <row r="77" spans="1:25" ht="12.75">
      <c r="A77" s="142"/>
      <c r="B77" s="143"/>
      <c r="C77" s="144"/>
      <c r="D77" s="130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</row>
    <row r="78" spans="1:25" ht="12.75">
      <c r="A78" s="142"/>
      <c r="B78" s="143"/>
      <c r="C78" s="144"/>
      <c r="D78" s="130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</row>
    <row r="79" spans="1:25" ht="12.75">
      <c r="A79" s="142"/>
      <c r="B79" s="143"/>
      <c r="C79" s="144"/>
      <c r="D79" s="130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</row>
    <row r="80" spans="1:25" ht="12.75">
      <c r="A80" s="142"/>
      <c r="B80" s="143"/>
      <c r="C80" s="144"/>
      <c r="D80" s="130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</row>
    <row r="81" spans="1:25" ht="12.75">
      <c r="A81" s="142"/>
      <c r="B81" s="143"/>
      <c r="C81" s="144"/>
      <c r="D81" s="130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</row>
    <row r="82" spans="1:25" ht="12.75">
      <c r="A82" s="142"/>
      <c r="B82" s="143"/>
      <c r="C82" s="144"/>
      <c r="D82" s="130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</row>
    <row r="83" spans="1:25" ht="12.75">
      <c r="A83" s="142"/>
      <c r="B83" s="143"/>
      <c r="C83" s="144"/>
      <c r="D83" s="130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</row>
    <row r="84" spans="1:25" ht="12.75">
      <c r="A84" s="142"/>
      <c r="B84" s="143"/>
      <c r="C84" s="144"/>
      <c r="D84" s="130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</row>
    <row r="85" spans="1:25" ht="12.75">
      <c r="A85" s="142"/>
      <c r="B85" s="143"/>
      <c r="C85" s="144"/>
      <c r="D85" s="143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</row>
    <row r="86" spans="1:25" ht="12.75">
      <c r="A86" s="142"/>
      <c r="B86" s="143"/>
      <c r="C86" s="144"/>
      <c r="D86" s="130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</row>
    <row r="87" spans="1:25" ht="12.75">
      <c r="A87" s="142"/>
      <c r="B87" s="143"/>
      <c r="C87" s="144"/>
      <c r="D87" s="130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</row>
    <row r="88" spans="1:25" ht="12.75">
      <c r="A88" s="142"/>
      <c r="B88" s="143"/>
      <c r="C88" s="144"/>
      <c r="D88" s="130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</row>
    <row r="89" spans="1:25" ht="12.75">
      <c r="A89" s="142"/>
      <c r="B89" s="143"/>
      <c r="C89" s="144"/>
      <c r="D89" s="130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</row>
    <row r="90" spans="1:25" ht="12.75">
      <c r="A90" s="142"/>
      <c r="B90" s="143"/>
      <c r="C90" s="144"/>
      <c r="D90" s="130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</row>
    <row r="91" spans="1:25" ht="12.75">
      <c r="A91" s="142"/>
      <c r="B91" s="143"/>
      <c r="C91" s="144"/>
      <c r="D91" s="130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</row>
    <row r="92" spans="1:25" ht="12.75">
      <c r="A92" s="142"/>
      <c r="B92" s="143"/>
      <c r="C92" s="144"/>
      <c r="D92" s="130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</row>
    <row r="93" spans="1:25" ht="12.75">
      <c r="A93" s="142"/>
      <c r="B93" s="143"/>
      <c r="C93" s="144"/>
      <c r="D93" s="130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</row>
    <row r="94" spans="1:25" ht="12.75">
      <c r="A94" s="142"/>
      <c r="B94" s="143"/>
      <c r="C94" s="144"/>
      <c r="D94" s="130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</row>
    <row r="95" spans="1:25" ht="12.75">
      <c r="A95" s="142"/>
      <c r="B95" s="143"/>
      <c r="C95" s="144"/>
      <c r="D95" s="130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</row>
    <row r="96" spans="1:25" ht="12.75">
      <c r="A96" s="142"/>
      <c r="B96" s="143"/>
      <c r="C96" s="144"/>
      <c r="D96" s="130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</row>
    <row r="97" spans="1:25" ht="12.75">
      <c r="A97" s="142"/>
      <c r="B97" s="143"/>
      <c r="C97" s="144"/>
      <c r="D97" s="130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</row>
    <row r="98" spans="1:25" ht="12.75">
      <c r="A98" s="142"/>
      <c r="B98" s="143"/>
      <c r="C98" s="144"/>
      <c r="D98" s="130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</row>
    <row r="99" spans="1:25" ht="12.75">
      <c r="A99" s="142"/>
      <c r="B99" s="143"/>
      <c r="C99" s="144"/>
      <c r="D99" s="130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</row>
    <row r="100" spans="1:25" ht="12.75">
      <c r="A100" s="142"/>
      <c r="B100" s="143"/>
      <c r="C100" s="144"/>
      <c r="D100" s="130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</row>
    <row r="101" spans="1:25" ht="12.75">
      <c r="A101" s="142"/>
      <c r="B101" s="143"/>
      <c r="C101" s="144"/>
      <c r="D101" s="130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</row>
    <row r="102" spans="1:25" ht="12.75">
      <c r="A102" s="142"/>
      <c r="B102" s="143"/>
      <c r="C102" s="144"/>
      <c r="D102" s="130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</row>
    <row r="103" spans="1:25" ht="12.75">
      <c r="A103" s="142"/>
      <c r="B103" s="143"/>
      <c r="C103" s="144"/>
      <c r="D103" s="130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</row>
    <row r="104" spans="1:25" ht="12.75">
      <c r="A104" s="142"/>
      <c r="B104" s="143"/>
      <c r="C104" s="144"/>
      <c r="D104" s="130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</row>
    <row r="105" spans="1:25" ht="12.75">
      <c r="A105" s="142"/>
      <c r="B105" s="143"/>
      <c r="C105" s="144"/>
      <c r="D105" s="130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</row>
    <row r="106" spans="1:25" ht="12.75">
      <c r="A106" s="142"/>
      <c r="B106" s="143"/>
      <c r="C106" s="144"/>
      <c r="D106" s="130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</row>
    <row r="107" spans="1:25" ht="12.75">
      <c r="A107" s="142"/>
      <c r="B107" s="143"/>
      <c r="C107" s="144"/>
      <c r="D107" s="130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</row>
    <row r="108" spans="1:25" ht="12.75">
      <c r="A108" s="142"/>
      <c r="B108" s="143"/>
      <c r="C108" s="144"/>
      <c r="D108" s="130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</row>
    <row r="109" spans="1:25" ht="12.75">
      <c r="A109" s="142"/>
      <c r="B109" s="143"/>
      <c r="C109" s="144"/>
      <c r="D109" s="130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</row>
    <row r="110" spans="1:25" ht="12.75">
      <c r="A110" s="142"/>
      <c r="B110" s="143"/>
      <c r="C110" s="144"/>
      <c r="D110" s="130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</row>
    <row r="111" spans="1:25" ht="12.75">
      <c r="A111" s="142"/>
      <c r="B111" s="143"/>
      <c r="C111" s="144"/>
      <c r="D111" s="130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</row>
    <row r="112" spans="1:25" ht="12.75">
      <c r="A112" s="142"/>
      <c r="B112" s="143"/>
      <c r="C112" s="144"/>
      <c r="D112" s="130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</row>
    <row r="113" spans="1:25" ht="12.75">
      <c r="A113" s="142"/>
      <c r="B113" s="143"/>
      <c r="C113" s="144"/>
      <c r="D113" s="130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</row>
    <row r="114" spans="1:25" ht="12.75">
      <c r="A114" s="142"/>
      <c r="B114" s="143"/>
      <c r="C114" s="144"/>
      <c r="D114" s="130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</row>
    <row r="115" spans="1:25" ht="12.75">
      <c r="A115" s="142"/>
      <c r="B115" s="143"/>
      <c r="C115" s="144"/>
      <c r="D115" s="130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</row>
    <row r="116" spans="1:25" ht="12.75">
      <c r="A116" s="142"/>
      <c r="B116" s="143"/>
      <c r="C116" s="144"/>
      <c r="D116" s="130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</row>
    <row r="117" spans="1:25" ht="12.75">
      <c r="A117" s="142"/>
      <c r="B117" s="143"/>
      <c r="C117" s="144"/>
      <c r="D117" s="130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</row>
    <row r="118" spans="1:25" ht="12.75">
      <c r="A118" s="142"/>
      <c r="B118" s="143"/>
      <c r="C118" s="144"/>
      <c r="D118" s="130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</row>
    <row r="119" spans="1:25" ht="12.75">
      <c r="A119" s="142"/>
      <c r="B119" s="143"/>
      <c r="C119" s="144"/>
      <c r="D119" s="130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</row>
    <row r="120" spans="1:25" ht="12.75">
      <c r="A120" s="142"/>
      <c r="B120" s="143"/>
      <c r="C120" s="144"/>
      <c r="D120" s="130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</row>
    <row r="121" spans="1:25" ht="12.75">
      <c r="A121" s="142"/>
      <c r="B121" s="143"/>
      <c r="C121" s="144"/>
      <c r="D121" s="130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</row>
    <row r="122" spans="1:25" ht="12.75">
      <c r="A122" s="142"/>
      <c r="B122" s="143"/>
      <c r="C122" s="144"/>
      <c r="D122" s="130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</row>
    <row r="123" spans="1:25" ht="12.75">
      <c r="A123" s="142"/>
      <c r="B123" s="143"/>
      <c r="C123" s="144"/>
      <c r="D123" s="130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</row>
    <row r="124" spans="1:25" ht="12.75">
      <c r="A124" s="142"/>
      <c r="B124" s="143"/>
      <c r="C124" s="144"/>
      <c r="D124" s="130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</row>
    <row r="125" spans="1:25" ht="12.75">
      <c r="A125" s="142"/>
      <c r="B125" s="143"/>
      <c r="C125" s="144"/>
      <c r="D125" s="130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</row>
    <row r="126" spans="1:25" ht="12.75">
      <c r="A126" s="142"/>
      <c r="B126" s="143"/>
      <c r="C126" s="144"/>
      <c r="D126" s="130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</row>
    <row r="127" spans="1:25" ht="12.75">
      <c r="A127" s="142"/>
      <c r="B127" s="143"/>
      <c r="C127" s="144"/>
      <c r="D127" s="130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</row>
    <row r="128" spans="1:25" ht="12.75">
      <c r="A128" s="142"/>
      <c r="B128" s="143"/>
      <c r="C128" s="144"/>
      <c r="D128" s="130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</row>
    <row r="129" spans="1:25" ht="12.75">
      <c r="A129" s="142"/>
      <c r="B129" s="128"/>
      <c r="C129" s="129"/>
      <c r="D129" s="130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</row>
    <row r="130" spans="1:25" ht="12.75">
      <c r="A130" s="142"/>
      <c r="B130" s="128"/>
      <c r="C130" s="129"/>
      <c r="D130" s="130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</row>
    <row r="131" spans="1:25" ht="12.75">
      <c r="A131" s="142"/>
      <c r="B131" s="128"/>
      <c r="C131" s="129"/>
      <c r="D131" s="130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</row>
    <row r="132" spans="1:25" ht="12.75">
      <c r="A132" s="142"/>
      <c r="B132" s="128"/>
      <c r="C132" s="129"/>
      <c r="D132" s="130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</row>
    <row r="133" spans="1:25" ht="12.75">
      <c r="A133" s="142"/>
      <c r="B133" s="128"/>
      <c r="C133" s="129"/>
      <c r="D133" s="130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</row>
    <row r="134" spans="1:25" ht="12.75">
      <c r="A134" s="142"/>
      <c r="B134" s="128"/>
      <c r="C134" s="129"/>
      <c r="D134" s="130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</row>
    <row r="135" spans="1:25" ht="12.75">
      <c r="A135" s="142"/>
      <c r="B135" s="128"/>
      <c r="C135" s="129"/>
      <c r="D135" s="130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</row>
    <row r="136" spans="1:25" ht="12.75">
      <c r="A136" s="142"/>
      <c r="B136" s="128"/>
      <c r="C136" s="129"/>
      <c r="D136" s="130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</row>
    <row r="137" spans="1:25" ht="12.75">
      <c r="A137" s="142"/>
      <c r="B137" s="128"/>
      <c r="C137" s="129"/>
      <c r="D137" s="130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</row>
    <row r="138" spans="1:25" ht="12.75">
      <c r="A138" s="142"/>
      <c r="B138" s="128"/>
      <c r="C138" s="129"/>
      <c r="D138" s="130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</row>
    <row r="139" spans="1:25" ht="12.75">
      <c r="A139" s="142"/>
      <c r="B139" s="128"/>
      <c r="C139" s="129"/>
      <c r="D139" s="130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</row>
    <row r="140" spans="1:25" ht="12.75">
      <c r="A140" s="142"/>
      <c r="B140" s="128"/>
      <c r="C140" s="129"/>
      <c r="D140" s="130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</row>
    <row r="141" spans="1:25" ht="12.75">
      <c r="A141" s="142"/>
      <c r="B141" s="128"/>
      <c r="C141" s="129"/>
      <c r="D141" s="130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</row>
    <row r="142" spans="1:25" ht="12.75">
      <c r="A142" s="142"/>
      <c r="B142" s="128"/>
      <c r="C142" s="129"/>
      <c r="D142" s="130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</row>
    <row r="143" spans="1:25" ht="12.75">
      <c r="A143" s="142"/>
      <c r="B143" s="128"/>
      <c r="C143" s="129"/>
      <c r="D143" s="130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</row>
    <row r="144" spans="1:25" ht="12.75">
      <c r="A144" s="142"/>
      <c r="B144" s="128"/>
      <c r="C144" s="129"/>
      <c r="D144" s="130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</row>
    <row r="145" spans="1:25" ht="12.75">
      <c r="A145" s="142"/>
      <c r="B145" s="128"/>
      <c r="C145" s="129"/>
      <c r="D145" s="130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</row>
    <row r="146" spans="1:25" ht="12.75">
      <c r="A146" s="142"/>
      <c r="B146" s="128"/>
      <c r="C146" s="129"/>
      <c r="D146" s="130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</row>
    <row r="147" spans="1:25" ht="12.75">
      <c r="A147" s="142"/>
      <c r="B147" s="128"/>
      <c r="C147" s="129"/>
      <c r="D147" s="130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</row>
    <row r="148" spans="1:25" ht="12.75">
      <c r="A148" s="142"/>
      <c r="B148" s="128"/>
      <c r="C148" s="129"/>
      <c r="D148" s="130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</row>
    <row r="149" spans="1:25" ht="12.75">
      <c r="A149" s="142"/>
      <c r="B149" s="128"/>
      <c r="C149" s="129"/>
      <c r="D149" s="130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</row>
    <row r="150" spans="1:25" ht="12.75">
      <c r="A150" s="142"/>
      <c r="B150" s="128"/>
      <c r="C150" s="129"/>
      <c r="D150" s="130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</row>
    <row r="151" spans="1:25" ht="12.75">
      <c r="A151" s="142"/>
      <c r="B151" s="128"/>
      <c r="C151" s="129"/>
      <c r="D151" s="130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</row>
    <row r="152" spans="1:25" ht="12.75">
      <c r="A152" s="142"/>
      <c r="B152" s="128"/>
      <c r="C152" s="129"/>
      <c r="D152" s="130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</row>
    <row r="153" spans="1:25" ht="12.75">
      <c r="A153" s="142"/>
      <c r="B153" s="128"/>
      <c r="C153" s="129"/>
      <c r="D153" s="130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</row>
    <row r="154" spans="1:25" ht="12.75">
      <c r="A154" s="142"/>
      <c r="B154" s="128"/>
      <c r="C154" s="129"/>
      <c r="D154" s="130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</row>
    <row r="155" spans="1:25" ht="12.75">
      <c r="A155" s="142"/>
      <c r="B155" s="128"/>
      <c r="C155" s="129"/>
      <c r="D155" s="130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</row>
    <row r="156" spans="1:25" ht="12.75">
      <c r="A156" s="142"/>
      <c r="B156" s="128"/>
      <c r="C156" s="129"/>
      <c r="D156" s="130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</row>
    <row r="157" spans="1:25" ht="12.75">
      <c r="A157" s="142"/>
      <c r="B157" s="128"/>
      <c r="C157" s="129"/>
      <c r="D157" s="130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</row>
    <row r="158" spans="1:25" ht="12.75">
      <c r="A158" s="142"/>
      <c r="B158" s="128"/>
      <c r="C158" s="129"/>
      <c r="D158" s="130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</row>
    <row r="159" spans="1:25" ht="12.75">
      <c r="A159" s="142"/>
      <c r="B159" s="128"/>
      <c r="C159" s="129"/>
      <c r="D159" s="130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</row>
    <row r="160" spans="1:25" ht="12.75">
      <c r="A160" s="142"/>
      <c r="B160" s="128"/>
      <c r="C160" s="129"/>
      <c r="D160" s="130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</row>
    <row r="161" spans="1:25" ht="12.75">
      <c r="A161" s="142"/>
      <c r="B161" s="128"/>
      <c r="C161" s="129"/>
      <c r="D161" s="130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</row>
    <row r="162" spans="1:25" ht="12.75">
      <c r="A162" s="142"/>
      <c r="B162" s="128"/>
      <c r="C162" s="129"/>
      <c r="D162" s="130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</row>
    <row r="163" spans="1:25" ht="12.75">
      <c r="A163" s="142"/>
      <c r="B163" s="128"/>
      <c r="C163" s="129"/>
      <c r="D163" s="130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</row>
    <row r="164" spans="1:25" ht="12.75">
      <c r="A164" s="142"/>
      <c r="B164" s="128"/>
      <c r="C164" s="129"/>
      <c r="D164" s="130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</row>
    <row r="165" spans="1:25" ht="12.75">
      <c r="A165" s="142"/>
      <c r="B165" s="128"/>
      <c r="C165" s="129"/>
      <c r="D165" s="130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</row>
    <row r="166" spans="1:25" ht="12.75">
      <c r="A166" s="142"/>
      <c r="B166" s="128"/>
      <c r="C166" s="129"/>
      <c r="D166" s="130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</row>
    <row r="167" spans="1:25" ht="12.75">
      <c r="A167" s="142"/>
      <c r="B167" s="128"/>
      <c r="C167" s="129"/>
      <c r="D167" s="130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</row>
    <row r="168" spans="1:25" ht="12.75">
      <c r="A168" s="142"/>
      <c r="B168" s="128"/>
      <c r="C168" s="129"/>
      <c r="D168" s="130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</row>
    <row r="169" spans="1:25" ht="12.75">
      <c r="A169" s="142"/>
      <c r="B169" s="128"/>
      <c r="C169" s="129"/>
      <c r="D169" s="130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</row>
    <row r="170" spans="1:25" ht="12.75">
      <c r="A170" s="142"/>
      <c r="B170" s="128"/>
      <c r="C170" s="129"/>
      <c r="D170" s="130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</row>
    <row r="171" spans="1:25" ht="12.75">
      <c r="A171" s="142"/>
      <c r="B171" s="128"/>
      <c r="C171" s="129"/>
      <c r="D171" s="130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</row>
    <row r="172" spans="1:25" ht="12.75">
      <c r="A172" s="142"/>
      <c r="B172" s="128"/>
      <c r="C172" s="129"/>
      <c r="D172" s="130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</row>
    <row r="173" spans="1:25" ht="12.75">
      <c r="A173" s="142"/>
      <c r="B173" s="128"/>
      <c r="C173" s="129"/>
      <c r="D173" s="130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</row>
    <row r="174" spans="1:25" ht="12.75">
      <c r="A174" s="142"/>
      <c r="B174" s="128"/>
      <c r="C174" s="129"/>
      <c r="D174" s="130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</row>
    <row r="175" spans="1:25" ht="12.75">
      <c r="A175" s="142"/>
      <c r="B175" s="128"/>
      <c r="C175" s="129"/>
      <c r="D175" s="130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</row>
    <row r="176" spans="1:25" ht="12.75">
      <c r="A176" s="142"/>
      <c r="B176" s="128"/>
      <c r="C176" s="129"/>
      <c r="D176" s="130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</row>
    <row r="177" spans="1:25" ht="12.75">
      <c r="A177" s="142"/>
      <c r="B177" s="128"/>
      <c r="C177" s="129"/>
      <c r="D177" s="130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</row>
    <row r="178" spans="1:25" ht="12.75">
      <c r="A178" s="142"/>
      <c r="B178" s="128"/>
      <c r="C178" s="129"/>
      <c r="D178" s="130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</row>
    <row r="179" spans="1:25" ht="12.75">
      <c r="A179" s="142"/>
      <c r="B179" s="128"/>
      <c r="C179" s="129"/>
      <c r="D179" s="130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</row>
    <row r="180" spans="1:25" ht="12.75">
      <c r="A180" s="142"/>
      <c r="B180" s="128"/>
      <c r="C180" s="129"/>
      <c r="D180" s="130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</row>
    <row r="181" spans="1:25" ht="12.75">
      <c r="A181" s="142"/>
      <c r="B181" s="128"/>
      <c r="C181" s="129"/>
      <c r="D181" s="130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</row>
    <row r="182" spans="1:25" ht="12.75">
      <c r="A182" s="142"/>
      <c r="B182" s="128"/>
      <c r="C182" s="129"/>
      <c r="D182" s="130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</row>
    <row r="183" spans="1:25" ht="12.75">
      <c r="A183" s="142"/>
      <c r="B183" s="128"/>
      <c r="C183" s="129"/>
      <c r="D183" s="130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</row>
    <row r="184" spans="1:25" ht="12.75">
      <c r="A184" s="142"/>
      <c r="B184" s="128"/>
      <c r="C184" s="129"/>
      <c r="D184" s="130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</row>
    <row r="185" spans="1:25" ht="12.75">
      <c r="A185" s="142"/>
      <c r="B185" s="128"/>
      <c r="C185" s="129"/>
      <c r="D185" s="130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</row>
    <row r="186" spans="1:25" ht="12.75">
      <c r="A186" s="142"/>
      <c r="B186" s="128"/>
      <c r="C186" s="129"/>
      <c r="D186" s="130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</row>
    <row r="187" spans="1:25" ht="12.75">
      <c r="A187" s="142"/>
      <c r="B187" s="128"/>
      <c r="C187" s="129"/>
      <c r="D187" s="130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</row>
    <row r="188" spans="1:25" ht="12.75">
      <c r="A188" s="142"/>
      <c r="B188" s="128"/>
      <c r="C188" s="129"/>
      <c r="D188" s="130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</row>
    <row r="189" spans="1:25" ht="12.75">
      <c r="A189" s="142"/>
      <c r="B189" s="128"/>
      <c r="C189" s="129"/>
      <c r="D189" s="130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</row>
    <row r="190" spans="1:25" ht="12.75">
      <c r="A190" s="142"/>
      <c r="B190" s="128"/>
      <c r="C190" s="129"/>
      <c r="D190" s="130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</row>
    <row r="191" spans="1:25" ht="12.75">
      <c r="A191" s="142"/>
      <c r="B191" s="128"/>
      <c r="C191" s="129"/>
      <c r="D191" s="130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</row>
    <row r="192" spans="1:25" ht="12.75">
      <c r="A192" s="142"/>
      <c r="B192" s="128"/>
      <c r="C192" s="129"/>
      <c r="D192" s="130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</row>
    <row r="193" spans="1:25" ht="12.75">
      <c r="A193" s="142"/>
      <c r="B193" s="128"/>
      <c r="C193" s="129"/>
      <c r="D193" s="130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</row>
    <row r="194" spans="1:25" ht="12.75">
      <c r="A194" s="142"/>
      <c r="B194" s="128"/>
      <c r="C194" s="129"/>
      <c r="D194" s="130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</row>
    <row r="195" spans="1:25" ht="12.75">
      <c r="A195" s="142"/>
      <c r="B195" s="128"/>
      <c r="C195" s="129"/>
      <c r="D195" s="130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</row>
    <row r="196" spans="1:25" ht="12.75">
      <c r="A196" s="142"/>
      <c r="B196" s="128"/>
      <c r="C196" s="129"/>
      <c r="D196" s="130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</row>
    <row r="197" spans="1:25" ht="12.75">
      <c r="A197" s="142"/>
      <c r="B197" s="128"/>
      <c r="C197" s="129"/>
      <c r="D197" s="130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</row>
    <row r="198" spans="1:25" ht="12.75">
      <c r="A198" s="142"/>
      <c r="B198" s="128"/>
      <c r="C198" s="129"/>
      <c r="D198" s="130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</row>
    <row r="199" spans="1:25" ht="12.75">
      <c r="A199" s="142"/>
      <c r="B199" s="128"/>
      <c r="C199" s="129"/>
      <c r="D199" s="130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</row>
    <row r="200" spans="1:25" ht="12.75">
      <c r="A200" s="142"/>
      <c r="B200" s="128"/>
      <c r="C200" s="129"/>
      <c r="D200" s="130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</row>
    <row r="201" spans="1:25" ht="12.75">
      <c r="A201" s="142"/>
      <c r="B201" s="128"/>
      <c r="C201" s="129"/>
      <c r="D201" s="130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</row>
    <row r="202" spans="1:25" ht="12.75">
      <c r="A202" s="142"/>
      <c r="B202" s="128"/>
      <c r="C202" s="129"/>
      <c r="D202" s="130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</row>
    <row r="203" spans="1:25" ht="12.75">
      <c r="A203" s="142"/>
      <c r="B203" s="128"/>
      <c r="C203" s="129"/>
      <c r="D203" s="130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</row>
    <row r="204" spans="1:25" ht="12.75">
      <c r="A204" s="142"/>
      <c r="B204" s="128"/>
      <c r="C204" s="129"/>
      <c r="D204" s="130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</row>
    <row r="205" spans="1:25" ht="12.75">
      <c r="A205" s="142"/>
      <c r="B205" s="128"/>
      <c r="C205" s="129"/>
      <c r="D205" s="130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</row>
    <row r="206" spans="1:25" ht="12.75">
      <c r="A206" s="142"/>
      <c r="B206" s="128"/>
      <c r="C206" s="129"/>
      <c r="D206" s="130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</row>
    <row r="207" spans="1:25" ht="12.75">
      <c r="A207" s="142"/>
      <c r="B207" s="128"/>
      <c r="C207" s="129"/>
      <c r="D207" s="130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</row>
    <row r="208" spans="1:25" ht="12.75">
      <c r="A208" s="142"/>
      <c r="B208" s="128"/>
      <c r="C208" s="129"/>
      <c r="D208" s="130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</row>
    <row r="209" spans="1:25" ht="12.75">
      <c r="A209" s="142"/>
      <c r="B209" s="128"/>
      <c r="C209" s="129"/>
      <c r="D209" s="130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</row>
    <row r="210" spans="1:25" ht="12.75">
      <c r="A210" s="142"/>
      <c r="B210" s="128"/>
      <c r="C210" s="129"/>
      <c r="D210" s="130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</row>
    <row r="211" spans="1:25" ht="12.75">
      <c r="A211" s="142"/>
      <c r="B211" s="128"/>
      <c r="C211" s="129"/>
      <c r="D211" s="130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</row>
    <row r="212" spans="1:25" ht="12.75">
      <c r="A212" s="142"/>
      <c r="B212" s="128"/>
      <c r="C212" s="129"/>
      <c r="D212" s="130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</row>
    <row r="213" spans="1:25" ht="12.75">
      <c r="A213" s="142"/>
      <c r="B213" s="128"/>
      <c r="C213" s="129"/>
      <c r="D213" s="130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</row>
    <row r="214" spans="1:25" ht="12.75">
      <c r="A214" s="142"/>
      <c r="B214" s="128"/>
      <c r="C214" s="129"/>
      <c r="D214" s="130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</row>
    <row r="215" spans="1:25" ht="12.75">
      <c r="A215" s="142"/>
      <c r="B215" s="128"/>
      <c r="C215" s="129"/>
      <c r="D215" s="130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</row>
    <row r="216" spans="1:25" ht="12.75">
      <c r="A216" s="142"/>
      <c r="B216" s="128"/>
      <c r="C216" s="129"/>
      <c r="D216" s="130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</row>
    <row r="217" spans="1:25" ht="12.75">
      <c r="A217" s="142"/>
      <c r="B217" s="128"/>
      <c r="C217" s="129"/>
      <c r="D217" s="130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</row>
    <row r="218" spans="1:25" ht="12.75">
      <c r="A218" s="142"/>
      <c r="B218" s="128"/>
      <c r="C218" s="129"/>
      <c r="D218" s="130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</row>
    <row r="219" spans="1:25" ht="12.75">
      <c r="A219" s="142"/>
      <c r="B219" s="128"/>
      <c r="C219" s="129"/>
      <c r="D219" s="130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</row>
    <row r="220" spans="1:25" ht="12.75">
      <c r="A220" s="142"/>
      <c r="B220" s="128"/>
      <c r="C220" s="129"/>
      <c r="D220" s="130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</row>
    <row r="221" spans="1:25" ht="12.75">
      <c r="A221" s="142"/>
      <c r="B221" s="128"/>
      <c r="C221" s="129"/>
      <c r="D221" s="130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</row>
    <row r="222" spans="1:25" ht="12.75">
      <c r="A222" s="142"/>
      <c r="B222" s="128"/>
      <c r="C222" s="129"/>
      <c r="D222" s="130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</row>
    <row r="223" spans="1:25" ht="12.75">
      <c r="A223" s="142"/>
      <c r="B223" s="128"/>
      <c r="C223" s="129"/>
      <c r="D223" s="130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</row>
    <row r="224" spans="1:25" ht="12.75">
      <c r="A224" s="142"/>
      <c r="B224" s="128"/>
      <c r="C224" s="129"/>
      <c r="D224" s="130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</row>
    <row r="225" spans="1:25" ht="12.75">
      <c r="A225" s="142"/>
      <c r="B225" s="128"/>
      <c r="C225" s="129"/>
      <c r="D225" s="130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</row>
    <row r="226" spans="1:25" ht="12.75">
      <c r="A226" s="142"/>
      <c r="B226" s="128"/>
      <c r="C226" s="129"/>
      <c r="D226" s="130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</row>
    <row r="227" spans="1:25" ht="12.75">
      <c r="A227" s="142"/>
      <c r="B227" s="128"/>
      <c r="C227" s="129"/>
      <c r="D227" s="130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</row>
    <row r="228" spans="1:25" ht="12.75">
      <c r="A228" s="142"/>
      <c r="B228" s="128"/>
      <c r="C228" s="129"/>
      <c r="D228" s="130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</row>
    <row r="229" spans="1:25" ht="12.75">
      <c r="A229" s="142"/>
      <c r="B229" s="128"/>
      <c r="C229" s="129"/>
      <c r="D229" s="130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</row>
    <row r="230" spans="1:25" ht="12.75">
      <c r="A230" s="142"/>
      <c r="B230" s="128"/>
      <c r="C230" s="129"/>
      <c r="D230" s="130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</row>
    <row r="231" spans="1:25" ht="12.75">
      <c r="A231" s="142"/>
      <c r="B231" s="128"/>
      <c r="C231" s="129"/>
      <c r="D231" s="130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</row>
    <row r="232" spans="1:25" ht="12.75">
      <c r="A232" s="142"/>
      <c r="B232" s="128"/>
      <c r="C232" s="129"/>
      <c r="D232" s="130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</row>
    <row r="233" spans="1:25" ht="12.75">
      <c r="A233" s="142"/>
      <c r="B233" s="128"/>
      <c r="C233" s="129"/>
      <c r="D233" s="130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</row>
    <row r="234" spans="1:25" ht="12.75">
      <c r="A234" s="142"/>
      <c r="B234" s="128"/>
      <c r="C234" s="129"/>
      <c r="D234" s="130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</row>
    <row r="235" spans="1:25" ht="12.75">
      <c r="A235" s="142"/>
      <c r="B235" s="128"/>
      <c r="C235" s="129"/>
      <c r="D235" s="130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</row>
    <row r="236" spans="1:25" ht="12.75">
      <c r="A236" s="142"/>
      <c r="B236" s="128"/>
      <c r="C236" s="129"/>
      <c r="D236" s="130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</row>
    <row r="237" spans="1:25" ht="12.75">
      <c r="A237" s="142"/>
      <c r="B237" s="128"/>
      <c r="C237" s="129"/>
      <c r="D237" s="130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</row>
    <row r="238" spans="1:25" ht="12.75">
      <c r="A238" s="142"/>
      <c r="B238" s="128"/>
      <c r="C238" s="129"/>
      <c r="D238" s="130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</row>
    <row r="239" spans="1:25" ht="12.75">
      <c r="A239" s="142"/>
      <c r="B239" s="128"/>
      <c r="C239" s="129"/>
      <c r="D239" s="130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</row>
    <row r="240" spans="1:25" ht="12.75">
      <c r="A240" s="142"/>
      <c r="B240" s="128"/>
      <c r="C240" s="129"/>
      <c r="D240" s="130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</row>
    <row r="241" spans="1:25" ht="12.75">
      <c r="A241" s="142"/>
      <c r="B241" s="128"/>
      <c r="C241" s="129"/>
      <c r="D241" s="130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</row>
    <row r="242" spans="1:25" ht="12.75">
      <c r="A242" s="142"/>
      <c r="B242" s="128"/>
      <c r="C242" s="129"/>
      <c r="D242" s="130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</row>
    <row r="243" spans="1:25" ht="12.75">
      <c r="A243" s="142"/>
      <c r="B243" s="128"/>
      <c r="C243" s="129"/>
      <c r="D243" s="130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</row>
    <row r="244" spans="1:25" ht="12.75">
      <c r="A244" s="142"/>
      <c r="B244" s="128"/>
      <c r="C244" s="129"/>
      <c r="D244" s="130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</row>
    <row r="245" spans="1:25" ht="12.75">
      <c r="A245" s="142"/>
      <c r="B245" s="128"/>
      <c r="C245" s="129"/>
      <c r="D245" s="130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</row>
    <row r="246" spans="1:25" ht="12.75">
      <c r="A246" s="142"/>
      <c r="B246" s="128"/>
      <c r="C246" s="129"/>
      <c r="D246" s="130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</row>
    <row r="247" spans="1:25" ht="12.75">
      <c r="A247" s="142"/>
      <c r="B247" s="128"/>
      <c r="C247" s="129"/>
      <c r="D247" s="130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</row>
    <row r="248" spans="1:25" ht="12.75">
      <c r="A248" s="142"/>
      <c r="B248" s="128"/>
      <c r="C248" s="129"/>
      <c r="D248" s="130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</row>
    <row r="249" spans="1:25" ht="12.75">
      <c r="A249" s="142"/>
      <c r="B249" s="128"/>
      <c r="C249" s="129"/>
      <c r="D249" s="130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</row>
    <row r="250" spans="1:25" ht="12.75">
      <c r="A250" s="142"/>
      <c r="B250" s="128"/>
      <c r="C250" s="129"/>
      <c r="D250" s="130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</row>
    <row r="251" spans="1:25" ht="12.75">
      <c r="A251" s="142"/>
      <c r="B251" s="128"/>
      <c r="C251" s="129"/>
      <c r="D251" s="130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</row>
    <row r="252" spans="1:25" ht="12.75">
      <c r="A252" s="142"/>
      <c r="B252" s="128"/>
      <c r="C252" s="129"/>
      <c r="D252" s="130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</row>
    <row r="253" spans="1:25" ht="12.75">
      <c r="A253" s="142"/>
      <c r="B253" s="128"/>
      <c r="C253" s="129"/>
      <c r="D253" s="130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</row>
    <row r="254" spans="1:25" ht="12.75">
      <c r="A254" s="142"/>
      <c r="B254" s="128"/>
      <c r="C254" s="129"/>
      <c r="D254" s="130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</row>
    <row r="255" spans="1:25" ht="12.75">
      <c r="A255" s="142"/>
      <c r="B255" s="128"/>
      <c r="C255" s="129"/>
      <c r="D255" s="130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</row>
    <row r="256" spans="1:25" ht="12.75">
      <c r="A256" s="142"/>
      <c r="B256" s="128"/>
      <c r="C256" s="129"/>
      <c r="D256" s="130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</row>
    <row r="257" spans="1:25" ht="12.75">
      <c r="A257" s="142"/>
      <c r="B257" s="128"/>
      <c r="C257" s="129"/>
      <c r="D257" s="130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</row>
    <row r="258" spans="1:25" ht="12.75">
      <c r="A258" s="142"/>
      <c r="B258" s="128"/>
      <c r="C258" s="129"/>
      <c r="D258" s="130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</row>
    <row r="259" spans="1:25" ht="12.75">
      <c r="A259" s="142"/>
      <c r="B259" s="128"/>
      <c r="C259" s="129"/>
      <c r="D259" s="130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</row>
    <row r="260" spans="1:25" ht="12.75">
      <c r="A260" s="142"/>
      <c r="B260" s="128"/>
      <c r="C260" s="129"/>
      <c r="D260" s="130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</row>
    <row r="261" spans="1:25" ht="12.75">
      <c r="A261" s="142"/>
      <c r="B261" s="128"/>
      <c r="C261" s="129"/>
      <c r="D261" s="130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</row>
    <row r="262" spans="1:25" ht="12.75">
      <c r="A262" s="142"/>
      <c r="B262" s="128"/>
      <c r="C262" s="129"/>
      <c r="D262" s="130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</row>
    <row r="263" spans="1:25" ht="12.75">
      <c r="A263" s="142"/>
      <c r="B263" s="128"/>
      <c r="C263" s="129"/>
      <c r="D263" s="130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</row>
    <row r="264" spans="1:25" ht="12.75">
      <c r="A264" s="142"/>
      <c r="B264" s="128"/>
      <c r="C264" s="129"/>
      <c r="D264" s="130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</row>
    <row r="265" spans="1:25" ht="12.75">
      <c r="A265" s="142"/>
      <c r="B265" s="128"/>
      <c r="C265" s="129"/>
      <c r="D265" s="130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</row>
    <row r="266" spans="1:25" ht="12.75">
      <c r="A266" s="142"/>
      <c r="B266" s="128"/>
      <c r="C266" s="129"/>
      <c r="D266" s="130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</row>
    <row r="267" spans="1:25" ht="12.75">
      <c r="A267" s="142"/>
      <c r="B267" s="128"/>
      <c r="C267" s="129"/>
      <c r="D267" s="130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</row>
    <row r="268" spans="1:25" ht="12.75">
      <c r="A268" s="142"/>
      <c r="B268" s="128"/>
      <c r="C268" s="129"/>
      <c r="D268" s="130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</row>
    <row r="269" spans="1:25" ht="12.75">
      <c r="A269" s="142"/>
      <c r="B269" s="128"/>
      <c r="C269" s="129"/>
      <c r="D269" s="130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</row>
    <row r="270" spans="1:25" ht="12.75">
      <c r="A270" s="142"/>
      <c r="B270" s="128"/>
      <c r="C270" s="129"/>
      <c r="D270" s="130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</row>
    <row r="271" spans="1:25" ht="12.75">
      <c r="A271" s="142"/>
      <c r="B271" s="128"/>
      <c r="C271" s="129"/>
      <c r="D271" s="130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</row>
    <row r="272" spans="1:25" ht="12.75">
      <c r="A272" s="142"/>
      <c r="B272" s="128"/>
      <c r="C272" s="129"/>
      <c r="D272" s="130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</row>
    <row r="273" spans="1:25" ht="12.75">
      <c r="A273" s="142"/>
      <c r="B273" s="128"/>
      <c r="C273" s="129"/>
      <c r="D273" s="130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</row>
    <row r="274" spans="1:25" ht="12.75">
      <c r="A274" s="142"/>
      <c r="B274" s="128"/>
      <c r="C274" s="129"/>
      <c r="D274" s="130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</row>
    <row r="275" spans="1:25" ht="12.75">
      <c r="A275" s="142"/>
      <c r="B275" s="128"/>
      <c r="C275" s="129"/>
      <c r="D275" s="130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</row>
    <row r="276" spans="1:25" ht="12.75">
      <c r="A276" s="142"/>
      <c r="B276" s="128"/>
      <c r="C276" s="129"/>
      <c r="D276" s="130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</row>
    <row r="277" spans="1:25" ht="12.75">
      <c r="A277" s="142"/>
      <c r="B277" s="128"/>
      <c r="C277" s="129"/>
      <c r="D277" s="130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</row>
    <row r="278" spans="1:25" ht="12.75">
      <c r="A278" s="142"/>
      <c r="B278" s="128"/>
      <c r="C278" s="129"/>
      <c r="D278" s="130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</row>
    <row r="279" spans="1:25" ht="12.75">
      <c r="A279" s="142"/>
      <c r="B279" s="128"/>
      <c r="C279" s="129"/>
      <c r="D279" s="130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</row>
    <row r="280" spans="1:25" ht="12.75">
      <c r="A280" s="142"/>
      <c r="B280" s="128"/>
      <c r="C280" s="129"/>
      <c r="D280" s="130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</row>
    <row r="281" spans="1:25" ht="12.75">
      <c r="A281" s="142"/>
      <c r="B281" s="128"/>
      <c r="C281" s="129"/>
      <c r="D281" s="130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</row>
    <row r="282" spans="1:25" ht="12.75">
      <c r="A282" s="142"/>
      <c r="B282" s="128"/>
      <c r="C282" s="129"/>
      <c r="D282" s="130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</row>
    <row r="283" spans="1:25" ht="12.75">
      <c r="A283" s="142"/>
      <c r="B283" s="128"/>
      <c r="C283" s="129"/>
      <c r="D283" s="130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</row>
    <row r="284" spans="1:25" ht="12.75">
      <c r="A284" s="142"/>
      <c r="B284" s="128"/>
      <c r="C284" s="129"/>
      <c r="D284" s="130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</row>
    <row r="285" spans="1:25" ht="12.75">
      <c r="A285" s="142"/>
      <c r="B285" s="128"/>
      <c r="C285" s="129"/>
      <c r="D285" s="130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</row>
    <row r="286" spans="1:25" ht="12.75">
      <c r="A286" s="142"/>
      <c r="B286" s="128"/>
      <c r="C286" s="129"/>
      <c r="D286" s="130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</row>
    <row r="287" spans="1:25" ht="12.75">
      <c r="A287" s="142"/>
      <c r="B287" s="128"/>
      <c r="C287" s="129"/>
      <c r="D287" s="130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</row>
    <row r="288" spans="1:25" ht="12.75">
      <c r="A288" s="142"/>
      <c r="B288" s="128"/>
      <c r="C288" s="129"/>
      <c r="D288" s="130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</row>
    <row r="289" spans="1:25" ht="12.75">
      <c r="A289" s="142"/>
      <c r="B289" s="128"/>
      <c r="C289" s="129"/>
      <c r="D289" s="130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</row>
    <row r="290" spans="1:25" ht="12.75">
      <c r="A290" s="142"/>
      <c r="B290" s="128"/>
      <c r="C290" s="129"/>
      <c r="D290" s="130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</row>
    <row r="291" spans="1:25" ht="12.75">
      <c r="A291" s="142"/>
      <c r="B291" s="128"/>
      <c r="C291" s="129"/>
      <c r="D291" s="130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</row>
    <row r="292" spans="1:25" ht="12.75">
      <c r="A292" s="142"/>
      <c r="B292" s="128"/>
      <c r="C292" s="129"/>
      <c r="D292" s="130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</row>
    <row r="293" spans="1:25" ht="12.75">
      <c r="A293" s="142"/>
      <c r="B293" s="128"/>
      <c r="C293" s="129"/>
      <c r="D293" s="130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</row>
    <row r="294" spans="1:25" ht="12.75">
      <c r="A294" s="142"/>
      <c r="B294" s="128"/>
      <c r="C294" s="129"/>
      <c r="D294" s="130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</row>
    <row r="295" spans="1:25" ht="12.75">
      <c r="A295" s="142"/>
      <c r="B295" s="128"/>
      <c r="C295" s="129"/>
      <c r="D295" s="130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</row>
    <row r="296" spans="1:25" ht="12.75">
      <c r="A296" s="142"/>
      <c r="B296" s="128"/>
      <c r="C296" s="129"/>
      <c r="D296" s="130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</row>
    <row r="297" spans="1:25" ht="12.75">
      <c r="A297" s="142"/>
      <c r="B297" s="128"/>
      <c r="C297" s="129"/>
      <c r="D297" s="130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</row>
    <row r="298" spans="1:25" ht="12.75">
      <c r="A298" s="142"/>
      <c r="B298" s="128"/>
      <c r="C298" s="129"/>
      <c r="D298" s="130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</row>
    <row r="299" spans="1:25" ht="12.75">
      <c r="A299" s="142"/>
      <c r="B299" s="128"/>
      <c r="C299" s="129"/>
      <c r="D299" s="130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</row>
    <row r="300" spans="1:25" ht="12.75">
      <c r="A300" s="142"/>
      <c r="B300" s="128"/>
      <c r="C300" s="129"/>
      <c r="D300" s="130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</row>
    <row r="301" spans="1:25" ht="12.75">
      <c r="A301" s="142"/>
      <c r="B301" s="128"/>
      <c r="C301" s="129"/>
      <c r="D301" s="130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</row>
    <row r="302" spans="1:25" ht="12.75">
      <c r="A302" s="142"/>
      <c r="B302" s="128"/>
      <c r="C302" s="129"/>
      <c r="D302" s="130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</row>
    <row r="303" spans="1:25" ht="12.75">
      <c r="A303" s="142"/>
      <c r="B303" s="128"/>
      <c r="C303" s="129"/>
      <c r="D303" s="130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</row>
    <row r="304" spans="1:25" ht="12.75">
      <c r="A304" s="142"/>
      <c r="B304" s="128"/>
      <c r="C304" s="129"/>
      <c r="D304" s="130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</row>
    <row r="305" spans="1:25" ht="12.75">
      <c r="A305" s="142"/>
      <c r="B305" s="128"/>
      <c r="C305" s="129"/>
      <c r="D305" s="130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</row>
    <row r="306" spans="1:25" ht="12.75">
      <c r="A306" s="142"/>
      <c r="B306" s="128"/>
      <c r="C306" s="129"/>
      <c r="D306" s="130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</row>
    <row r="307" spans="1:25" ht="12.75">
      <c r="A307" s="142"/>
      <c r="B307" s="128"/>
      <c r="C307" s="129"/>
      <c r="D307" s="130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</row>
    <row r="308" spans="1:25" ht="12.75">
      <c r="A308" s="142"/>
      <c r="B308" s="128"/>
      <c r="C308" s="129"/>
      <c r="D308" s="130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</row>
    <row r="309" spans="1:25" ht="12.75">
      <c r="A309" s="142"/>
      <c r="B309" s="128"/>
      <c r="C309" s="129"/>
      <c r="D309" s="130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</row>
    <row r="310" spans="1:25" ht="12.75">
      <c r="A310" s="142"/>
      <c r="B310" s="128"/>
      <c r="C310" s="129"/>
      <c r="D310" s="130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</row>
    <row r="311" spans="1:25" ht="12.75">
      <c r="A311" s="142"/>
      <c r="B311" s="128"/>
      <c r="C311" s="129"/>
      <c r="D311" s="130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</row>
    <row r="312" spans="1:25" ht="12.75">
      <c r="A312" s="142"/>
      <c r="B312" s="128"/>
      <c r="C312" s="129"/>
      <c r="D312" s="130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</row>
    <row r="313" spans="1:25" ht="12.75">
      <c r="A313" s="142"/>
      <c r="B313" s="128"/>
      <c r="C313" s="129"/>
      <c r="D313" s="130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</row>
    <row r="314" spans="1:25" ht="12.75">
      <c r="A314" s="142"/>
      <c r="B314" s="128"/>
      <c r="C314" s="129"/>
      <c r="D314" s="130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</row>
    <row r="315" spans="1:25" ht="12.75">
      <c r="A315" s="142"/>
      <c r="B315" s="128"/>
      <c r="C315" s="129"/>
      <c r="D315" s="130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</row>
    <row r="316" spans="1:25" ht="12.75">
      <c r="A316" s="142"/>
      <c r="B316" s="128"/>
      <c r="C316" s="129"/>
      <c r="D316" s="130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</row>
    <row r="317" spans="1:25" ht="12.75">
      <c r="A317" s="142"/>
      <c r="B317" s="128"/>
      <c r="C317" s="129"/>
      <c r="D317" s="130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</row>
    <row r="318" spans="1:25" ht="12.75">
      <c r="A318" s="142"/>
      <c r="B318" s="128"/>
      <c r="C318" s="129"/>
      <c r="D318" s="130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</row>
    <row r="319" spans="1:25" ht="12.75">
      <c r="A319" s="142"/>
      <c r="B319" s="128"/>
      <c r="C319" s="129"/>
      <c r="D319" s="130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</row>
    <row r="320" spans="1:25" ht="12.75">
      <c r="A320" s="142"/>
      <c r="B320" s="128"/>
      <c r="C320" s="129"/>
      <c r="D320" s="130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</row>
    <row r="321" spans="1:25" ht="12.75">
      <c r="A321" s="142"/>
      <c r="B321" s="128"/>
      <c r="C321" s="129"/>
      <c r="D321" s="130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</row>
    <row r="322" spans="1:25" ht="12.75">
      <c r="A322" s="142"/>
      <c r="B322" s="128"/>
      <c r="C322" s="129"/>
      <c r="D322" s="130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</row>
    <row r="323" spans="1:25" ht="12.75">
      <c r="A323" s="142"/>
      <c r="B323" s="128"/>
      <c r="C323" s="129"/>
      <c r="D323" s="130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</row>
    <row r="324" spans="1:25" ht="12.75">
      <c r="A324" s="142"/>
      <c r="B324" s="128"/>
      <c r="C324" s="129"/>
      <c r="D324" s="130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</row>
    <row r="325" spans="1:25" ht="12.75">
      <c r="A325" s="142"/>
      <c r="B325" s="128"/>
      <c r="C325" s="129"/>
      <c r="D325" s="130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</row>
    <row r="326" spans="1:25" ht="12.75">
      <c r="A326" s="142"/>
      <c r="B326" s="128"/>
      <c r="C326" s="129"/>
      <c r="D326" s="130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</row>
    <row r="327" spans="1:25" ht="12.75">
      <c r="A327" s="142"/>
      <c r="B327" s="128"/>
      <c r="C327" s="129"/>
      <c r="D327" s="130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</row>
    <row r="328" spans="1:25" ht="12.75">
      <c r="A328" s="142"/>
      <c r="B328" s="128"/>
      <c r="C328" s="129"/>
      <c r="D328" s="130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</row>
    <row r="329" spans="1:25" ht="12.75">
      <c r="A329" s="142"/>
      <c r="B329" s="128"/>
      <c r="C329" s="129"/>
      <c r="D329" s="130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</row>
    <row r="330" spans="1:25" ht="12.75">
      <c r="A330" s="142"/>
      <c r="B330" s="128"/>
      <c r="C330" s="129"/>
      <c r="D330" s="130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</row>
    <row r="331" spans="1:25" ht="12.75">
      <c r="A331" s="142"/>
      <c r="B331" s="128"/>
      <c r="C331" s="129"/>
      <c r="D331" s="130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</row>
    <row r="332" spans="1:25" ht="12.75">
      <c r="A332" s="142"/>
      <c r="B332" s="128"/>
      <c r="C332" s="129"/>
      <c r="D332" s="130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</row>
    <row r="333" spans="1:25" ht="12.75">
      <c r="A333" s="142"/>
      <c r="B333" s="128"/>
      <c r="C333" s="129"/>
      <c r="D333" s="130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</row>
    <row r="334" spans="1:25" ht="12.75">
      <c r="A334" s="142"/>
      <c r="B334" s="128"/>
      <c r="C334" s="129"/>
      <c r="D334" s="130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</row>
    <row r="335" spans="1:25" ht="12.75">
      <c r="A335" s="142"/>
      <c r="B335" s="128"/>
      <c r="C335" s="129"/>
      <c r="D335" s="130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</row>
    <row r="336" spans="1:25" ht="12.75">
      <c r="A336" s="142"/>
      <c r="B336" s="128"/>
      <c r="C336" s="129"/>
      <c r="D336" s="130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</row>
    <row r="337" spans="1:25" ht="12.75">
      <c r="A337" s="142"/>
      <c r="B337" s="128"/>
      <c r="C337" s="129"/>
      <c r="D337" s="130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</row>
    <row r="338" spans="1:25" ht="12.75">
      <c r="A338" s="142"/>
      <c r="B338" s="128"/>
      <c r="C338" s="129"/>
      <c r="D338" s="130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</row>
    <row r="339" spans="1:25" ht="12.75">
      <c r="A339" s="142"/>
      <c r="B339" s="128"/>
      <c r="C339" s="129"/>
      <c r="D339" s="130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</row>
    <row r="340" spans="1:25" ht="12.75">
      <c r="A340" s="142"/>
      <c r="B340" s="128"/>
      <c r="C340" s="129"/>
      <c r="D340" s="130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</row>
    <row r="341" spans="1:25" ht="12.75">
      <c r="A341" s="142"/>
      <c r="B341" s="128"/>
      <c r="C341" s="129"/>
      <c r="D341" s="130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</row>
    <row r="342" spans="1:25" ht="12.75">
      <c r="A342" s="142"/>
      <c r="B342" s="128"/>
      <c r="C342" s="129"/>
      <c r="D342" s="130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</row>
    <row r="343" spans="1:25" ht="12.75">
      <c r="A343" s="142"/>
      <c r="B343" s="128"/>
      <c r="C343" s="129"/>
      <c r="D343" s="130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</row>
    <row r="344" spans="1:25" ht="12.75">
      <c r="A344" s="142"/>
      <c r="B344" s="128"/>
      <c r="C344" s="129"/>
      <c r="D344" s="130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</row>
    <row r="345" spans="1:25" ht="12.75">
      <c r="A345" s="142"/>
      <c r="B345" s="128"/>
      <c r="C345" s="129"/>
      <c r="D345" s="130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</row>
    <row r="346" spans="1:25" ht="12.75">
      <c r="A346" s="142"/>
      <c r="B346" s="128"/>
      <c r="C346" s="129"/>
      <c r="D346" s="130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</row>
    <row r="347" spans="1:25" ht="12.75">
      <c r="A347" s="142"/>
      <c r="B347" s="128"/>
      <c r="C347" s="129"/>
      <c r="D347" s="130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</row>
    <row r="348" spans="1:25" ht="12.75">
      <c r="A348" s="142"/>
      <c r="B348" s="128"/>
      <c r="C348" s="129"/>
      <c r="D348" s="130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</row>
    <row r="349" spans="1:25" ht="12.75">
      <c r="A349" s="142"/>
      <c r="B349" s="128"/>
      <c r="C349" s="129"/>
      <c r="D349" s="130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</row>
    <row r="350" spans="1:25" ht="12.75">
      <c r="A350" s="142"/>
      <c r="B350" s="128"/>
      <c r="C350" s="129"/>
      <c r="D350" s="130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</row>
    <row r="351" spans="1:25" ht="12.75">
      <c r="A351" s="142"/>
      <c r="B351" s="128"/>
      <c r="C351" s="129"/>
      <c r="D351" s="130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</row>
    <row r="352" spans="1:25" ht="12.75">
      <c r="A352" s="142"/>
      <c r="B352" s="128"/>
      <c r="C352" s="129"/>
      <c r="D352" s="130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</row>
    <row r="353" spans="1:25" ht="12.75">
      <c r="A353" s="142"/>
      <c r="B353" s="128"/>
      <c r="C353" s="129"/>
      <c r="D353" s="130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</row>
    <row r="354" spans="1:25" ht="12.75">
      <c r="A354" s="142"/>
      <c r="B354" s="128"/>
      <c r="C354" s="129"/>
      <c r="D354" s="130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</row>
    <row r="355" spans="1:25" ht="12.75">
      <c r="A355" s="142"/>
      <c r="B355" s="128"/>
      <c r="C355" s="129"/>
      <c r="D355" s="130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</row>
    <row r="356" spans="1:25" ht="12.75">
      <c r="A356" s="142"/>
      <c r="B356" s="128"/>
      <c r="C356" s="129"/>
      <c r="D356" s="130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</row>
    <row r="357" spans="1:25" ht="12.75">
      <c r="A357" s="142"/>
      <c r="B357" s="128"/>
      <c r="C357" s="129"/>
      <c r="D357" s="130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</row>
    <row r="358" spans="1:25" ht="12.75">
      <c r="A358" s="142"/>
      <c r="B358" s="128"/>
      <c r="C358" s="129"/>
      <c r="D358" s="130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</row>
    <row r="359" spans="1:25" ht="12.75">
      <c r="A359" s="142"/>
      <c r="B359" s="128"/>
      <c r="C359" s="129"/>
      <c r="D359" s="130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</row>
    <row r="360" spans="1:25" ht="12.75">
      <c r="A360" s="142"/>
      <c r="B360" s="128"/>
      <c r="C360" s="129"/>
      <c r="D360" s="130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</row>
    <row r="361" spans="1:25" ht="12.75">
      <c r="A361" s="142"/>
      <c r="B361" s="128"/>
      <c r="C361" s="129"/>
      <c r="D361" s="130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</row>
    <row r="362" spans="1:25" ht="12.75">
      <c r="A362" s="142"/>
      <c r="B362" s="128"/>
      <c r="C362" s="129"/>
      <c r="D362" s="130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</row>
    <row r="363" spans="1:25" ht="12.75">
      <c r="A363" s="142"/>
      <c r="B363" s="128"/>
      <c r="C363" s="129"/>
      <c r="D363" s="130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</row>
    <row r="364" spans="1:25" ht="12.75">
      <c r="A364" s="142"/>
      <c r="B364" s="128"/>
      <c r="C364" s="129"/>
      <c r="D364" s="130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</row>
    <row r="365" spans="1:25" ht="12.75">
      <c r="A365" s="142"/>
      <c r="B365" s="128"/>
      <c r="C365" s="129"/>
      <c r="D365" s="130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</row>
    <row r="366" spans="1:25" ht="12.75">
      <c r="A366" s="142"/>
      <c r="B366" s="128"/>
      <c r="C366" s="129"/>
      <c r="D366" s="130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</row>
    <row r="367" spans="1:25" ht="12.75">
      <c r="A367" s="142"/>
      <c r="B367" s="128"/>
      <c r="C367" s="129"/>
      <c r="D367" s="130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</row>
    <row r="368" spans="1:25" ht="12.75">
      <c r="A368" s="142"/>
      <c r="B368" s="128"/>
      <c r="C368" s="129"/>
      <c r="D368" s="130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</row>
    <row r="369" spans="1:25" ht="12.75">
      <c r="A369" s="142"/>
      <c r="B369" s="128"/>
      <c r="C369" s="129"/>
      <c r="D369" s="130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</row>
    <row r="370" spans="1:25" ht="12.75">
      <c r="A370" s="142"/>
      <c r="B370" s="128"/>
      <c r="C370" s="129"/>
      <c r="D370" s="130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</row>
    <row r="371" spans="1:25" ht="12.75">
      <c r="A371" s="142"/>
      <c r="B371" s="128"/>
      <c r="C371" s="129"/>
      <c r="D371" s="130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</row>
    <row r="372" spans="1:25" ht="12.75">
      <c r="A372" s="142"/>
      <c r="B372" s="128"/>
      <c r="C372" s="129"/>
      <c r="D372" s="130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</row>
    <row r="373" spans="1:25" ht="12.75">
      <c r="A373" s="142"/>
      <c r="B373" s="128"/>
      <c r="C373" s="129"/>
      <c r="D373" s="130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</row>
    <row r="374" spans="1:25" ht="12.75">
      <c r="A374" s="142"/>
      <c r="B374" s="128"/>
      <c r="C374" s="129"/>
      <c r="D374" s="130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</row>
    <row r="375" spans="1:25" ht="12.75">
      <c r="A375" s="142"/>
      <c r="B375" s="128"/>
      <c r="C375" s="129"/>
      <c r="D375" s="130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</row>
    <row r="376" spans="1:25" ht="12.75">
      <c r="A376" s="142"/>
      <c r="B376" s="128"/>
      <c r="C376" s="129"/>
      <c r="D376" s="130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</row>
    <row r="377" spans="1:25" ht="12.75">
      <c r="A377" s="142"/>
      <c r="B377" s="128"/>
      <c r="C377" s="129"/>
      <c r="D377" s="130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</row>
    <row r="378" spans="1:25" ht="12.75">
      <c r="A378" s="142"/>
      <c r="B378" s="128"/>
      <c r="C378" s="129"/>
      <c r="D378" s="130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</row>
    <row r="379" spans="1:25" ht="12.75">
      <c r="A379" s="142"/>
      <c r="B379" s="128"/>
      <c r="C379" s="129"/>
      <c r="D379" s="130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</row>
    <row r="380" spans="1:25" ht="12.75">
      <c r="A380" s="142"/>
      <c r="B380" s="128"/>
      <c r="C380" s="129"/>
      <c r="D380" s="130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</row>
    <row r="381" spans="1:25" ht="12.75">
      <c r="A381" s="142"/>
      <c r="B381" s="128"/>
      <c r="C381" s="129"/>
      <c r="D381" s="130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</row>
    <row r="382" spans="1:25" ht="12.75">
      <c r="A382" s="142"/>
      <c r="B382" s="128"/>
      <c r="C382" s="129"/>
      <c r="D382" s="130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</row>
    <row r="383" spans="1:25" ht="12.75">
      <c r="A383" s="142"/>
      <c r="B383" s="128"/>
      <c r="C383" s="129"/>
      <c r="D383" s="130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</row>
    <row r="384" spans="1:25" ht="12.75">
      <c r="A384" s="142"/>
      <c r="B384" s="128"/>
      <c r="C384" s="129"/>
      <c r="D384" s="130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</row>
    <row r="385" spans="1:25" ht="12.75">
      <c r="A385" s="142"/>
      <c r="B385" s="128"/>
      <c r="C385" s="129"/>
      <c r="D385" s="130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</row>
    <row r="386" spans="1:25" ht="12.75">
      <c r="A386" s="142"/>
      <c r="B386" s="128"/>
      <c r="C386" s="129"/>
      <c r="D386" s="130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</row>
    <row r="387" spans="1:25" ht="12.75">
      <c r="A387" s="142"/>
      <c r="B387" s="128"/>
      <c r="C387" s="129"/>
      <c r="D387" s="130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</row>
    <row r="388" spans="1:25" ht="12.75">
      <c r="A388" s="142"/>
      <c r="B388" s="128"/>
      <c r="C388" s="129"/>
      <c r="D388" s="130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</row>
    <row r="389" spans="1:25" ht="12.75">
      <c r="A389" s="142"/>
      <c r="B389" s="128"/>
      <c r="C389" s="129"/>
      <c r="D389" s="130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</row>
    <row r="390" spans="1:25" ht="12.75">
      <c r="A390" s="142"/>
      <c r="B390" s="128"/>
      <c r="C390" s="129"/>
      <c r="D390" s="130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</row>
    <row r="391" spans="1:25" ht="12.75">
      <c r="A391" s="142"/>
      <c r="B391" s="128"/>
      <c r="C391" s="129"/>
      <c r="D391" s="130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</row>
    <row r="392" spans="1:25" ht="12.75">
      <c r="A392" s="142"/>
      <c r="B392" s="128"/>
      <c r="C392" s="129"/>
      <c r="D392" s="130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</row>
    <row r="393" spans="1:25" ht="12.75">
      <c r="A393" s="142"/>
      <c r="B393" s="128"/>
      <c r="C393" s="129"/>
      <c r="D393" s="130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</row>
    <row r="394" spans="1:25" ht="12.75">
      <c r="A394" s="142"/>
      <c r="B394" s="128"/>
      <c r="C394" s="129"/>
      <c r="D394" s="130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</row>
    <row r="395" spans="1:25" ht="12.75">
      <c r="A395" s="142"/>
      <c r="B395" s="128"/>
      <c r="C395" s="129"/>
      <c r="D395" s="130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</row>
    <row r="396" spans="1:25" ht="12.75">
      <c r="A396" s="142"/>
      <c r="B396" s="128"/>
      <c r="C396" s="129"/>
      <c r="D396" s="130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</row>
    <row r="397" spans="1:25" ht="12.75">
      <c r="A397" s="142"/>
      <c r="B397" s="128"/>
      <c r="C397" s="129"/>
      <c r="D397" s="130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</row>
    <row r="398" spans="1:25" ht="12.75">
      <c r="A398" s="142"/>
      <c r="B398" s="128"/>
      <c r="C398" s="129"/>
      <c r="D398" s="130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</row>
    <row r="399" spans="1:25" ht="12.75">
      <c r="A399" s="142"/>
      <c r="B399" s="128"/>
      <c r="C399" s="129"/>
      <c r="D399" s="130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</row>
    <row r="400" spans="1:25" ht="12.75">
      <c r="A400" s="142"/>
      <c r="B400" s="128"/>
      <c r="C400" s="129"/>
      <c r="D400" s="130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</row>
    <row r="401" spans="1:25" ht="12.75">
      <c r="A401" s="142"/>
      <c r="B401" s="128"/>
      <c r="C401" s="129"/>
      <c r="D401" s="130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</row>
    <row r="402" spans="1:25" ht="12.75">
      <c r="A402" s="142"/>
      <c r="B402" s="128"/>
      <c r="C402" s="129"/>
      <c r="D402" s="130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</row>
    <row r="403" spans="1:25" ht="12.75">
      <c r="A403" s="142"/>
      <c r="B403" s="128"/>
      <c r="C403" s="129"/>
      <c r="D403" s="130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</row>
    <row r="404" spans="1:25" ht="12.75">
      <c r="A404" s="142"/>
      <c r="B404" s="128"/>
      <c r="C404" s="129"/>
      <c r="D404" s="130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</row>
    <row r="405" spans="1:25" ht="12.75">
      <c r="A405" s="142"/>
      <c r="B405" s="128"/>
      <c r="C405" s="129"/>
      <c r="D405" s="130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</row>
    <row r="406" spans="1:25" ht="12.75">
      <c r="A406" s="142"/>
      <c r="B406" s="128"/>
      <c r="C406" s="129"/>
      <c r="D406" s="130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</row>
    <row r="407" spans="1:25" ht="12.75">
      <c r="A407" s="142"/>
      <c r="B407" s="128"/>
      <c r="C407" s="129"/>
      <c r="D407" s="130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</row>
    <row r="408" spans="1:25" ht="12.75">
      <c r="A408" s="142"/>
      <c r="B408" s="128"/>
      <c r="C408" s="129"/>
      <c r="D408" s="130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</row>
    <row r="409" spans="1:25" ht="12.75">
      <c r="A409" s="142"/>
      <c r="B409" s="128"/>
      <c r="C409" s="129"/>
      <c r="D409" s="130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</row>
    <row r="410" spans="1:25" ht="12.75">
      <c r="A410" s="142"/>
      <c r="B410" s="128"/>
      <c r="C410" s="129"/>
      <c r="D410" s="130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</row>
    <row r="411" spans="1:25" ht="12.75">
      <c r="A411" s="142"/>
      <c r="B411" s="128"/>
      <c r="C411" s="129"/>
      <c r="D411" s="130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</row>
    <row r="412" spans="1:25" ht="12.75">
      <c r="A412" s="142"/>
      <c r="B412" s="128"/>
      <c r="C412" s="129"/>
      <c r="D412" s="130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</row>
    <row r="413" spans="1:25" ht="12.75">
      <c r="A413" s="142"/>
      <c r="B413" s="128"/>
      <c r="C413" s="129"/>
      <c r="D413" s="130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</row>
    <row r="414" spans="1:25" ht="12.75">
      <c r="A414" s="142"/>
      <c r="B414" s="128"/>
      <c r="C414" s="129"/>
      <c r="D414" s="130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</row>
    <row r="415" spans="1:25" ht="12.75">
      <c r="A415" s="142"/>
      <c r="B415" s="128"/>
      <c r="C415" s="129"/>
      <c r="D415" s="130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</row>
    <row r="416" spans="1:25" ht="12.75">
      <c r="A416" s="142"/>
      <c r="B416" s="128"/>
      <c r="C416" s="129"/>
      <c r="D416" s="130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</row>
    <row r="417" spans="1:25" ht="12.75">
      <c r="A417" s="142"/>
      <c r="B417" s="128"/>
      <c r="C417" s="129"/>
      <c r="D417" s="130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</row>
    <row r="418" spans="1:25" ht="12.75">
      <c r="A418" s="142"/>
      <c r="B418" s="128"/>
      <c r="C418" s="129"/>
      <c r="D418" s="130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</row>
    <row r="419" spans="1:25" ht="12.75">
      <c r="A419" s="142"/>
      <c r="B419" s="128"/>
      <c r="C419" s="129"/>
      <c r="D419" s="130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</row>
    <row r="420" spans="1:25" ht="12.75">
      <c r="A420" s="142"/>
      <c r="B420" s="128"/>
      <c r="C420" s="129"/>
      <c r="D420" s="130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</row>
    <row r="421" spans="1:25" ht="12.75">
      <c r="A421" s="142"/>
      <c r="B421" s="128"/>
      <c r="C421" s="129"/>
      <c r="D421" s="130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</row>
    <row r="422" spans="1:25" ht="12.75">
      <c r="A422" s="142"/>
      <c r="B422" s="128"/>
      <c r="C422" s="129"/>
      <c r="D422" s="130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</row>
    <row r="423" spans="1:25" ht="12.75">
      <c r="A423" s="142"/>
      <c r="B423" s="128"/>
      <c r="C423" s="129"/>
      <c r="D423" s="130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</row>
    <row r="424" spans="1:25" ht="12.75">
      <c r="A424" s="142"/>
      <c r="B424" s="128"/>
      <c r="C424" s="129"/>
      <c r="D424" s="130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</row>
    <row r="425" spans="1:25" ht="12.75">
      <c r="A425" s="142"/>
      <c r="B425" s="128"/>
      <c r="C425" s="129"/>
      <c r="D425" s="130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</row>
    <row r="426" spans="1:25" ht="12.75">
      <c r="A426" s="142"/>
      <c r="B426" s="128"/>
      <c r="C426" s="129"/>
      <c r="D426" s="130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</row>
    <row r="427" spans="1:25" ht="12.75">
      <c r="A427" s="142"/>
      <c r="B427" s="128"/>
      <c r="C427" s="129"/>
      <c r="D427" s="130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</row>
    <row r="428" spans="1:25" ht="12.75">
      <c r="A428" s="142"/>
      <c r="B428" s="128"/>
      <c r="C428" s="129"/>
      <c r="D428" s="130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</row>
    <row r="429" spans="1:25" ht="12.75">
      <c r="A429" s="142"/>
      <c r="B429" s="128"/>
      <c r="C429" s="129"/>
      <c r="D429" s="130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</row>
    <row r="430" spans="1:25" ht="12.75">
      <c r="A430" s="142"/>
      <c r="B430" s="128"/>
      <c r="C430" s="129"/>
      <c r="D430" s="130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</row>
    <row r="431" spans="1:25" ht="12.75">
      <c r="A431" s="142"/>
      <c r="B431" s="128"/>
      <c r="C431" s="129"/>
      <c r="D431" s="130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</row>
    <row r="432" spans="1:25" ht="12.75">
      <c r="A432" s="142"/>
      <c r="B432" s="128"/>
      <c r="C432" s="129"/>
      <c r="D432" s="130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</row>
    <row r="433" spans="1:25" ht="12.75">
      <c r="A433" s="142"/>
      <c r="B433" s="128"/>
      <c r="C433" s="129"/>
      <c r="D433" s="130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</row>
    <row r="434" spans="1:25" ht="12.75">
      <c r="A434" s="142"/>
      <c r="B434" s="128"/>
      <c r="C434" s="129"/>
      <c r="D434" s="130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</row>
    <row r="435" spans="1:25" ht="12.75">
      <c r="A435" s="142"/>
      <c r="B435" s="128"/>
      <c r="C435" s="129"/>
      <c r="D435" s="130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</row>
    <row r="436" spans="1:25" ht="12.75">
      <c r="A436" s="142"/>
      <c r="B436" s="128"/>
      <c r="C436" s="129"/>
      <c r="D436" s="130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</row>
    <row r="437" spans="1:25" ht="12.75">
      <c r="A437" s="142"/>
      <c r="B437" s="128"/>
      <c r="C437" s="129"/>
      <c r="D437" s="130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</row>
    <row r="438" spans="1:25" ht="12.75">
      <c r="A438" s="142"/>
      <c r="B438" s="128"/>
      <c r="C438" s="129"/>
      <c r="D438" s="130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</row>
    <row r="439" spans="1:25" ht="12.75">
      <c r="A439" s="142"/>
      <c r="B439" s="128"/>
      <c r="C439" s="129"/>
      <c r="D439" s="130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</row>
    <row r="440" spans="1:25" ht="12.75">
      <c r="A440" s="142"/>
      <c r="B440" s="128"/>
      <c r="C440" s="129"/>
      <c r="D440" s="130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</row>
    <row r="441" spans="1:25" ht="12.75">
      <c r="A441" s="142"/>
      <c r="B441" s="128"/>
      <c r="C441" s="129"/>
      <c r="D441" s="130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</row>
    <row r="442" spans="1:25" ht="12.75">
      <c r="A442" s="142"/>
      <c r="B442" s="128"/>
      <c r="C442" s="129"/>
      <c r="D442" s="130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</row>
    <row r="443" spans="1:25" ht="12.75">
      <c r="A443" s="142"/>
      <c r="B443" s="128"/>
      <c r="C443" s="129"/>
      <c r="D443" s="130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</row>
    <row r="444" spans="1:25" ht="12.75">
      <c r="A444" s="142"/>
      <c r="B444" s="128"/>
      <c r="C444" s="129"/>
      <c r="D444" s="130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</row>
    <row r="445" spans="1:25" ht="12.75">
      <c r="A445" s="142"/>
      <c r="B445" s="128"/>
      <c r="C445" s="129"/>
      <c r="D445" s="130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</row>
    <row r="446" spans="1:25" ht="12.75">
      <c r="A446" s="142"/>
      <c r="B446" s="128"/>
      <c r="C446" s="129"/>
      <c r="D446" s="130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</row>
    <row r="447" spans="1:25" ht="12.75">
      <c r="A447" s="142"/>
      <c r="B447" s="128"/>
      <c r="C447" s="129"/>
      <c r="D447" s="130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</row>
    <row r="448" spans="1:25" ht="12.75">
      <c r="A448" s="142"/>
      <c r="B448" s="128"/>
      <c r="C448" s="129"/>
      <c r="D448" s="130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</row>
    <row r="449" spans="1:25" ht="12.75">
      <c r="A449" s="142"/>
      <c r="B449" s="128"/>
      <c r="C449" s="129"/>
      <c r="D449" s="130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</row>
    <row r="450" spans="1:25" ht="12.75">
      <c r="A450" s="142"/>
      <c r="B450" s="128"/>
      <c r="C450" s="129"/>
      <c r="D450" s="130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</row>
    <row r="451" spans="1:25" ht="12.75">
      <c r="A451" s="142"/>
      <c r="B451" s="128"/>
      <c r="C451" s="129"/>
      <c r="D451" s="130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</row>
    <row r="452" spans="1:25" ht="12.75">
      <c r="A452" s="142"/>
      <c r="B452" s="128"/>
      <c r="C452" s="129"/>
      <c r="D452" s="130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</row>
    <row r="453" spans="1:25" ht="12.75">
      <c r="A453" s="142"/>
      <c r="B453" s="128"/>
      <c r="C453" s="129"/>
      <c r="D453" s="130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</row>
    <row r="454" spans="1:25" ht="12.75">
      <c r="A454" s="142"/>
      <c r="B454" s="128"/>
      <c r="C454" s="129"/>
      <c r="D454" s="130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</row>
    <row r="455" spans="1:25" ht="12.75">
      <c r="A455" s="142"/>
      <c r="B455" s="128"/>
      <c r="C455" s="129"/>
      <c r="D455" s="130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</row>
    <row r="456" spans="1:25" ht="12.75">
      <c r="A456" s="142"/>
      <c r="B456" s="128"/>
      <c r="C456" s="129"/>
      <c r="D456" s="130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</row>
    <row r="457" spans="1:25" ht="12.75">
      <c r="A457" s="142"/>
      <c r="B457" s="128"/>
      <c r="C457" s="129"/>
      <c r="D457" s="130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</row>
    <row r="458" spans="1:25" ht="12.75">
      <c r="A458" s="142"/>
      <c r="B458" s="128"/>
      <c r="C458" s="129"/>
      <c r="D458" s="130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</row>
    <row r="459" spans="1:25" ht="12.75">
      <c r="A459" s="142"/>
      <c r="B459" s="128"/>
      <c r="C459" s="129"/>
      <c r="D459" s="130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</row>
    <row r="460" spans="1:25" ht="12.75">
      <c r="A460" s="142"/>
      <c r="B460" s="128"/>
      <c r="C460" s="129"/>
      <c r="D460" s="130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</row>
    <row r="461" spans="1:25" ht="12.75">
      <c r="A461" s="142"/>
      <c r="B461" s="128"/>
      <c r="C461" s="129"/>
      <c r="D461" s="130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</row>
    <row r="462" spans="1:25" ht="12.75">
      <c r="A462" s="142"/>
      <c r="B462" s="128"/>
      <c r="C462" s="129"/>
      <c r="D462" s="130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</row>
    <row r="463" spans="1:25" ht="12.75">
      <c r="A463" s="142"/>
      <c r="B463" s="128"/>
      <c r="C463" s="129"/>
      <c r="D463" s="130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</row>
    <row r="464" spans="1:25" ht="12.75">
      <c r="A464" s="142"/>
      <c r="B464" s="128"/>
      <c r="C464" s="129"/>
      <c r="D464" s="130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</row>
    <row r="465" spans="1:25" ht="12.75">
      <c r="A465" s="142"/>
      <c r="B465" s="128"/>
      <c r="C465" s="129"/>
      <c r="D465" s="130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</row>
    <row r="466" spans="1:25" ht="12.75">
      <c r="A466" s="142"/>
      <c r="B466" s="128"/>
      <c r="C466" s="129"/>
      <c r="D466" s="130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</row>
    <row r="467" spans="1:25" ht="12.75">
      <c r="A467" s="142"/>
      <c r="B467" s="128"/>
      <c r="C467" s="129"/>
      <c r="D467" s="130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</row>
    <row r="468" spans="1:25" ht="12.75">
      <c r="A468" s="142"/>
      <c r="B468" s="128"/>
      <c r="C468" s="129"/>
      <c r="D468" s="130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</row>
    <row r="469" spans="1:25" ht="12.75">
      <c r="A469" s="142"/>
      <c r="B469" s="128"/>
      <c r="C469" s="129"/>
      <c r="D469" s="130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</row>
    <row r="470" spans="1:25" ht="12.75">
      <c r="A470" s="142"/>
      <c r="B470" s="128"/>
      <c r="C470" s="129"/>
      <c r="D470" s="130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</row>
    <row r="471" spans="1:25" ht="12.75">
      <c r="A471" s="142"/>
      <c r="B471" s="128"/>
      <c r="C471" s="129"/>
      <c r="D471" s="130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</row>
    <row r="472" spans="1:25" ht="12.75">
      <c r="A472" s="142"/>
      <c r="B472" s="128"/>
      <c r="C472" s="129"/>
      <c r="D472" s="130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</row>
    <row r="473" spans="1:25" ht="12.75">
      <c r="A473" s="142"/>
      <c r="B473" s="128"/>
      <c r="C473" s="129"/>
      <c r="D473" s="130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</row>
    <row r="474" spans="1:25" ht="12.75">
      <c r="A474" s="142"/>
      <c r="B474" s="128"/>
      <c r="C474" s="129"/>
      <c r="D474" s="130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</row>
    <row r="475" spans="1:25" ht="12.75">
      <c r="A475" s="142"/>
      <c r="B475" s="128"/>
      <c r="C475" s="129"/>
      <c r="D475" s="130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</row>
    <row r="476" spans="1:25" ht="12.75">
      <c r="A476" s="142"/>
      <c r="B476" s="128"/>
      <c r="C476" s="129"/>
      <c r="D476" s="130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</row>
    <row r="477" spans="1:25" ht="12.75">
      <c r="A477" s="142"/>
      <c r="B477" s="128"/>
      <c r="C477" s="129"/>
      <c r="D477" s="130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</row>
    <row r="478" spans="1:25" ht="12.75">
      <c r="A478" s="142"/>
      <c r="B478" s="128"/>
      <c r="C478" s="129"/>
      <c r="D478" s="130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</row>
    <row r="479" spans="1:25" ht="12.75">
      <c r="A479" s="142"/>
      <c r="B479" s="128"/>
      <c r="C479" s="129"/>
      <c r="D479" s="130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</row>
    <row r="480" spans="1:25" ht="12.75">
      <c r="A480" s="142"/>
      <c r="B480" s="128"/>
      <c r="C480" s="129"/>
      <c r="D480" s="130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</row>
    <row r="481" spans="1:25" ht="12.75">
      <c r="A481" s="142"/>
      <c r="B481" s="128"/>
      <c r="C481" s="129"/>
      <c r="D481" s="130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</row>
    <row r="482" spans="1:25" ht="12.75">
      <c r="A482" s="142"/>
      <c r="B482" s="128"/>
      <c r="C482" s="129"/>
      <c r="D482" s="130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</row>
    <row r="483" spans="1:25" ht="12.75">
      <c r="A483" s="142"/>
      <c r="B483" s="128"/>
      <c r="C483" s="129"/>
      <c r="D483" s="130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</row>
    <row r="484" spans="1:25" ht="12.75">
      <c r="A484" s="142"/>
      <c r="B484" s="128"/>
      <c r="C484" s="129"/>
      <c r="D484" s="130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</row>
    <row r="485" spans="1:25" ht="12.75">
      <c r="A485" s="142"/>
      <c r="B485" s="128"/>
      <c r="C485" s="129"/>
      <c r="D485" s="130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</row>
    <row r="486" spans="1:25" ht="12.75">
      <c r="A486" s="142"/>
      <c r="B486" s="128"/>
      <c r="C486" s="129"/>
      <c r="D486" s="130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</row>
    <row r="487" spans="1:25" ht="12.75">
      <c r="A487" s="142"/>
      <c r="B487" s="128"/>
      <c r="C487" s="129"/>
      <c r="D487" s="130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</row>
    <row r="488" spans="1:25" ht="12.75">
      <c r="A488" s="142"/>
      <c r="B488" s="128"/>
      <c r="C488" s="129"/>
      <c r="D488" s="130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</row>
    <row r="489" spans="1:25" ht="12.75">
      <c r="A489" s="142"/>
      <c r="B489" s="128"/>
      <c r="C489" s="129"/>
      <c r="D489" s="130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</row>
    <row r="490" spans="1:25" ht="12.75">
      <c r="A490" s="142"/>
      <c r="B490" s="128"/>
      <c r="C490" s="129"/>
      <c r="D490" s="130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</row>
    <row r="491" spans="1:25" ht="12.75">
      <c r="A491" s="142"/>
      <c r="B491" s="128"/>
      <c r="C491" s="129"/>
      <c r="D491" s="130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</row>
    <row r="492" spans="1:25" ht="12.75">
      <c r="A492" s="142"/>
      <c r="B492" s="128"/>
      <c r="C492" s="129"/>
      <c r="D492" s="130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</row>
    <row r="493" spans="1:25" ht="12.75">
      <c r="A493" s="142"/>
      <c r="B493" s="128"/>
      <c r="C493" s="129"/>
      <c r="D493" s="130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</row>
    <row r="494" spans="1:25" ht="12.75">
      <c r="A494" s="142"/>
      <c r="B494" s="128"/>
      <c r="C494" s="129"/>
      <c r="D494" s="130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</row>
    <row r="495" spans="1:25" ht="12.75">
      <c r="A495" s="142"/>
      <c r="B495" s="128"/>
      <c r="C495" s="129"/>
      <c r="D495" s="130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</row>
    <row r="496" spans="1:25" ht="12.75">
      <c r="A496" s="142"/>
      <c r="B496" s="128"/>
      <c r="C496" s="129"/>
      <c r="D496" s="130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</row>
    <row r="497" spans="1:25" ht="12.75">
      <c r="A497" s="142"/>
      <c r="B497" s="128"/>
      <c r="C497" s="129"/>
      <c r="D497" s="130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</row>
    <row r="498" spans="1:25" ht="12.75">
      <c r="A498" s="142"/>
      <c r="B498" s="128"/>
      <c r="C498" s="129"/>
      <c r="D498" s="130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</row>
    <row r="499" spans="1:25" ht="12.75">
      <c r="A499" s="142"/>
      <c r="B499" s="128"/>
      <c r="C499" s="129"/>
      <c r="D499" s="130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</row>
    <row r="500" spans="1:25" ht="12.75">
      <c r="A500" s="142"/>
      <c r="B500" s="128"/>
      <c r="C500" s="129"/>
      <c r="D500" s="130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</row>
    <row r="501" spans="1:25" ht="12.75">
      <c r="A501" s="142"/>
      <c r="B501" s="128"/>
      <c r="C501" s="129"/>
      <c r="D501" s="130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</row>
    <row r="502" spans="1:25" ht="12.75">
      <c r="A502" s="142"/>
      <c r="B502" s="128"/>
      <c r="C502" s="129"/>
      <c r="D502" s="130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</row>
    <row r="503" spans="1:25" ht="12.75">
      <c r="A503" s="142"/>
      <c r="B503" s="128"/>
      <c r="C503" s="129"/>
      <c r="D503" s="130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</row>
    <row r="504" spans="1:25" ht="12.75">
      <c r="A504" s="142"/>
      <c r="B504" s="128"/>
      <c r="C504" s="129"/>
      <c r="D504" s="130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</row>
    <row r="505" spans="1:25" ht="12.75">
      <c r="A505" s="142"/>
      <c r="B505" s="128"/>
      <c r="C505" s="129"/>
      <c r="D505" s="130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</row>
    <row r="506" spans="1:25" ht="12.75">
      <c r="A506" s="142"/>
      <c r="B506" s="128"/>
      <c r="C506" s="129"/>
      <c r="D506" s="130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</row>
    <row r="507" spans="1:25" ht="12.75">
      <c r="A507" s="142"/>
      <c r="B507" s="128"/>
      <c r="C507" s="129"/>
      <c r="D507" s="130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</row>
    <row r="508" spans="1:25" ht="12.75">
      <c r="A508" s="142"/>
      <c r="B508" s="128"/>
      <c r="C508" s="129"/>
      <c r="D508" s="130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</row>
    <row r="509" spans="1:25" ht="12.75">
      <c r="A509" s="142"/>
      <c r="B509" s="128"/>
      <c r="C509" s="129"/>
      <c r="D509" s="130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</row>
    <row r="510" spans="1:25" ht="12.75">
      <c r="A510" s="142"/>
      <c r="B510" s="128"/>
      <c r="C510" s="129"/>
      <c r="D510" s="130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</row>
    <row r="511" spans="1:25" ht="12.75">
      <c r="A511" s="142"/>
      <c r="B511" s="128"/>
      <c r="C511" s="129"/>
      <c r="D511" s="130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</row>
    <row r="512" spans="1:25" ht="12.75">
      <c r="A512" s="142"/>
      <c r="B512" s="128"/>
      <c r="C512" s="129"/>
      <c r="D512" s="130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</row>
    <row r="513" spans="1:25" ht="12.75">
      <c r="A513" s="142"/>
      <c r="B513" s="128"/>
      <c r="C513" s="129"/>
      <c r="D513" s="130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</row>
    <row r="514" spans="1:25" ht="12.75">
      <c r="A514" s="142"/>
      <c r="B514" s="128"/>
      <c r="C514" s="129"/>
      <c r="D514" s="130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</row>
    <row r="515" spans="1:25" ht="12.75">
      <c r="A515" s="142"/>
      <c r="B515" s="128"/>
      <c r="C515" s="129"/>
      <c r="D515" s="130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</row>
    <row r="516" spans="1:25" ht="12.75">
      <c r="A516" s="142"/>
      <c r="B516" s="128"/>
      <c r="C516" s="129"/>
      <c r="D516" s="130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</row>
    <row r="517" spans="1:25" ht="12.75">
      <c r="A517" s="142"/>
      <c r="B517" s="128"/>
      <c r="C517" s="129"/>
      <c r="D517" s="130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</row>
    <row r="518" spans="1:25" ht="12.75">
      <c r="A518" s="142"/>
      <c r="B518" s="128"/>
      <c r="C518" s="129"/>
      <c r="D518" s="130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</row>
    <row r="519" spans="1:25" ht="12.75">
      <c r="A519" s="142"/>
      <c r="B519" s="128"/>
      <c r="C519" s="129"/>
      <c r="D519" s="130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</row>
    <row r="520" spans="1:25" ht="12.75">
      <c r="A520" s="142"/>
      <c r="B520" s="128"/>
      <c r="C520" s="129"/>
      <c r="D520" s="130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</row>
    <row r="521" spans="1:25" ht="12.75">
      <c r="A521" s="142"/>
      <c r="B521" s="128"/>
      <c r="C521" s="129"/>
      <c r="D521" s="130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</row>
    <row r="522" spans="1:25" ht="12.75">
      <c r="A522" s="142"/>
      <c r="B522" s="128"/>
      <c r="C522" s="129"/>
      <c r="D522" s="130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</row>
    <row r="523" spans="1:25" ht="12.75">
      <c r="A523" s="142"/>
      <c r="B523" s="128"/>
      <c r="C523" s="129"/>
      <c r="D523" s="130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</row>
    <row r="524" spans="1:25" ht="12.75">
      <c r="A524" s="142"/>
      <c r="B524" s="128"/>
      <c r="C524" s="129"/>
      <c r="D524" s="130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</row>
    <row r="525" spans="1:25" ht="12.75">
      <c r="A525" s="142"/>
      <c r="B525" s="128"/>
      <c r="C525" s="129"/>
      <c r="D525" s="130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</row>
    <row r="526" spans="1:25" ht="12.75">
      <c r="A526" s="142"/>
      <c r="B526" s="128"/>
      <c r="C526" s="129"/>
      <c r="D526" s="130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</row>
    <row r="527" spans="1:25" ht="12.75">
      <c r="A527" s="142"/>
      <c r="B527" s="128"/>
      <c r="C527" s="129"/>
      <c r="D527" s="130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</row>
    <row r="528" spans="1:25" ht="12.75">
      <c r="A528" s="142"/>
      <c r="B528" s="128"/>
      <c r="C528" s="129"/>
      <c r="D528" s="130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</row>
    <row r="529" spans="1:25" ht="12.75">
      <c r="A529" s="142"/>
      <c r="B529" s="128"/>
      <c r="C529" s="129"/>
      <c r="D529" s="130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</row>
    <row r="530" spans="1:25" ht="12.75">
      <c r="A530" s="142"/>
      <c r="B530" s="128"/>
      <c r="C530" s="129"/>
      <c r="D530" s="130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</row>
    <row r="531" spans="1:25" ht="12.75">
      <c r="A531" s="142"/>
      <c r="B531" s="128"/>
      <c r="C531" s="129"/>
      <c r="D531" s="130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</row>
    <row r="532" spans="1:25" ht="12.75">
      <c r="A532" s="142"/>
      <c r="B532" s="128"/>
      <c r="C532" s="129"/>
      <c r="D532" s="130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</row>
    <row r="533" spans="1:25" ht="12.75">
      <c r="A533" s="142"/>
      <c r="B533" s="128"/>
      <c r="C533" s="129"/>
      <c r="D533" s="130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</row>
    <row r="534" spans="1:25" ht="12.75">
      <c r="A534" s="142"/>
      <c r="B534" s="128"/>
      <c r="C534" s="129"/>
      <c r="D534" s="130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</row>
    <row r="535" spans="1:25" ht="12.75">
      <c r="A535" s="142"/>
      <c r="B535" s="128"/>
      <c r="C535" s="129"/>
      <c r="D535" s="130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</row>
    <row r="536" spans="1:25" ht="12.75">
      <c r="A536" s="142"/>
      <c r="B536" s="128"/>
      <c r="C536" s="129"/>
      <c r="D536" s="130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</row>
    <row r="537" spans="1:25" ht="12.75">
      <c r="A537" s="142"/>
      <c r="B537" s="128"/>
      <c r="C537" s="129"/>
      <c r="D537" s="130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</row>
    <row r="538" spans="1:25" ht="12.75">
      <c r="A538" s="142"/>
      <c r="B538" s="128"/>
      <c r="C538" s="129"/>
      <c r="D538" s="130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</row>
    <row r="539" spans="1:25" ht="12.75">
      <c r="A539" s="142"/>
      <c r="B539" s="128"/>
      <c r="C539" s="129"/>
      <c r="D539" s="130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</row>
    <row r="540" spans="1:25" ht="12.75">
      <c r="A540" s="142"/>
      <c r="B540" s="128"/>
      <c r="C540" s="129"/>
      <c r="D540" s="130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</row>
    <row r="541" spans="1:25" ht="12.75">
      <c r="A541" s="142"/>
      <c r="B541" s="128"/>
      <c r="C541" s="129"/>
      <c r="D541" s="130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</row>
    <row r="542" spans="1:25" ht="12.75">
      <c r="A542" s="142"/>
      <c r="B542" s="128"/>
      <c r="C542" s="129"/>
      <c r="D542" s="130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</row>
    <row r="543" spans="1:25" ht="12.75">
      <c r="A543" s="142"/>
      <c r="B543" s="128"/>
      <c r="C543" s="129"/>
      <c r="D543" s="130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</row>
    <row r="544" spans="1:25" ht="12.75">
      <c r="A544" s="142"/>
      <c r="B544" s="128"/>
      <c r="C544" s="129"/>
      <c r="D544" s="130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</row>
    <row r="545" spans="1:25" ht="12.75">
      <c r="A545" s="142"/>
      <c r="B545" s="128"/>
      <c r="C545" s="129"/>
      <c r="D545" s="130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</row>
    <row r="546" spans="1:25" ht="12.75">
      <c r="A546" s="142"/>
      <c r="B546" s="128"/>
      <c r="C546" s="129"/>
      <c r="D546" s="130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</row>
    <row r="547" spans="1:25" ht="12.75">
      <c r="A547" s="142"/>
      <c r="B547" s="128"/>
      <c r="C547" s="129"/>
      <c r="D547" s="130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</row>
    <row r="548" spans="1:25" ht="12.75">
      <c r="A548" s="142"/>
      <c r="B548" s="128"/>
      <c r="C548" s="129"/>
      <c r="D548" s="130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</row>
    <row r="549" spans="1:25" ht="12.75">
      <c r="A549" s="142"/>
      <c r="B549" s="128"/>
      <c r="C549" s="129"/>
      <c r="D549" s="130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</row>
    <row r="550" spans="1:25" ht="12.75">
      <c r="A550" s="142"/>
      <c r="B550" s="128"/>
      <c r="C550" s="129"/>
      <c r="D550" s="130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</row>
    <row r="551" spans="1:25" ht="12.75">
      <c r="A551" s="142"/>
      <c r="B551" s="128"/>
      <c r="C551" s="129"/>
      <c r="D551" s="130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</row>
    <row r="552" spans="1:25" ht="12.75">
      <c r="A552" s="142"/>
      <c r="B552" s="128"/>
      <c r="C552" s="129"/>
      <c r="D552" s="130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</row>
    <row r="553" spans="1:25" ht="12.75">
      <c r="A553" s="142"/>
      <c r="B553" s="128"/>
      <c r="C553" s="129"/>
      <c r="D553" s="130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</row>
    <row r="554" spans="1:25" ht="12.75">
      <c r="A554" s="142"/>
      <c r="B554" s="128"/>
      <c r="C554" s="129"/>
      <c r="D554" s="130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</row>
    <row r="555" spans="1:25" ht="12.75">
      <c r="A555" s="142"/>
      <c r="B555" s="128"/>
      <c r="C555" s="129"/>
      <c r="D555" s="130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</row>
    <row r="556" spans="1:25" ht="12.75">
      <c r="A556" s="142"/>
      <c r="B556" s="128"/>
      <c r="C556" s="129"/>
      <c r="D556" s="130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</row>
    <row r="557" spans="1:25" ht="12.75">
      <c r="A557" s="142"/>
      <c r="B557" s="128"/>
      <c r="C557" s="129"/>
      <c r="D557" s="130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</row>
    <row r="558" spans="1:25" ht="12.75">
      <c r="A558" s="142"/>
      <c r="B558" s="128"/>
      <c r="C558" s="129"/>
      <c r="D558" s="130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</row>
    <row r="559" spans="1:25" ht="12.75">
      <c r="A559" s="142"/>
      <c r="B559" s="128"/>
      <c r="C559" s="129"/>
      <c r="D559" s="130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</row>
    <row r="560" spans="1:25" ht="12.75">
      <c r="A560" s="142"/>
      <c r="B560" s="128"/>
      <c r="C560" s="129"/>
      <c r="D560" s="130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</row>
    <row r="561" spans="1:25" ht="12.75">
      <c r="A561" s="142"/>
      <c r="B561" s="128"/>
      <c r="C561" s="129"/>
      <c r="D561" s="130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</row>
    <row r="562" spans="1:25" ht="12.75">
      <c r="A562" s="142"/>
      <c r="B562" s="128"/>
      <c r="C562" s="129"/>
      <c r="D562" s="130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</row>
    <row r="563" spans="1:25" ht="12.75">
      <c r="A563" s="142"/>
      <c r="B563" s="128"/>
      <c r="C563" s="129"/>
      <c r="D563" s="130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</row>
    <row r="564" spans="1:25" ht="12.75">
      <c r="A564" s="142"/>
      <c r="B564" s="128"/>
      <c r="C564" s="129"/>
      <c r="D564" s="130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</row>
    <row r="565" spans="1:25" ht="12.75">
      <c r="A565" s="142"/>
      <c r="B565" s="128"/>
      <c r="C565" s="129"/>
      <c r="D565" s="130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</row>
    <row r="566" spans="1:25" ht="12.75">
      <c r="A566" s="142"/>
      <c r="B566" s="128"/>
      <c r="C566" s="129"/>
      <c r="D566" s="130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</row>
    <row r="567" spans="1:25" ht="12.75">
      <c r="A567" s="142"/>
      <c r="B567" s="128"/>
      <c r="C567" s="129"/>
      <c r="D567" s="130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</row>
    <row r="568" spans="1:25" ht="12.75">
      <c r="A568" s="142"/>
      <c r="B568" s="128"/>
      <c r="C568" s="129"/>
      <c r="D568" s="130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</row>
    <row r="569" spans="1:25" ht="12.75">
      <c r="A569" s="142"/>
      <c r="B569" s="128"/>
      <c r="C569" s="129"/>
      <c r="D569" s="130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</row>
    <row r="570" spans="1:25" ht="12.75">
      <c r="A570" s="142"/>
      <c r="B570" s="128"/>
      <c r="C570" s="129"/>
      <c r="D570" s="130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</row>
    <row r="571" spans="1:25" ht="12.75">
      <c r="A571" s="142"/>
      <c r="B571" s="128"/>
      <c r="C571" s="129"/>
      <c r="D571" s="130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</row>
    <row r="572" spans="1:25" ht="12.75">
      <c r="A572" s="142"/>
      <c r="B572" s="128"/>
      <c r="C572" s="129"/>
      <c r="D572" s="130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</row>
    <row r="573" spans="1:25" ht="12.75">
      <c r="A573" s="142"/>
      <c r="B573" s="128"/>
      <c r="C573" s="129"/>
      <c r="D573" s="130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</row>
    <row r="574" spans="1:25" ht="12.75">
      <c r="A574" s="142"/>
      <c r="B574" s="128"/>
      <c r="C574" s="129"/>
      <c r="D574" s="130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</row>
    <row r="575" spans="1:25" ht="12.75">
      <c r="A575" s="142"/>
      <c r="B575" s="128"/>
      <c r="C575" s="129"/>
      <c r="D575" s="130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</row>
    <row r="576" spans="1:25" ht="12.75">
      <c r="A576" s="142"/>
      <c r="B576" s="128"/>
      <c r="C576" s="129"/>
      <c r="D576" s="130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</row>
    <row r="577" spans="1:25" ht="12.75">
      <c r="A577" s="142"/>
      <c r="B577" s="128"/>
      <c r="C577" s="129"/>
      <c r="D577" s="130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</row>
    <row r="578" spans="1:25" ht="12.75">
      <c r="A578" s="142"/>
      <c r="B578" s="128"/>
      <c r="C578" s="129"/>
      <c r="D578" s="130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</row>
    <row r="579" spans="1:25" ht="12.75">
      <c r="A579" s="142"/>
      <c r="B579" s="128"/>
      <c r="C579" s="129"/>
      <c r="D579" s="130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</row>
    <row r="580" spans="1:25" ht="12.75">
      <c r="A580" s="142"/>
      <c r="B580" s="128"/>
      <c r="C580" s="129"/>
      <c r="D580" s="130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</row>
    <row r="581" spans="1:25" ht="12.75">
      <c r="A581" s="142"/>
      <c r="B581" s="128"/>
      <c r="C581" s="129"/>
      <c r="D581" s="130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</row>
    <row r="582" spans="1:25" ht="12.75">
      <c r="A582" s="142"/>
      <c r="B582" s="128"/>
      <c r="C582" s="129"/>
      <c r="D582" s="130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</row>
    <row r="583" spans="1:25" ht="12.75">
      <c r="A583" s="142"/>
      <c r="B583" s="128"/>
      <c r="C583" s="129"/>
      <c r="D583" s="130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</row>
    <row r="584" spans="1:25" ht="12.75">
      <c r="A584" s="142"/>
      <c r="B584" s="128"/>
      <c r="C584" s="129"/>
      <c r="D584" s="130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</row>
    <row r="585" spans="1:25" ht="12.75">
      <c r="A585" s="142"/>
      <c r="B585" s="128"/>
      <c r="C585" s="129"/>
      <c r="D585" s="130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</row>
    <row r="586" spans="1:25" ht="12.75">
      <c r="A586" s="142"/>
      <c r="B586" s="128"/>
      <c r="C586" s="129"/>
      <c r="D586" s="130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</row>
    <row r="587" spans="1:25" ht="12.75">
      <c r="A587" s="142"/>
      <c r="B587" s="128"/>
      <c r="C587" s="129"/>
      <c r="D587" s="130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</row>
    <row r="588" spans="1:25" ht="12.75">
      <c r="A588" s="142"/>
      <c r="B588" s="128"/>
      <c r="C588" s="129"/>
      <c r="D588" s="130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</row>
    <row r="589" spans="1:25" ht="12.75">
      <c r="A589" s="142"/>
      <c r="B589" s="128"/>
      <c r="C589" s="129"/>
      <c r="D589" s="130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</row>
    <row r="590" spans="1:25" ht="12.75">
      <c r="A590" s="142"/>
      <c r="B590" s="128"/>
      <c r="C590" s="129"/>
      <c r="D590" s="130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</row>
    <row r="591" spans="1:25" ht="12.75">
      <c r="A591" s="142"/>
      <c r="B591" s="128"/>
      <c r="C591" s="129"/>
      <c r="D591" s="130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</row>
    <row r="592" spans="1:25" ht="12.75">
      <c r="A592" s="142"/>
      <c r="B592" s="128"/>
      <c r="C592" s="129"/>
      <c r="D592" s="130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</row>
    <row r="593" spans="1:25" ht="12.75">
      <c r="A593" s="142"/>
      <c r="B593" s="128"/>
      <c r="C593" s="129"/>
      <c r="D593" s="130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</row>
    <row r="594" spans="1:25" ht="12.75">
      <c r="A594" s="142"/>
      <c r="B594" s="128"/>
      <c r="C594" s="129"/>
      <c r="D594" s="130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</row>
    <row r="595" spans="1:25" ht="12.75">
      <c r="A595" s="142"/>
      <c r="B595" s="128"/>
      <c r="C595" s="129"/>
      <c r="D595" s="130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</row>
    <row r="596" spans="1:25" ht="12.75">
      <c r="A596" s="142"/>
      <c r="B596" s="128"/>
      <c r="C596" s="129"/>
      <c r="D596" s="130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</row>
    <row r="597" spans="1:25" ht="12.75">
      <c r="A597" s="142"/>
      <c r="B597" s="128"/>
      <c r="C597" s="129"/>
      <c r="D597" s="130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</row>
    <row r="598" spans="1:25" ht="12.75">
      <c r="A598" s="142"/>
      <c r="B598" s="128"/>
      <c r="C598" s="129"/>
      <c r="D598" s="130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</row>
    <row r="599" spans="1:25" ht="12.75">
      <c r="A599" s="142"/>
      <c r="B599" s="128"/>
      <c r="C599" s="129"/>
      <c r="D599" s="130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</row>
    <row r="600" spans="1:25" ht="12.75">
      <c r="A600" s="142"/>
      <c r="B600" s="128"/>
      <c r="C600" s="129"/>
      <c r="D600" s="130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</row>
    <row r="601" spans="1:25" ht="12.75">
      <c r="A601" s="142"/>
      <c r="B601" s="128"/>
      <c r="C601" s="129"/>
      <c r="D601" s="130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</row>
    <row r="602" spans="1:25" ht="12.75">
      <c r="A602" s="142"/>
      <c r="B602" s="128"/>
      <c r="C602" s="129"/>
      <c r="D602" s="130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</row>
    <row r="603" spans="1:25" ht="12.75">
      <c r="A603" s="142"/>
      <c r="B603" s="128"/>
      <c r="C603" s="129"/>
      <c r="D603" s="130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</row>
    <row r="604" spans="1:25" ht="12.75">
      <c r="A604" s="142"/>
      <c r="B604" s="128"/>
      <c r="C604" s="129"/>
      <c r="D604" s="130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</row>
    <row r="605" spans="1:25" ht="12.75">
      <c r="A605" s="142"/>
      <c r="B605" s="128"/>
      <c r="C605" s="129"/>
      <c r="D605" s="130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</row>
    <row r="606" spans="1:25" ht="12.75">
      <c r="A606" s="142"/>
      <c r="B606" s="128"/>
      <c r="C606" s="129"/>
      <c r="D606" s="130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</row>
    <row r="607" spans="1:25" ht="12.75">
      <c r="A607" s="142"/>
      <c r="B607" s="128"/>
      <c r="C607" s="129"/>
      <c r="D607" s="130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</row>
    <row r="608" spans="1:25" ht="12.75">
      <c r="A608" s="142"/>
      <c r="B608" s="128"/>
      <c r="C608" s="129"/>
      <c r="D608" s="130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</row>
    <row r="609" spans="1:25" ht="12.75">
      <c r="A609" s="142"/>
      <c r="B609" s="128"/>
      <c r="C609" s="129"/>
      <c r="D609" s="130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</row>
    <row r="610" spans="1:25" ht="12.75">
      <c r="A610" s="142"/>
      <c r="B610" s="128"/>
      <c r="C610" s="129"/>
      <c r="D610" s="130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</row>
    <row r="611" spans="1:25" ht="12.75">
      <c r="A611" s="142"/>
      <c r="B611" s="128"/>
      <c r="C611" s="129"/>
      <c r="D611" s="130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</row>
    <row r="612" spans="1:25" ht="12.75">
      <c r="A612" s="142"/>
      <c r="B612" s="128"/>
      <c r="C612" s="129"/>
      <c r="D612" s="130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</row>
    <row r="613" spans="1:25" ht="12.75">
      <c r="A613" s="142"/>
      <c r="B613" s="128"/>
      <c r="C613" s="129"/>
      <c r="D613" s="130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</row>
    <row r="614" spans="1:25" ht="12.75">
      <c r="A614" s="142"/>
      <c r="B614" s="128"/>
      <c r="C614" s="129"/>
      <c r="D614" s="130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</row>
    <row r="615" spans="1:25" ht="12.75">
      <c r="A615" s="142"/>
      <c r="B615" s="128"/>
      <c r="C615" s="129"/>
      <c r="D615" s="130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</row>
    <row r="616" spans="1:25" ht="12.75">
      <c r="A616" s="142"/>
      <c r="B616" s="128"/>
      <c r="C616" s="129"/>
      <c r="D616" s="130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</row>
    <row r="617" spans="1:25" ht="12.75">
      <c r="A617" s="142"/>
      <c r="B617" s="128"/>
      <c r="C617" s="129"/>
      <c r="D617" s="130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</row>
    <row r="618" spans="1:25" ht="12.75">
      <c r="A618" s="142"/>
      <c r="B618" s="128"/>
      <c r="C618" s="129"/>
      <c r="D618" s="130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</row>
    <row r="619" spans="1:25" ht="12.75">
      <c r="A619" s="142"/>
      <c r="B619" s="128"/>
      <c r="C619" s="129"/>
      <c r="D619" s="130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</row>
    <row r="620" spans="1:25" ht="12.75">
      <c r="A620" s="142"/>
      <c r="B620" s="128"/>
      <c r="C620" s="129"/>
      <c r="D620" s="130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</row>
    <row r="621" spans="1:25" ht="12.75">
      <c r="A621" s="142"/>
      <c r="B621" s="128"/>
      <c r="C621" s="129"/>
      <c r="D621" s="130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</row>
    <row r="622" spans="1:25" ht="12.75">
      <c r="A622" s="142"/>
      <c r="B622" s="128"/>
      <c r="C622" s="129"/>
      <c r="D622" s="130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</row>
    <row r="623" spans="1:25" ht="12.75">
      <c r="A623" s="142"/>
      <c r="B623" s="128"/>
      <c r="C623" s="129"/>
      <c r="D623" s="130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</row>
    <row r="624" spans="1:25" ht="12.75">
      <c r="A624" s="142"/>
      <c r="B624" s="128"/>
      <c r="C624" s="129"/>
      <c r="D624" s="130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</row>
    <row r="625" spans="1:25" ht="12.75">
      <c r="A625" s="142"/>
      <c r="B625" s="128"/>
      <c r="C625" s="129"/>
      <c r="D625" s="130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</row>
    <row r="626" spans="1:25" ht="12.75">
      <c r="A626" s="142"/>
      <c r="B626" s="128"/>
      <c r="C626" s="129"/>
      <c r="D626" s="130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</row>
    <row r="627" spans="1:25" ht="12.75">
      <c r="A627" s="142"/>
      <c r="B627" s="128"/>
      <c r="C627" s="129"/>
      <c r="D627" s="130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</row>
    <row r="628" spans="1:25" ht="12.75">
      <c r="A628" s="142"/>
      <c r="B628" s="128"/>
      <c r="C628" s="129"/>
      <c r="D628" s="130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</row>
    <row r="629" spans="1:25" ht="12.75">
      <c r="A629" s="142"/>
      <c r="B629" s="128"/>
      <c r="C629" s="129"/>
      <c r="D629" s="130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</row>
    <row r="630" spans="1:25" ht="12.75">
      <c r="A630" s="142"/>
      <c r="B630" s="128"/>
      <c r="C630" s="129"/>
      <c r="D630" s="130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</row>
    <row r="631" spans="1:25" ht="12.75">
      <c r="A631" s="142"/>
      <c r="B631" s="128"/>
      <c r="C631" s="129"/>
      <c r="D631" s="130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</row>
    <row r="632" spans="1:25" ht="12.75">
      <c r="A632" s="142"/>
      <c r="B632" s="128"/>
      <c r="C632" s="129"/>
      <c r="D632" s="130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</row>
    <row r="633" spans="1:25" ht="12.75">
      <c r="A633" s="142"/>
      <c r="B633" s="128"/>
      <c r="C633" s="129"/>
      <c r="D633" s="130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</row>
    <row r="634" spans="1:25" ht="12.75">
      <c r="A634" s="142"/>
      <c r="B634" s="128"/>
      <c r="C634" s="129"/>
      <c r="D634" s="130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</row>
    <row r="635" spans="1:25" ht="12.75">
      <c r="A635" s="142"/>
      <c r="B635" s="128"/>
      <c r="C635" s="129"/>
      <c r="D635" s="130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</row>
    <row r="636" spans="1:25" ht="12.75">
      <c r="A636" s="142"/>
      <c r="B636" s="128"/>
      <c r="C636" s="129"/>
      <c r="D636" s="130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</row>
    <row r="637" spans="1:25" ht="12.75">
      <c r="A637" s="142"/>
      <c r="B637" s="128"/>
      <c r="C637" s="129"/>
      <c r="D637" s="130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</row>
    <row r="638" spans="1:25" ht="12.75">
      <c r="A638" s="142"/>
      <c r="B638" s="128"/>
      <c r="C638" s="129"/>
      <c r="D638" s="130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</row>
    <row r="639" spans="1:25" ht="12.75">
      <c r="A639" s="142"/>
      <c r="B639" s="128"/>
      <c r="C639" s="129"/>
      <c r="D639" s="130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</row>
    <row r="640" spans="1:25" ht="12.75">
      <c r="A640" s="142"/>
      <c r="B640" s="128"/>
      <c r="C640" s="129"/>
      <c r="D640" s="130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</row>
    <row r="641" spans="1:25" ht="12.75">
      <c r="A641" s="142"/>
      <c r="B641" s="128"/>
      <c r="C641" s="129"/>
      <c r="D641" s="130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</row>
    <row r="642" spans="1:25" ht="12.75">
      <c r="A642" s="142"/>
      <c r="B642" s="128"/>
      <c r="C642" s="129"/>
      <c r="D642" s="130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</row>
    <row r="643" spans="1:25" ht="12.75">
      <c r="A643" s="142"/>
      <c r="B643" s="128"/>
      <c r="C643" s="129"/>
      <c r="D643" s="130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</row>
    <row r="644" spans="1:25" ht="12.75">
      <c r="A644" s="142"/>
      <c r="B644" s="128"/>
      <c r="C644" s="129"/>
      <c r="D644" s="130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</row>
    <row r="645" spans="1:25" ht="12.75">
      <c r="A645" s="142"/>
      <c r="B645" s="128"/>
      <c r="C645" s="129"/>
      <c r="D645" s="130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</row>
    <row r="646" spans="1:25" ht="12.75">
      <c r="A646" s="142"/>
      <c r="B646" s="128"/>
      <c r="C646" s="129"/>
      <c r="D646" s="130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</row>
    <row r="647" spans="1:25" ht="12.75">
      <c r="A647" s="142"/>
      <c r="B647" s="128"/>
      <c r="C647" s="129"/>
      <c r="D647" s="130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</row>
    <row r="648" spans="1:25" ht="12.75">
      <c r="A648" s="142"/>
      <c r="B648" s="128"/>
      <c r="C648" s="129"/>
      <c r="D648" s="130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</row>
    <row r="649" spans="1:25" ht="12.75">
      <c r="A649" s="142"/>
      <c r="B649" s="128"/>
      <c r="C649" s="129"/>
      <c r="D649" s="130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</row>
    <row r="650" spans="1:25" ht="12.75">
      <c r="A650" s="142"/>
      <c r="B650" s="128"/>
      <c r="C650" s="129"/>
      <c r="D650" s="130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</row>
    <row r="651" spans="1:25" ht="12.75">
      <c r="A651" s="142"/>
      <c r="B651" s="128"/>
      <c r="C651" s="129"/>
      <c r="D651" s="130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</row>
    <row r="652" spans="1:25" ht="12.75">
      <c r="A652" s="142"/>
      <c r="B652" s="128"/>
      <c r="C652" s="129"/>
      <c r="D652" s="130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</row>
    <row r="653" spans="1:25" ht="12.75">
      <c r="A653" s="142"/>
      <c r="B653" s="128"/>
      <c r="C653" s="129"/>
      <c r="D653" s="130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</row>
    <row r="654" spans="1:25" ht="12.75">
      <c r="A654" s="142"/>
      <c r="B654" s="128"/>
      <c r="C654" s="129"/>
      <c r="D654" s="130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</row>
    <row r="655" spans="1:25" ht="12.75">
      <c r="A655" s="142"/>
      <c r="B655" s="128"/>
      <c r="C655" s="129"/>
      <c r="D655" s="130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</row>
    <row r="656" spans="1:25" ht="12.75">
      <c r="A656" s="142"/>
      <c r="B656" s="128"/>
      <c r="C656" s="129"/>
      <c r="D656" s="130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</row>
    <row r="657" spans="1:25" ht="12.75">
      <c r="A657" s="142"/>
      <c r="B657" s="128"/>
      <c r="C657" s="129"/>
      <c r="D657" s="130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</row>
    <row r="658" spans="1:25" ht="12.75">
      <c r="A658" s="142"/>
      <c r="B658" s="128"/>
      <c r="C658" s="129"/>
      <c r="D658" s="130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</row>
    <row r="659" spans="1:25" ht="12.75">
      <c r="A659" s="142"/>
      <c r="B659" s="128"/>
      <c r="C659" s="129"/>
      <c r="D659" s="130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</row>
    <row r="660" spans="1:25" ht="12.75">
      <c r="A660" s="142"/>
      <c r="B660" s="128"/>
      <c r="C660" s="129"/>
      <c r="D660" s="130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</row>
    <row r="661" spans="1:25" ht="12.75">
      <c r="A661" s="142"/>
      <c r="B661" s="128"/>
      <c r="C661" s="129"/>
      <c r="D661" s="130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</row>
    <row r="662" spans="1:25" ht="12.75">
      <c r="A662" s="142"/>
      <c r="B662" s="128"/>
      <c r="C662" s="129"/>
      <c r="D662" s="130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</row>
    <row r="663" spans="1:25" ht="12.75">
      <c r="A663" s="142"/>
      <c r="B663" s="128"/>
      <c r="C663" s="129"/>
      <c r="D663" s="130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</row>
    <row r="664" spans="1:25" ht="12.75">
      <c r="A664" s="142"/>
      <c r="B664" s="128"/>
      <c r="C664" s="129"/>
      <c r="D664" s="130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</row>
    <row r="665" spans="1:25" ht="12.75">
      <c r="A665" s="142"/>
      <c r="B665" s="128"/>
      <c r="C665" s="129"/>
      <c r="D665" s="130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</row>
    <row r="666" spans="1:25" ht="12.75">
      <c r="A666" s="142"/>
      <c r="B666" s="128"/>
      <c r="C666" s="129"/>
      <c r="D666" s="130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</row>
    <row r="667" spans="1:25" ht="12.75">
      <c r="A667" s="142"/>
      <c r="B667" s="128"/>
      <c r="C667" s="129"/>
      <c r="D667" s="130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</row>
    <row r="668" spans="1:25" ht="12.75">
      <c r="A668" s="142"/>
      <c r="B668" s="128"/>
      <c r="C668" s="129"/>
      <c r="D668" s="130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</row>
    <row r="669" spans="1:25" ht="12.75">
      <c r="A669" s="142"/>
      <c r="B669" s="128"/>
      <c r="C669" s="129"/>
      <c r="D669" s="130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</row>
    <row r="670" spans="1:25" ht="12.75">
      <c r="A670" s="142"/>
      <c r="B670" s="128"/>
      <c r="C670" s="129"/>
      <c r="D670" s="130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</row>
    <row r="671" spans="1:25" ht="12.75">
      <c r="A671" s="142"/>
      <c r="B671" s="128"/>
      <c r="C671" s="129"/>
      <c r="D671" s="130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</row>
    <row r="672" spans="1:25" ht="12.75">
      <c r="A672" s="142"/>
      <c r="B672" s="128"/>
      <c r="C672" s="129"/>
      <c r="D672" s="130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</row>
    <row r="673" spans="1:25" ht="12.75">
      <c r="A673" s="142"/>
      <c r="B673" s="128"/>
      <c r="C673" s="129"/>
      <c r="D673" s="130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</row>
    <row r="674" spans="1:25" ht="12.75">
      <c r="A674" s="142"/>
      <c r="B674" s="128"/>
      <c r="C674" s="129"/>
      <c r="D674" s="130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</row>
    <row r="675" spans="1:25" ht="12.75">
      <c r="A675" s="142"/>
      <c r="B675" s="128"/>
      <c r="C675" s="129"/>
      <c r="D675" s="130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</row>
    <row r="676" spans="1:25" ht="12.75">
      <c r="A676" s="142"/>
      <c r="B676" s="128"/>
      <c r="C676" s="129"/>
      <c r="D676" s="130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</row>
    <row r="677" spans="1:25" ht="12.75">
      <c r="A677" s="142"/>
      <c r="B677" s="128"/>
      <c r="C677" s="129"/>
      <c r="D677" s="130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</row>
    <row r="678" spans="1:25" ht="12.75">
      <c r="A678" s="142"/>
      <c r="B678" s="128"/>
      <c r="C678" s="129"/>
      <c r="D678" s="130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</row>
    <row r="679" spans="1:25" ht="12.75">
      <c r="A679" s="142"/>
      <c r="B679" s="128"/>
      <c r="C679" s="129"/>
      <c r="D679" s="130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</row>
    <row r="680" spans="1:25" ht="12.75">
      <c r="A680" s="142"/>
      <c r="B680" s="128"/>
      <c r="C680" s="129"/>
      <c r="D680" s="130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</row>
    <row r="681" spans="1:25" ht="12.75">
      <c r="A681" s="142"/>
      <c r="B681" s="128"/>
      <c r="C681" s="129"/>
      <c r="D681" s="130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</row>
    <row r="682" spans="1:25" ht="12.75">
      <c r="A682" s="142"/>
      <c r="B682" s="128"/>
      <c r="C682" s="129"/>
      <c r="D682" s="130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</row>
    <row r="683" spans="1:25" ht="12.75">
      <c r="A683" s="142"/>
      <c r="B683" s="128"/>
      <c r="C683" s="129"/>
      <c r="D683" s="130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</row>
    <row r="684" spans="1:25" ht="12.75">
      <c r="A684" s="142"/>
      <c r="B684" s="128"/>
      <c r="C684" s="129"/>
      <c r="D684" s="130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</row>
    <row r="685" spans="1:25" ht="12.75">
      <c r="A685" s="142"/>
      <c r="B685" s="128"/>
      <c r="C685" s="129"/>
      <c r="D685" s="130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</row>
    <row r="686" spans="1:25" ht="12.75">
      <c r="A686" s="142"/>
      <c r="B686" s="128"/>
      <c r="C686" s="129"/>
      <c r="D686" s="130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</row>
    <row r="687" spans="1:25" ht="12.75">
      <c r="A687" s="142"/>
      <c r="B687" s="128"/>
      <c r="C687" s="129"/>
      <c r="D687" s="130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</row>
    <row r="688" spans="1:25" ht="12.75">
      <c r="A688" s="142"/>
      <c r="B688" s="128"/>
      <c r="C688" s="129"/>
      <c r="D688" s="130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</row>
    <row r="689" spans="1:25" ht="12.75">
      <c r="A689" s="142"/>
      <c r="B689" s="128"/>
      <c r="C689" s="129"/>
      <c r="D689" s="130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</row>
    <row r="690" spans="1:25" ht="12.75">
      <c r="A690" s="142"/>
      <c r="B690" s="128"/>
      <c r="C690" s="129"/>
      <c r="D690" s="130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</row>
    <row r="691" spans="1:25" ht="12.75">
      <c r="A691" s="142"/>
      <c r="B691" s="128"/>
      <c r="C691" s="129"/>
      <c r="D691" s="130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</row>
    <row r="692" spans="1:25" ht="12.75">
      <c r="A692" s="142"/>
      <c r="B692" s="128"/>
      <c r="C692" s="129"/>
      <c r="D692" s="130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</row>
    <row r="693" spans="1:25" ht="12.75">
      <c r="A693" s="142"/>
      <c r="B693" s="128"/>
      <c r="C693" s="129"/>
      <c r="D693" s="130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</row>
    <row r="694" spans="1:25" ht="12.75">
      <c r="A694" s="142"/>
      <c r="B694" s="128"/>
      <c r="C694" s="129"/>
      <c r="D694" s="130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</row>
    <row r="695" spans="1:25" ht="12.75">
      <c r="A695" s="142"/>
      <c r="B695" s="128"/>
      <c r="C695" s="129"/>
      <c r="D695" s="130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</row>
    <row r="696" spans="1:25" ht="12.75">
      <c r="A696" s="142"/>
      <c r="B696" s="128"/>
      <c r="C696" s="129"/>
      <c r="D696" s="130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</row>
    <row r="697" spans="1:25" ht="12.75">
      <c r="A697" s="142"/>
      <c r="B697" s="128"/>
      <c r="C697" s="129"/>
      <c r="D697" s="130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</row>
    <row r="698" spans="1:25" ht="12.75">
      <c r="A698" s="142"/>
      <c r="B698" s="128"/>
      <c r="C698" s="129"/>
      <c r="D698" s="130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</row>
    <row r="699" spans="1:25" ht="12.75">
      <c r="A699" s="142"/>
      <c r="B699" s="128"/>
      <c r="C699" s="129"/>
      <c r="D699" s="130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</row>
    <row r="700" spans="1:25" ht="12.75">
      <c r="A700" s="142"/>
      <c r="B700" s="128"/>
      <c r="C700" s="129"/>
      <c r="D700" s="130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</row>
    <row r="701" spans="1:25" ht="12.75">
      <c r="A701" s="142"/>
      <c r="B701" s="128"/>
      <c r="C701" s="129"/>
      <c r="D701" s="130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</row>
    <row r="702" spans="1:25" ht="12.75">
      <c r="A702" s="142"/>
      <c r="B702" s="128"/>
      <c r="C702" s="129"/>
      <c r="D702" s="130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</row>
    <row r="703" spans="1:25" ht="12.75">
      <c r="A703" s="142"/>
      <c r="B703" s="128"/>
      <c r="C703" s="129"/>
      <c r="D703" s="130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</row>
    <row r="704" spans="1:25" ht="12.75">
      <c r="A704" s="142"/>
      <c r="B704" s="128"/>
      <c r="C704" s="129"/>
      <c r="D704" s="130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</row>
    <row r="705" spans="1:25" ht="12.75">
      <c r="A705" s="142"/>
      <c r="B705" s="128"/>
      <c r="C705" s="129"/>
      <c r="D705" s="130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</row>
    <row r="706" spans="1:25" ht="12.75">
      <c r="A706" s="142"/>
      <c r="B706" s="128"/>
      <c r="C706" s="129"/>
      <c r="D706" s="130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</row>
    <row r="707" spans="1:25" ht="12.75">
      <c r="A707" s="142"/>
      <c r="B707" s="128"/>
      <c r="C707" s="129"/>
      <c r="D707" s="130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</row>
    <row r="708" spans="1:25" ht="12.75">
      <c r="A708" s="142"/>
      <c r="B708" s="128"/>
      <c r="C708" s="129"/>
      <c r="D708" s="130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</row>
    <row r="709" spans="1:25" ht="12.75">
      <c r="A709" s="142"/>
      <c r="B709" s="128"/>
      <c r="C709" s="129"/>
      <c r="D709" s="130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</row>
    <row r="710" spans="1:25" ht="12.75">
      <c r="A710" s="142"/>
      <c r="B710" s="128"/>
      <c r="C710" s="129"/>
      <c r="D710" s="130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</row>
    <row r="711" spans="1:25" ht="12.75">
      <c r="A711" s="142"/>
      <c r="B711" s="128"/>
      <c r="C711" s="129"/>
      <c r="D711" s="130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</row>
    <row r="712" spans="1:25" ht="12.75">
      <c r="A712" s="142"/>
      <c r="B712" s="128"/>
      <c r="C712" s="129"/>
      <c r="D712" s="130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</row>
    <row r="713" spans="1:25" ht="12.75">
      <c r="A713" s="142"/>
      <c r="B713" s="128"/>
      <c r="C713" s="129"/>
      <c r="D713" s="130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</row>
    <row r="714" spans="1:25" ht="12.75">
      <c r="A714" s="142"/>
      <c r="B714" s="128"/>
      <c r="C714" s="129"/>
      <c r="D714" s="130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</row>
    <row r="715" spans="1:25" ht="12.75">
      <c r="A715" s="142"/>
      <c r="B715" s="128"/>
      <c r="C715" s="129"/>
      <c r="D715" s="130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</row>
    <row r="716" spans="1:25" ht="12.75">
      <c r="A716" s="142"/>
      <c r="B716" s="128"/>
      <c r="C716" s="129"/>
      <c r="D716" s="130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</row>
    <row r="717" spans="1:25" ht="12.75">
      <c r="A717" s="142"/>
      <c r="B717" s="128"/>
      <c r="C717" s="129"/>
      <c r="D717" s="130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</row>
    <row r="718" spans="1:25" ht="12.75">
      <c r="A718" s="142"/>
      <c r="B718" s="128"/>
      <c r="C718" s="129"/>
      <c r="D718" s="130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</row>
    <row r="719" spans="1:25" ht="12.75">
      <c r="A719" s="142"/>
      <c r="B719" s="128"/>
      <c r="C719" s="129"/>
      <c r="D719" s="130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</row>
    <row r="720" spans="1:25" ht="12.75">
      <c r="A720" s="142"/>
      <c r="B720" s="128"/>
      <c r="C720" s="129"/>
      <c r="D720" s="130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</row>
    <row r="721" spans="1:25" ht="12.75">
      <c r="A721" s="142"/>
      <c r="B721" s="128"/>
      <c r="C721" s="129"/>
      <c r="D721" s="130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</row>
    <row r="722" spans="1:25" ht="12.75">
      <c r="A722" s="142"/>
      <c r="B722" s="128"/>
      <c r="C722" s="129"/>
      <c r="D722" s="130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</row>
    <row r="723" spans="1:25" ht="12.75">
      <c r="A723" s="142"/>
      <c r="B723" s="128"/>
      <c r="C723" s="129"/>
      <c r="D723" s="130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</row>
    <row r="724" spans="1:25" ht="12.75">
      <c r="A724" s="142"/>
      <c r="B724" s="128"/>
      <c r="C724" s="129"/>
      <c r="D724" s="130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</row>
    <row r="725" spans="1:25" ht="12.75">
      <c r="A725" s="142"/>
      <c r="B725" s="128"/>
      <c r="C725" s="129"/>
      <c r="D725" s="130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</row>
    <row r="726" spans="1:25" ht="12.75">
      <c r="A726" s="142"/>
      <c r="B726" s="128"/>
      <c r="C726" s="129"/>
      <c r="D726" s="130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</row>
    <row r="727" spans="1:25" ht="12.75">
      <c r="A727" s="142"/>
      <c r="B727" s="128"/>
      <c r="C727" s="129"/>
      <c r="D727" s="130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</row>
    <row r="728" spans="1:25" ht="12.75">
      <c r="A728" s="142"/>
      <c r="B728" s="128"/>
      <c r="C728" s="129"/>
      <c r="D728" s="130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</row>
    <row r="729" spans="1:25" ht="12.75">
      <c r="A729" s="142"/>
      <c r="B729" s="128"/>
      <c r="C729" s="129"/>
      <c r="D729" s="130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</row>
    <row r="730" spans="1:25" ht="12.75">
      <c r="A730" s="142"/>
      <c r="B730" s="128"/>
      <c r="C730" s="129"/>
      <c r="D730" s="130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</row>
    <row r="731" spans="1:25" ht="12.75">
      <c r="A731" s="142"/>
      <c r="B731" s="128"/>
      <c r="C731" s="129"/>
      <c r="D731" s="130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</row>
    <row r="732" spans="1:25" ht="12.75">
      <c r="A732" s="142"/>
      <c r="B732" s="128"/>
      <c r="C732" s="129"/>
      <c r="D732" s="130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</row>
    <row r="733" spans="1:25" ht="12.75">
      <c r="A733" s="142"/>
      <c r="B733" s="128"/>
      <c r="C733" s="129"/>
      <c r="D733" s="130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</row>
    <row r="734" spans="1:25" ht="12.75">
      <c r="A734" s="142"/>
      <c r="B734" s="128"/>
      <c r="C734" s="129"/>
      <c r="D734" s="130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</row>
    <row r="735" spans="1:25" ht="12.75">
      <c r="A735" s="142"/>
      <c r="B735" s="128"/>
      <c r="C735" s="129"/>
      <c r="D735" s="130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</row>
    <row r="736" spans="1:25" ht="12.75">
      <c r="A736" s="142"/>
      <c r="B736" s="128"/>
      <c r="C736" s="129"/>
      <c r="D736" s="130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</row>
    <row r="737" spans="1:25" ht="12.75">
      <c r="A737" s="142"/>
      <c r="B737" s="128"/>
      <c r="C737" s="129"/>
      <c r="D737" s="130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</row>
    <row r="738" spans="1:25" ht="12.75">
      <c r="A738" s="142"/>
      <c r="B738" s="128"/>
      <c r="C738" s="129"/>
      <c r="D738" s="130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</row>
    <row r="739" spans="1:25" ht="12.75">
      <c r="A739" s="142"/>
      <c r="B739" s="128"/>
      <c r="C739" s="129"/>
      <c r="D739" s="130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</row>
    <row r="740" spans="1:25" ht="12.75">
      <c r="A740" s="142"/>
      <c r="B740" s="128"/>
      <c r="C740" s="129"/>
      <c r="D740" s="130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</row>
    <row r="741" spans="1:25" ht="12.75">
      <c r="A741" s="142"/>
      <c r="B741" s="128"/>
      <c r="C741" s="129"/>
      <c r="D741" s="130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</row>
    <row r="742" spans="1:25" ht="12.75">
      <c r="A742" s="142"/>
      <c r="B742" s="128"/>
      <c r="C742" s="129"/>
      <c r="D742" s="130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</row>
    <row r="743" spans="1:25" ht="12.75">
      <c r="A743" s="142"/>
      <c r="B743" s="128"/>
      <c r="C743" s="129"/>
      <c r="D743" s="130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</row>
    <row r="744" spans="1:25" ht="12.75">
      <c r="A744" s="142"/>
      <c r="B744" s="128"/>
      <c r="C744" s="129"/>
      <c r="D744" s="130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</row>
    <row r="745" spans="1:25" ht="12.75">
      <c r="A745" s="142"/>
      <c r="B745" s="128"/>
      <c r="C745" s="129"/>
      <c r="D745" s="130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</row>
    <row r="746" spans="1:25" ht="12.75">
      <c r="A746" s="142"/>
      <c r="B746" s="128"/>
      <c r="C746" s="129"/>
      <c r="D746" s="130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</row>
    <row r="747" spans="1:25" ht="12.75">
      <c r="A747" s="142"/>
      <c r="B747" s="128"/>
      <c r="C747" s="129"/>
      <c r="D747" s="130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</row>
    <row r="748" spans="1:25" ht="12.75">
      <c r="A748" s="142"/>
      <c r="B748" s="128"/>
      <c r="C748" s="129"/>
      <c r="D748" s="130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</row>
    <row r="749" spans="1:25" ht="12.75">
      <c r="A749" s="142"/>
      <c r="B749" s="128"/>
      <c r="C749" s="129"/>
      <c r="D749" s="130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</row>
    <row r="750" spans="1:25" ht="12.75">
      <c r="A750" s="142"/>
      <c r="B750" s="128"/>
      <c r="C750" s="129"/>
      <c r="D750" s="130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</row>
    <row r="751" spans="1:25" ht="12.75">
      <c r="A751" s="142"/>
      <c r="B751" s="128"/>
      <c r="C751" s="129"/>
      <c r="D751" s="130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</row>
    <row r="752" spans="1:25" ht="12.75">
      <c r="A752" s="142"/>
      <c r="B752" s="128"/>
      <c r="C752" s="129"/>
      <c r="D752" s="130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</row>
    <row r="753" spans="1:25" ht="12.75">
      <c r="A753" s="142"/>
      <c r="B753" s="128"/>
      <c r="C753" s="129"/>
      <c r="D753" s="130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</row>
    <row r="754" spans="1:25" ht="12.75">
      <c r="A754" s="142"/>
      <c r="B754" s="128"/>
      <c r="C754" s="129"/>
      <c r="D754" s="130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</row>
    <row r="755" spans="1:25" ht="12.75">
      <c r="A755" s="142"/>
      <c r="B755" s="128"/>
      <c r="C755" s="129"/>
      <c r="D755" s="130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</row>
    <row r="756" spans="1:25" ht="12.75">
      <c r="A756" s="142"/>
      <c r="B756" s="128"/>
      <c r="C756" s="129"/>
      <c r="D756" s="130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</row>
    <row r="757" spans="1:25" ht="12.75">
      <c r="A757" s="142"/>
      <c r="B757" s="128"/>
      <c r="C757" s="129"/>
      <c r="D757" s="130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</row>
    <row r="758" spans="1:25" ht="12.75">
      <c r="A758" s="142"/>
      <c r="B758" s="128"/>
      <c r="C758" s="129"/>
      <c r="D758" s="130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</row>
    <row r="759" spans="1:25" ht="12.75">
      <c r="A759" s="142"/>
      <c r="B759" s="128"/>
      <c r="C759" s="129"/>
      <c r="D759" s="130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</row>
    <row r="760" spans="1:25" ht="12.75">
      <c r="A760" s="142"/>
      <c r="B760" s="128"/>
      <c r="C760" s="129"/>
      <c r="D760" s="130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</row>
    <row r="761" spans="1:25" ht="12.75">
      <c r="A761" s="142"/>
      <c r="B761" s="128"/>
      <c r="C761" s="129"/>
      <c r="D761" s="130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</row>
    <row r="762" spans="1:25" ht="12.75">
      <c r="A762" s="142"/>
      <c r="B762" s="128"/>
      <c r="C762" s="129"/>
      <c r="D762" s="130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</row>
    <row r="763" spans="1:25" ht="12.75">
      <c r="A763" s="142"/>
      <c r="B763" s="128"/>
      <c r="C763" s="129"/>
      <c r="D763" s="130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</row>
    <row r="764" spans="1:25" ht="12.75">
      <c r="A764" s="142"/>
      <c r="B764" s="128"/>
      <c r="C764" s="129"/>
      <c r="D764" s="130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</row>
    <row r="765" spans="1:25" ht="12.75">
      <c r="A765" s="142"/>
      <c r="B765" s="128"/>
      <c r="C765" s="129"/>
      <c r="D765" s="130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</row>
    <row r="766" spans="1:25" ht="12.75">
      <c r="A766" s="142"/>
      <c r="B766" s="128"/>
      <c r="C766" s="129"/>
      <c r="D766" s="130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</row>
    <row r="767" spans="1:25" ht="12.75">
      <c r="A767" s="142"/>
      <c r="B767" s="128"/>
      <c r="C767" s="129"/>
      <c r="D767" s="130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</row>
    <row r="768" spans="1:25" ht="12.75">
      <c r="A768" s="142"/>
      <c r="B768" s="128"/>
      <c r="C768" s="129"/>
      <c r="D768" s="130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</row>
    <row r="769" spans="1:25" ht="12.75">
      <c r="A769" s="142"/>
      <c r="B769" s="128"/>
      <c r="C769" s="129"/>
      <c r="D769" s="130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</row>
    <row r="770" spans="1:25" ht="12.75">
      <c r="A770" s="142"/>
      <c r="B770" s="128"/>
      <c r="C770" s="129"/>
      <c r="D770" s="130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</row>
    <row r="771" spans="1:25" ht="12.75">
      <c r="A771" s="142"/>
      <c r="B771" s="128"/>
      <c r="C771" s="129"/>
      <c r="D771" s="130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</row>
    <row r="772" spans="1:25" ht="12.75">
      <c r="A772" s="142"/>
      <c r="B772" s="128"/>
      <c r="C772" s="129"/>
      <c r="D772" s="130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</row>
    <row r="773" spans="1:25" ht="12.75">
      <c r="A773" s="142"/>
      <c r="B773" s="128"/>
      <c r="C773" s="129"/>
      <c r="D773" s="130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</row>
    <row r="774" spans="1:25" ht="12.75">
      <c r="A774" s="142"/>
      <c r="B774" s="128"/>
      <c r="C774" s="129"/>
      <c r="D774" s="130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</row>
    <row r="775" spans="1:25" ht="12.75">
      <c r="A775" s="142"/>
      <c r="B775" s="128"/>
      <c r="C775" s="129"/>
      <c r="D775" s="130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</row>
    <row r="776" spans="1:25" ht="12.75">
      <c r="A776" s="142"/>
      <c r="B776" s="128"/>
      <c r="C776" s="129"/>
      <c r="D776" s="130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</row>
    <row r="777" spans="1:25" ht="12.75">
      <c r="A777" s="142"/>
      <c r="B777" s="128"/>
      <c r="C777" s="129"/>
      <c r="D777" s="130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</row>
    <row r="778" spans="1:25" ht="12.75">
      <c r="A778" s="142"/>
      <c r="B778" s="128"/>
      <c r="C778" s="129"/>
      <c r="D778" s="130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</row>
    <row r="779" spans="1:25" ht="12.75">
      <c r="A779" s="142"/>
      <c r="B779" s="128"/>
      <c r="C779" s="129"/>
      <c r="D779" s="130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</row>
    <row r="780" spans="1:25" ht="12.75">
      <c r="A780" s="142"/>
      <c r="B780" s="128"/>
      <c r="C780" s="129"/>
      <c r="D780" s="130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</row>
    <row r="781" spans="1:25" ht="12.75">
      <c r="A781" s="142"/>
      <c r="B781" s="128"/>
      <c r="C781" s="129"/>
      <c r="D781" s="130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</row>
    <row r="782" spans="1:25" ht="12.75">
      <c r="A782" s="142"/>
      <c r="B782" s="128"/>
      <c r="C782" s="129"/>
      <c r="D782" s="130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</row>
    <row r="783" spans="1:25" ht="12.75">
      <c r="A783" s="142"/>
      <c r="B783" s="128"/>
      <c r="C783" s="129"/>
      <c r="D783" s="130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</row>
    <row r="784" spans="1:25" ht="12.75">
      <c r="A784" s="142"/>
      <c r="B784" s="128"/>
      <c r="C784" s="129"/>
      <c r="D784" s="130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</row>
    <row r="785" spans="1:25" ht="12.75">
      <c r="A785" s="142"/>
      <c r="B785" s="128"/>
      <c r="C785" s="129"/>
      <c r="D785" s="130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</row>
    <row r="786" spans="1:25" ht="12.75">
      <c r="A786" s="142"/>
      <c r="B786" s="128"/>
      <c r="C786" s="129"/>
      <c r="D786" s="130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</row>
    <row r="787" spans="1:25" ht="12.75">
      <c r="A787" s="142"/>
      <c r="B787" s="128"/>
      <c r="C787" s="129"/>
      <c r="D787" s="130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</row>
    <row r="788" spans="1:25" ht="12.75">
      <c r="A788" s="142"/>
      <c r="B788" s="128"/>
      <c r="C788" s="129"/>
      <c r="D788" s="130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</row>
    <row r="789" spans="1:25" ht="12.75">
      <c r="A789" s="142"/>
      <c r="B789" s="128"/>
      <c r="C789" s="129"/>
      <c r="D789" s="130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</row>
    <row r="790" spans="1:25" ht="12.75">
      <c r="A790" s="142"/>
      <c r="B790" s="128"/>
      <c r="C790" s="129"/>
      <c r="D790" s="130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</row>
    <row r="791" spans="1:25" ht="12.75">
      <c r="A791" s="142"/>
      <c r="B791" s="128"/>
      <c r="C791" s="129"/>
      <c r="D791" s="130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</row>
    <row r="792" spans="1:25" ht="12.75">
      <c r="A792" s="142"/>
      <c r="B792" s="128"/>
      <c r="C792" s="129"/>
      <c r="D792" s="130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</row>
    <row r="793" spans="1:25" ht="12.75">
      <c r="A793" s="142"/>
      <c r="B793" s="128"/>
      <c r="C793" s="129"/>
      <c r="D793" s="130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</row>
    <row r="794" spans="1:25" ht="12.75">
      <c r="A794" s="142"/>
      <c r="B794" s="128"/>
      <c r="C794" s="129"/>
      <c r="D794" s="130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</row>
    <row r="795" spans="1:25" ht="12.75">
      <c r="A795" s="142"/>
      <c r="B795" s="128"/>
      <c r="C795" s="129"/>
      <c r="D795" s="130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</row>
    <row r="796" spans="1:25" ht="12.75">
      <c r="A796" s="142"/>
      <c r="B796" s="128"/>
      <c r="C796" s="129"/>
      <c r="D796" s="130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</row>
    <row r="797" spans="1:25" ht="12.75">
      <c r="A797" s="142"/>
      <c r="B797" s="128"/>
      <c r="C797" s="129"/>
      <c r="D797" s="130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</row>
    <row r="798" spans="1:25" ht="12.75">
      <c r="A798" s="142"/>
      <c r="B798" s="128"/>
      <c r="C798" s="129"/>
      <c r="D798" s="130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</row>
    <row r="799" spans="1:25" ht="12.75">
      <c r="A799" s="142"/>
      <c r="B799" s="128"/>
      <c r="C799" s="129"/>
      <c r="D799" s="130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</row>
    <row r="800" spans="1:25" ht="12.75">
      <c r="A800" s="142"/>
      <c r="B800" s="128"/>
      <c r="C800" s="129"/>
      <c r="D800" s="130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</row>
    <row r="801" spans="1:25" ht="12.75">
      <c r="A801" s="142"/>
      <c r="B801" s="128"/>
      <c r="C801" s="129"/>
      <c r="D801" s="130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</row>
    <row r="802" spans="1:25" ht="12.75">
      <c r="A802" s="142"/>
      <c r="B802" s="128"/>
      <c r="C802" s="129"/>
      <c r="D802" s="130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</row>
    <row r="803" spans="1:25" ht="12.75">
      <c r="A803" s="142"/>
      <c r="B803" s="128"/>
      <c r="C803" s="129"/>
      <c r="D803" s="130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</row>
    <row r="804" spans="1:25" ht="12.75">
      <c r="A804" s="142"/>
      <c r="B804" s="128"/>
      <c r="C804" s="129"/>
      <c r="D804" s="130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</row>
    <row r="805" spans="1:25" ht="12.75">
      <c r="A805" s="142"/>
      <c r="B805" s="128"/>
      <c r="C805" s="129"/>
      <c r="D805" s="130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</row>
    <row r="806" spans="1:25" ht="12.75">
      <c r="A806" s="142"/>
      <c r="B806" s="128"/>
      <c r="C806" s="129"/>
      <c r="D806" s="130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</row>
    <row r="807" spans="1:25" ht="12.75">
      <c r="A807" s="142"/>
      <c r="B807" s="128"/>
      <c r="C807" s="129"/>
      <c r="D807" s="130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</row>
    <row r="808" spans="1:25" ht="12.75">
      <c r="A808" s="142"/>
      <c r="B808" s="128"/>
      <c r="C808" s="129"/>
      <c r="D808" s="130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</row>
    <row r="809" spans="1:25" ht="12.75">
      <c r="A809" s="142"/>
      <c r="B809" s="128"/>
      <c r="C809" s="129"/>
      <c r="D809" s="130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</row>
    <row r="810" spans="1:25" ht="12.75">
      <c r="A810" s="142"/>
      <c r="B810" s="128"/>
      <c r="C810" s="129"/>
      <c r="D810" s="130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</row>
    <row r="811" spans="1:25" ht="12.75">
      <c r="A811" s="142"/>
      <c r="B811" s="128"/>
      <c r="C811" s="129"/>
      <c r="D811" s="130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</row>
    <row r="812" spans="1:25" ht="12.75">
      <c r="A812" s="142"/>
      <c r="B812" s="128"/>
      <c r="C812" s="129"/>
      <c r="D812" s="130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</row>
    <row r="813" spans="1:25" ht="12.75">
      <c r="A813" s="142"/>
      <c r="B813" s="128"/>
      <c r="C813" s="129"/>
      <c r="D813" s="130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</row>
    <row r="814" spans="1:25" ht="12.75">
      <c r="A814" s="142"/>
      <c r="B814" s="128"/>
      <c r="C814" s="129"/>
      <c r="D814" s="130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</row>
    <row r="815" spans="1:25" ht="12.75">
      <c r="A815" s="142"/>
      <c r="B815" s="128"/>
      <c r="C815" s="129"/>
      <c r="D815" s="130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</row>
    <row r="816" spans="1:25" ht="12.75">
      <c r="A816" s="142"/>
      <c r="B816" s="128"/>
      <c r="C816" s="129"/>
      <c r="D816" s="130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</row>
    <row r="817" spans="1:25" ht="12.75">
      <c r="A817" s="142"/>
      <c r="B817" s="128"/>
      <c r="C817" s="129"/>
      <c r="D817" s="130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</row>
    <row r="818" spans="1:25" ht="12.75">
      <c r="A818" s="142"/>
      <c r="B818" s="128"/>
      <c r="C818" s="129"/>
      <c r="D818" s="130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</row>
    <row r="819" spans="1:25" ht="12.75">
      <c r="A819" s="142"/>
      <c r="B819" s="128"/>
      <c r="C819" s="129"/>
      <c r="D819" s="130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</row>
    <row r="820" spans="1:25" ht="12.75">
      <c r="A820" s="142"/>
      <c r="B820" s="128"/>
      <c r="C820" s="129"/>
      <c r="D820" s="130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</row>
    <row r="821" spans="1:25" ht="12.75">
      <c r="A821" s="142"/>
      <c r="B821" s="128"/>
      <c r="C821" s="129"/>
      <c r="D821" s="130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</row>
    <row r="822" spans="1:25" ht="12.75">
      <c r="A822" s="142"/>
      <c r="B822" s="128"/>
      <c r="C822" s="129"/>
      <c r="D822" s="130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</row>
    <row r="823" spans="1:25" ht="12.75">
      <c r="A823" s="142"/>
      <c r="B823" s="128"/>
      <c r="C823" s="129"/>
      <c r="D823" s="130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</row>
    <row r="824" spans="1:25" ht="12.75">
      <c r="A824" s="142"/>
      <c r="B824" s="128"/>
      <c r="C824" s="129"/>
      <c r="D824" s="130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</row>
    <row r="825" spans="1:25" ht="12.75">
      <c r="A825" s="142"/>
      <c r="B825" s="128"/>
      <c r="C825" s="129"/>
      <c r="D825" s="130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</row>
    <row r="826" spans="1:25" ht="12.75">
      <c r="A826" s="142"/>
      <c r="B826" s="128"/>
      <c r="C826" s="129"/>
      <c r="D826" s="130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</row>
    <row r="827" spans="1:25" ht="12.75">
      <c r="A827" s="142"/>
      <c r="B827" s="128"/>
      <c r="C827" s="129"/>
      <c r="D827" s="130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</row>
    <row r="828" spans="1:25" ht="12.75">
      <c r="A828" s="142"/>
      <c r="B828" s="128"/>
      <c r="C828" s="129"/>
      <c r="D828" s="130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</row>
    <row r="829" spans="1:25" ht="12.75">
      <c r="A829" s="142"/>
      <c r="B829" s="128"/>
      <c r="C829" s="129"/>
      <c r="D829" s="130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</row>
    <row r="830" spans="1:25" ht="12.75">
      <c r="A830" s="142"/>
      <c r="B830" s="128"/>
      <c r="C830" s="129"/>
      <c r="D830" s="130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</row>
    <row r="831" spans="1:25" ht="12.75">
      <c r="A831" s="142"/>
      <c r="B831" s="128"/>
      <c r="C831" s="129"/>
      <c r="D831" s="130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</row>
    <row r="832" spans="1:25" ht="12.75">
      <c r="A832" s="142"/>
      <c r="B832" s="128"/>
      <c r="C832" s="129"/>
      <c r="D832" s="130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</row>
    <row r="833" spans="1:25" ht="12.75">
      <c r="A833" s="142"/>
      <c r="B833" s="128"/>
      <c r="C833" s="129"/>
      <c r="D833" s="130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</row>
    <row r="834" spans="1:25" ht="12.75">
      <c r="A834" s="142"/>
      <c r="B834" s="128"/>
      <c r="C834" s="129"/>
      <c r="D834" s="130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</row>
    <row r="835" spans="1:25" ht="12.75">
      <c r="A835" s="142"/>
      <c r="B835" s="128"/>
      <c r="C835" s="129"/>
      <c r="D835" s="130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</row>
    <row r="836" spans="1:25" ht="12.75">
      <c r="A836" s="142"/>
      <c r="B836" s="128"/>
      <c r="C836" s="129"/>
      <c r="D836" s="130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</row>
    <row r="837" spans="1:25" ht="12.75">
      <c r="A837" s="142"/>
      <c r="B837" s="128"/>
      <c r="C837" s="129"/>
      <c r="D837" s="130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</row>
    <row r="838" spans="1:25" ht="12.75">
      <c r="A838" s="142"/>
      <c r="B838" s="128"/>
      <c r="C838" s="129"/>
      <c r="D838" s="130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</row>
    <row r="839" spans="1:25" ht="12.75">
      <c r="A839" s="142"/>
      <c r="B839" s="128"/>
      <c r="C839" s="129"/>
      <c r="D839" s="130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</row>
    <row r="840" spans="1:25" ht="12.75">
      <c r="A840" s="142"/>
      <c r="B840" s="128"/>
      <c r="C840" s="129"/>
      <c r="D840" s="130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</row>
    <row r="841" spans="1:25" ht="12.75">
      <c r="A841" s="142"/>
      <c r="B841" s="128"/>
      <c r="C841" s="129"/>
      <c r="D841" s="130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</row>
    <row r="842" spans="1:25" ht="12.75">
      <c r="A842" s="142"/>
      <c r="B842" s="128"/>
      <c r="C842" s="129"/>
      <c r="D842" s="130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</row>
  </sheetData>
  <mergeCells count="22">
    <mergeCell ref="A44:A45"/>
    <mergeCell ref="B44:B45"/>
    <mergeCell ref="A46:A49"/>
    <mergeCell ref="B46:B49"/>
    <mergeCell ref="A30:A35"/>
    <mergeCell ref="B30:B35"/>
    <mergeCell ref="A36:A39"/>
    <mergeCell ref="B36:B39"/>
    <mergeCell ref="A40:A43"/>
    <mergeCell ref="B40:B43"/>
    <mergeCell ref="A18:A21"/>
    <mergeCell ref="B18:B21"/>
    <mergeCell ref="A22:A25"/>
    <mergeCell ref="B22:B25"/>
    <mergeCell ref="A26:A29"/>
    <mergeCell ref="B26:B29"/>
    <mergeCell ref="A9:A11"/>
    <mergeCell ref="B9:B11"/>
    <mergeCell ref="A12:A15"/>
    <mergeCell ref="B12:B15"/>
    <mergeCell ref="A16:A17"/>
    <mergeCell ref="B16:B17"/>
  </mergeCells>
  <hyperlinks>
    <hyperlink ref="A3" r:id="rId1"/>
    <hyperlink ref="A5" r:id="rId2"/>
  </hyperlinks>
  <printOptions horizontalCentered="1" gridLines="1"/>
  <pageMargins left="0.25" right="0.25" top="0.75" bottom="0.75" header="0" footer="0"/>
  <pageSetup paperSize="9" pageOrder="overThenDown" orientation="landscape" cellComments="atEnd"/>
  <rowBreaks count="2" manualBreakCount="2">
    <brk id="48" man="1"/>
    <brk id="25" man="1"/>
  </rowBreaks>
  <colBreaks count="2" manualBreakCount="2">
    <brk man="1"/>
    <brk id="4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I29" sqref="I29"/>
    </sheetView>
  </sheetViews>
  <sheetFormatPr baseColWidth="10" defaultColWidth="9.140625" defaultRowHeight="15"/>
  <cols>
    <col min="2" max="2" width="26.85546875" customWidth="1"/>
    <col min="3" max="3" width="19" customWidth="1"/>
    <col min="4" max="4" width="22.28515625" customWidth="1"/>
    <col min="8" max="8" width="40.140625" customWidth="1"/>
  </cols>
  <sheetData>
    <row r="1" spans="1:8" ht="30">
      <c r="A1" s="120" t="s">
        <v>1004</v>
      </c>
      <c r="D1" t="s">
        <v>1005</v>
      </c>
      <c r="G1" s="134" t="s">
        <v>919</v>
      </c>
      <c r="H1" s="136" t="s">
        <v>921</v>
      </c>
    </row>
    <row r="2" spans="1:8">
      <c r="A2">
        <v>0</v>
      </c>
      <c r="B2" s="141" t="s">
        <v>903</v>
      </c>
      <c r="D2" t="s">
        <v>52</v>
      </c>
      <c r="G2" s="138">
        <v>0</v>
      </c>
      <c r="H2" s="138" t="s">
        <v>903</v>
      </c>
    </row>
    <row r="3" spans="1:8" ht="14.45" customHeight="1">
      <c r="A3">
        <v>2</v>
      </c>
      <c r="B3" s="141" t="s">
        <v>923</v>
      </c>
      <c r="D3" t="s">
        <v>53</v>
      </c>
      <c r="G3" s="137">
        <v>1.1000000000000001</v>
      </c>
      <c r="H3" s="138" t="s">
        <v>924</v>
      </c>
    </row>
    <row r="4" spans="1:8">
      <c r="A4">
        <v>3</v>
      </c>
      <c r="B4" s="141" t="s">
        <v>909</v>
      </c>
      <c r="D4" t="s">
        <v>1006</v>
      </c>
      <c r="G4" s="137">
        <v>1.2</v>
      </c>
      <c r="H4" s="138" t="s">
        <v>926</v>
      </c>
    </row>
    <row r="5" spans="1:8">
      <c r="A5">
        <v>4</v>
      </c>
      <c r="B5" s="141" t="s">
        <v>936</v>
      </c>
      <c r="G5" s="137">
        <v>1.3</v>
      </c>
      <c r="H5" s="138" t="s">
        <v>927</v>
      </c>
    </row>
    <row r="6" spans="1:8" ht="14.45" customHeight="1">
      <c r="A6">
        <v>5</v>
      </c>
      <c r="B6" s="141" t="s">
        <v>911</v>
      </c>
      <c r="G6" s="137">
        <v>2.1</v>
      </c>
      <c r="H6" s="138" t="s">
        <v>929</v>
      </c>
    </row>
    <row r="7" spans="1:8">
      <c r="A7">
        <v>6</v>
      </c>
      <c r="B7" s="141" t="s">
        <v>908</v>
      </c>
      <c r="G7" s="137">
        <v>2.2000000000000002</v>
      </c>
      <c r="H7" s="138" t="s">
        <v>931</v>
      </c>
    </row>
    <row r="8" spans="1:8">
      <c r="A8">
        <v>7</v>
      </c>
      <c r="B8" s="141" t="s">
        <v>957</v>
      </c>
      <c r="G8" s="137">
        <v>2.2999999999999998</v>
      </c>
      <c r="H8" s="138" t="s">
        <v>932</v>
      </c>
    </row>
    <row r="9" spans="1:8" ht="25.5">
      <c r="A9">
        <v>8</v>
      </c>
      <c r="B9" s="141" t="s">
        <v>906</v>
      </c>
      <c r="G9" s="137">
        <v>2.4</v>
      </c>
      <c r="H9" s="138" t="s">
        <v>934</v>
      </c>
    </row>
    <row r="10" spans="1:8" ht="14.45" customHeight="1">
      <c r="A10">
        <v>9</v>
      </c>
      <c r="B10" s="141" t="s">
        <v>904</v>
      </c>
      <c r="G10" s="137">
        <v>3.1</v>
      </c>
      <c r="H10" s="138" t="s">
        <v>937</v>
      </c>
    </row>
    <row r="11" spans="1:8">
      <c r="A11">
        <v>10</v>
      </c>
      <c r="B11" s="141" t="s">
        <v>913</v>
      </c>
      <c r="G11" s="137">
        <v>3.2</v>
      </c>
      <c r="H11" s="138" t="s">
        <v>939</v>
      </c>
    </row>
    <row r="12" spans="1:8" ht="14.45" customHeight="1">
      <c r="A12">
        <v>11</v>
      </c>
      <c r="B12" s="141" t="s">
        <v>910</v>
      </c>
      <c r="G12" s="137">
        <v>4.0999999999999996</v>
      </c>
      <c r="H12" s="138" t="s">
        <v>941</v>
      </c>
    </row>
    <row r="13" spans="1:8">
      <c r="B13" s="141" t="s">
        <v>907</v>
      </c>
      <c r="G13" s="137">
        <v>4.2</v>
      </c>
      <c r="H13" s="138" t="s">
        <v>943</v>
      </c>
    </row>
    <row r="14" spans="1:8">
      <c r="G14" s="137">
        <v>4.3</v>
      </c>
      <c r="H14" s="138" t="s">
        <v>945</v>
      </c>
    </row>
    <row r="15" spans="1:8">
      <c r="G15" s="137">
        <v>4.4000000000000004</v>
      </c>
      <c r="H15" s="138" t="s">
        <v>947</v>
      </c>
    </row>
    <row r="16" spans="1:8" ht="14.45" customHeight="1">
      <c r="G16" s="137">
        <v>5.0999999999999996</v>
      </c>
      <c r="H16" s="138" t="s">
        <v>949</v>
      </c>
    </row>
    <row r="17" spans="2:8">
      <c r="B17" t="s">
        <v>1007</v>
      </c>
      <c r="G17" s="140">
        <v>5.2</v>
      </c>
      <c r="H17" s="138" t="s">
        <v>951</v>
      </c>
    </row>
    <row r="18" spans="2:8">
      <c r="B18" t="s">
        <v>780</v>
      </c>
      <c r="C18" t="s">
        <v>1008</v>
      </c>
      <c r="D18" t="s">
        <v>1009</v>
      </c>
      <c r="G18" s="137">
        <v>5.3</v>
      </c>
      <c r="H18" s="138" t="s">
        <v>953</v>
      </c>
    </row>
    <row r="19" spans="2:8">
      <c r="B19" t="s">
        <v>1010</v>
      </c>
      <c r="G19" s="137">
        <v>5.4</v>
      </c>
      <c r="H19" s="138" t="s">
        <v>955</v>
      </c>
    </row>
    <row r="20" spans="2:8">
      <c r="B20" t="s">
        <v>766</v>
      </c>
      <c r="C20" t="s">
        <v>1011</v>
      </c>
      <c r="D20" t="s">
        <v>876</v>
      </c>
      <c r="G20" s="137">
        <v>6.1</v>
      </c>
      <c r="H20" s="138" t="s">
        <v>958</v>
      </c>
    </row>
    <row r="21" spans="2:8">
      <c r="B21" t="s">
        <v>766</v>
      </c>
      <c r="C21" t="s">
        <v>1012</v>
      </c>
      <c r="D21" t="s">
        <v>1013</v>
      </c>
      <c r="G21" s="137">
        <v>6.2</v>
      </c>
      <c r="H21" s="138" t="s">
        <v>960</v>
      </c>
    </row>
    <row r="22" spans="2:8">
      <c r="B22" t="s">
        <v>813</v>
      </c>
      <c r="C22" t="s">
        <v>1014</v>
      </c>
      <c r="D22" t="s">
        <v>1015</v>
      </c>
      <c r="G22" s="137">
        <v>6.3</v>
      </c>
      <c r="H22" s="138" t="s">
        <v>962</v>
      </c>
    </row>
    <row r="23" spans="2:8">
      <c r="B23" t="s">
        <v>286</v>
      </c>
      <c r="C23" t="s">
        <v>1016</v>
      </c>
      <c r="D23" t="s">
        <v>1017</v>
      </c>
      <c r="G23" s="137">
        <v>6.4</v>
      </c>
      <c r="H23" s="138" t="s">
        <v>964</v>
      </c>
    </row>
    <row r="24" spans="2:8" ht="14.45" customHeight="1">
      <c r="B24" t="s">
        <v>263</v>
      </c>
      <c r="C24" t="s">
        <v>1018</v>
      </c>
      <c r="D24" t="s">
        <v>849</v>
      </c>
      <c r="G24" s="137">
        <v>7.1</v>
      </c>
      <c r="H24" s="138" t="s">
        <v>966</v>
      </c>
    </row>
    <row r="25" spans="2:8">
      <c r="B25" t="s">
        <v>835</v>
      </c>
      <c r="C25" t="s">
        <v>1019</v>
      </c>
      <c r="D25" t="s">
        <v>860</v>
      </c>
      <c r="G25" s="137">
        <v>7.2</v>
      </c>
      <c r="H25" s="138" t="s">
        <v>968</v>
      </c>
    </row>
    <row r="26" spans="2:8">
      <c r="B26" t="s">
        <v>835</v>
      </c>
      <c r="C26" t="s">
        <v>1020</v>
      </c>
      <c r="D26" t="s">
        <v>1021</v>
      </c>
      <c r="G26" s="137">
        <v>7.3</v>
      </c>
      <c r="H26" s="138" t="s">
        <v>969</v>
      </c>
    </row>
    <row r="27" spans="2:8">
      <c r="B27" t="s">
        <v>835</v>
      </c>
      <c r="C27" t="s">
        <v>1022</v>
      </c>
      <c r="D27" t="s">
        <v>1021</v>
      </c>
      <c r="G27" s="137">
        <v>7.4</v>
      </c>
      <c r="H27" s="138" t="s">
        <v>971</v>
      </c>
    </row>
    <row r="28" spans="2:8">
      <c r="B28" t="s">
        <v>815</v>
      </c>
      <c r="C28" t="s">
        <v>1023</v>
      </c>
      <c r="D28" t="s">
        <v>857</v>
      </c>
      <c r="G28" s="137">
        <v>7.5</v>
      </c>
      <c r="H28" s="138" t="s">
        <v>973</v>
      </c>
    </row>
    <row r="29" spans="2:8">
      <c r="G29" s="137">
        <v>7.6</v>
      </c>
      <c r="H29" s="138" t="s">
        <v>975</v>
      </c>
    </row>
    <row r="30" spans="2:8" ht="14.45" customHeight="1">
      <c r="G30" s="137">
        <v>8.1</v>
      </c>
      <c r="H30" s="138" t="s">
        <v>977</v>
      </c>
    </row>
    <row r="31" spans="2:8">
      <c r="G31" s="137">
        <v>8.1999999999999993</v>
      </c>
      <c r="H31" s="138" t="s">
        <v>979</v>
      </c>
    </row>
    <row r="32" spans="2:8">
      <c r="G32" s="137">
        <v>8.3000000000000007</v>
      </c>
      <c r="H32" s="138" t="s">
        <v>981</v>
      </c>
    </row>
    <row r="33" spans="7:8">
      <c r="G33" s="137">
        <v>8.4</v>
      </c>
      <c r="H33" s="138" t="s">
        <v>983</v>
      </c>
    </row>
    <row r="34" spans="7:8">
      <c r="G34" s="137">
        <v>9.1</v>
      </c>
      <c r="H34" s="138" t="s">
        <v>985</v>
      </c>
    </row>
    <row r="35" spans="7:8">
      <c r="G35" s="137">
        <v>9.1999999999999993</v>
      </c>
      <c r="H35" s="138" t="s">
        <v>987</v>
      </c>
    </row>
    <row r="36" spans="7:8">
      <c r="G36" s="137">
        <v>9.3000000000000007</v>
      </c>
      <c r="H36" s="138" t="s">
        <v>989</v>
      </c>
    </row>
    <row r="37" spans="7:8">
      <c r="G37" s="137">
        <v>9.4</v>
      </c>
      <c r="H37" s="138" t="s">
        <v>991</v>
      </c>
    </row>
    <row r="38" spans="7:8" ht="14.45" customHeight="1">
      <c r="G38" s="137">
        <v>10.1</v>
      </c>
      <c r="H38" s="138" t="s">
        <v>993</v>
      </c>
    </row>
    <row r="39" spans="7:8">
      <c r="G39" s="137">
        <v>10.199999999999999</v>
      </c>
      <c r="H39" s="138" t="s">
        <v>995</v>
      </c>
    </row>
    <row r="40" spans="7:8" ht="14.45" customHeight="1">
      <c r="G40" s="137">
        <v>11.1</v>
      </c>
      <c r="H40" s="138" t="s">
        <v>997</v>
      </c>
    </row>
    <row r="41" spans="7:8" ht="25.5">
      <c r="G41" s="137">
        <v>11.2</v>
      </c>
      <c r="H41" s="138" t="s">
        <v>999</v>
      </c>
    </row>
    <row r="42" spans="7:8" ht="25.5">
      <c r="G42" s="137">
        <v>11.3</v>
      </c>
      <c r="H42" s="138" t="s">
        <v>1001</v>
      </c>
    </row>
    <row r="43" spans="7:8">
      <c r="G43" s="137">
        <v>11.4</v>
      </c>
      <c r="H43" s="138" t="s">
        <v>1003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C11" sqref="C11"/>
    </sheetView>
  </sheetViews>
  <sheetFormatPr baseColWidth="10" defaultColWidth="8.5703125" defaultRowHeight="15"/>
  <cols>
    <col min="1" max="1" width="13.140625" customWidth="1"/>
    <col min="2" max="2" width="16" customWidth="1"/>
    <col min="3" max="3" width="39.5703125" customWidth="1"/>
    <col min="7" max="7" width="18.5703125" customWidth="1"/>
  </cols>
  <sheetData>
    <row r="1" spans="1:7" ht="30">
      <c r="A1" s="4" t="s">
        <v>235</v>
      </c>
      <c r="B1" s="4" t="s">
        <v>236</v>
      </c>
      <c r="C1" s="2" t="s">
        <v>240</v>
      </c>
      <c r="E1" t="s">
        <v>1024</v>
      </c>
      <c r="G1" t="s">
        <v>252</v>
      </c>
    </row>
    <row r="2" spans="1:7">
      <c r="A2" t="s">
        <v>259</v>
      </c>
      <c r="B2" t="s">
        <v>281</v>
      </c>
      <c r="C2" t="s">
        <v>1503</v>
      </c>
      <c r="E2" t="s">
        <v>52</v>
      </c>
      <c r="G2" t="s">
        <v>265</v>
      </c>
    </row>
    <row r="3" spans="1:7">
      <c r="A3" t="s">
        <v>318</v>
      </c>
      <c r="B3" t="s">
        <v>346</v>
      </c>
      <c r="C3" t="s">
        <v>1504</v>
      </c>
      <c r="E3" t="s">
        <v>53</v>
      </c>
      <c r="G3" t="s">
        <v>294</v>
      </c>
    </row>
    <row r="4" spans="1:7">
      <c r="C4" t="s">
        <v>1505</v>
      </c>
      <c r="G4" t="s">
        <v>796</v>
      </c>
    </row>
    <row r="5" spans="1:7">
      <c r="C5" t="s">
        <v>1506</v>
      </c>
    </row>
    <row r="6" spans="1:7">
      <c r="C6" t="s">
        <v>1507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B20" sqref="B20"/>
    </sheetView>
  </sheetViews>
  <sheetFormatPr baseColWidth="10" defaultColWidth="10.85546875" defaultRowHeight="15"/>
  <cols>
    <col min="1" max="1" width="69.5703125" customWidth="1"/>
  </cols>
  <sheetData>
    <row r="1" spans="1:1">
      <c r="A1" s="306" t="s">
        <v>885</v>
      </c>
    </row>
    <row r="2" spans="1:1">
      <c r="A2" s="306" t="s">
        <v>886</v>
      </c>
    </row>
    <row r="3" spans="1:1">
      <c r="A3" s="306" t="s">
        <v>887</v>
      </c>
    </row>
    <row r="4" spans="1:1">
      <c r="A4" s="306" t="s">
        <v>888</v>
      </c>
    </row>
    <row r="5" spans="1:1">
      <c r="A5" s="306" t="s">
        <v>889</v>
      </c>
    </row>
    <row r="6" spans="1:1">
      <c r="A6" s="306" t="s">
        <v>890</v>
      </c>
    </row>
    <row r="7" spans="1:1">
      <c r="A7" s="306" t="s">
        <v>891</v>
      </c>
    </row>
    <row r="8" spans="1:1">
      <c r="A8" s="306" t="s">
        <v>892</v>
      </c>
    </row>
    <row r="9" spans="1:1">
      <c r="A9" s="306" t="s">
        <v>893</v>
      </c>
    </row>
    <row r="10" spans="1:1">
      <c r="A10" s="306" t="s">
        <v>894</v>
      </c>
    </row>
    <row r="11" spans="1:1">
      <c r="A11" s="306" t="s">
        <v>895</v>
      </c>
    </row>
    <row r="12" spans="1:1">
      <c r="A12" s="306" t="s">
        <v>896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8"/>
  <sheetViews>
    <sheetView workbookViewId="0">
      <selection activeCell="G23" sqref="G23"/>
    </sheetView>
  </sheetViews>
  <sheetFormatPr baseColWidth="10" defaultRowHeight="14.25"/>
  <cols>
    <col min="1" max="1" width="28" style="436" customWidth="1"/>
    <col min="2" max="12" width="11.42578125" style="436"/>
    <col min="13" max="13" width="11.28515625" style="436" bestFit="1" customWidth="1"/>
    <col min="14" max="16384" width="11.42578125" style="436"/>
  </cols>
  <sheetData>
    <row r="2" spans="1:18">
      <c r="A2" s="435" t="s">
        <v>1675</v>
      </c>
    </row>
    <row r="3" spans="1:18" s="437" customFormat="1" ht="42.75">
      <c r="B3" s="437" t="s">
        <v>1681</v>
      </c>
      <c r="C3" s="438" t="s">
        <v>1682</v>
      </c>
      <c r="D3" s="438" t="s">
        <v>1683</v>
      </c>
      <c r="E3" s="438" t="s">
        <v>1686</v>
      </c>
      <c r="F3" s="437" t="s">
        <v>1684</v>
      </c>
      <c r="G3" s="437" t="s">
        <v>1685</v>
      </c>
      <c r="H3" s="438" t="s">
        <v>1687</v>
      </c>
      <c r="I3" s="438" t="s">
        <v>1691</v>
      </c>
      <c r="J3" s="438" t="s">
        <v>1689</v>
      </c>
      <c r="K3" s="438" t="s">
        <v>1692</v>
      </c>
      <c r="L3" s="438" t="s">
        <v>1690</v>
      </c>
      <c r="M3" s="438" t="s">
        <v>1688</v>
      </c>
    </row>
    <row r="4" spans="1:18">
      <c r="A4" s="436" t="s">
        <v>1676</v>
      </c>
      <c r="B4" s="439">
        <v>365</v>
      </c>
      <c r="C4" s="439">
        <v>52</v>
      </c>
      <c r="D4" s="439">
        <f>C4*2</f>
        <v>104</v>
      </c>
      <c r="E4" s="439">
        <v>4</v>
      </c>
      <c r="F4" s="439">
        <v>24</v>
      </c>
      <c r="G4" s="439">
        <v>8</v>
      </c>
      <c r="H4" s="439">
        <f>B4-D4-E4-E4-F4-G4</f>
        <v>221</v>
      </c>
      <c r="I4" s="439"/>
      <c r="J4" s="439">
        <v>7.5</v>
      </c>
      <c r="K4" s="439"/>
      <c r="L4" s="439">
        <v>7</v>
      </c>
      <c r="M4" s="440">
        <f>H4*J4</f>
        <v>1657.5</v>
      </c>
      <c r="N4" s="439"/>
    </row>
    <row r="5" spans="1:18">
      <c r="A5" s="436" t="s">
        <v>849</v>
      </c>
      <c r="B5" s="439">
        <v>365</v>
      </c>
      <c r="C5" s="439">
        <v>52</v>
      </c>
      <c r="D5" s="439">
        <f t="shared" ref="D5:D9" si="0">C5*2</f>
        <v>104</v>
      </c>
      <c r="E5" s="439">
        <v>4</v>
      </c>
      <c r="F5" s="439">
        <v>24</v>
      </c>
      <c r="G5" s="439">
        <v>8</v>
      </c>
      <c r="H5" s="439">
        <f t="shared" ref="H5:H9" si="1">B5-D5-E5-E5-F5-G5</f>
        <v>221</v>
      </c>
      <c r="I5" s="439"/>
      <c r="J5" s="439">
        <v>7.5</v>
      </c>
      <c r="K5" s="439"/>
      <c r="L5" s="439">
        <v>7</v>
      </c>
      <c r="M5" s="440">
        <f t="shared" ref="M5:M9" si="2">H5*J5</f>
        <v>1657.5</v>
      </c>
      <c r="N5" s="439"/>
    </row>
    <row r="6" spans="1:18">
      <c r="A6" s="436" t="s">
        <v>1677</v>
      </c>
      <c r="B6" s="439">
        <v>365</v>
      </c>
      <c r="C6" s="439">
        <v>52</v>
      </c>
      <c r="D6" s="439">
        <f t="shared" si="0"/>
        <v>104</v>
      </c>
      <c r="E6" s="439">
        <v>4</v>
      </c>
      <c r="F6" s="439">
        <v>24</v>
      </c>
      <c r="G6" s="439">
        <v>8</v>
      </c>
      <c r="H6" s="439">
        <f t="shared" si="1"/>
        <v>221</v>
      </c>
      <c r="I6" s="439"/>
      <c r="J6" s="439">
        <v>7.5</v>
      </c>
      <c r="K6" s="439"/>
      <c r="L6" s="439">
        <v>7</v>
      </c>
      <c r="M6" s="440">
        <f t="shared" si="2"/>
        <v>1657.5</v>
      </c>
      <c r="N6" s="439"/>
    </row>
    <row r="7" spans="1:18">
      <c r="A7" s="436" t="s">
        <v>1678</v>
      </c>
      <c r="B7" s="439">
        <v>365</v>
      </c>
      <c r="C7" s="439">
        <v>52</v>
      </c>
      <c r="D7" s="439">
        <f t="shared" si="0"/>
        <v>104</v>
      </c>
      <c r="E7" s="439">
        <v>4</v>
      </c>
      <c r="F7" s="439">
        <v>24</v>
      </c>
      <c r="G7" s="439">
        <v>8</v>
      </c>
      <c r="H7" s="439">
        <f t="shared" si="1"/>
        <v>221</v>
      </c>
      <c r="I7" s="439"/>
      <c r="J7" s="439">
        <v>7.5</v>
      </c>
      <c r="K7" s="439"/>
      <c r="L7" s="439">
        <v>7</v>
      </c>
      <c r="M7" s="440">
        <f t="shared" si="2"/>
        <v>1657.5</v>
      </c>
      <c r="N7" s="439"/>
    </row>
    <row r="8" spans="1:18">
      <c r="A8" s="436" t="s">
        <v>1679</v>
      </c>
      <c r="B8" s="439">
        <v>365</v>
      </c>
      <c r="C8" s="439">
        <v>52</v>
      </c>
      <c r="D8" s="439">
        <f t="shared" si="0"/>
        <v>104</v>
      </c>
      <c r="E8" s="439">
        <v>4</v>
      </c>
      <c r="F8" s="439">
        <v>24</v>
      </c>
      <c r="G8" s="439">
        <v>8</v>
      </c>
      <c r="H8" s="439">
        <f t="shared" si="1"/>
        <v>221</v>
      </c>
      <c r="I8" s="439"/>
      <c r="J8" s="439">
        <v>7.5</v>
      </c>
      <c r="K8" s="439"/>
      <c r="L8" s="439">
        <v>7</v>
      </c>
      <c r="M8" s="440">
        <f t="shared" si="2"/>
        <v>1657.5</v>
      </c>
      <c r="N8" s="439"/>
    </row>
    <row r="9" spans="1:18">
      <c r="A9" s="436" t="s">
        <v>1680</v>
      </c>
      <c r="B9" s="439">
        <v>365</v>
      </c>
      <c r="C9" s="439">
        <v>52</v>
      </c>
      <c r="D9" s="439">
        <f t="shared" si="0"/>
        <v>104</v>
      </c>
      <c r="E9" s="439">
        <v>4</v>
      </c>
      <c r="F9" s="439">
        <v>24</v>
      </c>
      <c r="G9" s="439">
        <v>8</v>
      </c>
      <c r="H9" s="439">
        <f t="shared" si="1"/>
        <v>221</v>
      </c>
      <c r="I9" s="439"/>
      <c r="J9" s="439">
        <v>7.5</v>
      </c>
      <c r="K9" s="439"/>
      <c r="L9" s="439">
        <v>7</v>
      </c>
      <c r="M9" s="440">
        <f t="shared" si="2"/>
        <v>1657.5</v>
      </c>
      <c r="N9" s="439"/>
    </row>
    <row r="10" spans="1:18">
      <c r="B10" s="439"/>
      <c r="C10" s="439"/>
      <c r="D10" s="439"/>
      <c r="E10" s="439"/>
      <c r="F10" s="439"/>
      <c r="G10" s="439"/>
      <c r="H10" s="439"/>
      <c r="I10" s="439"/>
      <c r="J10" s="439"/>
      <c r="K10" s="439"/>
      <c r="L10" s="439"/>
      <c r="M10" s="439"/>
      <c r="N10" s="439"/>
    </row>
    <row r="11" spans="1:18">
      <c r="B11" s="439"/>
      <c r="C11" s="439"/>
      <c r="D11" s="439"/>
      <c r="E11" s="439"/>
      <c r="F11" s="439"/>
      <c r="G11" s="439"/>
      <c r="H11" s="439"/>
      <c r="I11" s="439"/>
      <c r="J11" s="439"/>
      <c r="K11" s="439"/>
      <c r="L11" s="439"/>
      <c r="M11" s="439"/>
      <c r="N11" s="439"/>
    </row>
    <row r="12" spans="1:18">
      <c r="B12" s="439"/>
      <c r="C12" s="439"/>
      <c r="D12" s="439"/>
      <c r="E12" s="439"/>
      <c r="F12" s="439"/>
      <c r="G12" s="439"/>
      <c r="H12" s="439"/>
      <c r="I12" s="439"/>
      <c r="J12" s="439"/>
      <c r="K12" s="439"/>
      <c r="L12" s="439"/>
      <c r="M12" s="439"/>
      <c r="N12" s="439"/>
    </row>
    <row r="13" spans="1:18">
      <c r="B13" s="439"/>
      <c r="C13" s="439"/>
      <c r="D13" s="439"/>
      <c r="E13" s="439"/>
      <c r="F13" s="439"/>
      <c r="G13" s="439"/>
      <c r="H13" s="439"/>
      <c r="I13" s="439"/>
      <c r="J13" s="439"/>
      <c r="K13" s="439"/>
      <c r="L13" s="439"/>
      <c r="M13" s="439"/>
      <c r="N13" s="439"/>
    </row>
    <row r="14" spans="1:18">
      <c r="B14" s="439"/>
      <c r="C14" s="439"/>
      <c r="D14" s="439"/>
      <c r="E14" s="439"/>
      <c r="F14" s="439"/>
      <c r="G14" s="439"/>
      <c r="H14" s="439"/>
      <c r="I14" s="439"/>
      <c r="J14" s="439"/>
      <c r="K14" s="439"/>
      <c r="L14" s="439"/>
      <c r="M14" s="439"/>
      <c r="N14" s="439"/>
    </row>
    <row r="15" spans="1:18">
      <c r="B15" s="439"/>
      <c r="C15" s="439"/>
      <c r="D15" s="439"/>
      <c r="E15" s="439"/>
      <c r="F15" s="439"/>
      <c r="G15" s="439"/>
      <c r="H15" s="439"/>
      <c r="I15" s="439"/>
      <c r="J15" s="439"/>
      <c r="K15" s="439"/>
      <c r="L15" s="439"/>
      <c r="M15" s="439"/>
      <c r="N15" s="439"/>
    </row>
    <row r="16" spans="1:18">
      <c r="B16" s="439"/>
      <c r="C16" s="439"/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39"/>
      <c r="R16" s="436" t="s">
        <v>1693</v>
      </c>
    </row>
    <row r="17" spans="2:14">
      <c r="B17" s="439"/>
      <c r="C17" s="439"/>
      <c r="D17" s="439"/>
      <c r="E17" s="439"/>
      <c r="F17" s="439"/>
      <c r="G17" s="439"/>
      <c r="H17" s="439"/>
      <c r="I17" s="439"/>
      <c r="J17" s="439"/>
      <c r="K17" s="439"/>
      <c r="L17" s="439"/>
      <c r="M17" s="439"/>
      <c r="N17" s="439"/>
    </row>
    <row r="18" spans="2:14">
      <c r="B18" s="439"/>
      <c r="C18" s="439"/>
      <c r="D18" s="439"/>
      <c r="E18" s="439"/>
      <c r="F18" s="439"/>
      <c r="G18" s="439"/>
      <c r="H18" s="439"/>
      <c r="I18" s="439"/>
      <c r="J18" s="439"/>
      <c r="K18" s="439"/>
      <c r="L18" s="439"/>
      <c r="M18" s="439"/>
      <c r="N18" s="439"/>
    </row>
    <row r="19" spans="2:14"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</row>
    <row r="20" spans="2:14"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</row>
    <row r="21" spans="2:14">
      <c r="B21" s="439"/>
      <c r="C21" s="439"/>
      <c r="D21" s="439"/>
      <c r="E21" s="439"/>
      <c r="F21" s="439"/>
      <c r="G21" s="439"/>
      <c r="H21" s="439"/>
      <c r="I21" s="439"/>
      <c r="J21" s="439"/>
      <c r="K21" s="439"/>
      <c r="L21" s="439"/>
      <c r="M21" s="439"/>
      <c r="N21" s="439"/>
    </row>
    <row r="22" spans="2:14">
      <c r="B22" s="439"/>
      <c r="C22" s="439"/>
      <c r="D22" s="439"/>
      <c r="E22" s="439"/>
      <c r="F22" s="439"/>
      <c r="G22" s="439"/>
      <c r="H22" s="439"/>
      <c r="I22" s="439"/>
      <c r="J22" s="439"/>
      <c r="K22" s="439"/>
      <c r="L22" s="439"/>
      <c r="M22" s="439"/>
      <c r="N22" s="439"/>
    </row>
    <row r="23" spans="2:14">
      <c r="B23" s="439"/>
      <c r="C23" s="439"/>
      <c r="D23" s="439"/>
      <c r="E23" s="439"/>
      <c r="F23" s="439"/>
      <c r="G23" s="439"/>
      <c r="H23" s="439"/>
      <c r="I23" s="439"/>
      <c r="J23" s="439"/>
      <c r="K23" s="439"/>
      <c r="L23" s="439"/>
      <c r="M23" s="439"/>
      <c r="N23" s="439"/>
    </row>
    <row r="24" spans="2:14">
      <c r="B24" s="439"/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</row>
    <row r="25" spans="2:14">
      <c r="B25" s="439"/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</row>
    <row r="26" spans="2:14">
      <c r="B26" s="439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</row>
    <row r="27" spans="2:14">
      <c r="B27" s="439"/>
      <c r="C27" s="439"/>
      <c r="D27" s="439"/>
      <c r="E27" s="439"/>
      <c r="F27" s="439"/>
      <c r="G27" s="439"/>
      <c r="H27" s="439"/>
      <c r="I27" s="439"/>
      <c r="J27" s="439"/>
      <c r="K27" s="439"/>
      <c r="L27" s="439"/>
      <c r="M27" s="439"/>
      <c r="N27" s="439"/>
    </row>
    <row r="28" spans="2:14">
      <c r="B28" s="439"/>
      <c r="C28" s="439"/>
      <c r="D28" s="439"/>
      <c r="E28" s="439"/>
      <c r="F28" s="439"/>
      <c r="G28" s="439"/>
      <c r="H28" s="439"/>
      <c r="I28" s="439"/>
      <c r="J28" s="439"/>
      <c r="K28" s="439"/>
      <c r="L28" s="439"/>
      <c r="M28" s="439"/>
      <c r="N28" s="439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1f7b61-b72b-4a21-bb24-e43f40679a49" xsi:nil="true"/>
    <lcf76f155ced4ddcb4097134ff3c332f xmlns="f26037a3-376c-4e35-9673-91218b302fb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CEEF5B67654BB99FA91F3D8DF3AD" ma:contentTypeVersion="14" ma:contentTypeDescription="Crea un document nou" ma:contentTypeScope="" ma:versionID="e04f8550011c0fa287ef4aa6a3ecaa4a">
  <xsd:schema xmlns:xsd="http://www.w3.org/2001/XMLSchema" xmlns:xs="http://www.w3.org/2001/XMLSchema" xmlns:p="http://schemas.microsoft.com/office/2006/metadata/properties" xmlns:ns2="f26037a3-376c-4e35-9673-91218b302fbb" xmlns:ns3="281f7b61-b72b-4a21-bb24-e43f40679a49" targetNamespace="http://schemas.microsoft.com/office/2006/metadata/properties" ma:root="true" ma:fieldsID="062f520033c58143061b60085d9c524e" ns2:_="" ns3:_="">
    <xsd:import namespace="f26037a3-376c-4e35-9673-91218b302fbb"/>
    <xsd:import namespace="281f7b61-b72b-4a21-bb24-e43f40679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037a3-376c-4e35-9673-91218b302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f7b61-b72b-4a21-bb24-e43f40679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e9ec61-e504-403b-b6cf-d739475b8ab3}" ma:internalName="TaxCatchAll" ma:showField="CatchAllData" ma:web="281f7b61-b72b-4a21-bb24-e43f40679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687FF4-492A-4708-A78D-9596ABEEFD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3BBD1B-D8EB-4F55-AA85-1B39798B5B8A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ee4aae3c-01f0-4f05-9c74-076027acd883"/>
    <ds:schemaRef ds:uri="http://schemas.microsoft.com/office/2006/documentManagement/types"/>
    <ds:schemaRef ds:uri="http://schemas.openxmlformats.org/package/2006/metadata/core-properties"/>
    <ds:schemaRef ds:uri="1639a3db-ab52-4093-87f7-b688f7900785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BAA0D14-05DE-4F1F-AA8C-E229F8DC5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ESTRATÈGIA</vt:lpstr>
      <vt:lpstr>INSTRUCCIONS</vt:lpstr>
      <vt:lpstr>PRIORITZACIÓ</vt:lpstr>
      <vt:lpstr>Pla_Exercici</vt:lpstr>
      <vt:lpstr>PLA (2)</vt:lpstr>
      <vt:lpstr>Hoja2</vt:lpstr>
      <vt:lpstr>PLA</vt:lpstr>
      <vt:lpstr>Estadístiques</vt:lpstr>
      <vt:lpstr>VINCLE AMENAÇA_OBJ. OPERATIU</vt:lpstr>
      <vt:lpstr>Taxonomia Amenaces</vt:lpstr>
      <vt:lpstr>Llistes</vt:lpstr>
      <vt:lpstr>Full1</vt:lpstr>
      <vt:lpstr>APUNTS</vt:lpstr>
      <vt:lpstr>Personal</vt:lpstr>
      <vt:lpstr>'PLA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Asensio Salvador</dc:creator>
  <cp:keywords/>
  <dc:description/>
  <cp:lastModifiedBy>Miquel Campos</cp:lastModifiedBy>
  <cp:revision/>
  <cp:lastPrinted>2025-11-19T10:09:44Z</cp:lastPrinted>
  <dcterms:created xsi:type="dcterms:W3CDTF">2015-06-05T18:17:20Z</dcterms:created>
  <dcterms:modified xsi:type="dcterms:W3CDTF">2026-06-30T11:38:21Z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0x010100F205CEEF5B67654BB99FA91F3D8DF3AD</vt:lpwstr>
  </property>
  <property fmtid="{D5CDD505-2E9C-101B-9397-08002B2CF9AE}" pid="3" name="_dlc_DocIdItemGuid">
    <vt:lpwstr>ff0341f0-9088-483e-b5f9-a8fd6d8609de</vt:lpwstr>
  </property>
  <property fmtid="{D5CDD505-2E9C-101B-9397-08002B2CF9AE}" pid="4" name="MediaServiceImageTags">
    <vt:lpwstr/>
  </property>
</Properties>
</file>