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comments1.xml" ContentType="application/vnd.openxmlformats-officedocument.spreadsheetml.comments+xml"/>
  <Override PartName="/xl/pivotTables/pivotTable2.xml" ContentType="application/vnd.openxmlformats-officedocument.spreadsheetml.pivotTable+xml"/>
  <Override PartName="/xl/comments2.xml" ContentType="application/vnd.openxmlformats-officedocument.spreadsheetml.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hidePivotFieldList="1"/>
  <mc:AlternateContent xmlns:mc="http://schemas.openxmlformats.org/markup-compatibility/2006">
    <mc:Choice Requires="x15">
      <x15ac:absPath xmlns:x15ac="http://schemas.microsoft.com/office/spreadsheetml/2010/11/ac" url="Z:\317\04476\PN_PORTS\UO4500\A_DIRECCIO\__TONI_CURCO\Pla estrategic DG\"/>
    </mc:Choice>
  </mc:AlternateContent>
  <xr:revisionPtr revIDLastSave="0" documentId="11_9E633013BA857040E12B1FF0F0595EA5AF9B31EB" xr6:coauthVersionLast="47" xr6:coauthVersionMax="47" xr10:uidLastSave="{00000000-0000-0000-0000-000000000000}"/>
  <bookViews>
    <workbookView xWindow="28680" yWindow="-120" windowWidth="29040" windowHeight="15720" tabRatio="798" firstSheet="4" activeTab="4" xr2:uid="{00000000-000D-0000-FFFF-FFFF00000000}"/>
  </bookViews>
  <sheets>
    <sheet name="ESTRATÈGIA" sheetId="8" r:id="rId1"/>
    <sheet name="INSTRUCCIONS" sheetId="6" r:id="rId2"/>
    <sheet name="PRIORITZACIÓ" sheetId="7" r:id="rId3"/>
    <sheet name="Full2" sheetId="27" r:id="rId4"/>
    <sheet name="PLA" sheetId="3" r:id="rId5"/>
    <sheet name="Full3" sheetId="28" state="hidden" r:id="rId6"/>
    <sheet name="PLA_TDINAM" sheetId="15" r:id="rId7"/>
    <sheet name="VINCLE AMENAÇA_OBJ. OPERATIU" sheetId="9" r:id="rId8"/>
    <sheet name="Taxonomia Amenaces" sheetId="10" r:id="rId9"/>
    <sheet name="Llistes" sheetId="11" r:id="rId10"/>
    <sheet name="CETS" sheetId="17" r:id="rId11"/>
    <sheet name="CETS T_DINAM" sheetId="18" r:id="rId12"/>
    <sheet name="ARTESAN" sheetId="19" r:id="rId13"/>
    <sheet name="ARTESAN T_DIN" sheetId="20" r:id="rId14"/>
    <sheet name="PRODUCT" sheetId="22" r:id="rId15"/>
    <sheet name="PRODUCT T_DIN" sheetId="21" r:id="rId16"/>
    <sheet name="EDU" sheetId="23" r:id="rId17"/>
    <sheet name="PEEVA" sheetId="24" r:id="rId18"/>
    <sheet name="PEEVA T_DIN" sheetId="25" r:id="rId19"/>
    <sheet name="Hoja1" sheetId="26" r:id="rId20"/>
    <sheet name="Full1" sheetId="5" state="hidden" r:id="rId21"/>
  </sheets>
  <definedNames>
    <definedName name="_xlnm._FilterDatabase" localSheetId="5" hidden="1">Full3!$B$1:$C$196</definedName>
    <definedName name="_xlnm._FilterDatabase" localSheetId="4" hidden="1">PLA!$A$4:$Z$473</definedName>
    <definedName name="_xlnm._FilterDatabase" localSheetId="2" hidden="1">PRIORITZACIÓ!$A$37:$K$153</definedName>
    <definedName name="_xlnm.Print_Area" localSheetId="16">EDU!$A$1:$D$30</definedName>
    <definedName name="_xlnm.Print_Area" localSheetId="1">INSTRUCCIONS!$A$1:$B$33</definedName>
    <definedName name="_xlnm.Print_Area" localSheetId="9">Llistes!$A$1:$H$43</definedName>
    <definedName name="_xlnm.Print_Area" localSheetId="18">'PEEVA T_DIN'!$A$1:$E$69</definedName>
    <definedName name="_xlnm.Print_Area" localSheetId="6">PLA_TDINAM!$A$3:$H$459</definedName>
    <definedName name="_xlnm.Print_Area" localSheetId="14">Tabla1[]</definedName>
    <definedName name="_xlnm.Print_Area" localSheetId="8">'Taxonomia Amenaces'!$A$1:$E$49</definedName>
  </definedNames>
  <calcPr calcId="191028"/>
  <pivotCaches>
    <pivotCache cacheId="1336" r:id="rId22"/>
    <pivotCache cacheId="1337" r:id="rId23"/>
    <pivotCache cacheId="1338" r:id="rId2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43" i="3" l="1"/>
  <c r="A1" i="28" a="1"/>
  <c r="A1" i="28" l="1"/>
  <c r="O473" i="3"/>
  <c r="P473" i="3"/>
  <c r="N473" i="3"/>
  <c r="J262" i="3"/>
  <c r="J261" i="3"/>
  <c r="J260" i="3"/>
  <c r="J259" i="3"/>
  <c r="J258" i="3"/>
  <c r="J257" i="3"/>
  <c r="J250" i="3"/>
  <c r="J249" i="3"/>
  <c r="J248" i="3"/>
  <c r="J270" i="3"/>
  <c r="J269" i="3"/>
  <c r="J268" i="3"/>
  <c r="J267" i="3"/>
  <c r="J266" i="3"/>
  <c r="J265" i="3"/>
  <c r="J264" i="3"/>
  <c r="J263" i="3"/>
  <c r="J256" i="3"/>
  <c r="J255" i="3"/>
  <c r="J253" i="3"/>
  <c r="J252" i="3"/>
  <c r="J251" i="3"/>
  <c r="J247" i="3"/>
  <c r="J246" i="3"/>
  <c r="J217" i="3" l="1"/>
  <c r="J170" i="3"/>
  <c r="J81" i="3"/>
  <c r="J96" i="3"/>
  <c r="J57" i="3" l="1"/>
  <c r="J448" i="3"/>
  <c r="J447" i="3"/>
  <c r="J427" i="3" l="1"/>
  <c r="J426" i="3"/>
  <c r="J333" i="3" l="1"/>
  <c r="J242" i="3"/>
  <c r="J239" i="3"/>
  <c r="J205" i="3"/>
  <c r="J169" i="3" l="1"/>
  <c r="J17" i="3" l="1"/>
  <c r="J16" i="3"/>
  <c r="J15" i="3"/>
  <c r="J14" i="3"/>
  <c r="J13" i="3"/>
  <c r="J12" i="3"/>
  <c r="J18" i="3"/>
  <c r="J11" i="3"/>
  <c r="J10" i="3"/>
  <c r="J287" i="3" l="1"/>
  <c r="J449" i="3" l="1"/>
  <c r="J400" i="3"/>
  <c r="J399" i="3"/>
  <c r="J125" i="3" l="1"/>
  <c r="J472" i="3" l="1"/>
  <c r="J471" i="3"/>
  <c r="J470" i="3"/>
  <c r="J469" i="3"/>
  <c r="J468" i="3"/>
  <c r="J467" i="3"/>
  <c r="J466" i="3"/>
  <c r="J465" i="3"/>
  <c r="J464" i="3"/>
  <c r="J458" i="3"/>
  <c r="J457" i="3"/>
  <c r="J456" i="3"/>
  <c r="J455" i="3"/>
  <c r="J454" i="3"/>
  <c r="J453" i="3"/>
  <c r="J452" i="3"/>
  <c r="J451" i="3"/>
  <c r="J450" i="3"/>
  <c r="J446" i="3"/>
  <c r="J405" i="3"/>
  <c r="J404" i="3"/>
  <c r="J403" i="3"/>
  <c r="J402" i="3"/>
  <c r="J401" i="3"/>
  <c r="J398" i="3"/>
  <c r="J397" i="3"/>
  <c r="J396" i="3"/>
  <c r="J395" i="3"/>
  <c r="J394" i="3"/>
  <c r="J393" i="3"/>
  <c r="J392" i="3"/>
  <c r="J391" i="3"/>
  <c r="J390" i="3"/>
  <c r="J389" i="3"/>
  <c r="J388" i="3"/>
  <c r="J387" i="3"/>
  <c r="J386" i="3"/>
  <c r="J385" i="3"/>
  <c r="J339" i="3"/>
  <c r="J338" i="3"/>
  <c r="J337" i="3"/>
  <c r="J306" i="3"/>
  <c r="J305" i="3"/>
  <c r="J304" i="3"/>
  <c r="J303" i="3"/>
  <c r="J302" i="3"/>
  <c r="J301" i="3"/>
  <c r="J245" i="3"/>
  <c r="J229" i="3"/>
  <c r="J227" i="3"/>
  <c r="J226" i="3"/>
  <c r="J225" i="3"/>
  <c r="J218" i="3"/>
  <c r="J216" i="3"/>
  <c r="J213" i="3"/>
  <c r="J212" i="3"/>
  <c r="J211" i="3"/>
  <c r="J210" i="3"/>
  <c r="J209" i="3"/>
  <c r="J208" i="3"/>
  <c r="J207" i="3"/>
  <c r="J206" i="3"/>
  <c r="J204" i="3"/>
  <c r="J203" i="3"/>
  <c r="J202" i="3"/>
  <c r="J201" i="3"/>
  <c r="J200" i="3"/>
  <c r="J193" i="3"/>
  <c r="J124" i="3"/>
  <c r="J63" i="3"/>
  <c r="J61" i="3"/>
  <c r="J51" i="3" l="1"/>
  <c r="J31" i="3"/>
  <c r="J323" i="3" l="1"/>
  <c r="J294" i="3"/>
  <c r="J312" i="3"/>
  <c r="J324" i="3"/>
  <c r="J322" i="3"/>
  <c r="J325" i="3"/>
  <c r="J331" i="3"/>
  <c r="J419" i="3" l="1"/>
  <c r="J244" i="3"/>
  <c r="J321" i="3" l="1"/>
  <c r="J283" i="3" l="1"/>
  <c r="J282" i="3"/>
  <c r="J281" i="3"/>
  <c r="J293" i="3"/>
  <c r="J366" i="3" l="1"/>
  <c r="J365" i="3"/>
  <c r="J364" i="3"/>
  <c r="J373" i="3"/>
  <c r="J372" i="3"/>
  <c r="J332" i="3"/>
  <c r="J418" i="3" l="1"/>
  <c r="J285" i="3"/>
  <c r="J286" i="3" l="1"/>
  <c r="J280" i="3"/>
  <c r="J330" i="3" l="1"/>
  <c r="J311" i="3"/>
  <c r="J313" i="3"/>
  <c r="J308" i="3"/>
  <c r="J317" i="3"/>
  <c r="J314" i="3" l="1"/>
  <c r="J310" i="3"/>
  <c r="J295" i="3" l="1"/>
  <c r="J334" i="3"/>
  <c r="J299" i="3"/>
  <c r="J298" i="3"/>
  <c r="J159" i="3" l="1"/>
  <c r="J158" i="3"/>
  <c r="J167" i="3"/>
  <c r="J166" i="3"/>
  <c r="J165" i="3"/>
  <c r="J164" i="3"/>
  <c r="J154" i="3"/>
  <c r="J151" i="3"/>
  <c r="J156" i="3"/>
  <c r="J9" i="3"/>
  <c r="J162" i="3"/>
  <c r="J163" i="3"/>
  <c r="J157" i="3"/>
  <c r="J155" i="3"/>
  <c r="J74" i="3" l="1"/>
  <c r="J161" i="3" l="1"/>
  <c r="J153" i="3"/>
  <c r="J316" i="3" l="1"/>
  <c r="J315" i="3"/>
  <c r="J198" i="3"/>
  <c r="J95" i="3"/>
  <c r="J197" i="3"/>
  <c r="J320" i="3"/>
  <c r="J135" i="3"/>
  <c r="J134" i="3"/>
  <c r="J344" i="3"/>
  <c r="J190" i="3"/>
  <c r="U4" i="17"/>
  <c r="U3" i="17"/>
  <c r="U2" i="17"/>
  <c r="J343" i="3" l="1"/>
  <c r="J336" i="3"/>
  <c r="J335" i="3"/>
  <c r="J329" i="3"/>
  <c r="J326" i="3"/>
  <c r="J271" i="3"/>
  <c r="J238" i="3"/>
  <c r="J196" i="3"/>
  <c r="J160" i="3"/>
  <c r="J152" i="3"/>
  <c r="J73" i="3"/>
  <c r="J64" i="3"/>
  <c r="J83" i="3"/>
  <c r="J409" i="3" l="1"/>
  <c r="J425" i="3" l="1"/>
  <c r="J420" i="3"/>
  <c r="J417" i="3"/>
  <c r="J376" i="3"/>
  <c r="J371" i="3"/>
  <c r="J362" i="3"/>
  <c r="J350" i="3"/>
  <c r="J342" i="3"/>
  <c r="J341" i="3"/>
  <c r="J340" i="3"/>
  <c r="J318" i="3"/>
  <c r="J309" i="3"/>
  <c r="J307" i="3"/>
  <c r="J300" i="3"/>
  <c r="J296" i="3"/>
  <c r="J292" i="3"/>
  <c r="J284" i="3"/>
  <c r="J279" i="3"/>
  <c r="J278" i="3"/>
  <c r="J277" i="3"/>
  <c r="J276" i="3"/>
  <c r="J275" i="3"/>
  <c r="J274" i="3"/>
  <c r="J273" i="3"/>
  <c r="J272" i="3"/>
  <c r="J254" i="3"/>
  <c r="J241" i="3"/>
  <c r="J139" i="3"/>
  <c r="J133" i="3"/>
  <c r="J132" i="3"/>
  <c r="J131" i="3"/>
  <c r="J129" i="3"/>
  <c r="J127" i="3"/>
  <c r="J123" i="3"/>
  <c r="J109" i="3"/>
  <c r="J108" i="3"/>
  <c r="J107" i="3"/>
  <c r="J106" i="3"/>
  <c r="J105" i="3"/>
  <c r="J104" i="3"/>
  <c r="J103" i="3"/>
  <c r="J101" i="3"/>
  <c r="J98" i="3"/>
  <c r="J97" i="3"/>
  <c r="J94" i="3"/>
  <c r="J84" i="3"/>
  <c r="J82" i="3"/>
  <c r="J80" i="3"/>
  <c r="J75" i="3"/>
  <c r="J68" i="3"/>
  <c r="J59" i="3"/>
  <c r="J58" i="3"/>
  <c r="J49" i="3"/>
  <c r="J46" i="3"/>
  <c r="J45" i="3"/>
  <c r="J39" i="3"/>
  <c r="J33" i="3"/>
  <c r="J32" i="3"/>
  <c r="J24" i="3"/>
  <c r="J22" i="3"/>
  <c r="A196" i="28"/>
  <c r="A195" i="28"/>
  <c r="A194" i="28"/>
  <c r="A193" i="28"/>
  <c r="A192" i="28"/>
  <c r="A191" i="28"/>
  <c r="A190" i="28"/>
  <c r="A189" i="28"/>
  <c r="A188" i="28"/>
  <c r="A187" i="28"/>
  <c r="A186" i="28"/>
  <c r="A185" i="28"/>
  <c r="A184" i="28"/>
  <c r="A183" i="28"/>
  <c r="A182" i="28"/>
  <c r="A181" i="28"/>
  <c r="A180" i="28"/>
  <c r="A179" i="28"/>
  <c r="A178" i="28"/>
  <c r="A177" i="28"/>
  <c r="A176" i="28"/>
  <c r="A175" i="28"/>
  <c r="A174" i="28"/>
  <c r="A173" i="28"/>
  <c r="A172" i="28"/>
  <c r="A171" i="28"/>
  <c r="A170" i="28"/>
  <c r="A169" i="28"/>
  <c r="A168" i="28"/>
  <c r="A167" i="28"/>
  <c r="A166" i="28"/>
  <c r="A165" i="28"/>
  <c r="A164" i="28"/>
  <c r="A163" i="28"/>
  <c r="A162" i="28"/>
  <c r="A161" i="28"/>
  <c r="A160" i="28"/>
  <c r="A159" i="28"/>
  <c r="A158" i="28"/>
  <c r="A157" i="28"/>
  <c r="A156" i="28"/>
  <c r="A155" i="28"/>
  <c r="A154" i="28"/>
  <c r="A153" i="28"/>
  <c r="A152" i="28"/>
  <c r="A151" i="28"/>
  <c r="A150" i="28"/>
  <c r="A149" i="28"/>
  <c r="A148" i="28"/>
  <c r="A147" i="28"/>
  <c r="A146" i="28"/>
  <c r="A145" i="28"/>
  <c r="A144" i="28"/>
  <c r="A143" i="28"/>
  <c r="A142" i="28"/>
  <c r="A141" i="28"/>
  <c r="A140" i="28"/>
  <c r="A139" i="28"/>
  <c r="A138" i="28"/>
  <c r="A137" i="28"/>
  <c r="A136" i="28"/>
  <c r="A135" i="28"/>
  <c r="A134" i="28"/>
  <c r="A133" i="28"/>
  <c r="A132" i="28"/>
  <c r="A131" i="28"/>
  <c r="A130" i="28"/>
  <c r="A129" i="28"/>
  <c r="A128" i="28"/>
  <c r="A127" i="28"/>
  <c r="A126" i="28"/>
  <c r="A125" i="28"/>
  <c r="A124" i="28"/>
  <c r="A123" i="28"/>
  <c r="A122" i="28"/>
  <c r="A121" i="28"/>
  <c r="A120" i="28"/>
  <c r="A119" i="28"/>
  <c r="A118" i="28"/>
  <c r="A117" i="28"/>
  <c r="A116" i="28"/>
  <c r="A115" i="28"/>
  <c r="A114" i="28"/>
  <c r="A113" i="28"/>
  <c r="A112" i="28"/>
  <c r="A111" i="28"/>
  <c r="A110" i="28"/>
  <c r="A109" i="28"/>
  <c r="A108" i="28"/>
  <c r="A107" i="28"/>
  <c r="A106" i="28"/>
  <c r="A105" i="28"/>
  <c r="A104" i="28"/>
  <c r="A103" i="28"/>
  <c r="A102" i="28"/>
  <c r="A101" i="28"/>
  <c r="A100" i="28"/>
  <c r="A99" i="28"/>
  <c r="A98" i="28"/>
  <c r="A97" i="28"/>
  <c r="A96" i="28"/>
  <c r="A95" i="28"/>
  <c r="A94" i="28"/>
  <c r="A93" i="28"/>
  <c r="A92" i="28"/>
  <c r="A91" i="28"/>
  <c r="A90" i="28"/>
  <c r="A89" i="28"/>
  <c r="A88" i="28"/>
  <c r="A87" i="28"/>
  <c r="A86" i="28"/>
  <c r="A85" i="28"/>
  <c r="A84" i="28"/>
  <c r="A83" i="28"/>
  <c r="A82" i="28"/>
  <c r="A81" i="28"/>
  <c r="A80" i="28"/>
  <c r="A79" i="28"/>
  <c r="A78" i="28"/>
  <c r="A77" i="28"/>
  <c r="A76" i="28"/>
  <c r="A75" i="28"/>
  <c r="A74" i="28"/>
  <c r="A73" i="28"/>
  <c r="A72" i="28"/>
  <c r="A71" i="28"/>
  <c r="A70" i="28"/>
  <c r="A69" i="28"/>
  <c r="A68" i="28"/>
  <c r="A67" i="28"/>
  <c r="A66" i="28"/>
  <c r="A65" i="28"/>
  <c r="A64" i="28"/>
  <c r="A63" i="28"/>
  <c r="A62" i="28"/>
  <c r="A61" i="28"/>
  <c r="A60" i="28"/>
  <c r="A59" i="28"/>
  <c r="A58" i="28"/>
  <c r="A57" i="28"/>
  <c r="A56" i="28"/>
  <c r="A55" i="28"/>
  <c r="A54" i="28"/>
  <c r="A53" i="28"/>
  <c r="A52" i="28"/>
  <c r="A51" i="28"/>
  <c r="A50" i="28"/>
  <c r="A49" i="28"/>
  <c r="A48" i="28"/>
  <c r="A47" i="28"/>
  <c r="A46" i="28"/>
  <c r="A45" i="28"/>
  <c r="A44" i="28"/>
  <c r="A43" i="28"/>
  <c r="A42" i="28"/>
  <c r="A41" i="28"/>
  <c r="A40" i="28"/>
  <c r="A39" i="28"/>
  <c r="A38" i="28"/>
  <c r="A37" i="28"/>
  <c r="A36" i="28"/>
  <c r="A35" i="28"/>
  <c r="A34" i="28"/>
  <c r="A33" i="28"/>
  <c r="A32" i="28"/>
  <c r="A31" i="28"/>
  <c r="A30" i="28"/>
  <c r="A29" i="28"/>
  <c r="A28" i="28"/>
  <c r="A27" i="28"/>
  <c r="A26" i="28"/>
  <c r="A25" i="28"/>
  <c r="A24" i="28"/>
  <c r="A23" i="28"/>
  <c r="A22" i="28"/>
  <c r="A21" i="28"/>
  <c r="A20" i="28"/>
  <c r="A19" i="28"/>
  <c r="A18" i="28"/>
  <c r="A17" i="28"/>
  <c r="A16" i="28"/>
  <c r="A15" i="28"/>
  <c r="A14" i="28"/>
  <c r="A13" i="28"/>
  <c r="A12" i="28"/>
  <c r="A11" i="28"/>
  <c r="A10" i="28"/>
  <c r="A9" i="28"/>
  <c r="A8" i="28"/>
  <c r="A7" i="28"/>
  <c r="A6" i="28"/>
  <c r="A5" i="28"/>
  <c r="A4" i="28"/>
  <c r="A3" i="28"/>
  <c r="A2" i="28"/>
  <c r="B1" i="28" l="1" a="1"/>
  <c r="D1" i="28" a="1"/>
  <c r="C1" i="28" a="1"/>
  <c r="C1" i="28" l="1"/>
  <c r="C196" i="28"/>
  <c r="C195" i="28"/>
  <c r="C194" i="28"/>
  <c r="C193" i="28"/>
  <c r="C192" i="28"/>
  <c r="C191" i="28"/>
  <c r="C190" i="28"/>
  <c r="C189" i="28"/>
  <c r="C188" i="28"/>
  <c r="C187" i="28"/>
  <c r="C186" i="28"/>
  <c r="C185" i="28"/>
  <c r="C184" i="28"/>
  <c r="C183" i="28"/>
  <c r="C182" i="28"/>
  <c r="C181" i="28"/>
  <c r="C180" i="28"/>
  <c r="C179" i="28"/>
  <c r="C178" i="28"/>
  <c r="C177" i="28"/>
  <c r="C176" i="28"/>
  <c r="C175" i="28"/>
  <c r="C174" i="28"/>
  <c r="C173" i="28"/>
  <c r="C172" i="28"/>
  <c r="C171" i="28"/>
  <c r="C170" i="28"/>
  <c r="C169" i="28"/>
  <c r="C168" i="28"/>
  <c r="C167" i="28"/>
  <c r="C166" i="28"/>
  <c r="C165" i="28"/>
  <c r="C164" i="28"/>
  <c r="C163" i="28"/>
  <c r="C162" i="28"/>
  <c r="C161" i="28"/>
  <c r="C160" i="28"/>
  <c r="C159" i="28"/>
  <c r="C158" i="28"/>
  <c r="C157" i="28"/>
  <c r="C156" i="28"/>
  <c r="C155" i="28"/>
  <c r="C154" i="28"/>
  <c r="C153" i="28"/>
  <c r="C152" i="28"/>
  <c r="C151" i="28"/>
  <c r="C150" i="28"/>
  <c r="C149" i="28"/>
  <c r="C148" i="28"/>
  <c r="C147" i="28"/>
  <c r="C146" i="28"/>
  <c r="C145" i="28"/>
  <c r="C144" i="28"/>
  <c r="C143" i="28"/>
  <c r="C142" i="28"/>
  <c r="C141" i="28"/>
  <c r="C140" i="28"/>
  <c r="C139" i="28"/>
  <c r="C138" i="28"/>
  <c r="C137" i="28"/>
  <c r="C136" i="28"/>
  <c r="C135" i="28"/>
  <c r="C134" i="28"/>
  <c r="C133" i="28"/>
  <c r="C132" i="28"/>
  <c r="C131" i="28"/>
  <c r="C130" i="28"/>
  <c r="C129" i="28"/>
  <c r="C128" i="28"/>
  <c r="C127" i="28"/>
  <c r="C126" i="28"/>
  <c r="C125" i="28"/>
  <c r="C124" i="28"/>
  <c r="C123" i="28"/>
  <c r="C122" i="28"/>
  <c r="C121" i="28"/>
  <c r="C120" i="28"/>
  <c r="C119" i="28"/>
  <c r="C118" i="28"/>
  <c r="C117" i="28"/>
  <c r="C116" i="28"/>
  <c r="C115" i="28"/>
  <c r="C114" i="28"/>
  <c r="C113" i="28"/>
  <c r="C112" i="28"/>
  <c r="C111" i="28"/>
  <c r="C110" i="28"/>
  <c r="C109" i="28"/>
  <c r="C108" i="28"/>
  <c r="C107" i="28"/>
  <c r="C106" i="28"/>
  <c r="C105" i="28"/>
  <c r="C104" i="28"/>
  <c r="C103" i="28"/>
  <c r="C102" i="28"/>
  <c r="C101" i="28"/>
  <c r="C100" i="28"/>
  <c r="C99" i="28"/>
  <c r="C98" i="28"/>
  <c r="C97" i="28"/>
  <c r="C96" i="28"/>
  <c r="C95" i="28"/>
  <c r="C94" i="28"/>
  <c r="C93" i="28"/>
  <c r="C92" i="28"/>
  <c r="C91" i="28"/>
  <c r="C90" i="28"/>
  <c r="C89" i="28"/>
  <c r="C88" i="28"/>
  <c r="C87" i="28"/>
  <c r="C86" i="28"/>
  <c r="C85" i="28"/>
  <c r="C84" i="28"/>
  <c r="C83" i="28"/>
  <c r="C82" i="28"/>
  <c r="C81" i="28"/>
  <c r="C80" i="28"/>
  <c r="C79" i="28"/>
  <c r="C78" i="28"/>
  <c r="C77" i="28"/>
  <c r="C76" i="28"/>
  <c r="C75" i="28"/>
  <c r="C74" i="28"/>
  <c r="C73" i="28"/>
  <c r="C72" i="28"/>
  <c r="C71" i="28"/>
  <c r="C70" i="28"/>
  <c r="C69" i="28"/>
  <c r="C68" i="28"/>
  <c r="C67" i="28"/>
  <c r="C66" i="28"/>
  <c r="C65" i="28"/>
  <c r="C64" i="28"/>
  <c r="C63" i="28"/>
  <c r="C62" i="28"/>
  <c r="C61" i="28"/>
  <c r="C60" i="28"/>
  <c r="C59" i="28"/>
  <c r="C58" i="28"/>
  <c r="C57" i="28"/>
  <c r="C56" i="28"/>
  <c r="C55" i="28"/>
  <c r="C54" i="28"/>
  <c r="C53" i="28"/>
  <c r="C52" i="28"/>
  <c r="C51" i="28"/>
  <c r="C50" i="28"/>
  <c r="C49" i="28"/>
  <c r="C48" i="28"/>
  <c r="C47" i="28"/>
  <c r="C46" i="28"/>
  <c r="C45" i="28"/>
  <c r="C44" i="28"/>
  <c r="C43" i="28"/>
  <c r="C42" i="28"/>
  <c r="C41" i="28"/>
  <c r="C40" i="28"/>
  <c r="C39" i="28"/>
  <c r="C38" i="28"/>
  <c r="C37" i="28"/>
  <c r="C36" i="28"/>
  <c r="C35" i="28"/>
  <c r="C34" i="28"/>
  <c r="C33" i="28"/>
  <c r="C32" i="28"/>
  <c r="C31" i="28"/>
  <c r="C30" i="28"/>
  <c r="C29" i="28"/>
  <c r="C28" i="28"/>
  <c r="C27" i="28"/>
  <c r="C26" i="28"/>
  <c r="C25" i="28"/>
  <c r="C24" i="28"/>
  <c r="C23" i="28"/>
  <c r="C22" i="28"/>
  <c r="C21" i="28"/>
  <c r="C20" i="28"/>
  <c r="C19" i="28"/>
  <c r="C18" i="28"/>
  <c r="C17" i="28"/>
  <c r="C16" i="28"/>
  <c r="C15" i="28"/>
  <c r="C14" i="28"/>
  <c r="C13" i="28"/>
  <c r="C12" i="28"/>
  <c r="C11" i="28"/>
  <c r="C10" i="28"/>
  <c r="C9" i="28"/>
  <c r="C8" i="28"/>
  <c r="C7" i="28"/>
  <c r="C6" i="28"/>
  <c r="C5" i="28"/>
  <c r="C4" i="28"/>
  <c r="C3" i="28"/>
  <c r="C2" i="28"/>
  <c r="D1" i="28"/>
  <c r="D196" i="28"/>
  <c r="D195" i="28"/>
  <c r="D194" i="28"/>
  <c r="D193" i="28"/>
  <c r="D192" i="28"/>
  <c r="D191" i="28"/>
  <c r="D190" i="28"/>
  <c r="D189" i="28"/>
  <c r="D188" i="28"/>
  <c r="D187" i="28"/>
  <c r="D186" i="28"/>
  <c r="D185" i="28"/>
  <c r="D184" i="28"/>
  <c r="D183" i="28"/>
  <c r="D182" i="28"/>
  <c r="D181" i="28"/>
  <c r="D180" i="28"/>
  <c r="D179" i="28"/>
  <c r="D178" i="28"/>
  <c r="D177" i="28"/>
  <c r="D176" i="28"/>
  <c r="D175" i="28"/>
  <c r="D174" i="28"/>
  <c r="D173" i="28"/>
  <c r="D172" i="28"/>
  <c r="D171" i="28"/>
  <c r="D170" i="28"/>
  <c r="D169" i="28"/>
  <c r="D168" i="28"/>
  <c r="D167" i="28"/>
  <c r="D166" i="28"/>
  <c r="D165" i="28"/>
  <c r="D164" i="28"/>
  <c r="D163" i="28"/>
  <c r="D162" i="28"/>
  <c r="D161" i="28"/>
  <c r="D160" i="28"/>
  <c r="D159" i="28"/>
  <c r="D158" i="28"/>
  <c r="D157" i="28"/>
  <c r="D156" i="28"/>
  <c r="D155" i="28"/>
  <c r="D154" i="28"/>
  <c r="D153" i="28"/>
  <c r="D152" i="28"/>
  <c r="D151" i="28"/>
  <c r="D150" i="28"/>
  <c r="D149" i="28"/>
  <c r="D148" i="28"/>
  <c r="D147" i="28"/>
  <c r="D146" i="28"/>
  <c r="D145" i="28"/>
  <c r="D144" i="28"/>
  <c r="D143" i="28"/>
  <c r="D142" i="28"/>
  <c r="D141" i="28"/>
  <c r="D140" i="28"/>
  <c r="D139" i="28"/>
  <c r="D138" i="28"/>
  <c r="D137" i="28"/>
  <c r="D136" i="28"/>
  <c r="D135" i="28"/>
  <c r="D134" i="28"/>
  <c r="D133" i="28"/>
  <c r="D132" i="28"/>
  <c r="D131" i="28"/>
  <c r="D130" i="28"/>
  <c r="D129" i="28"/>
  <c r="D128" i="28"/>
  <c r="D127" i="28"/>
  <c r="D126" i="28"/>
  <c r="D125" i="28"/>
  <c r="D124" i="28"/>
  <c r="D123" i="28"/>
  <c r="D122" i="28"/>
  <c r="D121" i="28"/>
  <c r="D120" i="28"/>
  <c r="D119" i="28"/>
  <c r="D118" i="28"/>
  <c r="D117" i="28"/>
  <c r="D116" i="28"/>
  <c r="D115" i="28"/>
  <c r="D114" i="28"/>
  <c r="D113" i="28"/>
  <c r="D112" i="28"/>
  <c r="D111" i="28"/>
  <c r="D110" i="28"/>
  <c r="D109" i="28"/>
  <c r="D108" i="28"/>
  <c r="D107" i="28"/>
  <c r="D106" i="28"/>
  <c r="D105" i="28"/>
  <c r="D104" i="28"/>
  <c r="D103" i="28"/>
  <c r="D102" i="28"/>
  <c r="D101" i="28"/>
  <c r="D100" i="28"/>
  <c r="D99" i="28"/>
  <c r="D98" i="28"/>
  <c r="D97" i="28"/>
  <c r="D96" i="28"/>
  <c r="D95" i="28"/>
  <c r="D94" i="28"/>
  <c r="D93" i="28"/>
  <c r="D92" i="28"/>
  <c r="D91" i="28"/>
  <c r="D90" i="28"/>
  <c r="D89" i="28"/>
  <c r="D88" i="28"/>
  <c r="D87" i="28"/>
  <c r="D86" i="28"/>
  <c r="D85" i="28"/>
  <c r="D84" i="28"/>
  <c r="D83" i="28"/>
  <c r="D82" i="28"/>
  <c r="D81" i="28"/>
  <c r="D80" i="28"/>
  <c r="D79" i="28"/>
  <c r="D78" i="28"/>
  <c r="D77" i="28"/>
  <c r="D76" i="28"/>
  <c r="D75" i="28"/>
  <c r="D74" i="28"/>
  <c r="D73" i="28"/>
  <c r="D72" i="28"/>
  <c r="D71" i="28"/>
  <c r="D70" i="28"/>
  <c r="D69" i="28"/>
  <c r="D68" i="28"/>
  <c r="D67" i="28"/>
  <c r="D66" i="28"/>
  <c r="D65" i="28"/>
  <c r="D64" i="28"/>
  <c r="D63" i="28"/>
  <c r="D62" i="28"/>
  <c r="D61" i="28"/>
  <c r="D60" i="28"/>
  <c r="D59" i="28"/>
  <c r="D58" i="28"/>
  <c r="D57" i="28"/>
  <c r="D56" i="28"/>
  <c r="D55" i="28"/>
  <c r="D54" i="28"/>
  <c r="D53" i="28"/>
  <c r="D52" i="28"/>
  <c r="D51" i="28"/>
  <c r="D50" i="28"/>
  <c r="D49" i="28"/>
  <c r="D48" i="28"/>
  <c r="D47" i="28"/>
  <c r="D46" i="28"/>
  <c r="D45" i="28"/>
  <c r="D44" i="28"/>
  <c r="D43" i="28"/>
  <c r="D42" i="28"/>
  <c r="D41" i="28"/>
  <c r="D40" i="28"/>
  <c r="D39" i="28"/>
  <c r="D38" i="28"/>
  <c r="D37" i="28"/>
  <c r="D36" i="28"/>
  <c r="D35" i="28"/>
  <c r="D34" i="28"/>
  <c r="D33" i="28"/>
  <c r="D32" i="28"/>
  <c r="D31" i="28"/>
  <c r="D30" i="28"/>
  <c r="D29" i="28"/>
  <c r="D28" i="28"/>
  <c r="D27" i="28"/>
  <c r="D26" i="28"/>
  <c r="D25" i="28"/>
  <c r="D24" i="28"/>
  <c r="D23" i="28"/>
  <c r="D22" i="28"/>
  <c r="D21" i="28"/>
  <c r="D20" i="28"/>
  <c r="D19" i="28"/>
  <c r="D18" i="28"/>
  <c r="D17" i="28"/>
  <c r="D16" i="28"/>
  <c r="D15" i="28"/>
  <c r="D14" i="28"/>
  <c r="D13" i="28"/>
  <c r="D12" i="28"/>
  <c r="D11" i="28"/>
  <c r="D10" i="28"/>
  <c r="D9" i="28"/>
  <c r="D8" i="28"/>
  <c r="D7" i="28"/>
  <c r="D6" i="28"/>
  <c r="D5" i="28"/>
  <c r="D4" i="28"/>
  <c r="D3" i="28"/>
  <c r="D2" i="28"/>
  <c r="B1" i="28"/>
  <c r="E1" i="28" s="1"/>
  <c r="B196" i="28"/>
  <c r="E196" i="28" s="1"/>
  <c r="B195" i="28"/>
  <c r="E195" i="28" s="1"/>
  <c r="B194" i="28"/>
  <c r="E194" i="28" s="1"/>
  <c r="B193" i="28"/>
  <c r="E193" i="28" s="1"/>
  <c r="B192" i="28"/>
  <c r="E192" i="28" s="1"/>
  <c r="B191" i="28"/>
  <c r="E191" i="28" s="1"/>
  <c r="B190" i="28"/>
  <c r="E190" i="28" s="1"/>
  <c r="B189" i="28"/>
  <c r="E189" i="28" s="1"/>
  <c r="B188" i="28"/>
  <c r="E188" i="28" s="1"/>
  <c r="B187" i="28"/>
  <c r="E187" i="28" s="1"/>
  <c r="B186" i="28"/>
  <c r="E186" i="28" s="1"/>
  <c r="B185" i="28"/>
  <c r="E185" i="28" s="1"/>
  <c r="B184" i="28"/>
  <c r="E184" i="28" s="1"/>
  <c r="B183" i="28"/>
  <c r="E183" i="28" s="1"/>
  <c r="B182" i="28"/>
  <c r="E182" i="28" s="1"/>
  <c r="B181" i="28"/>
  <c r="E181" i="28" s="1"/>
  <c r="B180" i="28"/>
  <c r="E180" i="28" s="1"/>
  <c r="B179" i="28"/>
  <c r="E179" i="28" s="1"/>
  <c r="B178" i="28"/>
  <c r="E178" i="28" s="1"/>
  <c r="B177" i="28"/>
  <c r="E177" i="28" s="1"/>
  <c r="B176" i="28"/>
  <c r="E176" i="28" s="1"/>
  <c r="B175" i="28"/>
  <c r="E175" i="28" s="1"/>
  <c r="B174" i="28"/>
  <c r="E174" i="28" s="1"/>
  <c r="B173" i="28"/>
  <c r="E173" i="28" s="1"/>
  <c r="B172" i="28"/>
  <c r="E172" i="28" s="1"/>
  <c r="B171" i="28"/>
  <c r="E171" i="28" s="1"/>
  <c r="B170" i="28"/>
  <c r="E170" i="28" s="1"/>
  <c r="B169" i="28"/>
  <c r="E169" i="28" s="1"/>
  <c r="B168" i="28"/>
  <c r="E168" i="28" s="1"/>
  <c r="B167" i="28"/>
  <c r="E167" i="28" s="1"/>
  <c r="B166" i="28"/>
  <c r="E166" i="28" s="1"/>
  <c r="B165" i="28"/>
  <c r="E165" i="28" s="1"/>
  <c r="B164" i="28"/>
  <c r="E164" i="28" s="1"/>
  <c r="B163" i="28"/>
  <c r="E163" i="28" s="1"/>
  <c r="B162" i="28"/>
  <c r="E162" i="28" s="1"/>
  <c r="B161" i="28"/>
  <c r="E161" i="28" s="1"/>
  <c r="B160" i="28"/>
  <c r="E160" i="28" s="1"/>
  <c r="B159" i="28"/>
  <c r="E159" i="28" s="1"/>
  <c r="B158" i="28"/>
  <c r="E158" i="28" s="1"/>
  <c r="B157" i="28"/>
  <c r="E157" i="28" s="1"/>
  <c r="B156" i="28"/>
  <c r="E156" i="28" s="1"/>
  <c r="B155" i="28"/>
  <c r="E155" i="28" s="1"/>
  <c r="B154" i="28"/>
  <c r="E154" i="28" s="1"/>
  <c r="B153" i="28"/>
  <c r="E153" i="28" s="1"/>
  <c r="B152" i="28"/>
  <c r="E152" i="28" s="1"/>
  <c r="B151" i="28"/>
  <c r="E151" i="28" s="1"/>
  <c r="B150" i="28"/>
  <c r="E150" i="28" s="1"/>
  <c r="B149" i="28"/>
  <c r="E149" i="28" s="1"/>
  <c r="B148" i="28"/>
  <c r="E148" i="28" s="1"/>
  <c r="B147" i="28"/>
  <c r="E147" i="28" s="1"/>
  <c r="B146" i="28"/>
  <c r="E146" i="28" s="1"/>
  <c r="B145" i="28"/>
  <c r="E145" i="28" s="1"/>
  <c r="B144" i="28"/>
  <c r="E144" i="28" s="1"/>
  <c r="B143" i="28"/>
  <c r="E143" i="28" s="1"/>
  <c r="B142" i="28"/>
  <c r="E142" i="28" s="1"/>
  <c r="B141" i="28"/>
  <c r="E141" i="28" s="1"/>
  <c r="B140" i="28"/>
  <c r="E140" i="28" s="1"/>
  <c r="B139" i="28"/>
  <c r="E139" i="28" s="1"/>
  <c r="B138" i="28"/>
  <c r="E138" i="28" s="1"/>
  <c r="B137" i="28"/>
  <c r="E137" i="28" s="1"/>
  <c r="B136" i="28"/>
  <c r="E136" i="28" s="1"/>
  <c r="B135" i="28"/>
  <c r="E135" i="28" s="1"/>
  <c r="B134" i="28"/>
  <c r="E134" i="28" s="1"/>
  <c r="B133" i="28"/>
  <c r="E133" i="28" s="1"/>
  <c r="B132" i="28"/>
  <c r="E132" i="28" s="1"/>
  <c r="B131" i="28"/>
  <c r="E131" i="28" s="1"/>
  <c r="B130" i="28"/>
  <c r="E130" i="28" s="1"/>
  <c r="B129" i="28"/>
  <c r="E129" i="28" s="1"/>
  <c r="B128" i="28"/>
  <c r="E128" i="28" s="1"/>
  <c r="B127" i="28"/>
  <c r="E127" i="28" s="1"/>
  <c r="B126" i="28"/>
  <c r="E126" i="28" s="1"/>
  <c r="B125" i="28"/>
  <c r="E125" i="28" s="1"/>
  <c r="B124" i="28"/>
  <c r="E124" i="28" s="1"/>
  <c r="B123" i="28"/>
  <c r="E123" i="28" s="1"/>
  <c r="B122" i="28"/>
  <c r="E122" i="28" s="1"/>
  <c r="B121" i="28"/>
  <c r="E121" i="28" s="1"/>
  <c r="B120" i="28"/>
  <c r="E120" i="28" s="1"/>
  <c r="B119" i="28"/>
  <c r="E119" i="28" s="1"/>
  <c r="B118" i="28"/>
  <c r="E118" i="28" s="1"/>
  <c r="B117" i="28"/>
  <c r="E117" i="28" s="1"/>
  <c r="B116" i="28"/>
  <c r="E116" i="28" s="1"/>
  <c r="B115" i="28"/>
  <c r="E115" i="28" s="1"/>
  <c r="B114" i="28"/>
  <c r="E114" i="28" s="1"/>
  <c r="B113" i="28"/>
  <c r="E113" i="28" s="1"/>
  <c r="B112" i="28"/>
  <c r="E112" i="28" s="1"/>
  <c r="B111" i="28"/>
  <c r="E111" i="28" s="1"/>
  <c r="B110" i="28"/>
  <c r="E110" i="28" s="1"/>
  <c r="B109" i="28"/>
  <c r="E109" i="28" s="1"/>
  <c r="B108" i="28"/>
  <c r="E108" i="28" s="1"/>
  <c r="B107" i="28"/>
  <c r="E107" i="28" s="1"/>
  <c r="B106" i="28"/>
  <c r="E106" i="28" s="1"/>
  <c r="B105" i="28"/>
  <c r="E105" i="28" s="1"/>
  <c r="B104" i="28"/>
  <c r="E104" i="28" s="1"/>
  <c r="B103" i="28"/>
  <c r="E103" i="28" s="1"/>
  <c r="B102" i="28"/>
  <c r="E102" i="28" s="1"/>
  <c r="B101" i="28"/>
  <c r="E101" i="28" s="1"/>
  <c r="B100" i="28"/>
  <c r="E100" i="28" s="1"/>
  <c r="B99" i="28"/>
  <c r="E99" i="28" s="1"/>
  <c r="B98" i="28"/>
  <c r="E98" i="28" s="1"/>
  <c r="B97" i="28"/>
  <c r="E97" i="28" s="1"/>
  <c r="B96" i="28"/>
  <c r="E96" i="28" s="1"/>
  <c r="B95" i="28"/>
  <c r="E95" i="28" s="1"/>
  <c r="B94" i="28"/>
  <c r="E94" i="28" s="1"/>
  <c r="B93" i="28"/>
  <c r="E93" i="28" s="1"/>
  <c r="B92" i="28"/>
  <c r="E92" i="28" s="1"/>
  <c r="B91" i="28"/>
  <c r="E91" i="28" s="1"/>
  <c r="B90" i="28"/>
  <c r="E90" i="28" s="1"/>
  <c r="B89" i="28"/>
  <c r="E89" i="28" s="1"/>
  <c r="B88" i="28"/>
  <c r="E88" i="28" s="1"/>
  <c r="B87" i="28"/>
  <c r="E87" i="28" s="1"/>
  <c r="B86" i="28"/>
  <c r="E86" i="28" s="1"/>
  <c r="B85" i="28"/>
  <c r="E85" i="28" s="1"/>
  <c r="B84" i="28"/>
  <c r="E84" i="28" s="1"/>
  <c r="B83" i="28"/>
  <c r="E83" i="28" s="1"/>
  <c r="B82" i="28"/>
  <c r="E82" i="28" s="1"/>
  <c r="B81" i="28"/>
  <c r="E81" i="28" s="1"/>
  <c r="B80" i="28"/>
  <c r="E80" i="28" s="1"/>
  <c r="B79" i="28"/>
  <c r="E79" i="28" s="1"/>
  <c r="B78" i="28"/>
  <c r="E78" i="28" s="1"/>
  <c r="B77" i="28"/>
  <c r="E77" i="28" s="1"/>
  <c r="B76" i="28"/>
  <c r="E76" i="28" s="1"/>
  <c r="B75" i="28"/>
  <c r="E75" i="28" s="1"/>
  <c r="B74" i="28"/>
  <c r="E74" i="28" s="1"/>
  <c r="B73" i="28"/>
  <c r="E73" i="28" s="1"/>
  <c r="B72" i="28"/>
  <c r="E72" i="28" s="1"/>
  <c r="B71" i="28"/>
  <c r="E71" i="28" s="1"/>
  <c r="B70" i="28"/>
  <c r="E70" i="28" s="1"/>
  <c r="B69" i="28"/>
  <c r="E69" i="28" s="1"/>
  <c r="B68" i="28"/>
  <c r="E68" i="28" s="1"/>
  <c r="B67" i="28"/>
  <c r="E67" i="28" s="1"/>
  <c r="B66" i="28"/>
  <c r="E66" i="28" s="1"/>
  <c r="B65" i="28"/>
  <c r="E65" i="28" s="1"/>
  <c r="B64" i="28"/>
  <c r="E64" i="28" s="1"/>
  <c r="B63" i="28"/>
  <c r="E63" i="28" s="1"/>
  <c r="B62" i="28"/>
  <c r="E62" i="28" s="1"/>
  <c r="B61" i="28"/>
  <c r="E61" i="28" s="1"/>
  <c r="B60" i="28"/>
  <c r="E60" i="28" s="1"/>
  <c r="B59" i="28"/>
  <c r="E59" i="28" s="1"/>
  <c r="B58" i="28"/>
  <c r="E58" i="28" s="1"/>
  <c r="B57" i="28"/>
  <c r="E57" i="28" s="1"/>
  <c r="B56" i="28"/>
  <c r="E56" i="28" s="1"/>
  <c r="B55" i="28"/>
  <c r="E55" i="28" s="1"/>
  <c r="B54" i="28"/>
  <c r="E54" i="28" s="1"/>
  <c r="B53" i="28"/>
  <c r="E53" i="28" s="1"/>
  <c r="B52" i="28"/>
  <c r="E52" i="28" s="1"/>
  <c r="B51" i="28"/>
  <c r="E51" i="28" s="1"/>
  <c r="B50" i="28"/>
  <c r="E50" i="28" s="1"/>
  <c r="B49" i="28"/>
  <c r="E49" i="28" s="1"/>
  <c r="B48" i="28"/>
  <c r="E48" i="28" s="1"/>
  <c r="B47" i="28"/>
  <c r="E47" i="28" s="1"/>
  <c r="B46" i="28"/>
  <c r="E46" i="28" s="1"/>
  <c r="B45" i="28"/>
  <c r="E45" i="28" s="1"/>
  <c r="B44" i="28"/>
  <c r="E44" i="28" s="1"/>
  <c r="B43" i="28"/>
  <c r="E43" i="28" s="1"/>
  <c r="B42" i="28"/>
  <c r="E42" i="28" s="1"/>
  <c r="B41" i="28"/>
  <c r="E41" i="28" s="1"/>
  <c r="B40" i="28"/>
  <c r="E40" i="28" s="1"/>
  <c r="B39" i="28"/>
  <c r="E39" i="28" s="1"/>
  <c r="B38" i="28"/>
  <c r="E38" i="28" s="1"/>
  <c r="B37" i="28"/>
  <c r="E37" i="28" s="1"/>
  <c r="B36" i="28"/>
  <c r="E36" i="28" s="1"/>
  <c r="B35" i="28"/>
  <c r="E35" i="28" s="1"/>
  <c r="B34" i="28"/>
  <c r="E34" i="28" s="1"/>
  <c r="B33" i="28"/>
  <c r="E33" i="28" s="1"/>
  <c r="B32" i="28"/>
  <c r="E32" i="28" s="1"/>
  <c r="B31" i="28"/>
  <c r="E31" i="28" s="1"/>
  <c r="B30" i="28"/>
  <c r="E30" i="28" s="1"/>
  <c r="B29" i="28"/>
  <c r="E29" i="28" s="1"/>
  <c r="B28" i="28"/>
  <c r="E28" i="28" s="1"/>
  <c r="B27" i="28"/>
  <c r="E27" i="28" s="1"/>
  <c r="B26" i="28"/>
  <c r="E26" i="28" s="1"/>
  <c r="B25" i="28"/>
  <c r="E25" i="28" s="1"/>
  <c r="B24" i="28"/>
  <c r="E24" i="28" s="1"/>
  <c r="B23" i="28"/>
  <c r="E23" i="28" s="1"/>
  <c r="B22" i="28"/>
  <c r="E22" i="28" s="1"/>
  <c r="B21" i="28"/>
  <c r="E21" i="28" s="1"/>
  <c r="B20" i="28"/>
  <c r="E20" i="28" s="1"/>
  <c r="B19" i="28"/>
  <c r="E19" i="28" s="1"/>
  <c r="B18" i="28"/>
  <c r="E18" i="28" s="1"/>
  <c r="B17" i="28"/>
  <c r="E17" i="28" s="1"/>
  <c r="B16" i="28"/>
  <c r="E16" i="28" s="1"/>
  <c r="B15" i="28"/>
  <c r="E15" i="28" s="1"/>
  <c r="B14" i="28"/>
  <c r="E14" i="28" s="1"/>
  <c r="B13" i="28"/>
  <c r="E13" i="28" s="1"/>
  <c r="B12" i="28"/>
  <c r="E12" i="28" s="1"/>
  <c r="B11" i="28"/>
  <c r="E11" i="28" s="1"/>
  <c r="B10" i="28"/>
  <c r="E10" i="28" s="1"/>
  <c r="B9" i="28"/>
  <c r="E9" i="28" s="1"/>
  <c r="B8" i="28"/>
  <c r="E8" i="28" s="1"/>
  <c r="B7" i="28"/>
  <c r="E7" i="28" s="1"/>
  <c r="B6" i="28"/>
  <c r="E6" i="28" s="1"/>
  <c r="B5" i="28"/>
  <c r="E5" i="28" s="1"/>
  <c r="B4" i="28"/>
  <c r="E4" i="28" s="1"/>
  <c r="B3" i="28"/>
  <c r="E3" i="28" s="1"/>
  <c r="B2" i="28"/>
  <c r="E2" i="2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Parpal Servole, Jordi</author>
  </authors>
  <commentList>
    <comment ref="G4" authorId="0" shapeId="0" xr:uid="{00000000-0006-0000-0400-000001000000}">
      <text>
        <r>
          <rPr>
            <b/>
            <sz val="9"/>
            <color indexed="81"/>
            <rFont val="Tahoma"/>
            <family val="2"/>
          </rPr>
          <t>Parpal Servole, Jordi:</t>
        </r>
        <r>
          <rPr>
            <sz val="9"/>
            <color indexed="81"/>
            <rFont val="Tahoma"/>
            <family val="2"/>
          </rPr>
          <t xml:space="preserve">
Els Parcs haurien d'optar per suprimir o modificar els objectius operatius que no es consideren obligats per a tots els Parcs (columna I)</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Parpal Servole, Jordi</author>
  </authors>
  <commentList>
    <comment ref="R1" authorId="0" shapeId="0" xr:uid="{00000000-0006-0000-0A00-000001000000}">
      <text>
        <r>
          <rPr>
            <b/>
            <sz val="9"/>
            <color indexed="81"/>
            <rFont val="Tahoma"/>
            <family val="2"/>
          </rPr>
          <t>Parpal Servole, Jordi:</t>
        </r>
        <r>
          <rPr>
            <sz val="9"/>
            <color indexed="81"/>
            <rFont val="Tahoma"/>
            <family val="2"/>
          </rPr>
          <t xml:space="preserve">
Els Parcs haurien d'optar per suprimir o modificar els objectius operatius que no es consideren obligats per a tots els Parcs (columna I)</t>
        </r>
      </text>
    </comment>
  </commentList>
</comments>
</file>

<file path=xl/sharedStrings.xml><?xml version="1.0" encoding="utf-8"?>
<sst xmlns="http://schemas.openxmlformats.org/spreadsheetml/2006/main" count="9309" uniqueCount="2395">
  <si>
    <t xml:space="preserve">ESQUEMA CONCEPTUAL PER A LA ELABORACIÓ DEL PLA ESTRATÈGIC EN EL MARC </t>
  </si>
  <si>
    <t>DELS ESTÀNDARDS OBERTS PER A LA GESTIÓ ADAPTATIVA A CATALUNYA</t>
  </si>
  <si>
    <t>PESTANYA DE PRIORITZACIÓ</t>
  </si>
  <si>
    <t>Llistat elements:</t>
  </si>
  <si>
    <t>Tasca 1: Revisar el llistat d'elements prioritzats per tal d'avaluar si cal afegir-ne algun o treure'n algun. A la columna comentaris cal argumentar, breument, el perquè de la decisió.</t>
  </si>
  <si>
    <t>Llistat amenaces:</t>
  </si>
  <si>
    <t>Tasca 2: A partir de la taxonomia d'amenaces que es troba a la pestanya final, cal omplir les tres columnes (E, F i G) amb les tres principals amenaces per a la conservació de l'element. S'afegeixi una darrera columna per si hi ha amenaces que no es troben incloses a la taxonomia.</t>
  </si>
  <si>
    <t>PESTANYA DEL PLA</t>
  </si>
  <si>
    <t>Explicacions:</t>
  </si>
  <si>
    <t>7 Eixos temàtics</t>
  </si>
  <si>
    <t>Els objectius generals estan directament associats als objectius generals dels Plans de Protecció del medi naatural i del paisatge. NO ES PODEN RETOCAR</t>
  </si>
  <si>
    <t>Objectius estratègics: definits en un grup de treball intern de serveis Centrals i dels Parcs durant l'any 2023. NO ES PODEN RETOCAR</t>
  </si>
  <si>
    <t>Objectius operacionals: definits en un grup de treball intern de serveis Centrals i dels Parcs durant l'any 2023</t>
  </si>
  <si>
    <t>Tasques a realitzar:</t>
  </si>
  <si>
    <t>Objectius operacionals:</t>
  </si>
  <si>
    <t xml:space="preserve">El llistat d'objectius operacionals té una columna al costa (columna I) on s'indica si l'objectiu és obligatori de mantenir al Pla estratègic o no. </t>
  </si>
  <si>
    <t>Tasca 1: Columna I. Revisar els que es posa com a obligatoris per veure si són realment aplicables a l'espai o no.</t>
  </si>
  <si>
    <t>Tasca 2: Columna I. Revisar els que posa "Opcional" per identificar els que són aplicables o no a l'espai. O, també, determinar si algun d'ells seria aplicable o es pot concretar millor el redactat de l'objectiu.</t>
  </si>
  <si>
    <t xml:space="preserve">Tasca 3: Columna J. En ambdós casos, cal posar a la columna J, el redactat final de l'objectiu concretat a l'espai. En el cas de que l'objectiu s'elimina, posar "NA". Ara es reprodueix el redactat dels objectius operacionals derivats del grup de treball esmentat </t>
  </si>
  <si>
    <t>Tasca 4: Columna K. Per tots els casos en que hi ha modificació respecte al redactat original de l'objectiu operatiu -i, també, en el cas que es consideri que s'ha d'eliminar-, a la columna K cal redactar molt breument el motiu pel qual es prèn la decisió.</t>
  </si>
  <si>
    <t>Tasca 5: Columna L. Incloure un Si/No avaluant si l'objectiu operatiu podria tenir mesures a incorporar a la programació d'actuacions de l'espai (Si) o, per altra banda, el seu assoliment depèn d'altres òrgans, com l'ACA o altres serveis dins la DGPAMN (No).</t>
  </si>
  <si>
    <t>Tasca 6: Columna M. Definir la prioritat que hauria de tenir l'assoliment de l'objectiu (màxima, si cal assolir en els propers 4 anys, o altrament alta, mitja o baixa). També hi ha l'opció de prioritat a assolir a més llarg termini.</t>
  </si>
  <si>
    <t>Propostes genèriques d'accions:</t>
  </si>
  <si>
    <t xml:space="preserve">Tasca 7: Columna N. En aquest columna cal introduir les accions, de manera genèrica, que caldria aplicar a l'espai per tal d'assolir l'objectiu operatiu. No es tracta d'un llistat d'accions concretes si no, més aviat, accions generals que acabarien concretant-se en la programació anual. PER A INICIAR AMB LA TAULA US PODEU BASAR MOLT EN LA FEINA JA FETA DE PRIORITZACIÓ DE MESURES PEL MAP  </t>
  </si>
  <si>
    <t xml:space="preserve">En el cas dels objectius operatius que s'ha considerat que no són aplicables a l'espai, cal avaluar si podrien tenir alguna acció que sí tindria sentit d'incloure al Pla estratègic tot i que l'objectiu de manera global no hi ´seria d'aplicació. </t>
  </si>
  <si>
    <t>Indicadors:</t>
  </si>
  <si>
    <t>Tasca 8: Columna Q. Posar un indicar SMART per avaluar el compliment de la mesura proposada a la columna N</t>
  </si>
  <si>
    <t>Fites a assolir en 4 anys:</t>
  </si>
  <si>
    <t>Tasca 9: Posar un valor de l'indicador a asolir: valor mínim necessari (columna R) o valor desitjable (columna S).</t>
  </si>
  <si>
    <t>Hores de dedicació:</t>
  </si>
  <si>
    <t xml:space="preserve">Tasca 10: Columna T. Realitzar una aproximació el més acurada que es pugui de les hores del personal de gestió de l'espai que cal destinar per a la realització de l'acció. </t>
  </si>
  <si>
    <t>Àrea responsable:</t>
  </si>
  <si>
    <t>Tasca 11: Columna U. Indicar quina àrea de l'equip de gestió és responsable de coordinar l'execució de l'acció.</t>
  </si>
  <si>
    <t>Persona responsable:</t>
  </si>
  <si>
    <t>Tasca 12: Columna V. Indicar quina persona dins l'àrea seria l'encarregada.</t>
  </si>
  <si>
    <t>PESTANYA DEL VINCLE</t>
  </si>
  <si>
    <t>Definir vincle amenaça vs. Obj. Operatiu</t>
  </si>
  <si>
    <t xml:space="preserve">Tasca 1: Establir / Revisar el vincle entre les amenaces identificades a la pestanya de priorització i els objectius operatius definits a la columna J de la pestanya Pla. La columna B conté el llistat dels objectius operatius tal i com quedaran definits després de la vostra revisió. </t>
  </si>
  <si>
    <t xml:space="preserve">Tasca 2: En cas que es pugui, definir l'amenaça / factor / causa concret a la que atén l'objectiu definit al Pla. Poden ser més d'una. </t>
  </si>
  <si>
    <t xml:space="preserve"> És important que es visualitzi a quina amenaça es dirigeix l'objectiu operatiu que es proposa al Pla, tot i que, no sempre hi ha d'haver un vincle clar. Pot haver algun objectiu sense amenaça vinculada.</t>
  </si>
  <si>
    <t>Llistats corresponent a l'espai de Natura 2000 ES5140011 "Sistema Prelitoral meridional"</t>
  </si>
  <si>
    <t>LLISTAT D'ELEMENTS PRESENT A L'ESPAI</t>
  </si>
  <si>
    <t>AMENACES PER A CADA ELEMENT</t>
  </si>
  <si>
    <t>Hàbitats d'interès comunitari</t>
  </si>
  <si>
    <t>Prioritzat</t>
  </si>
  <si>
    <t>Puntuació índex rellevància</t>
  </si>
  <si>
    <t>Comentaris en cas de canvi en la priorització</t>
  </si>
  <si>
    <t>Amenaça 1 segons taxonomia</t>
  </si>
  <si>
    <t>Amenaça 2 segons taxonomia</t>
  </si>
  <si>
    <t>Amenaça 3 segons taxonomia</t>
  </si>
  <si>
    <t>Altres amenaces</t>
  </si>
  <si>
    <t>Observacions</t>
  </si>
  <si>
    <t>HAB</t>
  </si>
  <si>
    <t>9380 - Grevoledes</t>
  </si>
  <si>
    <t>Si</t>
  </si>
  <si>
    <t>Cap canvi</t>
  </si>
  <si>
    <t xml:space="preserve">Treballs forestals </t>
  </si>
  <si>
    <t>Nota: La priorització d'elements actual inclou els Elements Clau que es van determinar en l'instrument de gestió aprovat amb l'Acord de Govern 150/2014 (Annex 6)</t>
  </si>
  <si>
    <t>92D0 - Bosquines i matollars meridionals de rambles, rieres i llocs humits (Nerio-Tamaricetea) </t>
  </si>
  <si>
    <t>Gestió d'hàbitats</t>
  </si>
  <si>
    <t>Aquest Acord era per les Zones Especials de Conservació, no per les ZEPA i, per tant, no es va fer l'exercici de priorització de les aus.</t>
  </si>
  <si>
    <t>6420 - Jonqueres i herbassars graminoides humits, mediterranis, del Molinio-Holoschoenion</t>
  </si>
  <si>
    <t>Ramaderia</t>
  </si>
  <si>
    <t>També inclou el primer quartil de l'exercici de la UIC per prioritzar els elements present a cada espai de Natura 2000, és a dir, el 25% dels</t>
  </si>
  <si>
    <t>9580p - Boscs mediterranis de Taxus baccata (*)</t>
  </si>
  <si>
    <t>Impactes del canvi climàtic relatius a l'alteració del règim de temperatures</t>
  </si>
  <si>
    <t>elements amb major índex de rellevància a l'espai. Veure document metodològic aquí:</t>
  </si>
  <si>
    <t>3170p - Basses i tolls temporers mediterranis</t>
  </si>
  <si>
    <t>Altres tipus de molèsties</t>
  </si>
  <si>
    <t>Impactes del canvi climàtic relatius a l'alteració del règim de precipitació i sequera</t>
  </si>
  <si>
    <t>https://gencat.sharepoint.com/sites/Informaciiconeixementpatrimoninatural2/Documents%20compartits/Forms/AllItems.aspx?csf=1&amp;web=1&amp;e=3x4ZkK&amp;ovuser=3b9427dc%2Dd30e%2D43bc%2D8c06%2Dff7253676fec%2Cjordiparpal%40gencat%2Ecat&amp;OR=Teams%2DHL&amp;CT=1713942253212&amp;clic</t>
  </si>
  <si>
    <t>4090 - Matollars xerocàntics endèmics oromediterranis</t>
  </si>
  <si>
    <t>El llistat original d'elements prové de les taules del MAP que heu estat treballant amb el SENP</t>
  </si>
  <si>
    <t>8210 - Costers rocosos calcaris amb vegetació rupícola</t>
  </si>
  <si>
    <t>Molèsties per activitats recreatives</t>
  </si>
  <si>
    <t>9530p - Pinedes submediterrànies de pinassa (Pinus nigra subsp. salzmannii)</t>
  </si>
  <si>
    <t>Foc</t>
  </si>
  <si>
    <t>3290 - Rius mediterranis intermitents, amb gespes nitròfiles del Paspalo-Agrostidion</t>
  </si>
  <si>
    <t>Gestió de l'aigua</t>
  </si>
  <si>
    <t>8130 - Tarteres de l'Europa meridional amb vegetació poc o molt termòfila</t>
  </si>
  <si>
    <t>8310 - Coves no explotades pel turisme</t>
  </si>
  <si>
    <t>9180p - Boscos de vessants rostos, tarteres o barrancs, del Tilio-Acerion</t>
  </si>
  <si>
    <t>9240 - Rouredes ibèriques de roure valencià (Quercus faginea) i roure africà (Quercus canariensis)</t>
  </si>
  <si>
    <t>6110p - Prats calcàris o basòfils d'Alysso-Sedion albi (*)</t>
  </si>
  <si>
    <t>3250 - Rius mediterranis amb vegetació del Glaucion flavi</t>
  </si>
  <si>
    <t>5210 - Màquies i garrigues amb Juniperus spp. arborescents, no dunars</t>
  </si>
  <si>
    <t>3140 - Aigües oligomesotròfiques calcàries amb vegetació bèntica de Chara spp.</t>
  </si>
  <si>
    <t>Molt escàs, poc conegut, associat a hàbitats aquàtics, afectat pel canvi climàtic</t>
  </si>
  <si>
    <t>6410 - Herbassars de Molinia coerulea en sòls calcaris torbosos o argil·lollimosos (Molinion caeruleae)</t>
  </si>
  <si>
    <t>6510 - Prats de dall de terra baixa i de la muntanya mitjana (Arrhenatherion)</t>
  </si>
  <si>
    <t>Escàs, poc conegut, afectat pel canvi climàtic</t>
  </si>
  <si>
    <t>Desaparició d'activitats tradicionals</t>
  </si>
  <si>
    <t>Espècies desestabilitzades</t>
  </si>
  <si>
    <t>7210p - Aiguamolls calcaris amb mansega (Cladium mariscus)</t>
  </si>
  <si>
    <t>HIC prioritari, escàs al PNP, afectat pel canvi climàtic (disminució cabals fluvials)</t>
  </si>
  <si>
    <t>1520p - Vegetació gipsícola ibèrica (Gypsophiletalia)</t>
  </si>
  <si>
    <t>HIC prioritari, escàs al PNP, poc conegut</t>
  </si>
  <si>
    <t>Activitat agrícola</t>
  </si>
  <si>
    <t>6210 - Prats -i fàcies emmatades- medioeuropeus, seminaturals, sobre substrat calcari (Festuco-Brometea)</t>
  </si>
  <si>
    <t>6220p - Prats mediterranis rics en anuals, basòfils (Thero-Brachypodietalia)</t>
  </si>
  <si>
    <t>HIC prioritari</t>
  </si>
  <si>
    <t>6430 - Herbassars higròfils, tant de marges i vorades com de l'alta muntanya</t>
  </si>
  <si>
    <t>9150 - Fagedes calcícoles xerotermòfiles</t>
  </si>
  <si>
    <t>Escàs, afectat pel canvi climàtic, molt representatiu del PNP</t>
  </si>
  <si>
    <t>92A0 - Alberedes, salzedes i altres boscos de ribera</t>
  </si>
  <si>
    <t>Escàs, afectat pel canvi climàtic, pressió de l'entorn agrícola</t>
  </si>
  <si>
    <t>5330 - Matollars termomediterranis i predesèrtics </t>
  </si>
  <si>
    <t>No</t>
  </si>
  <si>
    <t>HIC molt extens, sense grans problemes de conservació</t>
  </si>
  <si>
    <t>9340 - Alzinars i carrascars</t>
  </si>
  <si>
    <t>9540 - Pinedes mediterrànies </t>
  </si>
  <si>
    <t>5130 - Formacions de Juniperus communis colonitzadores de landes o de pastures calcícoles </t>
  </si>
  <si>
    <t>HIC poc extens, però sense grans problemes de conservació</t>
  </si>
  <si>
    <t>5110 - Boixedes xerotermòfiles permanents, dels vessants rocosos</t>
  </si>
  <si>
    <t>Espècies invasores</t>
  </si>
  <si>
    <t>GRUP</t>
  </si>
  <si>
    <t>Espècies presents a l'espai</t>
  </si>
  <si>
    <t>AU</t>
  </si>
  <si>
    <t>Oenanthe leucura</t>
  </si>
  <si>
    <t>Aquila fasciata</t>
  </si>
  <si>
    <t>Conduccions</t>
  </si>
  <si>
    <t>Producció d'energia renovable</t>
  </si>
  <si>
    <t>1 i 2 fora de l'espai natural</t>
  </si>
  <si>
    <t>Anthus campestris</t>
  </si>
  <si>
    <t>Aegypius monachus</t>
  </si>
  <si>
    <t>Projecte de reintroducció al PNP, no inclosa encara al FND, però amb proposta i justificació enviada</t>
  </si>
  <si>
    <t>Gypaetus barbatus</t>
  </si>
  <si>
    <t>Projecte de reintroducció al PN Benifassà, no inclosa encara al FND. El PNP (i la Generalitat) hi col·labora amb un punt d'alimentació suplementària, però amb proposta i justificació enviada</t>
  </si>
  <si>
    <t>1 fora de l'espai natural</t>
  </si>
  <si>
    <t>Neophron percnopterus</t>
  </si>
  <si>
    <t>VU. Espècie amb poques parelles i de gran interès ecosistèmic</t>
  </si>
  <si>
    <t>Galerida theklae</t>
  </si>
  <si>
    <t>Espècie amb poques parelles al PNP, indicadora d'espais oberts mediterranis. Està FND.</t>
  </si>
  <si>
    <t>Lanius excubitor meridionalis</t>
  </si>
  <si>
    <t>EN, indicadora d'espais oberts. Està al FND</t>
  </si>
  <si>
    <t>Pyrrhocorax pyrrhocorax</t>
  </si>
  <si>
    <t>Espècie amb poques parelles al PNP.  Està al FND, possiblement en regressió i afectats per antiparasitaris.</t>
  </si>
  <si>
    <t>Cinclus cinclus aquaticus</t>
  </si>
  <si>
    <t>Subespècie ibèrica, mediterrània. EN a Catalunya (només a Montants i Ports). Hàbitats aquàtics</t>
  </si>
  <si>
    <t>Polució aquàtica</t>
  </si>
  <si>
    <t>Circaetus gallicus</t>
  </si>
  <si>
    <t>Actuacions enfocades a la divulgació de l'espècie, gran interès per l'estudi d'ofidis</t>
  </si>
  <si>
    <t>Hieraaetus pennatus</t>
  </si>
  <si>
    <t>Indicadora d'hàbitats forestals en bon estat</t>
  </si>
  <si>
    <t>Sylvia undata</t>
  </si>
  <si>
    <t>Espècie relativament abundant, no inclosa al Catàleg, sense grans problemes de conservació</t>
  </si>
  <si>
    <t>Oenanthe hispanica</t>
  </si>
  <si>
    <t>VU, dins de PNP fora de l'òptim de l'espècie, amb poc hàbitat favorable</t>
  </si>
  <si>
    <t>Bubo bubo</t>
  </si>
  <si>
    <t>Caprimulgus ruficollis</t>
  </si>
  <si>
    <t>Lullula arborea</t>
  </si>
  <si>
    <t>Espècie relativament abundant, no inclosa al Catàleg sense grans problemes de conservació</t>
  </si>
  <si>
    <t>Alectoris rufa</t>
  </si>
  <si>
    <t>Espècie no inclosa al Catàleg, sense grans problemes de conservació</t>
  </si>
  <si>
    <t>Lanius senator</t>
  </si>
  <si>
    <t>Linaria cannabina</t>
  </si>
  <si>
    <t>Athene noctua</t>
  </si>
  <si>
    <t>VU, dins de PNP fora de l'òptim de l'espècies, amb poc hàbitat favorable</t>
  </si>
  <si>
    <t>Muscicapa striata</t>
  </si>
  <si>
    <t>Saxicola torquatus</t>
  </si>
  <si>
    <t>Calandrella brachydactyla</t>
  </si>
  <si>
    <t>NA</t>
  </si>
  <si>
    <t>Fulica atra</t>
  </si>
  <si>
    <t>Vanellus vanellus</t>
  </si>
  <si>
    <t>Emberiza hortulana</t>
  </si>
  <si>
    <t>Accipiter gentilis gentilis</t>
  </si>
  <si>
    <t>Actitis hypoleucos</t>
  </si>
  <si>
    <t>Alcedo atthis</t>
  </si>
  <si>
    <t>Aquila chrysaetos</t>
  </si>
  <si>
    <t>Caprimulgus europaeus</t>
  </si>
  <si>
    <t>Circus cyaneus</t>
  </si>
  <si>
    <t>Falco peregrinus</t>
  </si>
  <si>
    <t>Gyps fulvus</t>
  </si>
  <si>
    <t>Scolopax rusticola</t>
  </si>
  <si>
    <t>Caça i recol·lecció d'animals</t>
  </si>
  <si>
    <t>Anas platyrhynchos</t>
  </si>
  <si>
    <t>Certhia brachydactyla all others</t>
  </si>
  <si>
    <t>Columba oenas</t>
  </si>
  <si>
    <t>Columba palumbus palumbus</t>
  </si>
  <si>
    <t>Falco columbarius</t>
  </si>
  <si>
    <t>Falco tinnunculus</t>
  </si>
  <si>
    <t>Fringilla coelebs all others</t>
  </si>
  <si>
    <t>Galerida cristata</t>
  </si>
  <si>
    <t>Gallinula chloropus</t>
  </si>
  <si>
    <t>Jynx torquilla</t>
  </si>
  <si>
    <t>Larus ridibundus</t>
  </si>
  <si>
    <t>Merops apiaster</t>
  </si>
  <si>
    <t>Milvus migrans</t>
  </si>
  <si>
    <t>Otus scops</t>
  </si>
  <si>
    <t>Periparus ater all others</t>
  </si>
  <si>
    <t>Pernis apivorus</t>
  </si>
  <si>
    <t>Phalacrocorax carbo sinensis</t>
  </si>
  <si>
    <t>Rallus aquaticus</t>
  </si>
  <si>
    <t>Impactes del canvi climàtic en sistemes físics i químics</t>
  </si>
  <si>
    <t>Streptopelia turtur</t>
  </si>
  <si>
    <t>Sylvia cantillans</t>
  </si>
  <si>
    <t>Troglodytes troglodytes all others</t>
  </si>
  <si>
    <t>Upupa epops</t>
  </si>
  <si>
    <t>FLOR</t>
  </si>
  <si>
    <t>Atropa baetica</t>
  </si>
  <si>
    <t>Recol·lecció de vegetals</t>
  </si>
  <si>
    <t>Marcada feblesa demogràfica; grau d'isolament de la població; nul reclutament.</t>
  </si>
  <si>
    <t>Spiranthes aestivalis</t>
  </si>
  <si>
    <t>Marcada feblesa demogràfica i àrea d'ocupació especialment reduïda (majoria poblacions)</t>
  </si>
  <si>
    <t>Aquilegia paui</t>
  </si>
  <si>
    <t>Pertorbacions d'origen geològic</t>
  </si>
  <si>
    <t>Impactes del canvi climàtic relatius a l'alteració dels règims de temperatura i precipitació; marcada feblesa demogràfica en la major part de nuclis poblacionals; depressió genètica per endogàmia; hibridació amb A. vulgaris (puntual).</t>
  </si>
  <si>
    <t>Nepeta tuberosa</t>
  </si>
  <si>
    <t>Marcada feblesa demogràfica; àrea d'ocupació especialment reduïda; grau d'isolament de la població; escàs reclutament.</t>
  </si>
  <si>
    <t>Orchis cazorlensis</t>
  </si>
  <si>
    <t>Marcada feblesa demogràfica; àrea d'ocupació especialment reduïda; grau d'isolament de la població; nul reclutament.</t>
  </si>
  <si>
    <t>Asplenium sagittatum</t>
  </si>
  <si>
    <t>EN, escasses localitats, escassos individus</t>
  </si>
  <si>
    <t>Jasione crispa s.l.</t>
  </si>
  <si>
    <t>Impactes del canvi climàtic relatius a l'alteració dels règims de temperatura i precipitació; marcada feblesa demogràfica; àrea d'ocupació especialment reduïda; grau d'isolament de la població; escàs/nul reclutament.</t>
  </si>
  <si>
    <t>Lepidium hirtum subsp. calycotrichum</t>
  </si>
  <si>
    <t>Berberis garciae</t>
  </si>
  <si>
    <t>VU, dos poblacions amb pocs individus</t>
  </si>
  <si>
    <t>Marcada feblesa demogràfica; àrea d'ocupació especialment reduïda; grau d'isolament de les poblacions; nul-escàs reclutament.</t>
  </si>
  <si>
    <t>Dryopteris mindshelkensis</t>
  </si>
  <si>
    <t>VU, 4 poblacions</t>
  </si>
  <si>
    <t>Marcada feblesa demogràfica; àrea d'ocupació especialment reduïda; grau d'isolament de les poblacions.</t>
  </si>
  <si>
    <t>Epipactis leptochila</t>
  </si>
  <si>
    <t>VU, pocs exemplars, afectats canvi climàtic</t>
  </si>
  <si>
    <t>Vials de transport</t>
  </si>
  <si>
    <t>Espècies desestabilitzades; pertorbacions d'origen geològic; impactes del canvi climàtic relatius a l'alteració dels règims de temperatura i precipitació; marcada feblesa demogràfica dels nuclis poblacionals; àrea d'ocupació especialment reduïda; grau d'isolament de les poblacions; nul-escàs reclutament.</t>
  </si>
  <si>
    <t>Ophioglossum azoricum</t>
  </si>
  <si>
    <t>VU, associat a ambients aquàtics, poques localitats</t>
  </si>
  <si>
    <t>Àrea d'ocupació especialment reduïda; grau d'isolament de la població.</t>
  </si>
  <si>
    <t>Pinguicula dertosensis</t>
  </si>
  <si>
    <t>VU, associat a ambients aquàtics, gairebé endemisme</t>
  </si>
  <si>
    <t>Àrea d'ocupació especialment reduïda</t>
  </si>
  <si>
    <t>Prunus prostrata</t>
  </si>
  <si>
    <t>VU, nuclis poblacions escassos coneguts, escassos exemplars, gairebé única localitat. Poc coneixement</t>
  </si>
  <si>
    <t>Sideritis royoi</t>
  </si>
  <si>
    <t>Descripció recent, endèmica PN. Cal augmentar coneixement</t>
  </si>
  <si>
    <t>HERP</t>
  </si>
  <si>
    <t>Chalcides bedriagai</t>
  </si>
  <si>
    <t>Alytes obstetricans</t>
  </si>
  <si>
    <t>Plagues i patògens</t>
  </si>
  <si>
    <t>Hemorrhois hippocrepis</t>
  </si>
  <si>
    <t>No especificada</t>
  </si>
  <si>
    <t>Testudo hermanni</t>
  </si>
  <si>
    <t>EN. Projecte de reintroducció local. No inclosa encara al FND, però amb proposta i justificació enviada</t>
  </si>
  <si>
    <t>Vipera latastei</t>
  </si>
  <si>
    <t>VU. Població més important de Catalunya</t>
  </si>
  <si>
    <t>Pleurodeles waltl</t>
  </si>
  <si>
    <t>VU. Indicador estat de zones humides</t>
  </si>
  <si>
    <t>Mauremys leprosa</t>
  </si>
  <si>
    <t>Emys orbicularis</t>
  </si>
  <si>
    <t>INV</t>
  </si>
  <si>
    <t>Macromia splendens</t>
  </si>
  <si>
    <t>Gomphus graslinii</t>
  </si>
  <si>
    <t>Austropotamobius pallipes</t>
  </si>
  <si>
    <t>Saga pedo</t>
  </si>
  <si>
    <t>Oxygastra curtisii</t>
  </si>
  <si>
    <t>Petaloptila venosa</t>
  </si>
  <si>
    <t>Pycnogaster sanchezgomezi</t>
  </si>
  <si>
    <t>Coenagrion mercuriale</t>
  </si>
  <si>
    <t>Dir. Hab., hàbitats aquàtics</t>
  </si>
  <si>
    <t>Euphydryas aurinia</t>
  </si>
  <si>
    <t>Dir. Hab., indicadora espais oberts</t>
  </si>
  <si>
    <t>Iolana debilitata</t>
  </si>
  <si>
    <t>VU, descobert recentment, espais oberts, específic de Colutea</t>
  </si>
  <si>
    <t>Erebia epistygne</t>
  </si>
  <si>
    <t>EN</t>
  </si>
  <si>
    <t>Moitessieria barrinae</t>
  </si>
  <si>
    <t>EN. Endèmica</t>
  </si>
  <si>
    <t>Euplagia quadripunctaria</t>
  </si>
  <si>
    <t>Dir.Hab.</t>
  </si>
  <si>
    <t>Zygaena ignifera</t>
  </si>
  <si>
    <t>Molt amenaçada, només coneguda a PNP</t>
  </si>
  <si>
    <t>Vertigo angustior</t>
  </si>
  <si>
    <t>Cap canvi (presència per confirmar. Caldria estudi de detall)</t>
  </si>
  <si>
    <t>Margaritifera auricularia</t>
  </si>
  <si>
    <t>Graellsia isabellae</t>
  </si>
  <si>
    <t>No catalogada. No prioritària</t>
  </si>
  <si>
    <t>Cerambyx cerdo</t>
  </si>
  <si>
    <t>MAM</t>
  </si>
  <si>
    <t>Arvicola sapidus</t>
  </si>
  <si>
    <t>EN. Indicador estat de zones humides</t>
  </si>
  <si>
    <t>Plecotus auritus</t>
  </si>
  <si>
    <t>Barbastella barbastellus</t>
  </si>
  <si>
    <t>Miniopterus schreibersii</t>
  </si>
  <si>
    <t>Myotis emarginatus</t>
  </si>
  <si>
    <t>Urbanització residencial</t>
  </si>
  <si>
    <t>Rhinolophus ferrumequinum</t>
  </si>
  <si>
    <t>Mustela nivalis</t>
  </si>
  <si>
    <t>Myotis blythii</t>
  </si>
  <si>
    <t>Myotis myotis</t>
  </si>
  <si>
    <t>Rhinolophus hipposideros</t>
  </si>
  <si>
    <t>Rhinolophus mehelyi</t>
  </si>
  <si>
    <t>Myotis capaccinii</t>
  </si>
  <si>
    <t>Rhinolophus euryale</t>
  </si>
  <si>
    <t>Lutra lutra</t>
  </si>
  <si>
    <t>PEIX</t>
  </si>
  <si>
    <t>Achondrostoma arcasii</t>
  </si>
  <si>
    <t>Parachondrostoma miegii</t>
  </si>
  <si>
    <t>Cobitis paludica</t>
  </si>
  <si>
    <t>Etiquetes de fila</t>
  </si>
  <si>
    <t>Recompte de Propostes d'accions del Programa d'actuacions 2026</t>
  </si>
  <si>
    <t>Recompte de Propostes d'accions pel període 2027-2029</t>
  </si>
  <si>
    <t>Recompte de Propostes d'accions pel proper Pla estratègic 2030-34</t>
  </si>
  <si>
    <t xml:space="preserve"> CULTURA</t>
  </si>
  <si>
    <t xml:space="preserve">CONEIXEMENT </t>
  </si>
  <si>
    <t xml:space="preserve">DESENVOLUPAMENT LOCAL </t>
  </si>
  <si>
    <t xml:space="preserve">EDUCACIÓ, VOLUNTARIAT I COMUNICACIÓ </t>
  </si>
  <si>
    <t>GESTIÓ I ADMINISTRACIÓ</t>
  </si>
  <si>
    <t>NATURA</t>
  </si>
  <si>
    <t>ÚS PÚBLIC I SOCIAL</t>
  </si>
  <si>
    <t>Total general</t>
  </si>
  <si>
    <t>MODEL DE PLA ESTRATÈGIC PELS ENP</t>
  </si>
  <si>
    <t>SFF</t>
  </si>
  <si>
    <t>Espai natural protegit:</t>
  </si>
  <si>
    <t>PN Els Ports</t>
  </si>
  <si>
    <t>Fita a assolir en 4 anys</t>
  </si>
  <si>
    <t>Gestió interna</t>
  </si>
  <si>
    <t>EIXOS</t>
  </si>
  <si>
    <t>N1</t>
  </si>
  <si>
    <t>OBJECTIUS Generals (PP)</t>
  </si>
  <si>
    <t>N2</t>
  </si>
  <si>
    <t>OBJECTIUS Estratègics</t>
  </si>
  <si>
    <t>N3</t>
  </si>
  <si>
    <t>OBJECTIUS operatius / Línia estratègica</t>
  </si>
  <si>
    <t>Comú / Específic</t>
  </si>
  <si>
    <t>Obligatori / Optatiu</t>
  </si>
  <si>
    <t>Objectiu operatiu concret a l'espai</t>
  </si>
  <si>
    <t>Explicació de la decisió presa en el cas de canvis respecte al llistat inicial (columna G)</t>
  </si>
  <si>
    <t>Objectiu amb mesures incorporables a la planificació anual de la gestió de l'espai?</t>
  </si>
  <si>
    <t>Prioritat</t>
  </si>
  <si>
    <t>Propostes d'accions del Programa d'actuacions 2026</t>
  </si>
  <si>
    <t>Propostes d'accions pel període 2027-2029</t>
  </si>
  <si>
    <t>Propostes d'accions pel proper Pla estratègic 2030-34</t>
  </si>
  <si>
    <t>Proposta d'accions Pla estratègic</t>
  </si>
  <si>
    <t>Marc de referència</t>
  </si>
  <si>
    <t>Resultats derivats</t>
  </si>
  <si>
    <t>indicadors</t>
  </si>
  <si>
    <t>Mínima</t>
  </si>
  <si>
    <t>Màxim (Desitjable)</t>
  </si>
  <si>
    <t>Hores de dedicació</t>
  </si>
  <si>
    <t>Àrea responsable</t>
  </si>
  <si>
    <t>Persona responsable</t>
  </si>
  <si>
    <t>Aplicable 2025-2029</t>
  </si>
  <si>
    <t>CONSERVAR LA NATURA i restaurar els ecosistemes, els processos naturals i seminaturals, la biodiversitat i la geodiversitat associada.</t>
  </si>
  <si>
    <t>01.1</t>
  </si>
  <si>
    <t>Adequar i fer eficient la conservació dels elements objecte de gestió prioritària marcats per la DG a l'ENP</t>
  </si>
  <si>
    <t>01.1.1</t>
  </si>
  <si>
    <t>Implementar i executar plans de gestió específics per a hàbitats i espècies de conservació prioritària dins l'ENP</t>
  </si>
  <si>
    <t>Comú</t>
  </si>
  <si>
    <t xml:space="preserve">Obligatori </t>
  </si>
  <si>
    <t>Elaborar plans de gestió específics per a hàbitats i espècies de conservació prioritària dins de l'ENP</t>
  </si>
  <si>
    <t>Primer, caldria elaborar aquests plans, ja que no existeixen</t>
  </si>
  <si>
    <t>ALTA</t>
  </si>
  <si>
    <t>Participar en les reunions del GT de Conservació per a coordinar les actuacions de conservació i de seguiment dels elements de biodiversitat</t>
  </si>
  <si>
    <t>*Participar en les reunions del GT de Conservació per a coordinar les actuacions de conservació i de seguiment dels elements de biodiversitat
*Participar en l'elaboració dels Plans de recuperació o de Conservació de les espècies amenaçades presents al PNP</t>
  </si>
  <si>
    <t>MAP</t>
  </si>
  <si>
    <t>SFF: Elaboració de plans de gestió específics per a espècies de conservació prioritària i directrius de gestió d'hàbitats.
SFF/SENP: Definir a nivell de cluster quins son els que es poden elaborar conjuntament.</t>
  </si>
  <si>
    <t>1) Nombre de plans de gestió específics per a elements prioritaris redactats i implementats.
2) Nombre de Plans de recuperació en els que s'ha participat</t>
  </si>
  <si>
    <t xml:space="preserve">1) 1
2) 1
</t>
  </si>
  <si>
    <t xml:space="preserve">1) 3
2) 4
</t>
  </si>
  <si>
    <t>APR</t>
  </si>
  <si>
    <t>JMQ</t>
  </si>
  <si>
    <t>Participar en l'elaboració dels Plans de recuperació o de Conservació de les espècies amenaçades presents al PNP</t>
  </si>
  <si>
    <t/>
  </si>
  <si>
    <t>JMQ/MAC</t>
  </si>
  <si>
    <t>01.1.2</t>
  </si>
  <si>
    <t>Adaptar i executar plans de gestió específics per a elements geològics de conservació prioritària dins l'ENP</t>
  </si>
  <si>
    <t>Elaborar i executar plans de gestió específics per a elements geològics de conservació prioritària dins l'ENP</t>
  </si>
  <si>
    <t>MITJANA</t>
  </si>
  <si>
    <t>Participar en les reunions del GT de Geoconservació per a coordinar les actuacions de conservació i de seguiment dels elements geològics de conservació prioritària protegida</t>
  </si>
  <si>
    <t>*Participar en les reunions del GT de Geoconservació per a coordinar les actuacions de conservació i de seguiment dels elements geològics de conservació prioritària protegida
*Introduir mesures de gestió preventiva en informes per evitar impactes significatius en els valors geològics</t>
  </si>
  <si>
    <t>Nombre d'actuacions de manteniment i conservació d'elements geològics prioritaris executades.</t>
  </si>
  <si>
    <t>Introduir mesures de gestió preventiva en informes per evitar impactes significatius en els valors geològics</t>
  </si>
  <si>
    <t>01.2</t>
  </si>
  <si>
    <t>Executar les mesures de gestió directa previstes en els intruments de planificació per la conservació i la gestió adaptativa dels elements clau de l'ENP</t>
  </si>
  <si>
    <t>01.2.1</t>
  </si>
  <si>
    <t>Implementar la metodologia de gestió adaptativa (Estàndards Oberts de Gestió Adaptativa a Catalunya) en tots els processos de l'ENP</t>
  </si>
  <si>
    <t>Obligatori</t>
  </si>
  <si>
    <t>MÀXIMA</t>
  </si>
  <si>
    <t>*Implementar la metodologia de gestió adaptativa (Estàndards Oberts de Gestió Adaptativa a Catalunya) en tots els processos de l'ENP</t>
  </si>
  <si>
    <t>ESNATURA</t>
  </si>
  <si>
    <t>SENP: Elaboració d'un manual per la implementació dels OSAM</t>
  </si>
  <si>
    <t>Creació del sistema de seguiment</t>
  </si>
  <si>
    <t>01.2.2</t>
  </si>
  <si>
    <t>Executar les mesures previstes en els plans de conservació o recuperació d'espècies amenaçades de forma coordinada amb el Servei de Flora i Fauna en l'àmbit de l'ENP</t>
  </si>
  <si>
    <t>També participar en l'elaboració dels plans. Servei de Fauna i Flora</t>
  </si>
  <si>
    <t>Projecte de reintroducció del trencalòs Gypaetus barbatus: Alimentació aus amenaçades</t>
  </si>
  <si>
    <t>*Col·laboració en el Projecte de reintroducció del trencalòs Gypaetus barbatus al PN de la Tinença de Benifassà
*Projecte de reintroducció del voltor negre al PN Ports
*Projecte de reintroducció de la tortuga mediterrània al PN Ports
*Recuperació dels arbres catalogats com a monumentals
*Actuacions de millora d'hàbitat i reforçaments poblacionals d'espècies de flora amenaçada
Introduir mesures de gestió preventiva en informes i autoritzacions per evitar impactes significatius en espècies protegides i/o amenaçades i hàbitats d'interès prioritari</t>
  </si>
  <si>
    <t>MAP
Catàlegs</t>
  </si>
  <si>
    <t>SFF: Elaboració de plans de conservació o recuperació d'espècies protegides</t>
  </si>
  <si>
    <t>1) Nombre d'aportacions anuals als canyets de trencalòs
2) Nombre d'exemplars de voltor negre alliberats
3) Nombre d'exemplars de tortuga mediterrània alliberats
4) Nombre d'actuacions de millora de l'hàbitat sobre flora amenaçada</t>
  </si>
  <si>
    <t>1) 90
2) 5
3) 600
4) 4</t>
  </si>
  <si>
    <t>1) 100
2) 10
3) 800
4) 8</t>
  </si>
  <si>
    <t>També participar en l'elaboració dels plans. Servei de Fauna i Flora és el nom correcte</t>
  </si>
  <si>
    <r>
      <t xml:space="preserve">Projecte de reintroducció del trencalòs: Col·laboració en el projecte de reintroducció del trencalòs </t>
    </r>
    <r>
      <rPr>
        <i/>
        <sz val="11"/>
        <color theme="1"/>
        <rFont val="Calibri"/>
        <family val="2"/>
        <scheme val="minor"/>
      </rPr>
      <t>Gypaetus barbatus</t>
    </r>
    <r>
      <rPr>
        <sz val="11"/>
        <color theme="1"/>
        <rFont val="Calibri"/>
        <family val="2"/>
        <scheme val="minor"/>
      </rPr>
      <t xml:space="preserve"> al PN de la Tinença de Benifassà (reunions, participació en els alliberaments, seguiment a PNP...)</t>
    </r>
  </si>
  <si>
    <t xml:space="preserve">Projecte de reintroducció del voltor negre al PN Ports: assistència tècnica </t>
  </si>
  <si>
    <r>
      <t xml:space="preserve">Projecte de reintroducció del voltor negre al PN Ports: Coordinació i seguiment  del projecte de reintroducció local del voltor negre </t>
    </r>
    <r>
      <rPr>
        <i/>
        <sz val="11"/>
        <color theme="1"/>
        <rFont val="Calibri"/>
        <family val="2"/>
        <scheme val="minor"/>
      </rPr>
      <t>Aegypius monachus</t>
    </r>
  </si>
  <si>
    <t xml:space="preserve">Projecte de reintroducció de la tortuga mediterrània al PN Ports: Coordinació i seguiment  del projecte de reintroducció local </t>
  </si>
  <si>
    <r>
      <t xml:space="preserve">Projecte de reintroducció de la tortuga mediterrània al PN Ports: Alliberaments d'exemplars de tortuga mediterrània </t>
    </r>
    <r>
      <rPr>
        <i/>
        <sz val="11"/>
        <color theme="1"/>
        <rFont val="Calibri"/>
        <family val="2"/>
        <scheme val="minor"/>
      </rPr>
      <t>Testudo hermanni</t>
    </r>
  </si>
  <si>
    <t>Participar, juntament amb Forestal Catalana, en la conservació i, si escau, la recuperació dels arbres catalogats com a monumentals</t>
  </si>
  <si>
    <t>MAC</t>
  </si>
  <si>
    <t>Actuacions de millora d'hàbitat i reforçaments poblacionals d'espècies de flora amenaçada: Atropa baetica i Nepeta tuberosa</t>
  </si>
  <si>
    <t>Introduir mesures de gestió preventiva en informes i autoritzacions per evitar impactes significatius en espècies protegides i/o amenaçades i hàbitats d'interès prioritari</t>
  </si>
  <si>
    <t>JMQ/JSB/MAC</t>
  </si>
  <si>
    <t>01.2.3</t>
  </si>
  <si>
    <t>Executar les mesures de gestió previstes en els plans de control i erradicació d'espècies exòtiques de forma coordinada amb el Servei de Flora i Fauna en l'àmbit de l'ENP</t>
  </si>
  <si>
    <t>Participar en l'elaboració dels plans de control i erradicació d'espècies exòtiques de forma coordinada amb el Servei de Fauna i Flora en l'àmbit de l'ENP i executar les actuacions</t>
  </si>
  <si>
    <t>Erradicació de la carpa i carpí al PN Ports</t>
  </si>
  <si>
    <t>*Erradicació de la carpa i carpí al PN Ports
*Actuacions de control d'espècies de flora exòtica (ailant Ailanthus altissima, etc.)
*Actuacions de control de la vespa asiàtica Vespa velutina</t>
  </si>
  <si>
    <t>ESNATURA
MAP</t>
  </si>
  <si>
    <t>SFF: Elaboració de plans de control i erradicació d'espècies exòtiques</t>
  </si>
  <si>
    <t>Nombre d'actuacions efectuades</t>
  </si>
  <si>
    <r>
      <t xml:space="preserve">Actuacions de control d'espècies de flora exòtica (ailant </t>
    </r>
    <r>
      <rPr>
        <i/>
        <sz val="11"/>
        <color theme="1"/>
        <rFont val="Calibri"/>
        <family val="2"/>
        <scheme val="minor"/>
      </rPr>
      <t>Ailanthus altissima</t>
    </r>
    <r>
      <rPr>
        <sz val="11"/>
        <color theme="1"/>
        <rFont val="Calibri"/>
        <family val="2"/>
        <scheme val="minor"/>
      </rPr>
      <t>, etc.</t>
    </r>
    <r>
      <rPr>
        <i/>
        <sz val="11"/>
        <color theme="1"/>
        <rFont val="Calibri"/>
        <family val="2"/>
        <scheme val="minor"/>
      </rPr>
      <t>)</t>
    </r>
  </si>
  <si>
    <r>
      <t xml:space="preserve">Actuacions de control de la vespa asiàtica </t>
    </r>
    <r>
      <rPr>
        <i/>
        <sz val="11"/>
        <color theme="1"/>
        <rFont val="Calibri"/>
        <family val="2"/>
        <scheme val="minor"/>
      </rPr>
      <t>Vespa velutina</t>
    </r>
  </si>
  <si>
    <t>01.2.4</t>
  </si>
  <si>
    <t xml:space="preserve">Desplegar els objectius i tasques recollits en els instruments de referència i compromisos internacionals  </t>
  </si>
  <si>
    <t>Específic</t>
  </si>
  <si>
    <t xml:space="preserve">Optatiu </t>
  </si>
  <si>
    <t>De moment, només Reserva Biosfera, però la gestió global està delegada en un altre organisme (COPATE) amb poca activitat en temes de conservació</t>
  </si>
  <si>
    <t xml:space="preserve">Participar en la revisió del Pla d'acció de la Reserva de la Biosfera de Terres de l'Ebre i portar a terme les actuacions previstes  </t>
  </si>
  <si>
    <t xml:space="preserve">*Participar en la revisió del Pla d'acció de la Reserva de la Biosfera de Terres de l'Ebre i portar a terme les actuacions previstes  </t>
  </si>
  <si>
    <t>Nombre de reunions efectuades</t>
  </si>
  <si>
    <t>01.3</t>
  </si>
  <si>
    <t>Crear ecosistemes complexes, resilients, i d'alta biodiversitat per garantir la recuperació dels processos ecosistèmics</t>
  </si>
  <si>
    <t>01.3.1</t>
  </si>
  <si>
    <t>Identificar espais pel foment de la dinàmica natural i l'aprofitament no extractiu</t>
  </si>
  <si>
    <t>Identificar i promoure espais per al foment de la dinàmica natural i l'aprofitament no extractiu</t>
  </si>
  <si>
    <t>S'afegeix la promoció</t>
  </si>
  <si>
    <t>Promoure la participació del PNP en la redacció projecte Life RESTADAPT per a promoure la dinàmica natural en hàbitats forestals</t>
  </si>
  <si>
    <t>*Promoure la participació del PNP en la redacció projecte Life RESTADAPT per a promoure la dinàmica natural en hàbitats forestals</t>
  </si>
  <si>
    <t>SENP/SFF: Definir criteris metodològics</t>
  </si>
  <si>
    <t>Participació, com a soci, en el projecte</t>
  </si>
  <si>
    <t>AGH</t>
  </si>
  <si>
    <t>JSB</t>
  </si>
  <si>
    <t>01.3.2</t>
  </si>
  <si>
    <t>Afavorir la maduresa dels sistemes forestals</t>
  </si>
  <si>
    <t>Solapament. Veure mesures del 01.3.5</t>
  </si>
  <si>
    <t>Desplegar algunes actuacions planificades en els instruments d'ordenació forestals, elaborats durant el Life RedBosques_Clima, mitjançant la brigada del Parc, per afavorir la maduresa en sistemes forestals</t>
  </si>
  <si>
    <t>*Desplegar algunes actuacions planificades en els instruments d'ordenació forestals, elaborats durant el Life RedBosques_Clima, mitjançant la brigada del Parc, per afavorir la maduresa en sistemes forestals
*Treballar amb la DG un model de mesures de gestió preventiva per fomentar els boscos madurs</t>
  </si>
  <si>
    <t>01.3.3</t>
  </si>
  <si>
    <t>Generar pertorbacions controlades</t>
  </si>
  <si>
    <t>Planificar i executar pertorbacions controlades</t>
  </si>
  <si>
    <t>S'afegeix la planificació</t>
  </si>
  <si>
    <t>01.3.4</t>
  </si>
  <si>
    <t xml:space="preserve">Restaurar la dinàmica natural dels rius </t>
  </si>
  <si>
    <t xml:space="preserve">Planificar i restaurar la dinàmica natural dels rius </t>
  </si>
  <si>
    <t>Eliminació de restes del dic al barranc de la Fou</t>
  </si>
  <si>
    <t>*Eliminació de restes del dic al barranc de la Fou
*Estudi de viabilitat per a l'eliminació de la trampa de sediments al barranc de la Galera
*Avaluació de l'estat de conservació del barranc de la Conca i les sèquies, i planificar pla d'acció (neteja, manteniment...)</t>
  </si>
  <si>
    <t>Avaluació de l'estat de conservació del barranc de la Conca i les sèquies, i planificar pla d'acció (neteja, manteniment...)</t>
  </si>
  <si>
    <t>Estudi de viabilitat per a l'eliminació de la trampa de sediments al barranc de la Galera</t>
  </si>
  <si>
    <t>01.3.5</t>
  </si>
  <si>
    <t>Fomentar el paisatge en mosaïc</t>
  </si>
  <si>
    <t>Fomentar el paisatge en mosaic</t>
  </si>
  <si>
    <t>Possible solapament amb altres objectius operatius (foc, maduresa, pastures...)</t>
  </si>
  <si>
    <t>Participació en el programa Paisatges Resilients (Estratègia de la Bioeconomia de Catalunya 2030): Creació i manteniment de zones obertes per a la conservació de la biodiversitat (hàbitats i espècies)</t>
  </si>
  <si>
    <t>*Participació en el programa Paisatges Resilients (Estratègia de la Bioeconomia de Catalunya 2030): Creació i manteniment de zones obertes per a la conservació de la biodiversitat (hàbitats i espècies)
*Creació d’un mapa d'espais oberts amb els actors del territori d'acord amb la cartografia de les Àrees prioritàries per a biodiversitat d'espais oberts naturals i semi-naturals</t>
  </si>
  <si>
    <t>Superfície actuada (ha)</t>
  </si>
  <si>
    <t>JSB/ACM</t>
  </si>
  <si>
    <t>01.3.6</t>
  </si>
  <si>
    <t>Gestionar i intervenir en la dinàmica de poblacions de fauna que no tenen depredador natural</t>
  </si>
  <si>
    <t>Planificar i intervenir en la dinàmica de poblacions de fauna que poden generar impactes negatius en la conservació dels elements d'interès de l'ENP</t>
  </si>
  <si>
    <t xml:space="preserve">Només s'inclouen actuacions que impliquin conservació/millora d'elements de conservació. </t>
  </si>
  <si>
    <t>01.3.7</t>
  </si>
  <si>
    <t>Afavorir la connectivitat ecològica del territori</t>
  </si>
  <si>
    <t>01.4</t>
  </si>
  <si>
    <t>Alinear l'activitat de propietaris i gestors del territori amb la conservació, millora i restauració dels valors de l'ENP</t>
  </si>
  <si>
    <t>01.4.1</t>
  </si>
  <si>
    <t>Fomentar acords de custòdia en espais d'alt valor dins l'ENP per a la gestió dels elements prioritaris</t>
  </si>
  <si>
    <t>*Fomentar acords de custòdia en espais d'alt valor dins l'ENP per a la gestió dels elements prioritaris
*Fomentar els plans de renaturalització en finques privades i municipals, mitjançant els crèdits de carboni i de natura (projecte Wilderway)</t>
  </si>
  <si>
    <t>SENP/SENP: Dissenyar el protocol i elaborar un model d'acord</t>
  </si>
  <si>
    <t>Nombre de finques adherides al projecte Wilderway</t>
  </si>
  <si>
    <t>DIR</t>
  </si>
  <si>
    <t>ACM</t>
  </si>
  <si>
    <t>01.4.2</t>
  </si>
  <si>
    <t>Fomentar bones pràctiques entre els col·lectius de propietaris i gestors del territori</t>
  </si>
  <si>
    <t>01.4.3</t>
  </si>
  <si>
    <t>Impulsar la coordinació amb els ens locals en la gestió finques públiques situades dins d’ENP</t>
  </si>
  <si>
    <t>Impulsar la coordinació amb els ens locals i l'Administració pública de boscos en la gestió finques públiques situades dins d’ENP</t>
  </si>
  <si>
    <t>S'afegeixen boscos de la Generalitat</t>
  </si>
  <si>
    <t>Reunions periòdiques amb ens locals i administració forestal per a desplegar la gestió per a la millora d'hàbitats</t>
  </si>
  <si>
    <t>*Reunions periòdiques amb ens locals i administració forestal per a desplegar la gestió per a la millora d'hàbitats</t>
  </si>
  <si>
    <t>Nombre de reunions realitzades</t>
  </si>
  <si>
    <t>ADAPTAR ELS ECOSISTEMES AL CANVI CLIMÀTIC i millorar-ne la resiliència en front dels riscos associats.</t>
  </si>
  <si>
    <t>02.1</t>
  </si>
  <si>
    <t>Planificar l'adaptació dels sistemes naturals al canvi climàtic</t>
  </si>
  <si>
    <t>02.1.1</t>
  </si>
  <si>
    <t>Adaptar i implementar el Pla d'adaptació de l'ENP al canvi climàtic</t>
  </si>
  <si>
    <t>Promoure l'elaboració del Pla d'adaptació de l'ENP al canvi climàtic</t>
  </si>
  <si>
    <t>No el tenim i les actuacions correspondran a altes Ops</t>
  </si>
  <si>
    <t>Col·laborar amb el projecte Life eCOadapt50, liderat pel Living Lab Ebre Bioterritori d'EURECAT</t>
  </si>
  <si>
    <t>*Col·laborar amb el projecte Life eCOadapt50, liderat pel Living Lab Ebre Bioterritori d'EURECAT</t>
  </si>
  <si>
    <t xml:space="preserve">OCCC/SENP: Elaboració del model de Pla d'adaptació dels ENP al canvi climàtic </t>
  </si>
  <si>
    <t>Percentetge d'assistències a reunions convocades</t>
  </si>
  <si>
    <t>02.1.2</t>
  </si>
  <si>
    <t>Gestionar i planificar els recursos hídrics de l'ENP</t>
  </si>
  <si>
    <t>Promoure la planificació, la gestió i el control dels recursos hídrics de l'ENP</t>
  </si>
  <si>
    <t>Només intervenim a nivell de gestió preventiva (informes i seguiments)</t>
  </si>
  <si>
    <t xml:space="preserve">A.2.2.2. Anàlisi dels cabals ecològics dels rius del PN aplicats a l'ús de l'aigua com a recurs turístic (CETS): Diagnosi de l'estat de conservació dels Estrets, Algars i Canaletes i definir els cabals ecològics </t>
  </si>
  <si>
    <t xml:space="preserve">*Diagnosi de l'estat de conservació dels Estrets, Algars i Canaletes i definir els cabals ecològics </t>
  </si>
  <si>
    <t>Diagnosis elaborades</t>
  </si>
  <si>
    <t>CETS</t>
  </si>
  <si>
    <t>02.1.3</t>
  </si>
  <si>
    <t>Participar en la redacció i execució dels instruments d'ordenació forestal sostenible i per la conservació en finques públiques</t>
  </si>
  <si>
    <t>Promoure i participar en la redacció dels instruments d'ordenació forestal sostenible, amb objectius de conservació, en finques públiques</t>
  </si>
  <si>
    <t>Millora del redactat</t>
  </si>
  <si>
    <t>Participació en la redacció i aprovació dels instruments d'ordenació forestal sostenible de les finques de la Vallcervera i d'Alfara de Carles</t>
  </si>
  <si>
    <t>*Participació en la redacció i aprovació dels instruments d'ordenació forestal sostenible en finques privades i publiques</t>
  </si>
  <si>
    <t>DGEFMN: Redacció d'IOF en finques públiques</t>
  </si>
  <si>
    <t>Nombre de finques</t>
  </si>
  <si>
    <t>02.2</t>
  </si>
  <si>
    <t xml:space="preserve">Planificar la prevenció i extinció d’incendis forestals i la gestió del foc de forma coordinada amb els diferents agents del territori </t>
  </si>
  <si>
    <t>02.2.1</t>
  </si>
  <si>
    <t xml:space="preserve">Redactar i implementar el Pla de Prevenció d'Incendis </t>
  </si>
  <si>
    <t>Redactar i implementar el Pla de Prevenció d'Incendis de l'ENP</t>
  </si>
  <si>
    <t>Hi ha diversos plans que afecten l'ENP (municipals, PPP, franges)</t>
  </si>
  <si>
    <t>Promoure i participar en la redacció del Pla bàsic de prevenció d'incendis del PNP</t>
  </si>
  <si>
    <t>*Promoure i participar en la redacció del Pla bàsic de prevenció d'incendis del PNP</t>
  </si>
  <si>
    <t>Equip de PPI: Disseny del protocol de treball</t>
  </si>
  <si>
    <t>Percentatge d'assistències a reunions convocades</t>
  </si>
  <si>
    <t>02.2.2</t>
  </si>
  <si>
    <t>Definir i planificar la gestió del foc per a la millora de l'ENP</t>
  </si>
  <si>
    <t>Col·laboració amb el GPIF i Bombers per a la planificació de cremes control·lades aprovades en els instruments d'ordenació forestal (Mola de Catí, Alfara de Carles, Vallcervera, etc.)</t>
  </si>
  <si>
    <t>*Col·laboració amb el GPIF i Bombers per a la planificació de cremes control·lades aprovades en els instruments d'ordenació forestal</t>
  </si>
  <si>
    <t>SPEN: Elaboració d'un model de pla de gestió</t>
  </si>
  <si>
    <t>1) Número actuacions planificades
2) Número actuacions realitzades</t>
  </si>
  <si>
    <t xml:space="preserve">1) 2
2) 0
</t>
  </si>
  <si>
    <t>1) 4
2) 2</t>
  </si>
  <si>
    <t>02.2.3</t>
  </si>
  <si>
    <t>Treballar per a la prevenció d'incendis juntament amb els propietaris, ajuntaments, protecció civil, ADF i bombers.</t>
  </si>
  <si>
    <t>Participar, juntament amb els propietaris, ajuntaments i bombers, en els diversos plans de prevenció d'incendis (PPP, plans municipals, franges de protecció...)</t>
  </si>
  <si>
    <t>Participar en la redacció del Plans de prevenció d'incendis municipals, promoguts per la Diputació de Tarragona</t>
  </si>
  <si>
    <t>*Participar en la redacció del Plans de prevenció d'incendis municipals, promoguts per la Diputació de Tarragona
*Participar en la redacció del Pla de prevenció del PPP "Ports de Tortosa-Besseit"</t>
  </si>
  <si>
    <t xml:space="preserve">1) Percentatge de PPIM revisats
2) Percentatge d'assistències a reunions convocades del PPP </t>
  </si>
  <si>
    <t>1) 100%
2) 75%</t>
  </si>
  <si>
    <t>1) 100%
2) 100%</t>
  </si>
  <si>
    <t>Participar en la redacció del Pla de prevenció del PPP "Ports de Tortosa-Besseit"</t>
  </si>
  <si>
    <t>PROTEGIR LA BIODIVERSITAT, i especialment els elements fràgils i amenaçats, d’interès comunitari o de major interès natural.</t>
  </si>
  <si>
    <t>03.1</t>
  </si>
  <si>
    <t>Prevenir, minimitzar i compensar els impactes ambientals dels usos i activitats que es desenvolupin en l'àmbit de l'ENP</t>
  </si>
  <si>
    <t>03.1.1</t>
  </si>
  <si>
    <t>Participar en les consultes dels procesos d'Avaluació Ambiental que afectin directament o indirectament l’espai del ENP</t>
  </si>
  <si>
    <t>Participar en les consultes dels processos d'Avaluació Ambiental que afectin directament o indirectament l'ENP</t>
  </si>
  <si>
    <t>Faltes ortogràfiques, millora redactat</t>
  </si>
  <si>
    <t>Emissió dels informes preceptius en les tramitacions ambientals, incloent-hi l'avaluació dels impactes sobre la biodiversitat, i els patrimonis geològic, històric i cultural</t>
  </si>
  <si>
    <t>*Emissió dels informes preceptius en les tramitacions ambientals, incloent-hi l'avaluació dels impactes sobre la biodiversitat, i els patrimonis geològic, històric i cultural
Participar en les reunions periòdiques de les Àrees de Coneixement de la DG, particularnent la de l'Àmbit Forestal</t>
  </si>
  <si>
    <t>Percentatge d'obres, actuacions i projectes informats per part del Parc</t>
  </si>
  <si>
    <t>JMQ/MAC/AAA/JSB/JMFR</t>
  </si>
  <si>
    <t>Participar en les reunions periòdiques de les Àrees de Coneixement de la DG, particularnent la de l'Àmbit Forestal</t>
  </si>
  <si>
    <t>03.1.2</t>
  </si>
  <si>
    <t>Exercir un seguiment efectiu de les obres al Parc juntament amb les Oficines Territorials d'Acció i Avaluació Ambiental als efectes d'assegurar la correcta translació de la tutela administrativa.</t>
  </si>
  <si>
    <t>Exercir un seguiment efectiu de les obres i actuacions al Parc juntament amb les Oficines Territorials d'Acció i Avaluació Ambiental i el Cos d'Agents Rurals als efectes d'assegurar la correcta translació de la tutela administrativa.</t>
  </si>
  <si>
    <t>Hem afegit CAR</t>
  </si>
  <si>
    <t>Servei de vigilància per a la minimització d’afectacions perhiperfreqüentació al Parc Natural dels Aiguamolls de l’Empordà, al Parc Natural del Delta de l’Ebre i al Parc Natural dels Ports (PT OP 2025 357). Lots 3 i 4</t>
  </si>
  <si>
    <t>*Servei de vigilància per a la minimització d’afectacions perhiperfreqüentació al Parc Natural dels Aiguamolls de l’Empordà, al Parc Natural del Delta de l’Ebre i al Parc Natural dels Ports (PT OP 2025 357). Lots 3 i 4</t>
  </si>
  <si>
    <t>Nombre de dies de vigilància realment efectuats</t>
  </si>
  <si>
    <t>03.1.3</t>
  </si>
  <si>
    <t>Participar en la compensació d'impactes residuals durant els processos d'avaluació ambiental mitjançant la identificació de necessitats d'actuació prioritària dins i fora dels límits de l’ENP</t>
  </si>
  <si>
    <t>03.2</t>
  </si>
  <si>
    <t>Garantir el compliment dels objectius de conservació dotant l'ENP de la planificació adequada segons estableix la normativa vigent (Pla de Protecció, PRUG, plans específics...)</t>
  </si>
  <si>
    <t>03.2.1</t>
  </si>
  <si>
    <t>Participar en l'elaboració dels instruments de planificació de l'ENP</t>
  </si>
  <si>
    <t>No tenim previsió d'elaboració del Pla i, per tant, no l'incloem al 2025-2029. Preguntar a Sara la previsió temporal</t>
  </si>
  <si>
    <t>A.2.1.1. Elaboració del Pla de Protecció del Medi Natural i el Paisatge del PN (CETS)</t>
  </si>
  <si>
    <t>*Elaboració del Pla de Protecció del Medi Natural i el Paisatge del PN (CETS)</t>
  </si>
  <si>
    <t>SPEN: Elaboració del Pla rector d'usos i gestió.
SPEN: Elaboració del Pla rector d'usos i gestió</t>
  </si>
  <si>
    <t>Pla elaborat</t>
  </si>
  <si>
    <t>03.3</t>
  </si>
  <si>
    <t>Vetllar pel manteniment dels cabals ecològics i la bona qualitat dels cursos fluvials de l'ENP de forma coordinada amb l'administració competent</t>
  </si>
  <si>
    <t>03.3.1</t>
  </si>
  <si>
    <t>Vetllar pel manteniment del cabal ecològic dels rius definit al Pla sectorial corresponent</t>
  </si>
  <si>
    <t>Optatiu</t>
  </si>
  <si>
    <t>Vetllar, juntament amb altres administracions, pel manteniment del cabal ecològic dels rius definit al Pla sectorial corresponent</t>
  </si>
  <si>
    <t>ACA/CHE: Determinar els cabals ecològics en espais naturals protegits</t>
  </si>
  <si>
    <t>03.3.2</t>
  </si>
  <si>
    <t>Vetllar per la regulació dels dragatges, canalitzacions o implantació d'activitats extractives que puguin modificar la llera i el cabal dels rius</t>
  </si>
  <si>
    <t>Es proposa eliminar, ja que és molt similar a l'Op següent</t>
  </si>
  <si>
    <t>03.3.3</t>
  </si>
  <si>
    <t>Avaluar i controlar les actuacions que produeixin drenatges, captacions o que puguin impedir l’arribada d’aigua tant superficial com freàtica</t>
  </si>
  <si>
    <t>Comunicació a CAR i l'ACA d'actuacions no autoritzades en els espais fluvials (captacions, drenatges, etc.)</t>
  </si>
  <si>
    <t>*Comunicació a CAR i l'ACA d'actuacions no autoritzades en els espais fluvials (captacions, drenatges, etc.)</t>
  </si>
  <si>
    <t>Percentatge d'actuacions no autoritzades comunicades</t>
  </si>
  <si>
    <t>03.3.4</t>
  </si>
  <si>
    <t>Vetllar pel compliment de la normativa de depuració dels efluents agroramaders, urbans i industrials que s'aboquen als cursos fluvials</t>
  </si>
  <si>
    <t>Vetllar, juntament amb altres administracions, pel compliment de la normativa de depuració dels efluents agroramaders, urbans i industrials que s'aboquen als cursos fluvials</t>
  </si>
  <si>
    <t>Seguiment dels abocaments al barranc del Bosc Negre</t>
  </si>
  <si>
    <t>*Seguiment dels abocaments al barranc del Bosc Negre</t>
  </si>
  <si>
    <t>Nombre de visites efectuades</t>
  </si>
  <si>
    <t>03.3.5</t>
  </si>
  <si>
    <t>Colaborar amb l'òrgan competent per la conservació del domini públic d'acord amb les delimitacions i la normativa d'usos vigent</t>
  </si>
  <si>
    <t>Comunicació a CAR i l'ACA d'actuacions no autoritzades en els espais fluvials (rompudes, extracció d'àrids, etc.)</t>
  </si>
  <si>
    <t>*Comunicació a CAR i l'ACA d'actuacions no autoritzades en els espais fluvials (rompudes, extracció d'àrids, etc.)</t>
  </si>
  <si>
    <t>03.4</t>
  </si>
  <si>
    <t>Incrementar el patrimoni públic destinat a la conservació i millora del patrimoni natural</t>
  </si>
  <si>
    <t>03.4.1</t>
  </si>
  <si>
    <t xml:space="preserve">Identificar espais prioritaris per a la compra de terrenys de més valor dins l'ENP </t>
  </si>
  <si>
    <t xml:space="preserve">Identificar i promoure la compra d'espais prioritaris de terrenys de més valor dins l'ENP </t>
  </si>
  <si>
    <t>Veure mesures del 03.4.2</t>
  </si>
  <si>
    <t>Manteniment de la base de dades d'espais prioritaris per a la conservació o l'ús públic</t>
  </si>
  <si>
    <t>*Manteniment de la base de dades d'espais prioritaris per a la conservació o l'ús públic
*Promoure l'adquisició d'espais prioritaris per a la conservació</t>
  </si>
  <si>
    <t>SENP/SPEN: Facilitar els criteris a seguir</t>
  </si>
  <si>
    <t>Nombre de finques incorporades a la base de dades</t>
  </si>
  <si>
    <t>03.4.2</t>
  </si>
  <si>
    <t>Identificar espais prioritaris per a la gestió directa</t>
  </si>
  <si>
    <t>Identificar espais prioritaris en finques públiques destinades a altres usos per a la gestió directa</t>
  </si>
  <si>
    <t>Possible solapament amb l'anterior. Amb aquest enunciat s'fageix la gestió directa en boscos públics.</t>
  </si>
  <si>
    <t>*Identificar espais prioritaris en finques públiques destinades a altres usos per a la gestió directa</t>
  </si>
  <si>
    <t>CONSERVAR ELS ELEMENTS CULTURALS materials i immaterials vinculats a la natura</t>
  </si>
  <si>
    <t>04.1</t>
  </si>
  <si>
    <t>Millorar el coneixement disponible sobre el patrimoni arquitectònic i cultural (material i immaterial) vinculat al patrimoni natural, el seu estat de conservació i els estils propis dels territoris de l'ENP</t>
  </si>
  <si>
    <t>04.1.1</t>
  </si>
  <si>
    <t>Elaborar l'inventari i cartografia de patrimoni cultural de l'ENP, que també inclogui el patrimoni etnològic i immaterial</t>
  </si>
  <si>
    <t>Elaborar l'inventari i la cartografia de patrimoni arquitèctonic i cultural de l'ENP, que també inclogui el patrimoni etnològic i immaterial</t>
  </si>
  <si>
    <t>A.3.3. Programa de recuperació de la memòria artesana (ARTESAN)</t>
  </si>
  <si>
    <r>
      <t>*Programa de recuperació de la memòria artesana (ARTESAN)</t>
    </r>
    <r>
      <rPr>
        <strike/>
        <sz val="11"/>
        <rFont val="Calibri"/>
        <family val="2"/>
        <scheme val="minor"/>
      </rPr>
      <t xml:space="preserve"> </t>
    </r>
  </si>
  <si>
    <t>Nombre d'entrevistes realitzades</t>
  </si>
  <si>
    <t>AIM</t>
  </si>
  <si>
    <t>JMFR</t>
  </si>
  <si>
    <t xml:space="preserve">Crear uns premis de recerca en matèria de patrimoni cultural que siguin publicables posteriorment. </t>
  </si>
  <si>
    <t xml:space="preserve">Fer recerca del Barranc de Lloret. </t>
  </si>
  <si>
    <t>04.1.2</t>
  </si>
  <si>
    <t>Elaborar el catàleg lingüístic (localismes) de patrimoni natural, geografia popular, festes i activitats tradicionals de l'ENP</t>
  </si>
  <si>
    <t>Es proposa eliminar, ja que és motl similar a l'Op anterior</t>
  </si>
  <si>
    <t>04.1.3</t>
  </si>
  <si>
    <t>Elaborar la cartografia de la xarxa de camins ramaders i senders tradicionals de l'ENP</t>
  </si>
  <si>
    <t>AAA</t>
  </si>
  <si>
    <t>04.2</t>
  </si>
  <si>
    <t>Conservar i gestionar el patrimoni cultural de l'ENP de forma coordinada amb els agents responsables i entitats de referència</t>
  </si>
  <si>
    <t>04.2.1</t>
  </si>
  <si>
    <t>Identificar els ens de referència en patrimoni cultural (entitats, associacions, museus i ecomuseus, etc.) en l'àmbit de l'ENP</t>
  </si>
  <si>
    <t>Identificar els ens de referència en patrimoni cultural (entitats, associacions, museus i ecomuseus, etc.) en l'àmbit de l'ENP, mitjançant el Museu de les Terres de l'Ebre</t>
  </si>
  <si>
    <t>*Identificar els ens de referència en patrimoni cultural (entitats, associacions, museus i ecomuseus, etc.) en l'àmbit de l'ENP, mitjançant el Museu de les Terres de l'Ebre</t>
  </si>
  <si>
    <t>Elaboració de l'inventari d'entitats i actors locals</t>
  </si>
  <si>
    <t>AUP</t>
  </si>
  <si>
    <t>04.2.2</t>
  </si>
  <si>
    <t>Articular treballs conjunts entre l'ENP i representants, gestors o custodis del patrimoni cultural per a la seva protecció i millora</t>
  </si>
  <si>
    <t>Impulsar i participar en línies de treball conjuntes entre l'ENP i representants, gestors o custodis del patrimoni cultural per a la seva protecció i millora</t>
  </si>
  <si>
    <r>
      <t xml:space="preserve">Continuar la línia de colaboració amb el Museu de les Terres de l'Ebre: </t>
    </r>
    <r>
      <rPr>
        <b/>
        <sz val="11"/>
        <rFont val="Calibri"/>
        <family val="2"/>
        <scheme val="minor"/>
      </rPr>
      <t>A.4.2.4 Creació d'itineraris culturals (CETS)</t>
    </r>
  </si>
  <si>
    <t>*Continuar la línia de colaboració amb el Museu de les Terres de l'Ebre: Creació d'itineraris culturals (CETS)</t>
  </si>
  <si>
    <t>Nombre total d'actuacions realitzades amb el Museu de les Terres de l'Ebre</t>
  </si>
  <si>
    <t>04.2.3</t>
  </si>
  <si>
    <t>Impulsar i/o participar dels treballs de restauració arquitectònica, arqueològica i del patrimoni cultural</t>
  </si>
  <si>
    <t>Organització jornada sobre les construccions de pedra en sec amb l'ajuntament del Mas de Barberans</t>
  </si>
  <si>
    <t>*Organització jornada sobre les construccions de pedra en sec</t>
  </si>
  <si>
    <t>Nombre de jornades realitzades</t>
  </si>
  <si>
    <t>04.2.4</t>
  </si>
  <si>
    <t>Disposar de personal especialitzat en patrimoni cultural</t>
  </si>
  <si>
    <t>Formar al personal tècnic de l'ENP en patrimoni cultural</t>
  </si>
  <si>
    <t>Més realista</t>
  </si>
  <si>
    <t>04.3</t>
  </si>
  <si>
    <t>Potenciar la conservació i recuperació del patrimoni cultural material i immaterial de l'ENP</t>
  </si>
  <si>
    <t>04.3.1</t>
  </si>
  <si>
    <t>Recuperar i conservar el patrimoni cultural immaterial (associat a les activitats i aprofitaments rurals tradicionals) i els valors espirituals</t>
  </si>
  <si>
    <t>04.3.2</t>
  </si>
  <si>
    <t>Recuperar i conservar el patrimoni cultural rural vinculat específicament a construccions de pedra en sec</t>
  </si>
  <si>
    <t>Treballs de recuperació i manteniment, amb brigada, d'elements de patrimoni cultural rural</t>
  </si>
  <si>
    <t>*Treballs de recuperació i manteniment, amb brigada, d'elements de patrimoni cultural rural
*Avaluació de la conservació de regs tradicionals</t>
  </si>
  <si>
    <t>1) Nombre anual d'actuacions efectuades amb brigada
2) Realització de l'avaluació</t>
  </si>
  <si>
    <t>1) 10
2) 1</t>
  </si>
  <si>
    <t>1) 20
2) 1</t>
  </si>
  <si>
    <t>Avaluació de l’estat de conservació de la sèquia dels Reguers i la seva reparació</t>
  </si>
  <si>
    <t>04.3.3</t>
  </si>
  <si>
    <t xml:space="preserve">Fomentar la recuperació i conservació de l'arquitectura tradicional d'interès de les edificacions i construccions </t>
  </si>
  <si>
    <t xml:space="preserve">Fomentar la recuperació i conservació de l'arquitectura tradicional d'interès de les edificacions i construccions, en especial de les construccions de pedra en sec </t>
  </si>
  <si>
    <t>Ortografia, s'afegeix pedra en sec</t>
  </si>
  <si>
    <t>Introduir mesures de gestió preventiva en informes urbanístics per evitar impactes significatius en el patrimoni històric i cultural</t>
  </si>
  <si>
    <t>*Introduir mesures de gestió preventiva en informes urbanístics per evitar impactes significatius en el patrimoni històric i cultural
*Treballs de recuperació arquitectònica</t>
  </si>
  <si>
    <t>1) Percentatge d'informes en què s'han introduït mesures
2) Realització de treballs de recuperació en patrimoni arquitectònic</t>
  </si>
  <si>
    <t>1) 100%
2) 1</t>
  </si>
  <si>
    <t>1) 100%
2) 2</t>
  </si>
  <si>
    <t xml:space="preserve">Fomentar la recuperació i conservació de l'arquitectura tradicional d'intrès de les edificacions i construccions </t>
  </si>
  <si>
    <t>Treballs de recuperació de l'antic Molí de Paüls</t>
  </si>
  <si>
    <t>04.3.4</t>
  </si>
  <si>
    <t>Identificar i conservar la diversitat domesticada de varietats agrícoles i ramaderes locals</t>
  </si>
  <si>
    <t>2.2.3. Estudi de la possibilitat de recuperar espècies agrícoles i ramaderes (PRODUCT)</t>
  </si>
  <si>
    <t>*Estudi de la possibilitat de recuperar espècies agrícoles i ramaderes (PRODUCT)</t>
  </si>
  <si>
    <t>Elaboració d'una diagnosi de patrimoni cultivat</t>
  </si>
  <si>
    <t>04.4</t>
  </si>
  <si>
    <t xml:space="preserve">Donar a conèixer els elements culturals com a valors del paisatge de l'ENP en les activitats d'ús públic </t>
  </si>
  <si>
    <t>04.4.1</t>
  </si>
  <si>
    <t>Integrar el patrimoni cultural als itineraris i cartelleria de l'ENP.</t>
  </si>
  <si>
    <t>Integrar el patrimoni cultural als itineraris, cartelleria i materials de difusió de l'ENP.</t>
  </si>
  <si>
    <t>S'inclou altres materials de difusió (web, XXSS)</t>
  </si>
  <si>
    <t>A.4.2.4. Disseny i desenvolupament d'itineraris culturals (CETS): Adequació de l'àrea interpretativa del Molí de Paüls</t>
  </si>
  <si>
    <t>*Disseny i desenvolupament d'itineraris culturals (CETS): adequació d'àrees interpertratives i senyalització d'itineraris 
*Disseny i desenvolupament d'itineraris culturals (CETS): manteniment de l'Hosting i web Mas de Burot
*Creació d'itineraris turístics a partir d'experiències entorn de l'artesania (ARTESAN)</t>
  </si>
  <si>
    <t>1) Nombre d'equipaments adequats
2) Manteniment del web de Mas de Burot</t>
  </si>
  <si>
    <t>1) 2
2) 1</t>
  </si>
  <si>
    <t>1) 4
2) 1</t>
  </si>
  <si>
    <t>A.4.2.4. Disseny i desenvolupament d'itineraris culturals (CETS): Estudi de la viabilitat de la senyalització i publicació de l’itinerari del Cocó de la Gralla</t>
  </si>
  <si>
    <t>A.4.2.4. Disseny i desenvolupament d'itineraris culturals (CETS): manteniment de l'Hosting i web Mas de Burot</t>
  </si>
  <si>
    <t>A.4.1. Creació d'itineraris turístics a partir d'experiències entorn de l'artesania (ARTESAN)</t>
  </si>
  <si>
    <t>04.4.2</t>
  </si>
  <si>
    <t>Incorporar el patrimoni cultural en els plans d’ús públic i educació ambiental per fomentar-ne la seva conservació i divulgació.</t>
  </si>
  <si>
    <r>
      <t xml:space="preserve">Tema clau 2: Paisatge i arquitectura rural tradicional (EDU): </t>
    </r>
    <r>
      <rPr>
        <b/>
        <sz val="11"/>
        <rFont val="Calibri"/>
        <family val="2"/>
        <scheme val="minor"/>
      </rPr>
      <t>incorporar activitats d'educació ambiental al Mas de Burot</t>
    </r>
  </si>
  <si>
    <t>*Incorporar activitats d'educació ambiental al Mas de Burot</t>
  </si>
  <si>
    <t>Nombre de'activitats incorporades</t>
  </si>
  <si>
    <t>04.4.3</t>
  </si>
  <si>
    <t>Formar el personal dels punts d’informació en els valors culturals de l'ENP</t>
  </si>
  <si>
    <t>*Formar el personal dels punts d’informació en els valors culturals de l'ENP</t>
  </si>
  <si>
    <t>Número de participants anuals a les sessions sobre patrimoni cultural</t>
  </si>
  <si>
    <t>PROTEGIR EL PAISATGE i la qualitat de l'ambient visual, sonor i lumínic.</t>
  </si>
  <si>
    <t>05.1</t>
  </si>
  <si>
    <t>Identificar els elements d'interès paisatgístic de l'espai</t>
  </si>
  <si>
    <t>05.1.1</t>
  </si>
  <si>
    <t xml:space="preserve">Elaborar un inventari d'elements d'interès paisatgístic de l'ENP d'acord amb el Catàleg de paisatge de la zona </t>
  </si>
  <si>
    <t xml:space="preserve">*Elaborar un inventari d'elements d'interès paisatgístic de l'ENP d'acord amb el Catàleg de paisatge de la zona </t>
  </si>
  <si>
    <t>Disposició del catàleg</t>
  </si>
  <si>
    <t>05.2</t>
  </si>
  <si>
    <t>Millorar la qualitat paisatgística</t>
  </si>
  <si>
    <t>05.2.1</t>
  </si>
  <si>
    <t>Desplegar actuacions de restauració dels elements d'interès paisatgístic degradats</t>
  </si>
  <si>
    <t>Desplegar actuacions de restauració i conservació dels elements d'interès paisatgístic degradats</t>
  </si>
  <si>
    <t>Millora redactat (inclou conservació), inclou Op següent</t>
  </si>
  <si>
    <t>BAIXA</t>
  </si>
  <si>
    <t>Redacció projecte executiu de l'àrea dels Ateus</t>
  </si>
  <si>
    <t>*Redacció projecte executiu de l'àrea dels Ateus
*Impulsar el grup de treball per a l'elaborar un manual de bones pràctiques de l'arranjament de camins
*Introduir mesures de gestió preventiva en els informes del Parc per evitar una degradació dels valors paisatgístics</t>
  </si>
  <si>
    <t>1) redacció del projecte
2) elaboració del manual de bones pràctiques</t>
  </si>
  <si>
    <t>1) 1
2) 1</t>
  </si>
  <si>
    <t>Impulsar el grup de treball per a l'elaborar un manual de bones pràctiques de l'arranjament de camins</t>
  </si>
  <si>
    <t>Introduir mesures de gestió preventiva en els informes del Parc per evitar una degradació dels valors paisatgístics</t>
  </si>
  <si>
    <t>05.2.2</t>
  </si>
  <si>
    <t>Gestionar l'abandonament d'infraestructures i instal·lacions amb inpactes sobre els valors de l'espai</t>
  </si>
  <si>
    <t>Es proposa eliminar, ja que se solapa molt amb l'Op anterior</t>
  </si>
  <si>
    <t>05.2.3</t>
  </si>
  <si>
    <t>Minimitzar la brutícia, deixalles, vandalisme i males praxis dins l'ENP</t>
  </si>
  <si>
    <t>Participar en la campanya Let's Clean Up Europe, en coordinació amb l'Agència Catalana de Residus</t>
  </si>
  <si>
    <t>*Participar en la campanya Let's Clean Up Europe, en coordinació amb l'Agència Catalana de Residus
*Fer accions de sensibilització sobre els residus humans generats durant el descens de barrancs</t>
  </si>
  <si>
    <t>Participació en la campanya anual</t>
  </si>
  <si>
    <t>CFF</t>
  </si>
  <si>
    <t>Fer accions de sensibilització sobre els residus humans generats durant el descens de barrancs</t>
  </si>
  <si>
    <t>05.3</t>
  </si>
  <si>
    <t>Protegir la qualitat acústica i lumínica de l'ENP</t>
  </si>
  <si>
    <t>05.3.1</t>
  </si>
  <si>
    <t>Promoure la certificació de qualitat del cel nocturn</t>
  </si>
  <si>
    <t>Seguiment de la qualitat lumínica del cel nocturn a Cova Avellanes en col·laboració amb la DGCCQA</t>
  </si>
  <si>
    <t xml:space="preserve">*Seguiment de la qualitat lumínica del cel nocturn a Cova Avellanes en col·laboració amb la DGCCQA
*Col·laboració en el projecte per reduir l’impacte ambiental de l’enllumenat en zones d’especial protecció envers la contaminació lumínica en col·laboració de la DGCCQA </t>
  </si>
  <si>
    <t>Disposar del Pla d'acció de reducció de l'impacte lumínic</t>
  </si>
  <si>
    <t xml:space="preserve">Col·laboració en el projecte per reduir l’impacte ambiental de l’enllumenat en zones d’especial protecció envers la contaminació lumínica en col·laboració de la DGCCQA </t>
  </si>
  <si>
    <t>05.3.2</t>
  </si>
  <si>
    <t>Promoure la certificació de zones d'especial protecció de la qualitat acústica</t>
  </si>
  <si>
    <t>En segona fase, després cel nocturn</t>
  </si>
  <si>
    <t>MILLORAR EL CONEIXEMENT DE L'ENTORN, del patrimoni natural, cultural i social.</t>
  </si>
  <si>
    <t>06.1</t>
  </si>
  <si>
    <t>Identificar els objectes de gestió prioritària de l'ENP en el marc dels objectius de govern</t>
  </si>
  <si>
    <t>06.1.1</t>
  </si>
  <si>
    <t>Identificar i prioritzar els elements clau i d'interès per la gestió de la biodiversitat i geodiversitat de Catalunya es troben dins l'ENP (especies amenaçades, espècies exòtiques invasores,.. )</t>
  </si>
  <si>
    <t>Identificar i prioritzar els elements clau i d'interès per la gestió de la biodiversitat i geodiversitat de Catalunya que es troben dins l'ENP (espècies amenaçades, espècies exòtiques invasores... )</t>
  </si>
  <si>
    <t>Ortografia</t>
  </si>
  <si>
    <t>Millora del coneixement dels briòfits amenaçats i d'interès</t>
  </si>
  <si>
    <t>*Millora del coneixement de flora no cormofítica (briòfits...)
*Cartografia de detall dels HIC escassos (grevoleda, teixeda....)
*Avaluació de l'estat de Timon lepidus/nevadensis al PNP
*Detecció i seguiment d'espècies exòtiques invasores
*Seguiment ecològic dels arbres monumentals</t>
  </si>
  <si>
    <t>Directriva Habitats
Carta emplaçament
ESNATURA
Catàlegs</t>
  </si>
  <si>
    <t>UIC/SFF/SPEN: Definir criteris d'identificació d'elements interès.
UIC/SFF/SPEN: Definició dels objectes de conservació clau comuns a nivell de Xarxa d'ENP o clúster territorial</t>
  </si>
  <si>
    <t>1) Nombre d'estudis encarregats de flora no cormofítica
2) Nombre de capes cartogràfiques d'HICs elaborades
3) Nombre de dades d'espècies exòtiques enviades
4) Nombre de fitxes d'arbres monumentals enviades</t>
  </si>
  <si>
    <t>1) 2
2) 2
3) 10
4) 4</t>
  </si>
  <si>
    <t>1) 4
2) 5
3) 15
4) 8</t>
  </si>
  <si>
    <t>Millora del coneixement dels líquens amenaçats i d'interès</t>
  </si>
  <si>
    <t>Millora del coneixement dels fongs</t>
  </si>
  <si>
    <t>Recollida de mostres Timon lepidus/nevadensis i d'observacions al PNP</t>
  </si>
  <si>
    <t>Cartografia de detall dels HIC escassos (grevoleda, teixeda)</t>
  </si>
  <si>
    <t>Participació en la Xarxa d'alerta d'espècies exòtiques invasores</t>
  </si>
  <si>
    <t>Col·laboració amb la base de dades EXOCAT</t>
  </si>
  <si>
    <t>Seguiment ecològic dels arbres monumentals i preparar la proposta de declaració de nous exemplars, segons el Decret 214/1987</t>
  </si>
  <si>
    <t>Diagnosticar i planificar la millora de la biodiversitat de les parcel·les de Roquetes (Pol. 21, Parc. 64) i d'alfara de Carles (Pol.19, Parc. 4; Pol. 20, Parc. 52), herències abintestades i assignades al PNP</t>
  </si>
  <si>
    <t>06.1.2</t>
  </si>
  <si>
    <t>Definir espais fràgils i zones d'especial atenció</t>
  </si>
  <si>
    <t>?</t>
  </si>
  <si>
    <t>A.2.1.3. Estudi i seguiment d'espècies, hàbitats i ecosistemes que es poden veure afectats per l'ús públic (CETS)</t>
  </si>
  <si>
    <t>*Anàlisi de la capacitat de càrrega dels diferents espais més vulnerables i ordenació de fluxos en espais crítics (CETS): anàlisi de la capacitat de càrrega d'espais fluvials o de bany
*Participar en l'actualització de l'Inventari de Zones Humides de Catalunya</t>
  </si>
  <si>
    <t>SPEN: Inventari i cartografia d'espais fràgils i zones d'especial atenció</t>
  </si>
  <si>
    <t>1) Nombre d'estudis de capacitat de càrrega realitzats
2) Document proposta de noves zones humides</t>
  </si>
  <si>
    <t>1) 3
2) 1</t>
  </si>
  <si>
    <t>JMFR/JMQ</t>
  </si>
  <si>
    <t>A.2.2.1. Anàlisi de la capacitat de càrrega dels diferents espais més vulnerables i ordenació de fluxos en espais crítics (CETS): anàlisi de la capacitat de càrrega del riu Canaletes</t>
  </si>
  <si>
    <t>Participar en l'actualització de l'Inventari de Zones Humides de Catalunya</t>
  </si>
  <si>
    <t>jMQ/MAC</t>
  </si>
  <si>
    <t>06.2</t>
  </si>
  <si>
    <t>Conèixer l'estat de conservació i la seva tendència dels hàbitats, les espècies els elements de la gea i els processos ecològics com a eina per avaluar i optimitzar la gestió</t>
  </si>
  <si>
    <t>06.2.1</t>
  </si>
  <si>
    <t>Participar en l'elaboració de la cartografia que elabora la UIC</t>
  </si>
  <si>
    <t>Actualització de les bases cartogràfiques del Parc (GIS)</t>
  </si>
  <si>
    <t>*Actualització de les bases cartogràfiques del Parc (GIS)</t>
  </si>
  <si>
    <t>UIC: Coordinar i contractar l'elaboració de la cartografia</t>
  </si>
  <si>
    <t xml:space="preserve">1) Nombre de cartografies generades transferides a la UIC.
</t>
  </si>
  <si>
    <t>06.2.3</t>
  </si>
  <si>
    <t>Conèixer els usos i factors de canvi rellevants en l'evolució dels elements de conservació, i avaluar els efectes que generen en l’espai (pressions i amenaces)</t>
  </si>
  <si>
    <t>Seguiment de les actuacions del projecte de millora d'hàbitats i espècies PPO 23227, mitjançant rèpliques de vols de dron i parcel·les</t>
  </si>
  <si>
    <t>*Seguiment de les actuacions del projecte de millora d'hàbitats i espècies PPO 23227, mitjançant rèpliques de vols de dron i parcel·les</t>
  </si>
  <si>
    <t xml:space="preserve">SENP/UIC: Elaborar la classificació i cartografia de les pressions o factors de canvi sobre el medi natural </t>
  </si>
  <si>
    <t>Nombre de seguiments efetuats</t>
  </si>
  <si>
    <t>06.2.4</t>
  </si>
  <si>
    <t>Conèixer l'impacte de les gestió de l'aigua, sobre la biodiversitat.</t>
  </si>
  <si>
    <t>Conèixer l'impacte de la gestió de l'aigua sobre la biodiversitat.</t>
  </si>
  <si>
    <t>Assistència tècnica: Manteniment de la monitorització de zones humides per al control de la qualitat ambiental al Parc Natural dels Ports</t>
  </si>
  <si>
    <t>*Manteniment de la monitorització de zones humides per al control de la qualitat ambiental al Parc Natural dels Ports</t>
  </si>
  <si>
    <t>Nombre de seguiments realitzats</t>
  </si>
  <si>
    <t>06.2.5</t>
  </si>
  <si>
    <t>Participar en el coneixement de la tendència d'espècies plaga amb afectacions sobre ecosistemes o activitats econòmiques dins l'ENP</t>
  </si>
  <si>
    <t>Es proposa eliminar, no té gaire sentit com a Op</t>
  </si>
  <si>
    <t>06.2.6</t>
  </si>
  <si>
    <t>Conèixer la tendència d'espècies exòtiques invasores amb afectacions sobre ecosistemes o activitats econòmiques dins l'ENP</t>
  </si>
  <si>
    <r>
      <t xml:space="preserve">Seguiment de la papallona del boix </t>
    </r>
    <r>
      <rPr>
        <i/>
        <sz val="11"/>
        <color theme="1"/>
        <rFont val="Calibri"/>
        <family val="2"/>
        <scheme val="minor"/>
      </rPr>
      <t>Cydalima perspectalis</t>
    </r>
  </si>
  <si>
    <t>*Seguiment de la papallona del boix Cydalima perspectalis</t>
  </si>
  <si>
    <t>Nombre de seguiments realitzades seguint el protocol</t>
  </si>
  <si>
    <t>06.2.7</t>
  </si>
  <si>
    <t>Coneixer com millorar la connectivitat de forma coordinada amb altres ENP</t>
  </si>
  <si>
    <t>Conèixer com millorar la connectivitat de forma coordinada amb altres ENP</t>
  </si>
  <si>
    <t>06.3</t>
  </si>
  <si>
    <t xml:space="preserve">Estandaritzar els seguiments periòdics dels grups clau </t>
  </si>
  <si>
    <t>06.3.1</t>
  </si>
  <si>
    <t>Participar en la definició del sistema estàndard de seguiment de flora, fauna i hàbitats de la DG</t>
  </si>
  <si>
    <t>Participar en els GT de la DG i amb la UIC, per estandaritzar els seguiments dels elements clau de flora, fauna i hàbitats</t>
  </si>
  <si>
    <t>*Participar en els GT de la DG i amb la UIC, per estandaritzar els seguiments dels elements clau de flora, fauna i hàbitats (HARMON)</t>
  </si>
  <si>
    <t>UIC/SFF/SENP: Crear espais de participació
UIC/SFF: Definir el sistema estàndard de seguiment i el protocol d'aplicació</t>
  </si>
  <si>
    <t>Nombre de sistemes de seguiment en els que s'ha participat/col·laborat</t>
  </si>
  <si>
    <t>06.3.2</t>
  </si>
  <si>
    <t>Adequar i executar el sistema de seguiment periòdic dels grups clau de l'ENP al sistema estàndard de seguiment</t>
  </si>
  <si>
    <t>Material tècnic de recerca</t>
  </si>
  <si>
    <t>*Seguiment de l'estació de lepidòpters CBMS Montsagres i Estrets
*SLIC Estrets
*Participació en el Seguiment d’Ocells Comuns a Catalunya (SOCC)
*Seguiment de la reintroducció de la tortuga mediterrània 
*Seguiments de flora amenaçada
*Seguiment de les poblacions d'invertebrats amenaçats
*Estudi dels pol·linitzadors al PNP
*Seguiment anual de les poblacions reproductores de rapinyaires
*Seguiment de passeriformes amenaçats
*Participació en el pla de seguiment del gat fer i altres mesocarnívors (Felis-ICHN)
*Col·laboració en els projectes de seguiment de quiròpters
*Seguiment de la recuperació de la biodiversitat en l'àmbit de l'incendi de Paüls</t>
  </si>
  <si>
    <t>UIC/SFF: Definir el sistema estàndard de seguiment i el protocol d'aplicació
UIC: Elaborar el protocol d'informació i coneixement</t>
  </si>
  <si>
    <t>Nombre de seguiments dels elements clau estandaritzats</t>
  </si>
  <si>
    <t>Piles per a treballs de recerca</t>
  </si>
  <si>
    <t>Material divers per a activitats de recerca</t>
  </si>
  <si>
    <t>Seguiment de l'estació de lepidòpters CBMS Montsagres i Estrets</t>
  </si>
  <si>
    <t>SLIC Estrets</t>
  </si>
  <si>
    <t xml:space="preserve">Projecte de reintroducció de la tortuga mediterrània al PN Ports: seguiment de la reintroducció de la tortuga mediterrània </t>
  </si>
  <si>
    <t>Captura i col·locació emissors rapinyaires</t>
  </si>
  <si>
    <t>Assegurança dron</t>
  </si>
  <si>
    <t>Seguiments de flora amenaçada: Orchis cazorlensis, Asplenium sagittatum, Nepeta tuberosa, Lepidium hirtum, Ramonda myconi, Berberis garciae, Arenaria conimbricensis subsp. viridis, Jasione crispa s.l., Botrychium lunaria, Epipactis leptochila i Atropa baetica.</t>
  </si>
  <si>
    <t>Seguiment anual de les poblacions d'invertebrats amenaçats: Saga pedo, Erebia epistygne, Iolana debilitata, Zygaena ignifera, Macromia splendens, Austropotamobius pallipes</t>
  </si>
  <si>
    <t>MAC/JMQ</t>
  </si>
  <si>
    <t>Estudi dels pol·linitzadors al PNP</t>
  </si>
  <si>
    <t>Seguiment anual de les poblacions reproductores d'àguila cuabarrada Aquila fasciata, àguila calçada Hieraaetus pennatus, àguila marcenca Circaetus gallicus, aufrany Neophron percnopterus, astor Accipiter gentilis, duc Bubo bubo</t>
  </si>
  <si>
    <t>Seguiment de passeriformes amenaçats (còlit ros, cogullada fosca, botxí)</t>
  </si>
  <si>
    <t>Projecte de reintroducció del trencalòs: Seguiment del trencalòs Gypaetus barbatus mitjançant fototrampeig als Punts d'alimentació suplementària</t>
  </si>
  <si>
    <t>Participació en el pla de seguiment del gat fer i altres mesocarnívors (Felis-ICHN)</t>
  </si>
  <si>
    <t>Participació en el Seguiment d’Ocells Comuns a Catalunya (SOCC)</t>
  </si>
  <si>
    <t>Col·laboració en els projectes de seguiment de quiròpters (Museu de Ciències Naturals de Granollers)</t>
  </si>
  <si>
    <t>Seguiment de la llúdriga als espais fluvials del Parc</t>
  </si>
  <si>
    <t>Seguiment de la recuperació de la biodiversitat en l'àmbit de l'incendi de Paüls</t>
  </si>
  <si>
    <t>06.3.3</t>
  </si>
  <si>
    <t xml:space="preserve">Mantenir una base de dades de seguiment de patrimoni natural de l'ENP actualitzada i ordenada </t>
  </si>
  <si>
    <t>Pensar si cal tenir-la indivualitzada o integrada al sistema UIC</t>
  </si>
  <si>
    <t>Actualitzar les bases de dades dels seguiments que realitza el ENP</t>
  </si>
  <si>
    <t>*Actualitzar les bases de dades dels seguiments que realitza el ENP</t>
  </si>
  <si>
    <t>Base de dades actualitzada</t>
  </si>
  <si>
    <t>06.3.4</t>
  </si>
  <si>
    <t>Participar en la definició, organització i bolcatge de dades del SINATCAT</t>
  </si>
  <si>
    <t>Participar en el grups de treball per a la definició i organització del SINATCAT</t>
  </si>
  <si>
    <t>*Participar en el grups de treball per a la definició i organització del SINATCAT</t>
  </si>
  <si>
    <t>UIC/SENP: Crear i coordinar una metodologia participativa per a la definició del SINATCAT</t>
  </si>
  <si>
    <t>Percentatge de participació de l'ENP en reunions del SINATCAT</t>
  </si>
  <si>
    <t>06.4</t>
  </si>
  <si>
    <t>Incrementar el coneixement de qualitat mitjançant l’establiment de marcs de col·laboració, assessorament i suport amb centres de recerca, museus i entitats naturalistes per al desenvolupament de part de la seva activitat en l’ENP</t>
  </si>
  <si>
    <t>06.4.1</t>
  </si>
  <si>
    <t>Crear sinèrgies i col·laborar amb museus i equipaments de referència per definir línies d'actuació conjunta entre patrimoni cultural i natural</t>
  </si>
  <si>
    <t>Col·laborar amb el Museu de les Terres de l'Ebre i el Museu de la Pauma de Mas de Barberans per definir línies d'actuació conjunta entre patrimoni cultural i natural</t>
  </si>
  <si>
    <t>*Col·laborar amb el Museu de les Terres de l'Ebre i el Museu de la Pauma de Mas de Barberans per definir línies d'actuació conjunta entre patrimoni cultural i natural</t>
  </si>
  <si>
    <t>SENP: Elaborar un mapa d'agents de referència</t>
  </si>
  <si>
    <t xml:space="preserve">Nombre de línies d'actuacions engegades </t>
  </si>
  <si>
    <t>06.4.2</t>
  </si>
  <si>
    <t>Establir acords amb les institucions de recerca i naturalistes per al desenvolupament d'estudis i inventaris dins l'ENP en el marc de les seves línies de recerca</t>
  </si>
  <si>
    <t>Contractació o establiment d'acords amb les institucions de recerca i naturalistes per al desenvolupament d'estudis i inventaris dins l'ENP en el marc de les seves línies de recerca</t>
  </si>
  <si>
    <t>Incloure contractes, estudiants en pràctiques</t>
  </si>
  <si>
    <t>Acollir estudiants en pràctiques en el marc dels convenis amb universitat i centres de recerca</t>
  </si>
  <si>
    <t>*Acollir estudiants en pràctiques en el marc dels convenis amb universitat i centres de recerca</t>
  </si>
  <si>
    <t>SENP: Elaborar un mapa d'agents de referècia</t>
  </si>
  <si>
    <t>Nombre d'estudiants acollits</t>
  </si>
  <si>
    <t>06.4.3</t>
  </si>
  <si>
    <t xml:space="preserve">Potenciar la ciència ciutadana en l’ENP com a eina per generar coneixement </t>
  </si>
  <si>
    <t>06.4.4</t>
  </si>
  <si>
    <t xml:space="preserve">Crear i desenvolupar jornades de recerca de l'ENP de forma anual on els diferents centres mostrin els estudis realizats en l'ENP </t>
  </si>
  <si>
    <t xml:space="preserve">Crear i desenvolupar jornades de recerca de l'ENP de forma periòdica on els diferents centres mostrin els estudis realizats en l'ENP </t>
  </si>
  <si>
    <t>Canviar anual per periòdica</t>
  </si>
  <si>
    <t>SENP: Suport en l'organització de les jornades</t>
  </si>
  <si>
    <t>1) Jornades realitzades</t>
  </si>
  <si>
    <t>1) 1</t>
  </si>
  <si>
    <t>1) 4</t>
  </si>
  <si>
    <t>06.4.5</t>
  </si>
  <si>
    <t>Posar a disposició de la recerca, equipaments i serveis de l'ENP</t>
  </si>
  <si>
    <t>Posar a disposició la casa de Gànduls per a equips de recerca que treballen a l'ENP</t>
  </si>
  <si>
    <t>*Posar a disposició la casa de Gànduls per a equips de recerca que treballen a l'ENP</t>
  </si>
  <si>
    <t>Percentatge d'ocupació de la casa de Ganduls</t>
  </si>
  <si>
    <t>06.4.6</t>
  </si>
  <si>
    <t xml:space="preserve">Crear l'Observatori de recerca de l'ENP vinculat a l'Observatori del Patrimoni natural i la biodiversitat </t>
  </si>
  <si>
    <t>No tenim previst crear-lo en el període 2025-2029</t>
  </si>
  <si>
    <t>UIC: Suport en la creació de l'Observatori de reserca</t>
  </si>
  <si>
    <t>06.5</t>
  </si>
  <si>
    <t>Millorar el coneixement global de les dinàmiques d'usos antròpics de l’ENP</t>
  </si>
  <si>
    <t>06.5.1</t>
  </si>
  <si>
    <t>Participar en la definició del sistema estándard de seguiment de l'ús públic amb el SENP</t>
  </si>
  <si>
    <t>*Participar en la definició del sistema estándard de seguiment de l'ús públic amb el SENP</t>
  </si>
  <si>
    <t>SENP: Crear espais de participació. Definició del sistema estándard de seguiment de l'ús públic</t>
  </si>
  <si>
    <t>Percentatge d'assistència a les reunions</t>
  </si>
  <si>
    <t>06.5.2</t>
  </si>
  <si>
    <t xml:space="preserve">Disposar de dades de freqüentació i perfil d'usuari en l'ENP i en especial en equipaments i en zones d'alta freqüentació segons el model de DG </t>
  </si>
  <si>
    <t>Manteniment dels comptadors de vehicles</t>
  </si>
  <si>
    <t xml:space="preserve">*Seguiment i manteniment dels comptadors de vehicles i persones
*A.3.5.1. Revisió i millora del sistema de recollida de dades turístiques dut a terme pel PN, les oficines de turisme i pels empresaris turístics a fi de sistematitzar el procés (CETS)
*A.3.5.2. Estudi de viabilitat d'una eina 'big data' per al seguiment de visitants a determinats punts del PN (CETS)
</t>
  </si>
  <si>
    <t>SENP: Disseny i elaboració del sistema estandaritzat de presa de dades i seguiment de la freqüentació en ENP</t>
  </si>
  <si>
    <t>1) Informe anual de freqüentació
2) Estudi de viabilitat d'una eina de "big data"</t>
  </si>
  <si>
    <t>Seguiment dels serveis d'informació i educació ambiental</t>
  </si>
  <si>
    <t>*Revisió i millora del sistema de recollida de dades turístiques dut a terme pel PN, les oficines de turisme i pels empresaris turístics a fi de sistematitzar el procés (CETS)</t>
  </si>
  <si>
    <t>Percentatge d'implementació del sistema de recollida de dades en centres i empreses</t>
  </si>
  <si>
    <t>JMFR/CFF</t>
  </si>
  <si>
    <t>A.3.5.1. Revisió i millora del sistema de recollida de dades turístiques dut a terme pel PN, les oficines de turisme i pels empresaris turístics a fi de sistematitzar el procés (CETS)</t>
  </si>
  <si>
    <t>*Estudi de viabilitat d'una eina 'big data' per al seguiment de visitants a determinats punts del PN (CETS)</t>
  </si>
  <si>
    <t>Informe de viabilitat</t>
  </si>
  <si>
    <t>A.3.5.2. Estudi de viabilitat d'una eina 'big data' per al seguiment de visitants a determinats punts del PN (CETS)</t>
  </si>
  <si>
    <t>06.5.3</t>
  </si>
  <si>
    <t>Identificar les activitats i actors de l’espai.</t>
  </si>
  <si>
    <t>Es proposa eliminar per solapament amb l'Op 06.05.05</t>
  </si>
  <si>
    <t>06.5.4</t>
  </si>
  <si>
    <t>Identificar en cartografia les males praxis i punts de massificació</t>
  </si>
  <si>
    <t>06.5.5</t>
  </si>
  <si>
    <t>Adaptar i mantenir un registre d'activitats, actors i inciències en ús públic (curses, conflictes, queixes, etc)</t>
  </si>
  <si>
    <t>Adaptar i mantenir un registre i cartografia d'activitats, actors i inciències en ús públic (curses, conflictes, queixes, etc)</t>
  </si>
  <si>
    <t>Adaptar per incloure Ops 06.5.3 i 06.5.4</t>
  </si>
  <si>
    <t>UIC: Disseny d'un model de registre d'activitats, actors i inciències en ús públic</t>
  </si>
  <si>
    <t>06.5.6</t>
  </si>
  <si>
    <t>Identificar els impactes (positius i negatius) que generen les activitats d'ús públic dins l'ENP</t>
  </si>
  <si>
    <t>Diagnosi de la identificació dels impactes (positius i negatius) que generen les activitats d'ús públic dins l'ENP</t>
  </si>
  <si>
    <t>*Diagnosi de la identificació dels impactes (positius i negatius) que generen les activitats d'ús públic dins l'ENP</t>
  </si>
  <si>
    <t>Informe/llistat dels impactes</t>
  </si>
  <si>
    <t>FIXAR LA POBLACIÓ AL TERRITORI d'acord amb les oportunitats que generen els objectius de l'espai.</t>
  </si>
  <si>
    <t>07.1</t>
  </si>
  <si>
    <t xml:space="preserve">Fomentar i donar suport tècnic als Plans de desenvolupament socioecòmonic local sostenible dels municipis </t>
  </si>
  <si>
    <t>07.1.1</t>
  </si>
  <si>
    <t xml:space="preserve">Promoure i/o col·laborar en l'aplicació de Plans de Desenvolupament Local Sostenible </t>
  </si>
  <si>
    <t>Promoure i/o col·laborar en la planificació i el desenvolupament sostenible en l’àmbit local</t>
  </si>
  <si>
    <t>Col·laborar en el pla "Treball a les Comarques" Terra Alta Més del Servei d'Ocupació de Catalunya (SOC)</t>
  </si>
  <si>
    <t>*Col·laborar en els plans comarcals del Servei d'Ocupació de Catalunya (SOC)</t>
  </si>
  <si>
    <t>Nombre de plans recolçats</t>
  </si>
  <si>
    <t>Col·laborar en el pla "Treball a les Comarques" Baix Ebre Avant del Servei d'Ocupació de Catalunya (SOC)</t>
  </si>
  <si>
    <t>Col·laborar en el pla "Treball a les Comarques" Agència de desenvolupament del Montsià del Servei d'Ocupació de Catalunya (SOC)</t>
  </si>
  <si>
    <t xml:space="preserve">APROFITAR ELS RECURSOS NATURALS DE FORMA SOSTENIBLE mitjançant desenvolupament dels aprofitaments tradicionals de forma compatible amb la conservació de l'espai </t>
  </si>
  <si>
    <t>08.1</t>
  </si>
  <si>
    <t>Impulsar models productius agraris i forestals per tal d'afavorir la conservació dels hàbitats i els paisatges modelats per aquestes, i contribuir a la millora socioeconòmica de les persones que la fan possible</t>
  </si>
  <si>
    <t>08.1.1</t>
  </si>
  <si>
    <t xml:space="preserve">Acompanyar i assessorar els productors agraris per millorar les tècniques productives agràries i afavorir la conservació dels hàbitats i paisatges </t>
  </si>
  <si>
    <t xml:space="preserve">Acompanyar i assessorar els productors agraris, ramaders i forestals per millorar les tècniques productives agràries i afavorir la conservació dels hàbitats i paisatges </t>
  </si>
  <si>
    <t>S'afegeixen ramaders i forestals. S'afegeix assessorament</t>
  </si>
  <si>
    <t>2.1.3. Assessorament i acompanyament individualitzat (PRODUCT)</t>
  </si>
  <si>
    <t>2.1.3. Assessorament i acompanyament individualitzat (PRODUCT)
2.2.2. Elaborar estudis o diagnosis específiques sobre particularitats de la producció agroalimentària de l’àmbit del Parc (PRODUCT)
5.1.1. Assessorament en la gestió de la finca (PRODUCT)</t>
  </si>
  <si>
    <t>2.2.2. Elaborar estudis o diagnosis específiques sobre particularitats de la producció agroalimentària de l’àmbit del Parc (PRODUCT)</t>
  </si>
  <si>
    <t>5.1.1. Assessorament en la gestió de la finca (PRODUCT)</t>
  </si>
  <si>
    <t>08.1.2</t>
  </si>
  <si>
    <t xml:space="preserve">Oferir formació als productors agraris per millorar el seu coneixement sobre tècniques eficients i respectuoses amb la conservació del patrimoni natural i cultural </t>
  </si>
  <si>
    <t xml:space="preserve">Oferir formació i assessorament als productors agraris, ramaders i forestals per millorar el seu coneixement sobre tècniques eficients i respectuoses amb la conservació del patrimoni natural i cultural </t>
  </si>
  <si>
    <t>2.1.1. Coordinació i/o impartició de formació especialitzada adreçada a productors agroalimentaris i artesans per aprendre a valoritzar el propi producte (PRODUCT)</t>
  </si>
  <si>
    <t>2.1.1. Coordinació i/o impartició de formació especialitzada adreçada a productors agroalimentaris i artesans per aprendre a valoritzar el propi producte (PRODUCT)
2.1.2. Organització de jornades tècniques formatives (PRODUCT)</t>
  </si>
  <si>
    <t>S'afegeixen ramaders i forestals</t>
  </si>
  <si>
    <t>2.1.2. Organització de jornades tècniques formatives (PRODUCT)</t>
  </si>
  <si>
    <t>08.1.3</t>
  </si>
  <si>
    <t>Promoure la recuperació i conservació de marges i punts d'aigua associats a la ramaderia i l'agricultura i d'interès per la biodiversitat</t>
  </si>
  <si>
    <t>Promoure i recuperar la conservació de marges i punts d'aigua associats a la ramaderia i l'agricultura i d'interès per la biodiversitat</t>
  </si>
  <si>
    <t>Incloure la recuperació</t>
  </si>
  <si>
    <t xml:space="preserve">Treballs de brigada per a la recuperació de marges i punts d'aigua d'interès per a la flora i la flora en explotacions ramaderes i agrícoles </t>
  </si>
  <si>
    <t xml:space="preserve">*Treballs de brigada per a la recuperació de marges i punts d'aigua d'interès per a la flora i la flora en explotacions ramaderes i agrícoles </t>
  </si>
  <si>
    <t>Nombre de punts d'aigua recuperats</t>
  </si>
  <si>
    <t>08.2</t>
  </si>
  <si>
    <t>Promoure la coordinació amb els agents socioeconòmics del territori pel foment del desenvolupament sostenible de l'espai (sector primari i secundari)</t>
  </si>
  <si>
    <t>08.2.1</t>
  </si>
  <si>
    <t>Establir una relació contínua amb agents socioeconòmics del territori, i si s'escau, crear una Taula de desenvolupament local</t>
  </si>
  <si>
    <t>Eliminar. Inclòs a la CETS. A.4.1.1.</t>
  </si>
  <si>
    <t>08.3</t>
  </si>
  <si>
    <t>Millorar la valorització i comercialització dels productes generats a l'ENP que contribueixen al desenvolupament socioeconòmic i la conservació del patrimoni de l'ENP</t>
  </si>
  <si>
    <t>08.3.1</t>
  </si>
  <si>
    <t>Implantar un distintiu de qualitat i compatibilitat amb la conservació dels productes de la Xarxa d'ENP o criteris de qualitat propis de l'ENP</t>
  </si>
  <si>
    <t>3.2.1. Orientació sobre la normativa en l’etiquetatge dels productes (PRODUCT)</t>
  </si>
  <si>
    <t>*Implementar la marca Fet al Parc
*Col·laborar amb la DGPAMN per a la creació i el desenvolupament del distintiu "Fet al Parc" i reorganitzar les altres iniciatives perquè hi conflueixin</t>
  </si>
  <si>
    <t>SENP: Crear una marca que identifiqui els productes agroalimentaris generats en els ENP</t>
  </si>
  <si>
    <t>Implementació de la marca</t>
  </si>
  <si>
    <t>08.3.2</t>
  </si>
  <si>
    <t>Integrar els productes i activitats locals de qualitat en l'oferta d'activitats d'informació i turístiques de l'ENP</t>
  </si>
  <si>
    <r>
      <t xml:space="preserve">A.3.1. Elaboració d'un directori digital de productes artesans (ARTESAN): </t>
    </r>
    <r>
      <rPr>
        <b/>
        <sz val="11"/>
        <rFont val="Calibri"/>
        <family val="2"/>
        <scheme val="minor"/>
      </rPr>
      <t>manteniment del directori existent</t>
    </r>
  </si>
  <si>
    <t>*Manteniment del directori sobre la producció local del Parc Natural al web oficial del Parc Natural dels Ports
*Foment de la venda i comercialització de productes artesans als Punts d'informació del PNP
*Elaborar material de marxandatge amb aquest segell o distintiu</t>
  </si>
  <si>
    <t>ESNATURA
CETS</t>
  </si>
  <si>
    <t>1) Nombre de productors nous incorporats
2) Nombre de punts d'informació amb producte local o artesà
3) Producció de material de marxandatge</t>
  </si>
  <si>
    <t>1) 2
2) 1
3) 1</t>
  </si>
  <si>
    <t>1) 4
2) 3
3) 1</t>
  </si>
  <si>
    <t>A.4.4. Foment de la venda i comercialització de productes artesans als Punts d'informació del PNP (ARTESAN)</t>
  </si>
  <si>
    <t>3.2.2. Potenciar els Centres de visitants del Parc Natural dels Ports a Roquetes, Prat de Comte i la Sénia, així com l'Alberg a Alfara de Carles per a la venda conjunta dels productes locals i artesanals (PRODUCT)</t>
  </si>
  <si>
    <t>1.1.2. Crear un apartat específic sobre la producció local i artesana del Parc Natural al web oficial del Parc Natural dels Ports (PRODUCT): manteniment del directori existent</t>
  </si>
  <si>
    <t>3.1.2. Elaborar material de marxandatge amb aquest segell o distintiu (PRODUCT)</t>
  </si>
  <si>
    <t>1.1.3. Elaborar material divulgatiu sobre alguna particularitat de la producció local del Parc per fomentar el consum local o dels visitants (PRODUCT): col·laboració amb el LEADER i GAL per dissenyar i produir material divulgatiu</t>
  </si>
  <si>
    <t>1.1.4. Crear un Catàleg d’experiències turístiques en base al producte local i l’artesania (PRODUCT)</t>
  </si>
  <si>
    <t>2.1.4. Potenciar les experiències entorn de l’oleoturisme, en particular, ja que l’oli és el producte agroalimentari amb més presència en l’àmbit del Parc Natural dels Ports (PRODUCT)</t>
  </si>
  <si>
    <t>08.3.3</t>
  </si>
  <si>
    <t>Promoure fires d'artesania i productes locals de l'ENP</t>
  </si>
  <si>
    <t>A.4.1.2. Reforç de la presència del parc natural a les fires locals de l'àrea d'influència de l'espai protegit (CETS)</t>
  </si>
  <si>
    <t>*Presència del parc natural a les fires locals de l'àrea d'influència de l'espai protegit
* Itinerància de l'exposició de productes artesans als pobles de l'àmbit del Parc
* Creació de marxandatge artesà en motiu del 25è aniversari del Parc
*Participació a FesTast amb els productors Fet al Parc</t>
  </si>
  <si>
    <t>1) Nombre de fires amb presència
2) Nombre de pobles en els que s'ha exhibit l'exposisió itinerant
3) Creació de marxandatge artesà
4) Nombre d'edicions de FestTast amb presència del Parc</t>
  </si>
  <si>
    <t>1) 2
2) 3
3) 1
4) 2</t>
  </si>
  <si>
    <t>1) 4
2) 6
3) 1
4) 4</t>
  </si>
  <si>
    <r>
      <t xml:space="preserve">A.2.3. Creació d'una exposició itinerant de productes artesans que viatgés pels diferents punts d'informació dels Ports: </t>
    </r>
    <r>
      <rPr>
        <b/>
        <sz val="11"/>
        <rFont val="Calibri"/>
        <family val="2"/>
        <scheme val="minor"/>
      </rPr>
      <t>itinerància de l'exposició als pobles de l'àmbit del Parc</t>
    </r>
  </si>
  <si>
    <r>
      <t xml:space="preserve">A.4.3. Disseny, promoció i comercialització de productes artesans de marxandatge dels Ports (ARTESAN): </t>
    </r>
    <r>
      <rPr>
        <b/>
        <sz val="11"/>
        <rFont val="Calibri"/>
        <family val="2"/>
        <scheme val="minor"/>
      </rPr>
      <t>creació de marxandatge artesà en motiu del 25è aniversari del Parc</t>
    </r>
  </si>
  <si>
    <r>
      <t xml:space="preserve">1.2.5. Programa de tallers i activitats que es poguessin organitzar de forma conjunta entre el Parc Natural i les empreses productores i artesanes (PRODUCT): </t>
    </r>
    <r>
      <rPr>
        <b/>
        <sz val="11"/>
        <rFont val="Calibri"/>
        <family val="2"/>
        <scheme val="minor"/>
      </rPr>
      <t>demostracions i tallers d'artesania en fires locals</t>
    </r>
  </si>
  <si>
    <r>
      <t xml:space="preserve">3.3.1. Suport a la dinamització de fires especialitzades entorn dels productes agroalimentaris (PRODUCT): </t>
    </r>
    <r>
      <rPr>
        <b/>
        <sz val="11"/>
        <rFont val="Calibri"/>
        <family val="2"/>
        <scheme val="minor"/>
      </rPr>
      <t>participació a FesTast amb els productors Fet al Parc</t>
    </r>
  </si>
  <si>
    <t>3.3.2. Suport a les empreses locals per participar en fires nacionals o internacionals (PRODUCT)</t>
  </si>
  <si>
    <t>08.3.4</t>
  </si>
  <si>
    <t xml:space="preserve">Generar aliances entre el sector primari, el turisme, la restauració i altres per fomentar la gastronomia local </t>
  </si>
  <si>
    <t>4.2.1. Organització de networkings entre productors agroalimentaris i artesans amb comerços, restaurants i allotjaments turístics dels municipis de l’àmbit del Parc Natural (PRODUCT): reunions periòdiques de la comissió dels productors agroalimentaris Fet al Parc</t>
  </si>
  <si>
    <t>*Reunions periòdiques de la comissió dels productors agroalimentaris Fet al Parc</t>
  </si>
  <si>
    <t>Nombre de reunions de la comissió</t>
  </si>
  <si>
    <t>4.2.2 Organització de jornades gastronòmiques amb producte elaborat/produït al Parc Natural i restaurants de municipis del Parc o de l’entorn proper (PRODUCT): organització en col·laboració amb els GAL del LEADER en l'organització de showcooking amb productes Fet al Parc</t>
  </si>
  <si>
    <t>08.3.5</t>
  </si>
  <si>
    <t>Elaborar una diagnòsi del teixit productiu local i un pla d’acció amb línies de treball i actuacions concretes per donar-li suport</t>
  </si>
  <si>
    <t>Actualitzar la diagnosi del teixit productiu local i un pla d’acció amb línies de treball i actuacions concretes per donar-li suport</t>
  </si>
  <si>
    <t>Fet</t>
  </si>
  <si>
    <t>08.3.6</t>
  </si>
  <si>
    <t>Promoure els agents del territori que potencien i difonen els productes locals i de qualitat (artesanies, allotjaments, restaurants, cellers, establiments, elaboradors i productors) que afavoreixin la conservació</t>
  </si>
  <si>
    <r>
      <t xml:space="preserve">1.1.1 Elaborar un Directori dels productors/es i artesans/es del Parc Natural dels Ports: </t>
    </r>
    <r>
      <rPr>
        <b/>
        <sz val="11"/>
        <rFont val="Calibri"/>
        <family val="2"/>
        <scheme val="minor"/>
      </rPr>
      <t>manteniment del directori web</t>
    </r>
  </si>
  <si>
    <t>*Manteniment del directori sobre l'artesania del Parc Natural al web oficial del Parc Natural dels Ports</t>
  </si>
  <si>
    <t>Nombre d'artesans nous incorporats</t>
  </si>
  <si>
    <t xml:space="preserve">2
</t>
  </si>
  <si>
    <t>SMM</t>
  </si>
  <si>
    <t>Promocionar l’artesania dins del programa lectiu de les escoles.</t>
  </si>
  <si>
    <t>Elaborar una guia per promocionar els agents del territori que potencien i difonen els productes locals i de qualitat (allotjaments, restaurants, cellers, establiments, elaboradors, productors, artesans)</t>
  </si>
  <si>
    <t>Incloure artesans</t>
  </si>
  <si>
    <t>A.3.5. Elaboració d'un catàleg d'artesans/es a disposició del públic als punts d'informació (ARTESAN)</t>
  </si>
  <si>
    <t>Diagnosi dels productors i productores locals del Parc Natural dels Ports. (6.4. Pla d’acció)</t>
  </si>
  <si>
    <t>1.1.1. Elaborar un Directori dels productors/es i artesans/es del Parc Natural dels Ports // 1.1.2. Crear un apartat específic sobre la producció local i artesana del Parc Natural al web oficial del Parc //...</t>
  </si>
  <si>
    <t>08.3.7</t>
  </si>
  <si>
    <t>Desplegar el Pla d'acció per al foment de l'artesania del Parc Natural dels Ports (2023-2027)</t>
  </si>
  <si>
    <r>
      <rPr>
        <b/>
        <sz val="11"/>
        <rFont val="Calibri"/>
        <family val="2"/>
        <scheme val="minor"/>
      </rPr>
      <t>NOU.</t>
    </r>
    <r>
      <rPr>
        <sz val="11"/>
        <rFont val="Calibri"/>
        <family val="2"/>
        <scheme val="minor"/>
      </rPr>
      <t xml:space="preserve"> Inclous Ops 08.03.1, 08.3.5, 08.3.6 i 08.4.3</t>
    </r>
  </si>
  <si>
    <r>
      <t>0. Coordinació i seguiment del Pla d'artesania:</t>
    </r>
    <r>
      <rPr>
        <b/>
        <sz val="11"/>
        <rFont val="Calibri"/>
        <family val="2"/>
        <scheme val="minor"/>
      </rPr>
      <t xml:space="preserve"> Actualització del Pla d'artesania (ARTESAN)</t>
    </r>
  </si>
  <si>
    <t>*Seguiment del Pla d'acció d'artesania</t>
  </si>
  <si>
    <t>Percentatge d'accions assolides</t>
  </si>
  <si>
    <r>
      <t xml:space="preserve">A.3.10. Creació d'un canal directe de comunicació amb el PN per a la difusió de l'activitat artesana (ARTESAN): </t>
    </r>
    <r>
      <rPr>
        <b/>
        <sz val="11"/>
        <rFont val="Calibri"/>
        <family val="2"/>
        <scheme val="minor"/>
      </rPr>
      <t>manteniment del canal de comunicació</t>
    </r>
  </si>
  <si>
    <t>08.3.8</t>
  </si>
  <si>
    <t>Desplegar el Pla d'acció de la Diagnosi dels productors i productores locals del PNP</t>
  </si>
  <si>
    <t>NOU</t>
  </si>
  <si>
    <t>0. Coordinació i seguiment del Pla d'acció de la Diagnosi dels productors i productores locals del PNP (PRODUCT)</t>
  </si>
  <si>
    <t>*Seguiment del Pla d'acció de la producció local</t>
  </si>
  <si>
    <t>2.2.4. Estudi de la traçabilitat de la producció agrícola i ramadera (PRODUCT)</t>
  </si>
  <si>
    <t>4.1.1. Suport a la dinamització de col·lectius de productors i/o artesans (PRODUCT)</t>
  </si>
  <si>
    <t>08.4</t>
  </si>
  <si>
    <t>Contribuir a una correcta planificació i gestió dels recursos cinegètics i piscícoles de forma compatible amb els valors de l'ENP</t>
  </si>
  <si>
    <t>08.4.1</t>
  </si>
  <si>
    <t>Treballar amb l'autoritat competent per garantir objectius de conservació d’espècies i hàbitats en la revisió dels Plans de Gestió Cinegètica</t>
  </si>
  <si>
    <t>Col·laborar amb l'Administració cinegètica i les Àrees privades de caça per garantir objectius de conservació d’espècies i hàbitats en la revisió dels Plans de Gestió Cinegètica</t>
  </si>
  <si>
    <t>Participar en la revisió i el desenvolupament del protocol de col·laboració entre la Direcció General d’Ecosistemes Forestals i Gestió del Medi i la Direcció General de Polítiques Ambientals i Medi Natural per la que s’estableixen els criteris de treball entre les Reserves Nacionals de Caça i els Espais Naturals Protegits</t>
  </si>
  <si>
    <t xml:space="preserve">*Participar en la revisió i el desenvolupament del protocol de col·laboració entre la Direcció General d’Ecosistemes Forestals i Gestió del Medi i la Direcció General de Polítiques Ambientals i Medi Natural
*Elaborar els informes ambientals dels PTGC de les Àrees Privades de Caça
*Millorar el sistema de notificació de les batudes de caça en els zones d’ús públic
*Regular les batudes de caça als territoris de reproducció dels rapinyaires
</t>
  </si>
  <si>
    <t>1) Nombre d'assistències a les reunions
2) Percentatge d'informes elaborats
3) Percentatge de notificacions rebudes 48h abans de l'inici de la batuda
4) Nombre de territoris de rapinyaires afectats</t>
  </si>
  <si>
    <t>1) 1
2) 100%
3) 90%
4) 0</t>
  </si>
  <si>
    <t>1) 4
2) 100%
3) 100%
4) 0</t>
  </si>
  <si>
    <t>Elaborar els informes ambientals dels PTGC de les Àrees Privades de Caça</t>
  </si>
  <si>
    <t>*Elaborar els informes ambientals dels PTGC de les Àrees Privades de Caça</t>
  </si>
  <si>
    <t>Regular les batudes de caça als territoris de reproducció dels rapinyaires</t>
  </si>
  <si>
    <t>*Millorar el sistema de notificació de les batudes de caça en els zones d’ús públic</t>
  </si>
  <si>
    <t>Instar a la Subdirecció General de Fauna Cinegètica, Caça i Pesca Continental a millorar la informació disponible a l'avançada i en temps real sobre les batudes de caça</t>
  </si>
  <si>
    <t>*Regular les batudes de caça als territoris de reproducció dels rapinyaires</t>
  </si>
  <si>
    <t>08.4.2</t>
  </si>
  <si>
    <t>Col·laborar en la regulació i ordenació de la caça i la pesca en zones sensibles o amb risc d'afectació d'elements clau objecte de conservació</t>
  </si>
  <si>
    <t>Es proposa eliminar per solapament amb l'Op anterior</t>
  </si>
  <si>
    <t>08.4.3</t>
  </si>
  <si>
    <t>Donar suport en la gestió de poblacions que generen danys a les activitats econòmiques de l'ENP</t>
  </si>
  <si>
    <t>Donar suport en la gestió de poblacions de fauna salvatge que generen danys a les activitats econòmiques de l'ENP</t>
  </si>
  <si>
    <t>Elaborar els informes ambientals de les autoritzacions de les batudes excepcionals per danys agrícoles i ramaders</t>
  </si>
  <si>
    <t>*Elaborar els informes ambientals de les autoritzacions de les batudes excepcionals per danys agrícoles i ramaders</t>
  </si>
  <si>
    <t>Percentatge d'informes realitzats</t>
  </si>
  <si>
    <t xml:space="preserve">FOMENTAR UN TURISME SOSTENIBLE compatible amb la conservació de l'espai </t>
  </si>
  <si>
    <t>09.1</t>
  </si>
  <si>
    <t xml:space="preserve">Fomentar un model de turisme que promogui els valors dels espais naturals protegits d'acord amb els agents turístics del territori </t>
  </si>
  <si>
    <t>09.1.1</t>
  </si>
  <si>
    <t>Desplegar la Carta Europea de Turisme Sostenible (CETS)</t>
  </si>
  <si>
    <t>A.1.1.1. Formalització del Fòrum Permanent com a instrument d'informació, participació i decisió de tots els agents turístics adherits a la CETS (CETS): gestió i manteniment de les reunions del Fòrum Permanent</t>
  </si>
  <si>
    <t xml:space="preserve">*Seguiment i avaluació del pla d’acció de la CETS al PN durant el període 2022-2026
*Convocar i celebrar les reunions del Fòrum Permanent de la CETS
*Convocar i celebrar les reunions del Grup de Treball de la CETS
*Assistència a les reunions en la CETSCAT i el Seminari permanent de la CETS d'EUROPARC
</t>
  </si>
  <si>
    <t>1) Percentatge d'accions assolides
2) Nombre de reunions celebrades del FP
3) Nombre de reunions celebrades del GT
4) Percentatge assistència a les reunions de CETSCAT</t>
  </si>
  <si>
    <t>1) 80%
2) 4
3) 4
4) 100%</t>
  </si>
  <si>
    <t>1) 90%
2) 4
3) 4
4) 100%</t>
  </si>
  <si>
    <t>A.1.1.2. Formalització del Grup de Treball com a instrument de seguiment, coordinació i decisió immediata de tots els agents turístics adherits a la CETS (CETS): gestió i manteniment de les reunions del GT</t>
  </si>
  <si>
    <t>A.1.1.4. Dotació de recursos humans per realitzar les tasques de coordinació de la CETS al PN (CETS): Tasques de suport a l'Àrea d'ús públic (contracte Assistència tècnica de suport a la CETS)</t>
  </si>
  <si>
    <t>A.1.2.1. Disseny i execució d'activitats d'intercanvi de coneixement entre el sector públic i privat per a la generació de xarxes i espais de treball comú (CETS)</t>
  </si>
  <si>
    <t>A.1.2.2. Participació activa del PN a la xarxa de parcs adherits a la CETS (CETS): participar en la CETSCAT i en el Seminari permanent de la CETS d'EUROPARC.</t>
  </si>
  <si>
    <t>A.1.3.1. Seguiment i avaluació del procés d'implantació de la CETS al PN durant el període 2022-2026 (CETS)</t>
  </si>
  <si>
    <t>A.2.3.1. Impuls d'accions d'Educació i Voluntariat Ambiental en l'àmbit educatiu i de la població local (CETS)</t>
  </si>
  <si>
    <r>
      <t xml:space="preserve">A.5.1.1. Elaborar i executar el Pla de comunicació de la CETS (CETS): </t>
    </r>
    <r>
      <rPr>
        <b/>
        <sz val="11"/>
        <rFont val="Calibri"/>
        <family val="2"/>
        <scheme val="minor"/>
      </rPr>
      <t>Servei de realització de fotografies i vídeos d'empreses adherides a la Carta Europea de Turisme Sostenible del Parc Natural dels Ports</t>
    </r>
  </si>
  <si>
    <r>
      <t xml:space="preserve">A.3.2.1. Acreditació d'espais com a punts d'informació i acreditació de persones com a agents informadors del Parc Natural (CETS): </t>
    </r>
    <r>
      <rPr>
        <b/>
        <sz val="11"/>
        <rFont val="Calibri"/>
        <family val="2"/>
        <scheme val="minor"/>
      </rPr>
      <t>Senyalització Espai informació CETS</t>
    </r>
  </si>
  <si>
    <t>09.1.2</t>
  </si>
  <si>
    <t>Tramitar la certificació Biosphere</t>
  </si>
  <si>
    <t>Eliminar. No aplica</t>
  </si>
  <si>
    <t>09.1.3</t>
  </si>
  <si>
    <t>Fomentar la creació d'allotjaments i altres recursos turístics d'acord amb les necessitats i els agents turístics del territori que es vinculin als valors naturals de l'espai</t>
  </si>
  <si>
    <t>09.2</t>
  </si>
  <si>
    <t>Promoure la coordinació amb els agents turístics del territori (empreses, industries, administració).</t>
  </si>
  <si>
    <t>09.2.1</t>
  </si>
  <si>
    <t xml:space="preserve">Treballar amb les empreses turístiques per trobar eines de canvi cap a un model de turisme sostenible i de qualitat </t>
  </si>
  <si>
    <t xml:space="preserve">Treballar amb els agents turístics per trobar eines de canvi cap a un model de turisme sostenible i de qualitat </t>
  </si>
  <si>
    <t>Canviar empreses per agents (per incloure administracions)</t>
  </si>
  <si>
    <t>Participar en el Consell de Marca "Terres de l'Ebre" de l'OA Patronat de Turisme de la Diputació de Tarragona</t>
  </si>
  <si>
    <t>*Participar en el Consell de Marca "Terres de l'Ebre" de l'OA Patronat de Turisme de la Diputació de Tarragona
*Realització de workshops entre centres de formació professional i empreses privades (CETS)
*Organització i execució de viatges de familiarització amb Aragó i Castelló per a la creació de productes turístics compartits (CETS)
*Establir col·laboracions amb el PN Delta de l’Ebre per a impulsar nous productes turístics i millorar els existents (CETS)</t>
  </si>
  <si>
    <t>1) Percentatge assistència a les reunions del Consell de Marca
2) Nombre de workshops celebrats</t>
  </si>
  <si>
    <t>1) 75%
2) 1</t>
  </si>
  <si>
    <t>A.4.3.1. Realització de workshops entre centres de formació professional i empreses privades (CETS)</t>
  </si>
  <si>
    <t>09.2.2</t>
  </si>
  <si>
    <t>Crear productes i paquets turístics amb associacions d’empreses turístiques i operadors turístics</t>
  </si>
  <si>
    <t>A.4.2.6. Organització i execució de viatges de familiarització amb Aragó i Castelló per a la creació de productes turístics compartits (CETS)</t>
  </si>
  <si>
    <t>A.4.2.6. Organització i execució de viatges de familiarització amb Aragó i Castelló per a la creació de productes turístics compartits (CETS)
A.4.2.7. Establir col·laboracions amb el PN Delta de l’Ebre per a impulsar nous productes turístics i millorar els existents (CETS)
A.3.4.2. Disseny i promoció d'un catàleg d'experiències turístiques (CETS)</t>
  </si>
  <si>
    <t>A.4.2.7. Establir col·laboracions amb el PN Delta de l’Ebre per a impulsar nous productes turístics i millorar els existents (CETS)</t>
  </si>
  <si>
    <t>A.3.4.2. Disseny i promoció d'un catàleg d'experiències turístiques (CETS)</t>
  </si>
  <si>
    <t>ORDENAR ELS USOS I APROFITAMENTS per garantir l'equilibri de les activitats humanes amb la conservació de la biodiversitat</t>
  </si>
  <si>
    <t>10.1</t>
  </si>
  <si>
    <t>Estandarditzar de regulació d'usos i aprofitaments  en base al model de Pla de protecció</t>
  </si>
  <si>
    <t>10.1.1</t>
  </si>
  <si>
    <t>Establir un model de construcció a l'ENP en base al model de Pla de protecció</t>
  </si>
  <si>
    <t>Establir un model de construcció a l'ENP en base a les tècniques tradicionals</t>
  </si>
  <si>
    <t>No tenim Pla</t>
  </si>
  <si>
    <t>Difondre la guia de bones pràctiques d'arquitectura tradicional entre propietaris, promotors i professionals de la construcció</t>
  </si>
  <si>
    <t>*Difondre la guia de bones pràctiques d'arquitectura tradicional entre propietaris, promotors i professionals de la construcció</t>
  </si>
  <si>
    <t>SPEN: Elaborar model</t>
  </si>
  <si>
    <t>Nombre de guies distribuïdes entre els actors</t>
  </si>
  <si>
    <t>10.1.2</t>
  </si>
  <si>
    <t>Ordenar els aprofitaments i extraccions dins l'espai</t>
  </si>
  <si>
    <t>ORDENAR L'ÚS PÚBLIC I SOCIAL per a la protecció dels hàbitats, espècies i elements geològics</t>
  </si>
  <si>
    <t>11.1</t>
  </si>
  <si>
    <t>Estandaritzar regulació de l’ús públic i social en base al model acordat per govern</t>
  </si>
  <si>
    <t>11.1.1</t>
  </si>
  <si>
    <t>Ordenar l'acampada i pernoctació  en base a un model estandarditzat de Pla de protecció</t>
  </si>
  <si>
    <t>Aplicar la regulació de l'acampada i la pernoctació segons el Decret 148/1992 i els acords de la Junta Rectora del Parc</t>
  </si>
  <si>
    <t>*Aplicar la regulació de l'acampada i la pernoctació segons el Decret 148/1992 i els acords de la Junta Rectora del Parc</t>
  </si>
  <si>
    <t>Nombre d'acampades i pernoctacions detectades</t>
  </si>
  <si>
    <t>11.1.2</t>
  </si>
  <si>
    <t>Ordenar la circulació rodada no motoritzada en base a un model estàndard de Pla de protecció</t>
  </si>
  <si>
    <t>S'ajusta a la realitat</t>
  </si>
  <si>
    <t>A.2.1.4. Ordenació i planificació de l'activitat ciclista al PN (CETS): creació de la comissió de Junta rectora de regulació de la circulació rodada no motoritzada</t>
  </si>
  <si>
    <t>*Ordenació i planificació de l'activitat ciclista al PN (CETS): creació de la comissió de Junta rectora de regulació de la circulació rodada no motoritzada</t>
  </si>
  <si>
    <t>Creació de la comissió</t>
  </si>
  <si>
    <t>11.1.3</t>
  </si>
  <si>
    <t>Ordenar l'escalada i alpinisme, barranquisme, i espeleologia  en base a un model estàndard de Pla de protecció</t>
  </si>
  <si>
    <t>Seguiment de la Comissió per a la regulació de l'escalada al Parc Natural dels Ports</t>
  </si>
  <si>
    <t xml:space="preserve">*Seguiment de les Comissions per a la regulació de l'escalada, descens de barrancs, espeleologia al Parc Natural dels Ports
*Tancament de la Comissió per a la Regulació de les Vies Ferrades al Parc Natural dels Ports i presentació a la Junta rectora
*Aplicar la regulació de l'escalada, el barranquisme i l'espeleologia d'acord amb el Decret 148/1992 i els acords de la Junta rectora del Parc
</t>
  </si>
  <si>
    <t>1) Nombre de reunions de les comissions celebrades
2) Aprovació de la regulació de les vies ferrades per Junta rectora</t>
  </si>
  <si>
    <t>1) 8
2) 1</t>
  </si>
  <si>
    <t>Seguiment de la Comissió per a la Regulació del Descens de Barrancs al Parc Natural dels Ports</t>
  </si>
  <si>
    <t>Seguiment de la Comissió per a la Regulació de l'Espeleologia al Parc Natural dels Ports</t>
  </si>
  <si>
    <t>Tancament de la Comissió per a la Regulació de les Vies Ferrades al Parc Natural dels Ports i presentació a la Junta rectora</t>
  </si>
  <si>
    <t>JMFR/JMQ/MAC</t>
  </si>
  <si>
    <t>Aplicar la regulació de l'escalada, el barranquisme i l'espeleologia d'acord amb el Decret 148/1992 i els acords de la Junta rectora del Parc</t>
  </si>
  <si>
    <t>11.1.4</t>
  </si>
  <si>
    <t>Ordenar les curses i altres activitats esportives organitzades en base a un model estàndard de Pla de protecció</t>
  </si>
  <si>
    <t>Aplicar la regulació de les curses i altres activitats esportives organitzades d'acord amb el Decret 148/1992 i els acords de la Junta rectora del Parc</t>
  </si>
  <si>
    <t>*Aplicar la regulació de les curses i altres activitats esportives organitzades d'acord amb el Decret 148/1992 i els acords de la Junta rectora del Parc</t>
  </si>
  <si>
    <t>Percentatge d'autoritzacions on s'implementa la normativa en relació a les activitats esportives</t>
  </si>
  <si>
    <t>11.1.5</t>
  </si>
  <si>
    <t>Ordenar els enregistraments i l'observació de fauna i natura en base a un model estàndard de Pla de protecció</t>
  </si>
  <si>
    <t>Aplicar la regulació dels enregistraments i l'observació de fauna i natura d'acord amb el Decret 148/1992</t>
  </si>
  <si>
    <t>*Aplicar la regulació dels enregistraments i l'observació de fauna i natura d'acord amb el Decret 148/1992</t>
  </si>
  <si>
    <t>Percentatge d'autoritzacions on s'implementa la normativa i els acords amb el Servei de Fauna</t>
  </si>
  <si>
    <t>11.1.6</t>
  </si>
  <si>
    <t>Ordenar les activitats científiques en base a un model estàndard de Pla de protecció</t>
  </si>
  <si>
    <t>Aplicar la regulació de les activitats científiques en base la normativa vigent</t>
  </si>
  <si>
    <t>*Aplicar la regulació de les activitats científiques en base la normativa vigent</t>
  </si>
  <si>
    <t>Percentatge d'autoritzacions on s'implementa la normativa en relació a les activitats científiques.</t>
  </si>
  <si>
    <t>11.1.7</t>
  </si>
  <si>
    <t>Ordenar les zones de bany</t>
  </si>
  <si>
    <t>Aplicar la regulació de les zones de bany d'acord amb el Decret 148/1992 i els acords de Junta rectora del Parc, i les ordenances municipals de regulació d'accessos a les zones de bany</t>
  </si>
  <si>
    <t>*Aplicar la regulació de les zones de bany d'acord amb el Decret 148/1992 i els acords de Junta rectora del Parc, i les ordenances municipals de regulació d'accessos a les zones de bany
*Activació del Grup de treball de la regulació de les zones de bany en ENP a la Terra Alta</t>
  </si>
  <si>
    <t>1) Nombre de denúncies sobre les zones de bany
2) Nombre de reunions del grup de treball</t>
  </si>
  <si>
    <t>1) 10
2) 2</t>
  </si>
  <si>
    <t>1) 5
2) 4</t>
  </si>
  <si>
    <t>A.1.1.3. Creació d'una taula de treball per a l'adequació i la concreció de mesures per controlar l'afluència de visitants en determinats punts (CETS): activació del Grup de treball de la regulació de les zones de bany en ENP a la Terra Alta</t>
  </si>
  <si>
    <t>11.1.8</t>
  </si>
  <si>
    <t>Ordenar l'enlairament i aterratge sense motor</t>
  </si>
  <si>
    <t>Promoure la regulació de l'enlairament i aterratge sense motor</t>
  </si>
  <si>
    <t>*Promoure la regulació de l'enlairament i aterratge sense motor</t>
  </si>
  <si>
    <t>Percentatge d'usuaris que demanen autorització</t>
  </si>
  <si>
    <t>11.1.9</t>
  </si>
  <si>
    <t>Ordenar el submarinisme i l'snorkel</t>
  </si>
  <si>
    <t>No aplica</t>
  </si>
  <si>
    <t>11.1.10</t>
  </si>
  <si>
    <t>Ordenar les activitats aquàtiques i nàutiques i zones de fondeig</t>
  </si>
  <si>
    <t>11.1.11</t>
  </si>
  <si>
    <t>Ordenar la presència d'animals de companyia</t>
  </si>
  <si>
    <t>Aplicar la regulació de la presència d'animals de companyia</t>
  </si>
  <si>
    <t>*Aplicar la regulació de la presència d'animals de companyia
*Impulsar campanyes de sensibilització adreçades als visitants que accedeixen al Parc amb gossos, recordant que, en zones de protecció especial, els animals han d’anar lligats</t>
  </si>
  <si>
    <t>Nombre de campanyes realitzades</t>
  </si>
  <si>
    <t>Impulsar campanyes de sensibilització adreçades als visitants que accedeixen al Parc amb gossos, recordant que, en zones de protecció especial, els animals han d’anar lligats</t>
  </si>
  <si>
    <t>11.1.12</t>
  </si>
  <si>
    <t>Ordenar les activitats d'educació ambiental i el lleure educatiu</t>
  </si>
  <si>
    <t>A.3.1.1. Establiment d‟un model per a l'ordenació de l'activitat dels guies intèrprets del Parc Natural Parc (CETS)</t>
  </si>
  <si>
    <t>*Establiment d‟un model per a l'ordenació de l'activitat dels guies intèrprets del Parc Natural Parc (CETS)
*Aplicar la regulació de les activitats d'educació ambiental i el lleure educatiu d'acord amb el Decret 148/1992 i els acords de Junta rectora del Parc en l'emissió de les autoritzacions</t>
  </si>
  <si>
    <t>Disposar d'un model per a l'ordenació de l'activitat dels guies intèrprets del Parc Natural Parc</t>
  </si>
  <si>
    <t>Regular les activitats d'educació ambiental i el lleure educatiu</t>
  </si>
  <si>
    <t>Aplicar la regulació de les activitats d'educació ambiental i el lleure educatiu d'acord amb el Decret 148/1992 i els acords de Junta rectora del Parc</t>
  </si>
  <si>
    <t>Aplicar la regulació de les activitats d'educació ambiental i el lleure educatiu d'acord amb el Decret 148/1992 i els acords de Junta rectora del Parc en l'emissió de les autoritzacions</t>
  </si>
  <si>
    <t>11.1.13</t>
  </si>
  <si>
    <t>Regular les activitats aèries amb motor per sobre de l'ENP</t>
  </si>
  <si>
    <t>*NOU</t>
  </si>
  <si>
    <t>Promoure la delimitació de les zones i les alçades de restricció aèria, amb o sense motor, a l'ENP</t>
  </si>
  <si>
    <t>*Promoure la delimitació de les zones i les alçades de restricció aèria, amb o sense motor, a l'ENP</t>
  </si>
  <si>
    <t>Disposar d'una proposta de delimitació</t>
  </si>
  <si>
    <t>11.1.15</t>
  </si>
  <si>
    <t>Planificar l'ús públic al PN</t>
  </si>
  <si>
    <t>*Nou</t>
  </si>
  <si>
    <t>A.2.1.2. Elaboració del Pla d'Ús Públic del PN (CETS)</t>
  </si>
  <si>
    <t>11.1.16</t>
  </si>
  <si>
    <t>Participar en les reunions periòdiques del GT d'Ús públic dels ENP</t>
  </si>
  <si>
    <t>*Participar en les reunions periòdiques del GT d'Ús públic dels ENP</t>
  </si>
  <si>
    <t>Nombre d'assistències a reunions del GT</t>
  </si>
  <si>
    <t>11.2</t>
  </si>
  <si>
    <t>Disposar de la xarxa viària i itineraris oficials de l'ENP</t>
  </si>
  <si>
    <t>11.2.1</t>
  </si>
  <si>
    <t xml:space="preserve">Identificar i classificar la xarxa viària bàsica, secundària, senders i itineraris senyalitzats d'acord amb els ajuntaments </t>
  </si>
  <si>
    <t>Identificar i classificar la xarxa viària bàsica, secundària, senders i itineraris senyalitzats d'acord amb els titulars públics i privats</t>
  </si>
  <si>
    <t>S'amplia a titulars privats i l'administració forestal de GenCat</t>
  </si>
  <si>
    <t>Persones i natura: concretar criteris</t>
  </si>
  <si>
    <t>11.2.2</t>
  </si>
  <si>
    <t>Treballar conjuntament amb els principals canals d’informació de rutes  per prioritzar itineraris oficials dins l’ENP</t>
  </si>
  <si>
    <t>Col·laborar amb SENP, conjuntament amb els principals canals d’informació de rutes, per prioritzar itineraris oficials dins l’ENP</t>
  </si>
  <si>
    <t>Millora de redactat, no és competència exclussiva nostra</t>
  </si>
  <si>
    <t>Identificar i promoure l'eliminació o el posicionament de les rutes de les aplicacions per a mòbils en zones sensibles o que siguin il·legals</t>
  </si>
  <si>
    <t>*Identificar i promoure l'eliminació o el posicionament de les rutes de les aplicacions per a mòbils en zones sensibles o que siguin il·legals</t>
  </si>
  <si>
    <t>Persones i natura: Coordinació</t>
  </si>
  <si>
    <t>Nombre de revisions dels itineraris de Wikiloc</t>
  </si>
  <si>
    <t>11.3</t>
  </si>
  <si>
    <t>Implementar el protocol estandarditzat basat en el pla per la regulació al accés, circulació i ús de la xarxa viària</t>
  </si>
  <si>
    <t>11.3.1</t>
  </si>
  <si>
    <t>Ordenar l'accés i la circulació</t>
  </si>
  <si>
    <t>11.3.2</t>
  </si>
  <si>
    <t>Ordenar la xarxa viària principal, secundària i restringida</t>
  </si>
  <si>
    <t>No afectaria actualment, al no disposar de Pla de protecció</t>
  </si>
  <si>
    <t>Arreglar pista Tossal d' Engrilló.	Restaurar la pista , fer aigueres , s' está degradant i al final no es podrá accedir a dalt del Tossal d' Engrillo</t>
  </si>
  <si>
    <t>11.3.3</t>
  </si>
  <si>
    <t>Ordenar l'ús de drons, l'enlairament i l'aterratge</t>
  </si>
  <si>
    <t>*Ordenar l'ús de drons, l'enlairament i l'aterratge</t>
  </si>
  <si>
    <t xml:space="preserve">Nombre de denúncies d'activitats amb drones sense autorització </t>
  </si>
  <si>
    <t>11.3.4</t>
  </si>
  <si>
    <t>Aplicar limitacions temporals d'accés o circulació</t>
  </si>
  <si>
    <t>Es proposa eliminar, ja que se solapa molt amb l'Op 11.3.1</t>
  </si>
  <si>
    <t>11.3.5</t>
  </si>
  <si>
    <t>Ordenar l'aparcament de vehícles</t>
  </si>
  <si>
    <t xml:space="preserve">Promoure i col·laborar, amb ajuntaments i propietaris particulars, la regulació de les zones d'estacionament de vehicles
</t>
  </si>
  <si>
    <t xml:space="preserve">*Promoure i col·laborar, amb ajuntaments i propietaris particulars, la regulació de les zones d'estacionament de vehicles
</t>
  </si>
  <si>
    <t>Nombre de reunions amb ajuntaments i propietaris</t>
  </si>
  <si>
    <t>11.4</t>
  </si>
  <si>
    <t>Enfortir la col·laboració i coordinació amb els agents d'ús públic (empreses, entitats i ajuntaments)</t>
  </si>
  <si>
    <t>11.4.1</t>
  </si>
  <si>
    <t>Implementar l'ordenació de l'ús públic en col·laboració amb els agents del territori</t>
  </si>
  <si>
    <t>Eliminació: se solapen àmpliament amb altres Ops</t>
  </si>
  <si>
    <t>11.4.2</t>
  </si>
  <si>
    <t>Promoció i acompanyament en l'ordenació de l'ús públic de l'ENP des de l'àmbit municipal</t>
  </si>
  <si>
    <t>11.5</t>
  </si>
  <si>
    <t>Mantenir i millorar la senyalització de l'ENP</t>
  </si>
  <si>
    <t>11.5.1</t>
  </si>
  <si>
    <t>Realitzar l'inventari de senyalètica de l'ENP</t>
  </si>
  <si>
    <t>Actualitzar l'inventari de senyalètica de l'ENP</t>
  </si>
  <si>
    <t>L'inventari ja està fet</t>
  </si>
  <si>
    <t>Actualitzar la base de dades de senyalètica de l'ENP</t>
  </si>
  <si>
    <t>*Actualitzar la base de dades de senyalètica de l'ENP</t>
  </si>
  <si>
    <t xml:space="preserve">1) Percentatge de dades introduides 
</t>
  </si>
  <si>
    <t xml:space="preserve">1) 80%
</t>
  </si>
  <si>
    <t xml:space="preserve">1) 100%
</t>
  </si>
  <si>
    <t>11.5.2</t>
  </si>
  <si>
    <t xml:space="preserve">Implantar el programa de senyalització i manteniment </t>
  </si>
  <si>
    <t>Senyalitzar el nous espais d'ús públic i mantenir l'existent, d'acord amb el Manual de senyalització dels espais naturals protegits</t>
  </si>
  <si>
    <t>No s'entén gaire, programa?</t>
  </si>
  <si>
    <t>Treballs de manteniment, amb brigada, de la senyalització de l'ENP</t>
  </si>
  <si>
    <t>*Treballs de manteniment, amb brigada, de la senyalització de l'ENP
*Renovació de senyals malmeses i actualització de continguts
*Producció i instal·lació de la cartelleria dels itineraris CAMINAT 
*Estudi de la viabilitat de la senyalització en senders existents (Alfara de Carles-l’Espina, Toscar-Gúbies, etc.) 
Estudi de la viabilitat de la senyalització des del Toscar fins a les gúbies</t>
  </si>
  <si>
    <t>Persones i natura: Revisió del manual de senyalització</t>
  </si>
  <si>
    <t>1) Percentatge d'itineraris de la xarxa del PNP revisats i mantinguts
2) Percentatge d'Itineraris amb caretelleria CAMINAT</t>
  </si>
  <si>
    <t>1) 80%
2) 80%</t>
  </si>
  <si>
    <t>Renovació de senyals malmeses i actualització de continguts</t>
  </si>
  <si>
    <t xml:space="preserve">Producció i instal·lació de la cartelleria dels itineraris CAMINAT </t>
  </si>
  <si>
    <t xml:space="preserve">Estudi de la viabilitat de la senyalització des d’Alfara de Carles fins a l’Espina </t>
  </si>
  <si>
    <t>Estudi de la viabilitat de la senyalització des del Toscar fins a les gúbies</t>
  </si>
  <si>
    <t>11.6</t>
  </si>
  <si>
    <t>Prevenir i gestionar els impactes derivats de la sobrefreqüentació</t>
  </si>
  <si>
    <t>11.6.1</t>
  </si>
  <si>
    <t xml:space="preserve">Potenciar la visita a espais alternatius dins de l'àmbit d'influència de l'espai natural per reduir la pressió en zones sensibles </t>
  </si>
  <si>
    <t>Manteniment amb mitjans propis de les àrees d'ús públic i els itineraris de fora del Parc: Santa Madrona d'Arnes, Santa Bàrbara d'Horta, Vall de la Jepa, itineraris de Prat de Comte</t>
  </si>
  <si>
    <t>*Manteniment amb mitjans propis de les àrees d'ús públic i els itineraris de fora del Parc: Santa Madrona d'Arnes, Santa Bàrbara d'Horta, Vall de la Jepa, itineraris de Prat de Comte
*Promure i col·laborar en la restauració i l'ús públic de l'antiga extractiva del Predio Montserrat (Prat de Comte)</t>
  </si>
  <si>
    <t>1) Percentatge d'itineraris fora de l'àmbit del PNP revisats i mantinguts
2) Disposar de l'espai del Predio Montserrat senyalitzat per l'ús públic</t>
  </si>
  <si>
    <t>1) 80%
2) 1</t>
  </si>
  <si>
    <t>JMFR/AAA</t>
  </si>
  <si>
    <t>Promure i col·laborar en la restauració i l'ús públic de l'antiga extractiva del Predio Montserrat (Prat de Comte)</t>
  </si>
  <si>
    <t>11.6.2</t>
  </si>
  <si>
    <t xml:space="preserve">Implementar les mesures extraordinàries de regulació de l'ús públic </t>
  </si>
  <si>
    <t>Solapament amb 11.3.1</t>
  </si>
  <si>
    <t>11.7</t>
  </si>
  <si>
    <t>Ordenar i estandaritzar els espais d'acollida de visitants i equipaments d'ús públic, i garantir un correcte servei d'atenció i acollida dels visitants</t>
  </si>
  <si>
    <t>11.7.1</t>
  </si>
  <si>
    <t>Adequar els principals accessos, aparcaments i centres d'interès amb un ús elevat</t>
  </si>
  <si>
    <t>Redacció del Projecte "Millora de les Àrees de recepció de Visitants i la millora de camins d’accés al Parc Natural als municipis d'Arnes i Roquetes", inclòs al PEA</t>
  </si>
  <si>
    <t>*Redacció del Projecte "Millora de les Àrees de recepció de Visitants i la millora de camins d’accés al Parc Natural als municipis d'Arnes", inclòs al PEA
*Execució del projecte "Millora de les Àrees de recepció de Visitants i la millora de camins d’accés al Parc Natural al municipi d’Horta de Sant Joan. PPO-23228": millora d'accessos i àrees de recepció
*Estudi de la viabilitat de l’arranjament de la pista al tossal d’Engrilló
*Seguiment i manteniment de l'acreditació de "Turisme familiar" als equipaments del Parc sota la supervisió de l'Agència Catalana de Turisme</t>
  </si>
  <si>
    <t>1) Disposar del projecte de les àrees d'Arnes
2) Execució del projecte de les àrees d'Horta
3) Nombre de pistes associades a les àrees d'ús públic</t>
  </si>
  <si>
    <t>1) 1
2) 1
3) 4</t>
  </si>
  <si>
    <t>1) 1
2) 1
3) 8</t>
  </si>
  <si>
    <t>Execucíó del projecte "Millora de les Àrees de recepció de Visitants i la millora de camins d’accés al Parc Natural al municipi d’Horta de Sant Joan. PPO-23228": millora d'accessos i àrees de recepció</t>
  </si>
  <si>
    <t>Estudi de la viabilitat de l’arranjament de la pista al tossal d’Engrilló</t>
  </si>
  <si>
    <t>Seguiment i manteniment de l'acreditació de "Turisme familiar" als equipaments del Parc sota la supervisió de l'Agència Catalana de Turisme</t>
  </si>
  <si>
    <t>11.7.2</t>
  </si>
  <si>
    <t>Disposar i mantenir els serveis, equipaments i infraestructures necessàries i accessibles per acollir, informar, facilitar la visita i garantir la seguretat dels visitants i la protecció de l'entorn</t>
  </si>
  <si>
    <t>Despeses d'electricitat de l'Alberg d'Alfara</t>
  </si>
  <si>
    <t xml:space="preserve">*Redacció del Pla d'accessibilitat dels equipaments del Parc
*Adaptació de 2 itineraris interpretatius del PN a les necessitats d'accés universal 
*Adaptació d’Àrees de lleure a l'accés universal 
*Disseny i desenvolupament d'itineraris d'observació de fauna i creació de punts d'observació (CETS)
*Adequació dels centres del PN per rebre ciclistes (CETS)
*Posta en funcionament de l'Alberg i Centre d'educació ambiental d'Alfara de Carles
*Redacció del projecte "Construcció centre de natura del Mas de Barberans"
</t>
  </si>
  <si>
    <t>1) Disposar del Pla d'accessibilitat
2) Nombre d'itineraris adaptats
3) Nombre d'Àrees de lleure adaptades
4) Nombre de centres equipats per a ciclistes
5) Nombre de nous centres en funcionament</t>
  </si>
  <si>
    <t>1) 1
2) 1
3) 1
4) 1</t>
  </si>
  <si>
    <t>1) 1
2) 1
3) 3
4) 2</t>
  </si>
  <si>
    <t>Millora i manteniment del sistema de l'alarma a la Seu del Parc i els centres de visitants</t>
  </si>
  <si>
    <t>Revisió i millora del sistema antiincendis de l'Alberg d'Alfara</t>
  </si>
  <si>
    <t>Despeses de neteja de l'Alberg d'Alfara</t>
  </si>
  <si>
    <t>Tractament de tèrmits del Centre de Visitants del Montsià</t>
  </si>
  <si>
    <t>Renovació del sistema de calefacció/refrigeració del Centre de Visitants de la Terra Alta</t>
  </si>
  <si>
    <t>Redacció del Pla d'accessibilitat dels equipaments del Parc</t>
  </si>
  <si>
    <t>Taxes d'aigua i clavegueram ajuntament d'Alfara Alberg</t>
  </si>
  <si>
    <t>Instal·lació de línies de vida o escales de gat per a l'accés als edificis del Parc (seu, CVMO)</t>
  </si>
  <si>
    <t>Redacció del projecte "Construcció centre de natura del Mas de Barberans"</t>
  </si>
  <si>
    <t>Redacció del projecte d'adeqüació de l'interior de l'edifici del carrer Bailen</t>
  </si>
  <si>
    <t>Adeqüació de l'espai interior de la casa forestal de la Vall</t>
  </si>
  <si>
    <t>Posta en funcionament de l'Alberg i Centre d'educació ambiental d'Alfara de Carles</t>
  </si>
  <si>
    <t>ERP1. Garantir l’ús continuat dels equipaments específics d’educació ambiental (CEA d’Alfara de Carles, Cova Avellanes, etc.) i potenciar el paper pedagògic dels centres de visitants (PEEVA)</t>
  </si>
  <si>
    <t>ERP2. Destinar equipaments (si cal establint acords amb altres agents) per organitzar campaments amb un component d’educació ambiental (PEEVA)</t>
  </si>
  <si>
    <t>A.3.9. Creació d'expositors moderns i visuals per als Punts d'informació del PNP per mostrar productes artesans del territori (ARTESAN)</t>
  </si>
  <si>
    <t xml:space="preserve">A.4.2.2. Disseny i desenvolupament d'itineraris d'observació de fauna i creació de punts d'observació (CETS). </t>
  </si>
  <si>
    <t>A.3.3.1. Millora de la visibilitat i la funcionalitat dels centres de visitants i punts d'informació (CETS): projecte de reordenació exterior del CVBE</t>
  </si>
  <si>
    <t>AAA/JMFR</t>
  </si>
  <si>
    <t>A.2.4.1. Instal·lació de carregadors de bicicletes i vehicles elèctrics al territori CETS del PN (CETS)</t>
  </si>
  <si>
    <t>A.4.2.3. Disseny i desenvolupament d'elements relacionats amb el paisatge (CETS)</t>
  </si>
  <si>
    <t>A.4.4.1. Identificació dels nodes més rellevants amb la Via Verda per determinar punts de connexió per a la creació de rutes alternatives que donin accés al PN (CETS)</t>
  </si>
  <si>
    <t>A.4.4.2. Adequació dels centres del PN per rebre ciclistes (CETS)</t>
  </si>
  <si>
    <t>A.4.4.3. Estudi per a la creació d'una ruta cicloturística que enllaci la via verda a Roquetes amb els nuclis urbans de Mas de Barberans i La Sénia (CETS)</t>
  </si>
  <si>
    <t>A.3.4.1. Adaptació de 2 itineraris interpretatius del PN a les necessitats d'accés universal (CETS): redacció projecte executiu de l'itinerari d'accés universal a Cova Picasso</t>
  </si>
  <si>
    <t>A.3.4.1. Adaptació de 2 itineraris interpretatius del PN a les necessitats d'accés universal (CETS): redacció del projecte executiu de l'itinerari d'accés universal i adaptació de l'àrea de lleure de Cova Avellanes</t>
  </si>
  <si>
    <t>Execucíó del projecte "Millora de les Àrees de recepció de Visitants i la millora de camins d’accés al Parc Natural al municipi d’Horta de Sant Joan. PPO-23228": adaptació de l'Àrea de la Franqueta a l'accés universal</t>
  </si>
  <si>
    <t>11.7.3</t>
  </si>
  <si>
    <t>Desenvolupar el Pla d'acollida als visitants en base al model de la DG</t>
  </si>
  <si>
    <t>No tenim coneixement del Pla. No sabem el què és</t>
  </si>
  <si>
    <t>Persones i natura: model de protocol d'acollida</t>
  </si>
  <si>
    <t>11.7.4</t>
  </si>
  <si>
    <t>Adaptar els missatges a donar des d'oficines d’informació, pròpies i alienes, d'acord amb el model de la DG</t>
  </si>
  <si>
    <t>Formació continuada al personal dels centres d'informació</t>
  </si>
  <si>
    <t>*Formació continuada al personal dels centres d'informació</t>
  </si>
  <si>
    <t>Persones i natura: Unifica missatges que s'incorporen en el model de protocol d'acollida</t>
  </si>
  <si>
    <t>Nombre de cursos o jornades formatives</t>
  </si>
  <si>
    <t>11.7.5</t>
  </si>
  <si>
    <t>Mantenir els serveis d'informació actuals de l'ENP</t>
  </si>
  <si>
    <r>
      <rPr>
        <b/>
        <sz val="11"/>
        <rFont val="Calibri"/>
        <family val="2"/>
        <scheme val="minor"/>
      </rPr>
      <t>*NOU</t>
    </r>
    <r>
      <rPr>
        <sz val="11"/>
        <rFont val="Calibri"/>
        <family val="2"/>
        <scheme val="minor"/>
      </rPr>
      <t>. Només diu el que es fa actualment</t>
    </r>
  </si>
  <si>
    <t>Serveis d'informació a l'Ecomuseu a Horta de Sant Joan</t>
  </si>
  <si>
    <t>*Mantenir els serveis d’informació en tots els pobles de l’àmbit del PN
*Mantenir els serveis d'informació en punts o àrees d'informació in situ al Baix Ebre, el Montsià i la Terra Alta (contracte AG-2024-17)</t>
  </si>
  <si>
    <t>1) Percentatge de pobles amb serveis d'informació del PN
2) Percentatge de punts coberts amb servei d'informació in situ</t>
  </si>
  <si>
    <t>1) 80%
2) 90%</t>
  </si>
  <si>
    <t>Serveis d'informació a Arnes</t>
  </si>
  <si>
    <t>Serveis d'informació a Paüls</t>
  </si>
  <si>
    <t>Serveis d'informació al Mas de Barberans</t>
  </si>
  <si>
    <t>Serveis d'informació al Centre de Visitants del Baix Ebre (Roquetes)</t>
  </si>
  <si>
    <t>Serveis d'informació al Centre de Visitants del Montsià (la Sénia)</t>
  </si>
  <si>
    <t>Serveis d'informació al Centre de Visitants de la Terra Alta (Prat de Comte)</t>
  </si>
  <si>
    <t>Col·laboració amb l'Oficina de Turisme de Terres de l'Ebre</t>
  </si>
  <si>
    <t>Serveis d'informació en punts o àrees d'informació al Baix Ebre, durant Setmana Santa i la tardor (Àrea de lleure de Cova Avellanes, Àrea recreativa de Sant Roc i al Toscar), mitjançant el contracte de serveis d'informació, educació i voluntariat a l'ENP (AG-2024-17)</t>
  </si>
  <si>
    <t>Serveis d'informació en punts o àrees d'informació al Montsià, durant Setmana Santa i la tardor (Coll de la Creu – Refalgarí, Àrea de lleure de la Fou i Àrea de lleure de la Vall – Aparcament del Cocó de la Gralla), mitjançant el contracte de serveis d'informació, educació i voluntariat a l'ENP (AG-2024-17)</t>
  </si>
  <si>
    <t>Serveis d'informació en punts o àrees d'informació a la Terra Alta, durant la Setmana Santa i l'estiu (els Estrets d'Arnes: aparcaments de Lliberós i de Biarnets, riu Algars: aparcament del Toll del Vidre, la Franqueta i els Ateus, i aparcament del riu Canaleta), mitjançant el contracte de serveis d'informació, educació i voluntariat a l'ENP (AG-2024-17)</t>
  </si>
  <si>
    <t>11.8</t>
  </si>
  <si>
    <t>Garantir el compliment de la normativa dins els ENP, especialment en l'accés motoritzat, zones amb hiperfrequentació i elements amb aprofitament comercial</t>
  </si>
  <si>
    <t>11.8.1</t>
  </si>
  <si>
    <t>Elaborar i executar el Pla de vigilància de l’espai d'acord amb els cossos d’inspecció i seguretat</t>
  </si>
  <si>
    <t>Coordinació dels serveis de vigilància del contracte, juntament amb ajuntaments, Mossos, CAR.</t>
  </si>
  <si>
    <t>*Realització i seguiment del contracte "Servei de vigilància per a la minimització d’afectacions per hiperfreqüentació al Parc Natural dels Aiguamolls de l’Empordà, al Parc Natural del Delta de l’Ebre i al Parc Natural dels Ports, PTOP-2025-357"</t>
  </si>
  <si>
    <t>Percentatge de jornades de vigilància realitzades anualment</t>
  </si>
  <si>
    <t xml:space="preserve">
90%</t>
  </si>
  <si>
    <t xml:space="preserve">
100%</t>
  </si>
  <si>
    <t>Coordinació i seguiment del contracte "Servei de vigilància per a la minimització d’afectacions per hiperfreqüentació al Parc Natural dels Aiguamolls de l’Empordà, al Parc Natural del Delta de l’Ebre i al Parc Natural dels Ports, PTOP-2025-357"</t>
  </si>
  <si>
    <t>11.8.2</t>
  </si>
  <si>
    <t>Millorar la coordinació amb els cossos de seguretat per efectuar accions de control i vigilància</t>
  </si>
  <si>
    <t>Coordinació, mitjançant reunions periòdiques, amb el Cos d'Agents Rurals, especialment pel que fa al control d'actuacions i activitats al medi natural</t>
  </si>
  <si>
    <t>*Coordinació, mitjançant reunions periòdiques, amb el Cos d'Agents Rurals, especialment pel que fa al control d'actuacions i activitats al medi natural
*Coordinació d'actuacions amb els Mossos d'Esquadra, especialment pel que fa a les plantacions de cànnabis</t>
  </si>
  <si>
    <t>Nombre de reunions anuals realitzades amb els serveis de seguretat propis i forans</t>
  </si>
  <si>
    <t>Coordinació d'actuacions amb els Mossos d'Esquadra, especialment pel que fa a les plantacions de cànnabis</t>
  </si>
  <si>
    <t>11.8.3</t>
  </si>
  <si>
    <t>Vetllar pel compliment d'informes i la vigilància tècnica de l'espai</t>
  </si>
  <si>
    <t>Solapament amb 03.1.2</t>
  </si>
  <si>
    <t>GESTIONAR ELS RISCOS NATURALS per a l'autoprotecció de la població local</t>
  </si>
  <si>
    <t>12.1</t>
  </si>
  <si>
    <t>Col·laborar amb les autoritats competents per a la gestió de riscos dins l’ENP</t>
  </si>
  <si>
    <t>12.1.1</t>
  </si>
  <si>
    <t>Ordenar el pla d’emergències</t>
  </si>
  <si>
    <t>Col·laborar en la redacció i execució dels plans d’emergències</t>
  </si>
  <si>
    <t>No tenim compteències</t>
  </si>
  <si>
    <t>Col·laborar en la redacció i execució dels plans d’emergències amb les autoritats competents en la matèria</t>
  </si>
  <si>
    <t>*Col·laborar en la redacció i execució dels plans d’emergències amb les autoritats competents en la matèria
*Col·laborar amb el Cos d'Agents Rurals en el tancament d'accés al Parc durant els períodes d'activació del nivell 4 del Pla Alfa</t>
  </si>
  <si>
    <t xml:space="preserve">1) Percentatge de plans en els que s'ha col·laborat
2) Percentatge de tancaments en els que s'ha implicat la brigada 
 </t>
  </si>
  <si>
    <t>No tenim competències</t>
  </si>
  <si>
    <t>Col·laborar amb el Cos d'Agents Rurals en el tancament d'accés al Parc durant els períodes d'activació del nivell 4 del Pla Alfa</t>
  </si>
  <si>
    <t>12.1.2</t>
  </si>
  <si>
    <t>Contribuir a la protecció dels assentaments humans respecte dels riscos naturals</t>
  </si>
  <si>
    <t>No tenim compteències, no hi ha riscos en assentaments humans</t>
  </si>
  <si>
    <t>FORMAR I SENSIBILITZAR la població incrementant la valoració i estima social de l'ENP</t>
  </si>
  <si>
    <t>13.1</t>
  </si>
  <si>
    <t xml:space="preserve">Afavorir la vinculació entre la comunitat educativa de l'entorn i l'ENP </t>
  </si>
  <si>
    <t>13.1.1</t>
  </si>
  <si>
    <t>Definir el model de Xarxa d'Escoles de l'Espai Natural (XEEN) a l'ENP amb els agents educatius del territori</t>
  </si>
  <si>
    <r>
      <t xml:space="preserve">GOV4. Configurar i posar en marxa una taula d’educació ambiental per coordinar el Parc Natural amb els diversos agents educatius (PEEVA): </t>
    </r>
    <r>
      <rPr>
        <b/>
        <sz val="11"/>
        <color theme="1"/>
        <rFont val="Calibri"/>
        <family val="2"/>
        <scheme val="minor"/>
      </rPr>
      <t>Definir el model de Xarxa d'Escoles de l'Espai Natural (XEEN) a l'ENP amb els agents educatius del territori</t>
    </r>
    <r>
      <rPr>
        <sz val="11"/>
        <color theme="1"/>
        <rFont val="Calibri"/>
        <family val="2"/>
        <scheme val="minor"/>
      </rPr>
      <t>, mitjançant el contracte de serveis d'informació, educació i voluntariat a l'ENP (AG-2024-17)</t>
    </r>
  </si>
  <si>
    <t>*Definir el model de Xarxa d'Escoles de l'Espai Natural (XEEN) a l'ENP amb els agents educatius del territori, mitjançant el contracte de serveis d'informació, educació i voluntariat a l'ENP (AG-2024-17)</t>
  </si>
  <si>
    <t>PEEVA
ESNATURA</t>
  </si>
  <si>
    <t>Disposar del model definit</t>
  </si>
  <si>
    <t>13.1.2</t>
  </si>
  <si>
    <t>Desplegar el model de Xarxa d'Escoles de l'Espai Natural (XEEN) a l'ENP d'acord amb el model general</t>
  </si>
  <si>
    <r>
      <t xml:space="preserve">GOV4. Configurar i posar en marxa una taula d’educació ambiental per coordinar el Parc Natural amb els diversos agents educatius (PEEVA): </t>
    </r>
    <r>
      <rPr>
        <b/>
        <sz val="11"/>
        <color theme="1"/>
        <rFont val="Calibri"/>
        <family val="2"/>
        <scheme val="minor"/>
      </rPr>
      <t>Suport i dinamització a la Xarxa d’escoles de l’espai natural (13 al Baix Ebre, 12 al Montsià i 15 a la Terra Alta)</t>
    </r>
    <r>
      <rPr>
        <sz val="11"/>
        <color theme="1"/>
        <rFont val="Calibri"/>
        <family val="2"/>
        <scheme val="minor"/>
      </rPr>
      <t>, mitjançant el contracte de serveis d'informació, educació i voluntariat a l'ENP (AG-2024-17)</t>
    </r>
  </si>
  <si>
    <t>*Suport i dinamització a la Xarxa d’escoles de l’espai natural, mitjançant el contracte de serveis d'informació, educació i voluntariat a l'ENP (AG-2024-17)
*Trobades de la Xarxa d'escoles de l'espai natural, mitjançant el contracte de serveis d'informació, educació i voluntariat a l'ENP (AG-2024-17)</t>
  </si>
  <si>
    <t>SEA: Elabora model de xarxa</t>
  </si>
  <si>
    <t xml:space="preserve">1) Percentatge d'escoles que han rebut suport
2) Nombre de trobades realitzades
</t>
  </si>
  <si>
    <t>1) 75%
2) 3</t>
  </si>
  <si>
    <t>1) 90%
2) 4</t>
  </si>
  <si>
    <r>
      <t xml:space="preserve">GOV4. Configurar i posar en marxa una taula d’educació ambiental per coordinar el Parc Natural amb els diversos agents educatius (PEEVA): </t>
    </r>
    <r>
      <rPr>
        <b/>
        <sz val="11"/>
        <color theme="1"/>
        <rFont val="Calibri"/>
        <family val="2"/>
        <scheme val="minor"/>
      </rPr>
      <t>Trobades de la Xarxa d'escoles de l'espai natural</t>
    </r>
    <r>
      <rPr>
        <sz val="11"/>
        <color theme="1"/>
        <rFont val="Calibri"/>
        <family val="2"/>
        <scheme val="minor"/>
      </rPr>
      <t>, mitjançant el contracte de serveis d'informació, educació i voluntariat a l'ENP (AG-2024-17)</t>
    </r>
  </si>
  <si>
    <t>13.1.3</t>
  </si>
  <si>
    <t xml:space="preserve">Formar i capacitar al professorat de la XEEN </t>
  </si>
  <si>
    <t>EA3. Programar accions formatives per al professorat dels centres educatius locals amb el suport dels CRP i el Programa Escoles Verdes (PEEVA), mitjançant el contracte de serveis d'informació, educació i voluntariat a l'ENP (AG-2024-17) mitjançant el contracte de serveis d'informació, educació i voluntariat a l'ENP (AG-2024-17)</t>
  </si>
  <si>
    <t>*Programar accions formatives per al professorat dels centres educatius locals amb el suport dels CRP i el Programa Escoles Verdes (PEEVA), mitjançant el contracte de serveis d'informació, educació i voluntariat a l'ENP (AG-2024-17)</t>
  </si>
  <si>
    <t>Nombre de formacions destinades a capacitar al professorat</t>
  </si>
  <si>
    <t>13.2</t>
  </si>
  <si>
    <t>Promoure una oferta pedagògica basada en metodologies innovadores i actives que estiguin alineades amb el currículum educatiu del Departament d'Educació</t>
  </si>
  <si>
    <t>13.2.1</t>
  </si>
  <si>
    <t>Adaptar i millorar l'oferta pedagògica de l'ENP generant situacions d'aprenentatge i treballs per projecte</t>
  </si>
  <si>
    <r>
      <t xml:space="preserve">EA1. Elaborar i implementar un programa específic d’educació ambiental dirigit als centres educatius locals i avaluar-lo periòdicament (PEEVA): </t>
    </r>
    <r>
      <rPr>
        <b/>
        <sz val="11"/>
        <color theme="1"/>
        <rFont val="Calibri"/>
        <family val="2"/>
        <scheme val="minor"/>
      </rPr>
      <t>Contracte de serveis d'informació, educació i voluntariat a l'ENP (AG-2024-17)</t>
    </r>
  </si>
  <si>
    <t>*Elaborar i implementar un programa específic d’educació ambiental dirigit als centres educatius locals (PEEVA), mitjançant el contracte de serveis d'informació, educació i voluntariat a l'ENP (AG-2024-17)</t>
  </si>
  <si>
    <t>SEA: Comparteix models de situcions d'aprenentatge i de projects.</t>
  </si>
  <si>
    <t>Percentatge d'escoles que han rebut activitats educatives del PN</t>
  </si>
  <si>
    <t>13.2.2</t>
  </si>
  <si>
    <t>Dissenyar projectes d'ApS ambiental i Ciència ciutadana i projectes compartits amb entitats del territori que s'incloguin dins de l'oferta pedagògica.</t>
  </si>
  <si>
    <t>13.2.3</t>
  </si>
  <si>
    <t>Elaborar recursos educatius sobre l’espai (que tinguin en compte les problemàtiques singulars del seu espai) i posar-los a disposició dels centres educatius</t>
  </si>
  <si>
    <r>
      <t xml:space="preserve">Elaboració de tres noves Propostes Educatives. Cada comarca haurà de dissenyar una proposta per cada àmbit. Es prioritzaran les Propostes per l’Educació Bàsica (EDU): </t>
    </r>
    <r>
      <rPr>
        <b/>
        <sz val="11"/>
        <color theme="1"/>
        <rFont val="Calibri"/>
        <family val="2"/>
        <scheme val="minor"/>
      </rPr>
      <t>Disseny de 3 activitats noves i millora de 6 activitats, mitjançant el Contracte de serveis d'informació, educació i voluntariat a l'ENP (AG-2024-17)</t>
    </r>
  </si>
  <si>
    <t xml:space="preserve">*Elaboració de noves propostes educatives, mitjançant el Contracte de serveis d'informació, educació i voluntariat a l'ENP (AG-2024-17)
*Redacció de l’oferta educativa seguint els criteris i directrius establerts en aquest PEA i incorporant les noves activitats en desenvolupament (EDU), mitjançant el contracte de serveis d'informació, educació i voluntariat a l'ENP (AG-2024-17)
</t>
  </si>
  <si>
    <t>Nombre de recursos educatius nous o millorats</t>
  </si>
  <si>
    <r>
      <t xml:space="preserve">Redacció de l’oferta educativa seguint els criteris i directrius establerts en aquest PEA i incorporant les noves activitats en desenvolupament (EDU): </t>
    </r>
    <r>
      <rPr>
        <b/>
        <sz val="11"/>
        <color theme="1"/>
        <rFont val="Calibri"/>
        <family val="2"/>
        <scheme val="minor"/>
      </rPr>
      <t>Contracte de serveis d'informació, educació i voluntariat a l'ENP (AG-2024-17)</t>
    </r>
  </si>
  <si>
    <t>CFF/JMFR</t>
  </si>
  <si>
    <t>13.2.4</t>
  </si>
  <si>
    <t>Oferir projectes de recerca vinculats a l'espai natural per a l'alumnat universitari i de la XEEN</t>
  </si>
  <si>
    <t>EA2. Promoure projectes en els centres educatius locals (crèdits de síntesi, treballs de recerca, servei comunitari, etc.) sobre temàtiques vinculades al Parc Natural, mitjançant el Contracte de serveis d'informació, educació i voluntariat a l'ENP (AG-2024-17) (PEEVA)</t>
  </si>
  <si>
    <t>*Promoure projectes en els centres educatius locals (crèdits de síntesi, treballs de recerca, servei comunitari, etc.) sobre temàtiques vinculades al Parc Natural, mitjançant el Contracte de serveis d'informació, educació i voluntariat a l'ENP (AG-2024-17)</t>
  </si>
  <si>
    <t>Nombre de projectes desenvolupats</t>
  </si>
  <si>
    <t>13.2.5</t>
  </si>
  <si>
    <t>Desplegar el Pla estratègic 2021-2030 d’educació i voluntariat ambiental del Parc Natural dels Ports (PEEVA): Educació ambiental</t>
  </si>
  <si>
    <t>0. Coordinació i seguiment del Pla estratègic 2021-2030 d'educació i voluntariat ambiental: Educació ambiental (PEEVA)</t>
  </si>
  <si>
    <t xml:space="preserve">*Portar a terme Serveis d'Educació Ambiental al Baix Ebre, el Montsià i la Terra Alta, mitjançant els contractes de serveis d'informació, educació i voluntariat a l'ENP (AG-2024-17)
*Coordinació i seguiment del Pla estratègic 2021-2030 d'educació i voluntariat ambiental (PEEVA)
*Coordinació eficaç entre el pla d’educació i voluntariat ambiental, els plans d’acció vinculats a la CETS i els programes d’ús públic (PEEVA)
*Acordar i introduir millores viables en el servei d’educació ambiental que externalitza el Parc Natural, si escau amb algun tipus de protocol escrit, mitjançant el contracte de serveis d'informació, educació i voluntariat a l'ENP (AG-2024-17) (PEEVA)
</t>
  </si>
  <si>
    <t xml:space="preserve">1) Percentatge d'escoles que han realitzat activitats d'EA
</t>
  </si>
  <si>
    <t>GOV6. Garantir una coordinació eficaç entre el pla d’educació i voluntariat ambiental, els plans d’acció vinculats a la CETS i els programes d’ús públic (PEEVA)</t>
  </si>
  <si>
    <r>
      <t xml:space="preserve">Serveis d'Educació Ambiental al Baix Ebre: </t>
    </r>
    <r>
      <rPr>
        <b/>
        <sz val="11"/>
        <color theme="1"/>
        <rFont val="Calibri"/>
        <family val="2"/>
        <scheme val="minor"/>
      </rPr>
      <t>Contracte de serveis d'informació, educació i voluntariat a l'ENP (AG-2024-17)</t>
    </r>
  </si>
  <si>
    <r>
      <t xml:space="preserve">Serveis d'Educació Ambiental al Montsià: </t>
    </r>
    <r>
      <rPr>
        <b/>
        <sz val="11"/>
        <color theme="1"/>
        <rFont val="Calibri"/>
        <family val="2"/>
        <scheme val="minor"/>
      </rPr>
      <t>Contracte de serveis d'informació, educació i voluntariat a l'ENP (AG-2024-17)</t>
    </r>
  </si>
  <si>
    <r>
      <t xml:space="preserve">Serveis d'Educació Ambiental a la Terra Alta: </t>
    </r>
    <r>
      <rPr>
        <b/>
        <sz val="11"/>
        <color theme="1"/>
        <rFont val="Calibri"/>
        <family val="2"/>
        <scheme val="minor"/>
      </rPr>
      <t>Contracte de serveis d'informació, educació i voluntariat a l'ENP (AG-2024-17)</t>
    </r>
  </si>
  <si>
    <t xml:space="preserve">GOV2. Acordar i introduir millores viables en el servei d’educació ambiental que externalitza el Parc Natural, si escau amb algun tipus de protocol escrit, mitjançant el contracte de serveis d'informació, educació i voluntariat a l'ENP (AG-2024-17) (PEEVA)
</t>
  </si>
  <si>
    <t>13.3</t>
  </si>
  <si>
    <t>Establir mecanismes estables de formació, treball i coordinació amb els col·lectius implicats en la sensibilització i l'educació dins el ENP</t>
  </si>
  <si>
    <t>13.3.1</t>
  </si>
  <si>
    <t>Establir un model de coordinació territorial amb agents clau de l'educació ambiental</t>
  </si>
  <si>
    <t>Suport i dinamització a la coordinació amb agents claus del territori, mitjançant el contracte de serveis d'informació, educació i voluntariat a l'ENP (AG-2024-17)</t>
  </si>
  <si>
    <t>*Suport i dinamització a la coordinació amb agents claus del territori, mitjançant el contracte de serveis d'informació, educació i voluntariat a l'ENP (AG-2024-17)
*Elaborar i mantenir actualitzat un inventari dels potencials agents col·laboradors en educació ambiental, mitjançant el contracte de serveis d'informació, educació i voluntariat a l'ENP (AG-2024-17) (PEEVA)</t>
  </si>
  <si>
    <t>GOV3. Elaborar i mantenir actualitzat un inventari dels potencials agents col·laboradors en educació ambiental, mitjançant el contracte de serveis d'informació, educació i voluntariat a l'ENP (AG-2024-17) (PEEVA)</t>
  </si>
  <si>
    <t>13.3.2</t>
  </si>
  <si>
    <t>Cercar i establir col·laboracions i projectes conjunts amb agents clau del territori</t>
  </si>
  <si>
    <t>EA7. Dissenyar i executar un programa anual de trobades amb representants i personal tècnic de les administracions locals (PEEVA)</t>
  </si>
  <si>
    <t>EA7. Dissenyar i executar un programa anual de trobades amb representants i personal tècnic de les administracions locals (PEEVA)
EA8. Establir aliances amb programes educatius o de lleure municipals per integrar continguts o propostes didàctiques del Parc Natural (PEEVA)
GOV5. Cercar i establir col·laboracions i projectes conjunts amb agents clau del territori (PEEVA), mitjançant el contracte de serveis d'informació, educació i voluntariat a l'ENP (AG-2024-17) (PEEVA)</t>
  </si>
  <si>
    <t>EA8. Establir aliances amb programes educatius o de lleure municipals per integrar continguts o propostes didàctiques del Parc Natural (PEEVA)</t>
  </si>
  <si>
    <t>GOV5. Cercar i establir col·laboracions i projectes conjunts amb agents clau del territori (PEEVA), mitjançant el contracte de serveis d'informació, educació i voluntariat a l'ENP (AG-2024-17) (PEEVA)</t>
  </si>
  <si>
    <t>13.3.3</t>
  </si>
  <si>
    <t>Elaborar formacions dirigides als informadors, educadors i altres prescriptors del territori</t>
  </si>
  <si>
    <t>Realització d'activitats formatives, a través del contracte de serveis d'informació, educació i voluntariat a l'ENP (AG-2024-17)</t>
  </si>
  <si>
    <t xml:space="preserve">*Realització d'activitats formatives, a través del contracte de serveis d'informació, educació i voluntariat a l'ENP (AG-2024-17)
*Disseny i execució d'accions de formació i divulgació sobre valors naturals i paisatgístics que aportin singularitat al PN (CETS)
*Acreditació d'espais com a punts d'informació i acreditació de persones com a agents informadors del Parc Natural (CETS)
*Col·laboració en el curs del Coneixements del Parc Natural del Delta de l’Ebre i del Parc Natural dels Ports per formar guies acreditats dels Parcs Naturals (IEPAAC - FP Dual)
* Elaborar un manual de referència per a guies i educador/es ambientals amb tots els valors principals del Parc Natural (PEEVA)
</t>
  </si>
  <si>
    <t>SEA: Elabora propostes MODEL de programes de formació</t>
  </si>
  <si>
    <t>1) Nombre anual de formacions realitzades
2) Nombre de punts d'informació acreditats
3) Disposar del manual de referència</t>
  </si>
  <si>
    <t>1) 5
2) 2
3) 1</t>
  </si>
  <si>
    <t>1) 10
2) 5
3) 1</t>
  </si>
  <si>
    <t>A.3.2.1. Acreditació d'espais com a punts d'informació i acreditació de persones com a agents informadors del Parc Natural (CETS)</t>
  </si>
  <si>
    <t>JMFR/CFF/SMM</t>
  </si>
  <si>
    <t>EA9. Articular accions formatives i generar recursos per garantir que la informació turística i els guiatges turístics vinculats al Parc Natural incloguin elements interpretatius i pedagògics (PEEVA)</t>
  </si>
  <si>
    <t>A.2.3.2. Disseny i execució d'accions de formació i divulgació sobre valors naturals i paisatgístics que aportin singularitat al PN (CETS): cursos de Picampall, odonats...</t>
  </si>
  <si>
    <r>
      <t xml:space="preserve">A.3.1.2. Formació, acreditació i promoció de guies intèrprets del PN mitjançant formació reglada (CETS): </t>
    </r>
    <r>
      <rPr>
        <b/>
        <sz val="11"/>
        <rFont val="Calibri"/>
        <family val="2"/>
        <scheme val="minor"/>
      </rPr>
      <t>col·laboració en el curs del Coneixements del Parc Natural del Delta de l’Ebre i del Parc Natural dels Ports per formar guies acreditats dels Parcs Naturals (IEPAAC - FP Dual)</t>
    </r>
  </si>
  <si>
    <t>ERP5. Elaborar un manual de referència per a guies i educador/es ambientals amb tots els valors principals del Parc Natural (PEEVA).</t>
  </si>
  <si>
    <t>JMFR/JMQ/AAA</t>
  </si>
  <si>
    <t>13.4</t>
  </si>
  <si>
    <t>Desplegar un programa de divulgació i sensibilització per a visitants</t>
  </si>
  <si>
    <t>13.4.1</t>
  </si>
  <si>
    <t>Desplegar en el territori les campanyes de sensibilització i bones pràctiques que s'impulsin des de la DG</t>
  </si>
  <si>
    <t>Desplegar les campanyes de sensibilització i bones pràctiques que s'impulsin des de la DG (2025-2029)</t>
  </si>
  <si>
    <t>*Desplegar les campanyes de sensibilització i bones pràctiques que s'impulsin des de la DG (2025-2029)
*Organització i celebració del "Dia Europeu dels Parcs" al PN dels Ports (CETS)</t>
  </si>
  <si>
    <t>SEA: Elabora un document marc per unificar missatges i coordinar la difusió</t>
  </si>
  <si>
    <t xml:space="preserve">Nombre anual de campanyes realitzades
</t>
  </si>
  <si>
    <t>A.4.1.4. Organització i celebració del "Dia Europeu dels Parcs" al PN dels Ports (CETS)</t>
  </si>
  <si>
    <t>13.4.2</t>
  </si>
  <si>
    <t xml:space="preserve">Adaptar el programa de divulgació i sensibilització de l'ENP perquè incorpori una oferta d’activitats adequada per a famílies </t>
  </si>
  <si>
    <r>
      <t xml:space="preserve">EA5. Dissenyar una oferta d’activitats específica per a famílies en el marc dels programes dirigits als centres educatius locals i la població local (PEEVA): </t>
    </r>
    <r>
      <rPr>
        <b/>
        <sz val="11"/>
        <rFont val="Calibri"/>
        <family val="2"/>
        <scheme val="minor"/>
      </rPr>
      <t>Realització d'activitats guiades adreçades a grups familiars o d'adults en temps de lleure, mitjançant el contracte de serveis d'informació, educació i voluntariat a l'ENP (AG-2024-17)</t>
    </r>
  </si>
  <si>
    <t>*Realització d'activitats guiades adreçades a grups familiars o d'adults en temps de lleure, mitjançant el contracte de serveis d'informació, educació i voluntariat a l'ENP (AG-2024-17)</t>
  </si>
  <si>
    <t>Nombre anual d'activitats guiades</t>
  </si>
  <si>
    <t>13.4.3</t>
  </si>
  <si>
    <t xml:space="preserve">Adaptar el programa de divulgació i sensibilització de l'ENP perquè incorpori una oferta d’activitats adequada per a altres perfils </t>
  </si>
  <si>
    <t>Realització de xerrades, ja sigui en instal·lacions pròpies o externes, o virtuals, mitjançant el contracte de serveis d'informació, educació i voluntariat a l'ENP (AG-2024-17)</t>
  </si>
  <si>
    <t>*Realització de xerrades, ja sigui en instal·lacions pròpies o externes, o virtuals, mitjançant el contracte de serveis d'informació, educació i voluntariat a l'ENP (AG-2024-17)
*Realitzar activitats tècniques especialitzades, mitjançant el contracte de serveis d'informació, educació i voluntariat a l'ENP (AG-2024-17)</t>
  </si>
  <si>
    <t>Nombre anual de xerrades o activitats</t>
  </si>
  <si>
    <t>A.4.4.4. Disseny i desenvolupament d'una jornada de cicloturisme al PN (CETS)</t>
  </si>
  <si>
    <t>Realitzar activitats tècniques especialitzades, mitjançant el contracte de serveis d'informació, educació i voluntariat a l'ENP (AG-2024-17)</t>
  </si>
  <si>
    <t>13.4.4</t>
  </si>
  <si>
    <t xml:space="preserve">Adaptar el programa de divulgació i sensibilització de l'ENP perquè incorpori una oferta d’activitats dirigida al lleure educatiu </t>
  </si>
  <si>
    <t>Realització de tallers educatius, ja sigui en equipaments propis, externs o a la natura, mitjançant el contracte de serveis d'informació, educació i voluntariat a l'ENP (AG-2024-17)</t>
  </si>
  <si>
    <t>*Realització de tallers educatius, ja sigui en equipaments propis, externs o a la natura, mitjançant el contracte de serveis d'informació, educació i voluntariat a l'ENP (AG-2024-17)
*Realització d'activitats guiades adreçades a grups d'infants i joves en temps de lleure, mitjançant el contracte de serveis d'informació, educació i voluntariat a l'ENP (AG-2024-17)</t>
  </si>
  <si>
    <t>1) Nombre d'activitats destinades al lleure educatiu/educació no formal</t>
  </si>
  <si>
    <r>
      <t xml:space="preserve">ERP3. Actualitzar i crear nous recursos pedagògics de suport a les activitats educatives (PEEVA): </t>
    </r>
    <r>
      <rPr>
        <b/>
        <sz val="11"/>
        <rFont val="Calibri"/>
        <family val="2"/>
        <scheme val="minor"/>
      </rPr>
      <t>Realització d'activitats guiades adreçades a grups d'infants i joves en temps de lleure, mitjançant el contracte de serveis d'informació, educació i voluntariat a l'ENP (AG-2024-17)</t>
    </r>
  </si>
  <si>
    <t>13.5</t>
  </si>
  <si>
    <t>Desplegar un programa de sensibilització i formació per als col·lectius del territori estratègics en la conservació de la natura</t>
  </si>
  <si>
    <t>13.5.1</t>
  </si>
  <si>
    <t>Identificar col·lectius estratègics implicats en la gestió i l'ús del territori</t>
  </si>
  <si>
    <t>13.5.2</t>
  </si>
  <si>
    <t>Executar els projectes de sensibilització i formació dirigits al sector turístic, esportiu i de lleure</t>
  </si>
  <si>
    <t>Executar els projectes de sensibilització i formació dirigits al sector esportiu</t>
  </si>
  <si>
    <t>La resta de sectors ja estan inclosos en altres Ops</t>
  </si>
  <si>
    <t>13.5.3</t>
  </si>
  <si>
    <t xml:space="preserve">Executar els projectes de sensibilització i formació dirigits als agents de lleure educatiu </t>
  </si>
  <si>
    <t>Eliminar: se solapa amb 'Op 13.4.4</t>
  </si>
  <si>
    <t>13.5.4</t>
  </si>
  <si>
    <t xml:space="preserve">Executar els projectes de sensibilització i formació dirigits als agents del sector primari </t>
  </si>
  <si>
    <t>EA6. Articular estratègies de difusió i formació adreçades als agents socioeconòmics d’àmbit local per afrontar certes problemàtiques que afecten el Parc Natural (PEEVA)</t>
  </si>
  <si>
    <t>13.5.5</t>
  </si>
  <si>
    <t>Elaborar i renovar periòdicament un programa d’educació ambiental adreçat a la població local que contribueixi a fomentar el sentiment de pertinença i la implicació en la conservació de l'ENP</t>
  </si>
  <si>
    <t>EA4. Elaborar i implementar un programa específic d’educació ambiental per a la població i les entitats locals amb una oferta d’activitats atractiva i vinculada a esdeveniments locals (PEEVA): Elaborar i difondre una agenda trimestral d'activitats educatives dirigides a la població i les entitats locals.</t>
  </si>
  <si>
    <t>*Elaborar i difondre una agenda trimestral d'activitats educatives dirigides a la població i les entitats locals.
*Participar en cursos per adults
*Planificar, gestionar i executar el cicle estival de xerrades i activitats a Cova Avellanes</t>
  </si>
  <si>
    <t>1) Elaboració de l'agenda
2) Nombre de cursos per a adults realitzats
3) Nombre de cicles estivals de xerrades realitzades</t>
  </si>
  <si>
    <t>1) 1
2) 1
3) 2</t>
  </si>
  <si>
    <t>1) 1
2) 2
3) 4</t>
  </si>
  <si>
    <t>JMFR/SMM</t>
  </si>
  <si>
    <t>Tasques de suport a l'Àrea d'ús públic</t>
  </si>
  <si>
    <r>
      <t>Planificar, gestionar i executar el cicle estival de xerrades i activitats a Cova Avellanes</t>
    </r>
    <r>
      <rPr>
        <sz val="11"/>
        <rFont val="Calibri"/>
        <family val="2"/>
        <scheme val="minor"/>
      </rPr>
      <t xml:space="preserve">
</t>
    </r>
  </si>
  <si>
    <t xml:space="preserve">Participar en el curs “Ciència, projectes i investigacions amb accent ebrenc que milloren el món" de la UNED, amb la xerrada "La gestió dels hàbitats forestals al Parc Natural dels Ports: silvicultura de conservació de processos ecològics per adaptar els boscos en context de canvi"
</t>
  </si>
  <si>
    <t>Elaboració del calendari d’activitats de lleure, 2026 (EA Informal) (EDU)</t>
  </si>
  <si>
    <t>13.6</t>
  </si>
  <si>
    <t xml:space="preserve">Fomentar accions de voluntariat per conservar el patrimoni natural i cultural </t>
  </si>
  <si>
    <t>13.6.1</t>
  </si>
  <si>
    <t>Identificar els programes, projectes i accions en marxa o previstos a l’ENP que poden rebre el suport del voluntariat</t>
  </si>
  <si>
    <t>VA3. Gestionar les demandes de voluntariat i d’accions d’RSC d’empreses d’acord amb els procediments establerts per a tots els parcs naturals (PEEVA)</t>
  </si>
  <si>
    <t>13.6.2</t>
  </si>
  <si>
    <t>Establir un model de coordinació territorial amb agents clau del voluntariat ambiental</t>
  </si>
  <si>
    <t>Cap</t>
  </si>
  <si>
    <t>ESNATURA
PEEVA</t>
  </si>
  <si>
    <t xml:space="preserve">SEA: Elabora Model de Taula de Voluntariat Ambiental </t>
  </si>
  <si>
    <t>13.6.3</t>
  </si>
  <si>
    <t>Desplegar el Pla estratègic 2021-2030 d’educació i voluntariat ambiental del Parc Natural dels Ports (PEEVA): Voluntariat</t>
  </si>
  <si>
    <r>
      <t xml:space="preserve">0. Coordinació i seguiment del Pla estratègic 2021-2030 d'educació i voluntariat ambiental: </t>
    </r>
    <r>
      <rPr>
        <b/>
        <sz val="11"/>
        <rFont val="Calibri"/>
        <family val="2"/>
        <scheme val="minor"/>
      </rPr>
      <t>Taula Voluntariat Ambiental (PEEVA)</t>
    </r>
  </si>
  <si>
    <t>*Coordinació i seguiment del Pla estratègic 2021-2030 d'educació i voluntariat ambiental: Taula Voluntariat Ambiental (PEEVA)
*Facilitar orientacions tècniques i suport continuat a les entitats que demanin fer voluntariat en l’àmbit del Parc Natural (PEEVA)
*Promoció del voluntariat, dins del marc de la Taula de Voluntariat dels parcs naturals de les Terres de l’Ebre, mitjançant el contracte de serveis d'informació, educació i voluntariat a l'ENP (AG-2024-17)</t>
  </si>
  <si>
    <t>Nombre anual d'activitats dirigides al voluntariat</t>
  </si>
  <si>
    <t>VA2. Facilitar orientacions tècniques i suport continuat a les entitats que demanin fer voluntariat en l’àmbit del Parc Natural (PEEVA)</t>
  </si>
  <si>
    <t>Promoció del voluntariat, dins del marc de la Taula de Voluntariat dels parcs naturals de les Terres de l’Ebre, mitjançant el contracte de serveis d'informació, educació i voluntariat a l'ENP (AG-2024-17)</t>
  </si>
  <si>
    <t>13.7</t>
  </si>
  <si>
    <t xml:space="preserve">Treballar per a la universalitat de les accions d’educació, sensibilització i voluntariat ambiental </t>
  </si>
  <si>
    <t>13.7.1</t>
  </si>
  <si>
    <t>Dissenyar i adaptar activitats inclusives per a persones amb necessitats específiques</t>
  </si>
  <si>
    <t>Implementar el protocol d'ús de les Joëlettes, a partir dels criteris de la DG</t>
  </si>
  <si>
    <t>*Implementar el protocol d'ús de les Joëlettes, a partir dels criteris de la DG</t>
  </si>
  <si>
    <t>Disposar d'un protocol i d'ús de les joëlettes</t>
  </si>
  <si>
    <t>13.7.2</t>
  </si>
  <si>
    <t>Formar el personal de l'ENP (informadors i personal que treballa de cara al públic) en accessibilitat, diversitat funcional i diversitat de gènere</t>
  </si>
  <si>
    <t>*Formar el personal de l'ENP (informadors i personal que treballa de cara al públic) en accessibilitat, diversitat funcional i diversitat de gènere</t>
  </si>
  <si>
    <t>Jornades de formació</t>
  </si>
  <si>
    <t>13.7.3</t>
  </si>
  <si>
    <t>Incorporar la perspectiva de gènere als continguts i activitats de l'ENP</t>
  </si>
  <si>
    <t>Revisió des de la perspectiva de gènere dels nous continguts i activitats de l'ENP</t>
  </si>
  <si>
    <t>*Revisió des de la perspectiva de gènere dels nous continguts i activitats de l'ENP</t>
  </si>
  <si>
    <t>Percentatge del material editat que incorpora la perspectiva de gènere</t>
  </si>
  <si>
    <t>13.8</t>
  </si>
  <si>
    <t>Desplegar i adaptar el programa Salut i Natura de la DG en l'àmbit de l'ENP</t>
  </si>
  <si>
    <t>13.8.1</t>
  </si>
  <si>
    <t>Dissenyar, implementar i fomentar itineraris saludables dins dels itineraris oficials dels ENP i en la zona d'influència</t>
  </si>
  <si>
    <t>A.4.2.1. Disseny i desenvolupament d'itineraris saludables (CETS)</t>
  </si>
  <si>
    <t>*Adaptació d'itineraris saludables en l'àmbit del PNP (Corretja Roca Llisa...)
* Creació de l'itinerari terapèutic a la Mola de Catí</t>
  </si>
  <si>
    <t>Nombre d'tineraris implementats</t>
  </si>
  <si>
    <t>A.4.2.1. Disseny i desenvolupament d'itineraris saludables (CETS): Creació d’itinerari terapèutic a la forest d’utilitat publica de la Mola de Catí (Projecte: Creació de paisatges agroforestals resilients i la provisió de serveis ecosistèmics a Terres de l’Ebre)</t>
  </si>
  <si>
    <t>13.8.2</t>
  </si>
  <si>
    <t>Identificar els agents clau i els àmbits de col·laboració per implementar el binomi salut i natura</t>
  </si>
  <si>
    <t>Inclòs a l'Ops 13.8.4: Desplegar la Taula Territorial de Salut i Natura de les Terres de l'Ebre</t>
  </si>
  <si>
    <t>13.8.3</t>
  </si>
  <si>
    <t xml:space="preserve">Incloure el concepte de salut i natura en els missatges educatius i comunicatius de l'ENP </t>
  </si>
  <si>
    <t>13.8.4</t>
  </si>
  <si>
    <t>Desplegar i/o participar a les Taules territorials de Salut i Natura</t>
  </si>
  <si>
    <t>Desplegar i/o participar a la Taula Territorial de Salut i Natura de les Terres de l'Ebre</t>
  </si>
  <si>
    <t>Participar en les reunions de la Taula Natura i Salut de les Terres de l'Ebre</t>
  </si>
  <si>
    <t>*Participar en les reunions de la Taula Natura i Salut de les Terres de l'Ebre
*Participar en les reunions i els grups de treball de la Taula Natura de Catalunya
*Promoure i participar en l'elaboració d'un pla d'acció de la Taula Natura i Salut de les Terres de l'Ebre</t>
  </si>
  <si>
    <t>Percentatge de reunions de la Taula amb participació del Parc</t>
  </si>
  <si>
    <t>Participar en les reunions i els grups de treball de la Taula Natura de Catalunya</t>
  </si>
  <si>
    <t>Promoure i participar en l'elaboració d'un pla d'acció de la Taula Natura i Salut de les Terres de l'Ebre</t>
  </si>
  <si>
    <t>COMUNICAR I DIFONDRE ELS VALORS DE L'ENP, contribuint a l'educació ambiental de la societat</t>
  </si>
  <si>
    <t>14.1</t>
  </si>
  <si>
    <t>Augmentar el coneixement de l'ENP entre la població</t>
  </si>
  <si>
    <t>14.1.1</t>
  </si>
  <si>
    <t>Informar periòdicament sobre les tasques, projectes i actuacions que duu a terme l'ENP a la població</t>
  </si>
  <si>
    <t>Informar periòdicament als ajuntaments sobre les activitats i actuacions promogudes des del Parc</t>
  </si>
  <si>
    <t>*Informar periòdicament als ajuntaments sobre les activitats i actuacions promogudes des del Parc
*Edició i publicació del butlletí Cingles
*Edició i publicació de la Memòria d'actuacions
*Participació en fires i festivals locals, incloent-hi espais per a l’artesania i el producte local</t>
  </si>
  <si>
    <t>Pla de comunicació</t>
  </si>
  <si>
    <t>SENP: Elaborar els productes comunicatius</t>
  </si>
  <si>
    <t>1) Nombre anual de comunicats als ajuntaments
2) Nombre de Cingles publicats
3) Nombre de Memòries publicades
4) Nombre anual de fires amb participació del PN</t>
  </si>
  <si>
    <t>1) 3
2) 3
3) 4
4) 2</t>
  </si>
  <si>
    <t>1) 4
2) 4
3) 4
4) 4</t>
  </si>
  <si>
    <r>
      <rPr>
        <b/>
        <sz val="11"/>
        <color theme="1"/>
        <rFont val="Calibri"/>
        <family val="2"/>
        <scheme val="minor"/>
      </rPr>
      <t>Cingles:</t>
    </r>
    <r>
      <rPr>
        <sz val="11"/>
        <color theme="1"/>
        <rFont val="Calibri"/>
        <family val="2"/>
        <scheme val="minor"/>
      </rPr>
      <t xml:space="preserve"> Elaboració butlletí Cingles (disseny gràfic...)
</t>
    </r>
  </si>
  <si>
    <t>A.3.7. Publicacions per posar en valor als diferents artesans/es al butlletí Cingles (ARTESAN)</t>
  </si>
  <si>
    <r>
      <rPr>
        <b/>
        <sz val="11"/>
        <color theme="1"/>
        <rFont val="Calibri"/>
        <family val="2"/>
        <scheme val="minor"/>
      </rPr>
      <t xml:space="preserve">Memòria d'actuacions: </t>
    </r>
    <r>
      <rPr>
        <sz val="11"/>
        <color theme="1"/>
        <rFont val="Calibri"/>
        <family val="2"/>
        <scheme val="minor"/>
      </rPr>
      <t>coordinació elaboració dels continguts de la Maquetació Memòria 2025</t>
    </r>
  </si>
  <si>
    <r>
      <rPr>
        <b/>
        <sz val="11"/>
        <color theme="1"/>
        <rFont val="Calibri"/>
        <family val="2"/>
        <scheme val="minor"/>
      </rPr>
      <t xml:space="preserve">Memòria d'actuacions: </t>
    </r>
    <r>
      <rPr>
        <sz val="11"/>
        <color theme="1"/>
        <rFont val="Calibri"/>
        <family val="2"/>
        <scheme val="minor"/>
      </rPr>
      <t>Maquetació Memòria 2025</t>
    </r>
  </si>
  <si>
    <r>
      <rPr>
        <b/>
        <sz val="11"/>
        <color theme="1"/>
        <rFont val="Calibri"/>
        <family val="2"/>
        <scheme val="minor"/>
      </rPr>
      <t>Cingles:</t>
    </r>
    <r>
      <rPr>
        <sz val="11"/>
        <color theme="1"/>
        <rFont val="Calibri"/>
        <family val="2"/>
        <scheme val="minor"/>
      </rPr>
      <t xml:space="preserve"> Edició del butlletí Cingles (coordinació)</t>
    </r>
  </si>
  <si>
    <r>
      <rPr>
        <b/>
        <sz val="11"/>
        <color theme="1"/>
        <rFont val="Calibri"/>
        <family val="2"/>
        <scheme val="minor"/>
      </rPr>
      <t>Cingles:</t>
    </r>
    <r>
      <rPr>
        <sz val="11"/>
        <color theme="1"/>
        <rFont val="Calibri"/>
        <family val="2"/>
        <scheme val="minor"/>
      </rPr>
      <t xml:space="preserve"> Impressió Cingles</t>
    </r>
  </si>
  <si>
    <r>
      <rPr>
        <b/>
        <sz val="11"/>
        <color theme="1"/>
        <rFont val="Calibri"/>
        <family val="2"/>
        <scheme val="minor"/>
      </rPr>
      <t xml:space="preserve">Memòria d'actuacions: </t>
    </r>
    <r>
      <rPr>
        <sz val="11"/>
        <color theme="1"/>
        <rFont val="Calibri"/>
        <family val="2"/>
        <scheme val="minor"/>
      </rPr>
      <t>Impressió Memòria 2023</t>
    </r>
  </si>
  <si>
    <t>Exposició en fires i festivals locals</t>
  </si>
  <si>
    <t>1.2.1. Organitzar accions comunicatives amb professionals externs que puguin fer difusió dels productes locals artesans i agroalimentaris (PRODUCT).</t>
  </si>
  <si>
    <t>1.2.2. Campanya de comunicació conjunta amb la Reserva de la Biosfera Terres de l’Ebre (PRODUCT)</t>
  </si>
  <si>
    <t>1.2.3. Programa d’entrevistes als productors/es i artesans/es (PRODUCT)</t>
  </si>
  <si>
    <t>14.2</t>
  </si>
  <si>
    <t>Conscienciar sobre els valors de l'ENP als diferents públics objectiu</t>
  </si>
  <si>
    <t>14.2.1</t>
  </si>
  <si>
    <t>Sensibilitzar als diferents agents sobre els valors de l'ENP</t>
  </si>
  <si>
    <t>Cursos sobre patrimoni natural (Picampall i altres)</t>
  </si>
  <si>
    <t>*Edició o reedició, i publicació dels materials divulgatius associats a l'ús públic (mapa oficial, itineraris oficials del Parc, regulació d'activitats, etc.)
*Cursos sobre patrimoni natural
*Manteniment webcam niu rapinyaires
*Realització de projectes museogràfics
*Realització d'una agenda d'activitats per a la celebració del 25è aniversari de la creació del Parc</t>
  </si>
  <si>
    <t>SEA: Crear material divulgatiu</t>
  </si>
  <si>
    <t>1) Disposar de material oficial (itineraris, mapa i regulació d'activitats) en format paper
2) Nombre anual de cursos realitzats
3) Nombre anual de nius amb webcam
4) Nombre de projectes museogràfics realitzats</t>
  </si>
  <si>
    <t>1) 1
2) 2
3) 0
4) 1</t>
  </si>
  <si>
    <t>1) 1
2) 4
3) 1
4) 3</t>
  </si>
  <si>
    <t>Rollers marcenca: il·lustracions, disseny , suports</t>
  </si>
  <si>
    <t>SMM/JMQ</t>
  </si>
  <si>
    <r>
      <t xml:space="preserve">Webcam niu rapinyaires: </t>
    </r>
    <r>
      <rPr>
        <sz val="11"/>
        <color theme="1"/>
        <rFont val="Calibri"/>
        <family val="2"/>
        <scheme val="minor"/>
      </rPr>
      <t>Connexió internet niu rapinyaires</t>
    </r>
  </si>
  <si>
    <r>
      <rPr>
        <b/>
        <sz val="11"/>
        <color theme="1"/>
        <rFont val="Calibri"/>
        <family val="2"/>
        <scheme val="minor"/>
      </rPr>
      <t>Webcam Webcam niu rapinyaires</t>
    </r>
    <r>
      <rPr>
        <sz val="11"/>
        <color theme="1"/>
        <rFont val="Calibri"/>
        <family val="2"/>
        <scheme val="minor"/>
      </rPr>
      <t>: Manteniment webcam niu rapinyaires</t>
    </r>
  </si>
  <si>
    <r>
      <rPr>
        <b/>
        <sz val="11"/>
        <color theme="1"/>
        <rFont val="Calibri"/>
        <family val="2"/>
        <scheme val="minor"/>
      </rPr>
      <t xml:space="preserve">Webcam Webcam niu rapinyaires: </t>
    </r>
    <r>
      <rPr>
        <sz val="11"/>
        <color theme="1"/>
        <rFont val="Calibri"/>
        <family val="2"/>
        <scheme val="minor"/>
      </rPr>
      <t>Connexió internet casa Cova Avellanes</t>
    </r>
  </si>
  <si>
    <t>Elaboració de material de difusió sobre el voltor negre (marxandantge)</t>
  </si>
  <si>
    <t>ERP4. Recopilar i modernitzar els recursos i materials divulgatius existents adreçats a visitants, en especial les exposicions interpretatives (PEEVA): edició o reedició, i publicació dels materials divulgatius associats a l'ús públic (mapa oficial, itineraris oficials del Parc, regulació d'activitats, etc.)</t>
  </si>
  <si>
    <t>ERP4. Recopilar i modernitzar els recursos i materials divulgatius existents adreçats a visitants, en especial les exposicions interpretatives (PEEVA): col·laborar amb la DG per a la redacció del projecte museogràfic del CVMO i de l'equipament de Bailen, en el contracte global per lots</t>
  </si>
  <si>
    <t>Realització d'una agenda d'activitats per a la celebració del 25è aniversari de la creació del Parc</t>
  </si>
  <si>
    <t>14.3</t>
  </si>
  <si>
    <t xml:space="preserve">Disposar d'una comunicació ordenada efectiva, positiva i coordinada que arribi a la ciutadania i aquesta pugui reconèixer fàcilment </t>
  </si>
  <si>
    <t>14.3.1</t>
  </si>
  <si>
    <t>Optimitzar els canals de comunicació</t>
  </si>
  <si>
    <t>Manteniment i actualització de la pàgina web</t>
  </si>
  <si>
    <t>*Manteniment i actualització de la pàgina web
*Manteniment i actualització de les xarxes socials
*Elaborar notes de premsa en col·laboració de la DG</t>
  </si>
  <si>
    <t>1) Nombre anual de revisions i d'actualitzacions de la web del PN realitzades
2) Nombre anual de publicacions en xarxes socials
3) Nombre anual de notes de premsa publicades</t>
  </si>
  <si>
    <t>1) 200
2) 100
3) 2</t>
  </si>
  <si>
    <t>1) 300
2) 150
3) 4</t>
  </si>
  <si>
    <t>Manteniment i actualització de les xarxes socials</t>
  </si>
  <si>
    <t>Elaborar notes de premsa en col·laboració de la DG</t>
  </si>
  <si>
    <t>14.3.2</t>
  </si>
  <si>
    <t>Garantir l'harmonització de la comunicació com a Parc, Xarxa i Generalitat.</t>
  </si>
  <si>
    <t>Inclòs en l'Op anterior</t>
  </si>
  <si>
    <t>Participar en les reunions de coordinació amb la DG sobre comunicació</t>
  </si>
  <si>
    <t>*Participar en les reunions de coordinació amb la DG sobre comunicació</t>
  </si>
  <si>
    <t>Percentatge anual de reunions amb participació del PN</t>
  </si>
  <si>
    <t>ESTABLIR EL MARC PER A LA GOVERNANÇA i la gestió eficient de l'espai i la xarxa d'ENP</t>
  </si>
  <si>
    <t>15.1</t>
  </si>
  <si>
    <t>Disposar d'espais per a la participació de personal expert i agents del territori en la governança de l'ENP</t>
  </si>
  <si>
    <t>15.1.1</t>
  </si>
  <si>
    <t>Crear una taula de treball amb els agents prioritaris per a la gestió de l'ENP i els grups de treball temàtics necessaris</t>
  </si>
  <si>
    <t>Crear taules de treball temàtiques amb els agents prioritaris per a la gestió de l'ENP</t>
  </si>
  <si>
    <t>Redacció més realista d'acord amb la llei</t>
  </si>
  <si>
    <t>*Crear taules de treball temàtiques amb els agents prioritaris per a la gestió de l'ENP</t>
  </si>
  <si>
    <t xml:space="preserve">1) Espais de participació actius
</t>
  </si>
  <si>
    <t>1) 3</t>
  </si>
  <si>
    <t>1) 6</t>
  </si>
  <si>
    <t>15.1.2</t>
  </si>
  <si>
    <t>Disposar d'assessorament científic en l'ENP</t>
  </si>
  <si>
    <t>Identificar els equips científics experts en àmbits temàtics clau en la gestió del Parc</t>
  </si>
  <si>
    <t>*Identificar els equips científics experts en àmbits temàtics clau en la gestió del Parc</t>
  </si>
  <si>
    <t>Creació d'un llistat d'equips científics experts en àmbits temàtics clau</t>
  </si>
  <si>
    <t>15.1.3</t>
  </si>
  <si>
    <t>Incloure entitats i organismes científics i culturals de referència en els mecanismes de presa de decisions de l'ENP</t>
  </si>
  <si>
    <t>No pertoca; en tot cas inclòs en l'Op anterior</t>
  </si>
  <si>
    <t>15.1.4</t>
  </si>
  <si>
    <t>Adaptar i desplegar el model de governança dels espais naturals protegits</t>
  </si>
  <si>
    <t>Participar en l'adaptació i el desplegament del model de governança dels espais naturals protegits</t>
  </si>
  <si>
    <t>Participar en la definició del model de governança dels espais naturals protegits per part de la DG</t>
  </si>
  <si>
    <t>*Participar en la definició del model de governança dels espais naturals protegits per part de la DG
*Creació del Consell d'alcaldes</t>
  </si>
  <si>
    <t>SENP: Elaborar una proposta de model de governança dels espais naturals protegits</t>
  </si>
  <si>
    <t>Fer aportacions al model de governança proposat per la DG</t>
  </si>
  <si>
    <t>15.1.5</t>
  </si>
  <si>
    <t>Gestionar el funcionament i la gestió documental de la Junta rectora del Parc</t>
  </si>
  <si>
    <r>
      <rPr>
        <b/>
        <sz val="11"/>
        <rFont val="Calibri"/>
        <family val="2"/>
        <scheme val="minor"/>
      </rPr>
      <t xml:space="preserve">NOU. </t>
    </r>
    <r>
      <rPr>
        <sz val="11"/>
        <rFont val="Calibri"/>
        <family val="2"/>
        <scheme val="minor"/>
      </rPr>
      <t>S'incorporen les tasques que es realitzen actualment (convocatòries, actes, gestió de la documentació, manteniment Teams...)</t>
    </r>
  </si>
  <si>
    <t>Gestió del calendari i les convocatòries de les sessions, ordinàries i extraordinàries</t>
  </si>
  <si>
    <t>*Preparació de l'ordre del dia de cada sessió amb la presidència, les vicepresidències, la DG i els SSTT
*Gestió del calendari i les convocatòries de les sessions, ordinàries i extraordinàries
*Gestió i seguiment dels acords de Junta rectora 
*Manteniment i actualització del canal TEAMS de la Junta rectora
*Participació en la preparació del programa d'actuacions anual, dins del marc del Pla estratègic 2025-2029
*Aprovació dels Programes i les Memòries d'actuacions anuals</t>
  </si>
  <si>
    <t xml:space="preserve">1) Nombre de sessions de Junta rectora realitzades
2) Percentatge d'acords de Junta assolits
3) Nombre de programes anuals d'actuació aprovats per Junta </t>
  </si>
  <si>
    <t>1) 2
2) 90%
3) 4</t>
  </si>
  <si>
    <t>1) 3
2) 100%
3) 4</t>
  </si>
  <si>
    <t>AAGE</t>
  </si>
  <si>
    <t>EBQ</t>
  </si>
  <si>
    <t>Preparació de l'ordre del dia de cada sessió amb la presidència, les vicepresidències, la DG i els SSTT</t>
  </si>
  <si>
    <t xml:space="preserve">Gestió i seguiment dels acords de Junta rectora </t>
  </si>
  <si>
    <t>Manteniment i actualització del canal TEAMS de la Junta rectora</t>
  </si>
  <si>
    <t>Participació en la preparació del programa d'actuacions anual, dins del marc del Pla estratègic 2025-2029</t>
  </si>
  <si>
    <t>Aprovació dels Programes i les Memòries d'actuacions anuals</t>
  </si>
  <si>
    <t>MILLORAR L'EFICIÈNCIA de la gestió administrativa</t>
  </si>
  <si>
    <t>16.1</t>
  </si>
  <si>
    <t>Optimitzar l'aplicació pressupostària</t>
  </si>
  <si>
    <t>16.1.1</t>
  </si>
  <si>
    <t xml:space="preserve">Gestionar i millorar administrativament els pressupostos anuals d'entrades i despeses </t>
  </si>
  <si>
    <t>Coordinació, d'acord amb els Serveis Centrals, el control de l'execució del pressupost</t>
  </si>
  <si>
    <t>*Coordinació, d'acord amb els Serveis Centrals, el control de l'execució del pressupost
*Gestió de les despeses internes (apartat de correus, serveis de missatgeria, despeses bancàries, desplaçaments, reunions i aparcaments)
*Elaboració del Programa d'actuacions anual, juntament amb les Àrees del Parc i la direcció
*Elaboració del pressupost anual de despesa per RAE, juntament amb les Àrees del Parc i la direcció
*Preparació i gestió administrativa de l'aportació anual de la Diputació de Tarragona
*Gestió administrativa dels contractes inclosos en el Programa d'actuacions
*Gestió administrativa dels ingressos per RAE
*Elaboració de la Memòria anual del RAE
*Participació en les reunions periòdiques del GT de RAE dels ENP
*Seguiment dels contractes i encomanes de la DG: contracte de manteniment integral d'edificis (COMSA)
*Seguiment dels contractes i encomanes de la DG: serveis de neteja
*Seguiment dels contractes i encomanes de la DG: contracte de vehicles
*Estudi de viabilitat econòmica de l'Alberg i Centre d'educació ambiental d'Alfara de Carles
*Promoure l'expedient administratiu de la concessió de l'Alberg i Centre d'educació ambiental d'Alfara de Carles</t>
  </si>
  <si>
    <r>
      <t xml:space="preserve">UGA: Dissenyar i desplegar el nou sistema de seguiment pressupostari conjunt per a tots els ENP.
</t>
    </r>
    <r>
      <rPr>
        <sz val="11"/>
        <rFont val="Calibri"/>
        <family val="2"/>
        <scheme val="minor"/>
      </rPr>
      <t>SENP:  Crear espais de coordinació entre ENP per identificar les despeses comunes</t>
    </r>
  </si>
  <si>
    <t>1) Percentatge de compliment del pressupost anual de RAE
2) Percentatge de compliment del pressupost anual de les aportacions de la Diputació de Tarragona
3) Concessió de l'Alberg i Centre d'Educació ambiental d'Alfara de Carles</t>
  </si>
  <si>
    <t>1) 80%
2) 100%
1) 1</t>
  </si>
  <si>
    <t>1) 90%
2) 100%
3) 1</t>
  </si>
  <si>
    <t>MRA</t>
  </si>
  <si>
    <t>Despeses apartat de correus</t>
  </si>
  <si>
    <t>Serveis de missatgeria</t>
  </si>
  <si>
    <t>Organització de reunions i cursos</t>
  </si>
  <si>
    <t>Despeses bancàries</t>
  </si>
  <si>
    <t>Despeses desplaçaments, reunions i aparcaments</t>
  </si>
  <si>
    <t>Elaboració del Programa d'actuacions anual, juntament amb les Àrees del Parc i la direcció</t>
  </si>
  <si>
    <t>Elaboració del pressupost anual de despesa per RAE, juntament amb les Àrees del Parc i la direcció</t>
  </si>
  <si>
    <t>Preparació i gestió administrativa de l'aportació anual de la Diputació de Tarragona</t>
  </si>
  <si>
    <t>Gestió administrativa dels contractes inclosos en el Programa d'actuacions</t>
  </si>
  <si>
    <t>Gestió administrativa dels ingressos per RAE</t>
  </si>
  <si>
    <t>Elaboració de la Memòria anual del RAE</t>
  </si>
  <si>
    <t>Participació en les reunions periòdiques del GT de RAE dels ENP</t>
  </si>
  <si>
    <t>Seguiment dels contractes i encomanes de la DG: contracte de manteniment integral d'edificis (COMSA)</t>
  </si>
  <si>
    <t>MRA/AAA</t>
  </si>
  <si>
    <t>Seguiment dels contractes i encomanes de la DG: serveis de neteja</t>
  </si>
  <si>
    <t>VPP</t>
  </si>
  <si>
    <t>Seguiment dels contractes i encomanes de la DG: contracte de vehicles</t>
  </si>
  <si>
    <t>Estudi de viabilitat econòmica de l'Alberg i Centre d'educació ambiental d'Alfara de Carles</t>
  </si>
  <si>
    <t>Promoure l'expedient administratiu de la concessió de l'Alberg i Centre d'educació ambiental d'Alfara de Carles</t>
  </si>
  <si>
    <t>16.2</t>
  </si>
  <si>
    <t>Planificar i optimitzar els processos de contractació, concessió d'ajuts, i les col·laboracions amb ens públics i privats</t>
  </si>
  <si>
    <t>16.2.1</t>
  </si>
  <si>
    <t>Planificar, detectar les necessitats de contractació del l'ENP per a l'optimització dels contractes a nivell de Xarxa i gestionar els contractes</t>
  </si>
  <si>
    <t>Participar i promoure les necessitats de contractació del l'ENP per a l'optimització dels contractes a nivell de Xarxa</t>
  </si>
  <si>
    <t>*Participar i promoure les necessitats de contractació del l'ENP per a l'optimització dels contractes a nivell de Xarxa</t>
  </si>
  <si>
    <t>SENP: Crear espais de coordinació entre ENP per detectar necessitats conjuntes.</t>
  </si>
  <si>
    <t>Nombre de nous contractes realitzats de forma coordinada amb altres espais</t>
  </si>
  <si>
    <t>16.2.2</t>
  </si>
  <si>
    <t>Planificar i gestionar els ajuts</t>
  </si>
  <si>
    <t>Participació i revisió prèvia de les ordres de subvencions destinades als espais naturals de Catalunya, als hàbitats i espècies, en el marc del Programa de desenvolupament rural de Catalunya</t>
  </si>
  <si>
    <t>*Participació i revisió prèvia de les ordres de subvencions destinades als espais naturals de Catalunya, als hàbitats i espècies, en el marc del Programa de desenvolupament rural de Catalunya
*Identificar actuacions subvencionables dins de l'ordre d'ajuts d'ENP de Catalunya</t>
  </si>
  <si>
    <t>Nombre d'aportacions realitzades</t>
  </si>
  <si>
    <t>5.1.2. Identificar actuacions subvencionables dins de l'ordre d'ajuts d'ENP de Catalunya (PRODUCT)</t>
  </si>
  <si>
    <t>16.2.3</t>
  </si>
  <si>
    <t>Establir i renovar en temps i forma convenis de col·laboració, convenis marc, acords, protocols i altres instruments de col·laboració.</t>
  </si>
  <si>
    <t>Participar en la renovació en temps i forma convenis de col·laboració, convenis marc, acords, protocols i altres instruments de col·laboració.</t>
  </si>
  <si>
    <t>Identificar els convenis de col·laboració, convenis marc, acords, protocols i altres instruments de col·laboració vigents, caducats o en vies de caducar properament</t>
  </si>
  <si>
    <t>*Identificar els convenis de col·laboració, convenis marc, acords, protocols i altres instruments de col·laboració vigents, caducats o en vies de caducar properament
*Promoure l'assignació d'ús al Parc Natural d'algunes cases forestals en forests públiques</t>
  </si>
  <si>
    <t>UGA: Coordinar l'elaboració dels catàlegs col·lectius amb ENP, universitats i centres documentació</t>
  </si>
  <si>
    <t>1) Percentatge de convenis revisats i vigents
2) Nombre de cases forestals assignades al PN</t>
  </si>
  <si>
    <t>1) 50%
2) 2</t>
  </si>
  <si>
    <t>1) 100%
2) 4</t>
  </si>
  <si>
    <t>Promoure la renovació i, si escau, la modificació dels convenis caducats o en vies de caducitat</t>
  </si>
  <si>
    <t>Promoure l'assignació d'ús al Parc Natural d'algunes cases forestals en forests públiques (casa de la Vall o del barranc de la Galera, caseta del planter de la Vall o del barranc de la Galera, casetó del Prat d’en Rubera i mas de l’Amat)</t>
  </si>
  <si>
    <t>16.2.4</t>
  </si>
  <si>
    <t>Participar en l'avaluació i el seguiment de les actuacions derivades dels ajuts (certificacions, expedients administratius, publicitat...)</t>
  </si>
  <si>
    <r>
      <rPr>
        <b/>
        <sz val="11"/>
        <color rgb="FF000000"/>
        <rFont val="Calibri"/>
        <family val="2"/>
        <scheme val="minor"/>
      </rPr>
      <t>*NOU.</t>
    </r>
    <r>
      <rPr>
        <sz val="11"/>
        <color rgb="FF000000"/>
        <rFont val="Calibri"/>
        <family val="2"/>
        <scheme val="minor"/>
      </rPr>
      <t xml:space="preserve"> Seguiments de les actuacions amb ajut atorgats (certificacions, expedients administratius...)</t>
    </r>
  </si>
  <si>
    <t>Participació en la valoració, el seguiment i la gestió administrativa de les subvencions destinades als espais naturals de Catalunya, als hàbitats i espècies, en el marc del Programa de desenvolupament rural de Catalunya</t>
  </si>
  <si>
    <t xml:space="preserve">*Participació en la valoració, el seguiment i la gestió administrativa de les subvencions destinades als espais naturals de Catalunya, als hàbitats i espècies, en el marc del Programa de desenvolupament rural de Catalunya
*Participació en la valoració, el seguiment i la gestió administrativa de les subvencions a entitats ambientals sense ànim de lucre de Catalunya per al finançament de projectes que millorin l'estat de conservació del patrimoni natural i la biodiversitat en els espais naturals protegits
*Assessorament a entitats i persones interessades en els ajuts sobre el calendari de les convocatòries, la naturalesa de les actuacions subvencionables i el procediment administratiu
</t>
  </si>
  <si>
    <t>1) Percentatge d'actuacions subvencionades certificades
2) Percentatge de consultes sobre subvencions ateses</t>
  </si>
  <si>
    <t>VPP/EBQ/JSB/AAA</t>
  </si>
  <si>
    <t>Participació en la valoració, el seguiment i la gestió administrativa de les subvencions a entitats ambientals sense ànim de lucre de Catalunya per al finançament de projectes que millorin l'estat de conservació del patrimoni natural i la biodiversitat en els espais naturals protegits</t>
  </si>
  <si>
    <t>Assessorament a entitats i persones interessades en els ajuts sobre el calendari de les convocatòries, la naturalesa de les actuacions subvencionables i el procediment adiministratiu</t>
  </si>
  <si>
    <t>16.2.5</t>
  </si>
  <si>
    <t>Establir línies de col·laboració específiques, per afinitats territorials o temàtiques, amb altres ENP, de Catalunya o fora d'aquest àmbit</t>
  </si>
  <si>
    <t>*NOU.</t>
  </si>
  <si>
    <t>Explorar les possibles col·laboracions en l'àmbit de la conservació de la natura o del patromoni cultural, i de l'ús públic amb el Parc Natural de la Tinença de Benifassà</t>
  </si>
  <si>
    <t>*Explorar les possibles col·laboracions en l'àmbit de la conservació de la natura o del patromoni cultural, i de l'ús públic amb el Parc Natural de la Tinença de Benifassà</t>
  </si>
  <si>
    <t>Nombre d'actuacions realitzades conjuntament</t>
  </si>
  <si>
    <t>16.3</t>
  </si>
  <si>
    <t>Agilitzar, incrementar l'eficiència  i incrementar l’assoliment dels procediments administratius</t>
  </si>
  <si>
    <t>16.3.1</t>
  </si>
  <si>
    <t>Optimitzar l'elaboració d'informes</t>
  </si>
  <si>
    <t>Gestionar administrativament i optimitzar els informes i les autoritzacions de l'òrgan gestor</t>
  </si>
  <si>
    <t>S'afegeixen les tasques que es realitzen actualment. S'afegeixen les autoritzacions</t>
  </si>
  <si>
    <t>Gestió administrativa dels informes dels vectors ambiental i cultural en l'àmbit del Parc Natural i de l'espai de la xarxa Natura 2000</t>
  </si>
  <si>
    <t xml:space="preserve">*Gestió administrativa dels informes dels vectors ambiental i cultural en l'àmbit del Parc Natural i de l'espai de la xarxa Natura 2000
*Gestió administrativa de les autoritzacions emeses en l'àmbit del Parc Natural i de l'espai de la xarxa Natura 2000
*Manteniment de la base de dades dels informes dels vectors ambiental i cultural en l'àmbit del Parc Natural i de l'espai de la xarxa Natura 2000
*Facilitar la gestió administrativa establint de manera clara i detallada, des de l’inici del tràmit, la documentació necessària per a la sol·licitud d’informes o permisos al Parc
</t>
  </si>
  <si>
    <t>1) Nombre mitjà de dies en atendre els informes
2) Nombre mitjà de dies en atendre autoritzacions</t>
  </si>
  <si>
    <t>1) 15
2) 5</t>
  </si>
  <si>
    <t>1) 30
2) 7</t>
  </si>
  <si>
    <t>MSSA</t>
  </si>
  <si>
    <t>Manteniment de la base de dades dels informes dels vectors ambiental i cultural en l'àmbit del Parc Natural i de l'espai de la xarxa Natura 2000</t>
  </si>
  <si>
    <t>Gestió administrativa de les autoritzacions emeses en l'àmbit del Parc Natural i de l'espai de la xarxa Natura 2000</t>
  </si>
  <si>
    <t xml:space="preserve">Facilitar la gestió administrativa establint de manera clara i detallada, des de l’inici del tràmit, la documentació necessària per a la sol·licitud d’informes o permisos al Parc. </t>
  </si>
  <si>
    <t>16.3.2</t>
  </si>
  <si>
    <t>Adequar i actualitzar els procediments i tramitacions realitzats des de l'ENP als nous processos i eines conjuntes proposades des de Serveis Centrals</t>
  </si>
  <si>
    <t>Participar en les reunions periòdiques de coordinació dels ENP amb la DG</t>
  </si>
  <si>
    <t>*Participar en les reunions periòdiques de coordinació dels ENP amb la DG
*Participar en el Pla de Capacitació Digital del Departament
*Desplegar i implementar el Sistema d'Informació de la Natura (SINATCAT)</t>
  </si>
  <si>
    <t>UGA: Simplificació i optimització de formularis. Tipificació de peticions (tràmits específics)</t>
  </si>
  <si>
    <t>1) Percentatge d'assistència a les reunions
2) Percentatge d'expedients entrats al SINATCAT</t>
  </si>
  <si>
    <t>1) 100%
2) 90%</t>
  </si>
  <si>
    <t>Participar en el Pla de Capacitació Digital del Departament</t>
  </si>
  <si>
    <t>Desplegar i implementar el Sistema d'Informació de la Natura (SINATCAT)</t>
  </si>
  <si>
    <t>16.3.3</t>
  </si>
  <si>
    <t>Augmentar el coneixement de l'equip de treball en matèria de procediment administratiu</t>
  </si>
  <si>
    <t>Participar en cursos de formació de procediment administratiu per part de l'equip gestor</t>
  </si>
  <si>
    <t>*Participar en cursos de formació de procediment administratiu per part de l'equip gestor</t>
  </si>
  <si>
    <t xml:space="preserve">Nombre cursos de procediment administratiu assistits
</t>
  </si>
  <si>
    <t>MSSA/MRA/VPP/EBQ</t>
  </si>
  <si>
    <t>16.3.4</t>
  </si>
  <si>
    <t>Garantir la transparència administrativa</t>
  </si>
  <si>
    <t>Garantir la transparència administrativa i l'accés a la informació pública</t>
  </si>
  <si>
    <t>S'afegeix l'accés a la informació</t>
  </si>
  <si>
    <t>Redacció i actualització del Pla estratègic del Parc Natural dels Ports (2026-2029)</t>
  </si>
  <si>
    <t>*Atendre les consultes i les sol·licituds d'informació (presencials, telèfon, correus electrònics i peticions mitjançant les plataformes electròniques) de la ciutadania, les entitats o les administracions
*Gestió i control de les comunicacions oficials (correu genèric, SARCAT, EACAT...)
*Redacció i actualització del Pla estratègic del Parc Natural dels Ports (2026-2029)</t>
  </si>
  <si>
    <t>1) Percentatge de consultes ateses
2) Disposar del Pla estratègic 2030-2033</t>
  </si>
  <si>
    <t>Atendre les consultes i les sol·licituds d'informació (presencials, telèfon, correus electrònics i peticions mitjançant les plataformes electròniques) de la ciutadania, les entitats o les administracions</t>
  </si>
  <si>
    <t>Gestió i control de les comunicacions oficials (correu genèric, SARCAT, EACAT...)</t>
  </si>
  <si>
    <t>16.3.5</t>
  </si>
  <si>
    <t>Millorar i mantenir el material, infraestructures i equipaments de gestió de l'espai</t>
  </si>
  <si>
    <t>no és procediment administratiu (16.3). Passat a 16.4.4</t>
  </si>
  <si>
    <t>16.4</t>
  </si>
  <si>
    <t>Ordenar l'estat dels béns patrimonials</t>
  </si>
  <si>
    <t>16.4.1</t>
  </si>
  <si>
    <t>Revisar l’estat dels béns patrimonials i la situació administrativa-legal dels equipaments del parc</t>
  </si>
  <si>
    <t xml:space="preserve">Tramitar la cessió de domini de l'Ecomuseu dels Ports
</t>
  </si>
  <si>
    <t>*Tramitar la cessió de domini de l'Ecomuseu dels Ports, la zona d'aparcament del CVTA i del centre de natura del Mas de Barberans</t>
  </si>
  <si>
    <t>UGA: tramitar els expedients de cessió de titularitat, declaracions d'obra nova, compra, lloguer, etc.</t>
  </si>
  <si>
    <t>Nombre de cessions de domini assolides</t>
  </si>
  <si>
    <t>Tramitar la cessió de domini l'aparcament del CVTA</t>
  </si>
  <si>
    <t>Tramitar la cessió de domini del terreny del centre de natura del Mas de Barberans</t>
  </si>
  <si>
    <t>16.4.2</t>
  </si>
  <si>
    <t>Tenir cobertes les pèrdues o danys materials del patrimoni de la Direcció General que hi ha a l'àmbit territorial del Parc, com a conseqüència de la materialització de qualsevol dels riscs emparats en el plec de prescripcions tècniques de la pòlissa.</t>
  </si>
  <si>
    <t>Col·laborar en la tramitació i la definició dels riscos de pèrdues o danys materials del patrimoni de la Generalitat de Catalunya en l'àmbit territorial del Parc per part de les pòlisses d'assegurances</t>
  </si>
  <si>
    <t>No depèn, en últim terme, de nosaltres. Millora del redactat</t>
  </si>
  <si>
    <t>*Col·laborar en la tramitació i la definició dels riscos de pèrdues o danys materials del patrimoni de la Generalitat de Catalunya en l'àmbit territorial del Parc per part de les pòlisses d'assegurances</t>
  </si>
  <si>
    <t>UGA: Tramitar les assegurances dels béns patrimonials.</t>
  </si>
  <si>
    <t>Percentatge d'equipaments i béns assegurats/amb alarma</t>
  </si>
  <si>
    <t>16.4.3</t>
  </si>
  <si>
    <t xml:space="preserve">Col·laborar en la tramitació i la definició dels riscos de les pòlisses d'assegurances de responsabilitat patrimonial i civil </t>
  </si>
  <si>
    <r>
      <rPr>
        <b/>
        <sz val="11"/>
        <rFont val="Calibri"/>
        <family val="2"/>
        <scheme val="minor"/>
      </rPr>
      <t xml:space="preserve">*NOU. </t>
    </r>
    <r>
      <rPr>
        <sz val="11"/>
        <rFont val="Calibri"/>
        <family val="2"/>
        <scheme val="minor"/>
      </rPr>
      <t>Ídem a l'anterior però en responsabilibitat civil</t>
    </r>
  </si>
  <si>
    <t>*Col·laborar en la tramitació i la definició dels riscos de les pòlisses d'assegurances de responsabilitat patrimonial i civil 
*Control i seguiment dels protocols de riscos laborals d'empreses i entitats que treballen en equipaments del parc</t>
  </si>
  <si>
    <t>Percentatge de protocols de riscos laborals signats</t>
  </si>
  <si>
    <t>Control i seguiment dels protocols de riscos laborals d'empreses i entitats que treballen en equipaments del parc</t>
  </si>
  <si>
    <t>EBQ/AAA</t>
  </si>
  <si>
    <t>16.4.4</t>
  </si>
  <si>
    <t>Mantenir i millorar els equipaments de gestió (oficines, cases forestals...) de l'ENP</t>
  </si>
  <si>
    <r>
      <t xml:space="preserve">*NOU. </t>
    </r>
    <r>
      <rPr>
        <sz val="11"/>
        <rFont val="Calibri"/>
        <family val="2"/>
        <scheme val="minor"/>
      </rPr>
      <t>És equivalent a l'Op Millorar i mantenir el material i infraestructures de gestió (16.3.4)</t>
    </r>
  </si>
  <si>
    <t>Treballs de manteniment dels equipaments de gestió per part de la brigada del Parc, fora del contracte de manteniment integral d'edificis</t>
  </si>
  <si>
    <t xml:space="preserve">*Treballs de manteniment dels equipaments de gestió per part de la brigada del Parc, fora del contracte de manteniment integral d'edificis
*Adquisició de materials per al manteniment d'equipaments i maquinària
*Manteniment sistemes informàtics
*Manteniment sistemes audiovisuals
</t>
  </si>
  <si>
    <t>Percentatge d'incidències resoltes</t>
  </si>
  <si>
    <t>Materials de ferreteria - fusta</t>
  </si>
  <si>
    <t>Materials de construcció</t>
  </si>
  <si>
    <t>Materials de ferreteria - instal·lacions</t>
  </si>
  <si>
    <t>Materials de pintura</t>
  </si>
  <si>
    <t>Manteniments diversos</t>
  </si>
  <si>
    <t>Materials de fontaneria i electricitat</t>
  </si>
  <si>
    <t>Manteniment de vehicles</t>
  </si>
  <si>
    <t>Manteniment sistemes informàtics</t>
  </si>
  <si>
    <t>Manteniment de maquinària</t>
  </si>
  <si>
    <t>Combustible Baix Ebre-Montsià per a maquinària</t>
  </si>
  <si>
    <t>Combustible Terra Alta per a maquinària</t>
  </si>
  <si>
    <t>Altres despeses diverses</t>
  </si>
  <si>
    <t>Manteniment sistemes audiovisuals</t>
  </si>
  <si>
    <t>Material d'oficina</t>
  </si>
  <si>
    <t>16.5</t>
  </si>
  <si>
    <t>Estructurar la gestió documental</t>
  </si>
  <si>
    <t>16.5.1</t>
  </si>
  <si>
    <t>Millorar l'accessibilitat i de la gestió documental i digital de l'ENP</t>
  </si>
  <si>
    <t>Gestió del Centre de Documentació (catalogació, servei de prèstec, atenció a consultes, etc.)</t>
  </si>
  <si>
    <t>*Gestió del Centre de Documentació (catalogació, servei de préstec, atenció a consultes, etc.)
*Gestió del fons fotogràfic del Centre de Documentació (catalogació, cessió, identificar necessitats...)
*Preparació i càrrega del material documental per al repositori del Departament (Medi Ambient)
*Gestió de l'estoc de publicacions
*Subscripcions a publicacions i revistes
* Participar en el material promocional de publicacions alienes
*Reportatge fotogràfic d'actes i activitats
*Fons documental per al Centre de Documentació
*Col·laborar en Natura i Art fotos</t>
  </si>
  <si>
    <t>SENP: Disseny d'una metodologia de treball conjunta</t>
  </si>
  <si>
    <t>1) Percentatge de consultes bibliogràfiques ateses
2) Nombre de publicacions incorporades al Centre de Documentació</t>
  </si>
  <si>
    <t>1) 100%
2) 70</t>
  </si>
  <si>
    <t>1) 100%
2) 100</t>
  </si>
  <si>
    <t>Gestió del fons fotogràfic del Centre de Documentació (catalogació, cessió, identificar necessitats...)</t>
  </si>
  <si>
    <t>Preparació i càrrega del material documental per al repositori del Departament (Medi Ambient)</t>
  </si>
  <si>
    <t>Gestió de l'estoc de publicacions</t>
  </si>
  <si>
    <t>Subscripció revista Quercus</t>
  </si>
  <si>
    <t>Subscripció revista Montes</t>
  </si>
  <si>
    <t>Subscripció setmanari l'Ebre</t>
  </si>
  <si>
    <t>Material promocional (llibres)</t>
  </si>
  <si>
    <t>Quota Flickr</t>
  </si>
  <si>
    <t>Quota ICHN</t>
  </si>
  <si>
    <t>Reportatge fotogràfic d'actes i activitats</t>
  </si>
  <si>
    <t>Fons documental per al Centre de Documentació</t>
  </si>
  <si>
    <t>Natura i Art fotos</t>
  </si>
  <si>
    <t>16.6</t>
  </si>
  <si>
    <t>Gestionar recursos humans</t>
  </si>
  <si>
    <t>16.6.1</t>
  </si>
  <si>
    <t>Gestió de la brigada de manteniment</t>
  </si>
  <si>
    <t>Gestionar i coordinar la brigada de manteniment de l'ENP</t>
  </si>
  <si>
    <t>Planificació i seguiment de les tasques de la brigada del Parc</t>
  </si>
  <si>
    <t>*Planificació i seguiment de les tasques de la brigada del Parc
*Coordinació amb Forestal Catalana de les brigades del Baix Ebre-Montsià i Terra Alta
*Manteniment de la base de dades de les tasques de brigada del Parc
*Gestió de les sol·licituds d'actuacions amb brigada per part de les administracions locals i entitats privades
*Participació en les reunions periòdiques del GT de Brigades i Millora rural dels ENP</t>
  </si>
  <si>
    <t>1) Nombre anual d'actuacions realitzades amb brigada
2) Percentatge d'actuacions integrades a la base de dades</t>
  </si>
  <si>
    <t>1) 300
2) 100%</t>
  </si>
  <si>
    <t>1) 350
2) 100%</t>
  </si>
  <si>
    <t>Coordinació amb Forestal Catalana de les brigades del Baix Ebre-Montsià i Terra Alta</t>
  </si>
  <si>
    <t>si</t>
  </si>
  <si>
    <t>Manteniment de la base de dades de les tasques de brigada del Parc</t>
  </si>
  <si>
    <t>Gestió de les sol·licituds d'actuacions amb brigada per part de les administracions locals i entitats privades</t>
  </si>
  <si>
    <t>Participació en les reunions periòdiques del GT de Brigades i Millora rural dels ENP</t>
  </si>
  <si>
    <t>16.6.2</t>
  </si>
  <si>
    <t>Gestionar, enfortir i consolidar l'equip de gestió del parc</t>
  </si>
  <si>
    <t>Gestió de les sol·licituds de vehicles</t>
  </si>
  <si>
    <t>*Coordinació de les diferents àrees de l'equip gestor del Parc mitjançant reunions setmanals
*Consolidació laboral del personal temporal dedicat a les tasques de desplegament dels instruments de gestió de la Xarxa Natura 2000a Catalunya
*Promoure la contractació d'una persona responsable del Centre de Documentació i de les accions de comunicació de l'ENP
*Participació en els processos selectius de les places adscrites al Parc Natural
*Gestió administrativa de les validacions per ATRI (fitxatges, plans de teletreball, validació de competències, etc.)
*Consolidació de l'equip de treball de l'òrgan gestor del Parc (nivells laborals, estabilització laboral...)
*Definició i clarificació dels rols de l'equip del parc i una correcta definició de les tasques de cada membre
*Gestió de les sol·licituds de vehicles</t>
  </si>
  <si>
    <t xml:space="preserve">1) Nombre anual de reunions de coordinació realitzades
2) Nombre de tècnics de conservació consolidats
3) Nombre de persones contractades per al Centre de Documentació
</t>
  </si>
  <si>
    <t>1) 40
2) 2
3) 1</t>
  </si>
  <si>
    <t>1) 50
2) 2
3) 1</t>
  </si>
  <si>
    <t>Participació en els processos selectius de les places adscrites al Parc Natural</t>
  </si>
  <si>
    <t>Gestió administrativa de les validacions per ATRI (fitxatges, plans de teletreball, validació de competències, etc.)</t>
  </si>
  <si>
    <t>Promoure la contractació d'una persona responsable del Centre de Documentació i de les accions de comunicació de l'ENP</t>
  </si>
  <si>
    <t>Consolidació laboral del personal temporal dedicat a les tasques de desplegament dels instruments de gestió de la Xarxa Natura 2000a Catalunya</t>
  </si>
  <si>
    <t>Coordinació de les diferents àrees de l'equip gestor del Parc mitjançant reunions setmanals</t>
  </si>
  <si>
    <t>Consolidació de l'equip de treball de l'òrgan gestor del Parc (nivells laborals, estabilització laboral...)</t>
  </si>
  <si>
    <r>
      <t xml:space="preserve">GOV1. Enfortir i consolidar l’àmbit de gestió de l’educació i el voluntariat ambiental en el funcionament de l’equip gestor del Parc Natural (PEEVA): </t>
    </r>
    <r>
      <rPr>
        <b/>
        <sz val="11"/>
        <color theme="1"/>
        <rFont val="Calibri"/>
        <family val="2"/>
        <scheme val="minor"/>
      </rPr>
      <t>Definició i clarificació dels rols de l'equip del parc i una correcta definició de les tasques de cada membre</t>
    </r>
  </si>
  <si>
    <t>16.6.3</t>
  </si>
  <si>
    <t>Gestió ordinària i imprevistos no contemplats en cap dels Objectius opertatius anteriors</t>
  </si>
  <si>
    <t>*Gestió ordinària i imprevistos no contemplats en cap dels Objectius opertatius anteriors</t>
  </si>
  <si>
    <t>Percentatge de gestió d'imprevistos</t>
  </si>
  <si>
    <t>Suma de N1</t>
  </si>
  <si>
    <t>*Desplegar algunes actuacions planificades en els instruments d'ordenació forestals, elaborats durant el Life RedBosques_Clima, mitjançant la brigada del Parc, per afavorir la maduresa en sistemes forestals</t>
  </si>
  <si>
    <t>*Participació en el programa Paisatges Resilients (Estratègia de la Bioeconomia de Catalunya 2030): Creació i manteniment de zones obertes per a la conservació de la biodiversitat (hàbitats i espècies)</t>
  </si>
  <si>
    <t>*Manteniment de la base de dades d'espais prioritaris per a la conservació o l'ús públic</t>
  </si>
  <si>
    <t>*Participar en la definició del model de governança dels espais naturals protegits per part de la DG</t>
  </si>
  <si>
    <t>TAULA DE VINCLE ENTRE LES AMENACES I ELS OBJECTIUS OPERATIUS DE L'EIX DEL PATRIMONI NATURAL</t>
  </si>
  <si>
    <t>Eix 1. Natura</t>
  </si>
  <si>
    <t>Codi</t>
  </si>
  <si>
    <t>Objectius operatius</t>
  </si>
  <si>
    <t>Tipologia amenaça</t>
  </si>
  <si>
    <t>Amenaça concreta</t>
  </si>
  <si>
    <t>Espècies invasores i patògens</t>
  </si>
  <si>
    <t>Gestió i modificació de sistemes naturals</t>
  </si>
  <si>
    <t>Canvi global i/o climàtic</t>
  </si>
  <si>
    <t>Extracció de recursos naturals</t>
  </si>
  <si>
    <t>Producció primària</t>
  </si>
  <si>
    <t>02.1.4</t>
  </si>
  <si>
    <t>Promoure la redacció d'instruments d'ordenació forestal per reduir la sensibilitat i vulnerabilitat dels boscos al canvi climàtic en finques privades</t>
  </si>
  <si>
    <t>Grans pertorbacions naturals</t>
  </si>
  <si>
    <t>Infrastructures de transport i serveis</t>
  </si>
  <si>
    <t>Polució</t>
  </si>
  <si>
    <t>AFEGIR LES FILES QUE S'HAGIN INCORPORAT A LA TAULA DEL PLA</t>
  </si>
  <si>
    <t>e</t>
  </si>
  <si>
    <t>Versió 1_revisada pels equips del PNAT Cap de Creus, PNAT Montgrí-Medes, PNAT els Ports, PNIN Poblet, PNAT Delta de l'Ebre, PNAT Alt Pirineu i PNAT Capçaleres del Ter i Freser</t>
  </si>
  <si>
    <r>
      <t xml:space="preserve">Font de dades 1: </t>
    </r>
    <r>
      <rPr>
        <u/>
        <sz val="10"/>
        <color rgb="FF1155CC"/>
        <rFont val="Arial"/>
        <family val="2"/>
      </rPr>
      <t xml:space="preserve">List of pressures and threats for reporting 2019-2024 v1.1 </t>
    </r>
    <r>
      <rPr>
        <sz val="10"/>
        <color rgb="FF000000"/>
        <rFont val="Calibri"/>
        <family val="2"/>
        <scheme val="minor"/>
      </rPr>
      <t>(Comissió Europea)</t>
    </r>
  </si>
  <si>
    <t>Font de dades 2: Llistat de pressions i amenaces del Pla de Protecció del Cadí-Moixeró, inspirat en el llistat de la Comissió Europea</t>
  </si>
  <si>
    <r>
      <t xml:space="preserve">Font de dades 3: </t>
    </r>
    <r>
      <rPr>
        <u/>
        <sz val="10"/>
        <color rgb="FF1155CC"/>
        <rFont val="Arial"/>
        <family val="2"/>
      </rPr>
      <t>IUCN/CMP Threats Classification v 3.3 (2016)</t>
    </r>
    <r>
      <rPr>
        <sz val="10"/>
        <color rgb="FF000000"/>
        <rFont val="Calibri"/>
        <family val="2"/>
        <scheme val="minor"/>
      </rPr>
      <t xml:space="preserve"> i v4.0 draft (2023)</t>
    </r>
  </si>
  <si>
    <t>Codi Amenaça</t>
  </si>
  <si>
    <t>Tipologia d'amenaça</t>
  </si>
  <si>
    <t>Nom Amenaça</t>
  </si>
  <si>
    <t>Exemples i descripció del grup</t>
  </si>
  <si>
    <t>Urbanització i edificació</t>
  </si>
  <si>
    <t>1.1</t>
  </si>
  <si>
    <t>Construccions relacionades amb àrees residencials. Tot i que la normativa no permet noves construccions, existeixen edificacions fóra d'ordenació. També casos de remodelacions, reconstruccions o ampliacions d'edificis rurals per usos agrícoles, forestals, ramaders, recreatius, residencials, etc). Restauracions de cabanes i bordes que no deixen forats per ratpenats. cases forestals. Bordes que es canvien d'ús per hosteleria</t>
  </si>
  <si>
    <t>1.2</t>
  </si>
  <si>
    <t>Urbanització comercial o industrial</t>
  </si>
  <si>
    <t>1.3</t>
  </si>
  <si>
    <t>Àrees recretives i turístiques</t>
  </si>
  <si>
    <t>Refugis de muntanya que es remodelen, impacten etc</t>
  </si>
  <si>
    <t>2.1</t>
  </si>
  <si>
    <t>Cultius annuals i perennes. Canvis de tipus de cultiu, secà a regadiu o al revés. Canvi d'usos del sòl com cultius de vinya a muntanya, Inclosos el cultiu de l'arròs amb substàncies biocides. Inclòs el cultiu de marihuana</t>
  </si>
  <si>
    <t>2.2</t>
  </si>
  <si>
    <t>Plantacions forestals</t>
  </si>
  <si>
    <t>2.3</t>
  </si>
  <si>
    <t>Ramaderia tan intensiva com extensiva i semi-intensiva (pastura de dia i nit en corral)</t>
  </si>
  <si>
    <t>2.4</t>
  </si>
  <si>
    <t>Aqüicultura</t>
  </si>
  <si>
    <t>Aquicultura marina i d'aigua dolça, a l'interior o als voltants del parc</t>
  </si>
  <si>
    <t>Producció d'energia i mineria</t>
  </si>
  <si>
    <t>3.1</t>
  </si>
  <si>
    <t xml:space="preserve">Activitats de la mineria </t>
  </si>
  <si>
    <t>Mineria de qualsevol tipus (a cel obert, marina, al·luvial com extracció d'àrids i còdols, subterrània), a l'interior o als voltants del parc. Extracció de torba i salines. Si aplica, extracció d'hidrocarburs terrestres o marins</t>
  </si>
  <si>
    <t>3.2</t>
  </si>
  <si>
    <t>Centrals de producció d'energia renovable (molins eòlics terrestres o marins, instal·lacions solars, hidroelèctriques, geotèrmia inclosos els impactes de fauna contra les instal·lacions). A dins del parc o afectant connectors entre parcs</t>
  </si>
  <si>
    <t>4.1</t>
  </si>
  <si>
    <t>Carreteres, pistes forestals, línies fèrries i cremalleres</t>
  </si>
  <si>
    <t>4.2</t>
  </si>
  <si>
    <t>Conduccions elèctriques, aqueductes, canals de rec, estacions de bombament, conduccions d'aigua o gas</t>
  </si>
  <si>
    <t>4.3</t>
  </si>
  <si>
    <t>Infrastructures marines</t>
  </si>
  <si>
    <t>Rutes marines, canals, impactes de vaixells sobre balenes i infrastructura associada. Ports, pantalans, etc</t>
  </si>
  <si>
    <t>4.4</t>
  </si>
  <si>
    <t>Tancaments i vallats</t>
  </si>
  <si>
    <t>Tancaments, valles perimetrals i parets de tota mena, en carreteres, per bestiar, estètiques, etc</t>
  </si>
  <si>
    <t>5.1</t>
  </si>
  <si>
    <t>Caça i recolecció d'animals, ous, mel silvestre, etc ja sigui per subsistència, esport, tradició, comerç o de forma accidental</t>
  </si>
  <si>
    <t>5.2</t>
  </si>
  <si>
    <t>Recolecció de plantes, bolets, resines, líquens, etc</t>
  </si>
  <si>
    <t>5.3</t>
  </si>
  <si>
    <t>Treball forestals de tota mena (arreu, selectiva, carboneig, aclarides, etc)</t>
  </si>
  <si>
    <t>5.4</t>
  </si>
  <si>
    <t>Pesca i semblants</t>
  </si>
  <si>
    <t>Pesca i recollida de recursos aquàtics de tota mena i amb qualsevol tècnica (artesanal, xarxa, marisqueig, recollida de corall, pesca accidental, recreativa, etc)</t>
  </si>
  <si>
    <t>Molèsties</t>
  </si>
  <si>
    <t>6.1</t>
  </si>
  <si>
    <t>Per activitats recreatives al medi natural de qualsevol tipus (excursionisme, bicicleta, cavall, vehicles a motor, escalada, esquí de muntanya, acampada temporal, pernoctació, ornitòlegs, fotografs, esports nàutics, pesca turisme, àrees recreatives, drons, globus, parapents, buggy-kite, sobrevol amb helicòpters, amb ultralleugers, motos de neu, etc) i tan sigui esporàdica com recurrent</t>
  </si>
  <si>
    <t>6.2</t>
  </si>
  <si>
    <t>Molèsties per activitats militars</t>
  </si>
  <si>
    <t>Activitats militars de qualsevol mena (camps militars, assajos amb artilleria, etc)</t>
  </si>
  <si>
    <t>6.3</t>
  </si>
  <si>
    <t>Qualsevol altra molèstia (per bany en rius i tolles, passeig de gossos, peregrinatges, aplecs, recerca sobre espècies, extraccions arqueològiques, vandalisme, tràfic de drogues, etc)</t>
  </si>
  <si>
    <t>6.4</t>
  </si>
  <si>
    <t>Molèsties per activitats multitudinàries</t>
  </si>
  <si>
    <t>Activitats organitzades i multitudinàries, per exemple curses de muntanya, festivals, esdeveniments, filmacions, fins i tot enterraments</t>
  </si>
  <si>
    <t>7.1</t>
  </si>
  <si>
    <t>Foc, grans incendis forestals i supressió del foc, incloses activitats de restauració post-foc</t>
  </si>
  <si>
    <t>7.2</t>
  </si>
  <si>
    <t xml:space="preserve">Construcció i utilització de preses, canals, captacions, pous, dics, etc de qualsevol mena. Extracció / captacions d'aigua per rec, etc.  Construcció de basses per fer neu artificial. Dessaladores, potabilitzadores, depuradores, conduccions, trasvassaments, emissaris de salmorres, alteració de cabals, gestió de cabals en rius  </t>
  </si>
  <si>
    <t>7.3</t>
  </si>
  <si>
    <t>Moviments de terres i sediments</t>
  </si>
  <si>
    <t>Gestió i estabilització de terrenys i sediments (estabilització de dunes, construccions en litorals, remediació de sòls, restauració de mines, dragatges, moviments de sorres, etc)</t>
  </si>
  <si>
    <t>7.4</t>
  </si>
  <si>
    <t>Modificació del clima</t>
  </si>
  <si>
    <t>Activitats per modificar el clima o processos naturals (prevenció de gelades, fertilització amb ferro a l'oceà, captura de carboni, etc)</t>
  </si>
  <si>
    <t>7.5</t>
  </si>
  <si>
    <t>Gestió d'hàbitats: gestió d'aigua dolça de rec i arrossars (que pot afectar a llacunes, etc), retirada de fustes en rius, desbrossades, creació d'esculls artificials, alimentació d'ocells, tancament de coves, barreres elèctriques</t>
  </si>
  <si>
    <t>7.6</t>
  </si>
  <si>
    <t>Desaparició de pràctiques tradicionals com pastura extensiva, canvi en el maneig de la pastura, la tipologia de bestiar, caça per control de predadors, etc</t>
  </si>
  <si>
    <t>8.1</t>
  </si>
  <si>
    <t>Espècies invasores com rates en illes, animals domèstics assilvestrats, musclo zebra, bambú, peixos introduïts com Phoxinus en estanys d'alta muntanya, etc</t>
  </si>
  <si>
    <t>8.2</t>
  </si>
  <si>
    <t>Espècies natives desestabilitzades com superpoblació de cèrvids, porcs senglars, manca de carnívors, blooms d'algues, plagues d'insectes, o amb impactes puntuals com predadors sobre espècies sensibles com colònies d'ocells, gall fer, etc</t>
  </si>
  <si>
    <t>8.3</t>
  </si>
  <si>
    <t>Introducció de genotips aliens</t>
  </si>
  <si>
    <t>Material genètic introduït com cultius resistents a plagues, creuament de gat domèstic amb gat fer, restauracions d'hàbitats fetes amb varietats alienes, arbres o instectes modificats genèticament, aquicultura amb espècies no natives, etc</t>
  </si>
  <si>
    <t>8.4</t>
  </si>
  <si>
    <t>Malalties que afecten conills, grip aviar, botulisme, castanyers, oliveres, cítrics, amfibis, etc</t>
  </si>
  <si>
    <t>9.1</t>
  </si>
  <si>
    <t xml:space="preserve">Polució dissolta en aigua (aigües sèptiques, efluents industrials, pesticides, fertilitzants, efluents de la mineria, excès de nutrients en activitats de l'aquicultura, purins, potasses per desfer la neu en pistes i carreteres, etc </t>
  </si>
  <si>
    <t>9.2</t>
  </si>
  <si>
    <t>Residus sòlids</t>
  </si>
  <si>
    <t>Residus sòlids de qualsevol orígen i en medi terrestre o marí, inclosos de la caça, pesca, agricultura, aqüicultura, del turisme, construcció, transport, xarxes fantasma i elements abandonats al medi</t>
  </si>
  <si>
    <t>9.3</t>
  </si>
  <si>
    <t>Polució aèria</t>
  </si>
  <si>
    <t>Residus en medi aeri com partícules, gasos, o partícules radioactives</t>
  </si>
  <si>
    <t>9.4</t>
  </si>
  <si>
    <t>Contaminació acústica, llumínica o per radiació</t>
  </si>
  <si>
    <t>Contaminació lumínica, tèrmica com efluents de centrals elèctriques en rius, acústica com soroll en aeroports o zones industrials o per escoles de formació de pilots d'helicòpters al Pirineu, camps electromagnètics en cables, sonars submarins, soroll i onades causades per embarcacions recreatives,  llums de les maquinàries a pistes d'esquí, il·luminació nocturna en estacions d'esquí, il·luminació de monuments, etc</t>
  </si>
  <si>
    <t>De tipus geològic com terratrèmols, esllavissades, allaus, erupcions volcàniques</t>
  </si>
  <si>
    <t>10.2</t>
  </si>
  <si>
    <t>Pertorbacions d'origen metereològic</t>
  </si>
  <si>
    <t>Per fenòmens extrems com inundacions, temporals, pedregades, etc</t>
  </si>
  <si>
    <t>Canvis en sistemes físics i químics com acidificació d'oceans, augment del CO2 atmosfèric, pèrdua de sediments, colmatació de basses i llacunes, canvis en corrents marins, regressió de la línia de costa, subsidència del Delta, canvis en la cobertura de núvols, etc</t>
  </si>
  <si>
    <t>Canvis en règims de temperatures: onades de calor o de fred, canvis en la temperatura del mar, fusió de glaceres, etc</t>
  </si>
  <si>
    <t>Canvis en règims de precipitació i règims hidrològics com patrons de pluja, d'innivació, generant sequeres, increment de la severitat d'inundacions, reducció de la superfície de llacs i estanys, etc</t>
  </si>
  <si>
    <t>Pujada del nivell del mar</t>
  </si>
  <si>
    <t>Llista d'amenaces OS</t>
  </si>
  <si>
    <t>Si/No</t>
  </si>
  <si>
    <t>Dubtós</t>
  </si>
  <si>
    <t>Accions</t>
  </si>
  <si>
    <t>Coordinador</t>
  </si>
  <si>
    <t>Agents implicats</t>
  </si>
  <si>
    <r>
      <rPr>
        <sz val="8"/>
        <rFont val="Arial"/>
        <family val="2"/>
      </rPr>
      <t>Pressupost
total estimat</t>
    </r>
  </si>
  <si>
    <r>
      <rPr>
        <sz val="8"/>
        <rFont val="Arial"/>
        <family val="2"/>
      </rPr>
      <t>Organisme
financer</t>
    </r>
  </si>
  <si>
    <t>A.1.1.1. Formalització del Fòrum Permanent com a instrument d'informació, participació i decisió de tots els agents turístics adherits a la CETS</t>
  </si>
  <si>
    <t>Parc Natural dels Ports</t>
  </si>
  <si>
    <t>Tots els actuals membres de l'FP</t>
  </si>
  <si>
    <t>PNP</t>
  </si>
  <si>
    <t>+</t>
  </si>
  <si>
    <t>A.1.1.2. Formalització del Grup de Treball com a instrument de seguiment, coordinació i decisió immediata de tots els agents turístics adherits a la CETS</t>
  </si>
  <si>
    <t>Tots els membres del GT</t>
  </si>
  <si>
    <t>A.1.1.3. Creació d'una taula de treball per a l'adequació i la concreció de mesures per controlar l'afluència de visitants en determinats punts</t>
  </si>
  <si>
    <t>GT i PN</t>
  </si>
  <si>
    <r>
      <rPr>
        <sz val="8"/>
        <rFont val="Arial"/>
        <family val="2"/>
      </rPr>
      <t>• Departament d’Acció Climàtica, Alimentació i Agenda Rural (Gencat)
• Serveis Territorials d'Urbanisme de les Terres de l'Ebre (Gencat)
• Consells Comarcals del Baix Ebre, Montsià i Terra Alta
• Ajuntaments
• Grups de conservació mediambiental
• Associacions de propietaris del Parc Natural dels Ports
• Altres propietaris afectats (Fundació Catalunya – La Pedrera, etc.)
• Població local</t>
    </r>
  </si>
  <si>
    <t>PN i Ajuntaments</t>
  </si>
  <si>
    <t>PNP i Ajuntaments</t>
  </si>
  <si>
    <t>Regular les zones de bany</t>
  </si>
  <si>
    <t>A.1.1.4. Dotació de recursos humans per realitzar les tasques de coordinació de la CETS al PN</t>
  </si>
  <si>
    <t>Departament d’Acció Climàtica, Alimentació i Agenda Rural (Gencat)</t>
  </si>
  <si>
    <t>A.1.2.1.: Disseny i execució dactivitats dintercanvi de coneixement entre el sector públic i privat per a la generació de xarxes i espais de treball comú</t>
  </si>
  <si>
    <r>
      <rPr>
        <sz val="8"/>
        <rFont val="Arial"/>
        <family val="2"/>
      </rPr>
      <t>• Consorci per al desenvolupament del Baix Ebre i Montsià. GAL LEADER
• Consorci Intercomarcal d'Iniciatives Socioeconòmiques de la Ribera d'Ebre i la Terra Alta. GAL LEADER
• Universitat Rovira i Virgili
• COPATE – Reserva de la Biosfera
• Associacions de turisme
• Empresariat turístic</t>
    </r>
  </si>
  <si>
    <t>A.1.2.2. Participació activa del PN a la xarxa de parcs adherits a la CETS</t>
  </si>
  <si>
    <r>
      <rPr>
        <sz val="8"/>
        <rFont val="Arial"/>
        <family val="2"/>
      </rPr>
      <t>Parc Natural
dels Ports</t>
    </r>
  </si>
  <si>
    <t>Altres parcs adherits a la CETS</t>
  </si>
  <si>
    <t>A.1.3.1. Seguiment i avaluació del procés d'implantació de la CETS al PN durant el període 2022-2026</t>
  </si>
  <si>
    <t>A.2.1.1. Elaboració del Pla de Protecció del Medi Natural i el Paisatge del PN</t>
  </si>
  <si>
    <t>Servei d’Espais Naturals Protegits i Parc Natural dels Ports</t>
  </si>
  <si>
    <r>
      <rPr>
        <sz val="8"/>
        <rFont val="Arial"/>
        <family val="2"/>
      </rPr>
      <t>• Fòrum Permanent
• Grup de Treball
• Ajuntaments
• Consells Comarcals del Baix Ebre, Montsià i Terra Alta
• Associació de propietaris del Masís dels Ports
• Entitats i associacions agràries i forestals
• Grups de conservació mediambiental
• Altres: Agents implicats en la redacció del Pla que tinguin relació amb el turisme sostenible</t>
    </r>
  </si>
  <si>
    <t>PN i Direcció General de Polítiques Ambientals i Medi Natural</t>
  </si>
  <si>
    <t>PNP I DGPAMN</t>
  </si>
  <si>
    <t>A.2.1.2. Elaboració del Pla d'Ús Públic del PN.</t>
  </si>
  <si>
    <r>
      <rPr>
        <sz val="8"/>
        <rFont val="Arial"/>
        <family val="2"/>
      </rPr>
      <t>• Fòrum Permanent
• Grup de Treball
• Ajuntaments
• Consells Comarcals del Baix Ebre, Montsià i Terra Alta
• Patronat de Turisme de TTE
• Departament d'Acció Climàtica, Alimentació i Agenda Rural
• COPATE – Reserva de la Biosfera
• Grups de conservació mediambiental
• Associació d'Empresaris del Massís dels Ports
• Associació de Propietaris del Parc Natural dels Ports
• Població local</t>
    </r>
  </si>
  <si>
    <t>A.2.1.3. Estudi i seguiment d'espècies, hàbitats i ecosistemes que es poden veure afectats per l'ús públic</t>
  </si>
  <si>
    <t>Departament d'Acció Climàtica, Alimentació i Agenda Rural</t>
  </si>
  <si>
    <t>A.2.1.4. Ordenació i planificació de l'activitat ciclista al PN</t>
  </si>
  <si>
    <r>
      <rPr>
        <sz val="8"/>
        <rFont val="Arial"/>
        <family val="2"/>
      </rPr>
      <t>• Ajuntaments
• Consells Comarcals del Baix Ebre, Montsià i Terra Alta
• Federació d'Entitats Excursionistes de Catalunya
• Associacions de propietaris del PN dels Ports
• Empresariat turístic</t>
    </r>
  </si>
  <si>
    <t>A.2.2.1. Anàlisi de la capacitat de càrrega dels diferents espais més vulnerables i ordenació de fluxos en espais crítics</t>
  </si>
  <si>
    <r>
      <rPr>
        <sz val="8"/>
        <rFont val="Arial"/>
        <family val="2"/>
      </rPr>
      <t>• Departament d'Acció Climàtica, Alimentació i Agenda Rural
• Ajuntaments
• Universitat Rovira i Virgili
• Grups de conservació mediambiental
• Empresariat turístic
• Associació de Propietaris del Parc Natural dels Ports
• Associació de guies de natura de les Terres de l’Ebre</t>
    </r>
  </si>
  <si>
    <t>A.2.2.2. Anàlisi dels cabals ecològics dels rius del PN aplicats a l'ús de l'aigua com a recurs turístic</t>
  </si>
  <si>
    <r>
      <rPr>
        <sz val="8"/>
        <rFont val="Arial"/>
        <family val="2"/>
      </rPr>
      <t>• Departament d'Acció Climàtica, Alimentació i Agenda Rural
• Ajuntaments
• Grups de conservació mediambiental
• Empresariat turístic que formi part del Fòrum Permanent
• Agència Catalana de l’Aigua
• Universitat de Lleida</t>
    </r>
  </si>
  <si>
    <t>A.2.3.1. Impuls d'accions d'Educació i Voluntariat Ambiental en l'àmbit educatiu i de la població local</t>
  </si>
  <si>
    <t>PN i DIPTA</t>
  </si>
  <si>
    <r>
      <rPr>
        <sz val="8"/>
        <rFont val="Arial"/>
        <family val="2"/>
      </rPr>
      <t>• Ajuntaments
• Població local</t>
    </r>
  </si>
  <si>
    <t>PNP i DIPTA</t>
  </si>
  <si>
    <t>A.2.3.2. Disseny i execució d'accions de formació i divulgació sobre valors naturals i paisatgístics que aportin singularitat al PN</t>
  </si>
  <si>
    <r>
      <rPr>
        <sz val="8"/>
        <rFont val="Arial"/>
        <family val="2"/>
      </rPr>
      <t>• Departament d’Acció Climàtica, Alimentació i Agenda Rural (Gencat)
• Consells Comarcals del Baix Ebre, Montsià i Terra Alta
• Associacions de turisme
• Empresariat turístic</t>
    </r>
  </si>
  <si>
    <t>A.2.4.1. Instal·lació de carregadors de bicicletes i vehicles elèctrics al territori CETS del PN</t>
  </si>
  <si>
    <t>DIPTA i PN</t>
  </si>
  <si>
    <r>
      <rPr>
        <sz val="8"/>
        <rFont val="Arial"/>
        <family val="2"/>
      </rPr>
      <t>• Consells Comarcals del Baix Ebre, Montsià i Terra Alta
• Ajuntaments
• Consorci per al desenvolupament del Baix Ebre i Montsià. GAL LEADER
• Consorci Intercomarcal d'Iniciatives Socioeconòmiques de la Ribera d'Ebre i la Terra Alta. GAL LEADER</t>
    </r>
  </si>
  <si>
    <t>A.2.4.2. Renovació dels Plans d'Acció per a l'Energia Sostenible i el Clima (PAESC) dels municipis de l'àrea d'influència del PN</t>
  </si>
  <si>
    <t>DIPTA</t>
  </si>
  <si>
    <r>
      <rPr>
        <sz val="8"/>
        <rFont val="Arial"/>
        <family val="2"/>
      </rPr>
      <t>•        Parc Natural dels Ports
•        Ajuntaments implicats
•        COPATE – Reserva de la Biosfera Terres de l'Ebre</t>
    </r>
  </si>
  <si>
    <t>A.3.1.1. Establiment d‟un model per a l‟ordenació de l‟activitat dels guies intèrprets del Parc Natural</t>
  </si>
  <si>
    <r>
      <rPr>
        <sz val="8"/>
        <rFont val="Arial"/>
        <family val="2"/>
      </rPr>
      <t>• COPATE – Reserva de la Biosfera
• Grups de conservació mediambiental
• Associació de Guies de Natura de les Terres de l’Ebre
• Departament d’Educació - IEPAAC (Institut de Formació Professional)</t>
    </r>
  </si>
  <si>
    <t>A.3.1.2. Formació, acreditació i promoció de guies intèrprets del PN mitjançant formació reglada</t>
  </si>
  <si>
    <r>
      <rPr>
        <sz val="8"/>
        <rFont val="Arial"/>
        <family val="2"/>
      </rPr>
      <t>Departament d’Educació - IEPAAC
(Institut de Formació
Professional)</t>
    </r>
  </si>
  <si>
    <r>
      <rPr>
        <sz val="8"/>
        <rFont val="Arial"/>
        <family val="2"/>
      </rPr>
      <t>• Parc Natural dels Ports
• Parc Natural del Delta de l’Ebre
• Servei d’Educació Ambiental de la Direcció General de Polítiques Ambientals i Medi Natural
• Associació de Guies de Natura de les Terres de l’Ebre</t>
    </r>
  </si>
  <si>
    <t>A.3.2.1. Acreditació d'espais com a punts d'informació i acreditació de persones com a agents informadors del Parc Natural</t>
  </si>
  <si>
    <r>
      <rPr>
        <sz val="8"/>
        <rFont val="Arial"/>
        <family val="2"/>
      </rPr>
      <t>• Patronat de Turisme de les Terres de l’Ebre
• Associacions d'empresariat turístic que formen part del Fòrum Permanent
• Empresariat turístic que forma part del Fòrum Permanent
• Universitat Rovira i Virgili</t>
    </r>
  </si>
  <si>
    <t>A.3.3.1. Millora de la visibilitat i la funcionalitat dels centres de visitants i punts d'informació</t>
  </si>
  <si>
    <t>Ajuntaments</t>
  </si>
  <si>
    <t>A.3.4.1. Adaptació de 2 itineraris interpretatius del PN a les necessitats d'accés universal</t>
  </si>
  <si>
    <r>
      <rPr>
        <sz val="8"/>
        <rFont val="Arial"/>
        <family val="2"/>
      </rPr>
      <t>• Federació d'Entitats Excursionistes de Catalunya
• Ajuntaments</t>
    </r>
  </si>
  <si>
    <r>
      <rPr>
        <sz val="8"/>
        <rFont val="Arial"/>
        <family val="2"/>
      </rPr>
      <t>Parc Natural dels Ports i Ajuntaments
implicats</t>
    </r>
  </si>
  <si>
    <t>A.3.4.2. Disseny i promoció d'un catàleg d'experiències turístiques</t>
  </si>
  <si>
    <r>
      <rPr>
        <sz val="8"/>
        <rFont val="Arial"/>
        <family val="2"/>
      </rPr>
      <t>• Patronat de Turisme de les Terres de l’Ebre
• COPATE – Reserva de la Biosfera
• Associacions de Turisme
• Empresariat turístic</t>
    </r>
  </si>
  <si>
    <t>A.3.5.1. Revisió i millora del sistema de recollida de dades turístiques dut a terme pel PN, les oficines de turisme i pels empresaris turístics a fi de sistematitzar el procés</t>
  </si>
  <si>
    <r>
      <rPr>
        <sz val="8"/>
        <rFont val="Arial"/>
        <family val="2"/>
      </rPr>
      <t>• Ajuntaments
• Consells Comarcals del Baix Ebre, Montsià i Terra Alta
• Patronat de Turisme de les Terres de l’Ebre
• Associacions d'Empresaris Turístics
• Empresariat turístic</t>
    </r>
  </si>
  <si>
    <t>Recursos propis de cada entitat implicada</t>
  </si>
  <si>
    <t>A.3.5.2. Estudi de viabilitat d'una eina 'big data' per al seguiment de visitants a determinats punts del PN</t>
  </si>
  <si>
    <r>
      <rPr>
        <sz val="8"/>
        <rFont val="Arial"/>
        <family val="2"/>
      </rPr>
      <t>• Patronat de Turisme de les Terres de l’Ebre
• Consells Comarcals del Baix Ebre, Montsià i Terra Alta
• Universitat Rovira i Virgili
• COPATE – Reserva de la Biosfera</t>
    </r>
  </si>
  <si>
    <t>A.4.1.1. Creació d'una comissió formada per turisme i productors locals per valoritzar productes agroalimentaris km.0</t>
  </si>
  <si>
    <r>
      <rPr>
        <sz val="8"/>
        <rFont val="Arial"/>
        <family val="2"/>
      </rPr>
      <t>• Patronat de Turisme de les Terres de l’Ebre
• COPATE – Reserva de la Biosfera
• Denominació d'Origen Vi Terra Alta
• Associacions de Turisme
• Consorci per al Desenvolupament del Baix Ebre i Montsià. GAL LEADER
• Consorci Intercomarcal d'Iniciatives Socioeconòmiques de la Ribera d'Ebre i la Terra Alta. GAL LEADER
• Empresariat turístic</t>
    </r>
  </si>
  <si>
    <t>A.4.1.2. Reforç de la presència del parc natural a les fires locals de l'àrea d'influència de l'espai protegit</t>
  </si>
  <si>
    <r>
      <rPr>
        <sz val="8"/>
        <rFont val="Arial"/>
        <family val="2"/>
      </rPr>
      <t>• Ajuntaments
• Patronat de Turisme de les Terres de l’Ebre
• Associacions de Turisme
• Consorci per al Desenvolupament del Baix Ebre i Montsià. GAL LEADER
• Consorci Intercomarcal d'Iniciatives Socioeconòmiques de la Ribera d'Ebre i la Terra Alta. GAL LEADER
• Empresariat turístic</t>
    </r>
  </si>
  <si>
    <t>A.4.1.3. Elaboració d'un pla d'acció per al foment de l'artesania del PN i l'àrea d'influència</t>
  </si>
  <si>
    <t>Associació d'artesans de les Terres de l’Ebre</t>
  </si>
  <si>
    <r>
      <rPr>
        <sz val="8"/>
        <rFont val="Arial"/>
        <family val="2"/>
      </rPr>
      <t>• Parc Natural dels Ports
• Patronat de Turisme de les Terres de l’Ebre
• Consorci per al Desenvolupament del Baix Ebre i Montsià. GAL LEADER
• Consorci Intercomarcal d'Iniciatives Socioeconòmiques de la Ribera d'Ebre i la Terra Alta. GAL LEADER
• Artesans i empresariat turístic</t>
    </r>
  </si>
  <si>
    <t>A.4.1.4. Organització i celebració del "Dia Europeu dels Parcs" al PN dels Ports</t>
  </si>
  <si>
    <r>
      <rPr>
        <sz val="8"/>
        <rFont val="Arial"/>
        <family val="2"/>
      </rPr>
      <t>• Patronat de Turisme de les Terres de l’Ebre
• COPATE – Reserva de la Biosfera
• Associació de Guies de Natura de les Terres de l’Ebre
• Associacions de Turisme
• Associació d'artesans de les Terres de l’Ebre</t>
    </r>
  </si>
  <si>
    <r>
      <rPr>
        <sz val="8"/>
        <rFont val="Arial"/>
        <family val="2"/>
      </rPr>
      <t>PN i Associació de Guies de Natura de les Terres de
l’Ebre</t>
    </r>
  </si>
  <si>
    <t>PNP i Associació de Guies de Natura de les Terres de
l’Ebre</t>
  </si>
  <si>
    <t>A.4.2.1. Disseny i desenvolupament d'itineraris saludables</t>
  </si>
  <si>
    <r>
      <rPr>
        <sz val="8"/>
        <rFont val="Arial"/>
        <family val="2"/>
      </rPr>
      <t>• Federació d'Entitats Excursionistes de Catalunya
• Associació de Guies de Natura de les Terres de l’Ebre
• COPATE - Reserva de la Biosfera TTE
• Universitat Rovira i Virgili
• Grups de conservació mediambiental
• Ajuntaments</t>
    </r>
  </si>
  <si>
    <t>A.4.2.2. Disseny i desenvolupament d'itineraris d'observació de fauna i creació de punts d'observació</t>
  </si>
  <si>
    <r>
      <rPr>
        <sz val="8"/>
        <rFont val="Arial"/>
        <family val="2"/>
      </rPr>
      <t>• Federació d'Entitats Excursionistes de Catalunya
• Associació de Guies de Natura de les Terres de l’Ebre
• COPATE – Reserva de la Biosfera
• Ajuntaments
• Grups de conservació mediambiental</t>
    </r>
  </si>
  <si>
    <t>A.4.2.3. Disseny i desenvolupament d'elements relacionats amb el paisatge</t>
  </si>
  <si>
    <r>
      <rPr>
        <sz val="8"/>
        <rFont val="Arial"/>
        <family val="2"/>
      </rPr>
      <t>• COPATE – Reserva de la Biosfera
• Ajuntaments
• Associació de Guies de Natura de les Terres de l’Ebre</t>
    </r>
  </si>
  <si>
    <t>A.4.2.4. Disseny i desenvolupament d'itineraris culturals</t>
  </si>
  <si>
    <r>
      <rPr>
        <sz val="8"/>
        <rFont val="Arial"/>
        <family val="2"/>
      </rPr>
      <t>• Federació d'Entitats Excursionistes de Catalunya
• Ajuntaments
• COPATE – Reserva de la Biosfera
• Associació de Guies de Natura de les Terres de l’Ebre</t>
    </r>
  </si>
  <si>
    <t>A.4.2.5. Estudi de viabilitat per a la recuperació i l'ús turístic d'edificis públics de l'interior del PN</t>
  </si>
  <si>
    <t>• Ajuntaments implicats</t>
  </si>
  <si>
    <t>A.4.2.6. Organització i execució de viatges de familiarització amb Aragó i Castelló per a la creació de productes turístics compartits</t>
  </si>
  <si>
    <t>PN i Patronat de Turisme de TTE</t>
  </si>
  <si>
    <r>
      <rPr>
        <sz val="8"/>
        <rFont val="Arial"/>
        <family val="2"/>
      </rPr>
      <t>• Ajuntaments
• Associacions d'empresaris dels Ports
• Empresariat turístic
• Agència organitzadora del viatge</t>
    </r>
  </si>
  <si>
    <t>Patronat de Turisme de TTE i DIPTA</t>
  </si>
  <si>
    <t>A.4.2.7. Establir col·laboracions amb el PN Delta de l’Ebre per a impulsar nous productes turístics i millorar els existents</t>
  </si>
  <si>
    <r>
      <rPr>
        <sz val="8"/>
        <rFont val="Arial"/>
        <family val="2"/>
      </rPr>
      <t>• Parc Natural Delta de l’Ebre
• Patronat de Turisme de les Terres de l’Ebre
• Ajuntaments implicats
• Associacions d'empresaris
• Empresariat turístic</t>
    </r>
  </si>
  <si>
    <t>PN dels Ports i PN del Delta de l'Ebre</t>
  </si>
  <si>
    <t>PNP i PN del Delta de l'Ebre</t>
  </si>
  <si>
    <t>A.4.3.1. Realització de workshops entre centres de formació professional i empreses privades</t>
  </si>
  <si>
    <r>
      <rPr>
        <sz val="8"/>
        <rFont val="Arial"/>
        <family val="2"/>
      </rPr>
      <t>Departament d’Educació - IEPAAC
(Institut de Formació Professional)</t>
    </r>
  </si>
  <si>
    <r>
      <rPr>
        <sz val="8"/>
        <rFont val="Arial"/>
        <family val="2"/>
      </rPr>
      <t>• Parc Natural dels Ports
• Patronat de Turisme de les Terres de l’Ebre
• Associacions de turisme
• Empresariat turístic
• Universitat Rovira i Virgili</t>
    </r>
  </si>
  <si>
    <r>
      <rPr>
        <sz val="8"/>
        <rFont val="Arial"/>
        <family val="2"/>
      </rPr>
      <t>DIPTA i
Departament d’Educació - IEPAAC
(Institut de
Formació Professional)</t>
    </r>
  </si>
  <si>
    <t>A.4.4.1. Identificació dels nodes més rellevants amb la Via Verda per determinar punts de connexió per a la creació de rutes alternatives que donin accés al PN.</t>
  </si>
  <si>
    <r>
      <rPr>
        <sz val="8"/>
        <rFont val="Arial"/>
        <family val="2"/>
      </rPr>
      <t>• Consells Comarcals del Baix Ebre, Montsià i Terra Alta
• Ajuntaments
• Empresariat turístic
• COPATE Reserva de la Biosfera</t>
    </r>
  </si>
  <si>
    <t>A.4.4.2. Adequació dels centres del PN per rebre ciclistes</t>
  </si>
  <si>
    <r>
      <rPr>
        <sz val="8"/>
        <rFont val="Arial"/>
        <family val="2"/>
      </rPr>
      <t>• Consells Comarcals del Baix Ebre, Montsià i Terra Alta
• Federació d'Entitats Excursionistes de Catalunya
• Empresariat turístic</t>
    </r>
  </si>
  <si>
    <t>A.4.4.3. Estudi per a la creació d'una ruta cicloturística que enllaci la via verda a Roquetes amb els nuclis urbans de Mas de Barberans i La Sénia.</t>
  </si>
  <si>
    <r>
      <rPr>
        <sz val="8"/>
        <rFont val="Arial"/>
        <family val="2"/>
      </rPr>
      <t>• Diputació de Tarragona
• Consells Comarcals del Baix Ebre i Montsià
• Federació d'Entitats Excursionistes de Catalunya</t>
    </r>
  </si>
  <si>
    <t>A.4.4.4. Disseny i desenvolupament d'una jornada de cicloturisme al PN</t>
  </si>
  <si>
    <r>
      <rPr>
        <sz val="8"/>
        <rFont val="Arial"/>
        <family val="2"/>
      </rPr>
      <t>• Consells Comarcals del Baix Ebre, Montsià i Terra Alta
• Patronat de Turisme de les Terres de l’Ebre
• Federació d'Entitats Excursionistes de Catalunya
• Empresariat turístic</t>
    </r>
  </si>
  <si>
    <t>A.4.4.5. Realització del manteniment al tram de la via verda de Terra Alta</t>
  </si>
  <si>
    <r>
      <rPr>
        <sz val="8"/>
        <rFont val="Arial"/>
        <family val="2"/>
      </rPr>
      <t>Consell
Comarcal de la Terra Alta</t>
    </r>
  </si>
  <si>
    <t>Consell Comarcal de la Terra Alta</t>
  </si>
  <si>
    <t>A.5.1.1 Elaborar i executar el Pla de comunicació de la CETS</t>
  </si>
  <si>
    <r>
      <rPr>
        <sz val="8"/>
        <rFont val="Arial"/>
        <family val="2"/>
      </rPr>
      <t>• Ajuntaments
• Consells Comarcals del Baix Ebre, Montsià i Terra Alta
• Patronat de Turisme Terres de l’Ebre
• Federació d'Entitats Excursionistes de Catalunya
• Associacions de propietaris
• Associacions de turisme
• Població local</t>
    </r>
  </si>
  <si>
    <t>Altres Plans</t>
  </si>
  <si>
    <t>Acció concreta dins del Pla</t>
  </si>
  <si>
    <t>Cuenta de Acció concreta dins del Pla</t>
  </si>
  <si>
    <t>A.4.2.4. Disseny i desenvolupament d'itineraris culturals: Estudi contingut senyalització del molí de Paüls</t>
  </si>
  <si>
    <t>A.4.2.4. Disseny i desenvolupament d'itineraris culturals: Hosting i web Mas de Burot</t>
  </si>
  <si>
    <t>A.4.1.1. Creació d'una comissió formada per turisme i productors locals per valoritzar productes agroalimentaris km0</t>
  </si>
  <si>
    <t>A.1.1.4. Dotació de recursos humans per realitzar les tasques de coordinació de la CETS al PN: Tasques de suport a l'Àrea d'ús públic</t>
  </si>
  <si>
    <t>A.1.2.1.: Disseny i execució d'activitats d'intercanvi de coneixement entre el sector públic i privat per a la generació de xarxes i espais de treball comú</t>
  </si>
  <si>
    <t>A.3.2.1. Acreditació d'espais com a punts d'informació i acreditació de persones com a agents informadors del Parc Natural: Senyalització Espai informació CETS</t>
  </si>
  <si>
    <t>A.5.1.1. Elaborar i executar el Pla de comunicació de la CETS</t>
  </si>
  <si>
    <t xml:space="preserve">A.4.2.1. Disseny i desenvolupament d'itineraris saludables: Itinerari terapèutic a la Mola de Catí </t>
  </si>
  <si>
    <t>A.3.2.1. Acreditació d'espais com a punts d'informació i acreditació de persones com a agents informadors del Parc Natural: Curs d'informador/a per empreses</t>
  </si>
  <si>
    <t>A.3.2.1. Acreditació d'espais com a punts d'informació i acreditació de persones com a agents informadors del Parc Natural: Programa de "Biblioteca per a establiments turístics"</t>
  </si>
  <si>
    <t>Disposar dels equipaments i infraestructures necessàries i accessibles per acollir, informar, facilitar la visita i garantir la seguretat dels visitants i la protecció de l'entorn</t>
  </si>
  <si>
    <t>A.4.4.1. Identificació dels nodes més rellevants amb la Via Verda per determinar punts de connexió per a la creació de rutes alternatives que donin accés al PN</t>
  </si>
  <si>
    <t>A.4.4.3. Estudi per a la creació d'una ruta cicloturística que enllaci la via verda a Roquetes amb els nuclis urbans de Mas de Barberans i La Sénia: Estudi de viabilitat de via ciclable perimetral al parc pel Baix Ebre i Montsià</t>
  </si>
  <si>
    <t>Elaboració del Pla d'Ús Públic del PN.</t>
  </si>
  <si>
    <t>Regular la circulació rodada no motoritzada en base al model de Pla de protecció</t>
  </si>
  <si>
    <t>A.1.1.3. Creació d'una taula de treball per a l'adequació i la concreció de mesures per controlar l'afluència de visitants en determinats punts: creació del Grup de treball de la regulació de les zones de bany en ENP a la Terra Alta</t>
  </si>
  <si>
    <t>Aplicar i desenvolupar la regulació de les activitats de lleure, esportives, científiques i d'educació ambiental</t>
  </si>
  <si>
    <t>A.3.1.1. Establiment d‟un model per a l'ordenació de l'activitat dels guies intèrprets del Parc Natural Parc</t>
  </si>
  <si>
    <t>1r sem. - 1r any</t>
  </si>
  <si>
    <t>2n sem. – 1r any</t>
  </si>
  <si>
    <t>1r sem. – 2n any</t>
  </si>
  <si>
    <t>2n sem. 2n any</t>
  </si>
  <si>
    <t>–</t>
  </si>
  <si>
    <t>1r sem. – 3r any</t>
  </si>
  <si>
    <t>2n sem. – 3r any</t>
  </si>
  <si>
    <t>1r sem. – 4rt any</t>
  </si>
  <si>
    <t>2n sem. – 4rt any</t>
  </si>
  <si>
    <t>A.2.3.</t>
  </si>
  <si>
    <t>Creació d'una exposició itinerant de productes artesans que viatgés pels diferents punts d'informació dels Ports</t>
  </si>
  <si>
    <t>A.3.1.</t>
  </si>
  <si>
    <t>Elaboració d'un directori digital de productes artesans</t>
  </si>
  <si>
    <t>A.3.3.</t>
  </si>
  <si>
    <t>Programa de recuperació de la memòria artesana</t>
  </si>
  <si>
    <t>A.3.5.</t>
  </si>
  <si>
    <t>Elaboració d'un catàleg d'artesans/es a disposició del públic als punts d'informació</t>
  </si>
  <si>
    <t>A.3.7.</t>
  </si>
  <si>
    <t>Publicacions per posar en valor als diferents artesans/es al butlletí Cingles</t>
  </si>
  <si>
    <t>A.3.8.</t>
  </si>
  <si>
    <t>Programa de formació del personal que treballa als Punts d'Informació del PNP entorn l'oferta artesana</t>
  </si>
  <si>
    <t>A.3.9.</t>
  </si>
  <si>
    <t>Creació d'expositors moderns i visuals per als Punts d'Informació del PNP per mostrar productes artesans del territori</t>
  </si>
  <si>
    <t>A.3.10.</t>
  </si>
  <si>
    <t>Creació d'un canal directe de comunicació amb el PN per a la difusió de l'activitat artesana</t>
  </si>
  <si>
    <t>A.4.1.</t>
  </si>
  <si>
    <t>Creació d'itineraris turístics a partir d'experiències entorn de l'artesania</t>
  </si>
  <si>
    <t>A.4.3.</t>
  </si>
  <si>
    <t>Disseny, promoció i comercialització de productes artesans de marxandatge dels Ports</t>
  </si>
  <si>
    <t>A.4.4.</t>
  </si>
  <si>
    <t>Foment de la venda i comercialització de productes artesans als Punts d'Informació del PNP</t>
  </si>
  <si>
    <t>(Varios elementos)</t>
  </si>
  <si>
    <t>Columna1</t>
  </si>
  <si>
    <t>Columna2</t>
  </si>
  <si>
    <t>Columna3</t>
  </si>
  <si>
    <t>Línies</t>
  </si>
  <si>
    <t>Sublínies</t>
  </si>
  <si>
    <t>1. Divulgació i comunicació</t>
  </si>
  <si>
    <t>1.1. MATERIAL DIVULGATIU I PROMOCIONAL</t>
  </si>
  <si>
    <t>1.1.1 Elaborar un Directori dels productors/es i artesans/es del Parc Natural dels Ports</t>
  </si>
  <si>
    <t>1.1.2. Crear un apartat específic sobre la producció local i artesana del Parc Natural al web oficial del Parc Natural dels Ports</t>
  </si>
  <si>
    <t>1.1.3. Elaborar material divulgatiu sobre alguna particularitat de la producció local del Parc per fomentar el consum local o dels visitants</t>
  </si>
  <si>
    <t>1.1.4. Crear un Catàleg d’experiències turístiques en base al producte local i l’artesania</t>
  </si>
  <si>
    <t>1.2. ACCIONS COMUNICATIVES</t>
  </si>
  <si>
    <t>1.2.1. Organitzar accions comunicatives amb professionals externs que puguin fer difusió dels productes locals artesans i agroalimentaris</t>
  </si>
  <si>
    <t>1.2.2. Campanya de comunicació conjunta amb la Reserva de la Biosfera Terres de l’Ebre</t>
  </si>
  <si>
    <t>1.2.3. Programa d’entrevistes als productors/es i artesans/es</t>
  </si>
  <si>
    <t>1.2.4. Organitzar una exposició o mostra col·lectiva amb productes artesans del Parc Natural dels Ports</t>
  </si>
  <si>
    <t>1.2.5. Programa de tallers i activitats que es poguessin organitzar de forma conjunta entre el Parc Natural i les empreses productores i artesanes</t>
  </si>
  <si>
    <t>2. Formació i assessorament tècnic</t>
  </si>
  <si>
    <t>2.1. FORMACIÓ ESPECIALITZADA PER A PRODUCTORS I ARTESANS</t>
  </si>
  <si>
    <t>2.1.1. Coordinació i/o impartició de formació especialitzada adreçada a productors agroalimentaris i artesans per aprendre a valoritzar el propi producte</t>
  </si>
  <si>
    <t>2.1.2. Organització de jornades tècniques formatives</t>
  </si>
  <si>
    <t>2.1.3. Assessorament i acompanyament individualitzat</t>
  </si>
  <si>
    <t>2.1.4. Potenciar les experiències entorn de l’oleoturisme, en particular, ja que l’oli és el producte agroalimentari amb més presència en l’àmbit del Parc Natural dels Ports</t>
  </si>
  <si>
    <t>2.1.5. Formació en suport a la transformació digital dels seus negocis</t>
  </si>
  <si>
    <t>2.2. ESTUDIS I DIAGNOSIS SOBRE LA PRODUCCIÓ AGROALIMENTÀRIA LOCAL</t>
  </si>
  <si>
    <t>2.2.1. Diagnosi estadística sobre la producció local</t>
  </si>
  <si>
    <t>2.2.2. Elaborar estudis o diagnosis específiques sobre particularitats de la producció agroalimentària de l’àmbit del Parc</t>
  </si>
  <si>
    <t>2.2.3. Estudi de la possibilitat de recuperar espècies agrícoles i ramaderes</t>
  </si>
  <si>
    <t>2.2.4. Estudi de la traçabilitat de la producció agrícola i ramadera</t>
  </si>
  <si>
    <t>3. Comercialització</t>
  </si>
  <si>
    <t>3.1. EINES DE MÀRQUÈTING</t>
  </si>
  <si>
    <t>3.1.1. Dissenyar un segell o distintiu per als productes que es produeixen i/o elaboren en l'àmbit del Parc Natural</t>
  </si>
  <si>
    <t>3.1.2. Elaborar material de marxandatge amb aquest segell o distintiu</t>
  </si>
  <si>
    <t>3.2. SUPORT A LA VENDA</t>
  </si>
  <si>
    <t>3.2.1. Orientació sobre la normativa en l’etiquetatge dels productes</t>
  </si>
  <si>
    <t>3.2.2. Potenciar els Centres de visitants del Parc Natural dels Ports a Roquetes, Prat de Comte i la Sénia, així com l'Alberg a Alfara de Carles per a la venda conjunta dels productes locals i artesanals</t>
  </si>
  <si>
    <t>3.3. DINAMITZACIÓ DE FIRES AGROALIMENTÀRIES</t>
  </si>
  <si>
    <t>3.3.1. Suport a la dinamització de fires especialitzades entorn dels productes agroalimentaris</t>
  </si>
  <si>
    <t>3.3.2. Suport a les empreses locals per participar en fires nacionals o internacionals</t>
  </si>
  <si>
    <t>4. Treball amb xarxa</t>
  </si>
  <si>
    <t>4.1. COHESIÓ INTERNA DEL SECTOR</t>
  </si>
  <si>
    <t>4.1.1. Suport a la dinamització de col·lectius de productors i/o artesans</t>
  </si>
  <si>
    <t>4.2. FOMENT DE DINÀMIQUES DE COOPERACIÓ EMPRESARIAL</t>
  </si>
  <si>
    <t>4.2.1. Organització de networkings entre productors agroalimentaris i artesans amb comerços, restaurants i allotjaments turístics dels municipis de l’àmbit del Parc Natural</t>
  </si>
  <si>
    <t>4.2.2 Organització de jornades gastronòmiques amb producte elaborat/produït al Parc Natural i restaurants de municipis del Parc o de l’entorn proper</t>
  </si>
  <si>
    <t>5. Suport a la gestió de l'activitat</t>
  </si>
  <si>
    <t>5.1. SUPORT A LA GESTIÓ DE L'ACTIVITAT</t>
  </si>
  <si>
    <t>5.1.1. Assessorament en la gestió de la finca</t>
  </si>
  <si>
    <t>5.1.2. Identificar actuacions subvencionables dins de l'ordre d'ajuts d'ENP de Catalunya</t>
  </si>
  <si>
    <t>PRODUCT</t>
  </si>
  <si>
    <t>Total Identificar i conservar la diversitat domesticada de varietats agrícoles i ramaderes locals</t>
  </si>
  <si>
    <t>Total 04.3.4</t>
  </si>
  <si>
    <t>Total  CULTURA</t>
  </si>
  <si>
    <t>Total Conèixer els usos i factors de canvi rellevants en l'evolució dels elements de conservació, i avaluar els efectes que generen en l’espai (pressions i amenaces)</t>
  </si>
  <si>
    <t>Total 06.2.3</t>
  </si>
  <si>
    <t xml:space="preserve">Total CONEIXEMENT </t>
  </si>
  <si>
    <t xml:space="preserve">Oferir formació als productors agraris, ramaders i forestals per millorar el seu coneixement sobre tècniques eficients i respectuoses amb la conservació del patrimoni natural i cultural </t>
  </si>
  <si>
    <t xml:space="preserve">Total Oferir formació als productors agraris, ramaders i forestals per millorar el seu coneixement sobre tècniques eficients i respectuoses amb la conservació del patrimoni natural i cultural </t>
  </si>
  <si>
    <t>Total 08.1.2</t>
  </si>
  <si>
    <t>Total Implantar un distintiu de qualitat i compatibilitat amb la conservació dels productes de la Xarxa d'ENP o criteris de qualitat propis de l'ENP</t>
  </si>
  <si>
    <t>Total 08.3.1</t>
  </si>
  <si>
    <t>Total Integrar els productes i activitats locals de qualitat en l'oferta d'activitats d'informació i turístiques de l'ENP</t>
  </si>
  <si>
    <t>Total 08.3.2</t>
  </si>
  <si>
    <t>Total Promoure fires d'artesania i productes locals de l'ENP</t>
  </si>
  <si>
    <t>Total 08.3.3</t>
  </si>
  <si>
    <t xml:space="preserve">Total Generar aliances entre el sector primari, el turisme, la restauració i altres per fomentar la gastronomia local </t>
  </si>
  <si>
    <t>Total 08.3.4</t>
  </si>
  <si>
    <t>1.1.1 Elaborar un Directori dels productors/es i artesans/es del Parc Natural dels Ports: Acte de presentació catàleg/directori productors locals</t>
  </si>
  <si>
    <t>1.1.1 Elaborar un Directori dels productors/es i artesans/es del Parc Natural dels Ports: Elaboració d'un catàleg de productors locals</t>
  </si>
  <si>
    <t>Total Elaborar una guia per promocionar els agents del territori que potencien i difonen els productes locals i de qualitat (allotjaments, restaurants, cellers, establiments, elaboradors, productors, artesans)</t>
  </si>
  <si>
    <t>Total 08.3.6</t>
  </si>
  <si>
    <t>Coordinació i seguiment del Pla d'acció de la Diagnosi dels productors i productores locals del PNP</t>
  </si>
  <si>
    <t>Total Desplegar el Pla d'acció de la Diagnosi dels productors i productores locals del PNP</t>
  </si>
  <si>
    <t>Total 08.3.7</t>
  </si>
  <si>
    <t xml:space="preserve">Total DESENVOLUPAMENT LOCAL </t>
  </si>
  <si>
    <t>Total Informar periòdicament sobre les tasques, projectes i actuacions que duu a terme l'ENP a la població</t>
  </si>
  <si>
    <t>Total 14.1.1</t>
  </si>
  <si>
    <t xml:space="preserve">Total EDUCACIÓ, VOLUNTARIAT I COMUNICACIÓ </t>
  </si>
  <si>
    <t>Planificar i detectar les tasques de convocatòries d'ajuts de l'ENP</t>
  </si>
  <si>
    <t>Total Planificar i detectar les tasques de convocatòries d'ajuts de l'ENP</t>
  </si>
  <si>
    <t>Total 16.2.2</t>
  </si>
  <si>
    <t>Total GESTIÓ I ADMINISTRACIÓ</t>
  </si>
  <si>
    <t>Data</t>
  </si>
  <si>
    <t>Responsable</t>
  </si>
  <si>
    <t>Acció</t>
  </si>
  <si>
    <t>Any</t>
  </si>
  <si>
    <t>Gener</t>
  </si>
  <si>
    <t>Empreses</t>
  </si>
  <si>
    <t>Entrega de l’informe d’avaluació de l’EA corresponent al 2n semestre 2024</t>
  </si>
  <si>
    <t>Enviament de recordatori de l’oferta Educativa</t>
  </si>
  <si>
    <t>Gener-Juny</t>
  </si>
  <si>
    <t>Elaboració de tres noves Propostes Educatives. Cada comarca haurà de dissenyar una proposta per cada àmbit. Es prioritzaran les Propostes per l’Educació Bàsica</t>
  </si>
  <si>
    <t>Àrea d’UP i Empres</t>
  </si>
  <si>
    <t>Redacció de l’oferta educativa seguint els criteris i directrius establerts en aquest PEA i incorporant les noves activitats en desenvolupament.</t>
  </si>
  <si>
    <t>Revisió i modificació, si s’escau, de la formació per a docents per a l’estiu de 2025</t>
  </si>
  <si>
    <t>Maig</t>
  </si>
  <si>
    <t>Elaboració del calendari d’activitats de lleure (EA Informal) per al 2n semestre de 2025</t>
  </si>
  <si>
    <t>Juliol</t>
  </si>
  <si>
    <t>Entrega de l’informe d’avaluació de l’EA corresponent al 1r semestre 2025</t>
  </si>
  <si>
    <t>Enviament de l’oferta Educativa per al curs 25-26 Gestió de reserves</t>
  </si>
  <si>
    <t>Contactes via telefònica amb els centres que no hagin donat resposta a l’enviament de l’oferta</t>
  </si>
  <si>
    <t>Desembre</t>
  </si>
  <si>
    <t>Elaboració del calendari d’activitats de lleure (EA Informal) per al 1r semestre de 2026</t>
  </si>
  <si>
    <t>Entrega de l’informe d’avaluació de l’EA corresponent al 2n semestre 2025</t>
  </si>
  <si>
    <t>Elaboració de tres noves Propostes Educatives. Cada comarca haurà de dissenyar una proposta per cada àmbit. Es prioritzaran les Propostes per Educació Bàsica i es valorarà la possibilitat d’introduir Propostes per a BAT</t>
  </si>
  <si>
    <t>Revisió i modificació, si s’escau, de la formació per a docents per a l’estiu de 2026</t>
  </si>
  <si>
    <t>Entrega de l’informe d’avaluació de l’EA corresponent al 1r semestre 2026</t>
  </si>
  <si>
    <t>Elaboració del calendari d’activitats de lleure (EA Informal) per al 1r semestre de 2027</t>
  </si>
  <si>
    <t>Entrega de l’informe d’avaluació de l’EA corresponent al 2n semestre 2026</t>
  </si>
  <si>
    <t>Elaboració de tres noves Propostes Educatives. Cada comarca haurà de dissenyar una proposta per cada àmbit. Es prioritzaran les Propostes per Educació Bàsica i s’introduiran Propostes per a BAT</t>
  </si>
  <si>
    <t>Revisió i modificació, si s’escau, de la formació per a docents per a l’estiu de 2027</t>
  </si>
  <si>
    <t>Juliol-Desembre</t>
  </si>
  <si>
    <t>Implicats</t>
  </si>
  <si>
    <t>Revisió del PEA per part de les empreses, l’Àrea d’UP i altres implicats</t>
  </si>
  <si>
    <t>Entrega de l’informe d’avaluació de l’EA corresponent al 1r semestre 2027</t>
  </si>
  <si>
    <t>Enviament de l’oferta Educativa per al curs 26-27 Gestió de reserves</t>
  </si>
  <si>
    <t>Àmbit</t>
  </si>
  <si>
    <t>2021-2025</t>
  </si>
  <si>
    <t>2026-203</t>
  </si>
  <si>
    <t>PROGRAMES I ACTIVITATS D'EDUCACIÓ AMBIENTAL</t>
  </si>
  <si>
    <t>EA1</t>
  </si>
  <si>
    <t>Elaborar i implementar un programa específic d’educació ambiental dirigit als centres educatius locals i avaluar-lo periòdicament</t>
  </si>
  <si>
    <t>■</t>
  </si>
  <si>
    <t>EA2</t>
  </si>
  <si>
    <t>Promoure projectes en els centres educatius locals (crèdits de síntesi, treballs de recerca, servei comunitari, etc.) sobre temàtiques vinculades al Parc Natural</t>
  </si>
  <si>
    <t>EA3</t>
  </si>
  <si>
    <t>Programar accions formatives per al professorat dels centres educatius locals amb el suport dels CRP i el Programa Escoles Verdes</t>
  </si>
  <si>
    <t>EA4</t>
  </si>
  <si>
    <t>Elaborar i implementar un programa específic d’educació ambiental per a la població i les entitats locals amb una oferta d’activitats atractiva i vinculada a esdeveniments locals</t>
  </si>
  <si>
    <t>EA5</t>
  </si>
  <si>
    <t>Dissenyar una oferta d’activitats específica per a famílies en el marc dels programes dirigits als centres educatius locals i la població local</t>
  </si>
  <si>
    <t>EA6</t>
  </si>
  <si>
    <t>Articular estratègies de difusió i formació adreçades als agents socioeconòmics d’àmbit local per afrontar certes problemàtiques que afecten el Parc Natural</t>
  </si>
  <si>
    <t>EA7</t>
  </si>
  <si>
    <t>Dissenyar i executar un programa anual de trobades amb representants i personal tècnic de les administracions locals</t>
  </si>
  <si>
    <t>EA8</t>
  </si>
  <si>
    <t>Establir aliances amb programes educatius o de lleure municipals per integrar continguts o propostes didàctiques del Parc Natural</t>
  </si>
  <si>
    <t>EA9</t>
  </si>
  <si>
    <t>Articular accions formatives i generar recursos per garantir que la informació turística i els guiatges turístics vinculats al Parc Natural incloguin elements interpretatius i pedagògics</t>
  </si>
  <si>
    <t>SUPORT A ACCIONS DE VOLUNTARIAT AMBIENTAL</t>
  </si>
  <si>
    <t>VA1</t>
  </si>
  <si>
    <t>Integrar-se a la taula de voluntariat ambiental del Parc Natural del Delta de l’Ebre i convidar entitats locals a formar-ne part</t>
  </si>
  <si>
    <t>VA2</t>
  </si>
  <si>
    <t>Facilitar orientacions tècniques i suport continuat a les entitats que demanin fer voluntariat en l’àmbit del Parc Natural</t>
  </si>
  <si>
    <t>VA3</t>
  </si>
  <si>
    <t>Gestionar les demandes de voluntariat i d’accions d’RSC d’empreses d’acord amb els procediments establerts per a tots els parcs naturals</t>
  </si>
  <si>
    <t>VA4</t>
  </si>
  <si>
    <t>Elaborar un informe anual de voluntariat i mantenir actualitzat l’inventari d’entitats de voluntariat</t>
  </si>
  <si>
    <t>EQUIPAMENTS I RECURSOS PEDAGÒGICS</t>
  </si>
  <si>
    <t>ERP1</t>
  </si>
  <si>
    <t>Garantir l’ús continuat dels equipaments específics d’educació ambiental (CEA d’Alfara de Carles, Cova Avellanes, etc.) i potenciar el paper pedagògic dels centres de visitants</t>
  </si>
  <si>
    <t>ERP2</t>
  </si>
  <si>
    <t>Destinar equipaments (si cal establint acords amb altres agents) per organitzar campaments amb un component d’educació ambiental</t>
  </si>
  <si>
    <t>ERP3</t>
  </si>
  <si>
    <t>Actualitzar i crear nous recursos pedagògics de suport a les activitats educatives</t>
  </si>
  <si>
    <t>ERP4</t>
  </si>
  <si>
    <t>Recopilar i modernitzar els recursos i materials divulgatius existents adreçats a visitants, en especial les exposicions interpretatives</t>
  </si>
  <si>
    <t>ERP5</t>
  </si>
  <si>
    <t>Elaborar un manual de referència per a guies i educador/es ambientals amb tots els valors principals del Parc Natural</t>
  </si>
  <si>
    <t>ERP6</t>
  </si>
  <si>
    <t>Recopilar i publicar a la pàgina web del Parc Natural tots els equipaments i recursos pedagògics existents</t>
  </si>
  <si>
    <t>RECURSOS HUMANS I GOVERNANÇA</t>
  </si>
  <si>
    <t>GOV1</t>
  </si>
  <si>
    <t>Enfortir i consolidar l’àmbit de gestió de l’educació i el voluntariat ambiental en el funcionament de l’equip gestor del Parc Natural</t>
  </si>
  <si>
    <t>GOV2</t>
  </si>
  <si>
    <t>Acordar i introduir millores viables en el servei d’educació ambiental que externalitza el Parc Natural, si escau amb algun tipus de protocol escrit</t>
  </si>
  <si>
    <t>GOV3</t>
  </si>
  <si>
    <t>Elaborar i mantenir actualitzat un inventari dels potencials agents col·laboradors en educació ambiental</t>
  </si>
  <si>
    <t>GOV4</t>
  </si>
  <si>
    <t>Configurar i posar en marxa una taula d’educació ambiental per coordinar el Parc Natural amb els diversos agents educatius</t>
  </si>
  <si>
    <t>GOV5</t>
  </si>
  <si>
    <t>GOV6</t>
  </si>
  <si>
    <t>Garantir una coordinació eficaç entre el pla d’educació i voluntariat ambiental, els plans d’acció vinculats a la CETS i els programes d’ús públic</t>
  </si>
  <si>
    <t>PEEVA</t>
  </si>
  <si>
    <t>ERP1. Garantir l’ús continuat dels equipaments específics d’educació ambiental (CEA d’Alfara de Carles, Cova Avellanes, etc.) i potenciar el paper pedagògic dels centres de visitants</t>
  </si>
  <si>
    <t>ERP2. Destinar equipaments (si cal establint acords amb altres agents) per organitzar campaments amb un component d’educació ambiental</t>
  </si>
  <si>
    <t>EA3. Programar accions formatives per al professorat dels centres educatius locals amb el suport dels CRP i el Programa Escoles Verdes</t>
  </si>
  <si>
    <t>13.1.4</t>
  </si>
  <si>
    <t>Desenvolupar el programa educatiu de l'ENP als centres educatius del territori</t>
  </si>
  <si>
    <t>EA1. Elaborar i implementar un programa específic d’educació ambiental dirigit als centres educatius locals i avaluar-lo periòdicament</t>
  </si>
  <si>
    <t xml:space="preserve">GOV2. Acordar i introduir millores viables en el servei d’educació ambiental que externalitza el Parc Natural, si escau amb algun tipus de protocol escrit </t>
  </si>
  <si>
    <t>EA2. Promoure projectes en els centres educatius locals (crèdits de síntesi, treballs de recerca, servei comunitari, etc.) sobre temàtiques vinculades al Parc Natural</t>
  </si>
  <si>
    <t>0. Coordinació i seguiment del Pla estratègic 2021-2030 d'educació i voluntariat ambiental: Educació ambiental</t>
  </si>
  <si>
    <t>GOV6. Garantir una coordinació eficaç entre el pla d’educació i voluntariat ambiental, els plans d’acció vinculats a la CETS i els programes d’ús públic</t>
  </si>
  <si>
    <t>GOV3. Elaborar i mantenir actualitzat un inventari dels potencials agents col·laboradors en educació ambiental</t>
  </si>
  <si>
    <t>GOV4. Configurar i posar en marxa una taula d’educació ambiental per coordinar el Parc Natural amb els diversos agents educatius</t>
  </si>
  <si>
    <t>EA7. Dissenyar i executar un programa anual de trobades amb representants i personal tècnic de les administracions locals</t>
  </si>
  <si>
    <t>EA8. Establir aliances amb programes educatius o de lleure municipals per integrar continguts o propostes didàctiques del Parc Natural</t>
  </si>
  <si>
    <t>GOV5. Cercar i establir col·laboracions i projectes conjunts amb agents clau del territori</t>
  </si>
  <si>
    <t>EA9. Articular accions formatives i generar recursos per garantir que la informació turística i els guiatges turístics vinculats al Parc Natural incloguin elements interpretatius i pedagògics</t>
  </si>
  <si>
    <t>ERP5. Elaborar un manual de referència per a guies i educador/es ambientals amb tots els valors principals del Parc Natural</t>
  </si>
  <si>
    <t>EA5. Dissenyar una oferta d’activitats específica per a famílies en el marc dels programes dirigits als centres educatius locals i la població local</t>
  </si>
  <si>
    <t>ERP3. Actualitzar i crear nous recursos pedagògics de suport a les activitats educatives</t>
  </si>
  <si>
    <t>EA6. Articular estratègies de difusió i formació adreçades als agents socioeconòmics d’àmbit local per afrontar certes problemàtiques que afecten el Parc Natural</t>
  </si>
  <si>
    <t>Elaborar i renovar periòdicament un programa d’educació ambiental adreçat a la població local que contribueixi a fomentar el sentiment de pertinença i la implicació en la conservació de l'ENP.</t>
  </si>
  <si>
    <t>EA4. Elaborar i implementar un programa específic d’educació ambiental per a la població i les entitats locals amb una oferta d’activitats atractiva i vinculada a esdeveniments locals: Elaborar i difondre una agenda trimestral d'activitats educatives dirigides a la població i les entitats locals</t>
  </si>
  <si>
    <t>VA3. Gestionar les demandes de voluntariat i d’accions d’RSC d’empreses d’acord amb els procediments establerts per a tots els parcs naturals</t>
  </si>
  <si>
    <t>VA1. Integrar-se a la taula de voluntariat ambiental del Parc Natural del Delta de l’Ebre i convidar entitats locals a formar-ne part</t>
  </si>
  <si>
    <t>Desplegar el Pla estratègic 2021-2030 d’educació i voluntariat ambiental del Parc Natural dels Ports (PEEVA): Voluntariat ambiental</t>
  </si>
  <si>
    <t>0. Coordinació i seguiment del Pla estratègic 2021-2030 d'educació i voluntariat ambiental: Taula Voluntariat Ambiental</t>
  </si>
  <si>
    <t>VA2. Facilitar orientacions tècniques i suport continuat a les entitats que demanin fer voluntariat en l’àmbit del Parc Natural</t>
  </si>
  <si>
    <t>VA4. Elaborar un informe anual de voluntariat i mantenir actualitzat l’inventari d’entitats de voluntariat</t>
  </si>
  <si>
    <t>ERP4. Recopilar i modernitzar els recursos i materials divulgatius existents adreçats a visitants, en especial les exposicions interpretatives</t>
  </si>
  <si>
    <t>ERP6. Recopilar i publicar a la pàgina web del Parc Natural tots els equipaments i recursos pedagògics existents</t>
  </si>
  <si>
    <t>Definició i clarificació dels rols de l'equip del parc i una correcta definició de les tasques de cada membre.</t>
  </si>
  <si>
    <t>GOV1. Enfortir i consolidar l’àmbit de gestió de l’educació i el voluntariat ambiental en el funcionament de l’equip gestor del Parc Natural</t>
  </si>
  <si>
    <t>Revisió</t>
  </si>
  <si>
    <t>MSA</t>
  </si>
  <si>
    <t>Pel POA</t>
  </si>
  <si>
    <t>FORA DEL TERMINI DEL PLA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</si>
</sst>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 _€"/>
  </numFmts>
  <fonts count="64">
    <font>
      <sz val="11"/>
      <color theme="1"/>
      <name val="Calibri"/>
      <family val="2"/>
      <scheme val="minor"/>
    </font>
    <font>
      <sz val="11"/>
      <color rgb="FFFF0000"/>
      <name val="Calibri"/>
      <family val="2"/>
      <scheme val="minor"/>
    </font>
    <font>
      <sz val="8"/>
      <name val="Calibri"/>
      <family val="2"/>
      <scheme val="minor"/>
    </font>
    <font>
      <sz val="11"/>
      <name val="Calibri"/>
      <family val="2"/>
      <scheme val="minor"/>
    </font>
    <font>
      <b/>
      <sz val="11"/>
      <color theme="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
      <sz val="11"/>
      <color rgb="FF0070C0"/>
      <name val="Calibri"/>
      <family val="2"/>
      <scheme val="minor"/>
    </font>
    <font>
      <strike/>
      <sz val="11"/>
      <color theme="1"/>
      <name val="Calibri"/>
      <family val="2"/>
      <scheme val="minor"/>
    </font>
    <font>
      <sz val="11"/>
      <name val="Calibri"/>
      <family val="2"/>
    </font>
    <font>
      <sz val="11"/>
      <color rgb="FF000000"/>
      <name val="Calibri"/>
      <family val="2"/>
    </font>
    <font>
      <sz val="9"/>
      <color indexed="81"/>
      <name val="Tahoma"/>
      <family val="2"/>
    </font>
    <font>
      <b/>
      <sz val="9"/>
      <color indexed="81"/>
      <name val="Tahoma"/>
      <family val="2"/>
    </font>
    <font>
      <b/>
      <sz val="12"/>
      <color theme="1"/>
      <name val="Calibri"/>
      <family val="2"/>
      <scheme val="minor"/>
    </font>
    <font>
      <b/>
      <sz val="14"/>
      <color theme="1"/>
      <name val="Calibri"/>
      <family val="2"/>
      <scheme val="minor"/>
    </font>
    <font>
      <b/>
      <sz val="14"/>
      <name val="Calibri"/>
      <family val="2"/>
      <scheme val="minor"/>
    </font>
    <font>
      <sz val="14"/>
      <name val="Calibri"/>
      <family val="2"/>
      <scheme val="minor"/>
    </font>
    <font>
      <b/>
      <sz val="11"/>
      <color rgb="FFFF0000"/>
      <name val="Calibri"/>
      <family val="2"/>
      <scheme val="minor"/>
    </font>
    <font>
      <sz val="20"/>
      <color theme="1"/>
      <name val="Calibri"/>
      <family val="2"/>
      <scheme val="minor"/>
    </font>
    <font>
      <sz val="10"/>
      <color rgb="FF000000"/>
      <name val="Calibri"/>
      <family val="2"/>
      <scheme val="minor"/>
    </font>
    <font>
      <b/>
      <sz val="17"/>
      <color theme="1"/>
      <name val="Calibri"/>
      <family val="2"/>
      <scheme val="minor"/>
    </font>
    <font>
      <sz val="10"/>
      <color theme="1"/>
      <name val="Calibri"/>
      <family val="2"/>
      <scheme val="minor"/>
    </font>
    <font>
      <sz val="10"/>
      <color rgb="FF0000FF"/>
      <name val="Arial"/>
      <family val="2"/>
    </font>
    <font>
      <u/>
      <sz val="10"/>
      <color rgb="FF1155CC"/>
      <name val="Arial"/>
      <family val="2"/>
    </font>
    <font>
      <u/>
      <sz val="10"/>
      <color rgb="FF0000FF"/>
      <name val="Arial"/>
      <family val="2"/>
    </font>
    <font>
      <sz val="10"/>
      <color rgb="FF000000"/>
      <name val="Arial"/>
      <family val="2"/>
    </font>
    <font>
      <sz val="9"/>
      <color rgb="FF1F1F1F"/>
      <name val="&quot;Google Sans&quot;"/>
    </font>
    <font>
      <u/>
      <sz val="11"/>
      <color theme="10"/>
      <name val="Calibri"/>
      <family val="2"/>
      <scheme val="minor"/>
    </font>
    <font>
      <sz val="11"/>
      <color theme="5" tint="0.79998168889431442"/>
      <name val="Calibri"/>
      <family val="2"/>
      <scheme val="minor"/>
    </font>
    <font>
      <sz val="11"/>
      <color theme="5" tint="0.79998168889431442"/>
      <name val="Calibri"/>
      <family val="2"/>
    </font>
    <font>
      <sz val="11"/>
      <color theme="4"/>
      <name val="Calibri"/>
      <family val="2"/>
      <scheme val="minor"/>
    </font>
    <font>
      <sz val="11"/>
      <color theme="6" tint="0.79998168889431442"/>
      <name val="Calibri"/>
      <family val="2"/>
      <scheme val="minor"/>
    </font>
    <font>
      <sz val="11"/>
      <color theme="7" tint="0.59999389629810485"/>
      <name val="Calibri"/>
      <family val="2"/>
      <scheme val="minor"/>
    </font>
    <font>
      <sz val="11"/>
      <color theme="7" tint="0.39997558519241921"/>
      <name val="Calibri"/>
      <family val="2"/>
      <scheme val="minor"/>
    </font>
    <font>
      <sz val="11"/>
      <color theme="8" tint="0.79998168889431442"/>
      <name val="Calibri"/>
      <family val="2"/>
      <scheme val="minor"/>
    </font>
    <font>
      <sz val="11"/>
      <color theme="9" tint="0.79998168889431442"/>
      <name val="Calibri"/>
      <family val="2"/>
      <scheme val="minor"/>
    </font>
    <font>
      <sz val="11"/>
      <color theme="5" tint="0.59999389629810485"/>
      <name val="Calibri"/>
      <family val="2"/>
      <scheme val="minor"/>
    </font>
    <font>
      <sz val="11"/>
      <color theme="7" tint="0.59999389629810485"/>
      <name val="Calibri"/>
      <family val="2"/>
    </font>
    <font>
      <sz val="11"/>
      <color theme="7" tint="0.79998168889431442"/>
      <name val="Calibri"/>
      <family val="2"/>
      <scheme val="minor"/>
    </font>
    <font>
      <sz val="9"/>
      <color theme="1"/>
      <name val="Arial Narrow"/>
      <family val="2"/>
    </font>
    <font>
      <i/>
      <sz val="11"/>
      <color theme="1"/>
      <name val="Calibri"/>
      <family val="2"/>
      <scheme val="minor"/>
    </font>
    <font>
      <b/>
      <sz val="8"/>
      <color theme="1"/>
      <name val="Arial"/>
      <family val="2"/>
    </font>
    <font>
      <sz val="8"/>
      <name val="Arial"/>
      <family val="2"/>
    </font>
    <font>
      <sz val="8"/>
      <color theme="1"/>
      <name val="Arial"/>
      <family val="2"/>
    </font>
    <font>
      <sz val="8"/>
      <color rgb="FF000000"/>
      <name val="Arial"/>
      <family val="2"/>
    </font>
    <font>
      <sz val="9"/>
      <color theme="1"/>
      <name val="Calibri"/>
      <family val="2"/>
      <scheme val="minor"/>
    </font>
    <font>
      <b/>
      <sz val="8"/>
      <color theme="1"/>
      <name val="Calibri"/>
      <family val="2"/>
      <scheme val="minor"/>
    </font>
    <font>
      <b/>
      <sz val="8"/>
      <name val="Calibri"/>
      <family val="2"/>
      <scheme val="minor"/>
    </font>
    <font>
      <sz val="8"/>
      <color theme="1"/>
      <name val="Calibri"/>
      <family val="2"/>
      <scheme val="minor"/>
    </font>
    <font>
      <sz val="9"/>
      <color theme="1"/>
      <name val="Arial"/>
      <family val="2"/>
    </font>
    <font>
      <b/>
      <sz val="9"/>
      <color rgb="FFFFFFFF"/>
      <name val="Arial"/>
      <family val="2"/>
    </font>
    <font>
      <sz val="9"/>
      <name val="Arial"/>
      <family val="2"/>
    </font>
    <font>
      <b/>
      <sz val="9"/>
      <color theme="1"/>
      <name val="Arial Narrow"/>
      <family val="2"/>
    </font>
    <font>
      <sz val="8"/>
      <color theme="1"/>
      <name val="Segoe UI"/>
      <family val="2"/>
    </font>
    <font>
      <sz val="8"/>
      <color theme="1"/>
      <name val="Times New Roman"/>
      <family val="1"/>
    </font>
    <font>
      <b/>
      <sz val="8"/>
      <color theme="1"/>
      <name val="Segoe UI"/>
      <family val="2"/>
    </font>
    <font>
      <sz val="9"/>
      <color theme="1"/>
      <name val="Segoe UI"/>
      <family val="2"/>
    </font>
    <font>
      <sz val="11"/>
      <color theme="1"/>
      <name val="Arial Narrow"/>
      <family val="2"/>
    </font>
    <font>
      <sz val="11"/>
      <color rgb="FF9FCCE3"/>
      <name val="Calibri"/>
      <family val="2"/>
      <scheme val="minor"/>
    </font>
    <font>
      <sz val="10"/>
      <name val="Calibri"/>
      <family val="2"/>
      <scheme val="minor"/>
    </font>
    <font>
      <sz val="11"/>
      <color theme="4" tint="-0.249977111117893"/>
      <name val="Calibri"/>
      <family val="2"/>
      <scheme val="minor"/>
    </font>
    <font>
      <sz val="11"/>
      <color rgb="FF7030A0"/>
      <name val="Calibri"/>
      <family val="2"/>
      <scheme val="minor"/>
    </font>
    <font>
      <strike/>
      <sz val="11"/>
      <name val="Calibri"/>
      <family val="2"/>
      <scheme val="minor"/>
    </font>
  </fonts>
  <fills count="50">
    <fill>
      <patternFill patternType="none"/>
    </fill>
    <fill>
      <patternFill patternType="gray125"/>
    </fill>
    <fill>
      <patternFill patternType="solid">
        <fgColor rgb="FF3D9B35"/>
        <bgColor indexed="64"/>
      </patternFill>
    </fill>
    <fill>
      <patternFill patternType="solid">
        <fgColor rgb="FFBCBF00"/>
        <bgColor indexed="64"/>
      </patternFill>
    </fill>
    <fill>
      <patternFill patternType="solid">
        <fgColor rgb="FF00ABD4"/>
        <bgColor indexed="64"/>
      </patternFill>
    </fill>
    <fill>
      <patternFill patternType="solid">
        <fgColor rgb="FFF85C26"/>
        <bgColor indexed="64"/>
      </patternFill>
    </fill>
    <fill>
      <patternFill patternType="solid">
        <fgColor rgb="FFFABC20"/>
        <bgColor indexed="64"/>
      </patternFill>
    </fill>
    <fill>
      <patternFill patternType="solid">
        <fgColor theme="4"/>
        <bgColor indexed="64"/>
      </patternFill>
    </fill>
    <fill>
      <patternFill patternType="solid">
        <fgColor rgb="FF8094AE"/>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ACB9CA"/>
        <bgColor rgb="FF000000"/>
      </patternFill>
    </fill>
    <fill>
      <patternFill patternType="solid">
        <fgColor rgb="FFD6DCE4"/>
        <bgColor rgb="FF000000"/>
      </patternFill>
    </fill>
    <fill>
      <patternFill patternType="solid">
        <fgColor theme="9" tint="0.39997558519241921"/>
        <bgColor indexed="64"/>
      </patternFill>
    </fill>
    <fill>
      <patternFill patternType="solid">
        <fgColor rgb="FFF4CCCC"/>
        <bgColor rgb="FFF4CCCC"/>
      </patternFill>
    </fill>
    <fill>
      <patternFill patternType="solid">
        <fgColor rgb="FFFFFFFF"/>
        <bgColor rgb="FFFFFFFF"/>
      </patternFill>
    </fill>
    <fill>
      <patternFill patternType="solid">
        <fgColor rgb="FFFFFF00"/>
        <bgColor indexed="64"/>
      </patternFill>
    </fill>
    <fill>
      <patternFill patternType="solid">
        <fgColor theme="6"/>
        <bgColor indexed="64"/>
      </patternFill>
    </fill>
    <fill>
      <patternFill patternType="solid">
        <fgColor rgb="FFEEF4D7"/>
        <bgColor indexed="64"/>
      </patternFill>
    </fill>
    <fill>
      <patternFill patternType="solid">
        <fgColor theme="8" tint="-0.249977111117893"/>
        <bgColor indexed="64"/>
      </patternFill>
    </fill>
    <fill>
      <patternFill patternType="solid">
        <fgColor rgb="FFC00000"/>
        <bgColor indexed="64"/>
      </patternFill>
    </fill>
    <fill>
      <patternFill patternType="solid">
        <fgColor rgb="FFDEEAF6"/>
      </patternFill>
    </fill>
    <fill>
      <patternFill patternType="solid">
        <fgColor rgb="FFF6BE72"/>
        <bgColor indexed="64"/>
      </patternFill>
    </fill>
    <fill>
      <patternFill patternType="solid">
        <fgColor rgb="FFB76E0B"/>
        <bgColor indexed="64"/>
      </patternFill>
    </fill>
    <fill>
      <patternFill patternType="solid">
        <fgColor rgb="FF7B4A08"/>
        <bgColor indexed="64"/>
      </patternFill>
    </fill>
    <fill>
      <patternFill patternType="solid">
        <fgColor rgb="FFF2F2F2"/>
        <bgColor indexed="64"/>
      </patternFill>
    </fill>
    <fill>
      <patternFill patternType="solid">
        <fgColor rgb="FF808080"/>
        <bgColor indexed="64"/>
      </patternFill>
    </fill>
    <fill>
      <patternFill patternType="solid">
        <fgColor theme="9"/>
        <bgColor indexed="64"/>
      </patternFill>
    </fill>
    <fill>
      <patternFill patternType="solid">
        <fgColor rgb="FF99CC0D"/>
        <bgColor indexed="64"/>
      </patternFill>
    </fill>
    <fill>
      <patternFill patternType="solid">
        <fgColor theme="7" tint="0.39997558519241921"/>
        <bgColor indexed="64"/>
      </patternFill>
    </fill>
    <fill>
      <patternFill patternType="solid">
        <fgColor rgb="FFF1F1F1"/>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0"/>
        <bgColor indexed="64"/>
      </patternFill>
    </fill>
    <fill>
      <patternFill patternType="solid">
        <fgColor rgb="FF92D050"/>
        <bgColor indexed="64"/>
      </patternFill>
    </fill>
    <fill>
      <patternFill patternType="solid">
        <fgColor rgb="FFFFC000"/>
        <bgColor indexed="64"/>
      </patternFill>
    </fill>
    <fill>
      <patternFill patternType="solid">
        <fgColor rgb="FF9FCCE3"/>
        <bgColor indexed="64"/>
      </patternFill>
    </fill>
    <fill>
      <patternFill patternType="solid">
        <fgColor rgb="FF7030A0"/>
        <bgColor indexed="64"/>
      </patternFill>
    </fill>
    <fill>
      <patternFill patternType="solid">
        <fgColor indexed="65"/>
        <bgColor indexed="64"/>
      </patternFill>
    </fill>
  </fills>
  <borders count="96">
    <border>
      <left/>
      <right/>
      <top/>
      <bottom/>
      <diagonal/>
    </border>
    <border>
      <left style="thin">
        <color theme="5"/>
      </left>
      <right style="thin">
        <color theme="5"/>
      </right>
      <top style="thin">
        <color theme="5"/>
      </top>
      <bottom style="thin">
        <color theme="5"/>
      </bottom>
      <diagonal/>
    </border>
    <border>
      <left style="thin">
        <color theme="5"/>
      </left>
      <right/>
      <top style="thin">
        <color theme="5"/>
      </top>
      <bottom style="thin">
        <color theme="5"/>
      </bottom>
      <diagonal/>
    </border>
    <border>
      <left/>
      <right style="thin">
        <color theme="5"/>
      </right>
      <top style="thin">
        <color theme="5"/>
      </top>
      <bottom/>
      <diagonal/>
    </border>
    <border>
      <left style="thin">
        <color theme="5"/>
      </left>
      <right/>
      <top style="thin">
        <color theme="5"/>
      </top>
      <bottom/>
      <diagonal/>
    </border>
    <border>
      <left style="thin">
        <color theme="5"/>
      </left>
      <right/>
      <top/>
      <bottom/>
      <diagonal/>
    </border>
    <border>
      <left style="thin">
        <color theme="5"/>
      </left>
      <right/>
      <top/>
      <bottom style="thin">
        <color theme="5"/>
      </bottom>
      <diagonal/>
    </border>
    <border>
      <left/>
      <right/>
      <top style="thin">
        <color theme="5"/>
      </top>
      <bottom style="thin">
        <color theme="5"/>
      </bottom>
      <diagonal/>
    </border>
    <border>
      <left/>
      <right style="thin">
        <color theme="6"/>
      </right>
      <top/>
      <bottom/>
      <diagonal/>
    </border>
    <border>
      <left style="thin">
        <color theme="6"/>
      </left>
      <right/>
      <top style="thin">
        <color theme="6"/>
      </top>
      <bottom/>
      <diagonal/>
    </border>
    <border>
      <left style="thin">
        <color rgb="FF00B0F0"/>
      </left>
      <right/>
      <top style="thin">
        <color rgb="FF00B0F0"/>
      </top>
      <bottom/>
      <diagonal/>
    </border>
    <border>
      <left/>
      <right style="thin">
        <color rgb="FF00B0F0"/>
      </right>
      <top style="thin">
        <color rgb="FF00B0F0"/>
      </top>
      <bottom/>
      <diagonal/>
    </border>
    <border>
      <left style="thin">
        <color rgb="FF00B0F0"/>
      </left>
      <right/>
      <top style="thin">
        <color rgb="FF00B0F0"/>
      </top>
      <bottom style="thin">
        <color rgb="FF00B0F0"/>
      </bottom>
      <diagonal/>
    </border>
    <border>
      <left/>
      <right/>
      <top style="thin">
        <color rgb="FF00B0F0"/>
      </top>
      <bottom style="thin">
        <color rgb="FF00B0F0"/>
      </bottom>
      <diagonal/>
    </border>
    <border>
      <left style="thin">
        <color theme="8"/>
      </left>
      <right/>
      <top style="thin">
        <color rgb="FF00B0F0"/>
      </top>
      <bottom/>
      <diagonal/>
    </border>
    <border>
      <left/>
      <right style="thin">
        <color theme="8"/>
      </right>
      <top style="thin">
        <color rgb="FF00B0F0"/>
      </top>
      <bottom/>
      <diagonal/>
    </border>
    <border>
      <left style="thin">
        <color theme="8"/>
      </left>
      <right/>
      <top/>
      <bottom style="thin">
        <color theme="8"/>
      </bottom>
      <diagonal/>
    </border>
    <border>
      <left style="thin">
        <color theme="8"/>
      </left>
      <right/>
      <top style="thin">
        <color theme="8"/>
      </top>
      <bottom/>
      <diagonal/>
    </border>
    <border>
      <left/>
      <right style="thin">
        <color theme="8"/>
      </right>
      <top style="thin">
        <color theme="8"/>
      </top>
      <bottom/>
      <diagonal/>
    </border>
    <border>
      <left style="thin">
        <color theme="9"/>
      </left>
      <right/>
      <top style="thin">
        <color theme="9"/>
      </top>
      <bottom/>
      <diagonal/>
    </border>
    <border>
      <left style="thin">
        <color theme="9"/>
      </left>
      <right/>
      <top style="thin">
        <color theme="9"/>
      </top>
      <bottom style="thin">
        <color theme="9"/>
      </bottom>
      <diagonal/>
    </border>
    <border>
      <left/>
      <right/>
      <top style="thin">
        <color theme="9"/>
      </top>
      <bottom style="thin">
        <color theme="9"/>
      </bottom>
      <diagonal/>
    </border>
    <border>
      <left/>
      <right/>
      <top style="thin">
        <color theme="4"/>
      </top>
      <bottom style="thin">
        <color theme="4"/>
      </bottom>
      <diagonal/>
    </border>
    <border>
      <left style="thin">
        <color rgb="FF8497B0"/>
      </left>
      <right/>
      <top style="thin">
        <color rgb="FF8497B0"/>
      </top>
      <bottom/>
      <diagonal/>
    </border>
    <border>
      <left style="thin">
        <color rgb="FF8497B0"/>
      </left>
      <right/>
      <top style="thin">
        <color rgb="FF8497B0"/>
      </top>
      <bottom style="thin">
        <color rgb="FF8497B0"/>
      </bottom>
      <diagonal/>
    </border>
    <border>
      <left/>
      <right style="thin">
        <color rgb="FF8497B0"/>
      </right>
      <top style="thin">
        <color theme="3" tint="0.39994506668294322"/>
      </top>
      <bottom/>
      <diagonal/>
    </border>
    <border>
      <left style="thin">
        <color rgb="FF8497B0"/>
      </left>
      <right/>
      <top style="thin">
        <color theme="3" tint="0.39994506668294322"/>
      </top>
      <bottom/>
      <diagonal/>
    </border>
    <border>
      <left/>
      <right/>
      <top style="thin">
        <color theme="3" tint="0.39994506668294322"/>
      </top>
      <bottom/>
      <diagonal/>
    </border>
    <border>
      <left/>
      <right style="thin">
        <color theme="4"/>
      </right>
      <top style="thin">
        <color theme="5"/>
      </top>
      <bottom/>
      <diagonal/>
    </border>
    <border>
      <left style="thin">
        <color theme="4"/>
      </left>
      <right/>
      <top style="thin">
        <color theme="5"/>
      </top>
      <bottom/>
      <diagonal/>
    </border>
    <border>
      <left style="thin">
        <color theme="4"/>
      </left>
      <right/>
      <top/>
      <bottom/>
      <diagonal/>
    </border>
    <border>
      <left style="thin">
        <color theme="4"/>
      </left>
      <right/>
      <top/>
      <bottom style="thin">
        <color theme="4"/>
      </bottom>
      <diagonal/>
    </border>
    <border>
      <left/>
      <right style="thin">
        <color theme="4"/>
      </right>
      <top style="thin">
        <color theme="4"/>
      </top>
      <bottom/>
      <diagonal/>
    </border>
    <border>
      <left/>
      <right/>
      <top style="thin">
        <color theme="4"/>
      </top>
      <bottom/>
      <diagonal/>
    </border>
    <border>
      <left style="thin">
        <color theme="8" tint="-0.24994659260841701"/>
      </left>
      <right/>
      <top style="thin">
        <color theme="8" tint="-0.24994659260841701"/>
      </top>
      <bottom/>
      <diagonal/>
    </border>
    <border>
      <left/>
      <right style="thin">
        <color theme="8"/>
      </right>
      <top style="thin">
        <color theme="8" tint="-0.24994659260841701"/>
      </top>
      <bottom/>
      <diagonal/>
    </border>
    <border>
      <left style="thin">
        <color indexed="64"/>
      </left>
      <right style="thin">
        <color indexed="64"/>
      </right>
      <top style="thin">
        <color indexed="64"/>
      </top>
      <bottom style="thin">
        <color indexed="64"/>
      </bottom>
      <diagonal/>
    </border>
    <border>
      <left/>
      <right/>
      <top style="thin">
        <color rgb="FF00B0F0"/>
      </top>
      <bottom/>
      <diagonal/>
    </border>
    <border>
      <left/>
      <right/>
      <top style="thin">
        <color rgb="FF8497B0"/>
      </top>
      <bottom/>
      <diagonal/>
    </border>
    <border>
      <left/>
      <right/>
      <top style="thin">
        <color rgb="FF8497B0"/>
      </top>
      <bottom style="thin">
        <color rgb="FF8497B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right style="thin">
        <color indexed="64"/>
      </right>
      <top style="thin">
        <color theme="9"/>
      </top>
      <bottom/>
      <diagonal/>
    </border>
    <border>
      <left/>
      <right style="thin">
        <color indexed="64"/>
      </right>
      <top style="thin">
        <color theme="8"/>
      </top>
      <bottom/>
      <diagonal/>
    </border>
    <border>
      <left style="thin">
        <color theme="4"/>
      </left>
      <right/>
      <top style="thin">
        <color theme="4"/>
      </top>
      <bottom/>
      <diagonal/>
    </border>
    <border>
      <left/>
      <right style="thin">
        <color indexed="64"/>
      </right>
      <top style="thin">
        <color theme="3" tint="0.39994506668294322"/>
      </top>
      <bottom/>
      <diagonal/>
    </border>
    <border>
      <left/>
      <right style="thin">
        <color indexed="64"/>
      </right>
      <top style="thin">
        <color theme="4"/>
      </top>
      <bottom/>
      <diagonal/>
    </border>
    <border>
      <left style="thin">
        <color theme="9"/>
      </left>
      <right/>
      <top style="thin">
        <color theme="8" tint="-0.24994659260841701"/>
      </top>
      <bottom/>
      <diagonal/>
    </border>
    <border>
      <left/>
      <right style="thin">
        <color indexed="64"/>
      </right>
      <top style="thin">
        <color rgb="FF8497B0"/>
      </top>
      <bottom/>
      <diagonal/>
    </border>
    <border>
      <left/>
      <right style="thin">
        <color indexed="64"/>
      </right>
      <top style="thin">
        <color rgb="FF00B0F0"/>
      </top>
      <bottom/>
      <diagonal/>
    </border>
    <border>
      <left/>
      <right style="thin">
        <color indexed="64"/>
      </right>
      <top style="thin">
        <color theme="6"/>
      </top>
      <bottom/>
      <diagonal/>
    </border>
    <border>
      <left style="thin">
        <color theme="4"/>
      </left>
      <right/>
      <top style="thin">
        <color theme="6"/>
      </top>
      <bottom/>
      <diagonal/>
    </border>
    <border>
      <left/>
      <right style="thin">
        <color indexed="64"/>
      </right>
      <top style="thin">
        <color theme="5"/>
      </top>
      <bottom/>
      <diagonal/>
    </border>
    <border>
      <left/>
      <right style="thin">
        <color indexed="64"/>
      </right>
      <top/>
      <bottom style="thin">
        <color theme="5"/>
      </bottom>
      <diagonal/>
    </border>
    <border>
      <left/>
      <right style="thin">
        <color indexed="64"/>
      </right>
      <top/>
      <bottom style="thin">
        <color theme="4"/>
      </bottom>
      <diagonal/>
    </border>
    <border>
      <left style="thin">
        <color theme="9"/>
      </left>
      <right/>
      <top style="thin">
        <color theme="8"/>
      </top>
      <bottom/>
      <diagonal/>
    </border>
    <border>
      <left/>
      <right style="thin">
        <color theme="9"/>
      </right>
      <top style="thin">
        <color theme="8" tint="-0.24994659260841701"/>
      </top>
      <bottom/>
      <diagonal/>
    </border>
    <border>
      <left style="thin">
        <color rgb="FF8497B0"/>
      </left>
      <right/>
      <top/>
      <bottom/>
      <diagonal/>
    </border>
    <border>
      <left/>
      <right/>
      <top/>
      <bottom style="medium">
        <color rgb="FFFFFFFF"/>
      </bottom>
      <diagonal/>
    </border>
    <border>
      <left/>
      <right style="medium">
        <color rgb="FFFFFFFF"/>
      </right>
      <top/>
      <bottom style="medium">
        <color rgb="FFFFFFFF"/>
      </bottom>
      <diagonal/>
    </border>
    <border>
      <left style="medium">
        <color rgb="FFFFFFFF"/>
      </left>
      <right style="medium">
        <color rgb="FFFFFFFF"/>
      </right>
      <top/>
      <bottom style="medium">
        <color rgb="FFFFFFFF"/>
      </bottom>
      <diagonal/>
    </border>
    <border>
      <left style="medium">
        <color rgb="FFFFFFFF"/>
      </left>
      <right style="medium">
        <color rgb="FFFFFFFF"/>
      </right>
      <top/>
      <bottom/>
      <diagonal/>
    </border>
    <border>
      <left/>
      <right style="medium">
        <color rgb="FFFFFFFF"/>
      </right>
      <top/>
      <bottom/>
      <diagonal/>
    </border>
    <border>
      <left style="medium">
        <color rgb="FFFFFFFF"/>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top style="medium">
        <color rgb="FFFFFFFF"/>
      </top>
      <bottom/>
      <diagonal/>
    </border>
    <border>
      <left/>
      <right style="medium">
        <color rgb="FFFFFFFF"/>
      </right>
      <top style="medium">
        <color rgb="FFFFFFFF"/>
      </top>
      <bottom/>
      <diagonal/>
    </border>
    <border>
      <left style="medium">
        <color rgb="FFBEBEBE"/>
      </left>
      <right style="medium">
        <color rgb="FFBEBEBE"/>
      </right>
      <top style="medium">
        <color rgb="FFBEBEBE"/>
      </top>
      <bottom/>
      <diagonal/>
    </border>
    <border>
      <left style="medium">
        <color rgb="FFBEBEBE"/>
      </left>
      <right style="medium">
        <color rgb="FFBEBEBE"/>
      </right>
      <top/>
      <bottom style="medium">
        <color rgb="FFBEBEBE"/>
      </bottom>
      <diagonal/>
    </border>
    <border>
      <left/>
      <right style="medium">
        <color rgb="FFBEBEBE"/>
      </right>
      <top style="medium">
        <color rgb="FFBEBEBE"/>
      </top>
      <bottom/>
      <diagonal/>
    </border>
    <border>
      <left/>
      <right style="medium">
        <color rgb="FFBEBEBE"/>
      </right>
      <top/>
      <bottom style="medium">
        <color rgb="FFBEBEBE"/>
      </bottom>
      <diagonal/>
    </border>
    <border>
      <left style="medium">
        <color rgb="FFBEBEBE"/>
      </left>
      <right style="medium">
        <color rgb="FFBEBEBE"/>
      </right>
      <top/>
      <bottom/>
      <diagonal/>
    </border>
    <border>
      <left/>
      <right style="medium">
        <color rgb="FFBEBEBE"/>
      </right>
      <top/>
      <bottom/>
      <diagonal/>
    </border>
    <border>
      <left style="thin">
        <color indexed="64"/>
      </left>
      <right style="thin">
        <color indexed="64"/>
      </right>
      <top style="thin">
        <color indexed="64"/>
      </top>
      <bottom/>
      <diagonal/>
    </border>
    <border>
      <left/>
      <right style="thin">
        <color indexed="64"/>
      </right>
      <top style="thin">
        <color theme="5"/>
      </top>
      <bottom style="thin">
        <color theme="5"/>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20" fillId="0" borderId="0"/>
    <xf numFmtId="0" fontId="28" fillId="0" borderId="0" applyNumberFormat="0" applyFill="0" applyBorder="0" applyAlignment="0" applyProtection="0"/>
  </cellStyleXfs>
  <cellXfs count="465">
    <xf numFmtId="0" fontId="0" fillId="0" borderId="0" xfId="0"/>
    <xf numFmtId="0" fontId="0" fillId="0" borderId="0" xfId="0" applyAlignment="1">
      <alignment vertical="top" wrapText="1"/>
    </xf>
    <xf numFmtId="0" fontId="4" fillId="0" borderId="0" xfId="0" applyFont="1" applyAlignment="1">
      <alignment vertical="top"/>
    </xf>
    <xf numFmtId="0" fontId="5" fillId="0" borderId="0" xfId="0" applyFont="1" applyAlignment="1">
      <alignment vertical="top"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0" fontId="10" fillId="9" borderId="3" xfId="0" applyFont="1" applyFill="1" applyBorder="1" applyAlignment="1">
      <alignment vertical="top" wrapText="1"/>
    </xf>
    <xf numFmtId="49" fontId="4" fillId="4" borderId="0" xfId="0" applyNumberFormat="1" applyFont="1" applyFill="1" applyAlignment="1">
      <alignment vertical="top" wrapText="1"/>
    </xf>
    <xf numFmtId="0" fontId="3" fillId="14" borderId="11" xfId="0" applyFont="1" applyFill="1" applyBorder="1" applyAlignment="1">
      <alignment vertical="top" wrapText="1"/>
    </xf>
    <xf numFmtId="0" fontId="3" fillId="11" borderId="8" xfId="0" applyFont="1" applyFill="1" applyBorder="1" applyAlignment="1">
      <alignment vertical="top" wrapText="1"/>
    </xf>
    <xf numFmtId="49" fontId="4" fillId="3" borderId="0" xfId="0" applyNumberFormat="1" applyFont="1" applyFill="1" applyAlignment="1">
      <alignment vertical="top" wrapText="1"/>
    </xf>
    <xf numFmtId="0" fontId="3" fillId="15" borderId="15" xfId="0" applyFont="1" applyFill="1" applyBorder="1" applyAlignment="1">
      <alignment vertical="top" wrapText="1"/>
    </xf>
    <xf numFmtId="0" fontId="3" fillId="20" borderId="28" xfId="0" applyFont="1" applyFill="1" applyBorder="1" applyAlignment="1">
      <alignment vertical="top" wrapText="1"/>
    </xf>
    <xf numFmtId="0" fontId="3" fillId="22" borderId="25" xfId="0" applyFont="1" applyFill="1" applyBorder="1" applyAlignment="1">
      <alignment vertical="top" wrapText="1"/>
    </xf>
    <xf numFmtId="0" fontId="7" fillId="8" borderId="0" xfId="0" applyFont="1" applyFill="1" applyAlignment="1">
      <alignment vertical="top" wrapText="1"/>
    </xf>
    <xf numFmtId="0" fontId="0" fillId="0" borderId="0" xfId="0" applyAlignment="1">
      <alignment wrapText="1"/>
    </xf>
    <xf numFmtId="0" fontId="3" fillId="0" borderId="36" xfId="0" applyFont="1" applyBorder="1" applyAlignment="1">
      <alignment vertical="top" wrapText="1"/>
    </xf>
    <xf numFmtId="0" fontId="14" fillId="0" borderId="0" xfId="0" applyFont="1" applyAlignment="1">
      <alignment wrapText="1"/>
    </xf>
    <xf numFmtId="0" fontId="4" fillId="0" borderId="0" xfId="0" applyFont="1" applyAlignment="1">
      <alignment wrapText="1"/>
    </xf>
    <xf numFmtId="0" fontId="3" fillId="0" borderId="36" xfId="0" applyFont="1" applyBorder="1" applyAlignment="1">
      <alignment horizontal="center" vertical="center"/>
    </xf>
    <xf numFmtId="0" fontId="3" fillId="0" borderId="36" xfId="0" applyFont="1" applyBorder="1" applyAlignment="1">
      <alignment horizontal="center" vertical="center" wrapText="1"/>
    </xf>
    <xf numFmtId="0" fontId="8" fillId="0" borderId="36" xfId="0" applyFont="1" applyBorder="1" applyAlignment="1">
      <alignment vertical="top" wrapText="1"/>
    </xf>
    <xf numFmtId="0" fontId="10" fillId="0" borderId="36" xfId="0" applyFont="1" applyBorder="1" applyAlignment="1">
      <alignment vertical="top" wrapText="1"/>
    </xf>
    <xf numFmtId="0" fontId="0" fillId="0" borderId="36" xfId="0" applyBorder="1" applyAlignment="1">
      <alignment vertical="top" wrapText="1"/>
    </xf>
    <xf numFmtId="0" fontId="4" fillId="24" borderId="0" xfId="0" applyFont="1" applyFill="1" applyAlignment="1">
      <alignment wrapText="1"/>
    </xf>
    <xf numFmtId="0" fontId="0" fillId="24" borderId="0" xfId="0" applyFill="1" applyAlignment="1">
      <alignment wrapText="1"/>
    </xf>
    <xf numFmtId="0" fontId="4" fillId="24" borderId="0" xfId="0" applyFont="1" applyFill="1"/>
    <xf numFmtId="0" fontId="19" fillId="0" borderId="0" xfId="0" applyFont="1"/>
    <xf numFmtId="0" fontId="4" fillId="0" borderId="0" xfId="0" applyFont="1"/>
    <xf numFmtId="0" fontId="14" fillId="0" borderId="0" xfId="0" applyFont="1"/>
    <xf numFmtId="0" fontId="0" fillId="0" borderId="36" xfId="0" applyBorder="1"/>
    <xf numFmtId="0" fontId="0" fillId="0" borderId="36" xfId="0" applyBorder="1" applyAlignment="1">
      <alignment wrapText="1"/>
    </xf>
    <xf numFmtId="0" fontId="0" fillId="0" borderId="43" xfId="0" applyBorder="1"/>
    <xf numFmtId="0" fontId="14" fillId="0" borderId="44" xfId="0" applyFont="1" applyBorder="1" applyAlignment="1">
      <alignment horizontal="center"/>
    </xf>
    <xf numFmtId="0" fontId="14" fillId="0" borderId="45" xfId="0" applyFont="1" applyBorder="1" applyAlignment="1">
      <alignment horizontal="center"/>
    </xf>
    <xf numFmtId="0" fontId="14" fillId="0" borderId="46" xfId="0" applyFont="1" applyBorder="1" applyAlignment="1">
      <alignment horizontal="center" wrapText="1"/>
    </xf>
    <xf numFmtId="0" fontId="21" fillId="0" borderId="0" xfId="1" applyFont="1" applyAlignment="1">
      <alignment vertical="center"/>
    </xf>
    <xf numFmtId="0" fontId="22" fillId="0" borderId="0" xfId="1" applyFont="1" applyAlignment="1">
      <alignment horizontal="left" vertical="center"/>
    </xf>
    <xf numFmtId="0" fontId="22" fillId="0" borderId="0" xfId="1" applyFont="1" applyAlignment="1">
      <alignment vertical="center"/>
    </xf>
    <xf numFmtId="0" fontId="22" fillId="0" borderId="0" xfId="1" applyFont="1" applyAlignment="1">
      <alignment vertical="center" wrapText="1"/>
    </xf>
    <xf numFmtId="0" fontId="20" fillId="0" borderId="0" xfId="1"/>
    <xf numFmtId="0" fontId="23" fillId="0" borderId="0" xfId="1" applyFont="1" applyAlignment="1">
      <alignment horizontal="left" vertical="center"/>
    </xf>
    <xf numFmtId="0" fontId="25" fillId="0" borderId="0" xfId="1" applyFont="1" applyAlignment="1">
      <alignment horizontal="left" vertical="center"/>
    </xf>
    <xf numFmtId="0" fontId="7" fillId="25" borderId="0" xfId="1" applyFont="1" applyFill="1" applyAlignment="1">
      <alignment horizontal="center" vertical="top" wrapText="1"/>
    </xf>
    <xf numFmtId="0" fontId="7" fillId="25" borderId="0" xfId="1" applyFont="1" applyFill="1" applyAlignment="1">
      <alignment horizontal="left" vertical="top" wrapText="1"/>
    </xf>
    <xf numFmtId="0" fontId="7" fillId="25" borderId="0" xfId="1" applyFont="1" applyFill="1" applyAlignment="1">
      <alignment vertical="top" wrapText="1"/>
    </xf>
    <xf numFmtId="0" fontId="22" fillId="0" borderId="0" xfId="1" applyFont="1" applyAlignment="1">
      <alignment horizontal="center" vertical="top" wrapText="1"/>
    </xf>
    <xf numFmtId="0" fontId="22" fillId="0" borderId="0" xfId="1" applyFont="1" applyAlignment="1">
      <alignment vertical="top" wrapText="1"/>
    </xf>
    <xf numFmtId="0" fontId="22" fillId="0" borderId="0" xfId="1" applyFont="1" applyAlignment="1">
      <alignment vertical="top"/>
    </xf>
    <xf numFmtId="0" fontId="26" fillId="26" borderId="0" xfId="1" applyFont="1" applyFill="1" applyAlignment="1">
      <alignment horizontal="center" vertical="top" wrapText="1"/>
    </xf>
    <xf numFmtId="0" fontId="22" fillId="0" borderId="0" xfId="1" applyFont="1" applyAlignment="1">
      <alignment horizontal="left" vertical="top" wrapText="1"/>
    </xf>
    <xf numFmtId="0" fontId="22" fillId="0" borderId="0" xfId="1" applyFont="1" applyAlignment="1">
      <alignment horizontal="center" vertical="center"/>
    </xf>
    <xf numFmtId="0" fontId="22" fillId="0" borderId="0" xfId="1" applyFont="1" applyAlignment="1">
      <alignment horizontal="left" vertical="center" wrapText="1"/>
    </xf>
    <xf numFmtId="0" fontId="22" fillId="0" borderId="0" xfId="1" applyFont="1" applyAlignment="1">
      <alignment horizontal="center" vertical="center" wrapText="1"/>
    </xf>
    <xf numFmtId="0" fontId="27" fillId="26" borderId="0" xfId="1" applyFont="1" applyFill="1" applyAlignment="1">
      <alignment horizontal="center" vertical="center" wrapText="1"/>
    </xf>
    <xf numFmtId="0" fontId="0" fillId="0" borderId="43" xfId="0" applyBorder="1" applyAlignment="1">
      <alignment wrapText="1"/>
    </xf>
    <xf numFmtId="0" fontId="14" fillId="0" borderId="45" xfId="0" applyFont="1" applyBorder="1" applyAlignment="1">
      <alignment horizontal="center" wrapText="1"/>
    </xf>
    <xf numFmtId="0" fontId="0" fillId="27" borderId="0" xfId="0" applyFill="1"/>
    <xf numFmtId="0" fontId="3" fillId="0" borderId="0" xfId="0" applyFont="1" applyAlignment="1">
      <alignment wrapText="1"/>
    </xf>
    <xf numFmtId="0" fontId="5" fillId="0" borderId="0" xfId="0" applyFont="1" applyAlignment="1">
      <alignment wrapText="1"/>
    </xf>
    <xf numFmtId="49" fontId="15" fillId="0" borderId="0" xfId="0" applyNumberFormat="1" applyFont="1" applyAlignment="1">
      <alignment horizontal="left" vertical="center"/>
    </xf>
    <xf numFmtId="0" fontId="16" fillId="0" borderId="0" xfId="0" applyFont="1" applyAlignment="1">
      <alignment horizontal="right" vertical="center"/>
    </xf>
    <xf numFmtId="0" fontId="16" fillId="0" borderId="0" xfId="0" applyFont="1" applyAlignment="1">
      <alignment vertical="center" wrapText="1"/>
    </xf>
    <xf numFmtId="0" fontId="3" fillId="0" borderId="0" xfId="0" applyFont="1" applyAlignment="1">
      <alignment vertical="center"/>
    </xf>
    <xf numFmtId="0" fontId="0" fillId="0" borderId="0" xfId="0" applyAlignment="1">
      <alignment vertical="center"/>
    </xf>
    <xf numFmtId="49" fontId="15" fillId="0" borderId="0" xfId="0" applyNumberFormat="1" applyFont="1" applyAlignment="1">
      <alignment horizontal="center" vertical="center" wrapText="1"/>
    </xf>
    <xf numFmtId="49" fontId="15" fillId="0" borderId="0" xfId="0" applyNumberFormat="1" applyFont="1" applyAlignment="1">
      <alignment horizontal="right" vertical="center"/>
    </xf>
    <xf numFmtId="0" fontId="17" fillId="24" borderId="36" xfId="0" applyFont="1" applyFill="1" applyBorder="1" applyAlignment="1">
      <alignment vertical="center" wrapText="1"/>
    </xf>
    <xf numFmtId="0" fontId="17" fillId="0" borderId="0" xfId="0" applyFont="1" applyAlignment="1">
      <alignment vertical="center" wrapText="1"/>
    </xf>
    <xf numFmtId="49" fontId="4" fillId="0" borderId="0" xfId="0" applyNumberFormat="1" applyFont="1" applyAlignment="1">
      <alignment horizontal="center" vertical="center" wrapText="1"/>
    </xf>
    <xf numFmtId="0" fontId="3" fillId="0" borderId="0" xfId="0" applyFont="1" applyAlignment="1">
      <alignment horizontal="right" vertical="center"/>
    </xf>
    <xf numFmtId="49" fontId="3" fillId="0" borderId="0" xfId="0" applyNumberFormat="1" applyFont="1" applyAlignment="1">
      <alignment vertical="center" wrapText="1"/>
    </xf>
    <xf numFmtId="0" fontId="4" fillId="18" borderId="0" xfId="0" applyFont="1" applyFill="1" applyAlignment="1">
      <alignment vertical="top" wrapText="1"/>
    </xf>
    <xf numFmtId="0" fontId="5" fillId="18" borderId="0" xfId="0" applyFont="1" applyFill="1" applyAlignment="1">
      <alignment vertical="top" wrapText="1"/>
    </xf>
    <xf numFmtId="49" fontId="5" fillId="18" borderId="0" xfId="0" applyNumberFormat="1" applyFont="1" applyFill="1" applyAlignment="1">
      <alignment vertical="top" wrapText="1"/>
    </xf>
    <xf numFmtId="0" fontId="5" fillId="18" borderId="36" xfId="0" applyFont="1" applyFill="1" applyBorder="1" applyAlignment="1">
      <alignment vertical="top" wrapText="1"/>
    </xf>
    <xf numFmtId="0" fontId="5" fillId="0" borderId="36" xfId="0" applyFont="1" applyBorder="1" applyAlignment="1">
      <alignment vertical="top" wrapText="1"/>
    </xf>
    <xf numFmtId="0" fontId="4" fillId="0" borderId="36" xfId="0" applyFont="1" applyBorder="1" applyAlignment="1">
      <alignment vertical="top" wrapText="1"/>
    </xf>
    <xf numFmtId="0" fontId="4" fillId="18" borderId="36" xfId="0" applyFont="1" applyFill="1" applyBorder="1" applyAlignment="1">
      <alignment vertical="top" wrapText="1"/>
    </xf>
    <xf numFmtId="0" fontId="4" fillId="0" borderId="0" xfId="0" applyFont="1" applyAlignment="1">
      <alignment vertical="top" wrapText="1"/>
    </xf>
    <xf numFmtId="49" fontId="4" fillId="2" borderId="1" xfId="0" applyNumberFormat="1" applyFont="1" applyFill="1" applyBorder="1" applyAlignment="1">
      <alignment vertical="top" wrapText="1"/>
    </xf>
    <xf numFmtId="0" fontId="3" fillId="9" borderId="4" xfId="0" applyFont="1" applyFill="1" applyBorder="1" applyAlignment="1">
      <alignment vertical="top" wrapText="1"/>
    </xf>
    <xf numFmtId="49" fontId="3" fillId="10" borderId="4" xfId="0" applyNumberFormat="1" applyFont="1" applyFill="1" applyBorder="1" applyAlignment="1">
      <alignment vertical="top" wrapText="1"/>
    </xf>
    <xf numFmtId="0" fontId="3" fillId="10" borderId="71" xfId="0" applyFont="1" applyFill="1" applyBorder="1" applyAlignment="1">
      <alignment vertical="top" wrapText="1"/>
    </xf>
    <xf numFmtId="0" fontId="3" fillId="18" borderId="36" xfId="0" applyFont="1" applyFill="1" applyBorder="1" applyAlignment="1">
      <alignment vertical="top" wrapText="1"/>
    </xf>
    <xf numFmtId="0" fontId="0" fillId="18" borderId="36" xfId="0" applyFill="1" applyBorder="1" applyAlignment="1">
      <alignment vertical="top" wrapText="1"/>
    </xf>
    <xf numFmtId="0" fontId="29" fillId="9" borderId="4" xfId="0" applyFont="1" applyFill="1" applyBorder="1" applyAlignment="1">
      <alignment vertical="top" wrapText="1"/>
    </xf>
    <xf numFmtId="0" fontId="30" fillId="9" borderId="3" xfId="0" applyFont="1" applyFill="1" applyBorder="1" applyAlignment="1">
      <alignment vertical="top" wrapText="1"/>
    </xf>
    <xf numFmtId="49" fontId="29" fillId="10" borderId="6" xfId="0" applyNumberFormat="1" applyFont="1" applyFill="1" applyBorder="1" applyAlignment="1">
      <alignment vertical="top" wrapText="1"/>
    </xf>
    <xf numFmtId="0" fontId="1" fillId="18" borderId="36" xfId="0" applyFont="1" applyFill="1" applyBorder="1" applyAlignment="1">
      <alignment vertical="top" wrapText="1"/>
    </xf>
    <xf numFmtId="49" fontId="29" fillId="10" borderId="4" xfId="0" applyNumberFormat="1" applyFont="1" applyFill="1" applyBorder="1" applyAlignment="1">
      <alignment vertical="top" wrapText="1"/>
    </xf>
    <xf numFmtId="49" fontId="29" fillId="10" borderId="5" xfId="0" applyNumberFormat="1" applyFont="1" applyFill="1" applyBorder="1" applyAlignment="1">
      <alignment vertical="top" wrapText="1"/>
    </xf>
    <xf numFmtId="0" fontId="3" fillId="9" borderId="3" xfId="0" applyFont="1" applyFill="1" applyBorder="1" applyAlignment="1">
      <alignment vertical="top" wrapText="1"/>
    </xf>
    <xf numFmtId="0" fontId="29" fillId="9" borderId="3" xfId="0" applyFont="1" applyFill="1" applyBorder="1" applyAlignment="1">
      <alignment vertical="top" wrapText="1"/>
    </xf>
    <xf numFmtId="49" fontId="3" fillId="10" borderId="2" xfId="0" applyNumberFormat="1" applyFont="1" applyFill="1" applyBorder="1" applyAlignment="1">
      <alignment vertical="top" wrapText="1"/>
    </xf>
    <xf numFmtId="0" fontId="3" fillId="10" borderId="7" xfId="0" applyFont="1" applyFill="1" applyBorder="1" applyAlignment="1">
      <alignment vertical="top" wrapText="1"/>
    </xf>
    <xf numFmtId="49" fontId="4" fillId="7" borderId="0" xfId="0" applyNumberFormat="1" applyFont="1" applyFill="1" applyAlignment="1">
      <alignment vertical="top" wrapText="1"/>
    </xf>
    <xf numFmtId="0" fontId="3" fillId="20" borderId="29" xfId="0" applyFont="1" applyFill="1" applyBorder="1" applyAlignment="1">
      <alignment vertical="top" wrapText="1"/>
    </xf>
    <xf numFmtId="0" fontId="3" fillId="21" borderId="29" xfId="0" applyFont="1" applyFill="1" applyBorder="1" applyAlignment="1">
      <alignment vertical="top" wrapText="1"/>
    </xf>
    <xf numFmtId="0" fontId="3" fillId="29" borderId="71" xfId="0" applyFont="1" applyFill="1" applyBorder="1" applyAlignment="1">
      <alignment vertical="top" wrapText="1"/>
    </xf>
    <xf numFmtId="0" fontId="31" fillId="20" borderId="29" xfId="0" applyFont="1" applyFill="1" applyBorder="1" applyAlignment="1">
      <alignment vertical="top" wrapText="1"/>
    </xf>
    <xf numFmtId="0" fontId="31" fillId="20" borderId="28" xfId="0" applyFont="1" applyFill="1" applyBorder="1" applyAlignment="1">
      <alignment vertical="top" wrapText="1"/>
    </xf>
    <xf numFmtId="0" fontId="31" fillId="21" borderId="30" xfId="0" applyFont="1" applyFill="1" applyBorder="1" applyAlignment="1">
      <alignment vertical="top" wrapText="1"/>
    </xf>
    <xf numFmtId="0" fontId="31" fillId="21" borderId="60" xfId="0" applyFont="1" applyFill="1" applyBorder="1" applyAlignment="1">
      <alignment vertical="top" wrapText="1"/>
    </xf>
    <xf numFmtId="0" fontId="31" fillId="21" borderId="31" xfId="0" applyFont="1" applyFill="1" applyBorder="1" applyAlignment="1">
      <alignment vertical="top" wrapText="1"/>
    </xf>
    <xf numFmtId="0" fontId="31" fillId="21" borderId="73" xfId="0" applyFont="1" applyFill="1" applyBorder="1" applyAlignment="1">
      <alignment vertical="top" wrapText="1"/>
    </xf>
    <xf numFmtId="49" fontId="3" fillId="21" borderId="63" xfId="0" applyNumberFormat="1" applyFont="1" applyFill="1" applyBorder="1" applyAlignment="1">
      <alignment vertical="top" wrapText="1"/>
    </xf>
    <xf numFmtId="0" fontId="3" fillId="21" borderId="65" xfId="0" applyFont="1" applyFill="1" applyBorder="1" applyAlignment="1">
      <alignment vertical="top" wrapText="1"/>
    </xf>
    <xf numFmtId="49" fontId="31" fillId="21" borderId="30" xfId="0" applyNumberFormat="1" applyFont="1" applyFill="1" applyBorder="1" applyAlignment="1">
      <alignment vertical="top" wrapText="1"/>
    </xf>
    <xf numFmtId="49" fontId="31" fillId="21" borderId="31" xfId="0" applyNumberFormat="1" applyFont="1" applyFill="1" applyBorder="1" applyAlignment="1">
      <alignment vertical="top" wrapText="1"/>
    </xf>
    <xf numFmtId="0" fontId="3" fillId="21" borderId="63" xfId="0" applyFont="1" applyFill="1" applyBorder="1" applyAlignment="1">
      <alignment vertical="top" wrapText="1"/>
    </xf>
    <xf numFmtId="0" fontId="31" fillId="21" borderId="63" xfId="0" applyFont="1" applyFill="1" applyBorder="1" applyAlignment="1">
      <alignment vertical="top" wrapText="1"/>
    </xf>
    <xf numFmtId="0" fontId="31" fillId="21" borderId="65" xfId="0" applyFont="1" applyFill="1" applyBorder="1" applyAlignment="1">
      <alignment vertical="top" wrapText="1"/>
    </xf>
    <xf numFmtId="0" fontId="3" fillId="20" borderId="33" xfId="0" applyFont="1" applyFill="1" applyBorder="1" applyAlignment="1">
      <alignment vertical="top" wrapText="1"/>
    </xf>
    <xf numFmtId="0" fontId="3" fillId="20" borderId="32" xfId="0" applyFont="1" applyFill="1" applyBorder="1" applyAlignment="1">
      <alignment vertical="top" wrapText="1"/>
    </xf>
    <xf numFmtId="49" fontId="3" fillId="21" borderId="22" xfId="0" applyNumberFormat="1" applyFont="1" applyFill="1" applyBorder="1" applyAlignment="1">
      <alignment vertical="top" wrapText="1"/>
    </xf>
    <xf numFmtId="0" fontId="3" fillId="21" borderId="22" xfId="0" applyFont="1" applyFill="1" applyBorder="1" applyAlignment="1">
      <alignment vertical="top" wrapText="1"/>
    </xf>
    <xf numFmtId="0" fontId="31" fillId="20" borderId="33" xfId="0" applyFont="1" applyFill="1" applyBorder="1" applyAlignment="1">
      <alignment vertical="top" wrapText="1"/>
    </xf>
    <xf numFmtId="0" fontId="31" fillId="20" borderId="32" xfId="0" applyFont="1" applyFill="1" applyBorder="1" applyAlignment="1">
      <alignment vertical="top" wrapText="1"/>
    </xf>
    <xf numFmtId="49" fontId="31" fillId="21" borderId="63" xfId="0" applyNumberFormat="1" applyFont="1" applyFill="1" applyBorder="1" applyAlignment="1">
      <alignment vertical="top" wrapText="1"/>
    </xf>
    <xf numFmtId="49" fontId="3" fillId="21" borderId="70" xfId="0" applyNumberFormat="1" applyFont="1" applyFill="1" applyBorder="1" applyAlignment="1">
      <alignment vertical="top" wrapText="1"/>
    </xf>
    <xf numFmtId="0" fontId="3" fillId="21" borderId="69" xfId="0" applyFont="1" applyFill="1" applyBorder="1" applyAlignment="1">
      <alignment vertical="top" wrapText="1"/>
    </xf>
    <xf numFmtId="49" fontId="31" fillId="21" borderId="70" xfId="0" applyNumberFormat="1" applyFont="1" applyFill="1" applyBorder="1" applyAlignment="1">
      <alignment vertical="top" wrapText="1"/>
    </xf>
    <xf numFmtId="0" fontId="31" fillId="21" borderId="69" xfId="0" applyFont="1" applyFill="1" applyBorder="1" applyAlignment="1">
      <alignment vertical="top" wrapText="1"/>
    </xf>
    <xf numFmtId="0" fontId="3" fillId="11" borderId="9" xfId="0" applyFont="1" applyFill="1" applyBorder="1" applyAlignment="1">
      <alignment vertical="top" wrapText="1"/>
    </xf>
    <xf numFmtId="49" fontId="3" fillId="12" borderId="9" xfId="0" applyNumberFormat="1" applyFont="1" applyFill="1" applyBorder="1" applyAlignment="1">
      <alignment vertical="top" wrapText="1"/>
    </xf>
    <xf numFmtId="0" fontId="3" fillId="12" borderId="69" xfId="0" applyFont="1" applyFill="1" applyBorder="1" applyAlignment="1">
      <alignment vertical="top" wrapText="1"/>
    </xf>
    <xf numFmtId="0" fontId="10" fillId="18" borderId="36" xfId="0" applyFont="1" applyFill="1" applyBorder="1" applyAlignment="1">
      <alignment vertical="top" wrapText="1"/>
    </xf>
    <xf numFmtId="0" fontId="32" fillId="11" borderId="9" xfId="0" applyFont="1" applyFill="1" applyBorder="1" applyAlignment="1">
      <alignment vertical="top" wrapText="1"/>
    </xf>
    <xf numFmtId="49" fontId="32" fillId="12" borderId="9" xfId="0" applyNumberFormat="1" applyFont="1" applyFill="1" applyBorder="1" applyAlignment="1">
      <alignment vertical="top" wrapText="1"/>
    </xf>
    <xf numFmtId="0" fontId="3" fillId="14" borderId="10" xfId="0" applyFont="1" applyFill="1" applyBorder="1" applyAlignment="1">
      <alignment vertical="top" wrapText="1"/>
    </xf>
    <xf numFmtId="49" fontId="3" fillId="13" borderId="12" xfId="0" applyNumberFormat="1" applyFont="1" applyFill="1" applyBorder="1" applyAlignment="1">
      <alignment vertical="top" wrapText="1"/>
    </xf>
    <xf numFmtId="0" fontId="3" fillId="13" borderId="13" xfId="0" applyFont="1" applyFill="1" applyBorder="1" applyAlignment="1">
      <alignment vertical="top" wrapText="1"/>
    </xf>
    <xf numFmtId="49" fontId="3" fillId="13" borderId="10" xfId="0" applyNumberFormat="1" applyFont="1" applyFill="1" applyBorder="1" applyAlignment="1">
      <alignment vertical="top" wrapText="1"/>
    </xf>
    <xf numFmtId="0" fontId="3" fillId="13" borderId="68" xfId="0" applyFont="1" applyFill="1" applyBorder="1" applyAlignment="1">
      <alignment vertical="top" wrapText="1"/>
    </xf>
    <xf numFmtId="0" fontId="34" fillId="14" borderId="10" xfId="0" applyFont="1" applyFill="1" applyBorder="1" applyAlignment="1">
      <alignment vertical="top" wrapText="1"/>
    </xf>
    <xf numFmtId="0" fontId="34" fillId="14" borderId="11" xfId="0" applyFont="1" applyFill="1" applyBorder="1" applyAlignment="1">
      <alignment vertical="top" wrapText="1"/>
    </xf>
    <xf numFmtId="49" fontId="34" fillId="13" borderId="10" xfId="0" applyNumberFormat="1" applyFont="1" applyFill="1" applyBorder="1" applyAlignment="1">
      <alignment vertical="top" wrapText="1"/>
    </xf>
    <xf numFmtId="0" fontId="34" fillId="13" borderId="68" xfId="0" applyFont="1" applyFill="1" applyBorder="1" applyAlignment="1">
      <alignment vertical="top" wrapText="1"/>
    </xf>
    <xf numFmtId="49" fontId="4" fillId="5" borderId="0" xfId="0" applyNumberFormat="1" applyFont="1" applyFill="1" applyAlignment="1">
      <alignment vertical="top" wrapText="1"/>
    </xf>
    <xf numFmtId="0" fontId="3" fillId="15" borderId="16" xfId="0" applyFont="1" applyFill="1" applyBorder="1" applyAlignment="1">
      <alignment vertical="top" wrapText="1"/>
    </xf>
    <xf numFmtId="49" fontId="3" fillId="16" borderId="14" xfId="0" applyNumberFormat="1" applyFont="1" applyFill="1" applyBorder="1" applyAlignment="1">
      <alignment vertical="top" wrapText="1"/>
    </xf>
    <xf numFmtId="0" fontId="6" fillId="16" borderId="37" xfId="0" applyFont="1" applyFill="1" applyBorder="1" applyAlignment="1">
      <alignment vertical="top" wrapText="1"/>
    </xf>
    <xf numFmtId="0" fontId="3" fillId="15" borderId="17" xfId="0" applyFont="1" applyFill="1" applyBorder="1" applyAlignment="1">
      <alignment vertical="top" wrapText="1"/>
    </xf>
    <xf numFmtId="0" fontId="3" fillId="15" borderId="18" xfId="0" applyFont="1" applyFill="1" applyBorder="1" applyAlignment="1">
      <alignment vertical="top" wrapText="1"/>
    </xf>
    <xf numFmtId="49" fontId="3" fillId="16" borderId="17" xfId="0" applyNumberFormat="1" applyFont="1" applyFill="1" applyBorder="1" applyAlignment="1">
      <alignment vertical="top" wrapText="1"/>
    </xf>
    <xf numFmtId="0" fontId="3" fillId="16" borderId="62" xfId="0" applyFont="1" applyFill="1" applyBorder="1" applyAlignment="1">
      <alignment vertical="top" wrapText="1"/>
    </xf>
    <xf numFmtId="0" fontId="35" fillId="15" borderId="17" xfId="0" applyFont="1" applyFill="1" applyBorder="1" applyAlignment="1">
      <alignment vertical="top" wrapText="1"/>
    </xf>
    <xf numFmtId="0" fontId="35" fillId="15" borderId="18" xfId="0" applyFont="1" applyFill="1" applyBorder="1" applyAlignment="1">
      <alignment vertical="top" wrapText="1"/>
    </xf>
    <xf numFmtId="49" fontId="35" fillId="16" borderId="17" xfId="0" applyNumberFormat="1" applyFont="1" applyFill="1" applyBorder="1" applyAlignment="1">
      <alignment vertical="top" wrapText="1"/>
    </xf>
    <xf numFmtId="0" fontId="3" fillId="15" borderId="34" xfId="0" applyFont="1" applyFill="1" applyBorder="1" applyAlignment="1">
      <alignment vertical="top" wrapText="1"/>
    </xf>
    <xf numFmtId="0" fontId="3" fillId="15" borderId="35" xfId="0" applyFont="1" applyFill="1" applyBorder="1" applyAlignment="1">
      <alignment vertical="top" wrapText="1"/>
    </xf>
    <xf numFmtId="0" fontId="35" fillId="15" borderId="34" xfId="0" applyFont="1" applyFill="1" applyBorder="1" applyAlignment="1">
      <alignment vertical="top" wrapText="1"/>
    </xf>
    <xf numFmtId="0" fontId="35" fillId="15" borderId="35" xfId="0" applyFont="1" applyFill="1" applyBorder="1" applyAlignment="1">
      <alignment vertical="top" wrapText="1"/>
    </xf>
    <xf numFmtId="49" fontId="4" fillId="6" borderId="0" xfId="0" applyNumberFormat="1" applyFont="1" applyFill="1" applyAlignment="1">
      <alignment vertical="top" wrapText="1"/>
    </xf>
    <xf numFmtId="0" fontId="3" fillId="18" borderId="66" xfId="0" applyFont="1" applyFill="1" applyBorder="1" applyAlignment="1">
      <alignment vertical="top" wrapText="1"/>
    </xf>
    <xf numFmtId="0" fontId="3" fillId="18" borderId="75" xfId="0" applyFont="1" applyFill="1" applyBorder="1" applyAlignment="1">
      <alignment vertical="top" wrapText="1"/>
    </xf>
    <xf numFmtId="49" fontId="3" fillId="17" borderId="74" xfId="0" applyNumberFormat="1" applyFont="1" applyFill="1" applyBorder="1" applyAlignment="1">
      <alignment vertical="top" wrapText="1"/>
    </xf>
    <xf numFmtId="0" fontId="3" fillId="17" borderId="62" xfId="0" applyFont="1" applyFill="1" applyBorder="1" applyAlignment="1">
      <alignment vertical="top" wrapText="1"/>
    </xf>
    <xf numFmtId="0" fontId="36" fillId="18" borderId="66" xfId="0" applyFont="1" applyFill="1" applyBorder="1" applyAlignment="1">
      <alignment vertical="top" wrapText="1"/>
    </xf>
    <xf numFmtId="0" fontId="36" fillId="18" borderId="75" xfId="0" applyFont="1" applyFill="1" applyBorder="1" applyAlignment="1">
      <alignment vertical="top" wrapText="1"/>
    </xf>
    <xf numFmtId="49" fontId="36" fillId="17" borderId="74" xfId="0" applyNumberFormat="1" applyFont="1" applyFill="1" applyBorder="1" applyAlignment="1">
      <alignment vertical="top" wrapText="1"/>
    </xf>
    <xf numFmtId="49" fontId="3" fillId="17" borderId="19" xfId="0" applyNumberFormat="1" applyFont="1" applyFill="1" applyBorder="1" applyAlignment="1">
      <alignment vertical="top" wrapText="1"/>
    </xf>
    <xf numFmtId="0" fontId="3" fillId="17" borderId="61" xfId="0" applyFont="1" applyFill="1" applyBorder="1" applyAlignment="1">
      <alignment vertical="top" wrapText="1"/>
    </xf>
    <xf numFmtId="49" fontId="36" fillId="17" borderId="19" xfId="0" applyNumberFormat="1" applyFont="1" applyFill="1" applyBorder="1" applyAlignment="1">
      <alignment vertical="top" wrapText="1"/>
    </xf>
    <xf numFmtId="0" fontId="6" fillId="17" borderId="61" xfId="0" applyFont="1" applyFill="1" applyBorder="1" applyAlignment="1">
      <alignment vertical="top" wrapText="1"/>
    </xf>
    <xf numFmtId="0" fontId="9" fillId="18" borderId="36" xfId="0" applyFont="1" applyFill="1" applyBorder="1" applyAlignment="1">
      <alignment vertical="top" wrapText="1"/>
    </xf>
    <xf numFmtId="0" fontId="10" fillId="17" borderId="61" xfId="0" applyFont="1" applyFill="1" applyBorder="1" applyAlignment="1">
      <alignment vertical="top" wrapText="1"/>
    </xf>
    <xf numFmtId="0" fontId="3" fillId="17" borderId="19" xfId="0" applyFont="1" applyFill="1" applyBorder="1" applyAlignment="1">
      <alignment vertical="top" wrapText="1"/>
    </xf>
    <xf numFmtId="0" fontId="36" fillId="17" borderId="19" xfId="0" applyFont="1" applyFill="1" applyBorder="1" applyAlignment="1">
      <alignment vertical="top" wrapText="1"/>
    </xf>
    <xf numFmtId="0" fontId="11" fillId="17" borderId="61" xfId="0" applyFont="1" applyFill="1" applyBorder="1" applyAlignment="1">
      <alignment vertical="top" wrapText="1"/>
    </xf>
    <xf numFmtId="49" fontId="3" fillId="17" borderId="20" xfId="0" applyNumberFormat="1" applyFont="1" applyFill="1" applyBorder="1" applyAlignment="1">
      <alignment vertical="top" wrapText="1"/>
    </xf>
    <xf numFmtId="0" fontId="3" fillId="17" borderId="21" xfId="0" applyFont="1" applyFill="1" applyBorder="1" applyAlignment="1">
      <alignment vertical="top" wrapText="1"/>
    </xf>
    <xf numFmtId="0" fontId="3" fillId="19" borderId="27" xfId="0" applyFont="1" applyFill="1" applyBorder="1" applyAlignment="1">
      <alignment vertical="top" wrapText="1"/>
    </xf>
    <xf numFmtId="0" fontId="3" fillId="23" borderId="26" xfId="0" applyFont="1" applyFill="1" applyBorder="1" applyAlignment="1">
      <alignment vertical="top" wrapText="1"/>
    </xf>
    <xf numFmtId="0" fontId="3" fillId="23" borderId="64" xfId="0" applyFont="1" applyFill="1" applyBorder="1" applyAlignment="1">
      <alignment vertical="top" wrapText="1"/>
    </xf>
    <xf numFmtId="0" fontId="33" fillId="19" borderId="27" xfId="0" applyFont="1" applyFill="1" applyBorder="1" applyAlignment="1">
      <alignment vertical="top" wrapText="1"/>
    </xf>
    <xf numFmtId="0" fontId="33" fillId="19" borderId="25" xfId="0" applyFont="1" applyFill="1" applyBorder="1" applyAlignment="1">
      <alignment vertical="top" wrapText="1"/>
    </xf>
    <xf numFmtId="0" fontId="33" fillId="23" borderId="26" xfId="0" applyFont="1" applyFill="1" applyBorder="1" applyAlignment="1">
      <alignment vertical="top" wrapText="1"/>
    </xf>
    <xf numFmtId="0" fontId="3" fillId="23" borderId="27" xfId="0" applyFont="1" applyFill="1" applyBorder="1" applyAlignment="1">
      <alignment vertical="top" wrapText="1"/>
    </xf>
    <xf numFmtId="0" fontId="33" fillId="22" borderId="25" xfId="0" applyFont="1" applyFill="1" applyBorder="1" applyAlignment="1">
      <alignment vertical="top" wrapText="1"/>
    </xf>
    <xf numFmtId="0" fontId="3" fillId="23" borderId="23" xfId="0" applyFont="1" applyFill="1" applyBorder="1" applyAlignment="1">
      <alignment vertical="top" wrapText="1"/>
    </xf>
    <xf numFmtId="0" fontId="3" fillId="23" borderId="67" xfId="0" applyFont="1" applyFill="1" applyBorder="1" applyAlignment="1">
      <alignment vertical="top" wrapText="1"/>
    </xf>
    <xf numFmtId="0" fontId="33" fillId="23" borderId="23" xfId="0" applyFont="1" applyFill="1" applyBorder="1" applyAlignment="1">
      <alignment vertical="top" wrapText="1"/>
    </xf>
    <xf numFmtId="0" fontId="6" fillId="18" borderId="36" xfId="0" applyFont="1" applyFill="1" applyBorder="1" applyAlignment="1">
      <alignment vertical="top" wrapText="1"/>
    </xf>
    <xf numFmtId="0" fontId="3" fillId="23" borderId="38" xfId="0" applyFont="1" applyFill="1" applyBorder="1" applyAlignment="1">
      <alignment vertical="top" wrapText="1"/>
    </xf>
    <xf numFmtId="0" fontId="3" fillId="23" borderId="24" xfId="0" applyFont="1" applyFill="1" applyBorder="1" applyAlignment="1">
      <alignment vertical="top" wrapText="1"/>
    </xf>
    <xf numFmtId="0" fontId="3" fillId="23" borderId="39" xfId="0" applyFont="1" applyFill="1" applyBorder="1" applyAlignment="1">
      <alignment vertical="top" wrapText="1"/>
    </xf>
    <xf numFmtId="0" fontId="37" fillId="10" borderId="72" xfId="0" applyFont="1" applyFill="1" applyBorder="1" applyAlignment="1">
      <alignment vertical="top" wrapText="1"/>
    </xf>
    <xf numFmtId="0" fontId="37" fillId="10" borderId="71" xfId="0" applyFont="1" applyFill="1" applyBorder="1" applyAlignment="1">
      <alignment vertical="top" wrapText="1"/>
    </xf>
    <xf numFmtId="0" fontId="37" fillId="10" borderId="60" xfId="0" applyFont="1" applyFill="1" applyBorder="1" applyAlignment="1">
      <alignment vertical="top" wrapText="1"/>
    </xf>
    <xf numFmtId="0" fontId="34" fillId="11" borderId="8" xfId="0" applyFont="1" applyFill="1" applyBorder="1" applyAlignment="1">
      <alignment vertical="top" wrapText="1"/>
    </xf>
    <xf numFmtId="0" fontId="33" fillId="12" borderId="69" xfId="0" applyFont="1" applyFill="1" applyBorder="1" applyAlignment="1">
      <alignment vertical="top" wrapText="1"/>
    </xf>
    <xf numFmtId="0" fontId="33" fillId="16" borderId="62" xfId="0" applyFont="1" applyFill="1" applyBorder="1" applyAlignment="1">
      <alignment vertical="top" wrapText="1"/>
    </xf>
    <xf numFmtId="0" fontId="33" fillId="17" borderId="62" xfId="0" applyFont="1" applyFill="1" applyBorder="1" applyAlignment="1">
      <alignment vertical="top" wrapText="1"/>
    </xf>
    <xf numFmtId="0" fontId="33" fillId="17" borderId="61" xfId="0" applyFont="1" applyFill="1" applyBorder="1" applyAlignment="1">
      <alignment vertical="top" wrapText="1"/>
    </xf>
    <xf numFmtId="0" fontId="38" fillId="17" borderId="61" xfId="0" applyFont="1" applyFill="1" applyBorder="1" applyAlignment="1">
      <alignment vertical="top" wrapText="1"/>
    </xf>
    <xf numFmtId="0" fontId="39" fillId="23" borderId="64" xfId="0" applyFont="1" applyFill="1" applyBorder="1" applyAlignment="1">
      <alignment vertical="top" wrapText="1"/>
    </xf>
    <xf numFmtId="0" fontId="39" fillId="23" borderId="67" xfId="0" applyFont="1" applyFill="1" applyBorder="1" applyAlignment="1">
      <alignment vertical="top" wrapText="1"/>
    </xf>
    <xf numFmtId="0" fontId="39" fillId="23" borderId="38" xfId="0" applyFont="1" applyFill="1" applyBorder="1" applyAlignment="1">
      <alignment vertical="top" wrapText="1"/>
    </xf>
    <xf numFmtId="0" fontId="3" fillId="27" borderId="36" xfId="0" applyFont="1" applyFill="1" applyBorder="1" applyAlignment="1">
      <alignment vertical="top" wrapText="1"/>
    </xf>
    <xf numFmtId="0" fontId="3" fillId="9" borderId="36" xfId="0" applyFont="1" applyFill="1" applyBorder="1" applyAlignment="1">
      <alignment vertical="top" wrapText="1"/>
    </xf>
    <xf numFmtId="0" fontId="3" fillId="15" borderId="36" xfId="0" applyFont="1" applyFill="1" applyBorder="1" applyAlignment="1">
      <alignment vertical="top" wrapText="1"/>
    </xf>
    <xf numFmtId="0" fontId="1" fillId="0" borderId="36" xfId="0" applyFont="1" applyBorder="1" applyAlignment="1">
      <alignment vertical="top" wrapText="1"/>
    </xf>
    <xf numFmtId="0" fontId="8" fillId="0" borderId="0" xfId="0" applyFont="1" applyAlignment="1">
      <alignment vertical="center"/>
    </xf>
    <xf numFmtId="0" fontId="8" fillId="18" borderId="36" xfId="0" applyFont="1" applyFill="1" applyBorder="1" applyAlignment="1">
      <alignment vertical="top" wrapText="1"/>
    </xf>
    <xf numFmtId="0" fontId="39" fillId="23" borderId="26" xfId="0" applyFont="1" applyFill="1" applyBorder="1" applyAlignment="1">
      <alignment vertical="top" wrapText="1"/>
    </xf>
    <xf numFmtId="0" fontId="39" fillId="23" borderId="27" xfId="0" applyFont="1" applyFill="1" applyBorder="1" applyAlignment="1">
      <alignment vertical="top" wrapText="1"/>
    </xf>
    <xf numFmtId="0" fontId="6" fillId="9" borderId="36" xfId="0" applyFont="1" applyFill="1" applyBorder="1" applyAlignment="1">
      <alignment vertical="top" wrapText="1"/>
    </xf>
    <xf numFmtId="0" fontId="10" fillId="9" borderId="36" xfId="0" applyFont="1" applyFill="1" applyBorder="1" applyAlignment="1">
      <alignment vertical="top" wrapText="1"/>
    </xf>
    <xf numFmtId="0" fontId="3" fillId="30" borderId="36" xfId="0" applyFont="1" applyFill="1" applyBorder="1" applyAlignment="1">
      <alignment vertical="top" wrapText="1"/>
    </xf>
    <xf numFmtId="0" fontId="6" fillId="0" borderId="36" xfId="0" applyFont="1" applyBorder="1" applyAlignment="1">
      <alignment vertical="top" wrapText="1"/>
    </xf>
    <xf numFmtId="0" fontId="10" fillId="30" borderId="36" xfId="0" applyFont="1" applyFill="1" applyBorder="1" applyAlignment="1">
      <alignment vertical="top" wrapText="1"/>
    </xf>
    <xf numFmtId="4" fontId="0" fillId="0" borderId="36" xfId="0" applyNumberFormat="1" applyBorder="1" applyAlignment="1">
      <alignment vertical="top" wrapText="1"/>
    </xf>
    <xf numFmtId="4" fontId="8" fillId="0" borderId="36" xfId="0" applyNumberFormat="1" applyFont="1" applyBorder="1" applyAlignment="1">
      <alignment vertical="top" wrapText="1"/>
    </xf>
    <xf numFmtId="0" fontId="39" fillId="23" borderId="0" xfId="0" applyFont="1" applyFill="1" applyAlignment="1">
      <alignment vertical="top" wrapText="1"/>
    </xf>
    <xf numFmtId="0" fontId="39" fillId="23" borderId="76" xfId="0" applyFont="1" applyFill="1" applyBorder="1" applyAlignment="1">
      <alignment vertical="top" wrapText="1"/>
    </xf>
    <xf numFmtId="4" fontId="3" fillId="0" borderId="36" xfId="0" applyNumberFormat="1" applyFont="1" applyBorder="1" applyAlignment="1">
      <alignment vertical="top" wrapText="1"/>
    </xf>
    <xf numFmtId="4" fontId="40" fillId="0" borderId="0" xfId="0" applyNumberFormat="1" applyFont="1" applyAlignment="1">
      <alignment vertical="top" wrapText="1"/>
    </xf>
    <xf numFmtId="0" fontId="40" fillId="0" borderId="0" xfId="0" applyFont="1" applyAlignment="1">
      <alignment vertical="top" wrapText="1"/>
    </xf>
    <xf numFmtId="0" fontId="3" fillId="31" borderId="36" xfId="0" applyFont="1" applyFill="1" applyBorder="1" applyAlignment="1">
      <alignment vertical="top" wrapText="1"/>
    </xf>
    <xf numFmtId="0" fontId="43" fillId="18" borderId="36" xfId="0" applyFont="1" applyFill="1" applyBorder="1" applyAlignment="1">
      <alignment vertical="top" wrapText="1"/>
    </xf>
    <xf numFmtId="0" fontId="43" fillId="0" borderId="36" xfId="0" applyFont="1" applyBorder="1" applyAlignment="1">
      <alignment vertical="top" wrapText="1"/>
    </xf>
    <xf numFmtId="49" fontId="42" fillId="4" borderId="0" xfId="0" applyNumberFormat="1" applyFont="1" applyFill="1" applyAlignment="1">
      <alignment vertical="top" wrapText="1"/>
    </xf>
    <xf numFmtId="0" fontId="43" fillId="14" borderId="10" xfId="0" applyFont="1" applyFill="1" applyBorder="1" applyAlignment="1">
      <alignment vertical="top" wrapText="1"/>
    </xf>
    <xf numFmtId="0" fontId="43" fillId="14" borderId="11" xfId="0" applyFont="1" applyFill="1" applyBorder="1" applyAlignment="1">
      <alignment vertical="top" wrapText="1"/>
    </xf>
    <xf numFmtId="49" fontId="43" fillId="13" borderId="10" xfId="0" applyNumberFormat="1" applyFont="1" applyFill="1" applyBorder="1" applyAlignment="1">
      <alignment vertical="top" wrapText="1"/>
    </xf>
    <xf numFmtId="0" fontId="43" fillId="13" borderId="68" xfId="0" applyFont="1" applyFill="1" applyBorder="1" applyAlignment="1">
      <alignment vertical="top" wrapText="1"/>
    </xf>
    <xf numFmtId="0" fontId="49" fillId="0" borderId="0" xfId="0" applyFont="1"/>
    <xf numFmtId="0" fontId="43" fillId="32" borderId="36" xfId="0" applyFont="1" applyFill="1" applyBorder="1" applyAlignment="1">
      <alignment horizontal="left" vertical="top" wrapText="1"/>
    </xf>
    <xf numFmtId="0" fontId="43" fillId="32" borderId="36" xfId="0" applyFont="1" applyFill="1" applyBorder="1" applyAlignment="1">
      <alignment horizontal="center" vertical="top" wrapText="1"/>
    </xf>
    <xf numFmtId="0" fontId="43" fillId="32" borderId="36" xfId="0" applyFont="1" applyFill="1" applyBorder="1" applyAlignment="1">
      <alignment vertical="top" wrapText="1"/>
    </xf>
    <xf numFmtId="165" fontId="44" fillId="32" borderId="36" xfId="0" applyNumberFormat="1" applyFont="1" applyFill="1" applyBorder="1" applyAlignment="1">
      <alignment horizontal="right" vertical="top" wrapText="1"/>
    </xf>
    <xf numFmtId="0" fontId="44" fillId="32" borderId="36" xfId="0" applyFont="1" applyFill="1" applyBorder="1" applyAlignment="1">
      <alignment horizontal="left" vertical="top" wrapText="1"/>
    </xf>
    <xf numFmtId="1" fontId="45" fillId="32" borderId="36" xfId="0" applyNumberFormat="1" applyFont="1" applyFill="1" applyBorder="1" applyAlignment="1">
      <alignment horizontal="center" vertical="center" shrinkToFit="1"/>
    </xf>
    <xf numFmtId="0" fontId="44" fillId="0" borderId="36" xfId="0" applyFont="1" applyBorder="1" applyAlignment="1">
      <alignment horizontal="left" vertical="top" wrapText="1"/>
    </xf>
    <xf numFmtId="0" fontId="43" fillId="0" borderId="36" xfId="0" applyFont="1" applyBorder="1" applyAlignment="1">
      <alignment horizontal="left" vertical="top" wrapText="1"/>
    </xf>
    <xf numFmtId="165" fontId="45" fillId="0" borderId="36" xfId="0" applyNumberFormat="1" applyFont="1" applyBorder="1" applyAlignment="1">
      <alignment horizontal="right" vertical="center" indent="1" shrinkToFit="1"/>
    </xf>
    <xf numFmtId="0" fontId="44" fillId="0" borderId="36" xfId="0" applyFont="1" applyBorder="1" applyAlignment="1">
      <alignment horizontal="center" vertical="center" wrapText="1"/>
    </xf>
    <xf numFmtId="0" fontId="43" fillId="0" borderId="36" xfId="0" applyFont="1" applyBorder="1" applyAlignment="1">
      <alignment horizontal="left" vertical="center" wrapText="1"/>
    </xf>
    <xf numFmtId="0" fontId="43" fillId="0" borderId="36" xfId="0" applyFont="1" applyBorder="1" applyAlignment="1">
      <alignment horizontal="center" vertical="center" wrapText="1"/>
    </xf>
    <xf numFmtId="165" fontId="45" fillId="0" borderId="36" xfId="0" applyNumberFormat="1" applyFont="1" applyBorder="1" applyAlignment="1">
      <alignment horizontal="right" vertical="center" shrinkToFit="1"/>
    </xf>
    <xf numFmtId="165" fontId="45" fillId="0" borderId="36" xfId="0" applyNumberFormat="1" applyFont="1" applyBorder="1" applyAlignment="1">
      <alignment horizontal="right" vertical="top" indent="1" shrinkToFit="1"/>
    </xf>
    <xf numFmtId="0" fontId="43" fillId="0" borderId="40" xfId="0" applyFont="1" applyBorder="1" applyAlignment="1">
      <alignment horizontal="left" vertical="top" wrapText="1"/>
    </xf>
    <xf numFmtId="0" fontId="43" fillId="0" borderId="36" xfId="0" applyFont="1" applyBorder="1" applyAlignment="1">
      <alignment horizontal="center" vertical="top" wrapText="1"/>
    </xf>
    <xf numFmtId="0" fontId="44" fillId="0" borderId="40" xfId="0" applyFont="1" applyBorder="1" applyAlignment="1">
      <alignment horizontal="left" vertical="top" wrapText="1"/>
    </xf>
    <xf numFmtId="165" fontId="45" fillId="0" borderId="36" xfId="0" applyNumberFormat="1" applyFont="1" applyBorder="1" applyAlignment="1">
      <alignment horizontal="right" vertical="top" shrinkToFit="1"/>
    </xf>
    <xf numFmtId="0" fontId="43" fillId="0" borderId="36" xfId="0" applyFont="1" applyBorder="1" applyAlignment="1">
      <alignment horizontal="left" vertical="center" shrinkToFit="1"/>
    </xf>
    <xf numFmtId="165" fontId="45" fillId="0" borderId="36" xfId="0" applyNumberFormat="1" applyFont="1" applyBorder="1" applyAlignment="1">
      <alignment horizontal="right" vertical="center" wrapText="1"/>
    </xf>
    <xf numFmtId="165" fontId="45" fillId="0" borderId="36" xfId="0" applyNumberFormat="1" applyFont="1" applyBorder="1" applyAlignment="1">
      <alignment horizontal="right" vertical="top" wrapText="1"/>
    </xf>
    <xf numFmtId="0" fontId="44" fillId="0" borderId="36" xfId="0" applyFont="1" applyBorder="1" applyAlignment="1">
      <alignment horizontal="center" vertical="top" wrapText="1"/>
    </xf>
    <xf numFmtId="0" fontId="44" fillId="0" borderId="0" xfId="0" applyFont="1"/>
    <xf numFmtId="0" fontId="47" fillId="18" borderId="0" xfId="0" applyFont="1" applyFill="1" applyAlignment="1">
      <alignment vertical="top" wrapText="1"/>
    </xf>
    <xf numFmtId="0" fontId="48" fillId="18" borderId="0" xfId="0" applyFont="1" applyFill="1" applyAlignment="1">
      <alignment vertical="top" wrapText="1"/>
    </xf>
    <xf numFmtId="49" fontId="48" fillId="18" borderId="0" xfId="0" applyNumberFormat="1" applyFont="1" applyFill="1" applyAlignment="1">
      <alignment vertical="top" wrapText="1"/>
    </xf>
    <xf numFmtId="0" fontId="48" fillId="18" borderId="36" xfId="0" applyFont="1" applyFill="1" applyBorder="1" applyAlignment="1">
      <alignment vertical="top" wrapText="1"/>
    </xf>
    <xf numFmtId="0" fontId="48" fillId="0" borderId="36" xfId="0" applyFont="1" applyBorder="1" applyAlignment="1">
      <alignment vertical="top" wrapText="1"/>
    </xf>
    <xf numFmtId="0" fontId="3" fillId="10" borderId="36" xfId="0" applyFont="1" applyFill="1" applyBorder="1" applyAlignment="1">
      <alignment vertical="top" wrapText="1"/>
    </xf>
    <xf numFmtId="0" fontId="43" fillId="12" borderId="36" xfId="0" applyFont="1" applyFill="1" applyBorder="1" applyAlignment="1">
      <alignment horizontal="left" vertical="center" wrapText="1"/>
    </xf>
    <xf numFmtId="0" fontId="44" fillId="12" borderId="40" xfId="0" applyFont="1" applyFill="1" applyBorder="1" applyAlignment="1">
      <alignment horizontal="left" vertical="top" wrapText="1"/>
    </xf>
    <xf numFmtId="165" fontId="45" fillId="12" borderId="36" xfId="0" applyNumberFormat="1" applyFont="1" applyFill="1" applyBorder="1" applyAlignment="1">
      <alignment horizontal="right" vertical="center" indent="1" shrinkToFit="1"/>
    </xf>
    <xf numFmtId="0" fontId="43" fillId="12" borderId="36" xfId="0" applyFont="1" applyFill="1" applyBorder="1" applyAlignment="1">
      <alignment horizontal="center" vertical="center" wrapText="1"/>
    </xf>
    <xf numFmtId="0" fontId="44" fillId="12" borderId="36" xfId="0" applyFont="1" applyFill="1" applyBorder="1" applyAlignment="1">
      <alignment horizontal="center" vertical="center" wrapText="1"/>
    </xf>
    <xf numFmtId="0" fontId="44" fillId="12" borderId="0" xfId="0" applyFont="1" applyFill="1"/>
    <xf numFmtId="0" fontId="49" fillId="12" borderId="0" xfId="0" applyFont="1" applyFill="1"/>
    <xf numFmtId="0" fontId="3" fillId="0" borderId="36" xfId="0" quotePrefix="1" applyFont="1" applyBorder="1" applyAlignment="1">
      <alignment vertical="top" wrapText="1"/>
    </xf>
    <xf numFmtId="0" fontId="46" fillId="0" borderId="0" xfId="0" pivotButton="1" applyFont="1" applyAlignment="1">
      <alignment vertical="top" wrapText="1"/>
    </xf>
    <xf numFmtId="0" fontId="46" fillId="0" borderId="0" xfId="0" applyFont="1" applyAlignment="1">
      <alignment vertical="top" wrapText="1"/>
    </xf>
    <xf numFmtId="0" fontId="46" fillId="0" borderId="0" xfId="0" applyFont="1" applyAlignment="1">
      <alignment vertical="top"/>
    </xf>
    <xf numFmtId="0" fontId="46" fillId="0" borderId="0" xfId="0" pivotButton="1" applyFont="1" applyAlignment="1">
      <alignment vertical="top"/>
    </xf>
    <xf numFmtId="0" fontId="40" fillId="0" borderId="0" xfId="0" applyFont="1" applyAlignment="1">
      <alignment vertical="top"/>
    </xf>
    <xf numFmtId="0" fontId="50" fillId="0" borderId="77" xfId="0" applyFont="1" applyBorder="1" applyAlignment="1">
      <alignment vertical="center" wrapText="1"/>
    </xf>
    <xf numFmtId="0" fontId="51" fillId="34" borderId="79" xfId="0" applyFont="1" applyFill="1" applyBorder="1" applyAlignment="1">
      <alignment vertical="center" wrapText="1"/>
    </xf>
    <xf numFmtId="0" fontId="50" fillId="37" borderId="78" xfId="0" applyFont="1" applyFill="1" applyBorder="1" applyAlignment="1">
      <alignment vertical="center" wrapText="1"/>
    </xf>
    <xf numFmtId="0" fontId="50" fillId="36" borderId="78" xfId="0" applyFont="1" applyFill="1" applyBorder="1" applyAlignment="1">
      <alignment vertical="center" wrapText="1"/>
    </xf>
    <xf numFmtId="0" fontId="50" fillId="36" borderId="77" xfId="0" applyFont="1" applyFill="1" applyBorder="1" applyAlignment="1">
      <alignment vertical="center" wrapText="1"/>
    </xf>
    <xf numFmtId="0" fontId="51" fillId="34" borderId="80" xfId="0" applyFont="1" applyFill="1" applyBorder="1" applyAlignment="1">
      <alignment vertical="center" wrapText="1"/>
    </xf>
    <xf numFmtId="0" fontId="50" fillId="36" borderId="81" xfId="0" applyFont="1" applyFill="1" applyBorder="1" applyAlignment="1">
      <alignment vertical="center" wrapText="1"/>
    </xf>
    <xf numFmtId="0" fontId="50" fillId="37" borderId="81" xfId="0" applyFont="1" applyFill="1" applyBorder="1" applyAlignment="1">
      <alignment vertical="center" wrapText="1"/>
    </xf>
    <xf numFmtId="0" fontId="50" fillId="36" borderId="82" xfId="0" applyFont="1" applyFill="1" applyBorder="1" applyAlignment="1">
      <alignment horizontal="justify" vertical="center" wrapText="1"/>
    </xf>
    <xf numFmtId="0" fontId="50" fillId="36" borderId="84" xfId="0" applyFont="1" applyFill="1" applyBorder="1" applyAlignment="1">
      <alignment horizontal="justify" vertical="center" wrapText="1"/>
    </xf>
    <xf numFmtId="0" fontId="52" fillId="0" borderId="77" xfId="0" applyFont="1" applyBorder="1" applyAlignment="1">
      <alignment vertical="center" wrapText="1"/>
    </xf>
    <xf numFmtId="0" fontId="52" fillId="33" borderId="77" xfId="0" applyFont="1" applyFill="1" applyBorder="1" applyAlignment="1">
      <alignment vertical="center" wrapText="1"/>
    </xf>
    <xf numFmtId="0" fontId="52" fillId="34" borderId="77" xfId="0" applyFont="1" applyFill="1" applyBorder="1" applyAlignment="1">
      <alignment vertical="center" wrapText="1"/>
    </xf>
    <xf numFmtId="0" fontId="52" fillId="35" borderId="77" xfId="0" applyFont="1" applyFill="1" applyBorder="1" applyAlignment="1">
      <alignment vertical="center" wrapText="1"/>
    </xf>
    <xf numFmtId="0" fontId="52" fillId="35" borderId="78" xfId="0" applyFont="1" applyFill="1" applyBorder="1" applyAlignment="1">
      <alignment vertical="center" wrapText="1"/>
    </xf>
    <xf numFmtId="0" fontId="0" fillId="0" borderId="0" xfId="0" pivotButton="1"/>
    <xf numFmtId="0" fontId="50" fillId="0" borderId="0" xfId="0" applyFont="1" applyAlignment="1">
      <alignment vertical="top" wrapText="1"/>
    </xf>
    <xf numFmtId="0" fontId="0" fillId="0" borderId="0" xfId="0" applyAlignment="1">
      <alignment vertical="top"/>
    </xf>
    <xf numFmtId="0" fontId="50" fillId="38" borderId="0" xfId="0" applyFont="1" applyFill="1" applyAlignment="1">
      <alignment vertical="top" wrapText="1"/>
    </xf>
    <xf numFmtId="0" fontId="50" fillId="31" borderId="0" xfId="0" applyFont="1" applyFill="1" applyAlignment="1">
      <alignment vertical="top" wrapText="1"/>
    </xf>
    <xf numFmtId="0" fontId="53" fillId="0" borderId="36" xfId="0" applyFont="1" applyBorder="1" applyAlignment="1">
      <alignment vertical="top" wrapText="1"/>
    </xf>
    <xf numFmtId="0" fontId="40" fillId="0" borderId="36" xfId="0" applyFont="1" applyBorder="1" applyAlignment="1">
      <alignment vertical="top"/>
    </xf>
    <xf numFmtId="0" fontId="40" fillId="0" borderId="36" xfId="0" applyFont="1" applyBorder="1" applyAlignment="1">
      <alignment vertical="top" wrapText="1"/>
    </xf>
    <xf numFmtId="16" fontId="40" fillId="0" borderId="36" xfId="0" applyNumberFormat="1" applyFont="1" applyBorder="1" applyAlignment="1">
      <alignment vertical="top" wrapText="1"/>
    </xf>
    <xf numFmtId="0" fontId="40" fillId="38" borderId="36" xfId="0" applyFont="1" applyFill="1" applyBorder="1" applyAlignment="1">
      <alignment vertical="top"/>
    </xf>
    <xf numFmtId="0" fontId="40" fillId="39" borderId="36" xfId="0" applyFont="1" applyFill="1" applyBorder="1" applyAlignment="1">
      <alignment vertical="top"/>
    </xf>
    <xf numFmtId="0" fontId="40" fillId="40" borderId="36" xfId="0" applyFont="1" applyFill="1" applyBorder="1" applyAlignment="1">
      <alignment vertical="top"/>
    </xf>
    <xf numFmtId="0" fontId="40" fillId="31" borderId="36" xfId="0" applyFont="1" applyFill="1" applyBorder="1" applyAlignment="1">
      <alignment vertical="top"/>
    </xf>
    <xf numFmtId="0" fontId="54" fillId="0" borderId="89" xfId="0" applyFont="1" applyBorder="1" applyAlignment="1">
      <alignment horizontal="center" vertical="center" wrapText="1"/>
    </xf>
    <xf numFmtId="0" fontId="54" fillId="41" borderId="89" xfId="0" applyFont="1" applyFill="1" applyBorder="1" applyAlignment="1">
      <alignment horizontal="center" vertical="center" wrapText="1"/>
    </xf>
    <xf numFmtId="0" fontId="54" fillId="41" borderId="86" xfId="0" applyFont="1" applyFill="1" applyBorder="1" applyAlignment="1">
      <alignment horizontal="center" vertical="center" wrapText="1"/>
    </xf>
    <xf numFmtId="0" fontId="54" fillId="0" borderId="86" xfId="0" applyFont="1" applyBorder="1" applyAlignment="1">
      <alignment horizontal="center" vertical="center" wrapText="1"/>
    </xf>
    <xf numFmtId="0" fontId="55" fillId="41" borderId="89" xfId="0" applyFont="1" applyFill="1" applyBorder="1" applyAlignment="1">
      <alignment vertical="center" wrapText="1"/>
    </xf>
    <xf numFmtId="0" fontId="55" fillId="0" borderId="89" xfId="0" applyFont="1" applyBorder="1" applyAlignment="1">
      <alignment vertical="center" wrapText="1"/>
    </xf>
    <xf numFmtId="0" fontId="55" fillId="41" borderId="86" xfId="0" applyFont="1" applyFill="1" applyBorder="1" applyAlignment="1">
      <alignment vertical="center" wrapText="1"/>
    </xf>
    <xf numFmtId="0" fontId="56" fillId="0" borderId="86" xfId="0" applyFont="1" applyBorder="1" applyAlignment="1">
      <alignment horizontal="left" vertical="center" wrapText="1"/>
    </xf>
    <xf numFmtId="0" fontId="56" fillId="0" borderId="86" xfId="0" applyFont="1" applyBorder="1" applyAlignment="1">
      <alignment horizontal="center" vertical="center" wrapText="1"/>
    </xf>
    <xf numFmtId="0" fontId="56" fillId="0" borderId="88" xfId="0" quotePrefix="1" applyFont="1" applyBorder="1" applyAlignment="1">
      <alignment horizontal="center" vertical="center" wrapText="1"/>
    </xf>
    <xf numFmtId="0" fontId="56" fillId="41" borderId="90" xfId="0" applyFont="1" applyFill="1" applyBorder="1" applyAlignment="1">
      <alignment vertical="center" wrapText="1"/>
    </xf>
    <xf numFmtId="0" fontId="54" fillId="41" borderId="91" xfId="0" applyFont="1" applyFill="1" applyBorder="1" applyAlignment="1">
      <alignment vertical="center" wrapText="1"/>
    </xf>
    <xf numFmtId="0" fontId="54" fillId="0" borderId="89" xfId="0" applyFont="1" applyBorder="1" applyAlignment="1">
      <alignment vertical="center" wrapText="1"/>
    </xf>
    <xf numFmtId="0" fontId="54" fillId="41" borderId="89" xfId="0" applyFont="1" applyFill="1" applyBorder="1" applyAlignment="1">
      <alignment vertical="center" wrapText="1"/>
    </xf>
    <xf numFmtId="0" fontId="54" fillId="0" borderId="91" xfId="0" applyFont="1" applyBorder="1" applyAlignment="1">
      <alignment vertical="center" wrapText="1"/>
    </xf>
    <xf numFmtId="0" fontId="54" fillId="0" borderId="89" xfId="0" applyFont="1" applyBorder="1" applyAlignment="1">
      <alignment horizontal="justify" vertical="center" wrapText="1"/>
    </xf>
    <xf numFmtId="0" fontId="56" fillId="0" borderId="87" xfId="0" applyFont="1" applyBorder="1" applyAlignment="1">
      <alignment vertical="center" wrapText="1"/>
    </xf>
    <xf numFmtId="0" fontId="54" fillId="0" borderId="86" xfId="0" applyFont="1" applyBorder="1" applyAlignment="1">
      <alignment vertical="center" wrapText="1"/>
    </xf>
    <xf numFmtId="0" fontId="56" fillId="0" borderId="90" xfId="0" applyFont="1" applyBorder="1" applyAlignment="1">
      <alignment vertical="center" wrapText="1"/>
    </xf>
    <xf numFmtId="0" fontId="54" fillId="0" borderId="86" xfId="0" applyFont="1" applyBorder="1" applyAlignment="1">
      <alignment horizontal="justify" vertical="center" wrapText="1"/>
    </xf>
    <xf numFmtId="0" fontId="54" fillId="41" borderId="89" xfId="0" applyFont="1" applyFill="1" applyBorder="1" applyAlignment="1">
      <alignment horizontal="justify" vertical="center" wrapText="1"/>
    </xf>
    <xf numFmtId="0" fontId="49" fillId="31" borderId="0" xfId="0" applyFont="1" applyFill="1"/>
    <xf numFmtId="0" fontId="49" fillId="39" borderId="0" xfId="0" applyFont="1" applyFill="1"/>
    <xf numFmtId="0" fontId="57" fillId="0" borderId="0" xfId="0" applyFont="1"/>
    <xf numFmtId="0" fontId="58" fillId="0" borderId="0" xfId="0" applyFont="1"/>
    <xf numFmtId="0" fontId="58" fillId="0" borderId="0" xfId="0" applyFont="1" applyAlignment="1">
      <alignment vertical="top"/>
    </xf>
    <xf numFmtId="0" fontId="1" fillId="11" borderId="36" xfId="0" applyFont="1" applyFill="1" applyBorder="1" applyAlignment="1">
      <alignment vertical="top" wrapText="1"/>
    </xf>
    <xf numFmtId="0" fontId="3" fillId="0" borderId="36" xfId="0" applyFont="1" applyBorder="1" applyAlignment="1">
      <alignment horizontal="left" vertical="top" wrapText="1"/>
    </xf>
    <xf numFmtId="0" fontId="0" fillId="11" borderId="36" xfId="0" applyFill="1" applyBorder="1" applyAlignment="1">
      <alignment vertical="top" wrapText="1"/>
    </xf>
    <xf numFmtId="0" fontId="3" fillId="11" borderId="36" xfId="0" applyFont="1" applyFill="1" applyBorder="1" applyAlignment="1">
      <alignment vertical="top" wrapText="1"/>
    </xf>
    <xf numFmtId="0" fontId="59" fillId="14" borderId="11" xfId="0" applyFont="1" applyFill="1" applyBorder="1" applyAlignment="1">
      <alignment vertical="top" wrapText="1"/>
    </xf>
    <xf numFmtId="49" fontId="59" fillId="13" borderId="12" xfId="0" applyNumberFormat="1" applyFont="1" applyFill="1" applyBorder="1" applyAlignment="1">
      <alignment vertical="top" wrapText="1"/>
    </xf>
    <xf numFmtId="0" fontId="59" fillId="13" borderId="13" xfId="0" applyFont="1" applyFill="1" applyBorder="1" applyAlignment="1">
      <alignment vertical="top" wrapText="1"/>
    </xf>
    <xf numFmtId="0" fontId="6" fillId="31" borderId="36" xfId="0" applyFont="1" applyFill="1" applyBorder="1" applyAlignment="1">
      <alignment vertical="top" wrapText="1"/>
    </xf>
    <xf numFmtId="0" fontId="0" fillId="5" borderId="36" xfId="0" applyFill="1" applyBorder="1" applyAlignment="1">
      <alignment vertical="top" wrapText="1"/>
    </xf>
    <xf numFmtId="0" fontId="0" fillId="9" borderId="36" xfId="0" applyFill="1" applyBorder="1" applyAlignment="1">
      <alignment vertical="top" wrapText="1"/>
    </xf>
    <xf numFmtId="0" fontId="0" fillId="43" borderId="0" xfId="0" applyFill="1" applyAlignment="1">
      <alignment vertical="top"/>
    </xf>
    <xf numFmtId="0" fontId="18" fillId="0" borderId="0" xfId="0" applyFont="1" applyAlignment="1">
      <alignment vertical="top" wrapText="1"/>
    </xf>
    <xf numFmtId="0" fontId="4" fillId="0" borderId="47" xfId="0" applyFont="1" applyBorder="1" applyAlignment="1">
      <alignment vertical="top" wrapText="1"/>
    </xf>
    <xf numFmtId="0" fontId="0" fillId="0" borderId="48" xfId="0" applyBorder="1" applyAlignment="1">
      <alignment vertical="top"/>
    </xf>
    <xf numFmtId="0" fontId="4" fillId="16" borderId="52" xfId="0" applyFont="1" applyFill="1" applyBorder="1" applyAlignment="1">
      <alignment vertical="top" wrapText="1"/>
    </xf>
    <xf numFmtId="0" fontId="4" fillId="16" borderId="53" xfId="0" applyFont="1" applyFill="1" applyBorder="1" applyAlignment="1">
      <alignment vertical="top"/>
    </xf>
    <xf numFmtId="0" fontId="4" fillId="16" borderId="54" xfId="0" applyFont="1" applyFill="1" applyBorder="1" applyAlignment="1">
      <alignment vertical="top"/>
    </xf>
    <xf numFmtId="0" fontId="11" fillId="0" borderId="0" xfId="0" applyFont="1" applyAlignment="1">
      <alignment vertical="top" wrapText="1"/>
    </xf>
    <xf numFmtId="0" fontId="0" fillId="0" borderId="36" xfId="0" applyBorder="1" applyAlignment="1">
      <alignment vertical="top"/>
    </xf>
    <xf numFmtId="164" fontId="0" fillId="0" borderId="36" xfId="0" applyNumberFormat="1" applyBorder="1" applyAlignment="1">
      <alignment vertical="top"/>
    </xf>
    <xf numFmtId="0" fontId="0" fillId="0" borderId="56" xfId="0" applyBorder="1" applyAlignment="1">
      <alignment vertical="top"/>
    </xf>
    <xf numFmtId="0" fontId="28" fillId="0" borderId="0" xfId="2" applyAlignment="1">
      <alignment vertical="top"/>
    </xf>
    <xf numFmtId="0" fontId="0" fillId="5" borderId="36" xfId="0" applyFill="1" applyBorder="1" applyAlignment="1">
      <alignment vertical="top"/>
    </xf>
    <xf numFmtId="0" fontId="0" fillId="9" borderId="36" xfId="0" applyFill="1" applyBorder="1" applyAlignment="1">
      <alignment vertical="top"/>
    </xf>
    <xf numFmtId="0" fontId="0" fillId="0" borderId="57" xfId="0" applyBorder="1" applyAlignment="1">
      <alignment horizontal="left" vertical="top" wrapText="1"/>
    </xf>
    <xf numFmtId="0" fontId="0" fillId="0" borderId="58" xfId="0" applyBorder="1" applyAlignment="1">
      <alignment vertical="top"/>
    </xf>
    <xf numFmtId="0" fontId="0" fillId="0" borderId="59" xfId="0" applyBorder="1" applyAlignment="1">
      <alignment vertical="top"/>
    </xf>
    <xf numFmtId="0" fontId="0" fillId="0" borderId="55" xfId="0" applyBorder="1" applyAlignment="1">
      <alignment vertical="top" wrapText="1"/>
    </xf>
    <xf numFmtId="0" fontId="11" fillId="28" borderId="55" xfId="0" applyFont="1" applyFill="1" applyBorder="1" applyAlignment="1">
      <alignment vertical="top"/>
    </xf>
    <xf numFmtId="0" fontId="11" fillId="28" borderId="55" xfId="0" applyFont="1" applyFill="1" applyBorder="1" applyAlignment="1">
      <alignment vertical="top" wrapText="1"/>
    </xf>
    <xf numFmtId="0" fontId="11" fillId="9" borderId="55" xfId="0" applyFont="1" applyFill="1" applyBorder="1" applyAlignment="1">
      <alignment vertical="top" wrapText="1"/>
    </xf>
    <xf numFmtId="0" fontId="0" fillId="0" borderId="49" xfId="0" applyBorder="1" applyAlignment="1">
      <alignment vertical="top" wrapText="1"/>
    </xf>
    <xf numFmtId="0" fontId="4" fillId="16" borderId="53" xfId="0" applyFont="1" applyFill="1" applyBorder="1" applyAlignment="1">
      <alignment vertical="top" wrapText="1"/>
    </xf>
    <xf numFmtId="0" fontId="0" fillId="0" borderId="58" xfId="0" applyBorder="1" applyAlignment="1">
      <alignment horizontal="center" vertical="top" wrapText="1"/>
    </xf>
    <xf numFmtId="0" fontId="0" fillId="0" borderId="36" xfId="0" applyBorder="1" applyAlignment="1">
      <alignment horizontal="center" vertical="top" wrapText="1"/>
    </xf>
    <xf numFmtId="0" fontId="0" fillId="5" borderId="36" xfId="0" applyFill="1" applyBorder="1" applyAlignment="1">
      <alignment horizontal="center" vertical="top" wrapText="1"/>
    </xf>
    <xf numFmtId="0" fontId="0" fillId="9" borderId="58" xfId="0" applyFill="1" applyBorder="1" applyAlignment="1">
      <alignment vertical="top"/>
    </xf>
    <xf numFmtId="0" fontId="0" fillId="9" borderId="58" xfId="0" applyFill="1" applyBorder="1" applyAlignment="1">
      <alignment vertical="top" wrapText="1"/>
    </xf>
    <xf numFmtId="0" fontId="0" fillId="9" borderId="36" xfId="0" applyFill="1" applyBorder="1" applyAlignment="1">
      <alignment horizontal="left" vertical="top" wrapText="1"/>
    </xf>
    <xf numFmtId="0" fontId="0" fillId="0" borderId="36" xfId="0" applyBorder="1" applyAlignment="1">
      <alignment horizontal="left" vertical="top" wrapText="1"/>
    </xf>
    <xf numFmtId="0" fontId="7" fillId="0" borderId="36" xfId="0" applyFont="1" applyBorder="1" applyAlignment="1">
      <alignment vertical="top" wrapText="1"/>
    </xf>
    <xf numFmtId="0" fontId="1" fillId="0" borderId="36" xfId="0" applyFont="1" applyBorder="1" applyAlignment="1">
      <alignment vertical="top"/>
    </xf>
    <xf numFmtId="0" fontId="1" fillId="0" borderId="56" xfId="0" applyFont="1" applyBorder="1" applyAlignment="1">
      <alignment vertical="top"/>
    </xf>
    <xf numFmtId="0" fontId="3" fillId="18" borderId="36" xfId="0" applyFont="1" applyFill="1" applyBorder="1" applyAlignment="1">
      <alignment horizontal="center" vertical="center"/>
    </xf>
    <xf numFmtId="0" fontId="3" fillId="0" borderId="36" xfId="0" applyFont="1" applyBorder="1" applyAlignment="1">
      <alignment horizontal="left" vertical="center" wrapText="1"/>
    </xf>
    <xf numFmtId="0" fontId="3" fillId="18" borderId="36" xfId="0" applyFont="1" applyFill="1" applyBorder="1" applyAlignment="1">
      <alignment horizontal="left" vertical="center" wrapText="1"/>
    </xf>
    <xf numFmtId="0" fontId="3" fillId="9" borderId="36" xfId="0" applyFont="1" applyFill="1" applyBorder="1" applyAlignment="1">
      <alignment horizontal="left" vertical="center" wrapText="1"/>
    </xf>
    <xf numFmtId="0" fontId="3" fillId="0" borderId="36" xfId="0" applyFont="1" applyBorder="1" applyAlignment="1">
      <alignment vertical="top"/>
    </xf>
    <xf numFmtId="0" fontId="60" fillId="0" borderId="0" xfId="1" applyFont="1" applyAlignment="1">
      <alignment vertical="top" wrapText="1"/>
    </xf>
    <xf numFmtId="0" fontId="0" fillId="44" borderId="36" xfId="0" applyFill="1" applyBorder="1" applyAlignment="1">
      <alignment vertical="top"/>
    </xf>
    <xf numFmtId="0" fontId="0" fillId="44" borderId="36" xfId="0" applyFill="1" applyBorder="1" applyAlignment="1">
      <alignment vertical="top" wrapText="1"/>
    </xf>
    <xf numFmtId="0" fontId="8" fillId="0" borderId="0" xfId="0" applyFont="1" applyAlignment="1">
      <alignment vertical="center" wrapText="1"/>
    </xf>
    <xf numFmtId="0" fontId="8" fillId="11" borderId="36" xfId="0" applyFont="1" applyFill="1" applyBorder="1" applyAlignment="1">
      <alignment vertical="top" wrapText="1"/>
    </xf>
    <xf numFmtId="0" fontId="8" fillId="42" borderId="36" xfId="0" applyFont="1" applyFill="1" applyBorder="1" applyAlignment="1">
      <alignment vertical="top" wrapText="1"/>
    </xf>
    <xf numFmtId="0" fontId="40" fillId="0" borderId="0" xfId="0" pivotButton="1" applyFont="1" applyAlignment="1">
      <alignment vertical="top" wrapText="1"/>
    </xf>
    <xf numFmtId="0" fontId="40" fillId="0" borderId="0" xfId="0" applyFont="1" applyAlignment="1">
      <alignment horizontal="left" vertical="top" wrapText="1"/>
    </xf>
    <xf numFmtId="0" fontId="40" fillId="0" borderId="0" xfId="0" pivotButton="1" applyFont="1" applyAlignment="1">
      <alignment vertical="top"/>
    </xf>
    <xf numFmtId="0" fontId="58" fillId="0" borderId="0" xfId="0" pivotButton="1" applyFont="1"/>
    <xf numFmtId="0" fontId="58" fillId="0" borderId="0" xfId="0" applyFont="1" applyAlignment="1">
      <alignment vertical="top" wrapText="1"/>
    </xf>
    <xf numFmtId="0" fontId="58" fillId="0" borderId="0" xfId="0" applyFont="1" applyAlignment="1">
      <alignment wrapText="1"/>
    </xf>
    <xf numFmtId="0" fontId="0" fillId="45" borderId="36" xfId="0" applyFill="1" applyBorder="1" applyAlignment="1">
      <alignment vertical="top" wrapText="1"/>
    </xf>
    <xf numFmtId="0" fontId="0" fillId="39" borderId="36" xfId="0" applyFill="1" applyBorder="1" applyAlignment="1">
      <alignment vertical="top" wrapText="1"/>
    </xf>
    <xf numFmtId="0" fontId="4" fillId="39" borderId="36" xfId="0" applyFont="1" applyFill="1" applyBorder="1" applyAlignment="1">
      <alignment vertical="top" wrapText="1"/>
    </xf>
    <xf numFmtId="0" fontId="1" fillId="0" borderId="0" xfId="0" applyFont="1" applyAlignment="1">
      <alignment vertical="center" wrapText="1"/>
    </xf>
    <xf numFmtId="0" fontId="3" fillId="39" borderId="36" xfId="0" applyFont="1" applyFill="1" applyBorder="1" applyAlignment="1">
      <alignment vertical="top" wrapText="1"/>
    </xf>
    <xf numFmtId="0" fontId="0" fillId="39" borderId="0" xfId="0" applyFill="1"/>
    <xf numFmtId="0" fontId="0" fillId="46" borderId="0" xfId="0" applyFill="1"/>
    <xf numFmtId="49" fontId="29" fillId="10" borderId="2" xfId="0" applyNumberFormat="1" applyFont="1" applyFill="1" applyBorder="1" applyAlignment="1">
      <alignment vertical="top" wrapText="1"/>
    </xf>
    <xf numFmtId="0" fontId="37" fillId="10" borderId="93" xfId="0" applyFont="1" applyFill="1" applyBorder="1" applyAlignment="1">
      <alignment vertical="top" wrapText="1"/>
    </xf>
    <xf numFmtId="0" fontId="61" fillId="0" borderId="36" xfId="0" applyFont="1" applyBorder="1" applyAlignment="1">
      <alignment vertical="top" wrapText="1"/>
    </xf>
    <xf numFmtId="0" fontId="8" fillId="40" borderId="36" xfId="0" applyFont="1" applyFill="1" applyBorder="1" applyAlignment="1">
      <alignment vertical="top" wrapText="1"/>
    </xf>
    <xf numFmtId="0" fontId="8" fillId="47" borderId="36" xfId="0" applyFont="1" applyFill="1" applyBorder="1" applyAlignment="1">
      <alignment vertical="top" wrapText="1"/>
    </xf>
    <xf numFmtId="0" fontId="0" fillId="39" borderId="36" xfId="0" quotePrefix="1" applyFill="1" applyBorder="1" applyAlignment="1">
      <alignment vertical="top" wrapText="1"/>
    </xf>
    <xf numFmtId="0" fontId="1" fillId="11" borderId="36" xfId="0" quotePrefix="1" applyFont="1" applyFill="1" applyBorder="1" applyAlignment="1">
      <alignment vertical="top" wrapText="1"/>
    </xf>
    <xf numFmtId="0" fontId="1" fillId="11" borderId="36" xfId="0" applyFont="1" applyFill="1" applyBorder="1" applyAlignment="1">
      <alignment horizontal="center" vertical="top" wrapText="1"/>
    </xf>
    <xf numFmtId="0" fontId="0" fillId="0" borderId="0" xfId="0" applyAlignment="1">
      <alignment horizontal="left"/>
    </xf>
    <xf numFmtId="1" fontId="40" fillId="0" borderId="0" xfId="0" applyNumberFormat="1" applyFont="1" applyAlignment="1">
      <alignment vertical="top" wrapText="1"/>
    </xf>
    <xf numFmtId="1" fontId="0" fillId="0" borderId="0" xfId="0" applyNumberFormat="1"/>
    <xf numFmtId="0" fontId="4" fillId="38" borderId="36" xfId="0" applyFont="1" applyFill="1" applyBorder="1" applyAlignment="1">
      <alignment vertical="top" wrapText="1"/>
    </xf>
    <xf numFmtId="0" fontId="62" fillId="0" borderId="36" xfId="0" applyFont="1" applyBorder="1" applyAlignment="1">
      <alignment vertical="top" wrapText="1"/>
    </xf>
    <xf numFmtId="0" fontId="62" fillId="0" borderId="36" xfId="0" applyFont="1" applyBorder="1" applyAlignment="1">
      <alignment horizontal="left" vertical="top" wrapText="1"/>
    </xf>
    <xf numFmtId="0" fontId="62" fillId="0" borderId="36" xfId="0" applyFont="1" applyBorder="1" applyAlignment="1">
      <alignment vertical="top"/>
    </xf>
    <xf numFmtId="0" fontId="3" fillId="48" borderId="36" xfId="0" applyFont="1" applyFill="1" applyBorder="1" applyAlignment="1">
      <alignment vertical="top" wrapText="1"/>
    </xf>
    <xf numFmtId="9" fontId="62" fillId="0" borderId="36" xfId="0" applyNumberFormat="1" applyFont="1" applyBorder="1" applyAlignment="1">
      <alignment horizontal="center" vertical="top" wrapText="1"/>
    </xf>
    <xf numFmtId="0" fontId="3" fillId="0" borderId="36" xfId="0" applyFont="1" applyBorder="1" applyAlignment="1">
      <alignment horizontal="center" vertical="top"/>
    </xf>
    <xf numFmtId="49" fontId="18" fillId="5" borderId="0" xfId="0" applyNumberFormat="1" applyFont="1" applyFill="1" applyAlignment="1">
      <alignment vertical="top" wrapText="1"/>
    </xf>
    <xf numFmtId="0" fontId="1" fillId="15" borderId="16" xfId="0" applyFont="1" applyFill="1" applyBorder="1" applyAlignment="1">
      <alignment vertical="top" wrapText="1"/>
    </xf>
    <xf numFmtId="0" fontId="1" fillId="15" borderId="15" xfId="0" applyFont="1" applyFill="1" applyBorder="1" applyAlignment="1">
      <alignment vertical="top" wrapText="1"/>
    </xf>
    <xf numFmtId="49" fontId="1" fillId="16" borderId="14" xfId="0" applyNumberFormat="1" applyFont="1" applyFill="1" applyBorder="1" applyAlignment="1">
      <alignment vertical="top" wrapText="1"/>
    </xf>
    <xf numFmtId="0" fontId="1" fillId="16" borderId="37" xfId="0" applyFont="1" applyFill="1" applyBorder="1" applyAlignment="1">
      <alignment vertical="top" wrapText="1"/>
    </xf>
    <xf numFmtId="0" fontId="1" fillId="49" borderId="36" xfId="0" applyFont="1" applyFill="1" applyBorder="1" applyAlignment="1">
      <alignment horizontal="left" vertical="center" wrapText="1"/>
    </xf>
    <xf numFmtId="0" fontId="1" fillId="49" borderId="36" xfId="0" quotePrefix="1" applyFont="1" applyFill="1" applyBorder="1" applyAlignment="1">
      <alignment vertical="top" wrapText="1"/>
    </xf>
    <xf numFmtId="0" fontId="3" fillId="49" borderId="36" xfId="0" applyFont="1" applyFill="1" applyBorder="1" applyAlignment="1">
      <alignment vertical="top" wrapText="1"/>
    </xf>
    <xf numFmtId="0" fontId="1" fillId="49" borderId="36" xfId="0" applyFont="1" applyFill="1" applyBorder="1" applyAlignment="1">
      <alignment vertical="top" wrapText="1"/>
    </xf>
    <xf numFmtId="0" fontId="1" fillId="49" borderId="36" xfId="0" applyFont="1" applyFill="1" applyBorder="1" applyAlignment="1">
      <alignment horizontal="center" vertical="top" wrapText="1"/>
    </xf>
    <xf numFmtId="0" fontId="1" fillId="49" borderId="0" xfId="0" applyFont="1" applyFill="1" applyAlignment="1">
      <alignment vertical="top" wrapText="1"/>
    </xf>
    <xf numFmtId="49" fontId="5" fillId="5" borderId="0" xfId="0" applyNumberFormat="1" applyFont="1" applyFill="1" applyAlignment="1">
      <alignment vertical="top" wrapText="1"/>
    </xf>
    <xf numFmtId="0" fontId="3" fillId="49" borderId="36" xfId="0" applyFont="1" applyFill="1" applyBorder="1" applyAlignment="1">
      <alignment horizontal="center" vertical="top" wrapText="1"/>
    </xf>
    <xf numFmtId="0" fontId="3" fillId="49" borderId="0" xfId="0" applyFont="1" applyFill="1" applyAlignment="1">
      <alignment vertical="top" wrapText="1"/>
    </xf>
    <xf numFmtId="0" fontId="3" fillId="49" borderId="36" xfId="0" applyFont="1" applyFill="1" applyBorder="1" applyAlignment="1">
      <alignment horizontal="left" vertical="center" wrapText="1"/>
    </xf>
    <xf numFmtId="49" fontId="5" fillId="6" borderId="0" xfId="0" applyNumberFormat="1" applyFont="1" applyFill="1" applyAlignment="1">
      <alignment vertical="top" wrapText="1"/>
    </xf>
    <xf numFmtId="0" fontId="5" fillId="8" borderId="0" xfId="0" applyFont="1" applyFill="1" applyAlignment="1">
      <alignment vertical="top" wrapText="1"/>
    </xf>
    <xf numFmtId="0" fontId="3" fillId="19" borderId="25" xfId="0" applyFont="1" applyFill="1" applyBorder="1" applyAlignment="1">
      <alignment vertical="top" wrapText="1"/>
    </xf>
    <xf numFmtId="0" fontId="3" fillId="49" borderId="36" xfId="0" applyFont="1" applyFill="1" applyBorder="1" applyAlignment="1">
      <alignment horizontal="center" vertical="top"/>
    </xf>
    <xf numFmtId="0" fontId="5" fillId="38" borderId="36" xfId="0" applyFont="1" applyFill="1" applyBorder="1" applyAlignment="1">
      <alignment vertical="top" wrapText="1"/>
    </xf>
    <xf numFmtId="0" fontId="5" fillId="38" borderId="36" xfId="0" applyFont="1" applyFill="1" applyBorder="1" applyAlignment="1">
      <alignment horizontal="center" vertical="top" wrapText="1"/>
    </xf>
    <xf numFmtId="0" fontId="3" fillId="0" borderId="36" xfId="0" applyFont="1" applyBorder="1" applyAlignment="1">
      <alignment horizontal="center" vertical="top" wrapText="1"/>
    </xf>
    <xf numFmtId="0" fontId="3" fillId="0" borderId="92" xfId="0" applyFont="1" applyBorder="1" applyAlignment="1">
      <alignment horizontal="center" vertical="top" wrapText="1"/>
    </xf>
    <xf numFmtId="0" fontId="3" fillId="0" borderId="0" xfId="0" applyFont="1" applyAlignment="1">
      <alignment horizontal="center" vertical="top" wrapText="1"/>
    </xf>
    <xf numFmtId="9" fontId="3" fillId="0" borderId="36" xfId="0" applyNumberFormat="1" applyFont="1" applyBorder="1" applyAlignment="1">
      <alignment horizontal="center" vertical="top" wrapText="1"/>
    </xf>
    <xf numFmtId="9" fontId="10" fillId="0" borderId="36" xfId="0" applyNumberFormat="1" applyFont="1" applyBorder="1" applyAlignment="1">
      <alignment horizontal="center" vertical="top" wrapText="1"/>
    </xf>
    <xf numFmtId="0" fontId="10" fillId="0" borderId="36" xfId="0" applyFont="1" applyBorder="1" applyAlignment="1">
      <alignment horizontal="center" vertical="top" wrapText="1"/>
    </xf>
    <xf numFmtId="9" fontId="3" fillId="0" borderId="36" xfId="0" applyNumberFormat="1" applyFont="1" applyBorder="1" applyAlignment="1">
      <alignment horizontal="center" vertical="top"/>
    </xf>
    <xf numFmtId="0" fontId="3" fillId="0" borderId="94" xfId="0" applyFont="1" applyBorder="1" applyAlignment="1">
      <alignment vertical="top" wrapText="1"/>
    </xf>
    <xf numFmtId="0" fontId="3" fillId="0" borderId="94" xfId="0" applyFont="1" applyBorder="1" applyAlignment="1">
      <alignment horizontal="center" vertical="top"/>
    </xf>
    <xf numFmtId="0" fontId="3" fillId="0" borderId="95" xfId="0" applyFont="1" applyBorder="1" applyAlignment="1">
      <alignment horizontal="center" vertical="top" wrapText="1"/>
    </xf>
    <xf numFmtId="0" fontId="3" fillId="0" borderId="94" xfId="0" applyFont="1" applyBorder="1" applyAlignment="1">
      <alignment horizontal="center" vertical="top" wrapText="1"/>
    </xf>
    <xf numFmtId="0" fontId="10" fillId="0" borderId="43" xfId="0" applyFont="1" applyBorder="1" applyAlignment="1">
      <alignment vertical="top" wrapText="1"/>
    </xf>
    <xf numFmtId="3" fontId="3" fillId="0" borderId="36" xfId="0" applyNumberFormat="1" applyFont="1" applyBorder="1" applyAlignment="1">
      <alignment horizontal="center" vertical="top" wrapText="1"/>
    </xf>
    <xf numFmtId="0" fontId="4" fillId="0" borderId="47" xfId="0" applyFont="1" applyBorder="1" applyAlignment="1">
      <alignment horizontal="center" vertical="top"/>
    </xf>
    <xf numFmtId="0" fontId="4" fillId="0" borderId="50" xfId="0" applyFont="1" applyBorder="1" applyAlignment="1">
      <alignment horizontal="center" vertical="top"/>
    </xf>
    <xf numFmtId="0" fontId="4" fillId="0" borderId="51" xfId="0" applyFont="1" applyBorder="1" applyAlignment="1">
      <alignment horizontal="center" vertical="top"/>
    </xf>
    <xf numFmtId="0" fontId="5" fillId="0" borderId="40" xfId="0" applyFont="1" applyBorder="1" applyAlignment="1">
      <alignment horizontal="center" vertical="center"/>
    </xf>
    <xf numFmtId="0" fontId="5" fillId="0" borderId="42" xfId="0" applyFont="1" applyBorder="1" applyAlignment="1">
      <alignment horizontal="center" vertical="center"/>
    </xf>
    <xf numFmtId="0" fontId="4" fillId="0" borderId="40" xfId="0" applyFont="1" applyBorder="1" applyAlignment="1">
      <alignment horizontal="center" vertical="center"/>
    </xf>
    <xf numFmtId="0" fontId="4" fillId="0" borderId="41" xfId="0" applyFont="1" applyBorder="1" applyAlignment="1">
      <alignment horizontal="center" vertical="center"/>
    </xf>
    <xf numFmtId="0" fontId="4" fillId="0" borderId="42" xfId="0" applyFont="1" applyBorder="1" applyAlignment="1">
      <alignment horizontal="center" vertical="center"/>
    </xf>
    <xf numFmtId="0" fontId="22" fillId="0" borderId="0" xfId="1" applyFont="1" applyAlignment="1">
      <alignment horizontal="center" vertical="top"/>
    </xf>
    <xf numFmtId="0" fontId="22" fillId="0" borderId="0" xfId="1" applyFont="1" applyAlignment="1">
      <alignment horizontal="left" vertical="top" wrapText="1"/>
    </xf>
    <xf numFmtId="0" fontId="50" fillId="36" borderId="82" xfId="0" applyFont="1" applyFill="1" applyBorder="1" applyAlignment="1">
      <alignment vertical="center" wrapText="1"/>
    </xf>
    <xf numFmtId="0" fontId="50" fillId="36" borderId="83" xfId="0" applyFont="1" applyFill="1" applyBorder="1" applyAlignment="1">
      <alignment vertical="center" wrapText="1"/>
    </xf>
    <xf numFmtId="0" fontId="50" fillId="36" borderId="84" xfId="0" applyFont="1" applyFill="1" applyBorder="1" applyAlignment="1">
      <alignment vertical="center" wrapText="1"/>
    </xf>
    <xf numFmtId="0" fontId="50" fillId="36" borderId="85" xfId="0" applyFont="1" applyFill="1" applyBorder="1" applyAlignment="1">
      <alignment vertical="center" wrapText="1"/>
    </xf>
    <xf numFmtId="0" fontId="50" fillId="37" borderId="82" xfId="0" applyFont="1" applyFill="1" applyBorder="1" applyAlignment="1">
      <alignment vertical="center" wrapText="1"/>
    </xf>
    <xf numFmtId="0" fontId="50" fillId="37" borderId="83" xfId="0" applyFont="1" applyFill="1" applyBorder="1" applyAlignment="1">
      <alignment vertical="center" wrapText="1"/>
    </xf>
    <xf numFmtId="0" fontId="20" fillId="0" borderId="0" xfId="1" applyAlignment="1"/>
  </cellXfs>
  <cellStyles count="3">
    <cellStyle name="Enllaç" xfId="2" builtinId="8"/>
    <cellStyle name="Normal" xfId="0" builtinId="0"/>
    <cellStyle name="Normal 2" xfId="1" xr:uid="{00000000-0005-0000-0000-000002000000}"/>
  </cellStyles>
  <dxfs count="281">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name val="Arial Narrow"/>
        <scheme val="none"/>
      </font>
    </dxf>
    <dxf>
      <font>
        <name val="Arial Narrow"/>
        <scheme val="none"/>
      </font>
    </dxf>
    <dxf>
      <font>
        <name val="Arial Narrow"/>
        <scheme val="none"/>
      </font>
    </dxf>
    <dxf>
      <font>
        <name val="Arial Narrow"/>
        <scheme val="none"/>
      </font>
    </dxf>
    <dxf>
      <alignment wrapText="1" readingOrder="0"/>
    </dxf>
    <dxf>
      <alignment horizontal="general" vertical="top" readingOrder="0"/>
    </dxf>
    <dxf>
      <alignment horizontal="general" vertical="top" readingOrder="0"/>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sz val="10"/>
      </font>
    </dxf>
    <dxf>
      <font>
        <sz val="10"/>
      </font>
    </dxf>
    <dxf>
      <font>
        <sz val="10"/>
      </font>
    </dxf>
    <dxf>
      <font>
        <sz val="10"/>
      </font>
    </dxf>
    <dxf>
      <font>
        <sz val="10"/>
      </font>
    </dxf>
    <dxf>
      <font>
        <sz val="10"/>
      </font>
    </dxf>
    <dxf>
      <font>
        <sz val="10"/>
      </font>
    </dxf>
    <dxf>
      <font>
        <sz val="9"/>
      </font>
    </dxf>
    <dxf>
      <font>
        <sz val="9"/>
      </font>
    </dxf>
    <dxf>
      <font>
        <sz val="9"/>
      </font>
    </dxf>
    <dxf>
      <font>
        <sz val="9"/>
      </font>
    </dxf>
    <dxf>
      <font>
        <sz val="9"/>
      </font>
    </dxf>
    <dxf>
      <font>
        <sz val="9"/>
      </font>
    </dxf>
    <dxf>
      <font>
        <sz val="9"/>
      </font>
    </dxf>
    <dxf>
      <alignment wrapText="1" readingOrder="0"/>
    </dxf>
    <dxf>
      <alignment wrapText="1" readingOrder="0"/>
    </dxf>
    <dxf>
      <alignment wrapText="1" readingOrder="0"/>
    </dxf>
    <dxf>
      <alignment wrapText="1"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alignment wrapText="1" readingOrder="0"/>
    </dxf>
    <dxf>
      <alignment wrapText="1" readingOrder="0"/>
    </dxf>
    <dxf>
      <alignment wrapText="0" readingOrder="0"/>
    </dxf>
    <dxf>
      <alignment wrapText="1" indent="0" readingOrder="0"/>
    </dxf>
    <dxf>
      <alignment wrapText="1" indent="0" readingOrder="0"/>
    </dxf>
    <dxf>
      <alignment wrapText="1" indent="0" readingOrder="0"/>
    </dxf>
    <dxf>
      <alignment wrapText="1" readingOrder="0"/>
    </dxf>
    <dxf>
      <alignment wrapText="1" readingOrder="0"/>
    </dxf>
    <dxf>
      <alignment wrapText="1" readingOrder="0"/>
    </dxf>
    <dxf>
      <font>
        <sz val="9"/>
      </font>
    </dxf>
    <dxf>
      <font>
        <sz val="9"/>
      </font>
    </dxf>
    <dxf>
      <font>
        <sz val="9"/>
      </font>
    </dxf>
    <dxf>
      <alignment horizontal="general" readingOrder="0"/>
    </dxf>
    <dxf>
      <alignment horizontal="general" readingOrder="0"/>
    </dxf>
    <dxf>
      <alignment horizontal="general"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alignment wrapText="1" indent="0" readingOrder="0"/>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font>
        <name val="Arial Narrow"/>
        <scheme val="none"/>
      </font>
    </dxf>
    <dxf>
      <alignment vertical="top" wrapText="1" readingOrder="0"/>
    </dxf>
    <dxf>
      <alignment vertical="top" wrapText="1" readingOrder="0"/>
    </dxf>
    <dxf>
      <alignment vertical="top" wrapText="1" readingOrder="0"/>
    </dxf>
    <dxf>
      <alignment vertical="top" wrapText="1" readingOrder="0"/>
    </dxf>
    <dxf>
      <alignment vertical="top" wrapText="1" readingOrder="0"/>
    </dxf>
    <dxf>
      <alignment vertical="top" wrapText="1" readingOrder="0"/>
    </dxf>
    <dxf>
      <alignment vertical="top" wrapText="1" readingOrder="0"/>
    </dxf>
    <dxf>
      <alignment vertical="top" wrapText="1" readingOrder="0"/>
    </dxf>
    <dxf>
      <alignment vertical="top" wrapText="1" readingOrder="0"/>
    </dxf>
    <dxf>
      <alignment vertical="top" wrapText="1" readingOrder="0"/>
    </dxf>
    <dxf>
      <alignment vertical="top" wrapText="1" readingOrder="0"/>
    </dxf>
    <dxf>
      <alignment vertical="top" wrapText="1" readingOrder="0"/>
    </dxf>
    <dxf>
      <alignment vertical="top" wrapText="1" readingOrder="0"/>
    </dxf>
    <dxf>
      <alignment vertical="top" wrapText="1" readingOrder="0"/>
    </dxf>
    <dxf>
      <alignment horizontal="left" readingOrder="0"/>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font>
        <sz val="9"/>
      </font>
    </dxf>
    <dxf>
      <alignment wrapText="1" readingOrder="0"/>
    </dxf>
    <dxf>
      <alignment wrapText="1" readingOrder="0"/>
    </dxf>
    <dxf>
      <alignment wrapText="0" readingOrder="0"/>
    </dxf>
    <dxf>
      <alignment wrapText="0" readingOrder="0"/>
    </dxf>
    <dxf>
      <alignment wrapText="0" readingOrder="0"/>
    </dxf>
    <dxf>
      <alignment wrapText="0" readingOrder="0"/>
    </dxf>
    <dxf>
      <font>
        <name val="Arial Narrow"/>
        <scheme val="none"/>
      </font>
    </dxf>
    <dxf>
      <font>
        <name val="Arial Narrow"/>
        <scheme val="none"/>
      </font>
    </dxf>
    <dxf>
      <font>
        <name val="Arial Narrow"/>
        <scheme val="none"/>
      </font>
    </dxf>
    <dxf>
      <font>
        <name val="Arial Narrow"/>
        <scheme val="none"/>
      </font>
    </dxf>
    <dxf>
      <font>
        <sz val="9"/>
      </font>
    </dxf>
    <dxf>
      <font>
        <sz val="9"/>
      </font>
    </dxf>
    <dxf>
      <font>
        <sz val="9"/>
      </font>
    </dxf>
    <dxf>
      <font>
        <sz val="9"/>
      </font>
    </dxf>
    <dxf>
      <alignment wrapText="1" indent="0" readingOrder="0"/>
    </dxf>
    <dxf>
      <alignment wrapText="1" indent="0" readingOrder="0"/>
    </dxf>
    <dxf>
      <alignment wrapText="1" indent="0" readingOrder="0"/>
    </dxf>
    <dxf>
      <alignment wrapText="1" indent="0"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numFmt numFmtId="4" formatCode="#,##0.00"/>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numFmt numFmtId="1" formatCode="0"/>
    </dxf>
    <dxf>
      <numFmt numFmtId="1" formatCode="0"/>
    </dxf>
    <dxf>
      <numFmt numFmtId="1" formatCode="0"/>
    </dxf>
  </dxfs>
  <tableStyles count="0" defaultTableStyle="TableStyleMedium2" defaultPivotStyle="PivotStyleLight16"/>
  <colors>
    <mruColors>
      <color rgb="FF00ABD4"/>
      <color rgb="FF99CC0D"/>
      <color rgb="FFFABC20"/>
      <color rgb="FF9FCCE3"/>
      <color rgb="FFF85C26"/>
      <color rgb="FFEEF4D7"/>
      <color rgb="FFAE8055"/>
      <color rgb="FFDCC8B6"/>
      <color rgb="FFC5A385"/>
      <color rgb="FF3D9B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14</xdr:col>
      <xdr:colOff>20159</xdr:colOff>
      <xdr:row>34</xdr:row>
      <xdr:rowOff>45176</xdr:rowOff>
    </xdr:to>
    <xdr:pic>
      <xdr:nvPicPr>
        <xdr:cNvPr id="2" name="Imatg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09600" y="1104900"/>
          <a:ext cx="7944959" cy="520137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urco Masip, Antoni" refreshedDate="45534.584460879632" createdVersion="6" refreshedVersion="6" minRefreshableVersion="3" recordCount="409" xr:uid="{00000000-000A-0000-FFFF-FFFF14000000}">
  <cacheSource type="worksheet">
    <worksheetSource ref="A4:Z471" sheet="PLA"/>
  </cacheSource>
  <cacheFields count="31">
    <cacheField name="EIXOS" numFmtId="0">
      <sharedItems containsBlank="1" count="8">
        <s v="NATURA"/>
        <s v=" CULTURA"/>
        <s v="CONEIXEMENT "/>
        <s v="DESENVOLUPAMENT LOCAL "/>
        <s v="ÚS PÚBLIC I SOCIAL"/>
        <s v="EDUCACIÓ, VOLUNTARIAT I COMUNICACIÓ "/>
        <m/>
        <s v="GESTIÓ I ADMINISTRACIÓ"/>
      </sharedItems>
    </cacheField>
    <cacheField name="N1" numFmtId="0">
      <sharedItems containsString="0" containsBlank="1" containsNumber="1" containsInteger="1" minValue="1" maxValue="16" count="17">
        <n v="1"/>
        <n v="2"/>
        <n v="3"/>
        <n v="4"/>
        <n v="5"/>
        <n v="6"/>
        <n v="7"/>
        <n v="8"/>
        <n v="9"/>
        <n v="10"/>
        <n v="11"/>
        <n v="12"/>
        <n v="13"/>
        <m/>
        <n v="14"/>
        <n v="15"/>
        <n v="16"/>
      </sharedItems>
    </cacheField>
    <cacheField name="OBJECTIUS Generals (PP)" numFmtId="0">
      <sharedItems containsBlank="1" count="17">
        <s v="CONSERVAR LA NATURA i restaurar els ecosistemes, els processos naturals i seminaturals, la biodiversitat i la geodiversitat associada."/>
        <s v="ADAPTAR ELS ECOSISTEMES AL CANVI CLIMÀTIC i millorar-ne la resiliència en front dels riscos associats."/>
        <s v="PROTEGIR LA BIODIVERSITAT, i especialment els elements fràgils i amenaçats, d’interès comunitari o de major interès natural."/>
        <s v="CONSERVAR ELS ELEMENTS CULTURALS materials i immaterials vinculats a la natura"/>
        <s v="PROTEGIR EL PAISATGE i la qualitat de l'ambient visual, sonor i lumínic."/>
        <s v="MILLORAR EL CONEIXEMENT DE L'ENTORN, del patrimoni natural, cultural i social."/>
        <s v="FIXAR LA POBLACIÓ AL TERRITORI d'acord amb les oportunitats que generen els objectius de l'espai."/>
        <s v="APROFITAR ELS RECURSOS NATURALS DE FORMA SOSTENIBLE mitjançant desenvolupament dels aprofitaments tradicionals de forma compatible amb la conservació de l'espai "/>
        <s v="FOMENTAR UN TURISME SOSTENIBLE compatible amb la conservació de l'espai "/>
        <s v="ORDENAR ELS USOS I APROFITAMENTS per garantir l'equilibri de les activitats humanes amb la conservació de la biodiversitat"/>
        <s v="ORDENAR L'ÚS PÚBLIC I SOCIAL per a la protecció dels hàbitats, espècies i elements geològics"/>
        <s v="GESTIONAR ELS RISCOS NATURALS per a l'autoprotecció de la població local"/>
        <s v="FORMAR I SENSIBILITZAR la població incrementant la valoració i estima social de l'ENP"/>
        <m/>
        <s v="COMUNICAR I DIFONDRE ELS VALORS DE L'ENP, contribuint a l'educació ambiental de la societat"/>
        <s v="ESTABLIR EL MARC PER A LA GOVERNANÇA i la gestió eficient de l'espai i la xarxa d'ENP"/>
        <s v="MILLORAR L'EFICIÈNCIA de la gestió administrativa"/>
      </sharedItems>
    </cacheField>
    <cacheField name="N2" numFmtId="0">
      <sharedItems containsBlank="1" count="59">
        <s v="01.1"/>
        <s v="01.2"/>
        <s v="01.3"/>
        <s v="01.4"/>
        <s v="02.1"/>
        <s v="02.2"/>
        <s v="03.1"/>
        <s v="03.2"/>
        <s v="03.3"/>
        <s v="03.4"/>
        <s v="04.1"/>
        <s v="04.2"/>
        <s v="04.3"/>
        <s v="04.4"/>
        <s v="05.1"/>
        <s v="05.2"/>
        <s v="05.3"/>
        <s v="06.1"/>
        <s v="06.2"/>
        <s v="06.3"/>
        <s v="06.4"/>
        <s v="06.5"/>
        <s v="07.1"/>
        <s v="08.1"/>
        <s v="08.2"/>
        <s v="08.3"/>
        <s v="08.4"/>
        <s v="09.1"/>
        <s v="09.2"/>
        <s v="10.1"/>
        <s v="11.1"/>
        <s v="11.2"/>
        <s v="11.3"/>
        <s v="11.4"/>
        <s v="11.5"/>
        <s v="11.6"/>
        <s v="11.7"/>
        <s v="11.8"/>
        <s v="12.1"/>
        <s v="13.1"/>
        <s v="13.2"/>
        <s v="13.3"/>
        <s v="13.4"/>
        <s v="13.5"/>
        <m/>
        <s v="13.6"/>
        <s v="13.7"/>
        <s v="13.8"/>
        <s v="13.9"/>
        <s v="14.1"/>
        <s v="14.2"/>
        <s v="14.3"/>
        <s v="15.1"/>
        <s v="16.1"/>
        <s v="16.2"/>
        <s v="16.3"/>
        <s v="16.4"/>
        <s v="16.5"/>
        <s v="16.6"/>
      </sharedItems>
    </cacheField>
    <cacheField name="OBJECTIUS Estratègics" numFmtId="0">
      <sharedItems containsBlank="1" count="58">
        <s v="Adequar i fer eficient la conservació dels elements objecte de gestió prioritària marcats per la DG a l'ENP"/>
        <s v="Executar les mesures de gestió directa previstes en els intruments de planificació per la conservació i la gestió adaptativa dels elements clau de l'ENP"/>
        <s v="Crear ecosistemes complexes, resilients, i d'alta biodiversitat per garantir la recuperació dels processos ecosistèmics"/>
        <s v="Alinear l'activitat de propietaris i gestors del territori amb la conservació, millora i restauració dels valors de l'ENP"/>
        <s v="Planificar l'adaptació dels sistemes naturals al canvi climàtic"/>
        <s v="Planificar la prevenció i extinció d’incendis forestals i la gestió del foc de forma coordinada amb els diferents agents del territori "/>
        <s v="Prevenir, minimitzar i compensar els impactes ambientals dels usos i activitats que es desenvolupin en l'àmbit de l'ENP"/>
        <s v="Garantir el compliment dels objectius de conservació dotant l'ENP de la planificació adequada segons estableix la normativa vigent (Pla de Protecció, PRUG, plans específics...)"/>
        <s v="Vetllar pel manteniment dels cabals ecològics i la bona qualitat dels cursos fluvials de l'ENP de forma coordinada amb l'administració competent"/>
        <s v="Incrementar el patrimoni públic destinat a la conservació i millora del patrimoni natural"/>
        <s v="Millorar el coneixement disponible sobre el patrimoni arquitectònic i cultural (material i immaterial) vinculat al patrimoni natural, el seu estat de conservació i els estils propis dels territoris de l'ENP"/>
        <s v="Conservar i gestionar el patrimoni cultural de l'ENP de forma coordinada amb els agents responsables i entitats de referència"/>
        <s v="Potenciar la conservació i recuperació del patrimoni cultural material i immaterial de l'ENP"/>
        <s v="Donar a conèixer els elements culturals com a valors del paisatge de l'ENP en les activitats d'ús públic "/>
        <s v="Identificar els elements d'interès paisatgístic de l'espai"/>
        <s v="Millorar la qualitat paisatgística"/>
        <s v="Protegir la qualitat acústica i lumínica de l'ENP"/>
        <s v="Identificar els objectes de gestió prioritària de l'ENP en el marc dels objectius de govern"/>
        <s v="Conèixer l'estat de conservació i la seva tendència dels hàbitats, les espècies els elements de la gea i els processos ecològics com a eina per avaluar i optimitzar la gestió"/>
        <s v="Estandaritzar els seguiments periòdics dels grups clau "/>
        <s v="Incrementar el coneixement de qualitat mitjançant l’establiment de marcs de col·laboració, assessorament i suport amb centres de recerca, museus i entitats naturalistes per al desenvolupament de part de la seva activitat en l’ENP"/>
        <s v="Millorar el coneixement global de les dinàmiques d'usos antròpics de l’ENP"/>
        <s v="Fomentar i donar suport tècnic als Plans de desenvolupament socioecòmonic local sostenible dels municipis "/>
        <s v="Impulsar models productius agraris i forestals per tal d'afavorir la conservació dels hàbitats i els paisatges modelats per aquestes, i contribuir a la millora socioeconòmica de les persones que la fan possible"/>
        <s v="Promoure la coordinació amb els agents socioeconòmics del territori pel foment del desenvolupament sostenible de l'espai (sector primari i secundari)"/>
        <s v="Millorar la valorització i comercialització dels productes generats a l'ENP que contribueixen al desenvolupament socioeconòmic i la conservació del patrimoni de l'ENP"/>
        <s v="Contribuir a una correcta planificació i gestió dels recursos cinegètics i piscícoles de forma compatible amb els valors de l'ENP"/>
        <s v="Fomentar un model de turisme que promogui els valors dels espais naturals protegits d'acord amb els agents turístics del territori "/>
        <s v="Promoure la coordinació amb els agents turístics del territori (empreses, industries, administració)."/>
        <s v="Estandarditzar de regulació d'usos i aprofitaments  en base al model de Pla de protecció"/>
        <s v="Estandaritzar regulació de l’ús públic i social en base al model acordat per govern"/>
        <s v="Disposar de la xarxa viària i itineraris oficials de l'ENP"/>
        <s v="Implementar el protocol estandarditzat basat en el pla per la regulació al accés, circulació i ús de la xarxa viària"/>
        <s v="Enfortir la col·laboració i coordinació amb els agents d'ús públic (empreses, entitats i ajuntaments)"/>
        <s v="Mantenir i millorar la senyalització de l'ENP"/>
        <s v="Prevenir i gestionar els impactes derivats de la sobrefreqüentació"/>
        <s v="Ordenar i estandaritzar els espais d'acollida de visitants i equipaments d'ús públic, i garantir un correcte servei d'atenció i acollida dels visitants"/>
        <s v="Garantir el compliment de la normativa dins els ENP, especialment en l'accés motoritzat, zones amb hiperfrequentació i elements amb aprofitament comercial"/>
        <s v="Col·laborar amb les autoritats competents per a la gestió de riscos dins l’ENP"/>
        <s v="Afavorir la vinculació entre la comunitat educativa de l'entorn i l'ENP "/>
        <s v="Promoure una oferta pedagògica basada en metodologies innovadores i actives que estiguin alineades amb el currículum educatiu del Departament d'Educació"/>
        <s v="Establir mecanismes estables de formació, treball i coordinació amb els col·lectius implicats en la sensibilització i l'educació dins el ENP"/>
        <s v="Desplegar un programa de divulgació i sensibilització per a visitants"/>
        <s v="Desplegar un programa de sensibilització i formació per als col·lectius del territori estratègics en la conservació de la natura"/>
        <m/>
        <s v="Fomentar accions de voluntariat per conservar el patrimoni natural i cultural "/>
        <s v="Treballar per a la universalitat de les accions d’educació, sensibilització i voluntariat ambiental "/>
        <s v="Desplegar i adaptar el programa Salut i Natura de la DG en l'àmbit de l'ENP"/>
        <s v="Augmentar el coneixement de l'ENP entre la població"/>
        <s v="Conscienciar sobre els valors de l'ENP als diferents públics objectiu"/>
        <s v="Disposar d'una comunicació ordenada efectiva, positiva i coordinada que arribi a la ciutadania i aquesta pugui reconèixer fàcilment "/>
        <s v="Disposar d'espais per a la participació de personal expert i agents del territori en la governança de l'ENP"/>
        <s v="Optimitzar l'aplicació pressupostaria"/>
        <s v="Planificar i optimitzar els processos de contractació, concessió d'ajuts, i les col·laboracions amb ens públics i privats"/>
        <s v="Agilitzar, incrementar l'eficiència  i incrementar l’assoliment dels procediments administratius"/>
        <s v="Ordenar l'estat dels béns patrimonials"/>
        <s v="Estructurar la gestió documental"/>
        <s v="Gestionar recursos humans"/>
      </sharedItems>
    </cacheField>
    <cacheField name="N3" numFmtId="0">
      <sharedItems containsBlank="1" count="194">
        <s v="01.1.1"/>
        <s v="01.1.2"/>
        <s v="01.2.1"/>
        <s v="01.2.2"/>
        <s v="01.2.3"/>
        <s v="01.2.4"/>
        <s v="01.3.1"/>
        <s v="01.3.2"/>
        <s v="01.3.3"/>
        <s v="01.3.4"/>
        <s v="01.3.5"/>
        <s v="01.3.6"/>
        <s v="01.4.1"/>
        <s v="01.4.2"/>
        <s v="01.4.3"/>
        <s v="02.1.1"/>
        <s v="02.1.2"/>
        <s v="02.1.3"/>
        <s v="02.1.4"/>
        <s v="02.2.1"/>
        <s v="02.2.2"/>
        <s v="02.2.3"/>
        <s v="03.1.1"/>
        <s v="03.1.2"/>
        <s v="03.1.3"/>
        <s v="03.2.1"/>
        <s v="03.3.1"/>
        <s v="03.3.2"/>
        <s v="03.3.3"/>
        <s v="03.3.4"/>
        <s v="03.4.1"/>
        <s v="03.4.2"/>
        <s v="04.1.1"/>
        <s v="04.1.2"/>
        <s v="04.1.3"/>
        <s v="04.2.1"/>
        <s v="04.2.2"/>
        <s v="04.2.4"/>
        <s v="04.3.1"/>
        <s v="04.3.2"/>
        <s v="04.3.3"/>
        <s v="04.3.4"/>
        <s v="04.4.1"/>
        <s v="04.4.2"/>
        <s v="04.4.3"/>
        <s v="05.1.1"/>
        <s v="05.2.1"/>
        <s v="05.2.2"/>
        <s v="05.2.3"/>
        <s v="05.3.1"/>
        <s v="05.3.2"/>
        <s v="06.1.1"/>
        <s v="06.1.2"/>
        <s v="06.2.1"/>
        <s v="06.2.2"/>
        <s v="06.2.3"/>
        <s v="06.2.4"/>
        <s v="06.2.5"/>
        <s v="06.2.6"/>
        <s v="06.2.7"/>
        <s v="06.3.1"/>
        <s v="06.3.2"/>
        <s v="06.3.3"/>
        <s v="06.3.4"/>
        <s v="06.4.1"/>
        <s v="06.4.2"/>
        <s v="06.4.3"/>
        <s v="06.4.4"/>
        <s v="06.4.5"/>
        <s v="06.4.6"/>
        <s v="06.5.1"/>
        <s v="06.5.2"/>
        <s v="06.5.3"/>
        <s v="06.5.4"/>
        <s v="06.5.5"/>
        <s v="06.5.6"/>
        <s v="07.1.1"/>
        <s v="08.1.1"/>
        <s v="08.1.2"/>
        <s v="08.1.3"/>
        <s v="08.2.1"/>
        <s v="08.3.1"/>
        <s v="08.3.2"/>
        <s v="08.3.3"/>
        <s v="08.3.4"/>
        <s v="08.3.5"/>
        <s v="08.3.6"/>
        <s v="08.3.7"/>
        <s v="08.4.1"/>
        <s v="08.4.2"/>
        <s v="08.4.3"/>
        <s v="09.1.1"/>
        <s v="09.1.2"/>
        <s v="09.2.1"/>
        <s v="09.2.2"/>
        <s v="10.1.1"/>
        <s v="11.1.1"/>
        <s v="11.1.2"/>
        <s v="11.1.3"/>
        <s v="11.1.4"/>
        <s v="11.1.5"/>
        <s v="11.1.6"/>
        <s v="11.1.7"/>
        <s v="11.1.8"/>
        <s v="11.1.9"/>
        <s v="11.1.10"/>
        <s v="11.1.11"/>
        <s v="11.1.12"/>
        <s v="11.1.13"/>
        <s v="11.2.1"/>
        <s v="11.2.2"/>
        <s v="11.3.1"/>
        <s v="11.3.2"/>
        <s v="11.3.3"/>
        <s v="11.3.4"/>
        <s v="11.3.5"/>
        <s v="11.4.1"/>
        <s v="11.4.2"/>
        <s v="11.5.1"/>
        <s v="11.5.2"/>
        <s v="11.6.1"/>
        <s v="11.6.2"/>
        <s v="11.7.1"/>
        <s v="11.7.2"/>
        <s v="11.7.3"/>
        <s v="11.7.4"/>
        <s v="11.7.5"/>
        <s v="11.8.1"/>
        <s v="11.8.2"/>
        <s v="11.8.3"/>
        <s v="12.1.1"/>
        <s v="12.1.2"/>
        <s v="13.1.1"/>
        <s v="13.1.2"/>
        <s v="13.1.3"/>
        <s v="13.1.4"/>
        <s v="13.2.1"/>
        <s v="13.2.2"/>
        <s v="13.2.3"/>
        <s v="13.2.4"/>
        <s v="13.2.5"/>
        <s v="13.3.1"/>
        <s v="13.3.2"/>
        <s v="13.3.3"/>
        <s v="13.4.1"/>
        <s v="13.4.2"/>
        <s v="13.5.1"/>
        <s v="13.5.2"/>
        <s v="13.5.3"/>
        <s v="13.5.4"/>
        <s v="13.5.5"/>
        <m/>
        <s v="13.6.1"/>
        <s v="13.6.2"/>
        <s v="13.6.3"/>
        <s v="13.7.1"/>
        <s v="13.7.2"/>
        <s v="13.7.3"/>
        <s v="13.8.1"/>
        <s v="13.8.2"/>
        <s v="13.8.3"/>
        <s v="13.8.4"/>
        <s v="13.8.5"/>
        <s v="14.1.1"/>
        <s v="14.1.2"/>
        <s v="14.2.1"/>
        <s v="14.3.1"/>
        <s v="14.3.2"/>
        <s v="15.1.1"/>
        <s v="15.1.2"/>
        <s v="15.1.3"/>
        <s v="15.1.4"/>
        <s v="15.1.5"/>
        <s v="16.1.1"/>
        <s v="16.1.2"/>
        <s v="16.2.1"/>
        <s v="16.2.2"/>
        <s v="16.2.3"/>
        <s v="16.2.4"/>
        <s v="16.3.1"/>
        <s v="16.3.2"/>
        <s v="16.3.3"/>
        <s v="16.3.4"/>
        <s v="16.3.5"/>
        <s v="16.3.6"/>
        <s v="16.4.1"/>
        <s v="16.4.2"/>
        <s v="16.4.3"/>
        <s v="16.4.4"/>
        <s v="16.5.1"/>
        <s v="16.6.1"/>
        <s v="16.6.2"/>
        <s v="16.6.3"/>
        <s v="04.2.3" u="1"/>
      </sharedItems>
    </cacheField>
    <cacheField name="OBJECTIUS operatius / Línia estratègica" numFmtId="0">
      <sharedItems containsBlank="1"/>
    </cacheField>
    <cacheField name="Comú / Específic" numFmtId="0">
      <sharedItems containsBlank="1"/>
    </cacheField>
    <cacheField name="Obligatori / Optatiu" numFmtId="0">
      <sharedItems containsBlank="1"/>
    </cacheField>
    <cacheField name="Objectiu operatiu concret a l'espai" numFmtId="0">
      <sharedItems containsBlank="1" count="205">
        <s v="Elaborar plans de gestió específics per a hàbitats i espècies de conservació prioritària dins de l'ENP i executar les actuacions incloses en aquests"/>
        <s v="Elaborar i executar plans de gestió específics per a elements geològics de conservació prioritària dins l'ENP"/>
        <s v="Implementar la metodologia de gestió adaptativa (Estàndards Oberts de Gestió Adaptativa a Catalunya) en tots els processos de l'ENP"/>
        <s v="Participar en l'elaboració dels  plans de conservació o recuperació d'espècies amenaçades de forma coordinada amb el Servei de Flora i Fauna en l'àmbit de l'ENP i executar les actuacions"/>
        <s v="Participar en l'elaboració dels plans de control i erradicació d'espècies exòtiques de forma coordinada amb el Servei de Flora i Fauna en l'àmbit de l'ENP i executar les mesures de gestió previstes"/>
        <s v="Desplegar els objectius i tasques recollits en els instruments de referència i compromisos internacionals  "/>
        <s v="Identificar i promoure espais per al foment de la dinàmica natural i l'aprofitament no extractiu"/>
        <s v="Afavorir la maduresa dels sistemes forestals"/>
        <s v="Planificar pertorbacions controlades i executar les actuacions"/>
        <s v="Planificar i restaurar la dinàmica natural dels rius "/>
        <s v="Fomentar el paisatge en mosaic"/>
        <s v="Planificar i intervenir en la dinàmica de poblacions de fauna que poden generar impactes negatius en la conservació dels elements d'interès de l'ENP"/>
        <s v="Fomentar acords de custòdia en espais d'alt valor dins l'ENP per a la gestió dels elements prioritaris"/>
        <s v="Fomentar bones pràctiques entre els col·lectius de propietaris i gestors del territori"/>
        <s v="Impulsar la coordinació amb els ens locals i l'Administració pública de boscos en la gestió finques públiques situades dins d’ENP"/>
        <s v="Promoure l'elaboració del Pla d'adaptació de l'ENP al canvi climàtic"/>
        <s v="Promoure la planificació, la gestió i el control dels recursos hídrics de l'ENP"/>
        <s v="Participar en la redacció dels instruments d'ordenació forestal sostenible, amb objectius de conservació, en finques públiques"/>
        <s v="Participar en la redacció dels instruments d'ordenació forestal sostenible, amb objectius de conservació, en finques privades"/>
        <s v="Redactar i implementar el Pla de Prevenció d'Incendis de l'ENP"/>
        <s v="Definir i planificar la gestió del foc per a la millora de l'ENP"/>
        <s v="Participar, juntament amb els propietaris, ajuntaments i bombers, en els diversos plans de prevenció d'incendis (PPP, plans municipals, franges de protecció...)"/>
        <s v="Participar en les consultes dels processos d'Avaluació Ambiental que afectin directament o indirectament l'ENP"/>
        <s v="Exercir un seguiment efectiu de les obres i actuacions al Parc juntament amb les Oficines Territorials d'Acció i Avaluació Ambiental i el Cos d'Agents Rurals als efectes d'assegurar la correcta translació de la tutela administrativa."/>
        <s v="Participar en la compensació d'impactes residuals durant els processos d'avaluació ambiental mitjançant la identificació de necessitats d'actuació prioritària dins i fora dels límits de l’ENP"/>
        <s v="Participar en l'elaboració dels instruments de planificació de l'ENP"/>
        <s v="Vetllar, juntament amb altres administracions, pel manteniment del cabal ecològic dels rius definit al Pla sectorial corresponent"/>
        <s v="Vetllar per la regulació dels dragatges, canalitzacions o implantació d'activitats extractives que puguin modificar la llera i el cabal dels rius"/>
        <s v="Avaluar i controlar les actuacions que produeixin drenatges, captacions o que puguin impedir l’arribada d’aigua tant superficial com freàtica"/>
        <s v="Vetllar, juntament amb altres administracions, pel compliment de la normativa de depuració dels efluents agroramaders, urbans i industrials que s'aboquen als cursos fluvials"/>
        <s v="Identificar i promoure l'adquisició d'espais prioritaris per a la compra de terrenys de més valor dins l'ENP "/>
        <s v="Identificar espais prioritaris en finques públiques destinades a altres usos per a la gestió directa"/>
        <s v="Elaborar l'inventari i cartografia de patrimoni arquitèctonic i cultural de l'ENP, que també inclogui el patrimoni etnològic i immaterial"/>
        <s v="Elaborar el catàleg lingüístic (localismes) de patrimoni natural, geografia popular, festes i activitats tradicionals de l'ENP"/>
        <s v="Elaborar la cartografia de la xarxa de camins ramaders i senders tradicionals de l'ENP"/>
        <s v="Identificar els ens de referència en patrimoni cultural (entitats, associacions, museus i ecomuseus, etc.) en l'àmbit de l'ENP"/>
        <s v="Impulsar i participar en línies de treball conjuntes entre l'ENP i representants, gestors o custodis del patrimoni cultural per a la seva protecció i millora"/>
        <s v="Formar al personal tècnic de l'ENP en patrimoni cultural"/>
        <s v="Recuperar i conservar el patrimoni cultural rural immaterial associat a les activitats i aprofitaments tradicionals "/>
        <s v="Recuperar i conservar el patrimoni cultural rural vinculat específicament a construccions de pedra en sec"/>
        <s v="Fomentar la recuperació i conservació de l'arquitectura tradicional d'interès de les edificacions i construccions, en especial de les construccions de pedra en sec "/>
        <s v="Identificar i conservar la diversitat domesticada de varietats agrícoles i ramaderes locals"/>
        <s v="Integrar el patrimoni cultural als itineraris, cartelleria i materials de difusió de l'ENP."/>
        <s v="Incorporar el patrimoni cultural en els plans d’ús públic i educació ambiental per fomentar-ne la seva conservació i divulgació."/>
        <s v="Formar el personal dels punts d’informació en els valors culturals de l'ENP"/>
        <s v="Elaborar un inventari d'elements d'interès paisatgístic de l'ENP d'acord amb el Catàleg de paisatge de la zona "/>
        <s v="Desplegar actuacions de restauració i conservació dels elements d'interès paisatgístic degradats"/>
        <s v="Gestionar l'abandonament d'infraestructures i instal·lacions amb inpactes sobre els valors de l'espai"/>
        <s v="Minimitzar la brutícia, deixalles, vandalisme i males praxis dins l'ENP"/>
        <s v="Promoure la certificació de qualitat del cel nocturn"/>
        <s v="Promoure la certificació de zones d'especial protecció de la qualitat acústica"/>
        <s v="Identificar i prioritzar els elements clau i d'interès per la gestió de la biodiversitat i geodiversitat de Catalunya que es troben dins l'ENP (espècies amenaçades, espècies exòtiques invasores... )"/>
        <s v="Definir espais fràgils i zones d'especial atenció"/>
        <s v="Participar en l'elaboració de la cartografia que elabora la UIC"/>
        <s v="Conèixer i estudiar els processos naturals propis de l’espai, la seva funcionalitat, i ecologia en referència als ecosistemes"/>
        <s v="Conèixer els usos i factors de canvi rellevants en l'evolució dels elements de conservació, i avaluar els efectes que generen en l’espai (pressions i amenaces)"/>
        <s v="Conèixer l'impacte de la gestió de l'aigua sobre la biodiversitat."/>
        <s v="Participar en el coneixement de la tendència d'espècies plaga amb afectacions sobre ecosistemes o activitats econòmiques dins l'ENP"/>
        <s v="Conèixer la tendència d'espècies exòtiques invasores amb afectacions sobre ecosistemes o activitats econòmiques dins l'ENP"/>
        <s v="Conèixer com millorar la connectivitat de forma coordinada amb altres ENP"/>
        <s v="Participar en la definició del sistema estàndard de seguiment de flora, fauna i hàbitats de la DG"/>
        <s v="Adequar i executar el sistema de seguiment periòdic dels grups clau de l'ENP al sistema estàndard de seguiment"/>
        <s v="Mantenir una base de dades de seguiment de patrimoni natural de l'ENP actualitzada i ordenada "/>
        <s v="Participar en el grups de treball per a la definició i organització del SINATCAT"/>
        <s v="Crear sinèrgies i col·laborar amb museus i equipaments de referència per definir línies d'actuació conjunta entre patrimoni cultural i natural"/>
        <s v="Contractació o establiment d'acords amb les institucions de recerca i naturalistes per al desenvolupament d'estudis i inventaris dins l'ENP en el marc de les seves línies de recerca"/>
        <s v="Potenciar la ciència ciutadana en l’ENP com a eina per generar coneixement "/>
        <s v="Crear i desenvolupar jornades de recerca de l'ENP de forma periòdica on els diferents centres mostrin els estudis realizats en l'ENP "/>
        <s v="Posar a disposició de la recerca, equipaments i serveis de l'ENP"/>
        <s v="Crear l'Observatori de recerca de l'ENP vinculat a l'Observatori del Patrimoni natural i la biodiversitat "/>
        <s v="Participar en la definició del sistema estándard de seguiment de l'ús públic amb el SENP"/>
        <s v="Disposar de dades de freqüentació i perfil d'usuari en l'ENP i en especial en equipaments i en zones d'alta freqüentació segons el model de DG "/>
        <s v="Identificar les activitats i actors de l’espai."/>
        <s v="Identificar en cartografia les males praxis i punts de massificació"/>
        <s v="Adaptar i mantenir un registre d'activitats, actors i inciències en ús públic (curses, conflictes, queixes, etc)"/>
        <s v="Identificar els impactes (positius i negatius) que generen les activitats d'ús públic dins l'ENP"/>
        <s v="Promoure i col·laborar en l'aplicació de Plans de Desenvolupament Local Sostenible "/>
        <s v="Acompanyar i assessorar els productors agraris per millorar les tècniques productives agràries i afavorir la conservació dels hàbitats i paisatges "/>
        <s v="Oferir formació als productors agraris, ramaders i forestals per millorar el seu coneixement sobre tècniques eficients i respectuoses amb la conservació del patrimoni natural i cultural "/>
        <s v="Promoure i recuperar la conservació de marges i punts d'aigua associats a la ramaderia i l'agricultura i d'interès per la biodiversitat"/>
        <s v="Establir una relació contínua amb agents socioeconòmics del territori, i si s'escau, crear una Taula de desenvolupament local"/>
        <s v="Implantar un distintiu de qualitat i compatibilitat amb la conservació dels productes de la Xarxa d'ENP o criteris de qualitat propis de l'ENP"/>
        <s v="Integrar els productes i activitats locals de qualitat en l'oferta d'activitats d'informació i turístiques de l'ENP"/>
        <s v="Promoure fires d'artesania i productes locals de l'ENP"/>
        <s v="Generar aliances entre el sector primari, el turisme, la restauració i altres per fomentar la gastronomia local "/>
        <s v="Elaborar una diagnòsi del teixit productiu local i un pla d’acció amb línies de treball i actuacions concretes per donar-li suport"/>
        <s v="Elaborar una guia per promocionar els agents del territori que potencien i difonen els productes locals i de qualitat (allotjaments, restaurants, cellers, establiments, elaboradors, productors, artesans)"/>
        <s v="Desplegar el Pla d'acció per al foment de l'artesania del Parc Natural dels Ports (2023-2027)"/>
        <s v="Desplegar el Pla d'acció de la Diagnosi dels productors i productores locals del PNP"/>
        <s v="Col·laborar amb l'Administració cinegètica i les Àrees privades de caça per garantir objectius de conservació d’espècies i hàbitats en la revisió dels Plans de Gestió Cinegètica"/>
        <s v="Col·laborar en la regulació i ordenació de la caça i la pesca en zones sensibles o amb risc d'afectació d'elements clau objecte de conservació"/>
        <s v="Donar suport en la gestió de poblacions que generen danys a les activitats econòmiques de l'ENP"/>
        <s v="Desplegar la Carta Europea de Turisme Sostenible (CETS)"/>
        <s v="Tramitar la certificació Biosphere"/>
        <s v="Treballar amb les empreses turístiques per trobar eines de canvi cap a un model de turisme sostenible i de qualitat "/>
        <s v="Crear productes i paquets turístics amb associacions d’empreses turístiques i operadors turístics"/>
        <s v="Establir un model de construcció a l'ENP en base a les tècniques tradicionals"/>
        <s v="Regular l'acampada i pernoctació  en base al model de Pla de protecció"/>
        <s v="Regular la circulació rodada no motoritzada en base al model de Pla de protecció"/>
        <s v="Regular l'escalada i alpinisme, barranquisme, i espeleologia  en base al model de Pla de protecció"/>
        <s v="Regular les curses i altres activitats esportives organitzades en base al model de Pla de protecció"/>
        <s v="Regular els enregistraments i l'observació de fauna i natura en base al model de Pla de protecció"/>
        <s v="Regular les activitats científiques en base al model de Pla de protecció"/>
        <s v="Regular les zones de bany"/>
        <s v="Regular l'enlairament i aterratge sense motor"/>
        <s v="Regular el submarinisme i l'snorkel"/>
        <s v="Regular les activitats aquàtiques i nàutiques i zones de fondeig"/>
        <s v="Regular la presència d'animals de companyia"/>
        <s v="Regular lels activitats d'educació ambiental i el lleure educatiu"/>
        <s v="Aplicar i desenvolupar la regulació de les activitats de lleure, esportives, científiques i d'educació ambiental"/>
        <s v="Elaboració del Pla d'Ús Públic del PN."/>
        <s v="Identificar i classificar la xarxa viària bàsica, secundària, senders i itineraris senyalitzats d'acord amb els ajuntaments "/>
        <s v="Col·laborar amb SENP, conjuntament amb els principals canals d’informació de rutes, per prioritzar itineraris oficials dins l’ENP"/>
        <s v="Promoure i col·laborar en la regulació de l'accés i la circulació amb els ajuntaments i els propietaris privats"/>
        <s v="Promoure i col·laborar en la regulació de la xarxa viària principal, secundària i restringida"/>
        <s v="Promoure i col·laborar en la regulació de l'ús de drons, l'enlairament i l'aterratge"/>
        <s v="Aplicar limitacions temporals d'accés o circulació"/>
        <s v="Promoure i col·laborar, amb ajuntaments i propietaris particulars, la regulació de les zones d'estacionament de vehicles"/>
        <s v="Implementar l'ordenació de l'ús públic en col·laboració amb els agents del territori"/>
        <s v="Promoció i acompanyament en l'ordenació de l'ús públic de l'ENP des de l'àmbit municipal"/>
        <s v="Mantenir i actualitzar l'inventari de senyalètica de l'ENP, d'acord amb el Manual de senyalització dels espais naturals protegits"/>
        <s v="Implantar el programa de senyalització i manteniment "/>
        <s v="Potenciar la visita a espais alternatius dins de l'àmbit d'influència de l'espai natural per reduir la pressió en zones sensibles "/>
        <s v="Implementar les mesures extraordinàries de regulació de l'ús públic "/>
        <s v="Adequar els principals accessos, aparcaments i centres d'interès amb un ús elevat"/>
        <s v="Disposar dels equipaments i infraestructures necessàries i accessibles per acollir, informar, facilitar la visita i garantir la seguretat dels visitants i la protecció de l'entorn"/>
        <s v="Desenvolupar el Pla d'acollida als visitants en base al model de la DG"/>
        <s v="Adaptar els missatges a donar des d'oficines d’informació, pròpies i alienes, d'acord amb el model de la DG"/>
        <s v="Mantenir els serveis d'informació actuals de l'ENP"/>
        <s v="Elaborar i executar el Pla de vigilància de l’espai d'acord amb els cossos d’inspecció i seguretat"/>
        <s v="Millorar la coordinació amb els cossos de seguretat per efectuar accions de control i vigilància"/>
        <s v="Vetllar pel compliment d'informes i la vigilància tècnica de l'espai"/>
        <s v="Col·laborar en la redacció i execució dels plans d’emergències"/>
        <s v="Contribuir a la protecció dels assentaments humans respecte dels riscos naturals"/>
        <s v="Definir el model de Xarxa d'Escoles de l'Espai Natural (XEEN) a l'ENP amb els agents educatius del territori"/>
        <s v="Desplegar el model de Xarxa d'Escoles de l'Espai Natural (XEEN) a l'ENP d'acord amb el model general"/>
        <s v="Formar i capacitar al professorat de la XEEN "/>
        <s v="Desenvolupar el programa educatiu de l'ENP als centres educatius del territori"/>
        <s v="Adaptar i millorar l'oferta pedagògica de l'ENP generant situacions d'aprenentatge i treballs per projecte"/>
        <s v="Dissenyar projectes d'ApS ambiental i Ciència ciutadana i projectes compartits amb entitats del territori que s'incloguin dins de l'oferta pedagògica."/>
        <s v="Elaborar recursos educatius sobre l’espai (que tinguin en compte les problemàtiques singulars del seu espai) i posar-los a disposició dels centres educatius"/>
        <s v="Oferir projectes de recerca vinculats a l'espai natural per a l'alumnat universitari i de la XEEN"/>
        <s v="Desplegar el Pla estratègic 2021-2030 d’educació i voluntariat ambiental del Parc Natural dels Ports (PEEVA): Educació ambiental"/>
        <s v="Establir un model de coordinació territorial amb agents clau de l'educació ambiental"/>
        <s v="Cercar i establir col·laboracions i projectes conjunts amb agents clau del territori"/>
        <s v="Elaborar formacions dirigides als informadors, educadors i altres prescriptors del territori"/>
        <s v="Desplegar en el territori les campanyes de sensibilització i bones pràctiques que s'impulsin des de la DG"/>
        <s v="Adaptar el programa de divulgació i sensibilització de l'ENP perquè incorpori una oferta d’activitats adequada per a famílies "/>
        <s v="Adaptar el programa de divulgació i sensibilització de l'ENP perquè incorpori una oferta d’activitats dirigida al lleure educatiu "/>
        <s v="Identificar col·lectius estratègics implicats en la gestió i l'ús del territori"/>
        <s v="Executar els projectes de sensibilització i formació dirigits al sector esportiu"/>
        <s v="Redactar i executar els projectes de sensibilització i formació dirigits als agents de lleure educatiu "/>
        <s v="Executar els projectes de sensibilització i formació dirigits als agents del sector primari "/>
        <s v="Elaborar i renovar periòdicament un programa d’educació ambiental adreçat a la població local que contribueixi a fomentar el sentiment de pertinença i la implicació en la conservació de l'ENP."/>
        <m/>
        <s v="Identificar els programes, projectes i accions en marxa o previstos a l’ENP que poden rebre el suport del voluntariat"/>
        <s v="Establir un model de coordinació territorial amb agents clau del voluntariat ambiental"/>
        <s v="Desplegar el Pla estratègic 2021-2030 d’educació i voluntariat ambiental del Parc Natural dels Ports (PEEVA): Voluntariat ambiental"/>
        <s v="Dissenyar i adaptar activitats inclusives per a persones amb necessitats específiques"/>
        <s v="Formar el personal de l'ENP (informadors i personal que treballa de cara al públic) en accessibilitat, diversitat funcional i diversitat de gènere"/>
        <s v="Incorporar la perspectiva de gènere als continguts i activitats de l'ENP"/>
        <s v="Dissenyar, implementar i fomentar itineraris saludables dins dels itineraris oficials dels ENP i en la zona d'influència"/>
        <s v="Identificar els agents clau i els àmbits de col·laboració per implementar el binomi salut i natura"/>
        <s v="Incloure el concepte de salut i natura en els missatges educatius i comunicatius de l'ENP "/>
        <s v="Participar a les Taules territorials de Salut i Natura"/>
        <s v="Desplegar la Taula Territorial de Salut i Natura de les Terres de l'Ebre"/>
        <s v="Informar periòdicament sobre les tasques, projectes i actuacions que duu a terme l'ENP a la població"/>
        <s v="Garantir l'accessibilitat i gestió del coneixement disponible sobre l'ENP"/>
        <s v="Sensibilitzar als diferents agents sobre els valors de l'ENP"/>
        <s v="Optimitzar els canals de comunicació"/>
        <s v="Garantir l'harmonització de la comunicació com a Parc, Xarxa i Generalitat."/>
        <s v="Crear taules de treball temàtiques amb els agents prioritaris per a la gestió de l'ENP"/>
        <s v="Disposar d'assessorament científic en l'ENP"/>
        <s v="Incloure entitats i organismes científics i culturals de referència en els mecanismes de presa de decisions de l'ENP"/>
        <s v="Participar en l'adaptació i el desplegament del model de governança dels espais naturals protegits"/>
        <s v="Gestionar administrativament la Junta rectora de l'ENP"/>
        <s v="Millorar el sistema de control de l'execució del pressupost, d'acord amb les indicacions de Serveis Centrals"/>
        <s v="Gestionar administrativament els pressupostos anuals d'entrades i despeses (RAE, Diputació de Tarragona, DG...) i fer un seguiment dels contractes"/>
        <s v="Planificar i detectar les necessitats de contractació del l'ENP per a l'optimització dels contractes a nivell de Xarxa"/>
        <s v="Planificar i detectar les tasques de convocatòries d'ajuts de l'ENP"/>
        <s v="Participar en la renovació en temps i forma convenis de col·laboració, convenis marc, acords, protocols i altres instruments de col·laboració."/>
        <s v="Participar en l'avaluació i el seguiment de les actuacions derivades dels ajuts (certificacions, expedients administratius, publicitat...)"/>
        <s v="Gestionar administrativament i optimitzar els informes de l'òrgan gestor"/>
        <s v="Adequar i actualitzar els procediments i tramitacions realitzats des de l'ENP als nous processos i eines conjuntes proposades des de Serveis Centrals"/>
        <s v="Augmentar el coneixement de l'equip de treball en matèria de procediment administratiu"/>
        <s v="Garantir la transparència administrativa i l'accés a la informació pública"/>
        <s v="Millorar i mantenir el material i infraestructures de gestió"/>
        <s v="Gestionar administrativament les autoritzacions de l'òrgan gestor"/>
        <s v="Revisar l’estat dels béns patrimonials i la situació administrativa-legal dels equipaments del parc"/>
        <s v="Col·laborar en la tramitació i la definició dels riscos de pèrdues o danys materials del patrimoni de la Generalitat de Catalunya en l'àmbit territorial del Parc per part de les pòlisses d'assegurances"/>
        <s v="Col·laborar en la tramitació i la definició dels riscos de les pòlisses d'assegurances de responsabilitat patrimonial i civil "/>
        <s v="Mantenir i millorar els equipaments de gestió (oficines, cases forestals...) de l'ENP"/>
        <s v="Gestionar el Centre de Documentació de l'ENP i millorar l'accessibilitat"/>
        <s v="Gestionar i coordinar la brigada de manteniment de l'ENP"/>
        <s v="Coordinar administrativament el personal de l'òrgan gestor (vehicles, vacances, validacions ATRI, reunions coordinació, participar en processos selectius...)"/>
        <s v="Enfortir i consolidar l'equip gestor de l'ENP"/>
        <s v="Definició i clarificació dels rols de l'equip del parc i una correcta definició de les tasques de cada membre."/>
        <s v="Elaborar una guia per promocionar els agents del territori que potencien i difonen els productes alimentaris locals i de qualitat (allotjaments, restaurants, cellers, establiments, elaboradors i productors)" u="1"/>
        <s v="NOU. Desplegar el Pla estratègic 2021-2030 d’educació i voluntariat ambiental del Parc Natural dels Ports (PEEVA)" u="1"/>
        <s v="Adaptar el programa de divulgació i sensibilització de l'ENP perquè incorpori una oferta d’activitats adequada per a altres perfils " u="1"/>
        <s v="Integrar el patrimoni cultural als itineraris i cartelleria de l'ENP." u="1"/>
        <s v="Coordinar i participar dels treballs de restauració arquitectònica i del patrimoni cultural" u="1"/>
        <s v="*Nou. Aplega tots els Ops anteriors i s'ajusta més a la realitat actual de l'ENP" u="1"/>
        <s v="Establir un model de construcció a l'ENP en base al model de Pla de protecció" u="1"/>
        <s v="Aplicar i desenvolupar la regulació de les activitats de lleure, esportives i d'educació ambiental" u="1"/>
      </sharedItems>
    </cacheField>
    <cacheField name="Explicació de la decisió presa en el cas de canvis respecte al llistat inicial (columna G)" numFmtId="0">
      <sharedItems containsBlank="1"/>
    </cacheField>
    <cacheField name="Objectiu amb mesures incorporables a la planificació anual de la gestió de l'espai?" numFmtId="0">
      <sharedItems containsBlank="1" count="3">
        <s v="Si"/>
        <s v="No"/>
        <m/>
      </sharedItems>
    </cacheField>
    <cacheField name="Prioritat" numFmtId="0">
      <sharedItems containsBlank="1"/>
    </cacheField>
    <cacheField name="Propostes genèriques d'accions" numFmtId="0">
      <sharedItems containsBlank="1" longText="1"/>
    </cacheField>
    <cacheField name="Marc de referència" numFmtId="0">
      <sharedItems containsBlank="1"/>
    </cacheField>
    <cacheField name="Resultats derivats" numFmtId="0">
      <sharedItems containsBlank="1"/>
    </cacheField>
    <cacheField name="indicadors" numFmtId="0">
      <sharedItems containsNonDate="0" containsString="0" containsBlank="1"/>
    </cacheField>
    <cacheField name="Mínima" numFmtId="0">
      <sharedItems containsNonDate="0" containsString="0" containsBlank="1"/>
    </cacheField>
    <cacheField name="Màxim (Desitjable)" numFmtId="0">
      <sharedItems containsNonDate="0" containsString="0" containsBlank="1"/>
    </cacheField>
    <cacheField name="Hores de dedicació" numFmtId="0">
      <sharedItems containsNonDate="0" containsString="0" containsBlank="1"/>
    </cacheField>
    <cacheField name="Àrea responsable" numFmtId="0">
      <sharedItems containsNonDate="0" containsString="0" containsBlank="1"/>
    </cacheField>
    <cacheField name="Persona responsable" numFmtId="0">
      <sharedItems containsNonDate="0" containsString="0" containsBlank="1"/>
    </cacheField>
    <cacheField name="Aplicable 2025-2029" numFmtId="0">
      <sharedItems containsNonDate="0" containsString="0" containsBlank="1"/>
    </cacheField>
    <cacheField name="Altres Plans" numFmtId="0">
      <sharedItems containsBlank="1" count="11">
        <m/>
        <s v="CETS"/>
        <s v="ARTESAN"/>
        <s v="PRODUCT"/>
        <s v="EDU"/>
        <s v="PEEVA"/>
        <s v="TSN"/>
        <s v="EA" u="1"/>
        <s v="Productors" u="1"/>
        <s v="ARTESANS" u="1"/>
        <s v="EVA" u="1"/>
      </sharedItems>
    </cacheField>
    <cacheField name="Vincle de l'OP amb els plans d'UP" numFmtId="0">
      <sharedItems containsBlank="1"/>
    </cacheField>
    <cacheField name="Acció concreta dins del Pla" numFmtId="0">
      <sharedItems containsBlank="1" count="350" longText="1">
        <s v="Assistència veterinària projecte reintroducció voltor negre"/>
        <s v="Assistència projecte reintroducció voltor negre"/>
        <s v="Equipament casa de la Vall (càmeres gàbia)"/>
        <s v="Coordinació i seguiment  del projecte de reintroducció local del voltor negre Aegypius monachus"/>
        <s v="Alliberaments d'exemplars de tortuga mediterrània Testudo hermanni"/>
        <s v="Col·laboració amb el Servei de Fauna i Flora i Banc de Germoplasma del Jardi Botànic de Barcelona per a la recollida de material reproductiu d'espècies de flora amenaçada"/>
        <m/>
        <s v="Alimentació aus amenaçades (trencalòs Gypaetus barbatus)"/>
        <s v="Col·laboració en el projecte de reintroducció del trencalòs Gypaetus barbatus al PN de la Tinença de Benifassà"/>
        <s v="Redacció Pla erradicació de la carpa i carpí al PN Ports"/>
        <s v="Participació en el  Pla d’acció contra la papallona_x000a_del boix Cydalima perspectalis"/>
        <s v="Actuacions de control d'espècies de flora exòtica (ailant Ailanthus altissima, etc.)"/>
        <s v="Actuacions de control de la vespa asiàtica Vespa velutina"/>
        <s v="Marcatge i seguiment d'actuacions en hàbitats forestals"/>
        <s v="Assistència tècnica Life RedBosques_Clima"/>
        <s v="Life RedBosques_Clima: execució actuacions demostratives"/>
        <s v="Projecte de millora de l'estat de conservació d'hàbitats i espècies forestals al Parc Natural dels Ports. PPO-23227"/>
        <s v="Creació i manteniment de zones obertes per a la conservació de la biodiversitat (hàbitats i espècies)"/>
        <s v="Seguiment d'informes i actuacions"/>
        <s v="Seguiment de les actuacions"/>
        <s v="A.2.1.1. Elaboració del Pla de Protecció del Medi Natural i el Paisatge del PN"/>
        <s v="A.2.2.2. Anàlisi dels cabals ecològics dels rius del PN aplicats a l'ús de l'aigua com a recurs turístic"/>
        <s v="A.3.3. Programa de recuperació de la memòria artesana"/>
        <s v="Treballs de recuperació i manteniment, amb brigada, d'elements de patrimoni cultural rural"/>
        <s v="2.2.3. Estudi de la possibilitat de recuperar espècies agrícoles i ramaderes"/>
        <s v="A.4.2.4. Disseny i desenvolupament d'itineraris culturals: Estudi contingut senyalització del molí de Paüls"/>
        <s v="A.4.2.4. Disseny i desenvolupament d'itineraris culturals: Hosting i web Mas de Burot"/>
        <s v="A.4.1. Creació d'itineraris turístics a partir d'experiències entorn de l'artesania"/>
        <s v="Tema clau 2: Paisatge i arquitectura rural tradicional: Curs per habilitar guiatges al Mas de Burot"/>
        <s v="A.3.8. Programa de formació del personal que treballa als Punts d'informació del PNP entorn l'oferta artesana"/>
        <s v="Redacció projecte de l'àrea dels Ateus"/>
        <s v="Seguiment, en col·laboració amb la DGCCQA, de la qualitat lumínica del cel nocturn a Cova Avellanes i mas de Quiquet)"/>
        <s v="Col·laboració, amb la DGCCQA, en el projecte per reduir l’impacte ambiental de l’enllumenat en zones d’especial protecció envers la contaminació lumínica"/>
        <s v="Millora del coneixement dels briòfits amenaçats i d'interès"/>
        <s v="Millora del coneixement dels líquens amenaçats i d'interès"/>
        <s v="Genòmica mostres Timon lepidus/nevadensis"/>
        <s v="Participació en Atles de Mamífers de Catalunya (Observatori del Patrimoni Natural i la Biodiversitat)"/>
        <s v="Cartografia de detalls d'HIC escassos (grevoleda, teixeda)"/>
        <s v="Participació en la Xarxa d'alerta d'espècies exòtiques invasores"/>
        <s v="Col·laboració amb la base de dades EXOCAT"/>
        <s v="A.2.1.3. Estudi i seguiment d'espècies, hàbitats i ecosistemes que es poden veure afectats per l'ús públic"/>
        <s v="A.2.2.1. Anàlisi de la capacitat de càrrega dels diferents espais més vulnerables i ordenació de fluxos en espais crítics"/>
        <s v="Actualització de les bases cartogràfiques del Parc (GIS)"/>
        <s v="Revisió elements interès geològic PN Ports"/>
        <s v="2.2.1. Diagnosi estadística sobre la producció local"/>
        <s v="Material tècnic de recerca"/>
        <s v="Piles per a treballs de recerca"/>
        <s v="Material divers per a activitats de recerca"/>
        <s v="Seguiment de l'estació de lepidòpters CBMS Montsagres i Estrets"/>
        <s v="SLIC Estrets"/>
        <s v="Redacció Pla de recuperació tortuga mediterrània i seguiment"/>
        <s v="Captura i col·locació emissors rapinyaires"/>
        <s v="Assegurança dron"/>
        <s v="Seguiment anual de les poblacions de flora amenaçada: Atropa baetica, Aquilegia paui, Spiranthes aestivalis, Nepeta tuberosa, Orchis cazorlensis"/>
        <s v="Seguiment anual de les poblacions d'invertebrats amenaçats: llagosta plegamans Saga pedo, xanquer europeu Macromia splendens i cranc de riu autòcton Austropotamobius pallipes"/>
        <s v="Seguiments anual de les poblacions reproductores d'àguila cuabarrada Aquila fasciata, àguila calçada Hieraaetus pennatus, àguila marcenca Circaetus gallicus, aufrany Neophron percnopterus, astor Accipiter gentilis, duc Bubo bubo"/>
        <s v="Seguiment periòdic de les poblacions reproductores d'àguila daurada Aquila chrysaetos, voltor comú Gyps fulvus, falcó pelegrí Falco peregrinus"/>
        <s v="Seguiment del trencalòs Gypaetus barbatus mitjançant fototrampeig al Punts d'alimentació suplementària"/>
        <s v="Participació en el pla de seguiment del gat fer i altres mesocarnívors (Felis-ICHN)"/>
        <s v="Participació en el Seguiment d’Ocells Comuns a Catalunya (SOCC)"/>
        <s v="Participació en el projecte Liró (Museu de Ciències Naturals de Granollers)"/>
        <s v="Assistència suport Life Red Bosques Clima (seminari Life RB)"/>
        <s v="Cèdul·la d'habitabilitat de Ganduls"/>
        <s v="Manteniment dels comptadors de vehicles"/>
        <s v="Seguiment dels serveis d'informació i educació ambiental"/>
        <s v="A.3.5.1. Revisió i millora del sistema de recollida de dades turístiques dut a terme pel PN, les oficines de turisme i pels empresaris turístics a fi de sistematitzar el procés"/>
        <s v="A.3.5.2. Estudi de viabilitat d'una eina 'big data' per al seguiment de visitants a determinats punts del PN"/>
        <s v="2.1.1. Coordinació i/o impartició de formació especialitzada adreçada a productors agroalimentaris i artesans per aprendre a valoritzar el propi producte"/>
        <s v="2.1.2. Organització de jornades tècniques formatives"/>
        <s v="2.1.3. Assessorament i acompanyament individualitzat"/>
        <s v="2.1.5. Formació en suport a la transformació digital dels seus negocis"/>
        <s v="2.2.2. Elaborar estudis o diagnosis específiques sobre particularitats de la producció agroalimentària de l’àmbit del Parc"/>
        <s v="5.1.1. Assessorament en la gestió de la finca"/>
        <s v="3.1.1. Dissenyar un segell o distintiu per als productes que es produeixen i/o elaboren en l'àmbit del Parc Natural"/>
        <s v="3.2.1. Orientació sobre la normativa en l’etiquetatge dels productes"/>
        <s v="A.3.1. Elaboració d'un directori digital de productes artesans"/>
        <s v="A.4.4. Foment de la venda i comercialització de productes artesans als Punts d'informació del PNP"/>
        <s v="3.2.2. Potenciar els Centres de visitants del Parc Natural dels Ports a Roquetes, Prat de Comte i la Sénia, així com l'Alberg a Alfara de Carles per a la venda conjunta dels productes locals i artesanals"/>
        <s v="1.1.2. Crear un apartat específic sobre la producció local i artesana del Parc Natural al web oficial del Parc Natural dels Ports"/>
        <s v="3.1.2. Elaborar material de marxandatge amb aquest segell o distintiu"/>
        <s v="1.1.3. Elaborar material divulgatiu sobre alguna particularitat de la producció local del Parc per fomentar el consum local o dels visitants"/>
        <s v="1.1.4. Crear un Catàleg d’experiències turístiques en base al producte local i l’artesania"/>
        <s v="2.1.4. Potenciar les experiències entorn de l’oleoturisme, en particular, ja que l’oli és el producte agroalimentari amb més presència en l’àmbit del Parc Natural dels Ports"/>
        <s v="A.4.1.2. Reforç de la presència del parc natural a les fires locals de l'àrea d'influència de l'espai protegit"/>
        <s v="A.2.3. Creació d'una exposició itinerant de productes artesans que viatgés pels diferents punts d'informació dels Ports: Execució projecte museogràfic exposició itinerant artesania"/>
        <s v="A.4.3. Disseny, promoció i comercialització de productes artesans de marxandatge dels Ports: Demostració de tallers d'artesania"/>
        <s v="1.2.5. Programa de tallers i activitats que es poguessin organitzar de forma conjunta entre el Parc Natural i les empreses productores i artesanes"/>
        <s v="3.3.1. Suport a la dinamització de fires especialitzades entorn dels productes agroalimentaris"/>
        <s v="3.3.2. Suport a les empreses locals per participar en fires nacionals o internacionals"/>
        <s v="A.4.1.1. Creació d'una comissió formada per turisme i productors locals per valoritzar productes agroalimentaris km0"/>
        <s v="4.2.1. Organització de networkings entre productors agroalimentaris i artesans amb comerços, restaurants i allotjaments turístics dels municipis de l’àmbit del Parc Natural"/>
        <s v="4.2.2 Organització de jornades gastronòmiques amb producte elaborat/produït al Parc Natural i restaurants de municipis del Parc o de l’entorn proper"/>
        <s v="A.4.1.3. Elaboració d'un pla d'acció per al foment de l'artesania del PN i l'àrea d'influència"/>
        <s v="1.1.1 Elaborar un Directori dels productors/es i artesans/es del Parc Natural dels Ports: Elaboració d'un catàleg de productors locals"/>
        <s v="1.1.1 Elaborar un Directori dels productors/es i artesans/es del Parc Natural dels Ports: Acte de presentació catàleg/directori productors locals"/>
        <s v="A.3.5. Elaboració d'un catàleg d'artesans/es a disposició del públic als punts d'informació"/>
        <s v="0. Coordinació i seguiment del Pla d'artesania: Actualització del Pla d'artesania"/>
        <s v="A.3.10. Creació d'un canal directe de comunicació amb el PN per a la difusió de l'activitat artesana"/>
        <s v="Coordinació i seguiment del Pla d'acció de la Diagnosi dels productors i productores locals del PNP"/>
        <s v="2.2.4. Estudi de la traçabilitat de la producció agrícola i ramadera"/>
        <s v="4.1.1. Suport a la dinamització de col·lectius de productors i/o artesans"/>
        <s v="A.1.1.1. Formalització del Fòrum Permanent com a instrument d'informació, participació i decisió de tots els agents turístics adherits a la CETS"/>
        <s v="A.1.1.2. Formalització del Grup de Treball com a instrument de seguiment, coordinació i decisió immediata de tots els agents turístics adherits a la CETS"/>
        <s v="A.1.1.4. Dotació de recursos humans per realitzar les tasques de coordinació de la CETS al PN: Tasques de suport a l'Àrea d'ús públic"/>
        <s v="A.1.2.1.: Disseny i execució d'activitats d'intercanvi de coneixement entre el sector públic i privat per a la generació de xarxes i espais de treball comú"/>
        <s v="A.1.2.2. Participació activa del PN a la xarxa de parcs adherits a la CETS"/>
        <s v="A.1.3.1. Seguiment i avaluació del procés d'implantació de la CETS al PN durant el període 2022-2026"/>
        <s v="A.2.3.1. Impuls d'accions d'Educació i Voluntariat Ambiental en l'àmbit educatiu i de la població local"/>
        <s v="A.5.1.1. Elaborar i executar el Pla de comunicació de la CETS"/>
        <s v="A.3.2.1. Acreditació d'espais com a punts d'informació i acreditació de persones com a agents informadors del Parc Natural: Senyalització Espai informació CETS"/>
        <s v="A.4.3.1. Realització de workshops entre centres de formació professional i empreses privades"/>
        <s v="A.4.2.6. Organització i execució de viatges de familiarització amb Aragó i Castelló per a la creació de productes turístics compartits"/>
        <s v="A.4.2.7. Establir col·laboracions amb el PN Delta de l’Ebre per a impulsar nous productes turístics i millorar els existents"/>
        <s v="A.3.4.2. Disseny i promoció d'un catàleg d'experiències turístiques"/>
        <s v="Reeditar la guia de bones pràctiques d'arquitectura tradicional"/>
        <s v="A.2.1.4. Ordenació i planificació de l'activitat ciclista al PN"/>
        <s v="A.1.1.3. Creació d'una taula de treball per a l'adequació i la concreció de mesures per controlar l'afluència de visitants en determinats punts: creació del Grup de treball de la regulació de les zones de bany en ENP a la Terra Alta"/>
        <s v="A.3.1.1. Establiment d‟un model per a l'ordenació de l'activitat dels guies intèrprets del Parc Natural Parc"/>
        <s v="A.2.1.2. Elaboració del Pla d'Ús Públic del PN."/>
        <s v="Elaboració de projectes i continguts de senyalització"/>
        <s v="Projecte d'adequació d'àrees de recepció de visitants per a l'ordenació de l'ús públic al Parc Natural dels Ports. PPO-xxx"/>
        <s v="Disseny cartelleres"/>
        <s v="Despeses d'electricitat de l'Alberg d'Alfara"/>
        <s v="Despeses de l'alarma Seu del Parc i CV del Baix Ebre"/>
        <s v="Revisió de la baixa tensió al CV del Montsià"/>
        <s v="Revisió i millora del sistema antiincendis de l'Alberg d'Alfara"/>
        <s v="Dsepeses de neteja de l'Alberg d'Alfara"/>
        <s v="Tractament de tèrmits del CV del Montsià"/>
        <s v="Reparació del CV de la Terra Alta"/>
        <s v="Direcció d'obres Alberg d'Alfara"/>
        <s v="Taxes d'aigua i clavegueram ajuntament d'Alfara Alberg"/>
        <s v="Tramitació visat reforma Alberg d'Alfara"/>
        <s v="Adequació de rebost i bugaderia alberg Alfara"/>
        <s v="Senyalització (CVTA, itineraris terapèutics, moli de Paüls)"/>
        <s v="Construcció aula de natura del Mas de Barberans"/>
        <s v="Rehabilitació de l'edifici del carrera Bailen (TM Roquetes) i millora de les instal·lacions de la casa forestal de la Vall (TM Roquetes). PPO-21301"/>
        <s v="Reordenació de l'entorn del centre de visitants de la Terra Alta del Parc Natural dels Ports. PPO-22355"/>
        <s v="Posta en funcionament de l'Alberg i Centre d'educació ambiental d'Alfara de Carles"/>
        <s v="ERP1. Garantir l’ús continuat dels equipaments específics d’educació ambiental (CEA d’Alfara de Carles, Cova Avellanes, etc.) i potenciar el paper pedagògic dels centres de visitants"/>
        <s v="ERP2. Destinar equipaments (si cal establint acords amb altres agents) per organitzar campaments amb un component d’educació ambiental"/>
        <s v="A.3.9. Creació d'expositors moderns i visuals per als Punts d'informació del PNP per mostrar productes artesans del territori"/>
        <s v="A.4.2.2. Disseny i desenvolupament d'itineraris d'observació de fauna i creació de punts d'observació"/>
        <s v="A.3.3.1. Millora de la visibilitat i la funcionalitat dels centres de visitants i punts d'informació"/>
        <s v="A.2.4.1. Instal·lació de carregadors de bicicletes i vehicles elèctrics al territori CETS del PN"/>
        <s v="A.4.2.3. Disseny i desenvolupament d'elements relacionats amb el paisatge"/>
        <s v="A.4.2.5. Estudi de viabilitat per a la recuperació i l'ús turístic d'edificis públics de l'interior del PN"/>
        <s v="A.4.4.1. Identificació dels nodes més rellevants amb la Via Verda per determinar punts de connexió per a la creació de rutes alternatives que donin accés al PN"/>
        <s v="A.4.4.2. Adequació dels centres del PN per rebre ciclistes"/>
        <s v="A.4.4.3. Estudi per a la creació d'una ruta cicloturística que enllaci la via verda a Roquetes amb els nuclis urbans de Mas de Barberans i La Sénia: Estudi de viabilitat de via ciclable perimetral al parc pel Baix Ebre i Montsià"/>
        <s v="Formació continuada al personal d'informació."/>
        <s v="Serveis d'informació a l'Ecomuseu d'Horta de Sant Joan"/>
        <s v="Serveis d'informació al Molí"/>
        <s v="Serveis d'informació a Paüls"/>
        <s v="Serveis d'informació a Mas de Barberans"/>
        <s v="Serveis d'informació al CVBE"/>
        <s v="Serveis d'informació al CVMO"/>
        <s v="Serveis d'informació al CVTA"/>
        <s v="Revisió i modificació, si s’escau, de la formació per a docents per a l’estiu de 2025"/>
        <s v="EA3. Programar accions formatives per al professorat dels centres educatius locals amb el suport dels CRP i el Programa Escoles Verdes"/>
        <s v="EA1. Elaborar i implementar un programa específic d’educació ambiental dirigit als centres educatius locals i avaluar-lo periòdicament"/>
        <s v="Serveis d'EA al BE"/>
        <s v="Serveis d'EA al MO"/>
        <s v="Serveis d'EA a la TA"/>
        <s v="GOV2. Acordar i introduir millores viables en el servei d’educació ambiental que externalitza el Parc Natural, si escau amb algun tipus de protocol escrit_x000a_"/>
        <s v="0. Coordinació, seguiment i Avaluació del Programa d'Educació Ambiental (2023-2027)"/>
        <s v="Elaboració de tres noves Propostes Educatives. Cada comarca haurà de dissenyar una proposta per cada àmbit. Es prioritzaran les Propostes per l’Educació Bàsica"/>
        <s v="Redacció de l’oferta educativa seguint els criteris i directrius establerts en aquest PEA i incorporant les noves activitats en desenvolupament"/>
        <s v="EA2. Promoure projectes en els centres educatius locals (crèdits de síntesi, treballs de recerca, servei comunitari, etc.) sobre temàtiques vinculades al Parc Natural"/>
        <s v="0. Coordinació i seguiment del Pla estratègic 2021-2030 d'educació i voluntariat ambiental: Educació ambiental"/>
        <s v="GOV6. Garantir una coordinació eficaç entre el pla d’educació i voluntariat ambiental, els plans d’acció vinculats a la CETS i els programes d’ús públic"/>
        <s v="GOV3. Elaborar i mantenir actualitzat un inventari dels potencials agents col·laboradors en educació ambiental"/>
        <s v="GOV4. Configurar i posar en marxa una taula d’educació ambiental per coordinar el Parc Natural amb els diversos agents educatius"/>
        <s v="EA7. Dissenyar i executar un programa anual de trobades amb representants i personal tècnic de les administracions locals"/>
        <s v="EA8. Establir aliances amb programes educatius o de lleure municipals per integrar continguts o propostes didàctiques del Parc Natural"/>
        <s v="GOV5. Cercar i establir col·laboracions i projectes conjunts amb agents clau del territori"/>
        <s v="A.3.2.1. Acreditació d'espais com a punts d'informació i acreditació de persones com a agents informadors del Parc Natural: Curs d'informador/a per empreses"/>
        <s v="EA9. Articular accions formatives i generar recursos per garantir que la informació turística i els guiatges turístics vinculats al Parc Natural incloguin elements interpretatius i pedagògics"/>
        <s v="A.3.2.1. Acreditació d'espais com a punts d'informació i acreditació de persones com a agents informadors del Parc Natural: Programa de &quot;Biblioteca per a establiments turístics&quot;"/>
        <s v="A.2.3.2. Disseny i execució d'accions de formació i divulgació sobre valors naturals i paisatgístics que aportin singularitat al PN"/>
        <s v="A.3.1.2. Formació, acreditació i promoció de guies intèrprets del PN mitjançant formació reglada"/>
        <s v="ERP5. Elaborar un manual de referència per a guies i educador/es ambientals amb tots els valors principals del Parc Natural"/>
        <s v="Connexió internet niu àguila marcenca"/>
        <s v="Manteniment webcam niu àguiles"/>
        <s v="Connexió internet casa Cova Avellanes"/>
        <s v="A.4.1.4. Organització i celebració del &quot;Dia Europeu dels Parcs&quot; al PN dels Ports"/>
        <s v="A.4.4.4. Disseny i desenvolupament d'una jornada de cicloturisme al PN"/>
        <s v="EA5. Dissenyar una oferta d’activitats específica per a famílies en el marc dels programes dirigits als centres educatius locals i la població local"/>
        <s v="ERP3. Actualitzar i crear nous recursos pedagògics de suport a les activitats educatives"/>
        <s v="EA6. Articular estratègies de difusió i formació adreçades als agents socioeconòmics d’àmbit local per afrontar certes problemàtiques que afecten el Parc Natural"/>
        <s v="EA4. Elaborar i implementar un programa específic d’educació ambiental per a la població i les entitats locals amb una oferta d’activitats atractiva i vinculada a esdeveniments locals: Elaborar i difondre una agenda trimestral d'activitats educatives dirigides a la població i les entitats locals"/>
        <s v="Elaboració del calendari d’activitats de lleure (EA Informal) per al 2n semestre de 2025"/>
        <s v="Elaboració del calendari d’activitats de lleure (EA Informal) per al 1r semestre de 2026"/>
        <s v="VA3. Gestionar les demandes de voluntariat i d’accions d’RSC d’empreses d’acord amb els procediments establerts per a tots els parcs naturals"/>
        <s v="VA1. Integrar-se a la taula de voluntariat ambiental del Parc Natural del Delta de l’Ebre i convidar entitats locals a formar-ne part"/>
        <s v="0. Coordinació i seguiment del Pla estratègic 2021-2030 d'educació i voluntariat ambiental: Taula Voluntariat Ambiental"/>
        <s v="VA2. Facilitar orientacions tècniques i suport continuat a les entitats que demanin fer voluntariat en l’àmbit del Parc Natural"/>
        <s v="VA4. Elaborar un informe anual de voluntariat i mantenir actualitzat l’inventari d’entitats de voluntariat"/>
        <s v="A.4.2.1. Disseny i desenvolupament d'itineraris saludables"/>
        <s v="A.3.4.1. Adaptació de 2 itineraris interpretatius del PN a les necessitats d'accés universal"/>
        <s v="A.4.2.1. Disseny i desenvolupament d'itineraris saludables: Itinerari terapèutic a la Mola de Catí "/>
        <s v="Col·laboració amb els ajuntaments dels municipis del Parc"/>
        <s v="Manteniment i actualització de la pàgina web"/>
        <s v="Elaboració butlletí Cingles (disseny gràfic...)"/>
        <s v="A.3.7. Publicacions per posar en valor als diferents artesans/es al butlletí Cingles"/>
        <s v="Maquetació Memòria 2023"/>
        <s v="Edició del butlletí Cingles (coordinació)"/>
        <s v="Impressió Cingles 2023"/>
        <s v="Impressió Memòria 2023"/>
        <s v="Exposició en fires i festivals locals"/>
        <s v="1.2.1. Organitzar accions comunicatives amb professionals externs que puguin fer difusió dels productes locals artesans i agroalimentaris"/>
        <s v="1.2.2. Campanya de comunicació conjunta amb la Reserva de la Biosfera Terres de l’Ebre"/>
        <s v="1.2.3. Programa d’entrevistes als productors/es i artesans/es"/>
        <s v="Curs &quot;Plomes d'ocells&quot;"/>
        <s v="Curs &quot;Reconéixer rastres de mamífers&quot;"/>
        <s v="Curs &quot;Els amfibis de les Terres de l'Ebre&quot;"/>
        <s v="Rollers marcenca: il·lustracions, disseny , suports"/>
        <s v="Figures de voltors per CVMO"/>
        <s v="Pòster 150 ocells del Delta i dels Ports"/>
        <s v="Material de difusió voltor negre (marxandantge)"/>
        <s v="Execució del projecte museogràfic CVMO"/>
        <s v="ERP4. Recopilar i modernitzar els recursos i materials divulgatius existents adreçats a visitants, en especial les exposicions interpretatives"/>
        <s v="ERP6. Recopilar i publicar a la pàgina web del Parc Natural tots els equipaments i recursos pedagògics existents"/>
        <s v="Gestió administrativa del calendari i les convocatòries de les sessions"/>
        <s v="Preparació de l'ordre del dia de cada sessió amb el president, els/les vicepresidents/es, la DG i els SSTT"/>
        <s v="Gestió administrativa i seguiment dels acords de Junta rectora "/>
        <s v="Manteniment i actualització del canal TEAMS de la Junta rectora"/>
        <s v="Despeses apartat de correus"/>
        <s v="Serveis de missatgeria"/>
        <s v="Organització de reunions i cursos"/>
        <s v="Despeses bancàries"/>
        <s v="Despeses desplaçaments, reunions i aparcaments"/>
        <s v="Elaboració del Programa d'actuacions anual, juntament amb les Àrees del Parc i la direcció"/>
        <s v="Elaboració del pressupost anual de despesa per RAE, juntament amb les Àrees del Parc i la direcció"/>
        <s v="Preparació i gestió administrativa de l'aportació anual de la Diputació de Tarragona"/>
        <s v="Gestió administrativa dels contractes inclosos en el Programa d'actuacions"/>
        <s v="Gestió administrativa dels ingressos per RAE"/>
        <s v="Elaboració de la Memòria anual del RAE"/>
        <s v="Elaboració de la Memòria anual d'actuacions"/>
        <s v="Manteniment i actualització del Pla estratègic 2025-2029"/>
        <s v="Seguiment dels contractes i encomanes de la DG (Forestal Catalana, servei de neteja, servei d'informació i educació ambiental, contractes via DG, projectes Next Generation...)"/>
        <s v="Estudi de viabilitat econòmica de l'Alberg i Centre d'educació ambiental d'Alfara de Carles"/>
        <s v="Promoure el procediment administratiu de la concessió de l'Alberg i Centre d'educació ambiental d'Alfara de Carles"/>
        <s v="Participació i revisió prèvia de les ordres de subvencions destinades als espais naturals de Catalunya, als hàbitats i espècies, en el marc del Programa de desenvolupament rural de Catalunya"/>
        <s v="5.1.2. Identificar actuacions subvencionables dins de l'ordre d'ajuts d'ENP de Catalunya"/>
        <s v="Identificar els convenis de col·laboració, convenis marc, acords, protocols i altres instruments de col·laboració vigents, caducats o en vies de caducar properament"/>
        <s v="Promoure la renovació i, si escau, la modificació dels convenis caducats o en vies de caducitat"/>
        <s v="Promoure l'assignació d'ús al Parc Natural d'algunes cases forestals en forests públiques (casa i corral de Ganduls, casa de la Vall o del barranc de la Galera, caseta del planter de la Vall o del barranc de la Galera, casetó del Prat d’en Rubera i mas de l’Amat)"/>
        <s v="Promoure la cessió de l'Ecomuseu d'Horta de Sant Joan per part de l'ajuntament"/>
        <s v="Participació en la valoració, el seguiment i la gestió administrativa de les subvencions destinades als espais naturals de Catalunya, als hàbitats i espècies, en el marc del Programa de desenvolupament rural de Catalunya"/>
        <s v="Participació en la valoració, el seguiment i la gestió administrativa de les subvencions a entitats ambientals sense ànim de lucre de Catalunya per al finançament de projectes que millorin l'estat de conservació del patrimoni natural i la biodiversitat en els espais naturals protegits"/>
        <s v="Gestió administrativa dels informes dels vectors ambiental i cultural en l'àmbit del Parc Natural i dels espais de la xarxa Natura 2000"/>
        <s v="Manteniment de la base de dades dels informes dels vectors ambiental i cultural en l'àmbit del Parc Natural i dels espais de la xarxa Natura 2000"/>
        <s v="Participar en cursos de formació de procediment administratiu per part de l'equip gestor"/>
        <s v="Redacció del Pla estratègic (2025-2029)"/>
        <s v="Gestió administrativa de les autoritzacions emeses per l'òrgan gestor del Parc Natural"/>
        <s v="Manteniment de la base de dades de les autoritzacions emeses per l'òrgan gestor del Parc Natural"/>
        <s v="Materials de ferreteria"/>
        <s v="Materials de construcció"/>
        <s v="Materials de pintura"/>
        <s v="Manteniments diversos"/>
        <s v="Materials de fontaneria i electricitat"/>
        <s v="Manteniment de vehicles"/>
        <s v="Manteniment sistemes informàtics"/>
        <s v="Manteniment de maquinària"/>
        <s v="Combustible Baix Ebre-Montsià"/>
        <s v="Combustible Terra Alta"/>
        <s v="Altres despeses diverses"/>
        <s v="Manteniment sistemes audiovisuals"/>
        <s v="Material d'oficina"/>
        <s v="Subscripció revista Quercus"/>
        <s v="Gestió del Centre de Documentació"/>
        <s v="Subscripció revista Montes"/>
        <s v="Subscripció setmanari l'Ebre"/>
        <s v="Tasques de suport a l'Àrea d'ús públic"/>
        <s v="Material promocional (llibres)"/>
        <s v="Quota Flickr"/>
        <s v="Quota ICHN"/>
        <s v="Reportatge fotogràfic d'actes i activitats"/>
        <s v="Fons documental per al Centre de Documentació"/>
        <s v="Natura i Art fotos"/>
        <s v="Planificació i seguiment de les tasques de brigada"/>
        <s v="Coordinació amb Forestal Catalana de les brigades del Baix Ebre-Montsià i Terra Alta"/>
        <s v="Manteniment de la base de dades de les tasques de brigada"/>
        <s v="Gestió de les sol·licituds d'actuacions per part de les administracions locals i entitats privades"/>
        <s v="Gestió de les sol·licituds de vehicles"/>
        <s v="Gestió del manteniment de vehicles"/>
        <s v="Participació en els processos selectius de les places adscrites al Parc Natural"/>
        <s v="Gestió administrativa de les validacions per ATRI (fitxatges, vacances, plans de teletreball, validació de competències, etc.)"/>
        <s v="Contractació d'una persona responsable del Centre de Documentació i de la comunicació de l'ENP"/>
        <s v="Consolidació laboral del personal temporal dedicat a les tasques de desplegament dels instruments de gestió de la Xarxa Natura 2000a Catalunya"/>
        <s v="GOV1. Enfortir i consolidar l’àmbit de gestió de l’educació i el voluntariat ambiental en el funcionament de l’equip gestor del Parc Natural"/>
        <s v="Productes de marxandantge de Fet al Parc" u="1"/>
        <s v="5.4. Projectes i actuacions de gestió del Parc Natural que podrien incorporar voluntariat ambiental" u="1"/>
        <s v="EA4. Elaborar i implementar un programa específic d’educació ambiental per a la població i les entitats locals amb una oferta d’activitats atractiva i vinculada a esdeveniments locals" u="1"/>
        <s v="Estudi contingut senyalització del molí de Paüls" u="1"/>
        <s v="A.4.4.1. Identificació dels nodes més rellevants amb la Via Verda per determinar punts de connexió per a la creació de rutes alternatives que donin accés al PN." u="1"/>
        <s v="A.3.1.1. Establiment d‟un model per a l'ordenació de l‟activitat dels guies intèrprets del Parc NaturalParc" u="1"/>
        <s v="0. Coordinació, seguiment i Avaluació del Pla estratègic 2021-2030 d'educació i voluntariat ambiental" u="1"/>
        <s v="A.4.1.1. Creació d'una comissió formada per turisme i productors locals per valoritzar productes agroalimentaris km.0" u="1"/>
        <s v="Elaboració d'un catàleg de productors locals" u="1"/>
        <s v="Acte de presentació catàleg/directori productors locals" u="1"/>
        <s v="A.1.1.3. Creació d'una taula de treball per a l'adequació i la concreció de mesures per controlar l'afluència de visitants en determinats punts" u="1"/>
        <s v="Execució projecte museogràfic exposició itinerant artesania" u="1"/>
        <s v="Demostració de tallers d'artesania" u="1"/>
        <s v="1.1.1. Elaborar un Directori dels productors/es i artesans/es del Parc Natural dels Ports // 1.1.2. Crear un apartat específic sobre la producció local i artesana del Parc Natural al web oficial del Parc //..." u="1"/>
        <s v="VA 1. Integrar-se a la taula de voluntariat ambiental del Parc Natural del Delta de l’Ebre i convidar entitats locals a formar-ne part // Taula del Voluntariat Ambiental de les TTE" u="1"/>
        <s v="A.3.2.1. Acreditació d'espais com a punts d'informació i acreditació de persones com a agents informadors del Parc Natural: Programa de &quot;Biblioteca per a establiments turístics&quot; (CETS Fase II)" u="1"/>
        <s v="Senyalització Espai informació CETS" u="1"/>
        <s v="Contractació d'una persona responsable del Centre de Documentació" u="1"/>
        <s v="Itinerari terapèutic a la Mola de Catí " u="1"/>
        <s v="A.2.2.2. Anàlisi dels cabals ecològics dels rius del PN aplicats a l'ús de l'aigua com a recurs turísticParc" u="1"/>
        <s v="Acte lliurament de certifiats d'adhesió d'empreses a la CETS" u="1"/>
        <s v="GOV2. Acordar i introduir millores viables en el servei_x000a_d’educació ambiental que externalitza el Parc Natural, si escau amb algun tipus de protocol escrit_x000a_" u="1"/>
        <s v="A.4.1. Creació d'itineraris turístics a partir d'experiències enotrn de l'artesania" u="1"/>
        <s v="Coordinació i seguiment del Pla d'artesania" u="1"/>
        <s v="0. Coordinació i seguiment del Pla estratègic 2021-2030 d'educació i voluntariat ambiental: Taula boluntariat ambiental (PEEVA)" u="1"/>
        <s v="0. Coordinació i seguiment del Pla estratègic 2021-2030 d'educació i voluntariat ambiental: Taula voluntariat ambiental (PEEVA)" u="1"/>
        <s v="A.5.1.1 Elaborar i executar el Pla de comunicació de la CETS" u="1"/>
        <s v="Actualització del Pla d'artesania" u="1"/>
        <s v="Disseny i implantació d'itineraris saludables (terapèutics)" u="1"/>
        <s v="Disposar d'una persona responsable del Centre de Documentació" u="1"/>
        <s v="A.4.2.4. Disseny i desenvolupament d'itineraris culturals: Reeditar la guia de bones pràctiques d'arquitectura tradicional" u="1"/>
        <s v="Elaborar i difondre una agenda trimestral d'activitats educatives dirigides a la població i les entitats locals" u="1"/>
        <s v="Taula boluntariat ambiental (PEVA)" u="1"/>
        <s v="A.3.1.1. Establiment d‟un model per a l'ordenació de l‟activitat dels guies intèrprets del Parc NaturalParc ????" u="1"/>
        <s v="A.3.4.1. Adaptació de 2 itineraris interpretatius del PN a les necessitats d'accés universal: Itinerari terapèutic a la Mola de Catí " u="1"/>
        <s v="Redacció Pla estratègic (2025-2029)" u="1"/>
        <s v="A.4.2.4. Disseny i desenvolupament d'itineraris culturals" u="1"/>
        <s v="ERP4 - Recopilar i modernitzar els recursos i materials divulgatius existents adreçats a visitants, en especial les exposicions interpretatives" u="1"/>
        <s v="Curs d'informador/a per empreses (CETS Fase II)" u="1"/>
        <s v="A.1.1.3. Creació d'una taula de treball per a l'adequació i la concreció de mesures per controlar l'afluència de visitants en determinats punts // Grup de treball de la regulació de les zones de bany en ENP a la Terra Alta" u="1"/>
        <s v="Elaboració d'un catàleg d'artesans/es a disposició del públic als punts d'informació i formació del personal dels CV i PI" u="1"/>
        <s v="A.1.2.1.: Disseny i execució dactivitats dintercanvi de coneixement entre el sector públic i privat per a la generació de xarxes i espais de treball comú" u="1"/>
        <s v="EA5. Dissenyar una oferta d’activitats específica per a famílies en el marc dels programes dirigits_x000a_als centres educatius locals i la població local" u="1"/>
        <s v="Hosting i web Mas de Burot" u="1"/>
        <s v="CETS. A.4.3.1. Workshops entre centres de formació professional i empreses" u="1"/>
        <s v="A.4.1.1. Creació d'una comissió formada per turisme i productors locals per valoritzar productes agroalimentaris km.0 // Creada la Comissió d'agents turístics i productors locals." u="1"/>
        <s v="EA 4. Elaborar i implementar un programa específic d’educació ambiental per a la població i les entitats locals amb una oferta d’activitats atractiva i vinculada a esdeveniments locals" u="1"/>
        <s v="A.4.2.6. Organització i execució de viatges de familiarització amb Aragó i Castelló per a la creació de productes turístics compartits // A.4.2.7. Establir col·laboracions amb el PN Delta de l’Ebre per a impulsar nous productes turístics i millorar els existents" u="1"/>
        <s v="A.3.2.1. Acreditació d'espais com a punts d'informació i acreditació de persones com a agents informadors del Parc Natural. Curs d'informació del Parc Natural" u="1"/>
        <s v="Tema clau 2: Paisatge i arquitectura rural tradicional // Curs per habilitar guiatges al Mas de Burot." u="1"/>
        <s v="A.3.2.1. Acreditació d'espais com a punts d'informació i acreditació de persones com a agents informadors del Parc Natural: Curs d'informador/a per empreses (CETS Fase II)" u="1"/>
        <s v="Estudi de viabilitat de via ciclable perimetral al parc pel Baix Ebre i Montsià" u="1"/>
        <s v="A.3.3. Programa de formació del personal que treballa als Punts d'informació del PNP entorn l'oferta artesana" u="1"/>
        <s v="Programa de &quot;Biblioteca per a establiments turístics&quot; (CETS Fase II)" u="1"/>
        <s v="Ordenació i planificació de l'activitat ciclista al Pn (CETS)" u="1"/>
        <s v="Coordinació, seguiment i Avaluació del Programa d'Educació Ambiental (2023-2027)" u="1"/>
        <s v="A.3.2.1. Acreditació d'espais com a punts d'informació i acreditació de persones com a agents informadors del Parc Natural" u="1"/>
        <s v="A.4.3. A.4.3. Disseny, promoció i comercialització de productes artesans de marxandatge dels Ports: Demostració de tallers d'artesania" u="1"/>
        <s v="A.4.4.3. Estudi per a la creació d'una ruta cicloturística que enllaci la via verda a Roquetes amb els nuclis urbans de Mas de Barberans i La Sénia" u="1"/>
      </sharedItems>
    </cacheField>
    <cacheField name="Despesa RAE" numFmtId="4">
      <sharedItems containsString="0" containsBlank="1" containsNumber="1" minValue="0" maxValue="36000"/>
    </cacheField>
    <cacheField name="Despesa DG" numFmtId="4">
      <sharedItems containsString="0" containsBlank="1" containsNumber="1" minValue="12000" maxValue="1065000"/>
    </cacheField>
    <cacheField name="Despesa NG - RdB" numFmtId="4">
      <sharedItems containsNonDate="0" containsString="0" containsBlank="1"/>
    </cacheField>
    <cacheField name="Despesa NG - DG" numFmtId="4">
      <sharedItems containsString="0" containsBlank="1" containsNumber="1" containsInteger="1" minValue="474000" maxValue="632000"/>
    </cacheField>
    <cacheField name="Despesa NG - Bioeconomia" numFmtId="4">
      <sharedItems containsString="0" containsBlank="1" containsNumber="1" minValue="5983.6" maxValue="7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a Daranas Llopart" refreshedDate="45959.552639351852" createdVersion="8" refreshedVersion="8" minRefreshableVersion="3" recordCount="464" xr:uid="{00000000-000A-0000-FFFF-FFFF15000000}">
  <cacheSource type="worksheet">
    <worksheetSource ref="A4:P472" sheet="PLA"/>
  </cacheSource>
  <cacheFields count="18">
    <cacheField name="EIXOS" numFmtId="0">
      <sharedItems count="7">
        <s v="NATURA"/>
        <s v=" CULTURA"/>
        <s v="CONEIXEMENT "/>
        <s v="DESENVOLUPAMENT LOCAL "/>
        <s v="ÚS PÚBLIC I SOCIAL"/>
        <s v="EDUCACIÓ, VOLUNTARIAT I COMUNICACIÓ "/>
        <s v="GESTIÓ I ADMINISTRACIÓ"/>
      </sharedItems>
    </cacheField>
    <cacheField name="N1" numFmtId="0">
      <sharedItems containsSemiMixedTypes="0" containsString="0" containsNumber="1" containsInteger="1" minValue="1" maxValue="16"/>
    </cacheField>
    <cacheField name="OBJECTIUS Generals (PP)" numFmtId="0">
      <sharedItems/>
    </cacheField>
    <cacheField name="N2" numFmtId="0">
      <sharedItems/>
    </cacheField>
    <cacheField name="OBJECTIUS Estratègics" numFmtId="0">
      <sharedItems/>
    </cacheField>
    <cacheField name="N3" numFmtId="0">
      <sharedItems/>
    </cacheField>
    <cacheField name="OBJECTIUS operatius / Línia estratègica" numFmtId="0">
      <sharedItems containsBlank="1"/>
    </cacheField>
    <cacheField name="Comú / Específic" numFmtId="0">
      <sharedItems containsBlank="1"/>
    </cacheField>
    <cacheField name="Obligatori / Optatiu" numFmtId="0">
      <sharedItems containsBlank="1"/>
    </cacheField>
    <cacheField name="Objectiu operatiu concret a l'espai" numFmtId="0">
      <sharedItems/>
    </cacheField>
    <cacheField name="Explicació de la decisió presa en el cas de canvis respecte al llistat inicial (columna G)" numFmtId="0">
      <sharedItems containsBlank="1"/>
    </cacheField>
    <cacheField name="Objectiu amb mesures incorporables a la planificació anual de la gestió de l'espai?" numFmtId="0">
      <sharedItems containsBlank="1"/>
    </cacheField>
    <cacheField name="Prioritat" numFmtId="0">
      <sharedItems containsBlank="1"/>
    </cacheField>
    <cacheField name="Propostes d'accions del Programa d'actuacions 2026" numFmtId="0">
      <sharedItems containsBlank="1" count="390" longText="1">
        <s v="Participar en les reunions del GT de Conservació per a coordinar les actuacions de conservació i de seguiment dels elements de biodiversitat"/>
        <s v="Participar en l'elaboració dels Plans de recuperació o de Conservació de les espècies amenaçades presents al PNP"/>
        <s v="Participar en les reunions del GT de Geoconservació per a coordinar les actuacions de conservació i de seguiment dels elements geològics de conservació prioritària protegida"/>
        <s v="Introduir mesures de gestió preventiva en informes per evitar impactes significatius en els valors geològics"/>
        <m/>
        <s v="Projecte de reintroducció del trencalòs Gypaetus barbatus: Alimentació aus amenaçades"/>
        <s v="Projecte de reintroducció del trencalòs: Col·laboració en el projecte de reintroducció del trencalòs Gypaetus barbatus al PN de la Tinença de Benifassà (reunions, participació en els alliberaments, seguiment a PNP...)"/>
        <s v="Projecte de reintroducció del voltor negre al PN Ports: assistència tècnica "/>
        <s v="Projecte de reintroducció del voltor negre al PN Ports: Coordinació i seguiment  del projecte de reintroducció local del voltor negre Aegypius monachus"/>
        <s v="Projecte de reintroducció de la tortuga mediterrània al PN Ports: Coordinació i seguiment  del projecte de reintroducció local "/>
        <s v="Projecte de reintroducció de la tortuga mediterrània al PN Ports: Alliberaments d'exemplars de tortuga mediterrània Testudo hermanni"/>
        <s v="Participar, juntament amb Forestal Catalana, en la conservació i, si escau, la recuperació dels arbres catalogats com a monumentals"/>
        <s v="Actuacions de millora d'hàbitat i reforçaments poblacionals d'espècies de flora amenaçada: Atropa baetica i Nepeta tuberosa"/>
        <s v="Introduir mesures de gestió preventiva en informes i autoritzacions per evitar impactes significatius en espècies protegides i/o amenaçades i hàbitats d'interès prioritari"/>
        <s v="Erradicació de la carpa i carpí al PN Ports"/>
        <s v="Actuacions de control d'espècies de flora exòtica (ailant Ailanthus altissima, etc.)"/>
        <s v="Actuacions de control de la vespa asiàtica Vespa velutina"/>
        <s v="Promoure la participació del PNP en la redacció projecte Life RESTADAPT per a promoure la dinàmica natural en hàbitats forestals"/>
        <s v="Desplegar algunes actuacions planificades en els instruments d'ordenació forestals, elaborats durant el Life RedBosques_Clima, mitjançant la brigada del Parc, per afavorir la maduresa en sistemes forestals"/>
        <s v="Eliminació de restes del dic al barranc de la Fou"/>
        <s v="Estudi de viabilitat per a l'eliminació de la trampa de sediments al barranc de la Galera"/>
        <s v="Participació en el programa Paisatges Resilients (Estratègia de la Bioeconomia de Catalunya 2030): Creació i manteniment de zones obertes per a la conservació de la biodiversitat (hàbitats i espècies)"/>
        <s v="Reunions periòdiques amb ens locals i administració forestal per a desplegar la gestió per a la millora d'hàbitats"/>
        <s v="Col·laborar amb el projecte Life eCOadapt50, liderat pel Living Lab Ebre Bioterritori d'EURECAT"/>
        <s v="A.2.2.2. Anàlisi dels cabals ecològics dels rius del PN aplicats a l'ús de l'aigua com a recurs turístic (CETS): Diagnosi de l'estat de conservació dels Estrets, Algars i Canaletes i definir els cabals ecològics "/>
        <s v="Participació en la redacció i aprovació dels instruments d'ordenació forestal sostenible de les finques de la Vallcervera i d'Alfara de Carles"/>
        <s v="Promoure i participar en la redacció del Pla bàsic de prevenció d'incendis del PNP"/>
        <s v="Col·laboració amb el GPIF i Bombers per a la planificació de cremes control·lades aprovades en els instruments d'ordenació forestal (Mola de Catí, Alfara de Carles, Vallcervera, etc.)"/>
        <s v="Participar en la redacció del Plans de prevenció d'incendis municipals, promoguts per la Diputació de Tarragona"/>
        <s v="Participar en la redacció del Pla de prevenció del PPP &quot;Ports de Tortosa-Besseit&quot;"/>
        <s v="Emissió dels informes preceptius en les tramitacions ambientals, incloent-hi l'avaluació dels impactes sobre la biodiversitat, i els patrimonis geològic, històric i cultural"/>
        <s v="Participar en les reunions periòdiques de les Àrees de Coneixement de la DG, particularnent la de l'Àmbit Forestal"/>
        <s v="Servei de vigilància per a la minimització d’afectacions perhiperfreqüentació al Parc Natural dels Aiguamolls de l’Empordà, al Parc Natural del Delta de l’Ebre i al Parc Natural dels Ports (PT OP 2025 357). Lots 3 i 4"/>
        <s v="Comunicació a CAR i l'ACA d'actuacions no autoritzades en els espais fluvials (captacions, drenatges, etc.)"/>
        <s v="Seguiment dels abocaments al barranc del Bosc Negre"/>
        <s v="Comunicació a CAR i l'ACA d'actuacions no autoritzades en els espais fluvials (rompudes, extracció d'àrids, etc.)"/>
        <s v="Manteniment de la base de dades d'espais prioritaris per a la conservació o l'ús públic"/>
        <s v="A.3.3. Programa de recuperació de la memòria artesana (ARTESAN)"/>
        <s v="Identificar els ens de referència en patrimoni cultural (entitats, associacions, museus i ecomuseus, etc.) en l'àmbit de l'ENP, mitjançant el Museu de les Terres de l'Ebre"/>
        <s v="Continuar la línia de colaboració amb el Museu de les Terres de l'Ebre: A.4.2.4 Creació d'itineraris culturals (CETS)"/>
        <s v="Organització jornada sobre les construccions de pedra en sec amb l'ajuntament del Mas de Barberans"/>
        <s v="Treballs de recuperació i manteniment, amb brigada, d'elements de patrimoni cultural rural"/>
        <s v="Avaluació de l’estat de conservació de la sèquia dels Reguers i la seva reparació"/>
        <s v="Introduir mesures de gestió preventiva en informes urbanístics per evitar impactes significatius en el patrimoni històric i cultural"/>
        <s v="Treballs de recuperació de l'antic Molí de Paüls"/>
        <s v="2.2.3. Estudi de la possibilitat de recuperar espècies agrícoles i ramaderes (PRODUCT)"/>
        <s v="A.4.2.4. Disseny i desenvolupament d'itineraris culturals (CETS): Adequació de l'àrea interpretativa del Molí de Paüls"/>
        <s v="A.4.2.4. Disseny i desenvolupament d'itineraris culturals (CETS): manteniment de l'Hosting i web Mas de Burot"/>
        <s v="A.4.1. Creació d'itineraris turístics a partir d'experiències entorn de l'artesania (ARTESAN)"/>
        <s v="Tema clau 2: Paisatge i arquitectura rural tradicional (EDU): incorporar activitats d'educació ambiental al Mas de Burot"/>
        <s v="Redacció projecte executiu de l'àrea dels Ateus"/>
        <s v="Impulsar el grup de treball per a l'elaborar un manual de bones pràctiques de l'arranjament de camins"/>
        <s v="Introduir mesures de gestió preventiva en els informes del Parc per evitar una degradació dels valors paisatgístics"/>
        <s v="Participar en la campanya Let's Clean Up Europe, en coordinació amb l'Agència Catalana de Residus"/>
        <s v="Fer accions de sensibilització sobre els residus humans generats durant el descens de barrancs"/>
        <s v="Seguiment de la qualitat lumínica del cel nocturn a Cova Avellanes en col·laboració amb la DGCCQA"/>
        <s v="Col·laboració en el projecte per reduir l’impacte ambiental de l’enllumenat en zones d’especial protecció envers la contaminació lumínica en col·laboració de la DGCCQA "/>
        <s v="Millora del coneixement dels briòfits amenaçats i d'interès"/>
        <s v="Millora del coneixement dels líquens amenaçats i d'interès"/>
        <s v="Millora del coneixement dels fongs"/>
        <s v="Recollida de mostres Timon lepidus/nevadensis i d'observacions al PNP"/>
        <s v="Cartografia de detall dels HIC escassos (grevoleda, teixeda)"/>
        <s v="Participació en la Xarxa d'alerta d'espècies exòtiques invasores"/>
        <s v="Col·laboració amb la base de dades EXOCAT"/>
        <s v="Seguiment ecològic dels arbres monumentals i preparar la proposta de declaració de nous exemplars, segons el Decret 214/1987"/>
        <s v="Diagnosticar i planificar la millora de la biodiversitat de les parcel·les de Roquetes (Pol. 21, Parc. 64) i d'alfara de Carles (Pol.19, Parc. 4; Pol. 20, Parc. 52), herències abintestades i assignades al PNP"/>
        <s v="A.2.1.3. Estudi i seguiment d'espècies, hàbitats i ecosistemes que es poden veure afectats per l'ús públic (CETS)"/>
        <s v="A.2.2.1. Anàlisi de la capacitat de càrrega dels diferents espais més vulnerables i ordenació de fluxos en espais crítics (CETS): anàlisi de la capacitat de càrrega del riu Canaletes"/>
        <s v="Participar en l'actualització de l'Inventari de Zones Humides de Catalunya"/>
        <s v="Actualització de les bases cartogràfiques del Parc (GIS)"/>
        <s v="Seguiment de les actuacions del projecte de millora d'hàbitats i espècies PPO 23227, mitjançant rèpliques de vols de dron i parcel·les"/>
        <s v="Assistència tècnica: Manteniment de la monitorització de zones humides per al control de la qualitat ambiental al Parc Natural dels Ports"/>
        <s v="Seguiment de la papallona del boix Cydalima perspectalis"/>
        <s v="Participar en els GT de la DG i amb la UIC, per estandaritzar els seguiments dels elements clau de flora, fauna i hàbitats"/>
        <s v="Material tècnic de recerca"/>
        <s v="Piles per a treballs de recerca"/>
        <s v="Material divers per a activitats de recerca"/>
        <s v="Seguiment de l'estació de lepidòpters CBMS Montsagres i Estrets"/>
        <s v="SLIC Estrets"/>
        <s v="Projecte de reintroducció de la tortuga mediterrània al PN Ports: seguiment de la reintroducció de la tortuga mediterrània "/>
        <s v="Captura i col·locació emissors rapinyaires"/>
        <s v="Assegurança dron"/>
        <s v="Seguiments de flora amenaçada: Orchis cazorlensis, Asplenium sagittatum, Nepeta tuberosa, Lepidium hirtum, Ramonda myconi, Berberis garciae, Arenaria conimbricensis subsp. viridis, Jasione crispa s.l., Botrychium lunaria, Epipactis leptochila i Atropa baetica."/>
        <s v="Seguiment anual de les poblacions d'invertebrats amenaçats: Saga pedo, Erebia epistygne, Iolana debilitata, Zygaena ignifera, Macromia splendens, Austropotamobius pallipes"/>
        <s v="Estudi dels pol·linitzadors al PNP"/>
        <s v="Seguiment anual de les poblacions reproductores d'àguila cuabarrada Aquila fasciata, àguila calçada Hieraaetus pennatus, àguila marcenca Circaetus gallicus, aufrany Neophron percnopterus, astor Accipiter gentilis, duc Bubo bubo"/>
        <s v="Seguiment de passeriformes amenaçats (còlit ros, cogullada fosca, botxí)"/>
        <s v="Projecte de reintroducció del trencalòs: Seguiment del trencalòs Gypaetus barbatus mitjançant fototrampeig als Punts d'alimentació suplementària"/>
        <s v="Participació en el pla de seguiment del gat fer i altres mesocarnívors (Felis-ICHN)"/>
        <s v="Participació en el Seguiment d’Ocells Comuns a Catalunya (SOCC)"/>
        <s v="Col·laboració en els projectes de seguiment de quiròpters (Museu de Ciències Naturals de Granollers)"/>
        <s v="Seguiment de la llúdriga als espais fluvials del Parc"/>
        <s v="Seguiment de la recuperació de la biodiversitat en l'àmbit de l'incendi de Paüls"/>
        <s v="Actualitzar les bases de dades dels seguiments que realitza el ENP"/>
        <s v="Participar en el grups de treball per a la definició i organització del SINATCAT"/>
        <s v="Col·laborar amb el Museu de les Terres de l'Ebre i el Museu de la Pauma de Mas de Barberans per definir línies d'actuació conjunta entre patrimoni cultural i natural"/>
        <s v="Acollir estudiants en pràctiques en el marc dels convenis amb universitat i centres de recerca"/>
        <s v="Posar a disposició la casa de Gànduls per a equips de recerca que treballen a l'ENP"/>
        <s v="Participar en la definició del sistema estándard de seguiment de l'ús públic amb el SENP"/>
        <s v="Manteniment dels comptadors de vehicles"/>
        <s v="Seguiment dels serveis d'informació i educació ambiental"/>
        <s v="A.3.5.1. Revisió i millora del sistema de recollida de dades turístiques dut a terme pel PN, les oficines de turisme i pels empresaris turístics a fi de sistematitzar el procés (CETS)"/>
        <s v="A.3.5.2. Estudi de viabilitat d'una eina 'big data' per al seguiment de visitants a determinats punts del PN (CETS)"/>
        <s v="Diagnosi de la identificació dels impactes (positius i negatius) que generen les activitats d'ús públic dins l'ENP"/>
        <s v="Col·laborar en el pla &quot;Treball a les Comarques&quot; Terra Alta Més del Servei d'Ocupació de Catalunya (SOC)"/>
        <s v="Col·laborar en el pla &quot;Treball a les Comarques&quot; Baix Ebre Avant del Servei d'Ocupació de Catalunya (SOC)"/>
        <s v="Col·laborar en el pla &quot;Treball a les Comarques&quot; Agència de desenvolupament del Montsià del Servei d'Ocupació de Catalunya (SOC)"/>
        <s v="2.1.3. Assessorament i acompanyament individualitzat (PRODUCT)"/>
        <s v="2.2.2. Elaborar estudis o diagnosis específiques sobre particularitats de la producció agroalimentària de l’àmbit del Parc (PRODUCT)"/>
        <s v="5.1.1. Assessorament en la gestió de la finca (PRODUCT)"/>
        <s v="2.1.1. Coordinació i/o impartició de formació especialitzada adreçada a productors agroalimentaris i artesans per aprendre a valoritzar el propi producte (PRODUCT)"/>
        <s v="2.1.2. Organització de jornades tècniques formatives (PRODUCT)"/>
        <s v="Treballs de brigada per a la recuperació de marges i punts d'aigua d'interès per a la flora i la flora en explotacions ramaderes i agrícoles "/>
        <s v="3.2.1. Orientació sobre la normativa en l’etiquetatge dels productes (PRODUCT)"/>
        <s v="A.3.1. Elaboració d'un directori digital de productes artesans (ARTESAN): manteniment del directori existent"/>
        <s v="A.4.4. Foment de la venda i comercialització de productes artesans als Punts d'informació del PNP (ARTESAN)"/>
        <s v="3.2.2. Potenciar els Centres de visitants del Parc Natural dels Ports a Roquetes, Prat de Comte i la Sénia, així com l'Alberg a Alfara de Carles per a la venda conjunta dels productes locals i artesanals (PRODUCT)"/>
        <s v="1.1.2. Crear un apartat específic sobre la producció local i artesana del Parc Natural al web oficial del Parc Natural dels Ports (PRODUCT): manteniment del directori existent"/>
        <s v="3.1.2. Elaborar material de marxandatge amb aquest segell o distintiu (PRODUCT)"/>
        <s v="1.1.3. Elaborar material divulgatiu sobre alguna particularitat de la producció local del Parc per fomentar el consum local o dels visitants (PRODUCT): col·laboració amb el LEADER i GAL per dissenyar i produir material divulgatiu"/>
        <s v="1.1.4. Crear un Catàleg d’experiències turístiques en base al producte local i l’artesania (PRODUCT)"/>
        <s v="2.1.4. Potenciar les experiències entorn de l’oleoturisme, en particular, ja que l’oli és el producte agroalimentari amb més presència en l’àmbit del Parc Natural dels Ports (PRODUCT)"/>
        <s v="A.4.1.2. Reforç de la presència del parc natural a les fires locals de l'àrea d'influència de l'espai protegit (CETS)"/>
        <s v="A.2.3. Creació d'una exposició itinerant de productes artesans que viatgés pels diferents punts d'informació dels Ports: itinerància de l'exposició als pobles de l'àmbit del Parc"/>
        <s v="A.4.3. Disseny, promoció i comercialització de productes artesans de marxandatge dels Ports (ARTESAN): creació de marxandatge artesà en motiu del 25è aniversari del Parc"/>
        <s v="1.2.5. Programa de tallers i activitats que es poguessin organitzar de forma conjunta entre el Parc Natural i les empreses productores i artesanes (PRODUCT): demostracions i tallers d'artesania en fires locals"/>
        <s v="3.3.1. Suport a la dinamització de fires especialitzades entorn dels productes agroalimentaris (PRODUCT): participació a FesTast amb els productors Fet al Parc"/>
        <s v="3.3.2. Suport a les empreses locals per participar en fires nacionals o internacionals (PRODUCT)"/>
        <s v="4.2.1. Organització de networkings entre productors agroalimentaris i artesans amb comerços, restaurants i allotjaments turístics dels municipis de l’àmbit del Parc Natural (PRODUCT): reunions periòdiques de la comissió dels productors agroalimentaris Fet al Parc"/>
        <s v="4.2.2 Organització de jornades gastronòmiques amb producte elaborat/produït al Parc Natural i restaurants de municipis del Parc o de l’entorn proper (PRODUCT): organització en col·laboració amb els GAL del LEADER en l'organització de showcooking amb productes Fet al Parc"/>
        <s v="1.1.1 Elaborar un Directori dels productors/es i artesans/es del Parc Natural dels Ports: manteniment del directori web"/>
        <s v="Promocionar l’artesania dins del programa lectiu de les escoles."/>
        <s v="A.3.5. Elaboració d'un catàleg d'artesans/es a disposició del públic als punts d'informació (ARTESAN)"/>
        <s v="0. Coordinació i seguiment del Pla d'artesania: Actualització del Pla d'artesania (ARTESAN)"/>
        <s v="A.3.10. Creació d'un canal directe de comunicació amb el PN per a la difusió de l'activitat artesana (ARTESAN): manteniment del canal de comunicació"/>
        <s v="0. Coordinació i seguiment del Pla d'acció de la Diagnosi dels productors i productores locals del PNP (PRODUCT)"/>
        <s v="2.2.4. Estudi de la traçabilitat de la producció agrícola i ramadera (PRODUCT)"/>
        <s v="4.1.1. Suport a la dinamització de col·lectius de productors i/o artesans (PRODUCT)"/>
        <s v="Participar en la revisió i el desenvolupament del protocol de col·laboració entre la Direcció General d’Ecosistemes Forestals i Gestió del Medi i la Direcció General de Polítiques Ambientals i Medi Natural per la que s’estableixen els criteris de treball entre les Reserves Nacionals de Caça i els Espais Naturals Protegits"/>
        <s v="Elaborar els informes ambientals dels PTGC de les Àrees Privades de Caça"/>
        <s v="Regular les batudes de caça als territoris de reproducció dels rapinyaires"/>
        <s v="Instar a la Subdirecció General de Fauna Cinegètica, Caça i Pesca Continental a millorar la informació disponible a l'avançada i en temps real sobre les batudes de caça"/>
        <s v="Elaborar els informes ambientals de les autoritzacions de les batudes excepcionals per danys agrícoles i ramaders"/>
        <s v="A.1.1.1. Formalització del Fòrum Permanent com a instrument d'informació, participació i decisió de tots els agents turístics adherits a la CETS (CETS): gestió i manteniment de les reunions del Fòrum Permanent"/>
        <s v="A.1.1.2. Formalització del Grup de Treball com a instrument de seguiment, coordinació i decisió immediata de tots els agents turístics adherits a la CETS (CETS): gestió i manteniment de les reunions del GT"/>
        <s v="A.1.1.4. Dotació de recursos humans per realitzar les tasques de coordinació de la CETS al PN (CETS): Tasques de suport a l'Àrea d'ús públic (contracte Assistència tècnica de suport a la CETS)"/>
        <s v="A.1.2.1. Disseny i execució d'activitats d'intercanvi de coneixement entre el sector públic i privat per a la generació de xarxes i espais de treball comú (CETS)"/>
        <s v="A.1.2.2. Participació activa del PN a la xarxa de parcs adherits a la CETS (CETS): participar en la CETSCAT i en el Seminari permanent de la CETS d'EUROPARC."/>
        <s v="A.1.3.1. Seguiment i avaluació del procés d'implantació de la CETS al PN durant el període 2022-2026 (CETS)"/>
        <s v="A.2.3.1. Impuls d'accions d'Educació i Voluntariat Ambiental en l'àmbit educatiu i de la població local (CETS)"/>
        <s v="A.5.1.1. Elaborar i executar el Pla de comunicació de la CETS (CETS): Servei de realització de fotografies i vídeos d'empreses adherides a la Carta Europea de Turisme Sostenible del Parc Natural dels Ports"/>
        <s v="A.3.2.1. Acreditació d'espais com a punts d'informació i acreditació de persones com a agents informadors del Parc Natural (CETS): Senyalització Espai informació CETS"/>
        <s v="Participar en el Consell de Marca &quot;Terres de l'Ebre&quot; de l'OA Patronat de Turisme de la Diputació de Tarragona"/>
        <s v="A.4.3.1. Realització de workshops entre centres de formació professional i empreses privades (CETS)"/>
        <s v="A.4.2.6. Organització i execució de viatges de familiarització amb Aragó i Castelló per a la creació de productes turístics compartits (CETS)"/>
        <s v="A.4.2.7. Establir col·laboracions amb el PN Delta de l’Ebre per a impulsar nous productes turístics i millorar els existents (CETS)"/>
        <s v="A.3.4.2. Disseny i promoció d'un catàleg d'experiències turístiques (CETS)"/>
        <s v="Difondre la guia de bones pràctiques d'arquitectura tradicional entre propietaris, promotors i professionals de la construcció"/>
        <s v="Aplicar la regulació de l'acampada i la pernoctació segons el Decret 148/1992 i els acords de la Junta Rectora del Parc"/>
        <s v="A.2.1.4. Ordenació i planificació de l'activitat ciclista al PN (CETS): creació de la comissió de Junta rectora de regulació de la circulació rodada no motoritzada"/>
        <s v="Seguiment de la Comissió per a la regulació de l'escalada al Parc Natural dels Ports"/>
        <s v="Seguiment de la Comissió per a la Regulació del Descens de Barrancs al Parc Natural dels Ports"/>
        <s v="Seguiment de la Comissió per a la Regulació de l'Espeleologia al Parc Natural dels Ports"/>
        <s v="Tancament de la Comissió per a la Regulació de les Vies Ferrades al Parc Natural dels Ports i presentació a la Junta rectora"/>
        <s v="Aplicar la regulació de l'escalada, el barranquisme i l'espeleologia d'acord amb el Decret 148/1992 i els acords de la Junta rectora del Parc"/>
        <s v="Aplicar la regulació de les curses i altres activitats esportives organitzades d'acord amb el Decret 148/1992 i els acords de la Junta rectora del Parc"/>
        <s v="Aplicar la regulació dels enregistraments i l'observació de fauna i natura d'acord amb el Decret 148/1992"/>
        <s v="Aplicar la regulació de les activitats científiques en base la normativa vigent"/>
        <s v="Aplicar la regulació de les zones de bany d'acord amb el Decret 148/1992 i els acords de Junta rectora del Parc, i les ordenances municipals de regulació d'accessos a les zones de bany"/>
        <s v="A.1.1.3. Creació d'una taula de treball per a l'adequació i la concreció de mesures per controlar l'afluència de visitants en determinats punts (CETS): activació del Grup de treball de la regulació de les zones de bany en ENP a la Terra Alta"/>
        <s v="Promoure la regulació de l'enlairament i aterratge sense motor"/>
        <s v="Aplicar la regulació de la presència d'animals de companyia"/>
        <s v="Impulsar campanyes de sensibilització adreçades als visitants que accedeixen al Parc amb gossos, recordant que, en zones de protecció especial, els animals han d’anar lligats"/>
        <s v="A.3.1.1. Establiment d‟un model per a l'ordenació de l'activitat dels guies intèrprets del Parc Natural Parc (CETS)"/>
        <s v="Aplicar la regulació de les activitats d'educació ambiental i el lleure educatiu d'acord amb el Decret 148/1992 i els acords de Junta rectora del Parc en l'emissió de les autoritzacions"/>
        <s v="Promoure la delimitació de les zones i les alçades de restricció aèria, amb o sense motor, a l'ENP"/>
        <s v="A.2.1.2. Elaboració del Pla d'Ús Públic del PN (CETS)"/>
        <s v="Participar en les reunions periòdiques del GT d'Ús públic dels ENP"/>
        <s v="Identificar i promoure l'eliminació o el posicionament de les rutes de les aplicacions per a mòbils en zones sensibles o que siguin il·legals"/>
        <s v="Promoure i col·laborar, amb ajuntaments i propietaris particulars, la regulació de les zones d'estacionament de vehicles_x000a_"/>
        <s v="Actualitzar la base de dades de senyalètica de l'ENP"/>
        <s v="Treballs de manteniment, amb brigada, de la senyalització de l'ENP"/>
        <s v="Renovació de senyals malmeses i actualització de continguts"/>
        <s v="Producció i instal·lació de la cartelleria dels itineraris CAMINAT "/>
        <s v="Manteniment amb mitjans propis de les àrees d'ús públic i els itineraris de fora del Parc: Santa Madrona d'Arnes, Santa Bàrbara d'Horta, Vall de la Jepa, itineraris de Prat de Comte"/>
        <s v="Promure i col·laborar en la restauració i l'ús públic de l'antiga extractiva del Predio Montserrat (Prat de Comte)"/>
        <s v="Redacció del Projecte &quot;Millora de les Àrees de recepció de Visitants i la millora de camins d’accés al Parc Natural als municipis d'Arnes i Roquetes&quot;, inclòs al PEA"/>
        <s v="Execucíó del projecte &quot;Millora de les Àrees de recepció de Visitants i la millora de camins d’accés al Parc Natural al municipi d’Horta de Sant Joan. PPO-23228&quot;: millora d'accessos i àrees de recepció"/>
        <s v="Seguiment i manteniment de l'acreditació de &quot;Turisme familiar&quot; als equipaments del Parc sota la supervisió de l'Agència Catalana de Turisme"/>
        <s v="Despeses d'electricitat de l'Alberg d'Alfara"/>
        <s v="Millora i manteniment del sistema de l'alarma a la Seu del Parc i els centres de visitants"/>
        <s v="Revisió i millora del sistema antiincendis de l'Alberg d'Alfara"/>
        <s v="Despeses de neteja de l'Alberg d'Alfara"/>
        <s v="Tractament de tèrmits del Centre de Visitants del Montsià"/>
        <s v="Renovació del sistema de calefacció/refrigeració del Centre de Visitants de la Terra Alta"/>
        <s v="Redacció del Pla d'accessibilitat dels equipaments del Parc"/>
        <s v="Taxes d'aigua i clavegueram ajuntament d'Alfara Alberg"/>
        <s v="Instal·lació de línies de vida o escales de gat per a l'accés als edificis del Parc (seu, CVMO)"/>
        <s v="Redacció del projecte &quot;Construcció centre de natura del Mas de Barberans&quot;"/>
        <s v="Redacció del projecte d'adeqüació de l'interior de l'edifici del carrer Bailen"/>
        <s v="Adeqüació de l'espai interior de la casa forestal de la Vall"/>
        <s v="Posta en funcionament de l'Alberg i Centre d'educació ambiental d'Alfara de Carles"/>
        <s v="ERP1. Garantir l’ús continuat dels equipaments específics d’educació ambiental (CEA d’Alfara de Carles, Cova Avellanes, etc.) i potenciar el paper pedagògic dels centres de visitants (PEEVA)"/>
        <s v="ERP2. Destinar equipaments (si cal establint acords amb altres agents) per organitzar campaments amb un component d’educació ambiental (PEEVA)"/>
        <s v="A.3.9. Creació d'expositors moderns i visuals per als Punts d'informació del PNP per mostrar productes artesans del territori (ARTESAN)"/>
        <s v="A.3.3.1. Millora de la visibilitat i la funcionalitat dels centres de visitants i punts d'informació (CETS): projecte de reordenació exterior del CVBE"/>
        <s v="A.4.4.1. Identificació dels nodes més rellevants amb la Via Verda per determinar punts de connexió per a la creació de rutes alternatives que donin accés al PN (CETS)"/>
        <s v="A.4.4.3. Estudi per a la creació d'una ruta cicloturística que enllaci la via verda a Roquetes amb els nuclis urbans de Mas de Barberans i La Sénia (CETS)"/>
        <s v="A.3.4.1. Adaptació de 2 itineraris interpretatius del PN a les necessitats d'accés universal (CETS): redacció projecte executiu de l'itinerari d'accés universal a Cova Picasso"/>
        <s v="A.3.4.1. Adaptació de 2 itineraris interpretatius del PN a les necessitats d'accés universal (CETS): redacció del projecte executiu de l'itinerari d'accés universal i adaptació de l'àrea de lleure de Cova Avellanes"/>
        <s v="Execucíó del projecte &quot;Millora de les Àrees de recepció de Visitants i la millora de camins d’accés al Parc Natural al municipi d’Horta de Sant Joan. PPO-23228&quot;: adaptació de l'Àrea de la Franqueta a l'accés universal"/>
        <s v="Formació continuada al personal dels centres d'informació"/>
        <s v="Serveis d'informació a l'Ecomuseu a Horta de Sant Joan"/>
        <s v="Serveis d'informació a Arnes"/>
        <s v="Serveis d'informació a Paüls"/>
        <s v="Serveis d'informació al Mas de Barberans"/>
        <s v="Serveis d'informació al Centre de Visitants del Baix Ebre (Roquetes)"/>
        <s v="Serveis d'informació al Centre de Visitants del Montsià (la Sénia)"/>
        <s v="Serveis d'informació al Centre de Visitants de la Terra Alta (Prat de Comte)"/>
        <s v="Col·laboració amb l'Oficina de Turisme de Terres de l'Ebre"/>
        <s v="Serveis d'informació en punts o àrees d'informació al Baix Ebre, durant Setmana Santa i la tardor (Àrea de lleure de Cova Avellanes, Àrea recreativa de Sant Roc i al Toscar), mitjançant el contracte de serveis d'informació, educació i voluntariat a l'ENP (AG-2024-17)"/>
        <s v="Serveis d'informació en punts o àrees d'informació al Montsià, durant Setmana Santa i la tardor (Coll de la Creu – Refalgarí, Àrea de lleure de la Fou i Àrea de lleure de la Vall – Aparcament del Cocó de la Gralla), mitjançant el contracte de serveis d'informació, educació i voluntariat a l'ENP (AG-2024-17)"/>
        <s v="Serveis d'informació en punts o àrees d'informació a la Terra Alta, durant la Setmana Santa i l'estiu (els Estrets d'Arnes: aparcaments de Lliberós i de Biarnets, riu Algars: aparcament del Toll del Vidre, la Franqueta i els Ateus, i aparcament del riu Canaleta), mitjançant el contracte de serveis d'informació, educació i voluntariat a l'ENP (AG-2024-17)"/>
        <s v="Coordinació dels serveis de vigilància del contracte, juntament amb ajuntaments, Mossos, CAR."/>
        <s v="Coordinació i seguiment del contracte &quot;Servei de vigilància per a la minimització d’afectacions per hiperfreqüentació al Parc Natural dels Aiguamolls de l’Empordà, al Parc Natural del Delta de l’Ebre i al Parc Natural dels Ports, PTOP-2025-357&quot;"/>
        <s v="Coordinació, mitjançant reunions periòdiques, amb el Cos d'Agents Rurals, especialment pel que fa al control d'actuacions i activitats al medi natural"/>
        <s v="Coordinació d'actuacions amb els Mossos d'Esquadra, especialment pel que fa a les plantacions de cànnabis"/>
        <s v="Col·laborar en la redacció i execució dels plans d’emergències amb les autoritats competents en la matèria"/>
        <s v="Col·laborar amb el Cos d'Agents Rurals en el tancament d'accés al Parc durant els períodes d'activació del nivell 4 del Pla Alfa"/>
        <s v="GOV4. Configurar i posar en marxa una taula d’educació ambiental per coordinar el Parc Natural amb els diversos agents educatius (PEEVA): Definir el model de Xarxa d'Escoles de l'Espai Natural (XEEN) a l'ENP amb els agents educatius del territori, mitjançant el contracte de serveis d'informació, educació i voluntariat a l'ENP (AG-2024-17)"/>
        <s v="GOV4. Configurar i posar en marxa una taula d’educació ambiental per coordinar el Parc Natural amb els diversos agents educatius (PEEVA): Suport i dinamització a la Xarxa d’escoles de l’espai natural (13 al Baix Ebre, 12 al Montsià i 15 a la Terra Alta), mitjançant el contracte de serveis d'informació, educació i voluntariat a l'ENP (AG-2024-17)"/>
        <s v="GOV4. Configurar i posar en marxa una taula d’educació ambiental per coordinar el Parc Natural amb els diversos agents educatius (PEEVA): Trobades de la Xarxa d'escoles de l'espai natural, mitjançant el contracte de serveis d'informació, educació i voluntariat a l'ENP (AG-2024-17)"/>
        <s v="EA3. Programar accions formatives per al professorat dels centres educatius locals amb el suport dels CRP i el Programa Escoles Verdes (PEEVA), mitjançant el contracte de serveis d'informació, educació i voluntariat a l'ENP (AG-2024-17) mitjançant el contracte de serveis d'informació, educació i voluntariat a l'ENP (AG-2024-17)"/>
        <s v="EA1. Elaborar i implementar un programa específic d’educació ambiental dirigit als centres educatius locals i avaluar-lo periòdicament (PEEVA): Contracte de serveis d'informació, educació i voluntariat a l'ENP (AG-2024-17)"/>
        <s v="Elaboració de tres noves Propostes Educatives. Cada comarca haurà de dissenyar una proposta per cada àmbit. Es prioritzaran les Propostes per l’Educació Bàsica (EDU): Disseny de 3 activitats noves i millora de 6 activitats, mitjançant el Contracte de serveis d'informació, educació i voluntariat a l'ENP (AG-2024-17)"/>
        <s v="Redacció de l’oferta educativa seguint els criteris i directrius establerts en aquest PEA i incorporant les noves activitats en desenvolupament (EDU): Contracte de serveis d'informació, educació i voluntariat a l'ENP (AG-2024-17)"/>
        <s v="EA2. Promoure projectes en els centres educatius locals (crèdits de síntesi, treballs de recerca, servei comunitari, etc.) sobre temàtiques vinculades al Parc Natural, mitjançant el Contracte de serveis d'informació, educació i voluntariat a l'ENP (AG-2024-17) (PEEVA)"/>
        <s v="0. Coordinació i seguiment del Pla estratègic 2021-2030 d'educació i voluntariat ambiental: Educació ambiental (PEEVA)"/>
        <s v="GOV6. Garantir una coordinació eficaç entre el pla d’educació i voluntariat ambiental, els plans d’acció vinculats a la CETS i els programes d’ús públic (PEEVA)"/>
        <s v="Serveis d'Educació Ambiental al Baix Ebre: Contracte de serveis d'informació, educació i voluntariat a l'ENP (AG-2024-17)"/>
        <s v="Serveis d'Educació Ambiental al Montsià: Contracte de serveis d'informació, educació i voluntariat a l'ENP (AG-2024-17)"/>
        <s v="Serveis d'Educació Ambiental a la Terra Alta: Contracte de serveis d'informació, educació i voluntariat a l'ENP (AG-2024-17)"/>
        <s v="GOV2. Acordar i introduir millores viables en el servei d’educació ambiental que externalitza el Parc Natural, si escau amb algun tipus de protocol escrit, mitjançant el contracte de serveis d'informació, educació i voluntariat a l'ENP (AG-2024-17) (PEEVA)_x000a_"/>
        <s v="Suport i dinamització a la coordinació amb agents claus del territori, mitjançant el contracte de serveis d'informació, educació i voluntariat a l'ENP (AG-2024-17)"/>
        <s v="GOV3. Elaborar i mantenir actualitzat un inventari dels potencials agents col·laboradors en educació ambiental, mitjançant el contracte de serveis d'informació, educació i voluntariat a l'ENP (AG-2024-17) (PEEVA)"/>
        <s v="EA7. Dissenyar i executar un programa anual de trobades amb representants i personal tècnic de les administracions locals (PEEVA)"/>
        <s v="EA8. Establir aliances amb programes educatius o de lleure municipals per integrar continguts o propostes didàctiques del Parc Natural (PEEVA)"/>
        <s v="GOV5. Cercar i establir col·laboracions i projectes conjunts amb agents clau del territori (PEEVA), mitjançant el contracte de serveis d'informació, educació i voluntariat a l'ENP (AG-2024-17) (PEEVA)"/>
        <s v="Realització d'activitats formatives, a través del contracte de serveis d'informació, educació i voluntariat a l'ENP (AG-2024-17)"/>
        <s v="A.3.2.1. Acreditació d'espais com a punts d'informació i acreditació de persones com a agents informadors del Parc Natural (CETS)"/>
        <s v="A.2.3.2. Disseny i execució d'accions de formació i divulgació sobre valors naturals i paisatgístics que aportin singularitat al PN (CETS): cursos de Picampall, odonats..."/>
        <s v="A.3.1.2. Formació, acreditació i promoció de guies intèrprets del PN mitjançant formació reglada (CETS): col·laboració en el curs del Coneixements del Parc Natural del Delta de l’Ebre i del Parc Natural dels Ports per formar guies acreditats dels Parcs Naturals (IEPAAC - FP Dual)"/>
        <s v="Desplegar les campanyes de sensibilització i bones pràctiques que s'impulsin des de la DG (2025-2029)"/>
        <s v="A.4.1.4. Organització i celebració del &quot;Dia Europeu dels Parcs&quot; al PN dels Ports (CETS)"/>
        <s v="EA5. Dissenyar una oferta d’activitats específica per a famílies en el marc dels programes dirigits als centres educatius locals i la població local (PEEVA): Realització d'activitats guiades adreçades a grups familiars o d'adults en temps de lleure, mitjançant el contracte de serveis d'informació, educació i voluntariat a l'ENP (AG-2024-17)"/>
        <s v="Realització de xerrades, ja sigui en instal·lacions pròpies o externes, o virtuals, mitjançant el contracte de serveis d'informació, educació i voluntariat a l'ENP (AG-2024-17)"/>
        <s v="Realitzar activitats tècniques especialitzades, mitjançant el contracte de serveis d'informació, educació i voluntariat a l'ENP (AG-2024-17)"/>
        <s v="Realització de tallers educatius, ja sigui en equipaments propis, externs o a la natura, mitjançant el contracte de serveis d'informació, educació i voluntariat a l'ENP (AG-2024-17)"/>
        <s v="ERP3. Actualitzar i crear nous recursos pedagògics de suport a les activitats educatives (PEEVA): Realització d'activitats guiades adreçades a grups d'infants i joves en temps de lleure, mitjançant el contracte de serveis d'informació, educació i voluntariat a l'ENP (AG-2024-17)"/>
        <s v="Tasques de suport a l'Àrea d'ús públic"/>
        <s v="Planificar, gestionar i executar el cicle estival de xerrades i activitats a Cova Avellanes_x000a_"/>
        <s v="Participar en el curs “Ciència, projectes i investigacions amb accent ebrenc que milloren el món&quot; de la UNED, amb la xerrada &quot;La gestió dels hàbitats forestals al Parc Natural dels Ports: silvicultura de conservació de processos ecològics per adaptar els boscos en context de canvi&quot;_x000a_"/>
        <s v="VA3. Gestionar les demandes de voluntariat i d’accions d’RSC d’empreses d’acord amb els procediments establerts per a tots els parcs naturals (PEEVA)"/>
        <s v="Cap"/>
        <s v="0. Coordinació i seguiment del Pla estratègic 2021-2030 d'educació i voluntariat ambiental: Taula Voluntariat Ambiental (PEEVA)"/>
        <s v="VA2. Facilitar orientacions tècniques i suport continuat a les entitats que demanin fer voluntariat en l’àmbit del Parc Natural (PEEVA)"/>
        <s v="Promoció del voluntariat, dins del marc de la Taula de Voluntariat dels parcs naturals de les Terres de l’Ebre, mitjançant el contracte de serveis d'informació, educació i voluntariat a l'ENP (AG-2024-17)"/>
        <s v="Implementar el protocol d'ús de les Joëlettes, a partir dels criteris de la DG"/>
        <s v="?"/>
        <s v="Revisió des de la perspectiva de gènere dels nous continguts i activitats de l'ENP"/>
        <s v="A.4.2.1. Disseny i desenvolupament d'itineraris saludables (CETS): Creació d’itinerari terapèutic a la forest d’utilitat publica de la Mola de Catí (Projecte: Creació de paisatges agroforestals resilients i la provisió de serveis ecosistèmics a Terres de l’Ebre)"/>
        <s v="Participar en les reunions de la Taula Natura i Salut de les Terres de l'Ebre"/>
        <s v="Participar en les reunions i els grups de treball de la Taula Natura de Catalunya"/>
        <s v="Promoure i participar en l'elaboració d'un pla d'acció de la Taula Natura i Salut de les Terres de l'Ebre"/>
        <s v="Informar periòdicament als ajuntaments sobre les activitats i actuacions promogudes des del Parc"/>
        <s v="Cingles: Elaboració butlletí Cingles (disseny gràfic...)_x000a_"/>
        <s v="A.3.7. Publicacions per posar en valor als diferents artesans/es al butlletí Cingles (ARTESAN)"/>
        <s v="Memòria d'actuacions: coordinació elaboració dels continguts de la Maquetació Memòria 2025"/>
        <s v="Memòria d'actuacions: Maquetació Memòria 2025"/>
        <s v="Cingles: Edició del butlletí Cingles (coordinació)"/>
        <s v="Cingles: Impressió Cingles"/>
        <s v="Memòria d'actuacions: Impressió Memòria 2023"/>
        <s v="Exposició en fires i festivals locals"/>
        <s v="Cursos sobre patrimoni natural (Picampall i altres)"/>
        <s v="Webcam niu rapinyaires: Connexió internet niu rapinyaires"/>
        <s v="Webcam Webcam niu rapinyaires: Manteniment webcam niu rapinyaires"/>
        <s v="Webcam Webcam niu rapinyaires: Connexió internet casa Cova Avellanes"/>
        <s v="Elaboració de material de difusió sobre el voltor negre (marxandantge)"/>
        <s v="ERP4. Recopilar i modernitzar els recursos i materials divulgatius existents adreçats a visitants, en especial les exposicions interpretatives (PEEVA): edició o reedició, i publicació dels materials divulgatius associats a l'ús públic (mapa oficial, itineraris oficials del Parc, regulació d'activitats, etc.)"/>
        <s v="ERP4. Recopilar i modernitzar els recursos i materials divulgatius existents adreçats a visitants, en especial les exposicions interpretatives (PEEVA): col·laborar amb la DG per a la redacció del projecte museogràfic del CVMO i de l'equipament de Bailen, en el contracte global per lots"/>
        <s v="Realització d'una agenda d'activitats per a la celebració del 25è aniversari de la creació del Parc"/>
        <s v="Manteniment i actualització de la pàgina web"/>
        <s v="Manteniment i actualització de les xarxes socials"/>
        <s v="Elaborar notes de premsa en col·laboració de la DG"/>
        <s v="Participar en les reunions de coordinació amb la DG sobre comunicació"/>
        <s v="Identificar els equips científics experts en àmbits temàtics clau en la gestió del Parc"/>
        <s v="Participar en la definició del model de governança dels espais naturals protegits per part de la DG"/>
        <s v="Gestió del calendari i les convocatòries de les sessions, ordinàries i extraordinàries"/>
        <s v="Preparació de l'ordre del dia de cada sessió amb la presidència, les vicepresidències, la DG i els SSTT"/>
        <s v="Gestió i seguiment dels acords de Junta rectora "/>
        <s v="Manteniment i actualització del canal TEAMS de la Junta rectora"/>
        <s v="Participació en la preparació del programa d'actuacions anual, dins del marc del Pla estratègic 2025-2029"/>
        <s v="Aprovació dels Programes i les Memòries d'actuacions anuals"/>
        <s v="Coordinació, d'acord amb els Serveis Centrals, el control de l'execució del pressupost"/>
        <s v="Despeses apartat de correus"/>
        <s v="Serveis de missatgeria"/>
        <s v="Organització de reunions i cursos"/>
        <s v="Despeses bancàries"/>
        <s v="Despeses desplaçaments, reunions i aparcaments"/>
        <s v="Elaboració del Programa d'actuacions anual, juntament amb les Àrees del Parc i la direcció"/>
        <s v="Elaboració del pressupost anual de despesa per RAE, juntament amb les Àrees del Parc i la direcció"/>
        <s v="Preparació i gestió administrativa de l'aportació anual de la Diputació de Tarragona"/>
        <s v="Gestió administrativa dels contractes inclosos en el Programa d'actuacions"/>
        <s v="Gestió administrativa dels ingressos per RAE"/>
        <s v="Elaboració de la Memòria anual del RAE"/>
        <s v="Participació en les reunions periòdiques del GT de RAE dels ENP"/>
        <s v="Seguiment dels contractes i encomanes de la DG: contracte de manteniment integral d'edificis (COMSA)"/>
        <s v="Seguiment dels contractes i encomanes de la DG: serveis de neteja"/>
        <s v="Seguiment dels contractes i encomanes de la DG: contracte de vehicles"/>
        <s v="Estudi de viabilitat econòmica de l'Alberg i Centre d'educació ambiental d'Alfara de Carles"/>
        <s v="Promoure l'expedient administratiu de la concessió de l'Alberg i Centre d'educació ambiental d'Alfara de Carles"/>
        <s v="Participar i promoure les necessitats de contractació del l'ENP per a l'optimització dels contractes a nivell de Xarxa"/>
        <s v="Participació i revisió prèvia de les ordres de subvencions destinades als espais naturals de Catalunya, als hàbitats i espècies, en el marc del Programa de desenvolupament rural de Catalunya"/>
        <s v="5.1.2. Identificar actuacions subvencionables dins de l'ordre d'ajuts d'ENP de Catalunya (PRODUCT)"/>
        <s v="Identificar els convenis de col·laboració, convenis marc, acords, protocols i altres instruments de col·laboració vigents, caducats o en vies de caducar properament"/>
        <s v="Promoure la renovació i, si escau, la modificació dels convenis caducats o en vies de caducitat"/>
        <s v="Promoure l'assignació d'ús al Parc Natural d'algunes cases forestals en forests públiques (casa de la Vall o del barranc de la Galera, caseta del planter de la Vall o del barranc de la Galera, casetó del Prat d’en Rubera i mas de l’Amat)"/>
        <s v="Participació en la valoració, el seguiment i la gestió administrativa de les subvencions destinades als espais naturals de Catalunya, als hàbitats i espècies, en el marc del Programa de desenvolupament rural de Catalunya"/>
        <s v="Participació en la valoració, el seguiment i la gestió administrativa de les subvencions a entitats ambientals sense ànim de lucre de Catalunya per al finançament de projectes que millorin l'estat de conservació del patrimoni natural i la biodiversitat en els espais naturals protegits"/>
        <s v="Assessorament a entitats i persones interessades en els ajuts sobre el calendari de les convocatòries, la naturalesa de les actuacions subvencionables i el procediment adiministratiu"/>
        <s v="Explorar les possibles col·laboracions en l'àmbit de la conservació de la natura o del patromoni cultural, i de l'ús públic amb el Parc Natural de la Tinença de Benifassà"/>
        <s v="Gestió administrativa dels informes dels vectors ambiental i cultural en l'àmbit del Parc Natural i de l'espai de la xarxa Natura 2000"/>
        <s v="Manteniment de la base de dades dels informes dels vectors ambiental i cultural en l'àmbit del Parc Natural i de l'espai de la xarxa Natura 2000"/>
        <s v="Gestió administrativa de les autoritzacions emeses en l'àmbit del Parc Natural i de l'espai de la xarxa Natura 2000"/>
        <s v="-Facilitar la gestió administrativa establint de manera clara i detallada, des de l’inici del tràmit, la documentació necessària per a la sol·licitud d’informes o permisos al Parc. "/>
        <s v="Participar en les reunions periòdiques de coordinació dels ENP amb la DG"/>
        <s v="Participar en el Pla de Capacitació Digital del Departament"/>
        <s v="Desplegar i implementar el Sistema d'Informació de la Natura (SINATCAT)"/>
        <s v="Participar en cursos de formació de procediment administratiu per part de l'equip gestor"/>
        <s v="Redacció i actualització del Pla estratègic del Parc Natural dels Ports (2026-2029)"/>
        <s v="Atendre les consultes i les sol·licituds d'informació (presencials, telèfon, correus electrònics i peticions mitjançant les plataformes electròniques) de la ciutadania, les entitats o les administracions"/>
        <s v="Gestió i control de les comunicacions oficials (correu genèric, SARCAT, EACAT...)"/>
        <s v="Tramitar la cessió de domini de l'Ecomuseu dels Ports_x000a_"/>
        <s v="Tramitar la cessió de domini l'aparcament del CVTA"/>
        <s v="Tramitar la cessió de domini del terreny del centre de natura del Mas de Barberans"/>
        <s v="Col·laborar en la tramitació i la definició dels riscos de pèrdues o danys materials del patrimoni de la Generalitat de Catalunya en l'àmbit territorial del Parc per part de les pòlisses d'assegurances"/>
        <s v="Col·laborar en la tramitació i la definició dels riscos de les pòlisses d'assegurances de responsabilitat patrimonial i civil "/>
        <s v="Control i seguiment dels protocols de riscos laborals d'empreses i entitats que treballen en equipaments del parc"/>
        <s v="Treballs de manteniment dels equipaments de gestió per part de la brigada del Parc, fora del contracte de manteniment integral d'edificis"/>
        <s v="Materials de ferreteria - fusta"/>
        <s v="Materials de construcció"/>
        <s v="Materials de ferreteria - instal·lacions"/>
        <s v="Materials de pintura"/>
        <s v="Manteniments diversos"/>
        <s v="Materials de fontaneria i electricitat"/>
        <s v="Manteniment de vehicles"/>
        <s v="Manteniment sistemes informàtics"/>
        <s v="Manteniment de maquinària"/>
        <s v="Combustible Baix Ebre-Montsià per a maquinària"/>
        <s v="Combustible Terra Alta per a maquinària"/>
        <s v="Altres despeses diverses"/>
        <s v="Manteniment sistemes audiovisuals"/>
        <s v="Material d'oficina"/>
        <s v="Gestió del Centre de Documentació (catalogació, servei de prèstec, atenció a consultes, etc.)"/>
        <s v="Gestió del fons fotogràfic del Centre de Documentació (catalogació, cessió, identificar necessitats...)"/>
        <s v="Preparació i càrrega del material documental per al repositori del Departament (Medi Ambient)"/>
        <s v="Gestió de l'estoc de publicacions"/>
        <s v="Subscripció revista Quercus"/>
        <s v="Subscripció revista Montes"/>
        <s v="Subscripció setmanari l'Ebre"/>
        <s v="Material promocional (llibres)"/>
        <s v="Quota Flickr"/>
        <s v="Quota ICHN"/>
        <s v="Reportatge fotogràfic d'actes i activitats"/>
        <s v="Fons documental per al Centre de Documentació"/>
        <s v="Natura i Art fotos"/>
        <s v="Planificació i seguiment de les tasques de la brigada del Parc"/>
        <s v="Coordinació amb Forestal Catalana de les brigades del Baix Ebre-Montsià i Terra Alta"/>
        <s v="Manteniment de la base de dades de les tasques de brigada del Parc"/>
        <s v="Gestió de les sol·licituds d'actuacions amb brigada per part de les administracions locals i entitats privades"/>
        <s v="Participació en les reunions periòdiques del GT de Brigades i Millora rural dels ENP"/>
        <s v="Gestió de les sol·licituds de vehicles"/>
        <s v="Participació en els processos selectius de les places adscrites al Parc Natural"/>
        <s v="Gestió administrativa de les validacions per ATRI (fitxatges, plans de teletreball, validació de competències, etc.)"/>
        <s v="Promoure la contractació d'una persona responsable del Centre de Documentació i de les accions de comunicació de l'ENP"/>
        <s v="Consolidació laboral del personal temporal dedicat a les tasques de desplegament dels instruments de gestió de la Xarxa Natura 2000a Catalunya"/>
        <s v="Coordinació de les diferents àrees de l'equip gestor del Parc mitjançant reunions setmanals"/>
        <s v="Consolidació de l'equip de treball de l'òrgan gestor del Parc (nivells laborals, estabilització laboral...)"/>
        <s v="GOV1. Enfortir i consolidar l’àmbit de gestió de l’educació i el voluntariat ambiental en el funcionament de l’equip gestor del Parc Natural (PEEVA): Definició i clarificació dels rols de l'equip del parc i una correcta definició de les tasques de cada membre"/>
        <s v="Gestió ordinària i imprevistos no contemplats en cap dels Objectius opertatius anteriors"/>
      </sharedItems>
    </cacheField>
    <cacheField name="Comentaris Anthesis" numFmtId="0">
      <sharedItems containsBlank="1" longText="1"/>
    </cacheField>
    <cacheField name="Comentaris Anthesis actuacions setembre25" numFmtId="0">
      <sharedItems containsBlank="1" longText="1"/>
    </cacheField>
    <cacheField name="Propostes d'accions pel període 2027-2029" numFmtId="0">
      <sharedItems containsBlank="1" count="28" longText="1">
        <m/>
        <s v="Implementar la metodologia de gestió adaptativa (Estàndards Oberts de Gestió Adaptativa a Catalunya) en tots els processos de l'ENP"/>
        <s v="Participar en la revisió del Pla d'acció de la Reserva de la Biosfera de Terres de l'Ebre i portar a terme les actuacions previstes  "/>
        <s v="Avaluació de l'estat de conservació del barranc de la Conca i les sèquies, i planificar pla d'acció (neteja, manteniment...)"/>
        <s v="A.2.1.1. Elaboració del Pla de Protecció del Medi Natural i el Paisatge del PN (CETS)"/>
        <s v="Formar el personal dels punts d’informació en els valors culturals de l'ENP"/>
        <s v="Elaborar un inventari d'elements d'interès paisatgístic de l'ENP d'acord amb el Catàleg de paisatge de la zona "/>
        <s v="Identificar i classificar la xarxa viària bàsica, secundària, senders i itineraris senyalitzats d'acord amb els titulars públics i privats"/>
        <s v="Ordenar l'accés i la circulació"/>
        <s v="Ordenar l'ús de drons, l'enlairament i l'aterratge"/>
        <s v="A.4.2.2. Disseny i desenvolupament d'itineraris d'observació de fauna i creació de punts d'observació (CETS). "/>
        <s v="A.2.4.1. Instal·lació de carregadors de bicicletes i vehicles elèctrics al territori CETS del PN (CETS)"/>
        <s v="A.4.2.3. Disseny i desenvolupament d'elements relacionats amb el paisatge (CETS)"/>
        <s v="A.4.4.2. Adequació dels centres del PN per rebre ciclistes (CETS)"/>
        <s v="EA9. Articular accions formatives i generar recursos per garantir que la informació turística i els guiatges turístics vinculats al Parc Natural incloguin elements interpretatius i pedagògics (PEEVA)"/>
        <s v="ERP5. Elaborar un manual de referència per a guies i educador/es ambientals amb tots els valors principals del Parc Natural (PEEVA)."/>
        <s v="A.4.4.4. Disseny i desenvolupament d'una jornada de cicloturisme al PN (CETS)"/>
        <s v="Identificar col·lectius estratègics implicats en la gestió i l'ús del territori"/>
        <s v="EA6. Articular estratègies de difusió i formació adreçades als agents socioeconòmics d’àmbit local per afrontar certes problemàtiques que afecten el Parc Natural (PEEVA)"/>
        <s v="EA4. Elaborar i implementar un programa específic d’educació ambiental per a la població i les entitats locals amb una oferta d’activitats atractiva i vinculada a esdeveniments locals (PEEVA): Elaborar i difondre una agenda trimestral d'activitats educatives dirigides a la població i les entitats locals."/>
        <s v="Elaboració del calendari d’activitats de lleure, 2026 (EA Informal) (EDU)"/>
        <s v="Formar el personal de l'ENP (informadors i personal que treballa de cara al públic) en accessibilitat, diversitat funcional i diversitat de gènere"/>
        <s v="A.4.2.1. Disseny i desenvolupament d'itineraris saludables (CETS)"/>
        <s v="1.2.1. Organitzar accions comunicatives amb professionals externs que puguin fer difusió dels productes locals artesans i agroalimentaris (PRODUCT)."/>
        <s v="1.2.2. Campanya de comunicació conjunta amb la Reserva de la Biosfera Terres de l’Ebre (PRODUCT)"/>
        <s v="1.2.3. Programa d’entrevistes als productors/es i artesans/es (PRODUCT)"/>
        <s v="Rollers marcenca: il·lustracions, disseny , suports"/>
        <s v="Crear taules de treball temàtiques amb els agents prioritaris per a la gestió de l'ENP"/>
      </sharedItems>
    </cacheField>
    <cacheField name="Propostes d'accions pel proper Pla estratègic 2030-34" numFmtId="0">
      <sharedItems containsBlank="1" count="25">
        <m/>
        <s v="Planificar i executar pertorbacions controlades"/>
        <s v="Planificar i intervenir en la dinàmica de poblacions de fauna que poden generar impactes negatius en la conservació dels elements d'interès de l'ENP"/>
        <s v="Afavorir la connectivitat ecològica del territori"/>
        <s v="Fomentar acords de custòdia en espais d'alt valor dins l'ENP per a la gestió dels elements prioritaris"/>
        <s v="Fomentar bones pràctiques entre els col·lectius de propietaris i gestors del territori"/>
        <s v="Participar en la compensació d'impactes residuals durant els processos d'avaluació ambiental mitjançant la identificació de necessitats d'actuació prioritària dins i fora dels límits de l’ENP"/>
        <s v="Vetllar, juntament amb altres administracions, pel manteniment del cabal ecològic dels rius definit al Pla sectorial corresponent"/>
        <s v="Identificar espais prioritaris en finques públiques destinades a altres usos per a la gestió directa"/>
        <s v="Crear uns premis de recerca en matèria de patrimoni cultural que siguin publicables posteriorment. "/>
        <s v="Fer recerca del Barranc de Lloret. "/>
        <s v="Elaborar el catàleg lingüístic (localismes) de patrimoni natural, geografia popular, festes i activitats tradicionals de l'ENP"/>
        <s v="Elaborar la cartografia de la xarxa de camins ramaders i senders tradicionals de l'ENP"/>
        <s v="Formar al personal tècnic de l'ENP en patrimoni cultural"/>
        <s v="Recuperar i conservar el patrimoni cultural immaterial (associat a les activitats i aprofitaments rurals tradicionals) i els valors espirituals"/>
        <s v="Promoure la certificació de zones d'especial protecció de la qualitat acústica"/>
        <s v="Potenciar la ciència ciutadana en l’ENP com a eina per generar coneixement "/>
        <s v="Crear i desenvolupar jornades de recerca de l'ENP de forma periòdica on els diferents centres mostrin els estudis realizats en l'ENP "/>
        <s v="Crear l'Observatori de recerca de l'ENP vinculat a l'Observatori del Patrimoni natural i la biodiversitat "/>
        <s v="Adaptar i mantenir un registre i cartografia d'activitats, actors i inciències en ús públic (curses, conflictes, queixes, etc)"/>
        <s v="Promoure i/o col·laborar en la planificació i el desenvolupament sostenible en l’àmbit local"/>
        <s v="Actualitzar la diagnosi del teixit productiu local i un pla d’acció amb línies de treball i actuacions concretes per donar-li suport"/>
        <s v="Fomentar la creació d'allotjaments i altres recursos turístics d'acord amb les necessitats i els agents turístics del territori que es vinculin als valors naturals de l'espai"/>
        <s v="Ordenar els aprofitaments i extraccions dins l'espai"/>
        <s v="Ordenar la xarxa viària principal, secundària i restringida"/>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urco Masip, Antoni" refreshedDate="45990.852622569444" createdVersion="6" refreshedVersion="6" minRefreshableVersion="3" recordCount="468" xr:uid="{00000000-000A-0000-FFFF-FFFF16000000}">
  <cacheSource type="worksheet">
    <worksheetSource ref="A4:Z472" sheet="PLA"/>
  </cacheSource>
  <cacheFields count="37">
    <cacheField name="EIXOS" numFmtId="0">
      <sharedItems count="7">
        <s v="NATURA"/>
        <s v=" CULTURA"/>
        <s v="CONEIXEMENT "/>
        <s v="DESENVOLUPAMENT LOCAL "/>
        <s v="ÚS PÚBLIC I SOCIAL"/>
        <s v="EDUCACIÓ, VOLUNTARIAT I COMUNICACIÓ "/>
        <s v="GESTIÓ I ADMINISTRACIÓ"/>
      </sharedItems>
    </cacheField>
    <cacheField name="N1" numFmtId="0">
      <sharedItems containsSemiMixedTypes="0" containsString="0" containsNumber="1" containsInteger="1" minValue="1" maxValue="16" count="16">
        <n v="1"/>
        <n v="2"/>
        <n v="3"/>
        <n v="4"/>
        <n v="5"/>
        <n v="6"/>
        <n v="7"/>
        <n v="8"/>
        <n v="9"/>
        <n v="10"/>
        <n v="11"/>
        <n v="12"/>
        <n v="13"/>
        <n v="14"/>
        <n v="15"/>
        <n v="16"/>
      </sharedItems>
    </cacheField>
    <cacheField name="OBJECTIUS Generals (PP)" numFmtId="0">
      <sharedItems count="16">
        <s v="CONSERVAR LA NATURA i restaurar els ecosistemes, els processos naturals i seminaturals, la biodiversitat i la geodiversitat associada."/>
        <s v="ADAPTAR ELS ECOSISTEMES AL CANVI CLIMÀTIC i millorar-ne la resiliència en front dels riscos associats."/>
        <s v="PROTEGIR LA BIODIVERSITAT, i especialment els elements fràgils i amenaçats, d’interès comunitari o de major interès natural."/>
        <s v="CONSERVAR ELS ELEMENTS CULTURALS materials i immaterials vinculats a la natura"/>
        <s v="PROTEGIR EL PAISATGE i la qualitat de l'ambient visual, sonor i lumínic."/>
        <s v="MILLORAR EL CONEIXEMENT DE L'ENTORN, del patrimoni natural, cultural i social."/>
        <s v="FIXAR LA POBLACIÓ AL TERRITORI d'acord amb les oportunitats que generen els objectius de l'espai."/>
        <s v="APROFITAR ELS RECURSOS NATURALS DE FORMA SOSTENIBLE mitjançant desenvolupament dels aprofitaments tradicionals de forma compatible amb la conservació de l'espai "/>
        <s v="FOMENTAR UN TURISME SOSTENIBLE compatible amb la conservació de l'espai "/>
        <s v="ORDENAR ELS USOS I APROFITAMENTS per garantir l'equilibri de les activitats humanes amb la conservació de la biodiversitat"/>
        <s v="ORDENAR L'ÚS PÚBLIC I SOCIAL per a la protecció dels hàbitats, espècies i elements geològics"/>
        <s v="GESTIONAR ELS RISCOS NATURALS per a l'autoprotecció de la població local"/>
        <s v="FORMAR I SENSIBILITZAR la població incrementant la valoració i estima social de l'ENP"/>
        <s v="COMUNICAR I DIFONDRE ELS VALORS DE L'ENP, contribuint a l'educació ambiental de la societat"/>
        <s v="ESTABLIR EL MARC PER A LA GOVERNANÇA i la gestió eficient de l'espai i la xarxa d'ENP"/>
        <s v="MILLORAR L'EFICIÈNCIA de la gestió administrativa"/>
      </sharedItems>
    </cacheField>
    <cacheField name="N2" numFmtId="0">
      <sharedItems count="57">
        <s v="01.1"/>
        <s v="01.2"/>
        <s v="01.3"/>
        <s v="01.4"/>
        <s v="02.1"/>
        <s v="02.2"/>
        <s v="03.1"/>
        <s v="03.2"/>
        <s v="03.3"/>
        <s v="03.4"/>
        <s v="04.1"/>
        <s v="04.2"/>
        <s v="04.3"/>
        <s v="04.4"/>
        <s v="05.1"/>
        <s v="05.2"/>
        <s v="05.3"/>
        <s v="06.1"/>
        <s v="06.2"/>
        <s v="06.3"/>
        <s v="06.4"/>
        <s v="06.5"/>
        <s v="07.1"/>
        <s v="08.1"/>
        <s v="08.2"/>
        <s v="08.3"/>
        <s v="08.4"/>
        <s v="09.1"/>
        <s v="09.2"/>
        <s v="10.1"/>
        <s v="11.1"/>
        <s v="11.2"/>
        <s v="11.3"/>
        <s v="11.4"/>
        <s v="11.5"/>
        <s v="11.6"/>
        <s v="11.7"/>
        <s v="11.8"/>
        <s v="12.1"/>
        <s v="13.1"/>
        <s v="13.2"/>
        <s v="13.3"/>
        <s v="13.4"/>
        <s v="13.5"/>
        <s v="13.6"/>
        <s v="13.7"/>
        <s v="13.8"/>
        <s v="14.1"/>
        <s v="14.2"/>
        <s v="14.3"/>
        <s v="15.1"/>
        <s v="16.1"/>
        <s v="16.2"/>
        <s v="16.3"/>
        <s v="16.4"/>
        <s v="16.5"/>
        <s v="16.6"/>
      </sharedItems>
    </cacheField>
    <cacheField name="OBJECTIUS Estratègics" numFmtId="0">
      <sharedItems count="57">
        <s v="Adequar i fer eficient la conservació dels elements objecte de gestió prioritària marcats per la DG a l'ENP"/>
        <s v="Executar les mesures de gestió directa previstes en els intruments de planificació per la conservació i la gestió adaptativa dels elements clau de l'ENP"/>
        <s v="Crear ecosistemes complexes, resilients, i d'alta biodiversitat per garantir la recuperació dels processos ecosistèmics"/>
        <s v="Alinear l'activitat de propietaris i gestors del territori amb la conservació, millora i restauració dels valors de l'ENP"/>
        <s v="Planificar l'adaptació dels sistemes naturals al canvi climàtic"/>
        <s v="Planificar la prevenció i extinció d’incendis forestals i la gestió del foc de forma coordinada amb els diferents agents del territori "/>
        <s v="Prevenir, minimitzar i compensar els impactes ambientals dels usos i activitats que es desenvolupin en l'àmbit de l'ENP"/>
        <s v="Garantir el compliment dels objectius de conservació dotant l'ENP de la planificació adequada segons estableix la normativa vigent (Pla de Protecció, PRUG, plans específics...)"/>
        <s v="Vetllar pel manteniment dels cabals ecològics i la bona qualitat dels cursos fluvials de l'ENP de forma coordinada amb l'administració competent"/>
        <s v="Incrementar el patrimoni públic destinat a la conservació i millora del patrimoni natural"/>
        <s v="Millorar el coneixement disponible sobre el patrimoni arquitectònic i cultural (material i immaterial) vinculat al patrimoni natural, el seu estat de conservació i els estils propis dels territoris de l'ENP"/>
        <s v="Conservar i gestionar el patrimoni cultural de l'ENP de forma coordinada amb els agents responsables i entitats de referència"/>
        <s v="Potenciar la conservació i recuperació del patrimoni cultural material i immaterial de l'ENP"/>
        <s v="Donar a conèixer els elements culturals com a valors del paisatge de l'ENP en les activitats d'ús públic "/>
        <s v="Identificar els elements d'interès paisatgístic de l'espai"/>
        <s v="Millorar la qualitat paisatgística"/>
        <s v="Protegir la qualitat acústica i lumínica de l'ENP"/>
        <s v="Identificar els objectes de gestió prioritària de l'ENP en el marc dels objectius de govern"/>
        <s v="Conèixer l'estat de conservació i la seva tendència dels hàbitats, les espècies els elements de la gea i els processos ecològics com a eina per avaluar i optimitzar la gestió"/>
        <s v="Estandaritzar els seguiments periòdics dels grups clau "/>
        <s v="Incrementar el coneixement de qualitat mitjançant l’establiment de marcs de col·laboració, assessorament i suport amb centres de recerca, museus i entitats naturalistes per al desenvolupament de part de la seva activitat en l’ENP"/>
        <s v="Millorar el coneixement global de les dinàmiques d'usos antròpics de l’ENP"/>
        <s v="Fomentar i donar suport tècnic als Plans de desenvolupament socioecòmonic local sostenible dels municipis "/>
        <s v="Impulsar models productius agraris i forestals per tal d'afavorir la conservació dels hàbitats i els paisatges modelats per aquestes, i contribuir a la millora socioeconòmica de les persones que la fan possible"/>
        <s v="Promoure la coordinació amb els agents socioeconòmics del territori pel foment del desenvolupament sostenible de l'espai (sector primari i secundari)"/>
        <s v="Millorar la valorització i comercialització dels productes generats a l'ENP que contribueixen al desenvolupament socioeconòmic i la conservació del patrimoni de l'ENP"/>
        <s v="Contribuir a una correcta planificació i gestió dels recursos cinegètics i piscícoles de forma compatible amb els valors de l'ENP"/>
        <s v="Fomentar un model de turisme que promogui els valors dels espais naturals protegits d'acord amb els agents turístics del territori "/>
        <s v="Promoure la coordinació amb els agents turístics del territori (empreses, industries, administració)."/>
        <s v="Estandarditzar de regulació d'usos i aprofitaments  en base al model de Pla de protecció"/>
        <s v="Estandaritzar regulació de l’ús públic i social en base al model acordat per govern"/>
        <s v="Disposar de la xarxa viària i itineraris oficials de l'ENP"/>
        <s v="Implementar el protocol estandarditzat basat en el pla per la regulació al accés, circulació i ús de la xarxa viària"/>
        <s v="Enfortir la col·laboració i coordinació amb els agents d'ús públic (empreses, entitats i ajuntaments)"/>
        <s v="Mantenir i millorar la senyalització de l'ENP"/>
        <s v="Prevenir i gestionar els impactes derivats de la sobrefreqüentació"/>
        <s v="Ordenar i estandaritzar els espais d'acollida de visitants i equipaments d'ús públic, i garantir un correcte servei d'atenció i acollida dels visitants"/>
        <s v="Garantir el compliment de la normativa dins els ENP, especialment en l'accés motoritzat, zones amb hiperfrequentació i elements amb aprofitament comercial"/>
        <s v="Col·laborar amb les autoritats competents per a la gestió de riscos dins l’ENP"/>
        <s v="Afavorir la vinculació entre la comunitat educativa de l'entorn i l'ENP "/>
        <s v="Promoure una oferta pedagògica basada en metodologies innovadores i actives que estiguin alineades amb el currículum educatiu del Departament d'Educació"/>
        <s v="Establir mecanismes estables de formació, treball i coordinació amb els col·lectius implicats en la sensibilització i l'educació dins el ENP"/>
        <s v="Desplegar un programa de divulgació i sensibilització per a visitants"/>
        <s v="Desplegar un programa de sensibilització i formació per als col·lectius del territori estratègics en la conservació de la natura"/>
        <s v="Fomentar accions de voluntariat per conservar el patrimoni natural i cultural "/>
        <s v="Treballar per a la universalitat de les accions d’educació, sensibilització i voluntariat ambiental "/>
        <s v="Desplegar i adaptar el programa Salut i Natura de la DG en l'àmbit de l'ENP"/>
        <s v="Augmentar el coneixement de l'ENP entre la població"/>
        <s v="Conscienciar sobre els valors de l'ENP als diferents públics objectiu"/>
        <s v="Disposar d'una comunicació ordenada efectiva, positiva i coordinada que arribi a la ciutadania i aquesta pugui reconèixer fàcilment "/>
        <s v="Disposar d'espais per a la participació de personal expert i agents del territori en la governança de l'ENP"/>
        <s v="Optimitzar l'aplicació pressupostària"/>
        <s v="Planificar i optimitzar els processos de contractació, concessió d'ajuts, i les col·laboracions amb ens públics i privats"/>
        <s v="Agilitzar, incrementar l'eficiència  i incrementar l’assoliment dels procediments administratius"/>
        <s v="Ordenar l'estat dels béns patrimonials"/>
        <s v="Estructurar la gestió documental"/>
        <s v="Gestionar recursos humans"/>
      </sharedItems>
    </cacheField>
    <cacheField name="N3" numFmtId="0">
      <sharedItems count="196">
        <s v="01.1.1"/>
        <s v="01.1.2"/>
        <s v="01.2.1"/>
        <s v="01.2.2"/>
        <s v="01.2.3"/>
        <s v="01.2.4"/>
        <s v="01.3.1"/>
        <s v="01.3.2"/>
        <s v="01.3.3"/>
        <s v="01.3.4"/>
        <s v="01.3.5"/>
        <s v="01.3.6"/>
        <s v="01.3.7"/>
        <s v="01.4.1"/>
        <s v="01.4.2"/>
        <s v="01.4.3"/>
        <s v="02.1.1"/>
        <s v="02.1.2"/>
        <s v="02.1.3"/>
        <s v="02.2.1"/>
        <s v="02.2.2"/>
        <s v="02.2.3"/>
        <s v="03.1.1"/>
        <s v="03.1.2"/>
        <s v="03.1.3"/>
        <s v="03.2.1"/>
        <s v="03.3.1"/>
        <s v="03.3.2"/>
        <s v="03.3.3"/>
        <s v="03.3.4"/>
        <s v="03.3.5"/>
        <s v="03.4.1"/>
        <s v="03.4.2"/>
        <s v="04.1.1"/>
        <s v="04.1.2"/>
        <s v="04.1.3"/>
        <s v="04.2.1"/>
        <s v="04.2.2"/>
        <s v="04.2.3"/>
        <s v="04.2.4"/>
        <s v="04.3.1"/>
        <s v="04.3.2"/>
        <s v="04.3.3"/>
        <s v="04.3.4"/>
        <s v="04.4.1"/>
        <s v="04.4.2"/>
        <s v="04.4.3"/>
        <s v="05.1.1"/>
        <s v="05.2.1"/>
        <s v="05.2.2"/>
        <s v="05.2.3"/>
        <s v="05.3.1"/>
        <s v="05.3.2"/>
        <s v="06.1.1"/>
        <s v="06.1.2"/>
        <s v="06.2.1"/>
        <s v="06.2.3"/>
        <s v="06.2.4"/>
        <s v="06.2.5"/>
        <s v="06.2.6"/>
        <s v="06.2.7"/>
        <s v="06.3.1"/>
        <s v="06.3.2"/>
        <s v="06.3.3"/>
        <s v="06.3.4"/>
        <s v="06.4.1"/>
        <s v="06.4.2"/>
        <s v="06.4.3"/>
        <s v="06.4.4"/>
        <s v="06.4.5"/>
        <s v="06.4.6"/>
        <s v="06.5.1"/>
        <s v="06.5.2"/>
        <s v="06.5.3"/>
        <s v="06.5.4"/>
        <s v="06.5.5"/>
        <s v="06.5.6"/>
        <s v="07.1.1"/>
        <s v="08.1.1"/>
        <s v="08.1.2"/>
        <s v="08.1.3"/>
        <s v="08.2.1"/>
        <s v="08.3.1"/>
        <s v="08.3.2"/>
        <s v="08.3.3"/>
        <s v="08.3.4"/>
        <s v="08.3.5"/>
        <s v="08.3.6"/>
        <s v="08.3.7"/>
        <s v="08.3.8"/>
        <s v="08.4.1"/>
        <s v="08.4.2"/>
        <s v="08.4.3"/>
        <s v="09.1.1"/>
        <s v="09.1.2"/>
        <s v="09.1.3"/>
        <s v="09.2.1"/>
        <s v="09.2.2"/>
        <s v="10.1.1"/>
        <s v="10.1.2"/>
        <s v="11.1.1"/>
        <s v="11.1.2"/>
        <s v="11.1.3"/>
        <s v="11.1.4"/>
        <s v="11.1.5"/>
        <s v="11.1.6"/>
        <s v="11.1.7"/>
        <s v="11.1.8"/>
        <s v="11.1.9"/>
        <s v="11.1.10"/>
        <s v="11.1.11"/>
        <s v="11.1.12"/>
        <s v="11.1.13"/>
        <s v="11.1.15"/>
        <s v="11.1.16"/>
        <s v="11.2.1"/>
        <s v="11.2.2"/>
        <s v="11.3.1"/>
        <s v="11.3.2"/>
        <s v="11.3.3"/>
        <s v="11.3.4"/>
        <s v="11.3.5"/>
        <s v="11.4.1"/>
        <s v="11.4.2"/>
        <s v="11.5.1"/>
        <s v="11.5.2"/>
        <s v="11.6.1"/>
        <s v="11.6.2"/>
        <s v="11.7.1"/>
        <s v="11.7.2"/>
        <s v="11.7.3"/>
        <s v="11.7.4"/>
        <s v="11.7.5"/>
        <s v="11.8.1"/>
        <s v="11.8.2"/>
        <s v="11.8.3"/>
        <s v="12.1.1"/>
        <s v="12.1.2"/>
        <s v="13.1.1"/>
        <s v="13.1.2"/>
        <s v="13.1.3"/>
        <s v="13.2.1"/>
        <s v="13.2.2"/>
        <s v="13.2.3"/>
        <s v="13.2.4"/>
        <s v="13.2.5"/>
        <s v="13.3.1"/>
        <s v="13.3.2"/>
        <s v="13.3.3"/>
        <s v="13.4.1"/>
        <s v="13.4.2"/>
        <s v="13.4.3"/>
        <s v="13.4.4"/>
        <s v="13.5.1"/>
        <s v="13.5.2"/>
        <s v="13.5.3"/>
        <s v="13.5.4"/>
        <s v="13.5.5"/>
        <s v="13.6.1"/>
        <s v="13.6.2"/>
        <s v="13.6.3"/>
        <s v="13.7.1"/>
        <s v="13.7.2"/>
        <s v="13.7.3"/>
        <s v="13.8.1"/>
        <s v="13.8.2"/>
        <s v="13.8.3"/>
        <s v="13.8.4"/>
        <s v="14.1.1"/>
        <s v="14.2.1"/>
        <s v="14.3.1"/>
        <s v="14.3.2"/>
        <s v="15.1.1"/>
        <s v="15.1.2"/>
        <s v="15.1.3"/>
        <s v="15.1.4"/>
        <s v="15.1.5"/>
        <s v="16.1.1"/>
        <s v="16.2.1"/>
        <s v="16.2.2"/>
        <s v="16.2.3"/>
        <s v="16.2.4"/>
        <s v="16.2.5"/>
        <s v="16.3.1"/>
        <s v="16.3.2"/>
        <s v="16.3.3"/>
        <s v="16.3.4"/>
        <s v="16.3.5"/>
        <s v="16.4.1"/>
        <s v="16.4.2"/>
        <s v="16.4.3"/>
        <s v="16.4.4"/>
        <s v="16.5.1"/>
        <s v="16.6.1"/>
        <s v="16.6.2"/>
        <s v="16.6.3"/>
      </sharedItems>
    </cacheField>
    <cacheField name="OBJECTIUS operatius / Línia estratègica" numFmtId="0">
      <sharedItems containsBlank="1"/>
    </cacheField>
    <cacheField name="Comú / Específic" numFmtId="0">
      <sharedItems containsBlank="1"/>
    </cacheField>
    <cacheField name="Obligatori / Optatiu" numFmtId="0">
      <sharedItems containsBlank="1"/>
    </cacheField>
    <cacheField name="Objectiu operatiu concret a l'espai" numFmtId="0">
      <sharedItems containsBlank="1" count="200">
        <s v="Elaborar plans de gestió específics per a hàbitats i espècies de conservació prioritària dins de l'ENP"/>
        <s v="Elaborar i executar plans de gestió específics per a elements geològics de conservació prioritària dins l'ENP"/>
        <s v="Implementar la metodologia de gestió adaptativa (Estàndards Oberts de Gestió Adaptativa a Catalunya) en tots els processos de l'ENP"/>
        <s v="Executar les mesures previstes en els plans de conservació o recuperació d'espècies amenaçades de forma coordinada amb el Servei de Flora i Fauna en l'àmbit de l'ENP"/>
        <s v="Participar en l'elaboració dels plans de control i erradicació d'espècies exòtiques de forma coordinada amb el Servei de Fauna i Flora en l'àmbit de l'ENP i executar les actuacions"/>
        <s v="Desplegar els objectius i tasques recollits en els instruments de referència i compromisos internacionals  "/>
        <s v="Identificar i promoure espais per al foment de la dinàmica natural i l'aprofitament no extractiu"/>
        <s v="Afavorir la maduresa dels sistemes forestals"/>
        <s v="Planificar i executar pertorbacions controlades"/>
        <s v="Planificar i restaurar la dinàmica natural dels rius "/>
        <s v="Fomentar el paisatge en mosaic"/>
        <s v="Planificar i intervenir en la dinàmica de poblacions de fauna que poden generar impactes negatius en la conservació dels elements d'interès de l'ENP"/>
        <s v="Afavorir la connectivitat ecològica del territori"/>
        <s v="Fomentar acords de custòdia en espais d'alt valor dins l'ENP per a la gestió dels elements prioritaris"/>
        <s v="Fomentar bones pràctiques entre els col·lectius de propietaris i gestors del territori"/>
        <s v="Impulsar la coordinació amb els ens locals i l'Administració pública de boscos en la gestió finques públiques situades dins d’ENP"/>
        <s v="Promoure l'elaboració del Pla d'adaptació de l'ENP al canvi climàtic"/>
        <s v="Promoure la planificació, la gestió i el control dels recursos hídrics de l'ENP"/>
        <s v="Promoure i participar en la redacció dels instruments d'ordenació forestal sostenible, amb objectius de conservació, en finques públiques"/>
        <s v="Redactar i implementar el Pla de Prevenció d'Incendis de l'ENP"/>
        <s v="Definir i planificar la gestió del foc per a la millora de l'ENP"/>
        <s v="Participar, juntament amb els propietaris, ajuntaments i bombers, en els diversos plans de prevenció d'incendis (PPP, plans municipals, franges de protecció...)"/>
        <s v="Participar en les consultes dels processos d'Avaluació Ambiental que afectin directament o indirectament l'ENP"/>
        <s v="Exercir un seguiment efectiu de les obres i actuacions al Parc juntament amb les Oficines Territorials d'Acció i Avaluació Ambiental i el Cos d'Agents Rurals als efectes d'assegurar la correcta translació de la tutela administrativa."/>
        <s v="Participar en la compensació d'impactes residuals durant els processos d'avaluació ambiental mitjançant la identificació de necessitats d'actuació prioritària dins i fora dels límits de l’ENP"/>
        <s v="Participar en l'elaboració dels instruments de planificació de l'ENP"/>
        <s v="Vetllar, juntament amb altres administracions, pel manteniment del cabal ecològic dels rius definit al Pla sectorial corresponent"/>
        <s v="Vetllar per la regulació dels dragatges, canalitzacions o implantació d'activitats extractives que puguin modificar la llera i el cabal dels rius"/>
        <s v="Avaluar i controlar les actuacions que produeixin drenatges, captacions o que puguin impedir l’arribada d’aigua tant superficial com freàtica"/>
        <s v="Vetllar, juntament amb altres administracions, pel compliment de la normativa de depuració dels efluents agroramaders, urbans i industrials que s'aboquen als cursos fluvials"/>
        <s v="Colaborar amb l'òrgan competent per la conservació del domini públic d'acord amb les delimitacions i la normativa d'usos vigent"/>
        <s v="Identificar i promoure la compra d'espais prioritaris de terrenys de més valor dins l'ENP "/>
        <s v="Identificar espais prioritaris en finques públiques destinades a altres usos per a la gestió directa"/>
        <s v="Elaborar l'inventari i la cartografia de patrimoni arquitèctonic i cultural de l'ENP, que també inclogui el patrimoni etnològic i immaterial"/>
        <s v="Elaborar el catàleg lingüístic (localismes) de patrimoni natural, geografia popular, festes i activitats tradicionals de l'ENP"/>
        <s v="Elaborar la cartografia de la xarxa de camins ramaders i senders tradicionals de l'ENP"/>
        <s v="Identificar els ens de referència en patrimoni cultural (entitats, associacions, museus i ecomuseus, etc.) en l'àmbit de l'ENP"/>
        <s v="Impulsar i participar en línies de treball conjuntes entre l'ENP i representants, gestors o custodis del patrimoni cultural per a la seva protecció i millora"/>
        <s v="Impulsar i/o participar dels treballs de restauració arquitectònica, arqueològica i del patrimoni cultural"/>
        <s v="Formar al personal tècnic de l'ENP en patrimoni cultural"/>
        <s v="Recuperar i conservar el patrimoni cultural immaterial (associat a les activitats i aprofitaments rurals tradicionals) i els valors espirituals"/>
        <s v="Recuperar i conservar el patrimoni cultural rural vinculat específicament a construccions de pedra en sec"/>
        <s v="Fomentar la recuperació i conservació de l'arquitectura tradicional d'interès de les edificacions i construccions, en especial de les construccions de pedra en sec "/>
        <s v="Identificar i conservar la diversitat domesticada de varietats agrícoles i ramaderes locals"/>
        <s v="Integrar el patrimoni cultural als itineraris, cartelleria i materials de difusió de l'ENP."/>
        <s v="Incorporar el patrimoni cultural en els plans d’ús públic i educació ambiental per fomentar-ne la seva conservació i divulgació."/>
        <s v="Formar el personal dels punts d’informació en els valors culturals de l'ENP"/>
        <s v="Elaborar un inventari d'elements d'interès paisatgístic de l'ENP d'acord amb el Catàleg de paisatge de la zona "/>
        <s v="Desplegar actuacions de restauració i conservació dels elements d'interès paisatgístic degradats"/>
        <s v="Gestionar l'abandonament d'infraestructures i instal·lacions amb inpactes sobre els valors de l'espai"/>
        <s v="Minimitzar la brutícia, deixalles, vandalisme i males praxis dins l'ENP"/>
        <s v="Promoure la certificació de qualitat del cel nocturn"/>
        <s v="Promoure la certificació de zones d'especial protecció de la qualitat acústica"/>
        <s v="Identificar i prioritzar els elements clau i d'interès per la gestió de la biodiversitat i geodiversitat de Catalunya que es troben dins l'ENP (espècies amenaçades, espècies exòtiques invasores... )"/>
        <s v="Definir espais fràgils i zones d'especial atenció"/>
        <s v="Participar en l'elaboració de la cartografia que elabora la UIC"/>
        <s v="Conèixer els usos i factors de canvi rellevants en l'evolució dels elements de conservació, i avaluar els efectes que generen en l’espai (pressions i amenaces)"/>
        <s v="Conèixer l'impacte de la gestió de l'aigua sobre la biodiversitat."/>
        <s v="Participar en el coneixement de la tendència d'espècies plaga amb afectacions sobre ecosistemes o activitats econòmiques dins l'ENP"/>
        <s v="Conèixer la tendència d'espècies exòtiques invasores amb afectacions sobre ecosistemes o activitats econòmiques dins l'ENP"/>
        <s v="Conèixer com millorar la connectivitat de forma coordinada amb altres ENP"/>
        <s v="Participar en la definició del sistema estàndard de seguiment de flora, fauna i hàbitats de la DG"/>
        <s v="Adequar i executar el sistema de seguiment periòdic dels grups clau de l'ENP al sistema estàndard de seguiment"/>
        <s v="Mantenir una base de dades de seguiment de patrimoni natural de l'ENP actualitzada i ordenada "/>
        <s v="Participar en la definició, organització i bolcatge de dades del SINATCAT"/>
        <s v="Crear sinèrgies i col·laborar amb museus i equipaments de referència per definir línies d'actuació conjunta entre patrimoni cultural i natural"/>
        <s v="Contractació o establiment d'acords amb les institucions de recerca i naturalistes per al desenvolupament d'estudis i inventaris dins l'ENP en el marc de les seves línies de recerca"/>
        <s v="Potenciar la ciència ciutadana en l’ENP com a eina per generar coneixement "/>
        <s v="Crear i desenvolupar jornades de recerca de l'ENP de forma periòdica on els diferents centres mostrin els estudis realizats en l'ENP "/>
        <s v="Posar a disposició de la recerca, equipaments i serveis de l'ENP"/>
        <s v="Crear l'Observatori de recerca de l'ENP vinculat a l'Observatori del Patrimoni natural i la biodiversitat "/>
        <s v="Participar en la definició del sistema estándard de seguiment de l'ús públic amb el SENP"/>
        <s v="Disposar de dades de freqüentació i perfil d'usuari en l'ENP i en especial en equipaments i en zones d'alta freqüentació segons el model de DG "/>
        <s v="Identificar les activitats i actors de l’espai."/>
        <s v="Identificar en cartografia les males praxis i punts de massificació"/>
        <s v="Adaptar i mantenir un registre i cartografia d'activitats, actors i inciències en ús públic (curses, conflictes, queixes, etc)"/>
        <s v="Identificar els impactes (positius i negatius) que generen les activitats d'ús públic dins l'ENP"/>
        <s v="Promoure i/o col·laborar en la planificació i el desenvolupament sostenible en l’àmbit local"/>
        <s v="Acompanyar i assessorar els productors agraris, ramaders i forestals per millorar les tècniques productives agràries i afavorir la conservació dels hàbitats i paisatges "/>
        <s v="Oferir formació i assessorament als productors agraris, ramaders i forestals per millorar el seu coneixement sobre tècniques eficients i respectuoses amb la conservació del patrimoni natural i cultural "/>
        <s v="Promoure i recuperar la conservació de marges i punts d'aigua associats a la ramaderia i l'agricultura i d'interès per la biodiversitat"/>
        <s v="Establir una relació contínua amb agents socioeconòmics del territori, i si s'escau, crear una Taula de desenvolupament local"/>
        <s v="Implantar un distintiu de qualitat i compatibilitat amb la conservació dels productes de la Xarxa d'ENP o criteris de qualitat propis de l'ENP"/>
        <s v="Integrar els productes i activitats locals de qualitat en l'oferta d'activitats d'informació i turístiques de l'ENP"/>
        <s v="Promoure fires d'artesania i productes locals de l'ENP"/>
        <s v="Generar aliances entre el sector primari, el turisme, la restauració i altres per fomentar la gastronomia local "/>
        <s v="Actualitzar la diagnosi del teixit productiu local i un pla d’acció amb línies de treball i actuacions concretes per donar-li suport"/>
        <s v="Promoure els agents del territori que potencien i difonen els productes locals i de qualitat (artesanies, allotjaments, restaurants, cellers, establiments, elaboradors i productors) que afavoreixin la conservació"/>
        <s v="Elaborar una guia per promocionar els agents del territori que potencien i difonen els productes locals i de qualitat (allotjaments, restaurants, cellers, establiments, elaboradors, productors, artesans)"/>
        <s v="Desplegar el Pla d'acció per al foment de l'artesania del Parc Natural dels Ports (2023-2027)"/>
        <s v="Desplegar el Pla d'acció de la Diagnosi dels productors i productores locals del PNP"/>
        <s v="Col·laborar amb l'Administració cinegètica i les Àrees privades de caça per garantir objectius de conservació d’espècies i hàbitats en la revisió dels Plans de Gestió Cinegètica"/>
        <s v="Col·laborar en la regulació i ordenació de la caça i la pesca en zones sensibles o amb risc d'afectació d'elements clau objecte de conservació"/>
        <s v="Donar suport en la gestió de poblacions de fauna salvatge que generen danys a les activitats econòmiques de l'ENP"/>
        <s v="Desplegar la Carta Europea de Turisme Sostenible (CETS)"/>
        <s v="Tramitar la certificació Biosphere"/>
        <s v="Fomentar la creació d'allotjaments i altres recursos turístics d'acord amb les necessitats i els agents turístics del territori que es vinculin als valors naturals de l'espai"/>
        <s v="Treballar amb els agents turístics per trobar eines de canvi cap a un model de turisme sostenible i de qualitat "/>
        <s v="Crear productes i paquets turístics amb associacions d’empreses turístiques i operadors turístics"/>
        <s v="Establir un model de construcció a l'ENP en base a les tècniques tradicionals"/>
        <s v="Ordenar els aprofitaments i extraccions dins l'espai"/>
        <s v="Ordenar l'acampada i pernoctació  en base a un model estandarditzat de Pla de protecció"/>
        <s v="Ordenar la circulació rodada no motoritzada en base a un model estàndard de Pla de protecció"/>
        <s v="Ordenar l'escalada i alpinisme, barranquisme, i espeleologia  en base a un model estàndard de Pla de protecció"/>
        <s v="Ordenar les curses i altres activitats esportives organitzades en base a un model estàndard de Pla de protecció"/>
        <s v="Ordenar els enregistraments i l'observació de fauna i natura en base a un model estàndard de Pla de protecció"/>
        <s v="Ordenar les activitats científiques en base a un model estàndard de Pla de protecció"/>
        <s v="Ordenar les zones de bany"/>
        <s v="Ordenar l'enlairament i aterratge sense motor"/>
        <s v="Ordenar el submarinisme i l'snorkel"/>
        <s v="Ordenar les activitats aquàtiques i nàutiques i zones de fondeig"/>
        <s v="Ordenar la presència d'animals de companyia"/>
        <s v="Ordenar les activitats d'educació ambiental i el lleure educatiu"/>
        <s v="Aplicar la regulació de les activitats d'educació ambiental i el lleure educatiu d'acord amb el Decret 148/1992 i els acords de Junta rectora del Parc"/>
        <s v="Regular les activitats aèries amb motor per sobre de l'ENP"/>
        <s v="Planificar l'ús públic al PN"/>
        <s v="Identificar i classificar la xarxa viària bàsica, secundària, senders i itineraris senyalitzats d'acord amb els titulars públics i privats"/>
        <s v="Col·laborar amb SENP, conjuntament amb els principals canals d’informació de rutes, per prioritzar itineraris oficials dins l’ENP"/>
        <s v="Ordenar l'accés i la circulació"/>
        <s v="Ordenar la xarxa viària principal, secundària i restringida"/>
        <s v="Ordenar l'ús de drons, l'enlairament i l'aterratge"/>
        <s v="Aplicar limitacions temporals d'accés o circulació"/>
        <s v="Ordenar l'aparcament de vehícles"/>
        <s v="Implementar l'ordenació de l'ús públic en col·laboració amb els agents del territori"/>
        <s v="Promoció i acompanyament en l'ordenació de l'ús públic de l'ENP des de l'àmbit municipal"/>
        <s v="Actualitzar l'inventari de senyalètica de l'ENP"/>
        <s v="Senyalitzar el nous espais d'ús públic i mantenir l'existent, d'acord amb el Manual de senyalització dels espais naturals protegits"/>
        <s v="Potenciar la visita a espais alternatius dins de l'àmbit d'influència de l'espai natural per reduir la pressió en zones sensibles "/>
        <s v="Implementar les mesures extraordinàries de regulació de l'ús públic "/>
        <s v="Adequar els principals accessos, aparcaments i centres d'interès amb un ús elevat"/>
        <s v="Disposar i mantenir els serveis, equipaments i infraestructures necessàries i accessibles per acollir, informar, facilitar la visita i garantir la seguretat dels visitants i la protecció de l'entorn"/>
        <s v="Desenvolupar el Pla d'acollida als visitants en base al model de la DG"/>
        <s v="Adaptar els missatges a donar des d'oficines d’informació, pròpies i alienes, d'acord amb el model de la DG"/>
        <s v="Mantenir els serveis d'informació actuals de l'ENP"/>
        <s v="Elaborar i executar el Pla de vigilància de l’espai d'acord amb els cossos d’inspecció i seguretat"/>
        <s v="Millorar la coordinació amb els cossos de seguretat per efectuar accions de control i vigilància"/>
        <s v="Vetllar pel compliment d'informes i la vigilància tècnica de l'espai"/>
        <s v="Col·laborar en la redacció i execució dels plans d’emergències"/>
        <s v="Contribuir a la protecció dels assentaments humans respecte dels riscos naturals"/>
        <s v="Definir el model de Xarxa d'Escoles de l'Espai Natural (XEEN) a l'ENP amb els agents educatius del territori"/>
        <s v="Desplegar el model de Xarxa d'Escoles de l'Espai Natural (XEEN) a l'ENP d'acord amb el model general"/>
        <s v="Formar i capacitar al professorat de la XEEN "/>
        <s v="Adaptar i millorar l'oferta pedagògica de l'ENP generant situacions d'aprenentatge i treballs per projecte"/>
        <s v="Dissenyar projectes d'ApS ambiental i Ciència ciutadana i projectes compartits amb entitats del territori que s'incloguin dins de l'oferta pedagògica."/>
        <s v="Elaborar recursos educatius sobre l’espai (que tinguin en compte les problemàtiques singulars del seu espai) i posar-los a disposició dels centres educatius"/>
        <s v="Oferir projectes de recerca vinculats a l'espai natural per a l'alumnat universitari i de la XEEN"/>
        <s v="Desplegar el Pla estratègic 2021-2030 d’educació i voluntariat ambiental del Parc Natural dels Ports (PEEVA): Educació ambiental"/>
        <s v="Establir un model de coordinació territorial amb agents clau de l'educació ambiental"/>
        <s v="Cercar i establir col·laboracions i projectes conjunts amb agents clau del territori"/>
        <s v="Elaborar formacions dirigides als informadors, educadors i altres prescriptors del territori"/>
        <s v="Desplegar en el territori les campanyes de sensibilització i bones pràctiques que s'impulsin des de la DG"/>
        <s v="Adaptar el programa de divulgació i sensibilització de l'ENP perquè incorpori una oferta d’activitats adequada per a famílies "/>
        <s v="Adaptar el programa de divulgació i sensibilització de l'ENP perquè incorpori una oferta d’activitats adequada per a altres perfils "/>
        <s v="Adaptar el programa de divulgació i sensibilització de l'ENP perquè incorpori una oferta d’activitats dirigida al lleure educatiu "/>
        <s v="Identificar col·lectius estratègics implicats en la gestió i l'ús del territori"/>
        <s v="Executar els projectes de sensibilització i formació dirigits al sector esportiu"/>
        <s v="Executar els projectes de sensibilització i formació dirigits als agents de lleure educatiu "/>
        <s v="Executar els projectes de sensibilització i formació dirigits als agents del sector primari "/>
        <s v="Elaborar i renovar periòdicament un programa d’educació ambiental adreçat a la població local que contribueixi a fomentar el sentiment de pertinença i la implicació en la conservació de l'ENP"/>
        <s v="Identificar els programes, projectes i accions en marxa o previstos a l’ENP que poden rebre el suport del voluntariat"/>
        <s v="Establir un model de coordinació territorial amb agents clau del voluntariat ambiental"/>
        <s v="Desplegar el Pla estratègic 2021-2030 d’educació i voluntariat ambiental del Parc Natural dels Ports (PEEVA): Voluntariat"/>
        <s v="Dissenyar i adaptar activitats inclusives per a persones amb necessitats específiques"/>
        <s v="Formar el personal de l'ENP (informadors i personal que treballa de cara al públic) en accessibilitat, diversitat funcional i diversitat de gènere"/>
        <s v="Incorporar la perspectiva de gènere als continguts i activitats de l'ENP"/>
        <s v="Dissenyar, implementar i fomentar itineraris saludables dins dels itineraris oficials dels ENP i en la zona d'influència"/>
        <s v="Identificar els agents clau i els àmbits de col·laboració per implementar el binomi salut i natura"/>
        <s v="Incloure el concepte de salut i natura en els missatges educatius i comunicatius de l'ENP "/>
        <s v="Desplegar i/o participar a la Taula Territorial de Salut i Natura de les Terres de l'Ebre"/>
        <s v="Informar periòdicament sobre les tasques, projectes i actuacions que duu a terme l'ENP a la població"/>
        <s v="Sensibilitzar als diferents agents sobre els valors de l'ENP"/>
        <s v="Optimitzar els canals de comunicació"/>
        <s v="Garantir l'harmonització de la comunicació com a Parc, Xarxa i Generalitat."/>
        <s v="Crear taules de treball temàtiques amb els agents prioritaris per a la gestió de l'ENP"/>
        <s v="Disposar d'assessorament científic en l'ENP"/>
        <s v="Incloure entitats i organismes científics i culturals de referència en els mecanismes de presa de decisions de l'ENP"/>
        <s v="Participar en l'adaptació i el desplegament del model de governança dels espais naturals protegits"/>
        <s v="Gestionar el funcionament i la gestió documental de la Junta rectora del Parc"/>
        <s v="Gestionar i millorar administrativament els pressupostos anuals d'entrades i despeses "/>
        <s v="Planificar, detectar les necessitats de contractació del l'ENP per a l'optimització dels contractes a nivell de Xarxa i gestionar els contractes"/>
        <s v="Planificar i gestionar els ajuts"/>
        <s v="Participar en la renovació en temps i forma convenis de col·laboració, convenis marc, acords, protocols i altres instruments de col·laboració."/>
        <s v="Participar en l'avaluació i el seguiment de les actuacions derivades dels ajuts (certificacions, expedients administratius, publicitat...)"/>
        <s v="Establir línies de col·laboració específiques, per afinitats territorials o temàtiques, amb altres ENP, de Catalunya o fora d'aquest àmbit"/>
        <s v="Gestionar administrativament i optimitzar els informes i les autoritzacions de l'òrgan gestor"/>
        <s v="Adequar i actualitzar els procediments i tramitacions realitzats des de l'ENP als nous processos i eines conjuntes proposades des de Serveis Centrals"/>
        <s v="Augmentar el coneixement de l'equip de treball en matèria de procediment administratiu"/>
        <s v="Garantir la transparència administrativa i l'accés a la informació pública"/>
        <s v="Millorar i mantenir el material, infraestructures i equipaments de gestió de l'espai"/>
        <s v="Revisar l’estat dels béns patrimonials i la situació administrativa-legal dels equipaments del parc"/>
        <s v="Col·laborar en la tramitació i la definició dels riscos de pèrdues o danys materials del patrimoni de la Generalitat de Catalunya en l'àmbit territorial del Parc per part de les pòlisses d'assegurances"/>
        <s v="Col·laborar en la tramitació i la definició dels riscos de les pòlisses d'assegurances de responsabilitat patrimonial i civil "/>
        <s v="Mantenir i millorar els equipaments de gestió (oficines, cases forestals...) de l'ENP"/>
        <s v="Millorar l'accessibilitat i de la gestió documental i digital de l'ENP"/>
        <s v="Gestionar i coordinar la brigada de manteniment de l'ENP"/>
        <s v="Gestionar, enfortir i consolidar l'equip de gestió del parc"/>
        <s v="Gestió ordinària i imprevistos no contemplats en cap dels Objectius opertatius anteriors"/>
        <m u="1"/>
        <s v="Disposar dels equipaments i infraestructures necessàries i accessibles per acollir, informar, facilitar la visita i garantir la seguretat dels visitants i la protecció de l'entorn" u="1"/>
        <s v="Ordenar lels activitats d'educació ambiental i el lleure educatiu" u="1"/>
      </sharedItems>
    </cacheField>
    <cacheField name="Explicació de la decisió presa en el cas de canvis respecte al llistat inicial (columna G)" numFmtId="0">
      <sharedItems containsBlank="1"/>
    </cacheField>
    <cacheField name="Objectiu amb mesures incorporables a la planificació anual de la gestió de l'espai?" numFmtId="0">
      <sharedItems containsBlank="1" count="3">
        <s v="Si"/>
        <s v="No"/>
        <m u="1"/>
      </sharedItems>
    </cacheField>
    <cacheField name="Prioritat" numFmtId="0">
      <sharedItems containsBlank="1"/>
    </cacheField>
    <cacheField name="Propostes d'accions del Programa d'actuacions 2026" numFmtId="0">
      <sharedItems containsBlank="1" longText="1"/>
    </cacheField>
    <cacheField name="Comentaris Anthesis" numFmtId="0">
      <sharedItems containsBlank="1" longText="1"/>
    </cacheField>
    <cacheField name="Comentaris Anthesis actuacions setembre25" numFmtId="0">
      <sharedItems containsBlank="1" longText="1"/>
    </cacheField>
    <cacheField name="Propostes d'accions pel període 2027-2029" numFmtId="0">
      <sharedItems containsBlank="1" longText="1"/>
    </cacheField>
    <cacheField name="Propostes d'accions pel proper Pla estratègic 2030-34" numFmtId="0">
      <sharedItems containsBlank="1"/>
    </cacheField>
    <cacheField name="Proposta d'accions Pla estratègic" numFmtId="0">
      <sharedItems containsBlank="1" count="174" longText="1">
        <s v="*Participar en les reunions del GT de Conservació per a coordinar les actuacions de conservació i de seguiment dels elements de biodiversitat_x000a_*Participar en l'elaboració dels Plans de recuperació o de Conservació de les espècies amenaçades presents al PNP"/>
        <s v=""/>
        <s v="*Participar en les reunions del GT de Geoconservació per a coordinar les actuacions de conservació i de seguiment dels elements geològics de conservació prioritària protegida_x000a_*Introduir mesures de gestió preventiva en informes per evitar impactes significatius en els valors geològics"/>
        <s v="*Implementar la metodologia de gestió adaptativa (Estàndards Oberts de Gestió Adaptativa a Catalunya) en tots els processos de l'ENP"/>
        <s v="*Col·laboració en el Projecte de reintroducció del trencalòs Gypaetus barbatus al PN de la Tinença de Benifassà_x000a_*Projecte de reintroducció del voltor negre al PN Ports_x000a_*Projecte de reintroducció de la tortuga mediterrània al PN Ports_x000a_*Recuperació dels arbres catalogats com a monumentals_x000a_*Actuacions de millora d'hàbitat i reforçaments poblacionals d'espècies de flora amenaçada_x000a_Introduir mesures de gestió preventiva en informes i autoritzacions per evitar impactes significatius en espècies protegides i/o amenaçades i hàbitats d'interès prioritari"/>
        <s v="*Erradicació de la carpa i carpí al PN Ports_x000a_*Actuacions de control d'espècies de flora exòtica (ailant Ailanthus altissima, etc.)_x000a_*Actuacions de control de la vespa asiàtica Vespa velutina"/>
        <s v="*Participar en la revisió del Pla d'acció de la Reserva de la Biosfera de Terres de l'Ebre i portar a terme les actuacions previstes  "/>
        <s v="*Promoure la participació del PNP en la redacció projecte Life RESTADAPT per a promoure la dinàmica natural en hàbitats forestals"/>
        <s v="*Desplegar algunes actuacions planificades en els instruments d'ordenació forestals, elaborats durant el Life RedBosques_Clima, mitjançant la brigada del Parc, per afavorir la maduresa en sistemes forestals"/>
        <s v="Planificar i executar pertorbacions controlades"/>
        <s v="*Eliminació de restes del dic al barranc de la Fou_x000a_*Estudi de viabilitat per a l'eliminació de la trampa de sediments al barranc de la Galera_x000a_*Avaluació de l'estat de conservació del barranc de la Conca i les sèquies, i planificar pla d'acció (neteja, manteniment...)"/>
        <s v="*Participació en el programa Paisatges Resilients (Estratègia de la Bioeconomia de Catalunya 2030): Creació i manteniment de zones obertes per a la conservació de la biodiversitat (hàbitats i espècies)"/>
        <s v="Planificar i intervenir en la dinàmica de poblacions de fauna que poden generar impactes negatius en la conservació dels elements d'interès de l'ENP"/>
        <s v="Afavorir la connectivitat ecològica del territori"/>
        <s v="Fomentar acords de custòdia en espais d'alt valor dins l'ENP per a la gestió dels elements prioritaris"/>
        <s v="Fomentar bones pràctiques entre els col·lectius de propietaris i gestors del territori"/>
        <s v="*Reunions periòdiques amb ens locals i administració forestal per a desplegar la gestió per a la millora d'hàbitats"/>
        <s v="*Col·laborar amb el projecte Life eCOadapt50, liderat pel Living Lab Ebre Bioterritori d'EURECAT"/>
        <s v="*Diagnosi de l'estat de conservació dels Estrets, Algars i Canaletes i definir els cabals ecològics "/>
        <s v="*Participació en la redacció i aprovació dels instruments d'ordenació forestal sostenible en finques privades i publiques"/>
        <s v="*Promoure i participar en la redacció del Pla bàsic de prevenció d'incendis del PNP"/>
        <s v="*Col·laboració amb el GPIF i Bombers per a la planificació de cremes control·lades aprovades en els instruments d'ordenació forestal"/>
        <s v="*Participar en la redacció del Plans de prevenció d'incendis municipals, promoguts per la Diputació de Tarragona_x000a_*Participar en la redacció del Pla de prevenció del PPP &quot;Ports de Tortosa-Besseit&quot;"/>
        <s v="*Emissió dels informes preceptius en les tramitacions ambientals, incloent-hi l'avaluació dels impactes sobre la biodiversitat, i els patrimonis geològic, històric i cultural_x000a_Participar en les reunions periòdiques de les Àrees de Coneixement de la DG, particularnent la de l'Àmbit Forestal"/>
        <s v="*Servei de vigilància per a la minimització d’afectacions perhiperfreqüentació al Parc Natural dels Aiguamolls de l’Empordà, al Parc Natural del Delta de l’Ebre i al Parc Natural dels Ports (PT OP 2025 357). Lots 3 i 4"/>
        <s v="Participar en la compensació d'impactes residuals durant els processos d'avaluació ambiental mitjançant la identificació de necessitats d'actuació prioritària dins i fora dels límits de l’ENP"/>
        <s v="*Elaboració del Pla de Protecció del Medi Natural i el Paisatge del PN (CETS)"/>
        <s v="Vetllar, juntament amb altres administracions, pel manteniment del cabal ecològic dels rius definit al Pla sectorial corresponent"/>
        <s v="*Comunicació a CAR i l'ACA d'actuacions no autoritzades en els espais fluvials (captacions, drenatges, etc.)"/>
        <s v="*Seguiment dels abocaments al barranc del Bosc Negre"/>
        <s v="*Comunicació a CAR i l'ACA d'actuacions no autoritzades en els espais fluvials (rompudes, extracció d'àrids, etc.)"/>
        <s v="*Manteniment de la base de dades d'espais prioritaris per a la conservació o l'ús públic"/>
        <s v="Identificar espais prioritaris en finques públiques destinades a altres usos per a la gestió directa"/>
        <s v="*Programa de recuperació de la memòria artesana (ARTESAN) "/>
        <s v="Elaborar el catàleg lingüístic (localismes) de patrimoni natural, geografia popular, festes i activitats tradicionals de l'ENP"/>
        <s v="Elaborar la cartografia de la xarxa de camins ramaders i senders tradicionals de l'ENP"/>
        <s v="*Identificar els ens de referència en patrimoni cultural (entitats, associacions, museus i ecomuseus, etc.) en l'àmbit de l'ENP, mitjançant el Museu de les Terres de l'Ebre"/>
        <s v="*Continuar la línia de colaboració amb el Museu de les Terres de l'Ebre: Creació d'itineraris culturals (CETS)"/>
        <s v="*Organització jornada sobre les construccions de pedra en sec"/>
        <s v="Formar al personal tècnic de l'ENP en patrimoni cultural"/>
        <s v="Recuperar i conservar el patrimoni cultural immaterial (associat a les activitats i aprofitaments rurals tradicionals) i els valors espirituals"/>
        <s v="*Treballs de recuperació i manteniment, amb brigada, d'elements de patrimoni cultural rural_x000a_*Avaluació de la conservació de regs tradicionals"/>
        <s v="*Introduir mesures de gestió preventiva en informes urbanístics per evitar impactes significatius en el patrimoni històric i cultural_x000a_*Treballs de recuperació arquitectònica"/>
        <s v="*Estudi de la possibilitat de recuperar espècies agrícoles i ramaderes (PRODUCT)"/>
        <s v="*Disseny i desenvolupament d'itineraris culturals (CETS): adequació d'àrees interpertratives i senyalització d'itineraris _x000a_*Disseny i desenvolupament d'itineraris culturals (CETS): manteniment de l'Hosting i web Mas de Burot_x000a_*Creació d'itineraris turístics a partir d'experiències entorn de l'artesania (ARTESAN)"/>
        <s v="*Incorporar activitats d'educació ambiental al Mas de Burot"/>
        <s v="*Formar el personal dels punts d’informació en els valors culturals de l'ENP"/>
        <s v="*Elaborar un inventari d'elements d'interès paisatgístic de l'ENP d'acord amb el Catàleg de paisatge de la zona "/>
        <s v="*Redacció projecte executiu de l'àrea dels Ateus_x000a_*Impulsar el grup de treball per a l'elaborar un manual de bones pràctiques de l'arranjament de camins_x000a_*Introduir mesures de gestió preventiva en els informes del Parc per evitar una degradació dels valors paisatgístics"/>
        <s v="*Participar en la campanya Let's Clean Up Europe, en coordinació amb l'Agència Catalana de Residus_x000a_*Fer accions de sensibilització sobre els residus humans generats durant el descens de barrancs"/>
        <s v="*Seguiment de la qualitat lumínica del cel nocturn a Cova Avellanes en col·laboració amb la DGCCQA_x000a_*Col·laboració en el projecte per reduir l’impacte ambiental de l’enllumenat en zones d’especial protecció envers la contaminació lumínica en col·laboració de la DGCCQA "/>
        <s v="Promoure la certificació de zones d'especial protecció de la qualitat acústica"/>
        <s v="*Millora del coneixement de flora no cormofítica (briòfits...)_x000a_*Cartografia de detall dels HIC escassos (grevoleda, teixeda....)_x000a_*Avaluació de l'estat de Timon lepidus/nevadensis al PNP_x000a_*Detecció i seguiment d'espècies exòtiques invasores_x000a_*Seguiment ecològic dels arbres monumentals"/>
        <s v="*Anàlisi de la capacitat de càrrega dels diferents espais més vulnerables i ordenació de fluxos en espais crítics (CETS): anàlisi de la capacitat de càrrega d'espais fluvials o de bany_x000a_*Participar en l'actualització de l'Inventari de Zones Humides de Catalunya"/>
        <s v="*Actualització de les bases cartogràfiques del Parc (GIS)"/>
        <s v="*Seguiment de les actuacions del projecte de millora d'hàbitats i espècies PPO 23227, mitjançant rèpliques de vols de dron i parcel·les"/>
        <s v="*Manteniment de la monitorització de zones humides per al control de la qualitat ambiental al Parc Natural dels Ports"/>
        <s v="*Seguiment de la papallona del boix Cydalima perspectalis"/>
        <s v="*Participar en els GT de la DG i amb la UIC, per estandaritzar els seguiments dels elements clau de flora, fauna i hàbitats (HARMON)"/>
        <s v="*Seguiment de l'estació de lepidòpters CBMS Montsagres i Estrets_x000a_*SLIC Estrets_x000a_*Participació en el Seguiment d’Ocells Comuns a Catalunya (SOCC)_x000a_*Seguiment de la reintroducció de la tortuga mediterrània _x000a_*Seguiments de flora amenaçada_x000a_*Seguiment de les poblacions d'invertebrats amenaçats_x000a_*Estudi dels pol·linitzadors al PNP_x000a_*Seguiment anual de les poblacions reproductores de rapinyaires_x000a_*Seguiment de passeriformes amenaçats_x000a_*Participació en el pla de seguiment del gat fer i altres mesocarnívors (Felis-ICHN)_x000a_*Col·laboració en els projectes de seguiment de quiròpters_x000a_*Seguiment de la recuperació de la biodiversitat en l'àmbit de l'incendi de Paüls"/>
        <s v="*Actualitzar les bases de dades dels seguiments que realitza el ENP"/>
        <s v="*Participar en el grups de treball per a la definició i organització del SINATCAT"/>
        <s v="*Col·laborar amb el Museu de les Terres de l'Ebre i el Museu de la Pauma de Mas de Barberans per definir línies d'actuació conjunta entre patrimoni cultural i natural"/>
        <s v="*Acollir estudiants en pràctiques en el marc dels convenis amb universitat i centres de recerca"/>
        <s v="Potenciar la ciència ciutadana en l’ENP com a eina per generar coneixement "/>
        <s v="Crear i desenvolupar jornades de recerca de l'ENP de forma periòdica on els diferents centres mostrin els estudis realizats en l'ENP "/>
        <s v="*Posar a disposició la casa de Gànduls per a equips de recerca que treballen a l'ENP"/>
        <s v="Crear l'Observatori de recerca de l'ENP vinculat a l'Observatori del Patrimoni natural i la biodiversitat "/>
        <s v="*Participar en la definició del sistema estándard de seguiment de l'ús públic amb el SENP"/>
        <s v="*Seguiment i manteniment dels comptadors de vehicles i persones_x000a_*A.3.5.1. Revisió i millora del sistema de recollida de dades turístiques dut a terme pel PN, les oficines de turisme i pels empresaris turístics a fi de sistematitzar el procés (CETS)_x000a_*A.3.5.2. Estudi de viabilitat d'una eina 'big data' per al seguiment de visitants a determinats punts del PN (CETS)_x000a_"/>
        <s v="*Revisió i millora del sistema de recollida de dades turístiques dut a terme pel PN, les oficines de turisme i pels empresaris turístics a fi de sistematitzar el procés (CETS)"/>
        <s v="*Estudi de viabilitat d'una eina 'big data' per al seguiment de visitants a determinats punts del PN (CETS)"/>
        <s v="Adaptar i mantenir un registre i cartografia d'activitats, actors i inciències en ús públic (curses, conflictes, queixes, etc)"/>
        <s v="*Diagnosi de la identificació dels impactes (positius i negatius) que generen les activitats d'ús públic dins l'ENP"/>
        <s v="*Col·laborar en els plans comarcals del Servei d'Ocupació de Catalunya (SOC)"/>
        <s v="2.1.3. Assessorament i acompanyament individualitzat (PRODUCT)_x000a_2.2.2. Elaborar estudis o diagnosis específiques sobre particularitats de la producció agroalimentària de l’àmbit del Parc (PRODUCT)_x000a_5.1.1. Assessorament en la gestió de la finca (PRODUCT)"/>
        <s v="2.1.1. Coordinació i/o impartició de formació especialitzada adreçada a productors agroalimentaris i artesans per aprendre a valoritzar el propi producte (PRODUCT)_x000a_2.1.2. Organització de jornades tècniques formatives (PRODUCT)"/>
        <s v="*Treballs de brigada per a la recuperació de marges i punts d'aigua d'interès per a la flora i la flora en explotacions ramaderes i agrícoles "/>
        <s v="*Implementar la marca Fet al Parc"/>
        <s v="*Manteniment del directori sobre la producció local del Parc Natural al web oficial del Parc Natural dels Ports_x000a_*Foment de la venda i comercialització de productes artesans als Punts d'informació del PNP_x000a_*Elaborar material de marxandatge amb aquest segell o distintiu"/>
        <s v="*Presència del parc natural a les fires locals de l'àrea d'influència de l'espai protegit_x000a_* Itinerància de l'exposició de productes artesans als pobles de l'àmbit del Parc_x000a_* Creació de marxandatge artesà en motiu del 25è aniversari del Parc_x000a_*Participació a FesTast amb els productors Fet al Parc"/>
        <s v="*Reunions periòdiques de la comissió dels productors agroalimentaris Fet al Parc"/>
        <m/>
        <s v="*Manteniment del directori sobre l'artesania del Parc Natural al web oficial del Parc Natural dels Ports"/>
        <s v="*Seguiment del Pla d'acció d'artesania"/>
        <s v="*Seguiment del Pla d'acció de la producció local"/>
        <s v="*Participar en la revisió i el desenvolupament del protocol de col·laboració entre la Direcció General d’Ecosistemes Forestals i Gestió del Medi i la Direcció General de Polítiques Ambientals i Medi Natural_x000a_*Elaborar els informes ambientals dels PTGC de les Àrees Privades de Caça_x000a_*Millorar el sistema de notificació de les batudes de caça en els zones d’ús públic_x000a_*Regular les batudes de caça als territoris de reproducció dels rapinyaires_x000a_"/>
        <s v="*Elaborar els informes ambientals dels PTGC de les Àrees Privades de Caça"/>
        <s v="*Millorar el sistema de notificació de les batudes de caça en els zones d’ús públic"/>
        <s v="*Regular les batudes de caça als territoris de reproducció dels rapinyaires"/>
        <s v="*Elaborar els informes ambientals de les autoritzacions de les batudes excepcionals per danys agrícoles i ramaders"/>
        <s v="*Seguiment i avaluació del pla d’acció de la CETS al PN durant el període 2022-2026_x000a_*Convocar i celebrar les reunions del Fòrum Permanent de la CETS_x000a_*Convocar i celebrar les reunions del Grup de Treball de la CETS_x000a_*Assistència a les reunions en la CETSCAT i el Seminari permanent de la CETS d'EUROPARC_x000a_"/>
        <s v="*Participar en el Consell de Marca &quot;Terres de l'Ebre&quot; de l'OA Patronat de Turisme de la Diputació de Tarragona_x000a_*Realització de workshops entre centres de formació professional i empreses privades (CETS)_x000a_*Organització i execució de viatges de familiarització amb Aragó i Castelló per a la creació de productes turístics compartits (CETS)_x000a_*Establir col·laboracions amb el PN Delta de l’Ebre per a impulsar nous productes turístics i millorar els existents (CETS)"/>
        <s v="A.4.2.6. Organització i execució de viatges de familiarització amb Aragó i Castelló per a la creació de productes turístics compartits (CETS)_x000a_A.4.2.7. Establir col·laboracions amb el PN Delta de l’Ebre per a impulsar nous productes turístics i millorar els existents (CETS)_x000a_A.3.4.2. Disseny i promoció d'un catàleg d'experiències turístiques (CETS)"/>
        <s v="*Difondre la guia de bones pràctiques d'arquitectura tradicional entre propietaris, promotors i professionals de la construcció"/>
        <s v="Ordenar els aprofitaments i extraccions dins l'espai"/>
        <s v="*Aplicar la regulació de l'acampada i la pernoctació segons el Decret 148/1992 i els acords de la Junta Rectora del Parc"/>
        <s v="*Ordenació i planificació de l'activitat ciclista al PN (CETS): creació de la comissió de Junta rectora de regulació de la circulació rodada no motoritzada"/>
        <s v="*Seguiment de les Comissions per a la regulació de l'escalada, descens de barrancs, espeleologia al Parc Natural dels Ports_x000a_*Tancament de la Comissió per a la Regulació de les Vies Ferrades al Parc Natural dels Ports i presentació a la Junta rectora_x000a_*Aplicar la regulació de l'escalada, el barranquisme i l'espeleologia d'acord amb el Decret 148/1992 i els acords de la Junta rectora del Parc_x000a_"/>
        <s v="*Aplicar la regulació de les curses i altres activitats esportives organitzades d'acord amb el Decret 148/1992 i els acords de la Junta rectora del Parc"/>
        <s v="*Aplicar la regulació dels enregistraments i l'observació de fauna i natura d'acord amb el Decret 148/1992"/>
        <s v="*Aplicar la regulació de les activitats científiques en base la normativa vigent"/>
        <s v="*Aplicar la regulació de les zones de bany d'acord amb el Decret 148/1992 i els acords de Junta rectora del Parc, i les ordenances municipals de regulació d'accessos a les zones de bany_x000a_*Activació del Grup de treball de la regulació de les zones de bany en ENP a la Terra Alta"/>
        <s v="*Promoure la regulació de l'enlairament i aterratge sense motor"/>
        <s v="*Aplicar la regulació de la presència d'animals de companyia_x000a_*Impulsar campanyes de sensibilització adreçades als visitants que accedeixen al Parc amb gossos, recordant que, en zones de protecció especial, els animals han d’anar lligats"/>
        <s v="*Establiment d‟un model per a l'ordenació de l'activitat dels guies intèrprets del Parc Natural Parc (CETS)_x000a_*Aplicar la regulació de les activitats d'educació ambiental i el lleure educatiu d'acord amb el Decret 148/1992 i els acords de Junta rectora del Parc en l'emissió de les autoritzacions"/>
        <s v="*Promoure la delimitació de les zones i les alçades de restricció aèria, amb o sense motor, a l'ENP"/>
        <s v="A.2.1.2. Elaboració del Pla d'Ús Públic del PN (CETS)"/>
        <s v="*Participar en les reunions periòdiques del GT d'Ús públic dels ENP"/>
        <s v="Identificar i classificar la xarxa viària bàsica, secundària, senders i itineraris senyalitzats d'acord amb els titulars públics i privats"/>
        <s v="*Identificar i promoure l'eliminació o el posicionament de les rutes de les aplicacions per a mòbils en zones sensibles o que siguin il·legals"/>
        <s v="Ordenar l'accés i la circulació"/>
        <s v="*Ordenar l'ús de drons, l'enlairament i l'aterratge"/>
        <s v="*Promoure i col·laborar, amb ajuntaments i propietaris particulars, la regulació de les zones d'estacionament de vehicles_x000a_"/>
        <s v="*Actualitzar la base de dades de senyalètica de l'ENP"/>
        <s v="*Treballs de manteniment, amb brigada, de la senyalització de l'ENP_x000a_*Renovació de senyals malmeses i actualització de continguts_x000a_*Producció i instal·lació de la cartelleria dels itineraris CAMINAT _x000a_*Estudi de la viabilitat de la senyalització en senders existents (Alfara de Carles-l’Espina, Toscar-Gúbies, etc.) _x000a_Estudi de la viabilitat de la senyalització des del Toscar fins a les gúbies"/>
        <s v="*Manteniment amb mitjans propis de les àrees d'ús públic i els itineraris de fora del Parc: Santa Madrona d'Arnes, Santa Bàrbara d'Horta, Vall de la Jepa, itineraris de Prat de Comte_x000a_*Promure i col·laborar en la restauració i l'ús públic de l'antiga extractiva del Predio Montserrat (Prat de Comte)"/>
        <s v="*Redacció del Projecte &quot;Millora de les Àrees de recepció de Visitants i la millora de camins d’accés al Parc Natural als municipis d'Arnes&quot;, inclòs al PEA_x000a_*Execució del projecte &quot;Millora de les Àrees de recepció de Visitants i la millora de camins d’accés al Parc Natural al municipi d’Horta de Sant Joan. PPO-23228&quot;: millora d'accessos i àrees de recepció_x000a_*Estudi de la viabilitat de l’arranjament de la pista al tossal d’Engrilló_x000a_*Seguiment i manteniment de l'acreditació de &quot;Turisme familiar&quot; als equipaments del Parc sota la supervisió de l'Agència Catalana de Turisme"/>
        <s v="*Redacció del Pla d'accessibilitat dels equipaments del Parc_x000a_*Adaptació de 2 itineraris interpretatius del PN a les necessitats d'accés universal _x000a_*Adaptació d’Àrees de lleure a l'accés universal _x000a_*Disseny i desenvolupament d'itineraris d'observació de fauna i creació de punts d'observació (CETS)_x000a_*Adequació dels centres del PN per rebre ciclistes (CETS)_x000a_*Posta en funcionament de l'Alberg i Centre d'educació ambiental d'Alfara de Carles_x000a_*Redacció del projecte &quot;Construcció centre de natura del Mas de Barberans&quot;_x000a_"/>
        <s v="*Formació continuada al personal dels centres d'informació"/>
        <s v="*Mantenir els serveis d’informació en tots els pobles de l’àmbit del PN_x000a_*Mantenir els serveis d'informació en punts o àrees d'informació in situ al Baix Ebre, el Montsià i la Terra Alta (contracte AG-2024-17)"/>
        <s v="*Realització i seguiment del contracte &quot;Servei de vigilància per a la minimització d’afectacions per hiperfreqüentació al Parc Natural dels Aiguamolls de l’Empordà, al Parc Natural del Delta de l’Ebre i al Parc Natural dels Ports, PTOP-2025-357&quot;"/>
        <s v="*Coordinació, mitjançant reunions periòdiques, amb el Cos d'Agents Rurals, especialment pel que fa al control d'actuacions i activitats al medi natural_x000a_*Coordinació d'actuacions amb els Mossos d'Esquadra, especialment pel que fa a les plantacions de cànnabis"/>
        <s v="*Col·laborar en la redacció i execució dels plans d’emergències amb les autoritats competents en la matèria_x000a_*Col·laborar amb el Cos d'Agents Rurals en el tancament d'accés al Parc durant els períodes d'activació del nivell 4 del Pla Alfa"/>
        <s v="*Definir el model de Xarxa d'Escoles de l'Espai Natural (XEEN) a l'ENP amb els agents educatius del territori, mitjançant el contracte de serveis d'informació, educació i voluntariat a l'ENP (AG-2024-17)"/>
        <s v="*Suport i dinamització a la Xarxa d’escoles de l’espai natural, mitjançant el contracte de serveis d'informació, educació i voluntariat a l'ENP (AG-2024-17)_x000a_*Trobades de la Xarxa d'escoles de l'espai natural, mitjançant el contracte de serveis d'informació, educació i voluntariat a l'ENP (AG-2024-17)"/>
        <s v="*Programar accions formatives per al professorat dels centres educatius locals amb el suport dels CRP i el Programa Escoles Verdes (PEEVA), mitjançant el contracte de serveis d'informació, educació i voluntariat a l'ENP (AG-2024-17)"/>
        <s v="*Elaborar i implementar un programa específic d’educació ambiental dirigit als centres educatius locals (PEEVA), mitjançant el contracte de serveis d'informació, educació i voluntariat a l'ENP (AG-2024-17)"/>
        <s v="*Elaboració de noves propostes educatives, mitjançant el Contracte de serveis d'informació, educació i voluntariat a l'ENP (AG-2024-17)_x000a_*Redacció de l’oferta educativa seguint els criteris i directrius establerts en aquest PEA i incorporant les noves activitats en desenvolupament (EDU), mitjançant el contracte de serveis d'informació, educació i voluntariat a l'ENP (AG-2024-17)_x000a_"/>
        <s v="*Promoure projectes en els centres educatius locals (crèdits de síntesi, treballs de recerca, servei comunitari, etc.) sobre temàtiques vinculades al Parc Natural, mitjançant el Contracte de serveis d'informació, educació i voluntariat a l'ENP (AG-2024-17)"/>
        <s v="*Portar a terme Serveis d'Educació Ambiental al Baix Ebre, el Montsià i la Terra Alta, mitjançant els contractes de serveis d'informació, educació i voluntariat a l'ENP (AG-2024-17)_x000a_*Coordinació i seguiment del Pla estratègic 2021-2030 d'educació i voluntariat ambiental (PEEVA)_x000a_*Coordinació eficaç entre el pla d’educació i voluntariat ambiental, els plans d’acció vinculats a la CETS i els programes d’ús públic (PEEVA)_x000a_*Acordar i introduir millores viables en el servei d’educació ambiental que externalitza el Parc Natural, si escau amb algun tipus de protocol escrit, mitjançant el contracte de serveis d'informació, educació i voluntariat a l'ENP (AG-2024-17) (PEEVA)_x000a__x000a_"/>
        <s v="*Suport i dinamització a la coordinació amb agents claus del territori, mitjançant el contracte de serveis d'informació, educació i voluntariat a l'ENP (AG-2024-17)_x000a_*Elaborar i mantenir actualitzat un inventari dels potencials agents col·laboradors en educació ambiental, mitjançant el contracte de serveis d'informació, educació i voluntariat a l'ENP (AG-2024-17) (PEEVA)"/>
        <s v="EA7. Dissenyar i executar un programa anual de trobades amb representants i personal tècnic de les administracions locals (PEEVA)_x000a_EA8. Establir aliances amb programes educatius o de lleure municipals per integrar continguts o propostes didàctiques del Parc Natural (PEEVA)_x000a_GOV5. Cercar i establir col·laboracions i projectes conjunts amb agents clau del territori (PEEVA), mitjançant el contracte de serveis d'informació, educació i voluntariat a l'ENP (AG-2024-17) (PEEVA)"/>
        <s v="*Realització d'activitats formatives, a través del contracte de serveis d'informació, educació i voluntariat a l'ENP (AG-2024-17)_x000a_*Disseny i execució d'accions de formació i divulgació sobre valors naturals i paisatgístics que aportin singularitat al PN (CETS)_x000a_*Acreditació d'espais com a punts d'informació i acreditació de persones com a agents informadors del Parc Natural (CETS)_x000a_*Col·laboració en el curs del Coneixements del Parc Natural del Delta de l’Ebre i del Parc Natural dels Ports per formar guies acreditats dels Parcs Naturals (IEPAAC - FP Dual)_x000a_* Elaborar un manual de referència per a guies i educador/es ambientals amb tots els valors principals del Parc Natural (PEEVA)_x000a_"/>
        <s v="*Desplegar les campanyes de sensibilització i bones pràctiques que s'impulsin des de la DG (2025-2029)_x000a_*Organització i celebració del &quot;Dia Europeu dels Parcs&quot; al PN dels Ports (CETS)"/>
        <s v="*Realització d'activitats guiades adreçades a grups familiars o d'adults en temps de lleure, mitjançant el contracte de serveis d'informació, educació i voluntariat a l'ENP (AG-2024-17)"/>
        <s v="*Realització de xerrades, ja sigui en instal·lacions pròpies o externes, o virtuals, mitjançant el contracte de serveis d'informació, educació i voluntariat a l'ENP (AG-2024-17)_x000a_*Realitzar activitats tècniques especialitzades, mitjançant el contracte de serveis d'informació, educació i voluntariat a l'ENP (AG-2024-17)"/>
        <s v="*Realització de tallers educatius, ja sigui en equipaments propis, externs o a la natura, mitjançant el contracte de serveis d'informació, educació i voluntariat a l'ENP (AG-2024-17)_x000a_*Realització d'activitats guiades adreçades a grups d'infants i joves en temps de lleure, mitjançant el contracte de serveis d'informació, educació i voluntariat a l'ENP (AG-2024-17)"/>
        <s v="Identificar col·lectius estratègics implicats en la gestió i l'ús del territori"/>
        <s v="EA6. Articular estratègies de difusió i formació adreçades als agents socioeconòmics d’àmbit local per afrontar certes problemàtiques que afecten el Parc Natural (PEEVA)"/>
        <s v="*Elaborar i difondre una agenda trimestral d'activitats educatives dirigides a la població i les entitats locals._x000a_*Participar en cursos per adults_x000a_*Planificar, gestionar i executar el cicle estival de xerrades i activitats a Cova Avellanes"/>
        <s v="VA3. Gestionar les demandes de voluntariat i d’accions d’RSC d’empreses d’acord amb els procediments establerts per a tots els parcs naturals (PEEVA)"/>
        <s v="*Coordinació i seguiment del Pla estratègic 2021-2030 d'educació i voluntariat ambiental: Taula Voluntariat Ambiental (PEEVA)_x000a_*Facilitar orientacions tècniques i suport continuat a les entitats que demanin fer voluntariat en l’àmbit del Parc Natural (PEEVA)_x000a_*Promoció del voluntariat, dins del marc de la Taula de Voluntariat dels parcs naturals de les Terres de l’Ebre, mitjançant el contracte de serveis d'informació, educació i voluntariat a l'ENP (AG-2024-17)"/>
        <s v="*Implementar el protocol d'ús de les Joëlettes, a partir dels criteris de la DG"/>
        <s v="*Formar el personal de l'ENP (informadors i personal que treballa de cara al públic) en accessibilitat, diversitat funcional i diversitat de gènere"/>
        <s v="*Revisió des de la perspectiva de gènere dels nous continguts i activitats de l'ENP"/>
        <s v="*Dissenyar i implementar itineraris saludables en l'àmbit del PNP (Mola de Catí, Roca Llisa...)"/>
        <s v="*Participar en les reunions de la Taula Natura i Salut de les Terres de l'Ebre_x000a_*Participar en les reunions i els grups de treball de la Taula Natura de Catalunya_x000a_*Promoure i participar en l'elaboració d'un pla d'acció de la Taula Natura i Salut de les Terres de l'Ebre"/>
        <s v="*Informar periòdicament als ajuntaments sobre les activitats i actuacions promogudes des del Parc_x000a_*Edició i publicació del butlletí Cingles_x000a_*Edició i publicació de la Memòria d'actuacions_x000a_*Participació en fires i festivals locals, incloent-hi espais per a l’artesania i el producte local"/>
        <s v="*Edició o reedició, i publicació dels materials divulgatius associats a l'ús públic (mapa oficial, itineraris oficials del Parc, regulació d'activitats, etc.)_x000a_*Cursos sobre patrimoni natural_x000a_*Manteniment webcam niu rapinyaires_x000a_*Realització de projectes museogràfics_x000a_*Realització d'una agenda d'activitats per a la celebració del 25è aniversari de la creació del Parc"/>
        <s v="*Manteniment i actualització de la pàgina web_x000a_*Manteniment i actualització de les xarxes socials_x000a_*Elaborar notes de premsa en col·laboració de la DG"/>
        <s v="*Participar en les reunions de coordinació amb la DG sobre comunicació"/>
        <s v="Crear taules de treball temàtiques amb els agents prioritaris per a la gestió de l'ENP"/>
        <s v="*Identificar els equips científics experts en àmbits temàtics clau en la gestió del Parc"/>
        <s v="*Participar en la definició del model de governança dels espais naturals protegits per part de la DG"/>
        <s v="*Preparació de l'ordre del dia de cada sessió amb la presidència, les vicepresidències, la DG i els SSTT_x000a_*Gestió del calendari i les convocatòries de les sessions, ordinàries i extraordinàries_x000a_*Gestió i seguiment dels acords de Junta rectora _x000a_*Manteniment i actualització del canal TEAMS de la Junta rectora_x000a_*Participació en la preparació del programa d'actuacions anual, dins del marc del Pla estratègic 2025-2029_x000a_*Aprovació dels Programes i les Memòries d'actuacions anuals"/>
        <s v="*Coordinació, d'acord amb els Serveis Centrals, el control de l'execució del pressupost_x000a_*Gestió de les despeses internes (apartat de correus, serveis de missatgeria, despeses bancàries, desplaçaments, reunions i aparcaments)_x000a_*Elaboració del Programa d'actuacions anual, juntament amb les Àrees del Parc i la direcció_x000a_*Elaboració del pressupost anual de despesa per RAE, juntament amb les Àrees del Parc i la direcció_x000a_*Preparació i gestió administrativa de l'aportació anual de la Diputació de Tarragona_x000a_*Gestió administrativa dels contractes inclosos en el Programa d'actuacions_x000a_*Gestió administrativa dels ingressos per RAE_x000a_*Elaboració de la Memòria anual del RAE_x000a_*Participació en les reunions periòdiques del GT de RAE dels ENP_x000a_*Seguiment dels contractes i encomanes de la DG: contracte de manteniment integral d'edificis (COMSA)_x000a_*Seguiment dels contractes i encomanes de la DG: serveis de neteja_x000a_*Seguiment dels contractes i encomanes de la DG: contracte de vehicles_x000a_*Estudi de viabilitat econòmica de l'Alberg i Centre d'educació ambiental d'Alfara de Carles_x000a_*Promoure l'expedient administratiu de la concessió de l'Alberg i Centre d'educació ambiental d'Alfara de Carles"/>
        <s v="*Participar i promoure les necessitats de contractació del l'ENP per a l'optimització dels contractes a nivell de Xarxa"/>
        <s v="*Participació i revisió prèvia de les ordres de subvencions destinades als espais naturals de Catalunya, als hàbitats i espècies, en el marc del Programa de desenvolupament rural de Catalunya_x000a_*Identificar actuacions subvencionables dins de l'ordre d'ajuts d'ENP de Catalunya"/>
        <s v="*Identificar els convenis de col·laboració, convenis marc, acords, protocols i altres instruments de col·laboració vigents, caducats o en vies de caducar properament_x000a_*Promoure l'assignació d'ús al Parc Natural d'algunes cases forestals en forests públiques"/>
        <s v="*Participació en la valoració, el seguiment i la gestió administrativa de les subvencions destinades als espais naturals de Catalunya, als hàbitats i espècies, en el marc del Programa de desenvolupament rural de Catalunya_x000a_*Participació en la valoració, el seguiment i la gestió administrativa de les subvencions a entitats ambientals sense ànim de lucre de Catalunya per al finançament de projectes que millorin l'estat de conservació del patrimoni natural i la biodiversitat en els espais naturals protegits_x000a_*Assessorament a entitats i persones interessades en els ajuts sobre el calendari de les convocatòries, la naturalesa de les actuacions subvencionables i el procediment administratiu_x000a_"/>
        <s v="*Explorar les possibles col·laboracions en l'àmbit de la conservació de la natura o del patromoni cultural, i de l'ús públic amb el Parc Natural de la Tinença de Benifassà"/>
        <s v="*Gestió administrativa dels informes dels vectors ambiental i cultural en l'àmbit del Parc Natural i de l'espai de la xarxa Natura 2000_x000a_*Gestió administrativa de les autoritzacions emeses en l'àmbit del Parc Natural i de l'espai de la xarxa Natura 2000_x000a_*Manteniment de la base de dades dels informes dels vectors ambiental i cultural en l'àmbit del Parc Natural i de l'espai de la xarxa Natura 2000_x000a_*Facilitar la gestió administrativa establint de manera clara i detallada, des de l’inici del tràmit, la documentació necessària per a la sol·licitud d’informes o permisos al Parc_x000a_"/>
        <s v="*Participar en les reunions periòdiques de coordinació dels ENP amb la DG_x000a_*Participar en el Pla de Capacitació Digital del Departament_x000a_*Desplegar i implementar el Sistema d'Informació de la Natura (SINATCAT)"/>
        <s v="*Participar en cursos de formació de procediment administratiu per part de l'equip gestor"/>
        <s v="*Atendre les consultes i les sol·licituds d'informació (presencials, telèfon, correus electrònics i peticions mitjançant les plataformes electròniques) de la ciutadania, les entitats o les administracions_x000a_*Gestió i control de les comunicacions oficials (correu genèric, SARCAT, EACAT...)_x000a_*Redacció i actualització del Pla estratègic del Parc Natural dels Ports (2026-2029)"/>
        <s v="*Tramitar la cessió de domini de l'Ecomuseu dels Ports, la zona d'aparcament del CVTA i del centre de natura del Mas de Barberans"/>
        <s v="*Col·laborar en la tramitació i la definició dels riscos de pèrdues o danys materials del patrimoni de la Generalitat de Catalunya en l'àmbit territorial del Parc per part de les pòlisses d'assegurances"/>
        <s v="*Col·laborar en la tramitació i la definició dels riscos de les pòlisses d'assegurances de responsabilitat patrimonial i civil _x000a_*Control i seguiment dels protocols de riscos laborals d'empreses i entitats que treballen en equipaments del parc"/>
        <s v="*Treballs de manteniment dels equipaments de gestió per part de la brigada del Parc, fora del contracte de manteniment integral d'edificis_x000a_*Adquisició de materials per al manteniment d'equipaments i maquinària_x000a_*Manteniment sistemes informàtics_x000a_*Manteniment sistemes audiovisuals_x000a_"/>
        <s v="*Gestió del Centre de Documentació (catalogació, servei de préstec, atenció a consultes, etc.)_x000a_*Gestió del fons fotogràfic del Centre de Documentació (catalogació, cessió, identificar necessitats...)_x000a_*Preparació i càrrega del material documental per al repositori del Departament (Medi Ambient)_x000a_*Gestió de l'estoc de publicacions_x000a_*Subscripcions a publicacions i revistes_x000a_* Participar en el material promocional de publicacions alienes_x000a_*Reportatge fotogràfic d'actes i activitats_x000a_*Fons documental per al Centre de Documentació_x000a_*Col·laborar en Natura i Art fotos"/>
        <s v="*Planificació i seguiment de les tasques de la brigada del Parc_x000a_*Coordinació amb Forestal Catalana de les brigades del Baix Ebre-Montsià i Terra Alta_x000a_*Manteniment de la base de dades de les tasques de brigada del Parc_x000a_*Gestió de les sol·licituds d'actuacions amb brigada per part de les administracions locals i entitats privades_x000a_*Participació en les reunions periòdiques del GT de Brigades i Millora rural dels ENP"/>
        <s v="*Coordinació de les diferents àrees de l'equip gestor del Parc mitjançant reunions setmanals_x000a_*Consolidació laboral del personal temporal dedicat a les tasques de desplegament dels instruments de gestió de la Xarxa Natura 2000a Catalunya_x000a_*Promoure la contractació d'una persona responsable del Centre de Documentació i de les accions de comunicació de l'ENP_x000a_*Participació en els processos selectius de les places adscrites al Parc Natural_x000a_*Gestió administrativa de les validacions per ATRI (fitxatges, plans de teletreball, validació de competències, etc.)_x000a_*Consolidació de l'equip de treball de l'òrgan gestor del Parc (nivells laborals, estabilització laboral...)_x000a_*Definició i clarificació dels rols de l'equip del parc i una correcta definició de les tasques de cada membre_x000a_*Gestió de les sol·licituds de vehicles"/>
        <s v="*Gestió ordinària i imprevistos no contemplats en cap dels Objectius opertatius anteriors"/>
      </sharedItems>
    </cacheField>
    <cacheField name="Marc de referència" numFmtId="0">
      <sharedItems containsBlank="1"/>
    </cacheField>
    <cacheField name="Resultats derivats" numFmtId="0">
      <sharedItems containsBlank="1" containsMixedTypes="1" containsNumber="1" minValue="0.5" maxValue="0.5"/>
    </cacheField>
    <cacheField name="indicadors" numFmtId="0">
      <sharedItems containsBlank="1"/>
    </cacheField>
    <cacheField name="Mínima" numFmtId="0">
      <sharedItems containsBlank="1" containsMixedTypes="1" containsNumber="1" minValue="0.5" maxValue="375"/>
    </cacheField>
    <cacheField name="Màxim (Desitjable)" numFmtId="0">
      <sharedItems containsBlank="1" containsMixedTypes="1" containsNumber="1" minValue="0" maxValue="408"/>
    </cacheField>
    <cacheField name="Hores de dedicació" numFmtId="0">
      <sharedItems containsNonDate="0" containsString="0" containsBlank="1"/>
    </cacheField>
    <cacheField name="Àrea responsable" numFmtId="0">
      <sharedItems containsBlank="1"/>
    </cacheField>
    <cacheField name="Persona responsable" numFmtId="0">
      <sharedItems containsBlank="1"/>
    </cacheField>
    <cacheField name="Aplicable 2025-2029" numFmtId="0">
      <sharedItems containsBlank="1"/>
    </cacheField>
    <cacheField name="Altres Plans" numFmtId="0">
      <sharedItems containsBlank="1"/>
    </cacheField>
    <cacheField name="Vincle de l'OP amb els plans d'UP" numFmtId="0">
      <sharedItems containsBlank="1"/>
    </cacheField>
    <cacheField name="Acció concreta dins del Pla" numFmtId="0">
      <sharedItems containsNonDate="0" containsString="0" containsBlank="1"/>
    </cacheField>
    <cacheField name="Despesa RAE" numFmtId="4">
      <sharedItems containsNonDate="0" containsString="0" containsBlank="1"/>
    </cacheField>
    <cacheField name="Despesa DG" numFmtId="4">
      <sharedItems containsString="0" containsBlank="1" containsNumber="1" minValue="14000" maxValue="1065000"/>
    </cacheField>
    <cacheField name="Despesa NG - RdB" numFmtId="4">
      <sharedItems containsNonDate="0" containsString="0" containsBlank="1"/>
    </cacheField>
    <cacheField name="Despesa NG - DG" numFmtId="4">
      <sharedItems containsString="0" containsBlank="1" containsNumber="1" containsInteger="1" minValue="474000" maxValue="632000"/>
    </cacheField>
    <cacheField name="Despesa NG - Bioeconomia" numFmtId="4">
      <sharedItems containsString="0" containsBlank="1" containsNumber="1" minValue="5983.6" maxValue="70000"/>
    </cacheField>
    <cacheField name="Total despesa" numFmtId="4">
      <sharedItems containsString="0" containsBlank="1" containsNumber="1" minValue="0" maxValue="1065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09">
  <r>
    <x v="0"/>
    <x v="0"/>
    <x v="0"/>
    <x v="0"/>
    <x v="0"/>
    <x v="0"/>
    <s v="Implementar i executar plans de gestió específics per a hàbitats i espècies de conservació prioritària dins l'ENP"/>
    <s v="Comú"/>
    <s v="Obligatori "/>
    <x v="0"/>
    <s v="Primer, caldria elaborar aquests plans, ja que no existeixen"/>
    <x v="0"/>
    <s v="ALTA"/>
    <s v="*Realització d'accions per a la millora dels elements prioritzats a l'espai_x000a_*Elaboració de plans de gestió per elements prioritzats a l'espai "/>
    <s v="MAP"/>
    <s v="SFF: Elaboració de plans de gestió específics per a espècies de conservació prioritària i directrius de gestió d'hàbitats._x000a_SFF/SENP: Definir a nivell de cluster quins son els que es poden elaborar conjuntament."/>
    <m/>
    <m/>
    <m/>
    <m/>
    <m/>
    <m/>
    <m/>
    <x v="0"/>
    <m/>
    <x v="0"/>
    <n v="15436.95"/>
    <m/>
    <m/>
    <m/>
    <m/>
  </r>
  <r>
    <x v="0"/>
    <x v="0"/>
    <x v="0"/>
    <x v="0"/>
    <x v="0"/>
    <x v="0"/>
    <s v="Implementar i executar plans de gestió específics per a hàbitats i espècies de conservació prioritària dins l'ENP"/>
    <s v="Comú"/>
    <s v="Obligatori "/>
    <x v="0"/>
    <m/>
    <x v="0"/>
    <m/>
    <m/>
    <m/>
    <m/>
    <m/>
    <m/>
    <m/>
    <m/>
    <m/>
    <m/>
    <m/>
    <x v="0"/>
    <m/>
    <x v="1"/>
    <n v="18000"/>
    <m/>
    <m/>
    <m/>
    <m/>
  </r>
  <r>
    <x v="0"/>
    <x v="0"/>
    <x v="0"/>
    <x v="0"/>
    <x v="0"/>
    <x v="0"/>
    <s v="Implementar i executar plans de gestió específics per a hàbitats i espècies de conservació prioritària dins l'ENP"/>
    <s v="Comú"/>
    <s v="Obligatori "/>
    <x v="0"/>
    <m/>
    <x v="0"/>
    <m/>
    <m/>
    <m/>
    <m/>
    <m/>
    <m/>
    <m/>
    <m/>
    <m/>
    <m/>
    <m/>
    <x v="0"/>
    <m/>
    <x v="2"/>
    <n v="36000"/>
    <m/>
    <m/>
    <m/>
    <m/>
  </r>
  <r>
    <x v="0"/>
    <x v="0"/>
    <x v="0"/>
    <x v="0"/>
    <x v="0"/>
    <x v="0"/>
    <s v="Implementar i executar plans de gestió específics per a hàbitats i espècies de conservació prioritària dins l'ENP"/>
    <s v="Comú"/>
    <s v="Obligatori "/>
    <x v="0"/>
    <m/>
    <x v="0"/>
    <m/>
    <m/>
    <m/>
    <m/>
    <m/>
    <m/>
    <m/>
    <m/>
    <m/>
    <m/>
    <m/>
    <x v="0"/>
    <m/>
    <x v="3"/>
    <n v="0"/>
    <m/>
    <m/>
    <m/>
    <m/>
  </r>
  <r>
    <x v="0"/>
    <x v="0"/>
    <x v="0"/>
    <x v="0"/>
    <x v="0"/>
    <x v="0"/>
    <s v="Implementar i executar plans de gestió específics per a hàbitats i espècies de conservació prioritària dins l'ENP"/>
    <s v="Comú"/>
    <s v="Obligatori "/>
    <x v="0"/>
    <m/>
    <x v="0"/>
    <m/>
    <m/>
    <m/>
    <m/>
    <m/>
    <m/>
    <m/>
    <m/>
    <m/>
    <m/>
    <m/>
    <x v="0"/>
    <m/>
    <x v="4"/>
    <n v="0"/>
    <m/>
    <m/>
    <m/>
    <m/>
  </r>
  <r>
    <x v="0"/>
    <x v="0"/>
    <x v="0"/>
    <x v="0"/>
    <x v="0"/>
    <x v="0"/>
    <s v="Implementar i executar plans de gestió específics per a hàbitats i espècies de conservació prioritària dins l'ENP"/>
    <s v="Comú"/>
    <s v="Obligatori "/>
    <x v="0"/>
    <m/>
    <x v="0"/>
    <m/>
    <m/>
    <m/>
    <m/>
    <m/>
    <m/>
    <m/>
    <m/>
    <m/>
    <m/>
    <m/>
    <x v="0"/>
    <m/>
    <x v="5"/>
    <n v="0"/>
    <m/>
    <m/>
    <m/>
    <m/>
  </r>
  <r>
    <x v="0"/>
    <x v="0"/>
    <x v="0"/>
    <x v="0"/>
    <x v="0"/>
    <x v="1"/>
    <s v="Adaptar i executar plans de gestió específics per a elements geològics de conservació prioritària dins l'ENP"/>
    <s v="Comú"/>
    <s v="Obligatori "/>
    <x v="1"/>
    <s v="Primer, caldria elaborar aquests plans, ja que no existeixen"/>
    <x v="0"/>
    <s v="MITJANA"/>
    <s v="* Elaboració de l'inventari d'elements geològics a l'espai_x000a_*Aplicació de les directrius de gestió de l'inventari de patrimoni geològic (ICGC)"/>
    <m/>
    <m/>
    <m/>
    <m/>
    <m/>
    <m/>
    <m/>
    <m/>
    <m/>
    <x v="0"/>
    <m/>
    <x v="6"/>
    <m/>
    <m/>
    <m/>
    <m/>
    <m/>
  </r>
  <r>
    <x v="0"/>
    <x v="0"/>
    <x v="0"/>
    <x v="1"/>
    <x v="1"/>
    <x v="2"/>
    <s v="Implementar la metodologia de gestió adaptativa (Estàndards Oberts de Gestió Adaptativa a Catalunya) en tots els processos de l'ENP"/>
    <s v="Comú"/>
    <s v="Obligatori"/>
    <x v="2"/>
    <m/>
    <x v="0"/>
    <s v="MÀXIMA"/>
    <s v="*Definició d'un protocol per tal d'incorporar la metodologia dels Estàndards Oberts pels processos més rellevants per a la conservació a l'espai"/>
    <s v="ESNATURA"/>
    <s v="SENP: Elaboració d'un manual per la implementació dels OSAM"/>
    <m/>
    <m/>
    <m/>
    <m/>
    <m/>
    <m/>
    <m/>
    <x v="0"/>
    <m/>
    <x v="6"/>
    <m/>
    <m/>
    <m/>
    <m/>
    <m/>
  </r>
  <r>
    <x v="0"/>
    <x v="0"/>
    <x v="0"/>
    <x v="1"/>
    <x v="1"/>
    <x v="3"/>
    <s v="Executar les mesures previstes en els plans de conservació o recuperació d'espècies amenaçades de forma coordinada amb el Servei de Flora i Fauna en l'àmbit de l'ENP"/>
    <s v="Comú"/>
    <s v="Obligatori "/>
    <x v="3"/>
    <m/>
    <x v="0"/>
    <s v="MÀXIMA"/>
    <s v="* Implicació i participació en la redacció dels plans de conservació /recuperació d'espècies amenaçades_x000a_* Execució de les accions dins els plans que pertoquin a cada espai (incorporar totes les mesures que surten als plans ja aprovats que tenen incidència a l'espai)_x000a_* Col.laboració en l'obtenció de la informació necessària dins els espais per al desenvolupament dels Plans "/>
    <s v="MAP_x000a_Catàlegs"/>
    <s v="SFF: Elaboració de plans de conservació o recuperació d'espècies protegides"/>
    <m/>
    <m/>
    <m/>
    <m/>
    <m/>
    <m/>
    <m/>
    <x v="0"/>
    <m/>
    <x v="7"/>
    <n v="800"/>
    <m/>
    <m/>
    <m/>
    <m/>
  </r>
  <r>
    <x v="0"/>
    <x v="0"/>
    <x v="0"/>
    <x v="1"/>
    <x v="1"/>
    <x v="3"/>
    <s v="Executar les mesures previstes en els plans de conservació o recuperació d'espècies amenaçades de forma coordinada amb el Servei de Flora i Fauna en l'àmbit de l'ENP"/>
    <s v="Comú"/>
    <s v="Obligatori "/>
    <x v="3"/>
    <m/>
    <x v="0"/>
    <m/>
    <m/>
    <m/>
    <m/>
    <m/>
    <m/>
    <m/>
    <m/>
    <m/>
    <m/>
    <m/>
    <x v="0"/>
    <m/>
    <x v="8"/>
    <n v="0"/>
    <m/>
    <m/>
    <m/>
    <m/>
  </r>
  <r>
    <x v="0"/>
    <x v="0"/>
    <x v="0"/>
    <x v="1"/>
    <x v="1"/>
    <x v="4"/>
    <s v="Executar les mesures de gestió previstes en els plans de control i erradicació d'espècies exòtiques de forma coordinada amb el Servei de Flora i Fauna en l'àmbit de l'ENP"/>
    <s v="Comú"/>
    <s v="Obligatori "/>
    <x v="4"/>
    <m/>
    <x v="0"/>
    <s v="MÀXIMA"/>
    <s v="* Implicació  i participació en la redacció (cal identificar els plans que estan ja en marxa o previstos i posar les mesures concretes) _x000a_* Execució de les accions dins els plans que pertoquin a cada espai_x000a_* Col.laboració en l'obtenció de la informació necessària dins els espais per al desenvolupament dels Plans "/>
    <s v="ESNATURA_x000a_MAP"/>
    <s v="SFF: Elaboració de plans de control i erradicació d'espècies exòtiques"/>
    <m/>
    <m/>
    <m/>
    <m/>
    <m/>
    <m/>
    <m/>
    <x v="0"/>
    <m/>
    <x v="9"/>
    <n v="9000"/>
    <m/>
    <m/>
    <m/>
    <m/>
  </r>
  <r>
    <x v="0"/>
    <x v="0"/>
    <x v="0"/>
    <x v="1"/>
    <x v="1"/>
    <x v="4"/>
    <s v="Executar les mesures de gestió previstes en els plans de control i erradicació d'espècies exòtiques de forma coordinada amb el Servei de Flora i Fauna en l'àmbit de l'ENP"/>
    <s v="Comú"/>
    <s v="Obligatori "/>
    <x v="4"/>
    <m/>
    <x v="0"/>
    <m/>
    <m/>
    <m/>
    <m/>
    <m/>
    <m/>
    <m/>
    <m/>
    <m/>
    <m/>
    <m/>
    <x v="0"/>
    <m/>
    <x v="10"/>
    <n v="0"/>
    <m/>
    <m/>
    <m/>
    <m/>
  </r>
  <r>
    <x v="0"/>
    <x v="0"/>
    <x v="0"/>
    <x v="1"/>
    <x v="1"/>
    <x v="4"/>
    <s v="Executar les mesures de gestió previstes en els plans de control i erradicació d'espècies exòtiques de forma coordinada amb el Servei de Flora i Fauna en l'àmbit de l'ENP"/>
    <s v="Comú"/>
    <s v="Obligatori "/>
    <x v="4"/>
    <m/>
    <x v="0"/>
    <m/>
    <m/>
    <m/>
    <m/>
    <m/>
    <m/>
    <m/>
    <m/>
    <m/>
    <m/>
    <m/>
    <x v="0"/>
    <m/>
    <x v="11"/>
    <n v="0"/>
    <m/>
    <m/>
    <m/>
    <m/>
  </r>
  <r>
    <x v="0"/>
    <x v="0"/>
    <x v="0"/>
    <x v="1"/>
    <x v="1"/>
    <x v="4"/>
    <s v="Executar les mesures de gestió previstes en els plans de control i erradicació d'espècies exòtiques de forma coordinada amb el Servei de Flora i Fauna en l'àmbit de l'ENP"/>
    <s v="Comú"/>
    <s v="Obligatori "/>
    <x v="4"/>
    <m/>
    <x v="0"/>
    <m/>
    <m/>
    <m/>
    <m/>
    <m/>
    <m/>
    <m/>
    <m/>
    <m/>
    <m/>
    <m/>
    <x v="0"/>
    <m/>
    <x v="12"/>
    <n v="0"/>
    <m/>
    <m/>
    <m/>
    <m/>
  </r>
  <r>
    <x v="0"/>
    <x v="0"/>
    <x v="0"/>
    <x v="1"/>
    <x v="1"/>
    <x v="5"/>
    <s v="Desplegar els objectius i tasques recollits en els instruments de referència i compromisos internacionals  "/>
    <s v="Específic"/>
    <s v="Optatiu "/>
    <x v="5"/>
    <s v="De moment, només Reserva Biosfera, però la gestió global està delegada en un altre organisme (COPATE)"/>
    <x v="1"/>
    <s v="ALTA"/>
    <s v="* Desplegament dels objectius recollits en l'Estratègia de la Xarxa d'àrees marines protegides del Mediterrani (MedPAN network)_x000a_* Col·laboració en el compliment dels objectius i tasques derivats de la Mediterranean Climate Action Partnership en matèria de biodiversitat i canvi climàtic i els seus impactes sobre la sequera, calor i incendis_x000a_* Col·laboració en la implementació pràctica de projectes de l'àrea internacional i dels compromisos amb les entitats membres UICN, Euroregió Pirineus Mediterrània"/>
    <m/>
    <m/>
    <m/>
    <m/>
    <m/>
    <m/>
    <m/>
    <m/>
    <m/>
    <x v="0"/>
    <m/>
    <x v="6"/>
    <m/>
    <m/>
    <m/>
    <m/>
    <m/>
  </r>
  <r>
    <x v="0"/>
    <x v="0"/>
    <x v="0"/>
    <x v="2"/>
    <x v="2"/>
    <x v="6"/>
    <s v="Identificar espais pel foment de la dinàmica natural i l'aprofitament no extractiu"/>
    <s v="Comú"/>
    <s v="Obligatori "/>
    <x v="6"/>
    <s v="S'afegeix la promoció"/>
    <x v="0"/>
    <s v="ALTA"/>
    <s v="*Participar en la identificació d'espais pel foment de la dinàmica natural i l'aprofitament no extractiu dins l'ENP en base a uns criteris metodològics predefinits_x000a_*Afavorir la creació d'hàbitats per a la conservació d'espècies"/>
    <s v="ESNATURA"/>
    <s v="SENP/SFF: Definir criteris metodològics"/>
    <m/>
    <m/>
    <m/>
    <m/>
    <m/>
    <m/>
    <m/>
    <x v="0"/>
    <m/>
    <x v="6"/>
    <m/>
    <m/>
    <m/>
    <m/>
    <m/>
  </r>
  <r>
    <x v="0"/>
    <x v="0"/>
    <x v="0"/>
    <x v="2"/>
    <x v="2"/>
    <x v="7"/>
    <s v="Afavorir la maduresa dels sistemes forestals"/>
    <s v="Específic"/>
    <s v="Optatiu "/>
    <x v="7"/>
    <m/>
    <x v="0"/>
    <s v="ALTA"/>
    <s v="*Participar i impulsar la planificació i execució d'accions d'acceleració de la maduresa forestal en zones boscoses dins l'ENP en base als criteris metodològics predefinits"/>
    <s v="MAP"/>
    <s v="SENP/SFF: Definir criteris metodològics"/>
    <m/>
    <m/>
    <m/>
    <m/>
    <m/>
    <m/>
    <m/>
    <x v="0"/>
    <m/>
    <x v="6"/>
    <m/>
    <m/>
    <m/>
    <m/>
    <m/>
  </r>
  <r>
    <x v="0"/>
    <x v="0"/>
    <x v="0"/>
    <x v="2"/>
    <x v="2"/>
    <x v="8"/>
    <s v="Generar pertorbacions controlades"/>
    <s v="Específic"/>
    <s v="Optatiu "/>
    <x v="8"/>
    <s v="S'afegeix la planificació"/>
    <x v="0"/>
    <s v="MITJANA"/>
    <s v="*Elaboració d'una planificació d'actuacions de simulació d'incendis forestals naturals (cremes controlades) dins l'espai en base als criteris metodològics predefinits._x000a_*Realització dels estudis necessaris i participació en la reintroducció de grans herbívors, carnívors o carronyaires dins l'ENP en base als criteris metodològics predefinits."/>
    <s v="MAP"/>
    <s v="SENP/SFF: Definir criteris metodològics"/>
    <m/>
    <m/>
    <m/>
    <m/>
    <m/>
    <m/>
    <m/>
    <x v="0"/>
    <m/>
    <x v="6"/>
    <m/>
    <m/>
    <m/>
    <m/>
    <m/>
  </r>
  <r>
    <x v="0"/>
    <x v="0"/>
    <x v="0"/>
    <x v="2"/>
    <x v="2"/>
    <x v="9"/>
    <s v="Restaurar la dinàmica natural dels rius "/>
    <s v="Específic"/>
    <s v="Optatiu "/>
    <x v="9"/>
    <m/>
    <x v="0"/>
    <s v="MITJANA"/>
    <s v="*Realització i impuls de la renaturalització de lleres i creació de zones de laminació dins l'ENP en base als criteris metodològics predefinits_x000a_* Eliminar infraestructures La Fou"/>
    <s v="MAP"/>
    <s v="SENP/SFF: Definir criteris metodològics"/>
    <m/>
    <m/>
    <m/>
    <m/>
    <m/>
    <m/>
    <m/>
    <x v="0"/>
    <m/>
    <x v="6"/>
    <m/>
    <m/>
    <m/>
    <m/>
    <m/>
  </r>
  <r>
    <x v="0"/>
    <x v="0"/>
    <x v="0"/>
    <x v="2"/>
    <x v="2"/>
    <x v="10"/>
    <s v="Fomentar el paisatge en mosaïc"/>
    <s v="Específic"/>
    <s v="Optatiu "/>
    <x v="10"/>
    <s v="Possible solapament amb altres objectius operatius (foc, maduresa, pastures...)"/>
    <x v="0"/>
    <s v="ALTA"/>
    <s v="*Realització d'accions per gestionar l'herbivoria domèstica associada a la ramaderia extensiva_x000a_*Aplicació dels criteris metodològics predefinits en un manual tècnic de bones pràctiques en ramaderia extensiva i recuperació i manteniment de pastures aplicat a l'ENP._x000a_*Coordinació i gestió dels ramats locals en actuacions de restauració de pastures i desembosc."/>
    <s v="ESNATURA"/>
    <s v="SENP/SFF: Definir criteris metodològics"/>
    <m/>
    <m/>
    <m/>
    <m/>
    <m/>
    <m/>
    <m/>
    <x v="0"/>
    <m/>
    <x v="13"/>
    <n v="15000"/>
    <m/>
    <m/>
    <m/>
    <m/>
  </r>
  <r>
    <x v="0"/>
    <x v="0"/>
    <x v="0"/>
    <x v="2"/>
    <x v="2"/>
    <x v="10"/>
    <s v="Fomentar el paisatge en mosaïc"/>
    <s v="Específic"/>
    <s v="Optatiu "/>
    <x v="10"/>
    <s v="Possible solapament amb altres objectius operatius (foc, maduresa, pastures...)"/>
    <x v="0"/>
    <m/>
    <m/>
    <m/>
    <m/>
    <m/>
    <m/>
    <m/>
    <m/>
    <m/>
    <m/>
    <m/>
    <x v="0"/>
    <m/>
    <x v="14"/>
    <m/>
    <n v="26130.639999999999"/>
    <m/>
    <m/>
    <m/>
  </r>
  <r>
    <x v="0"/>
    <x v="0"/>
    <x v="0"/>
    <x v="2"/>
    <x v="2"/>
    <x v="10"/>
    <s v="Fomentar el paisatge en mosaïc"/>
    <s v="Específic"/>
    <s v="Optatiu "/>
    <x v="10"/>
    <s v="Possible solapament amb altres objectius operatius (foc, maduresa, pastures...)"/>
    <x v="0"/>
    <m/>
    <m/>
    <m/>
    <m/>
    <m/>
    <m/>
    <m/>
    <m/>
    <m/>
    <m/>
    <m/>
    <x v="0"/>
    <m/>
    <x v="15"/>
    <m/>
    <n v="45177.31"/>
    <m/>
    <m/>
    <m/>
  </r>
  <r>
    <x v="0"/>
    <x v="0"/>
    <x v="0"/>
    <x v="2"/>
    <x v="2"/>
    <x v="10"/>
    <s v="Fomentar el paisatge en mosaïc"/>
    <s v="Específic"/>
    <s v="Optatiu "/>
    <x v="10"/>
    <s v="Possible solapament amb altres objectius operatius (foc, maduresa, pastures...)"/>
    <x v="0"/>
    <m/>
    <m/>
    <m/>
    <m/>
    <m/>
    <m/>
    <m/>
    <m/>
    <m/>
    <m/>
    <m/>
    <x v="0"/>
    <m/>
    <x v="16"/>
    <m/>
    <m/>
    <m/>
    <n v="513500"/>
    <m/>
  </r>
  <r>
    <x v="0"/>
    <x v="0"/>
    <x v="0"/>
    <x v="2"/>
    <x v="2"/>
    <x v="10"/>
    <s v="Fomentar el paisatge en mosaïc"/>
    <s v="Específic"/>
    <s v="Optatiu "/>
    <x v="10"/>
    <s v="Possible solapament amb altres objectius operatius (foc, maduresa, pastures...)"/>
    <x v="0"/>
    <m/>
    <m/>
    <m/>
    <m/>
    <m/>
    <m/>
    <m/>
    <m/>
    <m/>
    <m/>
    <m/>
    <x v="0"/>
    <m/>
    <x v="17"/>
    <m/>
    <m/>
    <m/>
    <m/>
    <n v="70000"/>
  </r>
  <r>
    <x v="0"/>
    <x v="0"/>
    <x v="0"/>
    <x v="2"/>
    <x v="2"/>
    <x v="11"/>
    <s v="Gestionar i intervenir en la dinàmica de poblacions de fauna que no tenen depredador natural"/>
    <s v="Específic"/>
    <s v="Optatiu "/>
    <x v="11"/>
    <s v="Només s'inclouen actuacions que impliquin conservació/millora d'elements de conservació. "/>
    <x v="1"/>
    <s v="MITJANA"/>
    <s v="*Realització d'acords amb societats de caçadors._x000a_*Participació i impuls del control directe de poblacions de fauna en base als criteris metodològics predefinits."/>
    <m/>
    <s v="SENP/SFF: Definir criteris metodològics"/>
    <m/>
    <m/>
    <m/>
    <m/>
    <m/>
    <m/>
    <m/>
    <x v="0"/>
    <m/>
    <x v="6"/>
    <m/>
    <m/>
    <m/>
    <m/>
    <m/>
  </r>
  <r>
    <x v="0"/>
    <x v="0"/>
    <x v="0"/>
    <x v="3"/>
    <x v="3"/>
    <x v="12"/>
    <s v="Fomentar acords de custòdia en espais d'alt valor dins l'ENP per a la gestió dels elements prioritaris"/>
    <s v="Comú"/>
    <s v="Optatiu "/>
    <x v="12"/>
    <m/>
    <x v="0"/>
    <s v="ALTA"/>
    <s v="*Realització d'acords de custòdia aplicant el model d'acord elaborat per Serveis Centrals_x000a_* Finques del Life?"/>
    <s v="MAP"/>
    <s v="SENP/SENP: Dissenyar el protocol i elaborar un model d'acord"/>
    <m/>
    <m/>
    <m/>
    <m/>
    <m/>
    <m/>
    <m/>
    <x v="0"/>
    <m/>
    <x v="6"/>
    <m/>
    <m/>
    <m/>
    <m/>
    <m/>
  </r>
  <r>
    <x v="0"/>
    <x v="0"/>
    <x v="0"/>
    <x v="3"/>
    <x v="3"/>
    <x v="13"/>
    <s v="Fomentar bones pràctiques entre els col·lectius de propietaris i gestors del territori"/>
    <s v="Comú"/>
    <s v="Optatiu "/>
    <x v="13"/>
    <m/>
    <x v="0"/>
    <s v="ALTA"/>
    <s v="*Realització d'actuacions demostratives en finques pròpies per al foment de bones pràctiques_x000a_* grup de treball assistència Life"/>
    <m/>
    <m/>
    <m/>
    <m/>
    <m/>
    <m/>
    <m/>
    <m/>
    <m/>
    <x v="0"/>
    <m/>
    <x v="6"/>
    <m/>
    <m/>
    <m/>
    <m/>
    <m/>
  </r>
  <r>
    <x v="0"/>
    <x v="0"/>
    <x v="0"/>
    <x v="3"/>
    <x v="3"/>
    <x v="14"/>
    <s v="Impulsar la coordinació amb els ens locals en la gestió finques públiques situades dins d’ENP"/>
    <s v="Específic"/>
    <s v="Optatiu "/>
    <x v="14"/>
    <s v="S'afegeixen boscos de la Generalitat"/>
    <x v="0"/>
    <s v="MÀXIMA"/>
    <s v="*Boscos comunals_x000a_*Medi marí_x000a_*Lleres i boscos de ribera_x000a_* grup de treball assistència Life"/>
    <s v="ESNATURA"/>
    <m/>
    <m/>
    <m/>
    <m/>
    <m/>
    <m/>
    <m/>
    <m/>
    <x v="0"/>
    <m/>
    <x v="6"/>
    <m/>
    <m/>
    <m/>
    <m/>
    <m/>
  </r>
  <r>
    <x v="0"/>
    <x v="1"/>
    <x v="1"/>
    <x v="4"/>
    <x v="4"/>
    <x v="15"/>
    <s v="Adaptar i implementar el Pla d'adaptació de l'ENP al canvi climàtic"/>
    <s v="Comú"/>
    <s v="Obligatori "/>
    <x v="15"/>
    <s v="No el tenim i les actuacions correspondran a altes Ops"/>
    <x v="0"/>
    <s v="ALTA"/>
    <s v="*Planificació del sistema d'espais oberts_x000a_*Creació de zones de laminació per defensa de inundacions_x000a_*Creació i manteniment d'espais dunars de protecció de temporals"/>
    <m/>
    <s v="OCCC/SENP: Elaboració del model de Pla d'adaptació dels ENP al canvi climàtic "/>
    <m/>
    <m/>
    <m/>
    <m/>
    <m/>
    <m/>
    <m/>
    <x v="0"/>
    <m/>
    <x v="6"/>
    <m/>
    <m/>
    <m/>
    <m/>
    <m/>
  </r>
  <r>
    <x v="0"/>
    <x v="1"/>
    <x v="1"/>
    <x v="4"/>
    <x v="4"/>
    <x v="16"/>
    <s v="Gestionar i planificar els recursos hídrics de l'ENP"/>
    <s v="Comú"/>
    <s v="Obligatori"/>
    <x v="16"/>
    <s v="Només intervenim a nivell de gestió preventiva (informes i seguiments)"/>
    <x v="0"/>
    <s v="ALTA"/>
    <m/>
    <m/>
    <m/>
    <m/>
    <m/>
    <m/>
    <m/>
    <m/>
    <m/>
    <m/>
    <x v="0"/>
    <m/>
    <x v="6"/>
    <m/>
    <m/>
    <m/>
    <m/>
    <m/>
  </r>
  <r>
    <x v="0"/>
    <x v="1"/>
    <x v="1"/>
    <x v="4"/>
    <x v="4"/>
    <x v="17"/>
    <s v="Participar en la redacció i execució dels instruments d'ordenació forestal sostenible i per la conservació en finques públiques"/>
    <s v="Específic"/>
    <s v="Optatiu "/>
    <x v="17"/>
    <s v="Millora del redactat"/>
    <x v="0"/>
    <s v="ALTA"/>
    <s v="*Participació en la redacció d'IOF de finques públiques_x000a_*Realització d'accions demostratives en finca pública o amb acord de custòdia_x000a_*Realització de tractaments silvícoles i tallades selectives_x000a_*Promoció de boscos mixtes i de la biodiversitat"/>
    <m/>
    <s v="DGEFMN: Redacció d'IOF en finques públiques"/>
    <m/>
    <m/>
    <m/>
    <m/>
    <m/>
    <m/>
    <m/>
    <x v="0"/>
    <m/>
    <x v="6"/>
    <m/>
    <m/>
    <m/>
    <m/>
    <m/>
  </r>
  <r>
    <x v="0"/>
    <x v="1"/>
    <x v="1"/>
    <x v="4"/>
    <x v="4"/>
    <x v="18"/>
    <s v="Promoure la redacció d'instruments d'ordenació forestal per reduir la sensibilitat i vulnerabilitat dels boscos al canvi climàtic en finques privades"/>
    <s v="Específic"/>
    <s v="Optatiu"/>
    <x v="18"/>
    <s v="Millora del redactat"/>
    <x v="0"/>
    <s v="MITJANA"/>
    <s v="* Realització d'accions per donar a conèixer subvencions entre propietaris"/>
    <m/>
    <m/>
    <m/>
    <m/>
    <m/>
    <m/>
    <m/>
    <m/>
    <m/>
    <x v="0"/>
    <m/>
    <x v="6"/>
    <m/>
    <m/>
    <m/>
    <m/>
    <m/>
  </r>
  <r>
    <x v="0"/>
    <x v="1"/>
    <x v="1"/>
    <x v="5"/>
    <x v="5"/>
    <x v="19"/>
    <s v="Redactar i implementar el Pla de Prevenció d'Incendis "/>
    <s v="Comú"/>
    <s v="Obligatori "/>
    <x v="19"/>
    <s v="Hi ha diversos plans que afecten l'ENP (municipals, PPP, franges)"/>
    <x v="0"/>
    <s v="ALTA"/>
    <s v="*Elaboració del Pla de Prevenció d'Incendis _x000a_*Definició de: xarxa estratègica i complementària de vials forestals, xarxa estratègica i complementària de punts d’aigua, tractaments de vegetació, punts estratègics de gestió"/>
    <s v="ESNATURA"/>
    <s v="Equip de PPI: Disseny del protocol de treball"/>
    <m/>
    <m/>
    <m/>
    <m/>
    <m/>
    <m/>
    <m/>
    <x v="0"/>
    <m/>
    <x v="6"/>
    <m/>
    <m/>
    <m/>
    <m/>
    <m/>
  </r>
  <r>
    <x v="0"/>
    <x v="1"/>
    <x v="1"/>
    <x v="5"/>
    <x v="5"/>
    <x v="20"/>
    <s v="Definir i planificar la gestió del foc per a la millora de l'ENP"/>
    <s v="Específic"/>
    <s v="Optatiu "/>
    <x v="20"/>
    <m/>
    <x v="0"/>
    <s v="ALTA"/>
    <s v="*Pla de gestió de foc_x000a_*Pla de gestió de cremes"/>
    <m/>
    <s v="SPEN: Elaboració d'un model de pla de gestió"/>
    <m/>
    <m/>
    <m/>
    <m/>
    <m/>
    <m/>
    <m/>
    <x v="0"/>
    <m/>
    <x v="6"/>
    <m/>
    <m/>
    <m/>
    <m/>
    <m/>
  </r>
  <r>
    <x v="0"/>
    <x v="1"/>
    <x v="1"/>
    <x v="5"/>
    <x v="5"/>
    <x v="21"/>
    <s v="Treballar per a la prevenció d'incendis juntament amb els propietaris, ajuntaments, protecció civil, ADF i bombers."/>
    <s v="Comú"/>
    <s v="Obligatori "/>
    <x v="21"/>
    <s v="Millora del redactat"/>
    <x v="0"/>
    <s v="MITJANA"/>
    <s v="* Intervenir en les reunions de coordinació"/>
    <m/>
    <m/>
    <m/>
    <m/>
    <m/>
    <m/>
    <m/>
    <m/>
    <m/>
    <x v="0"/>
    <m/>
    <x v="6"/>
    <m/>
    <m/>
    <m/>
    <m/>
    <m/>
  </r>
  <r>
    <x v="0"/>
    <x v="2"/>
    <x v="2"/>
    <x v="6"/>
    <x v="6"/>
    <x v="22"/>
    <s v="Participar en les consultes dels procesos d'Avaluació Ambiental que afectin directament o indirectament l’espai del ENP"/>
    <s v="Comú"/>
    <s v="Obligatori"/>
    <x v="22"/>
    <s v="Faltes orotgràfiques, millora redactat"/>
    <x v="0"/>
    <s v="MITJANA"/>
    <m/>
    <m/>
    <m/>
    <m/>
    <m/>
    <m/>
    <m/>
    <m/>
    <m/>
    <m/>
    <x v="0"/>
    <m/>
    <x v="6"/>
    <m/>
    <m/>
    <m/>
    <m/>
    <m/>
  </r>
  <r>
    <x v="0"/>
    <x v="2"/>
    <x v="2"/>
    <x v="6"/>
    <x v="6"/>
    <x v="23"/>
    <s v="Exercir un seguiment efectiu de les obres al Parc juntament amb les Oficines Territorials d'Acció i Avaluació Ambiental als efectes d'assegurar la correcta translació de la tutela administrativa."/>
    <s v="Comú"/>
    <s v="Obligatori"/>
    <x v="23"/>
    <s v="Hem afegit CAR"/>
    <x v="0"/>
    <s v="MITJANA"/>
    <m/>
    <m/>
    <m/>
    <m/>
    <m/>
    <m/>
    <m/>
    <m/>
    <m/>
    <m/>
    <x v="0"/>
    <m/>
    <x v="18"/>
    <m/>
    <n v="14520"/>
    <m/>
    <m/>
    <m/>
  </r>
  <r>
    <x v="0"/>
    <x v="2"/>
    <x v="2"/>
    <x v="6"/>
    <x v="6"/>
    <x v="23"/>
    <s v="Exercir un seguiment efectiu de les obres al Parc juntament amb les Oficines Territorials d'Acció i Avaluació Ambiental als efectes d'assegurar la correcta translació de la tutela administrativa."/>
    <s v="Comú"/>
    <s v="Obligatori"/>
    <x v="23"/>
    <m/>
    <x v="0"/>
    <m/>
    <m/>
    <m/>
    <m/>
    <m/>
    <m/>
    <m/>
    <m/>
    <m/>
    <m/>
    <m/>
    <x v="0"/>
    <m/>
    <x v="19"/>
    <m/>
    <n v="18149"/>
    <m/>
    <m/>
    <m/>
  </r>
  <r>
    <x v="0"/>
    <x v="2"/>
    <x v="2"/>
    <x v="6"/>
    <x v="6"/>
    <x v="24"/>
    <s v="Participar en la compensació d'impactes residuals durant els processos d'avaluació ambiental mitjançant la identificació de necessitats d'actuació prioritària dins i fora dels límits de l’ENP"/>
    <s v="Comú"/>
    <s v="Optatiu "/>
    <x v="24"/>
    <m/>
    <x v="0"/>
    <s v="MITJANA"/>
    <s v="*Catàleg de possibles actuacions compensatories_x000a_*Catàleg de sectors amb necessitats d'intervenció (incloent també zones fora dels límits de l'ENP que es considerin importants per al manteniment de la connectivitat ecològica dels espais)"/>
    <m/>
    <m/>
    <m/>
    <m/>
    <m/>
    <m/>
    <m/>
    <m/>
    <m/>
    <x v="0"/>
    <m/>
    <x v="6"/>
    <m/>
    <m/>
    <m/>
    <m/>
    <m/>
  </r>
  <r>
    <x v="0"/>
    <x v="2"/>
    <x v="2"/>
    <x v="7"/>
    <x v="7"/>
    <x v="25"/>
    <s v="Participar en l'elaboració dels instruments de planificació de l'ENP"/>
    <s v="Comú"/>
    <s v="Obligatori"/>
    <x v="25"/>
    <s v="No tenim previsió d'elaboració del Pla i, per tant, no l'incloem al 2025-2029. Preguntar a Sara"/>
    <x v="0"/>
    <s v="MÀXIMA"/>
    <s v="*Participació en l'elaboració del Pla de Protecció (PP) juntament amb l'SPEN._x000a_*Participació en l'elaboració del Pla Rector d'usos i Gestió (PRUG) juntament amb l'SPEN._x000a_*Participació en l'elaboració d'altres instruments de planificació juntament amb l'SPEN."/>
    <m/>
    <s v="SPEN: Elaboració del Pla rector d'usos i gestió._x000a_SPEN: Elaboració del Pla rector d'usos i gestió"/>
    <m/>
    <m/>
    <m/>
    <m/>
    <m/>
    <m/>
    <m/>
    <x v="1"/>
    <s v="Pla d'acció 2022-2026 de la CETS."/>
    <x v="20"/>
    <n v="0"/>
    <m/>
    <m/>
    <m/>
    <m/>
  </r>
  <r>
    <x v="0"/>
    <x v="2"/>
    <x v="2"/>
    <x v="8"/>
    <x v="8"/>
    <x v="26"/>
    <s v="Vetllar pel manteniment del cabal ecològic dels rius definit al Pla sectorial corresponent"/>
    <s v="Específic"/>
    <s v="Optatiu"/>
    <x v="26"/>
    <m/>
    <x v="0"/>
    <s v="ALTA"/>
    <s v="*Participació en el seguiment del cabal en els trams dins ENP _x000a_*Impuls del control per incompliment de la normativa i el seu trasllat cap a l'administració competent_x000a_*Participació en les negociacions sectorials amb incidència a l'espai_x000a_*Participació en les comissions de desembassament"/>
    <s v="ESNATURA"/>
    <s v="ACA/CHE: Determinar els cabals ecològics en espais naturals protegits"/>
    <m/>
    <m/>
    <m/>
    <m/>
    <m/>
    <m/>
    <m/>
    <x v="1"/>
    <s v="Pla d'acció 2022-2026 de la CETS."/>
    <x v="21"/>
    <n v="0"/>
    <m/>
    <m/>
    <m/>
    <m/>
  </r>
  <r>
    <x v="0"/>
    <x v="2"/>
    <x v="2"/>
    <x v="8"/>
    <x v="8"/>
    <x v="27"/>
    <s v="Vetllar per la regulació dels dragatges, canalitzacions o implantació d'activitats extractives que puguin modificar la llera i el cabal dels rius"/>
    <s v="Específic"/>
    <s v="Optatiu "/>
    <x v="27"/>
    <s v="Es proposa eliminar, ja que és molt similar a l'Op següent"/>
    <x v="1"/>
    <s v="ALTA"/>
    <m/>
    <m/>
    <m/>
    <m/>
    <m/>
    <m/>
    <m/>
    <m/>
    <m/>
    <m/>
    <x v="0"/>
    <m/>
    <x v="6"/>
    <m/>
    <m/>
    <m/>
    <m/>
    <m/>
  </r>
  <r>
    <x v="0"/>
    <x v="2"/>
    <x v="2"/>
    <x v="8"/>
    <x v="8"/>
    <x v="28"/>
    <s v="Avaluar i controlar les actuacions que produeixin drenatges, captacions o que puguin impedir l’arribada d’aigua tant superficial com freàtica"/>
    <s v="Específic"/>
    <s v="Optatiu "/>
    <x v="28"/>
    <m/>
    <x v="0"/>
    <s v="ALTA"/>
    <s v="*Participació, de forma coordinada amb l'administració competent, en l'avaluació i control d'actuacions dins els límits de l'ENP._x000a_*Impuls del control per incompliment de la normativa i el seu trasllat cap a l'administració competent_x000a_*Participació en les comunitats d'usuaris de les conques_x000a_*Informes"/>
    <m/>
    <m/>
    <m/>
    <m/>
    <m/>
    <m/>
    <m/>
    <m/>
    <m/>
    <x v="0"/>
    <m/>
    <x v="6"/>
    <m/>
    <m/>
    <m/>
    <m/>
    <m/>
  </r>
  <r>
    <x v="0"/>
    <x v="2"/>
    <x v="2"/>
    <x v="8"/>
    <x v="8"/>
    <x v="29"/>
    <s v="Vetllar pel compliment de la normativa de depuració dels efluents agroramaders, urbans i industrials que s'aboquen als cursos fluvials"/>
    <s v="Específic"/>
    <s v="Optatiu "/>
    <x v="29"/>
    <s v="Millora del redactat"/>
    <x v="0"/>
    <s v="ALTA"/>
    <s v="*Impuls del control per incompliment de la normativa i el seu trasllat cap a l'administració competent_x000a_*Informes"/>
    <m/>
    <m/>
    <m/>
    <m/>
    <m/>
    <m/>
    <m/>
    <m/>
    <m/>
    <x v="0"/>
    <m/>
    <x v="6"/>
    <m/>
    <m/>
    <m/>
    <m/>
    <m/>
  </r>
  <r>
    <x v="0"/>
    <x v="2"/>
    <x v="2"/>
    <x v="9"/>
    <x v="9"/>
    <x v="30"/>
    <s v="Identificar espais prioritaris per a la compra de terrenys de més valor dins l'ENP "/>
    <s v="Comú"/>
    <s v="Optatiu "/>
    <x v="30"/>
    <s v="Afegir compres"/>
    <x v="0"/>
    <s v="ALTA"/>
    <s v="*Participació en la identificació de finques prioritàries en base als criteris indicats"/>
    <m/>
    <s v="SENP/SPEN: Facilitar els criteris a seguir"/>
    <m/>
    <m/>
    <m/>
    <m/>
    <m/>
    <m/>
    <m/>
    <x v="0"/>
    <m/>
    <x v="6"/>
    <m/>
    <m/>
    <m/>
    <m/>
    <m/>
  </r>
  <r>
    <x v="0"/>
    <x v="2"/>
    <x v="2"/>
    <x v="9"/>
    <x v="9"/>
    <x v="31"/>
    <s v="Identificar espais prioritaris per a la gestió directa"/>
    <s v="Comú"/>
    <s v="Optatiu"/>
    <x v="31"/>
    <m/>
    <x v="0"/>
    <s v="ALTA"/>
    <s v="*Participació en la identificació de finques prioritàries en base als criteris indicats_x000a_*Participació i foment de la compra o adquisició de drets d’aprofitament "/>
    <m/>
    <s v="SENP/SPEN: Facilitar els criteris a seguir"/>
    <m/>
    <m/>
    <m/>
    <m/>
    <m/>
    <m/>
    <m/>
    <x v="0"/>
    <m/>
    <x v="6"/>
    <m/>
    <m/>
    <m/>
    <m/>
    <m/>
  </r>
  <r>
    <x v="1"/>
    <x v="3"/>
    <x v="3"/>
    <x v="10"/>
    <x v="10"/>
    <x v="32"/>
    <s v="Elaborar l'inventari i cartografia de patrimoni cultural de l'ENP, que també inclogui el patrimoni etnològic i immaterial"/>
    <s v="Comú"/>
    <s v="Optatiu"/>
    <x v="32"/>
    <s v="Millora del redactat"/>
    <x v="0"/>
    <s v="MITJANA"/>
    <s v="*Recopilació de la informació dels catàlegs dels ajuntaments de l'ENP i fer diagnosi_x000a_*Inventari de patrimoni cultural material_x000a_*Inventari de patrimoni cultural immaterial (metodologia de l'inventari de la unesco)_x000a_*Elaboració d'un mapa de tranquil·litat."/>
    <m/>
    <m/>
    <m/>
    <m/>
    <m/>
    <m/>
    <m/>
    <m/>
    <m/>
    <x v="2"/>
    <s v="Pla d'acció per al foment de l'artesania del Parc Natural dels Ports (2023-2027)"/>
    <x v="22"/>
    <m/>
    <m/>
    <m/>
    <m/>
    <m/>
  </r>
  <r>
    <x v="1"/>
    <x v="3"/>
    <x v="3"/>
    <x v="10"/>
    <x v="10"/>
    <x v="33"/>
    <s v="Elaborar el catàleg lingüístic (localismes) de patrimoni natural, geografia popular, festes i activitats tradicionals de l'ENP"/>
    <s v="Comú"/>
    <s v="Optatiu"/>
    <x v="33"/>
    <s v="Es proposa eliminar, ja que és motl similar a l'Op anterior"/>
    <x v="1"/>
    <s v="MITJANA"/>
    <s v="* Denominació Port o Ports"/>
    <m/>
    <m/>
    <m/>
    <m/>
    <m/>
    <m/>
    <m/>
    <m/>
    <m/>
    <x v="0"/>
    <m/>
    <x v="6"/>
    <m/>
    <m/>
    <m/>
    <m/>
    <m/>
  </r>
  <r>
    <x v="1"/>
    <x v="3"/>
    <x v="3"/>
    <x v="10"/>
    <x v="10"/>
    <x v="34"/>
    <s v="Elaborar la cartografia de la xarxa de camins ramaders i senders tradicionals de l'ENP"/>
    <s v="Comú"/>
    <s v="Optatiu"/>
    <x v="34"/>
    <m/>
    <x v="0"/>
    <s v="MITJANA"/>
    <m/>
    <m/>
    <m/>
    <m/>
    <m/>
    <m/>
    <m/>
    <m/>
    <m/>
    <m/>
    <x v="0"/>
    <m/>
    <x v="6"/>
    <m/>
    <m/>
    <m/>
    <m/>
    <m/>
  </r>
  <r>
    <x v="1"/>
    <x v="3"/>
    <x v="3"/>
    <x v="11"/>
    <x v="11"/>
    <x v="35"/>
    <s v="Identificar els ens de referència en patrimoni cultural (entitats, associacions, museus i ecomuseus, etc.) en l'àmbit de l'ENP"/>
    <s v="Comú"/>
    <s v="Obligatori"/>
    <x v="35"/>
    <m/>
    <x v="0"/>
    <s v="MITJANA"/>
    <s v="*Elaboració d'un mapa d'entitats, associacions, museus, ecomuseus, OPEI (Observatori del Patrimoni Etnològic i Immaterial), etc."/>
    <m/>
    <m/>
    <m/>
    <m/>
    <m/>
    <m/>
    <m/>
    <m/>
    <m/>
    <x v="0"/>
    <m/>
    <x v="6"/>
    <m/>
    <m/>
    <m/>
    <m/>
    <m/>
  </r>
  <r>
    <x v="1"/>
    <x v="3"/>
    <x v="3"/>
    <x v="11"/>
    <x v="11"/>
    <x v="36"/>
    <s v="Articular treballs conjunts entre l'ENP i representants, gestors o custodis del patrimoni cultural per a la seva protecció i millora"/>
    <s v="Comú"/>
    <s v="Optatiu"/>
    <x v="36"/>
    <s v="Millora del redactat"/>
    <x v="0"/>
    <s v="MITJANA"/>
    <s v="*Projecte parcs i museus_x000a_*Impulsa dels convenis de col·laboració aamb la xarxa de museus i altres equipaments i entitats de referència_x000a_*Foment de la cooperació tècnica dels gestors de l'ENP amb els representants o custodis del patrimoni cultural, i coordinar-ne l'ús compartit dels recursos"/>
    <m/>
    <m/>
    <m/>
    <m/>
    <m/>
    <m/>
    <m/>
    <m/>
    <m/>
    <x v="0"/>
    <m/>
    <x v="6"/>
    <m/>
    <m/>
    <m/>
    <m/>
    <m/>
  </r>
  <r>
    <x v="1"/>
    <x v="3"/>
    <x v="3"/>
    <x v="11"/>
    <x v="11"/>
    <x v="37"/>
    <s v="Disposar de personal especialitzat en patrimoni cultural"/>
    <s v="Comú"/>
    <s v="Obligatori "/>
    <x v="37"/>
    <s v="Més realista"/>
    <x v="0"/>
    <s v="MITJANA"/>
    <s v="*Formació del personal tècnic de l'ENP en la gestió i conservació dels valors culturals de l'ENP"/>
    <m/>
    <m/>
    <m/>
    <m/>
    <m/>
    <m/>
    <m/>
    <m/>
    <m/>
    <x v="0"/>
    <m/>
    <x v="6"/>
    <m/>
    <m/>
    <m/>
    <m/>
    <m/>
  </r>
  <r>
    <x v="1"/>
    <x v="3"/>
    <x v="3"/>
    <x v="12"/>
    <x v="12"/>
    <x v="38"/>
    <s v="Recuperar i conservar el patrimoni cultural rural immaterial associat a les activitats i aprofitaments tradicionals "/>
    <s v="Comú"/>
    <s v="Obligatori "/>
    <x v="38"/>
    <m/>
    <x v="0"/>
    <s v="MITJANA"/>
    <s v="* Palma?"/>
    <s v="MAP"/>
    <m/>
    <m/>
    <m/>
    <m/>
    <m/>
    <m/>
    <m/>
    <m/>
    <x v="0"/>
    <m/>
    <x v="6"/>
    <m/>
    <m/>
    <m/>
    <m/>
    <m/>
  </r>
  <r>
    <x v="1"/>
    <x v="3"/>
    <x v="3"/>
    <x v="12"/>
    <x v="12"/>
    <x v="39"/>
    <s v="Recuperar i conservar el patrimoni cultural rural vinculat específicament a construccions de pedra en sec"/>
    <s v="Específic"/>
    <s v="Obligatori "/>
    <x v="39"/>
    <m/>
    <x v="0"/>
    <s v="MITJANA"/>
    <m/>
    <s v="MAP"/>
    <m/>
    <m/>
    <m/>
    <m/>
    <m/>
    <m/>
    <m/>
    <m/>
    <x v="0"/>
    <m/>
    <x v="23"/>
    <n v="0"/>
    <m/>
    <m/>
    <m/>
    <m/>
  </r>
  <r>
    <x v="1"/>
    <x v="3"/>
    <x v="3"/>
    <x v="12"/>
    <x v="12"/>
    <x v="40"/>
    <s v="Fomentar la recuperació i conservació de l'arquitectura tradicional d'intrès de les edificacions i construccions "/>
    <s v="Comú"/>
    <s v="Optatiu "/>
    <x v="40"/>
    <s v="Ortografia, s'afegeix pedra en sec"/>
    <x v="0"/>
    <s v="MITJANA"/>
    <m/>
    <m/>
    <m/>
    <m/>
    <m/>
    <m/>
    <m/>
    <m/>
    <m/>
    <m/>
    <x v="0"/>
    <m/>
    <x v="6"/>
    <m/>
    <m/>
    <m/>
    <m/>
    <m/>
  </r>
  <r>
    <x v="1"/>
    <x v="3"/>
    <x v="3"/>
    <x v="12"/>
    <x v="12"/>
    <x v="41"/>
    <s v="Identificar i conservar la diversitat domesticada de varietats agrícoles i ramaderes locals"/>
    <s v="Comú"/>
    <s v="Obligatori"/>
    <x v="41"/>
    <m/>
    <x v="0"/>
    <s v="MITJANA"/>
    <s v="*Banc de llavors_x000a_*Convenis ramaders per la cria de races locals"/>
    <s v="ESNATURA"/>
    <m/>
    <m/>
    <m/>
    <m/>
    <m/>
    <m/>
    <m/>
    <m/>
    <x v="3"/>
    <s v="Diagnosi dels productors i productores locals del Parc Natural dels Ports. (6.4. Pla d’acció)"/>
    <x v="24"/>
    <m/>
    <m/>
    <m/>
    <m/>
    <m/>
  </r>
  <r>
    <x v="1"/>
    <x v="3"/>
    <x v="3"/>
    <x v="13"/>
    <x v="13"/>
    <x v="42"/>
    <s v="Integrar el patrimoni cultural als itineraris, cartelleria i materials de difusió de l'ENP."/>
    <s v="Comú"/>
    <s v="Obligatori "/>
    <x v="42"/>
    <s v="Inclòs al Pla d'acció 2022-2026 de la CETS (A.4.2.4)"/>
    <x v="0"/>
    <s v="MITJANA"/>
    <m/>
    <m/>
    <m/>
    <m/>
    <m/>
    <m/>
    <m/>
    <m/>
    <m/>
    <m/>
    <x v="1"/>
    <s v="Pla d'acció 2022-2026 de la CETS."/>
    <x v="25"/>
    <n v="4000"/>
    <m/>
    <m/>
    <m/>
    <m/>
  </r>
  <r>
    <x v="1"/>
    <x v="3"/>
    <x v="3"/>
    <x v="13"/>
    <x v="13"/>
    <x v="42"/>
    <s v="Integrar el patrimoni cultural als itineraris i cartelleria de l'ENP."/>
    <s v="Comú"/>
    <s v="Obligatori "/>
    <x v="42"/>
    <s v="Inclòs al Pla d'acció 2022-2026 de la CETS (A.4.2.4)"/>
    <x v="0"/>
    <m/>
    <m/>
    <m/>
    <m/>
    <m/>
    <m/>
    <m/>
    <m/>
    <m/>
    <m/>
    <m/>
    <x v="1"/>
    <s v="Pla d'acció 2022-2026 de la CETS."/>
    <x v="26"/>
    <n v="1391.5"/>
    <m/>
    <m/>
    <m/>
    <m/>
  </r>
  <r>
    <x v="1"/>
    <x v="3"/>
    <x v="3"/>
    <x v="13"/>
    <x v="13"/>
    <x v="42"/>
    <s v="Integrar el patrimoni cultural als itineraris i cartelleria de l'ENP."/>
    <s v="Comú"/>
    <s v="Obligatori "/>
    <x v="42"/>
    <m/>
    <x v="0"/>
    <m/>
    <m/>
    <m/>
    <m/>
    <m/>
    <m/>
    <m/>
    <m/>
    <m/>
    <m/>
    <m/>
    <x v="2"/>
    <s v="Pla d'acció per al foment de l'artesania del Parc Natural dels Ports (2023-2027)"/>
    <x v="27"/>
    <m/>
    <m/>
    <m/>
    <m/>
    <m/>
  </r>
  <r>
    <x v="1"/>
    <x v="3"/>
    <x v="3"/>
    <x v="13"/>
    <x v="13"/>
    <x v="43"/>
    <s v="Incorporar el patrimoni cultural en els plans d’ús públic i educació ambiental per fomentar-ne la seva conservació i divulgació."/>
    <s v="Comú"/>
    <s v="Obligatori "/>
    <x v="43"/>
    <s v="Inclòs al Programa d'Educació Ambiental (Tema clau 2)"/>
    <x v="0"/>
    <s v="MITJANA"/>
    <m/>
    <m/>
    <m/>
    <m/>
    <m/>
    <m/>
    <m/>
    <m/>
    <m/>
    <m/>
    <x v="4"/>
    <s v="Programa d'EA 2023-2027"/>
    <x v="28"/>
    <m/>
    <m/>
    <m/>
    <m/>
    <m/>
  </r>
  <r>
    <x v="1"/>
    <x v="3"/>
    <x v="3"/>
    <x v="13"/>
    <x v="13"/>
    <x v="44"/>
    <s v="Formar el personal dels punts d’informació en els valors culturals de l'ENP"/>
    <s v="Comú"/>
    <s v="Obligatori "/>
    <x v="44"/>
    <m/>
    <x v="0"/>
    <s v="MITJANA"/>
    <m/>
    <m/>
    <m/>
    <m/>
    <m/>
    <m/>
    <m/>
    <m/>
    <m/>
    <m/>
    <x v="2"/>
    <s v="Pla d'acció per al foment de l'artesania del Parc Natural dels Ports (2023-2027)"/>
    <x v="29"/>
    <m/>
    <m/>
    <m/>
    <m/>
    <m/>
  </r>
  <r>
    <x v="1"/>
    <x v="4"/>
    <x v="4"/>
    <x v="14"/>
    <x v="14"/>
    <x v="45"/>
    <s v="Elaborar un inventari d'elements d'interès paisatgístic de l'ENP d'acord amb el Catàleg de paisatge de la zona "/>
    <s v="Comú"/>
    <s v="Optatiu"/>
    <x v="45"/>
    <m/>
    <x v="0"/>
    <s v="MITJANA"/>
    <m/>
    <m/>
    <m/>
    <m/>
    <m/>
    <m/>
    <m/>
    <m/>
    <m/>
    <m/>
    <x v="0"/>
    <m/>
    <x v="6"/>
    <m/>
    <m/>
    <m/>
    <m/>
    <m/>
  </r>
  <r>
    <x v="1"/>
    <x v="4"/>
    <x v="4"/>
    <x v="15"/>
    <x v="15"/>
    <x v="46"/>
    <s v="Desplegar actuacions de restauració dels elements d'interès paisatgístic degradats"/>
    <s v="Comú"/>
    <s v="Optatiu"/>
    <x v="46"/>
    <s v="Millora redactat, inclou Op següent"/>
    <x v="0"/>
    <s v="BAIXA"/>
    <m/>
    <m/>
    <m/>
    <m/>
    <m/>
    <m/>
    <m/>
    <m/>
    <m/>
    <m/>
    <x v="0"/>
    <m/>
    <x v="30"/>
    <n v="4000"/>
    <m/>
    <m/>
    <m/>
    <m/>
  </r>
  <r>
    <x v="1"/>
    <x v="4"/>
    <x v="4"/>
    <x v="15"/>
    <x v="15"/>
    <x v="47"/>
    <s v="Gestionar l'abandonament d'infraestructures i instal·lacions amb inpactes sobre els valors de l'espai"/>
    <m/>
    <m/>
    <x v="47"/>
    <s v="Es proposa eliminar, ja que se solapa molt amb l'Op anterior"/>
    <x v="1"/>
    <s v="MITJANA"/>
    <m/>
    <m/>
    <m/>
    <m/>
    <m/>
    <m/>
    <m/>
    <m/>
    <m/>
    <m/>
    <x v="0"/>
    <m/>
    <x v="6"/>
    <m/>
    <m/>
    <m/>
    <m/>
    <m/>
  </r>
  <r>
    <x v="1"/>
    <x v="4"/>
    <x v="4"/>
    <x v="15"/>
    <x v="15"/>
    <x v="48"/>
    <s v="Minimitzar la brutícia, deixalles, vandalisme i males praxis dins l'ENP"/>
    <s v="Comú"/>
    <s v="Obligatori"/>
    <x v="48"/>
    <m/>
    <x v="0"/>
    <s v="MITJANA"/>
    <m/>
    <m/>
    <m/>
    <m/>
    <m/>
    <m/>
    <m/>
    <m/>
    <m/>
    <m/>
    <x v="0"/>
    <m/>
    <x v="6"/>
    <m/>
    <m/>
    <m/>
    <m/>
    <m/>
  </r>
  <r>
    <x v="1"/>
    <x v="4"/>
    <x v="4"/>
    <x v="16"/>
    <x v="16"/>
    <x v="49"/>
    <s v="Promoure la certificació de qualitat del cel nocturn"/>
    <s v="Específic"/>
    <s v="Optatiu"/>
    <x v="49"/>
    <m/>
    <x v="0"/>
    <s v="MITJANA"/>
    <m/>
    <s v="ESNATURA"/>
    <m/>
    <m/>
    <m/>
    <m/>
    <m/>
    <m/>
    <m/>
    <m/>
    <x v="0"/>
    <m/>
    <x v="31"/>
    <n v="0"/>
    <m/>
    <m/>
    <m/>
    <m/>
  </r>
  <r>
    <x v="1"/>
    <x v="4"/>
    <x v="4"/>
    <x v="16"/>
    <x v="16"/>
    <x v="49"/>
    <s v="Promoure la certificació de qualitat del cel nocturn"/>
    <s v="Específic"/>
    <s v="Optatiu"/>
    <x v="49"/>
    <m/>
    <x v="0"/>
    <m/>
    <m/>
    <m/>
    <m/>
    <m/>
    <m/>
    <m/>
    <m/>
    <m/>
    <m/>
    <m/>
    <x v="0"/>
    <m/>
    <x v="32"/>
    <n v="0"/>
    <m/>
    <m/>
    <m/>
    <m/>
  </r>
  <r>
    <x v="1"/>
    <x v="4"/>
    <x v="4"/>
    <x v="16"/>
    <x v="16"/>
    <x v="50"/>
    <s v="Promoure la certificació de zones d'especial protecció de la qualitat acústica"/>
    <s v="Específic"/>
    <s v="Optatiu"/>
    <x v="50"/>
    <s v="En segona fase, després cel nocturn"/>
    <x v="1"/>
    <s v="MITJANA"/>
    <m/>
    <s v="ESNATURA"/>
    <m/>
    <m/>
    <m/>
    <m/>
    <m/>
    <m/>
    <m/>
    <m/>
    <x v="0"/>
    <m/>
    <x v="6"/>
    <m/>
    <m/>
    <m/>
    <m/>
    <m/>
  </r>
  <r>
    <x v="2"/>
    <x v="5"/>
    <x v="5"/>
    <x v="17"/>
    <x v="17"/>
    <x v="51"/>
    <s v="Identificar i prioritzar els elements clau i d'interès per la gestió de la biodiversitat i geodiversitat de Catalunya es troben dins l'ENP (especies amenaçades, espècies exòtiques invasores,.. )"/>
    <s v="Comú"/>
    <s v="Obligatori"/>
    <x v="51"/>
    <s v="Ortografia"/>
    <x v="0"/>
    <s v="MÀXIMA"/>
    <s v="_x000a_*Participació en la definició dels objectes de conservació clau (hàbitats, espècies, processos i elements d’interès geològic) comuns a nivell de Xarxa d'ENP o clúster territorial"/>
    <s v="Directriva Habitats_x000a_Carta emplaçament_x000a_ESNATURA_x000a_Catàlegs"/>
    <s v="UIC/SFF/SPEN: Definir criteris d'identificació d'elements interès._x000a_UIC/SFF/SPEN: Definició dels objectes de conservació clau comuns a nivell de Xarxa d'ENP o clúster territorial"/>
    <m/>
    <m/>
    <m/>
    <m/>
    <m/>
    <m/>
    <m/>
    <x v="0"/>
    <m/>
    <x v="33"/>
    <n v="7356.8"/>
    <m/>
    <m/>
    <m/>
    <m/>
  </r>
  <r>
    <x v="2"/>
    <x v="5"/>
    <x v="5"/>
    <x v="17"/>
    <x v="17"/>
    <x v="51"/>
    <s v="Identificar i prioritzar els elements clau i d'interès per la gestió de la biodiversitat i geodiversitat de Catalunya es troben dins l'ENP (especies amenaçades, espècies exòtiques invasores,.. )"/>
    <s v="Comú"/>
    <s v="Obligatori"/>
    <x v="51"/>
    <m/>
    <x v="0"/>
    <m/>
    <m/>
    <m/>
    <m/>
    <m/>
    <m/>
    <m/>
    <m/>
    <m/>
    <m/>
    <m/>
    <x v="0"/>
    <m/>
    <x v="34"/>
    <n v="8354.17"/>
    <m/>
    <m/>
    <m/>
    <m/>
  </r>
  <r>
    <x v="2"/>
    <x v="5"/>
    <x v="5"/>
    <x v="17"/>
    <x v="17"/>
    <x v="51"/>
    <s v="Identificar i prioritzar els elements clau i d'interès per la gestió de la biodiversitat i geodiversitat de Catalunya es troben dins l'ENP (especies amenaçades, espècies exòtiques invasores,.. )"/>
    <s v="Comú"/>
    <s v="Obligatori"/>
    <x v="51"/>
    <m/>
    <x v="0"/>
    <m/>
    <m/>
    <m/>
    <m/>
    <m/>
    <m/>
    <m/>
    <m/>
    <m/>
    <m/>
    <m/>
    <x v="0"/>
    <m/>
    <x v="35"/>
    <n v="3025"/>
    <m/>
    <m/>
    <m/>
    <m/>
  </r>
  <r>
    <x v="2"/>
    <x v="5"/>
    <x v="5"/>
    <x v="17"/>
    <x v="17"/>
    <x v="51"/>
    <s v="Identificar i prioritzar els elements clau i d'interès per la gestió de la biodiversitat i geodiversitat de Catalunya es troben dins l'ENP (especies amenaçades, espècies exòtiques invasores,.. )"/>
    <s v="Comú"/>
    <s v="Obligatori"/>
    <x v="51"/>
    <m/>
    <x v="0"/>
    <m/>
    <m/>
    <m/>
    <m/>
    <m/>
    <m/>
    <m/>
    <m/>
    <m/>
    <m/>
    <m/>
    <x v="0"/>
    <m/>
    <x v="36"/>
    <n v="0"/>
    <m/>
    <m/>
    <m/>
    <m/>
  </r>
  <r>
    <x v="2"/>
    <x v="5"/>
    <x v="5"/>
    <x v="17"/>
    <x v="17"/>
    <x v="51"/>
    <s v="Identificar i prioritzar els elements clau i d'interès per la gestió de la biodiversitat i geodiversitat de Catalunya es troben dins l'ENP (especies amenaçades, espècies exòtiques invasores,.. )"/>
    <s v="Comú"/>
    <s v="Obligatori"/>
    <x v="51"/>
    <m/>
    <x v="0"/>
    <m/>
    <m/>
    <m/>
    <m/>
    <m/>
    <m/>
    <m/>
    <m/>
    <m/>
    <m/>
    <m/>
    <x v="0"/>
    <m/>
    <x v="37"/>
    <m/>
    <n v="18000"/>
    <m/>
    <m/>
    <m/>
  </r>
  <r>
    <x v="2"/>
    <x v="5"/>
    <x v="5"/>
    <x v="17"/>
    <x v="17"/>
    <x v="51"/>
    <s v="Identificar i prioritzar els elements clau i d'interès per la gestió de la biodiversitat i geodiversitat de Catalunya es troben dins l'ENP (especies amenaçades, espècies exòtiques invasores,.. )"/>
    <s v="Comú"/>
    <s v="Obligatori"/>
    <x v="51"/>
    <m/>
    <x v="0"/>
    <m/>
    <m/>
    <m/>
    <m/>
    <m/>
    <m/>
    <m/>
    <m/>
    <m/>
    <m/>
    <m/>
    <x v="0"/>
    <m/>
    <x v="38"/>
    <n v="0"/>
    <m/>
    <m/>
    <m/>
    <m/>
  </r>
  <r>
    <x v="2"/>
    <x v="5"/>
    <x v="5"/>
    <x v="17"/>
    <x v="17"/>
    <x v="51"/>
    <s v="Identificar i prioritzar els elements clau i d'interès per la gestió de la biodiversitat i geodiversitat de Catalunya es troben dins l'ENP (especies amenaçades, espècies exòtiques invasores,.. )"/>
    <s v="Comú"/>
    <s v="Obligatori"/>
    <x v="51"/>
    <m/>
    <x v="0"/>
    <m/>
    <m/>
    <m/>
    <m/>
    <m/>
    <m/>
    <m/>
    <m/>
    <m/>
    <m/>
    <m/>
    <x v="0"/>
    <m/>
    <x v="39"/>
    <n v="0"/>
    <m/>
    <m/>
    <m/>
    <m/>
  </r>
  <r>
    <x v="2"/>
    <x v="5"/>
    <x v="5"/>
    <x v="17"/>
    <x v="17"/>
    <x v="52"/>
    <s v="Definir espais fràgils i zones d'especial atenció"/>
    <s v="Comú"/>
    <s v="Obligatori"/>
    <x v="52"/>
    <s v="?"/>
    <x v="0"/>
    <s v="MÀXIMA"/>
    <s v="*Generació d'informació per a l'inventari i cartografia d'espais fràgils_x000a_*Realització o actualització de l'inventari de ZH, espais interès geològic, etc."/>
    <m/>
    <s v="SPEN: Inventari i cartografia d'espais fràgils i zones d'especial atenció"/>
    <m/>
    <m/>
    <m/>
    <m/>
    <m/>
    <m/>
    <m/>
    <x v="1"/>
    <s v="Pla d'acció 2022-2026 de la CETS."/>
    <x v="40"/>
    <m/>
    <m/>
    <m/>
    <m/>
    <m/>
  </r>
  <r>
    <x v="2"/>
    <x v="5"/>
    <x v="5"/>
    <x v="17"/>
    <x v="17"/>
    <x v="52"/>
    <s v="Definir espais fràgils i zones d'especial atenció"/>
    <s v="Comú"/>
    <s v="Obligatori"/>
    <x v="52"/>
    <s v="?"/>
    <x v="0"/>
    <s v="MÀXIMA"/>
    <s v="*Generació d'informació per a l'inventari i cartografia d'espais fràgils_x000a_*Realització o actualització de l'inventari de ZH, espais interès geològic, etc."/>
    <m/>
    <s v="SPEN: Inventari i cartografia d'espais fràgils i zones d'especial atenció"/>
    <m/>
    <m/>
    <m/>
    <m/>
    <m/>
    <m/>
    <m/>
    <x v="1"/>
    <s v="Pla d'acció 2022-2026 de la CETS."/>
    <x v="41"/>
    <n v="0"/>
    <m/>
    <m/>
    <m/>
    <m/>
  </r>
  <r>
    <x v="2"/>
    <x v="5"/>
    <x v="5"/>
    <x v="18"/>
    <x v="18"/>
    <x v="53"/>
    <s v="Participar en l'elaboració de la cartografia que elabora la UIC"/>
    <s v="Comú"/>
    <s v="Obligatori"/>
    <x v="53"/>
    <m/>
    <x v="0"/>
    <s v="ALTA"/>
    <s v="*Participació en la programació de la realització de la cartografia d'hàbitats en el contracte plurienal que existeix amb GeoVeg-UB"/>
    <s v="ESNATURA"/>
    <s v="UIC: Coordinar i contractar l'elaboració de la cartografia"/>
    <m/>
    <m/>
    <m/>
    <m/>
    <m/>
    <m/>
    <m/>
    <x v="0"/>
    <m/>
    <x v="42"/>
    <m/>
    <n v="14000"/>
    <m/>
    <m/>
    <m/>
  </r>
  <r>
    <x v="2"/>
    <x v="5"/>
    <x v="5"/>
    <x v="18"/>
    <x v="18"/>
    <x v="54"/>
    <s v="Conèixer i estudiar els processos naturals propis de l’espai, la seva funcionalitat, i ecologia en referència als ecosistemes"/>
    <s v="Comú"/>
    <s v="Obligatori"/>
    <x v="54"/>
    <m/>
    <x v="0"/>
    <s v="MITJANA"/>
    <s v="*Foment i coordinació dels estudis d'ecologia del foc, el règim hidrològic, la pol·linització, la tipificació i funcionament de les cadenes tròfiques pròpies de l’espai, la dinàmica de la neu i les allaus, dinàmica litoral, dinàmica geomorfològica i morfodinàmica de les roques, etc._x000a_*Millora del coneixement de la geoconservació (escala més detallada de 1:50.000)_x000a_*Implementació del protocol de fluxos d'informació i coneixement de biodiversitat"/>
    <m/>
    <m/>
    <m/>
    <m/>
    <m/>
    <m/>
    <m/>
    <m/>
    <m/>
    <x v="0"/>
    <m/>
    <x v="43"/>
    <n v="11011"/>
    <m/>
    <m/>
    <m/>
    <m/>
  </r>
  <r>
    <x v="2"/>
    <x v="5"/>
    <x v="5"/>
    <x v="18"/>
    <x v="18"/>
    <x v="55"/>
    <s v="Conèixer els usos i factors de canvi rellevants en l'evolució dels elements de conservació, i avaluar els efectes que generen en l’espai (pressions i amenaces)"/>
    <s v="Comú"/>
    <s v="Obligatori"/>
    <x v="55"/>
    <m/>
    <x v="0"/>
    <s v="ALTA"/>
    <s v="*Foment de l'estudi de l'afectació de determinats processos naturals o activitats antròpiques (contaminació, fragmentació d'hàbitats, atropellaments, noves arts de pesca o pràctiques agrícoles de muntanya, etc.) en l’ENP (amenaces i impacte ambiental)._x000a_*Avaluació de l'impacte del canvi climàtic en l'ENP i la seva capacitat d'adaptació i resiliència._x000a_*Avaluació dels resultats de les estratègies de gestió aplicades en l'ENP_x000a_* Línies elèctriques_x000a_*Avaluar freqüentació en xarxa viària, excursionistes, etc._x000a_* Estudis de zones de bany_x000a_*Col.laboració amb l?Observatori per aportar els coneixements generats a l'ENP."/>
    <s v="ESNATURA"/>
    <s v="SENP/UIC: Elaborar la classificació i cartografia de les pressions o factors de canvi sobre el medi natural "/>
    <m/>
    <m/>
    <m/>
    <m/>
    <m/>
    <m/>
    <m/>
    <x v="3"/>
    <s v="Diagnosi dels productors i productores locals del Parc Natural dels Ports. (6.4. Pla d’acció)"/>
    <x v="44"/>
    <m/>
    <m/>
    <m/>
    <m/>
    <m/>
  </r>
  <r>
    <x v="2"/>
    <x v="5"/>
    <x v="5"/>
    <x v="18"/>
    <x v="18"/>
    <x v="56"/>
    <s v="Conèixer l'impacte de les gestió de l'aigua, sobre la biodiversitat."/>
    <s v="Comú"/>
    <s v="Optatiu"/>
    <x v="56"/>
    <s v="Ortografia"/>
    <x v="0"/>
    <s v="MITJANA"/>
    <s v="*Programa de seguiment de l’estat hidrològic de les masses d’aigua_x000a_*Establiment d’una xarxa automatitzada de control (sensors, inventaris, models hidrològics, etc.)."/>
    <m/>
    <m/>
    <m/>
    <m/>
    <m/>
    <m/>
    <m/>
    <m/>
    <m/>
    <x v="0"/>
    <m/>
    <x v="6"/>
    <m/>
    <m/>
    <m/>
    <m/>
    <m/>
  </r>
  <r>
    <x v="2"/>
    <x v="5"/>
    <x v="5"/>
    <x v="18"/>
    <x v="18"/>
    <x v="57"/>
    <s v="Participar en el coneixement de la tendència d'espècies plaga amb afectacions sobre ecosistemes o activitats econòmiques dins l'ENP"/>
    <s v="Comú"/>
    <s v="Optatiu"/>
    <x v="57"/>
    <s v="Es proposa eliminar, no té gaire sentit com a Op"/>
    <x v="1"/>
    <s v="MITJANA"/>
    <s v="*Participació en dels estudis de les autoritats competents"/>
    <m/>
    <m/>
    <m/>
    <m/>
    <m/>
    <m/>
    <m/>
    <m/>
    <m/>
    <x v="0"/>
    <m/>
    <x v="6"/>
    <m/>
    <m/>
    <m/>
    <m/>
    <m/>
  </r>
  <r>
    <x v="2"/>
    <x v="5"/>
    <x v="5"/>
    <x v="18"/>
    <x v="18"/>
    <x v="58"/>
    <s v="Conèixer la tendència d'espècies exòtiques invasores amb afectacions sobre ecosistemes o activitats econòmiques dins l'ENP"/>
    <s v="Comú"/>
    <s v="Obligatori"/>
    <x v="58"/>
    <m/>
    <x v="0"/>
    <s v="ALTA"/>
    <s v="*Realització i foment d'estudis de forma coordinada amb el SFF"/>
    <s v="ESNATURA"/>
    <m/>
    <m/>
    <m/>
    <m/>
    <m/>
    <m/>
    <m/>
    <m/>
    <x v="0"/>
    <m/>
    <x v="6"/>
    <m/>
    <m/>
    <m/>
    <m/>
    <m/>
  </r>
  <r>
    <x v="2"/>
    <x v="5"/>
    <x v="5"/>
    <x v="18"/>
    <x v="18"/>
    <x v="59"/>
    <s v="Coneixer com millorar la connectivitat de forma coordinada amb altres ENP"/>
    <s v="Comú"/>
    <s v="Optatiu"/>
    <x v="59"/>
    <s v="Ortografia"/>
    <x v="0"/>
    <s v="ALTA"/>
    <s v="* Elaboració d'una cartografia detallada i actualitzada de connectors ecològics_x000a_* Trencalòs i voltor negre"/>
    <s v="ESNATURA"/>
    <m/>
    <m/>
    <m/>
    <m/>
    <m/>
    <m/>
    <m/>
    <m/>
    <x v="0"/>
    <m/>
    <x v="6"/>
    <m/>
    <m/>
    <m/>
    <m/>
    <m/>
  </r>
  <r>
    <x v="2"/>
    <x v="5"/>
    <x v="5"/>
    <x v="19"/>
    <x v="19"/>
    <x v="60"/>
    <s v="Participar en la definició del sistema estàndard de seguiment de flora, fauna i hàbitats de la DG"/>
    <s v="Comú"/>
    <s v="Obligatori"/>
    <x v="60"/>
    <m/>
    <x v="0"/>
    <s v="ALTA"/>
    <s v="*Suport a la UIC en la definició dels sistemes de seguiment "/>
    <s v="ESNATURA"/>
    <s v="UIC/SFF/SENP: Crear espais de participació_x000a_UIC/SFF: Definir el sistema estàndard de seguiment i el protocol d'aplicació"/>
    <m/>
    <m/>
    <m/>
    <m/>
    <m/>
    <m/>
    <m/>
    <x v="0"/>
    <m/>
    <x v="6"/>
    <m/>
    <m/>
    <m/>
    <m/>
    <m/>
  </r>
  <r>
    <x v="2"/>
    <x v="5"/>
    <x v="5"/>
    <x v="19"/>
    <x v="19"/>
    <x v="61"/>
    <s v="Adequar i executar el sistema de seguiment periòdic dels grups clau de l'ENP al sistema estàndard de seguiment"/>
    <s v="Comú"/>
    <s v="Obligatori"/>
    <x v="61"/>
    <m/>
    <x v="0"/>
    <s v="ALTA"/>
    <s v="* Seguiment de les directrius del sistema de seguiment establerts segons la versió més recent aportada per la UIC_x000a_*Reforç i estabilització de la xarxa de voluntariat per a determinats seguiments de biodiversitat._x000a_*Contractació plurianual d’especialistes_x000a_*Aplicació del protocol establert de compartir informació per al seguiment global d’indicadors de l’estat de la natura, el seguiment dels pol·linitzadors silvestres, o el seguiment dels pol·linitzadors silvestres "/>
    <s v="ESNATURA"/>
    <s v="UIC/SFF: Definir el sistema estàndard de seguiment i el protocol d'aplicació_x000a_UIC: Elaborar el protocol d'informació i coneixement"/>
    <m/>
    <m/>
    <m/>
    <m/>
    <m/>
    <m/>
    <m/>
    <x v="0"/>
    <m/>
    <x v="45"/>
    <n v="603.61"/>
    <m/>
    <m/>
    <m/>
    <m/>
  </r>
  <r>
    <x v="2"/>
    <x v="5"/>
    <x v="5"/>
    <x v="19"/>
    <x v="19"/>
    <x v="61"/>
    <s v="Adequar i executar el sistema de seguiment periòdic dels grups clau de l'ENP al sistema estàndard de seguiment"/>
    <s v="Comú"/>
    <s v="Obligatori"/>
    <x v="61"/>
    <m/>
    <x v="0"/>
    <m/>
    <m/>
    <m/>
    <m/>
    <m/>
    <m/>
    <m/>
    <m/>
    <m/>
    <m/>
    <m/>
    <x v="0"/>
    <m/>
    <x v="46"/>
    <n v="600"/>
    <m/>
    <m/>
    <m/>
    <m/>
  </r>
  <r>
    <x v="2"/>
    <x v="5"/>
    <x v="5"/>
    <x v="19"/>
    <x v="19"/>
    <x v="61"/>
    <s v="Adequar i executar el sistema de seguiment periòdic dels grups clau de l'ENP al sistema estàndard de seguiment"/>
    <s v="Comú"/>
    <s v="Obligatori"/>
    <x v="61"/>
    <m/>
    <x v="0"/>
    <m/>
    <m/>
    <m/>
    <m/>
    <m/>
    <m/>
    <m/>
    <m/>
    <m/>
    <m/>
    <m/>
    <x v="0"/>
    <m/>
    <x v="47"/>
    <n v="3000"/>
    <m/>
    <m/>
    <m/>
    <m/>
  </r>
  <r>
    <x v="2"/>
    <x v="5"/>
    <x v="5"/>
    <x v="19"/>
    <x v="19"/>
    <x v="61"/>
    <s v="Adequar i executar el sistema de seguiment periòdic dels grups clau de l'ENP al sistema estàndard de seguiment"/>
    <s v="Comú"/>
    <s v="Obligatori"/>
    <x v="61"/>
    <m/>
    <x v="0"/>
    <m/>
    <m/>
    <m/>
    <m/>
    <m/>
    <m/>
    <m/>
    <m/>
    <m/>
    <m/>
    <m/>
    <x v="0"/>
    <m/>
    <x v="48"/>
    <n v="6989.71"/>
    <m/>
    <m/>
    <m/>
    <m/>
  </r>
  <r>
    <x v="2"/>
    <x v="5"/>
    <x v="5"/>
    <x v="19"/>
    <x v="19"/>
    <x v="61"/>
    <s v="Adequar i executar el sistema de seguiment periòdic dels grups clau de l'ENP al sistema estàndard de seguiment"/>
    <s v="Comú"/>
    <s v="Obligatori"/>
    <x v="61"/>
    <m/>
    <x v="0"/>
    <m/>
    <m/>
    <m/>
    <m/>
    <m/>
    <m/>
    <m/>
    <m/>
    <m/>
    <m/>
    <m/>
    <x v="0"/>
    <m/>
    <x v="49"/>
    <n v="3146"/>
    <m/>
    <m/>
    <m/>
    <m/>
  </r>
  <r>
    <x v="2"/>
    <x v="5"/>
    <x v="5"/>
    <x v="19"/>
    <x v="19"/>
    <x v="61"/>
    <s v="Adequar i executar el sistema de seguiment periòdic dels grups clau de l'ENP al sistema estàndard de seguiment"/>
    <s v="Comú"/>
    <s v="Obligatori"/>
    <x v="61"/>
    <m/>
    <x v="0"/>
    <m/>
    <m/>
    <m/>
    <m/>
    <m/>
    <m/>
    <m/>
    <m/>
    <m/>
    <m/>
    <m/>
    <x v="0"/>
    <m/>
    <x v="50"/>
    <n v="7683.5"/>
    <m/>
    <m/>
    <m/>
    <m/>
  </r>
  <r>
    <x v="2"/>
    <x v="5"/>
    <x v="5"/>
    <x v="19"/>
    <x v="19"/>
    <x v="61"/>
    <s v="Adequar i executar el sistema de seguiment periòdic dels grups clau de l'ENP al sistema estàndard de seguiment"/>
    <s v="Comú"/>
    <s v="Obligatori"/>
    <x v="61"/>
    <m/>
    <x v="0"/>
    <m/>
    <m/>
    <m/>
    <m/>
    <m/>
    <m/>
    <m/>
    <m/>
    <m/>
    <m/>
    <m/>
    <x v="0"/>
    <m/>
    <x v="51"/>
    <n v="3500"/>
    <m/>
    <m/>
    <m/>
    <m/>
  </r>
  <r>
    <x v="2"/>
    <x v="5"/>
    <x v="5"/>
    <x v="19"/>
    <x v="19"/>
    <x v="61"/>
    <s v="Adequar i executar el sistema de seguiment periòdic dels grups clau de l'ENP al sistema estàndard de seguiment"/>
    <s v="Comú"/>
    <s v="Obligatori"/>
    <x v="61"/>
    <m/>
    <x v="0"/>
    <m/>
    <m/>
    <m/>
    <m/>
    <m/>
    <m/>
    <m/>
    <m/>
    <m/>
    <m/>
    <m/>
    <x v="0"/>
    <m/>
    <x v="52"/>
    <n v="39"/>
    <m/>
    <m/>
    <m/>
    <m/>
  </r>
  <r>
    <x v="2"/>
    <x v="5"/>
    <x v="5"/>
    <x v="19"/>
    <x v="19"/>
    <x v="61"/>
    <s v="Adequar i executar el sistema de seguiment periòdic dels grups clau de l'ENP al sistema estàndard de seguiment"/>
    <s v="Comú"/>
    <s v="Obligatori"/>
    <x v="61"/>
    <m/>
    <x v="0"/>
    <m/>
    <m/>
    <m/>
    <m/>
    <m/>
    <m/>
    <m/>
    <m/>
    <m/>
    <m/>
    <m/>
    <x v="0"/>
    <m/>
    <x v="53"/>
    <n v="0"/>
    <m/>
    <m/>
    <m/>
    <m/>
  </r>
  <r>
    <x v="2"/>
    <x v="5"/>
    <x v="5"/>
    <x v="19"/>
    <x v="19"/>
    <x v="61"/>
    <s v="Adequar i executar el sistema de seguiment periòdic dels grups clau de l'ENP al sistema estàndard de seguiment"/>
    <s v="Comú"/>
    <s v="Obligatori"/>
    <x v="61"/>
    <m/>
    <x v="0"/>
    <m/>
    <m/>
    <m/>
    <m/>
    <m/>
    <m/>
    <m/>
    <m/>
    <m/>
    <m/>
    <m/>
    <x v="0"/>
    <m/>
    <x v="54"/>
    <n v="0"/>
    <m/>
    <m/>
    <m/>
    <m/>
  </r>
  <r>
    <x v="2"/>
    <x v="5"/>
    <x v="5"/>
    <x v="19"/>
    <x v="19"/>
    <x v="61"/>
    <s v="Adequar i executar el sistema de seguiment periòdic dels grups clau de l'ENP al sistema estàndard de seguiment"/>
    <s v="Comú"/>
    <s v="Obligatori"/>
    <x v="61"/>
    <m/>
    <x v="0"/>
    <m/>
    <m/>
    <m/>
    <m/>
    <m/>
    <m/>
    <m/>
    <m/>
    <m/>
    <m/>
    <m/>
    <x v="0"/>
    <m/>
    <x v="55"/>
    <n v="0"/>
    <m/>
    <m/>
    <m/>
    <m/>
  </r>
  <r>
    <x v="2"/>
    <x v="5"/>
    <x v="5"/>
    <x v="19"/>
    <x v="19"/>
    <x v="61"/>
    <s v="Adequar i executar el sistema de seguiment periòdic dels grups clau de l'ENP al sistema estàndard de seguiment"/>
    <s v="Comú"/>
    <s v="Obligatori"/>
    <x v="61"/>
    <m/>
    <x v="0"/>
    <m/>
    <m/>
    <m/>
    <m/>
    <m/>
    <m/>
    <m/>
    <m/>
    <m/>
    <m/>
    <m/>
    <x v="0"/>
    <m/>
    <x v="56"/>
    <n v="0"/>
    <m/>
    <m/>
    <m/>
    <m/>
  </r>
  <r>
    <x v="2"/>
    <x v="5"/>
    <x v="5"/>
    <x v="19"/>
    <x v="19"/>
    <x v="61"/>
    <s v="Adequar i executar el sistema de seguiment periòdic dels grups clau de l'ENP al sistema estàndard de seguiment"/>
    <s v="Comú"/>
    <s v="Obligatori"/>
    <x v="61"/>
    <m/>
    <x v="0"/>
    <m/>
    <m/>
    <m/>
    <m/>
    <m/>
    <m/>
    <m/>
    <m/>
    <m/>
    <m/>
    <m/>
    <x v="0"/>
    <m/>
    <x v="57"/>
    <n v="0"/>
    <m/>
    <m/>
    <m/>
    <m/>
  </r>
  <r>
    <x v="2"/>
    <x v="5"/>
    <x v="5"/>
    <x v="19"/>
    <x v="19"/>
    <x v="61"/>
    <s v="Adequar i executar el sistema de seguiment periòdic dels grups clau de l'ENP al sistema estàndard de seguiment"/>
    <s v="Comú"/>
    <s v="Obligatori"/>
    <x v="61"/>
    <m/>
    <x v="0"/>
    <m/>
    <m/>
    <m/>
    <m/>
    <m/>
    <m/>
    <m/>
    <m/>
    <m/>
    <m/>
    <m/>
    <x v="0"/>
    <m/>
    <x v="58"/>
    <n v="0"/>
    <m/>
    <m/>
    <m/>
    <m/>
  </r>
  <r>
    <x v="2"/>
    <x v="5"/>
    <x v="5"/>
    <x v="19"/>
    <x v="19"/>
    <x v="61"/>
    <s v="Adequar i executar el sistema de seguiment periòdic dels grups clau de l'ENP al sistema estàndard de seguiment"/>
    <s v="Comú"/>
    <s v="Obligatori"/>
    <x v="61"/>
    <m/>
    <x v="0"/>
    <m/>
    <m/>
    <m/>
    <m/>
    <m/>
    <m/>
    <m/>
    <m/>
    <m/>
    <m/>
    <m/>
    <x v="0"/>
    <m/>
    <x v="59"/>
    <n v="0"/>
    <m/>
    <m/>
    <m/>
    <m/>
  </r>
  <r>
    <x v="2"/>
    <x v="5"/>
    <x v="5"/>
    <x v="19"/>
    <x v="19"/>
    <x v="61"/>
    <s v="Adequar i executar el sistema de seguiment periòdic dels grups clau de l'ENP al sistema estàndard de seguiment"/>
    <s v="Comú"/>
    <s v="Obligatori"/>
    <x v="61"/>
    <m/>
    <x v="0"/>
    <m/>
    <m/>
    <m/>
    <m/>
    <m/>
    <m/>
    <m/>
    <m/>
    <m/>
    <m/>
    <m/>
    <x v="0"/>
    <m/>
    <x v="60"/>
    <n v="0"/>
    <m/>
    <m/>
    <m/>
    <m/>
  </r>
  <r>
    <x v="2"/>
    <x v="5"/>
    <x v="5"/>
    <x v="19"/>
    <x v="19"/>
    <x v="62"/>
    <s v="Mantenir una base de dades de seguiment de patrimoni natural de l'ENP actualitzada i ordenada "/>
    <s v="Comú"/>
    <s v="Obligatori"/>
    <x v="62"/>
    <s v="Pensar si cal tenir-la indivualitzada o integrada al sistema UIC"/>
    <x v="0"/>
    <s v="MITJANA"/>
    <m/>
    <m/>
    <m/>
    <m/>
    <m/>
    <m/>
    <m/>
    <m/>
    <m/>
    <m/>
    <x v="0"/>
    <m/>
    <x v="6"/>
    <m/>
    <m/>
    <m/>
    <m/>
    <m/>
  </r>
  <r>
    <x v="2"/>
    <x v="5"/>
    <x v="5"/>
    <x v="19"/>
    <x v="19"/>
    <x v="63"/>
    <s v="Participar en el grups de treball per a la definició i organització del SINATCAT"/>
    <s v="Comú"/>
    <s v="Obligatori"/>
    <x v="63"/>
    <m/>
    <x v="0"/>
    <s v="MITJANA"/>
    <m/>
    <m/>
    <s v="UIC/SENP: Crear i coordinar una metodologia participativa per a la definició del SINATCAT"/>
    <m/>
    <m/>
    <m/>
    <m/>
    <m/>
    <m/>
    <m/>
    <x v="0"/>
    <m/>
    <x v="6"/>
    <m/>
    <m/>
    <m/>
    <m/>
    <m/>
  </r>
  <r>
    <x v="2"/>
    <x v="5"/>
    <x v="5"/>
    <x v="20"/>
    <x v="20"/>
    <x v="64"/>
    <s v="Crear sinèrgies i col·laborar amb museus i equipaments de referència per definir línies d'actuació conjunta entre patrimoni cultural i natural"/>
    <s v="Comú"/>
    <s v="Optatiu"/>
    <x v="64"/>
    <m/>
    <x v="0"/>
    <s v="MITJANA"/>
    <m/>
    <m/>
    <s v="SENP: Elaborar un mapa d'agents de referència"/>
    <m/>
    <m/>
    <m/>
    <m/>
    <m/>
    <m/>
    <m/>
    <x v="0"/>
    <m/>
    <x v="6"/>
    <m/>
    <m/>
    <m/>
    <m/>
    <m/>
  </r>
  <r>
    <x v="2"/>
    <x v="5"/>
    <x v="5"/>
    <x v="20"/>
    <x v="20"/>
    <x v="65"/>
    <s v="Establir acords amb les institucions de recerca i naturalistes per al desenvolupament d'estudis i inventaris dins l'ENP en el marc de les seves línies de recerca"/>
    <s v="Comú"/>
    <s v="Optatiu"/>
    <x v="65"/>
    <s v="Incloure contractes, estudiants en pràctiques"/>
    <x v="0"/>
    <s v="MITJANA"/>
    <m/>
    <m/>
    <s v="SENP: Elaborar un mapa d'agents de referècia"/>
    <m/>
    <m/>
    <m/>
    <m/>
    <m/>
    <m/>
    <m/>
    <x v="0"/>
    <m/>
    <x v="6"/>
    <m/>
    <m/>
    <m/>
    <m/>
    <m/>
  </r>
  <r>
    <x v="2"/>
    <x v="5"/>
    <x v="5"/>
    <x v="20"/>
    <x v="20"/>
    <x v="66"/>
    <s v="Potenciar la ciència ciutadana en l’ENP com a eina per generar coneixement "/>
    <s v="Comú"/>
    <s v="Optatiu"/>
    <x v="66"/>
    <m/>
    <x v="0"/>
    <s v="MITJANA"/>
    <s v="*Vinculació amb projectes de ciència ciutana existents per generar dades en l'ENP"/>
    <m/>
    <m/>
    <m/>
    <m/>
    <m/>
    <m/>
    <m/>
    <m/>
    <m/>
    <x v="0"/>
    <m/>
    <x v="6"/>
    <m/>
    <m/>
    <m/>
    <m/>
    <m/>
  </r>
  <r>
    <x v="2"/>
    <x v="5"/>
    <x v="5"/>
    <x v="20"/>
    <x v="20"/>
    <x v="67"/>
    <s v="Crear i desenvolupar jornades de recerca de l'ENP de forma anual on els diferents centres mostrin els estudis realizats en l'ENP "/>
    <s v="Comú"/>
    <s v="Optatiu"/>
    <x v="67"/>
    <s v="Canviar anual per periòdica"/>
    <x v="0"/>
    <s v="MITJANA"/>
    <m/>
    <m/>
    <s v="SENP: Suport en l'organització de les jornades"/>
    <m/>
    <m/>
    <m/>
    <m/>
    <m/>
    <m/>
    <m/>
    <x v="0"/>
    <m/>
    <x v="61"/>
    <n v="8500"/>
    <m/>
    <m/>
    <m/>
    <m/>
  </r>
  <r>
    <x v="2"/>
    <x v="5"/>
    <x v="5"/>
    <x v="20"/>
    <x v="20"/>
    <x v="68"/>
    <s v="Posar a disposició de la recerca, equipaments i serveis de l'ENP"/>
    <s v="Comú"/>
    <s v="Optatiu"/>
    <x v="68"/>
    <m/>
    <x v="0"/>
    <s v="MITJANA"/>
    <m/>
    <s v="ESNATURA"/>
    <m/>
    <m/>
    <m/>
    <m/>
    <m/>
    <m/>
    <m/>
    <m/>
    <x v="0"/>
    <m/>
    <x v="62"/>
    <n v="1000"/>
    <m/>
    <m/>
    <m/>
    <m/>
  </r>
  <r>
    <x v="2"/>
    <x v="5"/>
    <x v="5"/>
    <x v="20"/>
    <x v="20"/>
    <x v="69"/>
    <s v="Crear l'Observatori de recerca de l'ENP vinculat a l'Observatori del Patrimoni natural i la biodiversitat "/>
    <s v="Comú"/>
    <s v="Optatiu"/>
    <x v="69"/>
    <m/>
    <x v="1"/>
    <s v="MITJANA"/>
    <s v="*Impuls de la creació de l'Observatori de recerca de l'ENP en col·laboració amb la UIC"/>
    <m/>
    <s v="UIC: Suport en la creació de l'Observatori de reserca"/>
    <m/>
    <m/>
    <m/>
    <m/>
    <m/>
    <m/>
    <m/>
    <x v="0"/>
    <m/>
    <x v="6"/>
    <m/>
    <m/>
    <m/>
    <m/>
    <m/>
  </r>
  <r>
    <x v="2"/>
    <x v="5"/>
    <x v="5"/>
    <x v="21"/>
    <x v="21"/>
    <x v="70"/>
    <s v="Participar en la definició del sistema estándard de seguiment de l'ús públic amb el SENP"/>
    <s v="Comú"/>
    <s v="Obligatori"/>
    <x v="70"/>
    <m/>
    <x v="0"/>
    <s v="MITJANA"/>
    <m/>
    <m/>
    <s v="SENP: Crear espais de participació. Definició del sistema estándard de seguiment de l'ús públic"/>
    <m/>
    <m/>
    <m/>
    <m/>
    <m/>
    <m/>
    <m/>
    <x v="0"/>
    <m/>
    <x v="6"/>
    <m/>
    <m/>
    <m/>
    <m/>
    <m/>
  </r>
  <r>
    <x v="2"/>
    <x v="5"/>
    <x v="5"/>
    <x v="21"/>
    <x v="21"/>
    <x v="71"/>
    <s v="Disposar de dades de freqüentació i perfil d'usuari en l'ENP i en especial en equipaments i en zones d'alta freqüentació segons el model de DG "/>
    <s v="Comú"/>
    <s v="Obligatori"/>
    <x v="71"/>
    <m/>
    <x v="0"/>
    <s v="MÀXIMA"/>
    <s v="*Implementació del sistema estandaritzat de presa de dades i seguiment de la freqüentació en ENP del SENP_x000a_*Establiment de models de freqüentació que serveixin per gestionar l'ús públic en l'ENP conjuntament amb la UIC"/>
    <m/>
    <s v="SENP: Disseny i elaboració del sistema estandaritzat de presa de dades i seguiment de la freqüentació en ENP"/>
    <m/>
    <m/>
    <m/>
    <m/>
    <m/>
    <m/>
    <m/>
    <x v="0"/>
    <m/>
    <x v="63"/>
    <n v="1312.85"/>
    <m/>
    <m/>
    <m/>
    <m/>
  </r>
  <r>
    <x v="2"/>
    <x v="5"/>
    <x v="5"/>
    <x v="21"/>
    <x v="21"/>
    <x v="71"/>
    <s v="Disposar de dades de freqüentació i perfil d'usuari en l'ENP i en especial en equipaments i en zones d'alta freqüentació segons el model de DG "/>
    <s v="Comú"/>
    <s v="Obligatori"/>
    <x v="71"/>
    <m/>
    <x v="0"/>
    <s v="MÀXIMA"/>
    <s v="*Implementació del sistema estandaritzat de presa de dades i seguiment de la freqüentació en ENP del SENP_x000a_*Establiment de models de freqüentació que serveixin per gestionar l'ús públic en l'ENP conjuntament amb la UIC"/>
    <m/>
    <s v="SENP: Disseny i elaboració del sistema estandaritzat de presa de dades i seguiment de la freqüentació en ENP"/>
    <m/>
    <m/>
    <m/>
    <m/>
    <m/>
    <m/>
    <m/>
    <x v="0"/>
    <m/>
    <x v="64"/>
    <n v="15000"/>
    <m/>
    <m/>
    <m/>
    <m/>
  </r>
  <r>
    <x v="2"/>
    <x v="5"/>
    <x v="5"/>
    <x v="21"/>
    <x v="21"/>
    <x v="71"/>
    <s v="Disposar de dades de freqüentació i perfil d'usuari en l'ENP i en especial en equipaments i en zones d'alta freqüentació segons el model de DG "/>
    <s v="Comú"/>
    <s v="Obligatori"/>
    <x v="71"/>
    <m/>
    <x v="0"/>
    <s v="MÀXIMA"/>
    <s v="*Implementació del sistema estandaritzat de presa de dades i seguiment de la freqüentació en ENP del SENP_x000a_*Establiment de models de freqüentació que serveixin per gestionar l'ús públic en l'ENP conjuntament amb la UIC"/>
    <m/>
    <s v="SENP: Disseny i elaboració del sistema estandaritzat de presa de dades i seguiment de la freqüentació en ENP"/>
    <m/>
    <m/>
    <m/>
    <m/>
    <m/>
    <m/>
    <m/>
    <x v="1"/>
    <s v="Pla d'acció 2022-2026 de la CETS."/>
    <x v="65"/>
    <m/>
    <m/>
    <m/>
    <m/>
    <m/>
  </r>
  <r>
    <x v="2"/>
    <x v="5"/>
    <x v="5"/>
    <x v="21"/>
    <x v="21"/>
    <x v="71"/>
    <s v="Disposar de dades de freqüentació i perfil d'usuari en l'ENP i en especial en equipaments i en zones d'alta freqüentació segons el model de DG "/>
    <s v="Comú"/>
    <s v="Obligatori"/>
    <x v="71"/>
    <m/>
    <x v="0"/>
    <s v="MÀXIMA"/>
    <s v="*Implementació del sistema estandaritzat de presa de dades i seguiment de la freqüentació en ENP del SENP_x000a_*Establiment de models de freqüentació que serveixin per gestionar l'ús públic en l'ENP conjuntament amb la UIC"/>
    <m/>
    <s v="SENP: Disseny i elaboració del sistema estandaritzat de presa de dades i seguiment de la freqüentació en ENP"/>
    <m/>
    <m/>
    <m/>
    <m/>
    <m/>
    <m/>
    <m/>
    <x v="1"/>
    <s v="Pla d'acció 2022-2026 de la CETS."/>
    <x v="66"/>
    <m/>
    <m/>
    <m/>
    <m/>
    <m/>
  </r>
  <r>
    <x v="2"/>
    <x v="5"/>
    <x v="5"/>
    <x v="21"/>
    <x v="21"/>
    <x v="72"/>
    <s v="Identificar les activitats i actors de l’espai."/>
    <s v="Comú"/>
    <s v="Obligatori"/>
    <x v="72"/>
    <s v="Es proposa eliminar per solapament amb l'Op 06.05.05"/>
    <x v="1"/>
    <s v="MITJANA"/>
    <m/>
    <m/>
    <m/>
    <m/>
    <m/>
    <m/>
    <m/>
    <m/>
    <m/>
    <m/>
    <x v="0"/>
    <m/>
    <x v="6"/>
    <m/>
    <m/>
    <m/>
    <m/>
    <m/>
  </r>
  <r>
    <x v="2"/>
    <x v="5"/>
    <x v="5"/>
    <x v="21"/>
    <x v="21"/>
    <x v="73"/>
    <s v="Identificar en cartografia les males praxis i punts de massificació"/>
    <m/>
    <m/>
    <x v="73"/>
    <s v="Es proposa eliminar per solapament amb l'Op 06.05.05"/>
    <x v="1"/>
    <s v="MITJANA"/>
    <m/>
    <m/>
    <m/>
    <m/>
    <m/>
    <m/>
    <m/>
    <m/>
    <m/>
    <m/>
    <x v="0"/>
    <m/>
    <x v="6"/>
    <m/>
    <m/>
    <m/>
    <m/>
    <m/>
  </r>
  <r>
    <x v="2"/>
    <x v="5"/>
    <x v="5"/>
    <x v="21"/>
    <x v="21"/>
    <x v="74"/>
    <s v="Adaptar i mantenir un registre d'activitats, actors i inciències en ús públic (curses, conflictes, queixes, etc)"/>
    <s v="Comú"/>
    <s v="Obligatori"/>
    <x v="74"/>
    <m/>
    <x v="0"/>
    <s v="MITJANA"/>
    <m/>
    <m/>
    <s v="UIC: Disseny d'un model de registre d'activitats, actors i inciències en ús públic"/>
    <m/>
    <m/>
    <m/>
    <m/>
    <m/>
    <m/>
    <m/>
    <x v="0"/>
    <m/>
    <x v="6"/>
    <m/>
    <m/>
    <m/>
    <m/>
    <m/>
  </r>
  <r>
    <x v="2"/>
    <x v="5"/>
    <x v="5"/>
    <x v="21"/>
    <x v="21"/>
    <x v="75"/>
    <s v="Identificar els impactes (positius i negatius) que generen les activitats d'ús públic dins l'ENP"/>
    <s v="Comú"/>
    <s v="Obligatori"/>
    <x v="75"/>
    <m/>
    <x v="0"/>
    <s v="ALTA"/>
    <m/>
    <s v="ESNATURA"/>
    <m/>
    <m/>
    <m/>
    <m/>
    <m/>
    <m/>
    <m/>
    <m/>
    <x v="0"/>
    <m/>
    <x v="6"/>
    <m/>
    <m/>
    <m/>
    <m/>
    <m/>
  </r>
  <r>
    <x v="3"/>
    <x v="6"/>
    <x v="6"/>
    <x v="22"/>
    <x v="22"/>
    <x v="76"/>
    <s v="Promoure i col·laborar en l'aplicació de Plans de Desenvolupament Local Sostenible "/>
    <s v="Comú"/>
    <s v="Obligatori "/>
    <x v="76"/>
    <s v="No aplica"/>
    <x v="1"/>
    <s v="MITJANA"/>
    <m/>
    <m/>
    <m/>
    <m/>
    <m/>
    <m/>
    <m/>
    <m/>
    <m/>
    <m/>
    <x v="0"/>
    <m/>
    <x v="6"/>
    <m/>
    <m/>
    <m/>
    <m/>
    <m/>
  </r>
  <r>
    <x v="3"/>
    <x v="7"/>
    <x v="7"/>
    <x v="23"/>
    <x v="23"/>
    <x v="77"/>
    <s v="Acompanyar i assessorar els productors agraris per millorar les tècniques productives agràries i afavorir la conservació dels hàbitats i paisatges "/>
    <s v="Comú"/>
    <s v="Obligatori "/>
    <x v="77"/>
    <s v="Es proposa eliminar per solapament amb l'Op següent"/>
    <x v="1"/>
    <s v="MITJANA"/>
    <s v="*Manual tècnic de bones pràctiques en ramaderia extensiva i recuperació i manteniment de pastures en espais naturals protegits_x000a_*Programa de suport tècnic a sector agrari_x000a_*Promoció i assessorament sobre l'adhesió als distintius de qualitat ambiental existents"/>
    <m/>
    <m/>
    <m/>
    <m/>
    <m/>
    <m/>
    <m/>
    <m/>
    <m/>
    <x v="0"/>
    <m/>
    <x v="6"/>
    <m/>
    <m/>
    <m/>
    <m/>
    <m/>
  </r>
  <r>
    <x v="3"/>
    <x v="7"/>
    <x v="7"/>
    <x v="23"/>
    <x v="23"/>
    <x v="78"/>
    <s v="Oferir formació als productors agraris per millorar el seu coneixement sobre tècniques eficients i respectuoses amb la conservació del patrimoni natural i cultural "/>
    <s v="Comú"/>
    <s v="Obligatori "/>
    <x v="78"/>
    <s v="S'afegeixen ramaders i forestals"/>
    <x v="0"/>
    <s v="MITJANA"/>
    <s v="*Programa de formació a sector primari"/>
    <m/>
    <m/>
    <m/>
    <m/>
    <m/>
    <m/>
    <m/>
    <m/>
    <m/>
    <x v="0"/>
    <m/>
    <x v="6"/>
    <m/>
    <m/>
    <m/>
    <m/>
    <m/>
  </r>
  <r>
    <x v="3"/>
    <x v="7"/>
    <x v="7"/>
    <x v="23"/>
    <x v="23"/>
    <x v="78"/>
    <s v="Oferir formació als productors agraris per millorar el seu coneixement sobre tècniques eficients i respectuoses amb la conservació del patrimoni natural i cultural "/>
    <s v="Comú"/>
    <s v="Obligatori "/>
    <x v="78"/>
    <s v="S'afegeixen ramaders i forestals"/>
    <x v="0"/>
    <s v="MITJANA"/>
    <s v="*Programa de formació a sector primari"/>
    <m/>
    <m/>
    <m/>
    <m/>
    <m/>
    <m/>
    <m/>
    <m/>
    <m/>
    <x v="3"/>
    <s v="Diagnosi dels productors i productores locals del Parc Natural dels Ports. (6.4. Pla d’acció)"/>
    <x v="67"/>
    <m/>
    <m/>
    <m/>
    <m/>
    <m/>
  </r>
  <r>
    <x v="3"/>
    <x v="7"/>
    <x v="7"/>
    <x v="23"/>
    <x v="23"/>
    <x v="78"/>
    <s v="Oferir formació als productors agraris per millorar el seu coneixement sobre tècniques eficients i respectuoses amb la conservació del patrimoni natural i cultural "/>
    <s v="Comú"/>
    <s v="Obligatori "/>
    <x v="78"/>
    <s v="S'afegeixen ramaders i forestals"/>
    <x v="0"/>
    <s v="MITJANA"/>
    <s v="*Programa de formació a sector primari"/>
    <m/>
    <m/>
    <m/>
    <m/>
    <m/>
    <m/>
    <m/>
    <m/>
    <m/>
    <x v="3"/>
    <s v="Diagnosi dels productors i productores locals del Parc Natural dels Ports. (6.4. Pla d’acció)"/>
    <x v="68"/>
    <m/>
    <m/>
    <m/>
    <m/>
    <m/>
  </r>
  <r>
    <x v="3"/>
    <x v="7"/>
    <x v="7"/>
    <x v="23"/>
    <x v="23"/>
    <x v="78"/>
    <s v="Oferir formació als productors agraris per millorar el seu coneixement sobre tècniques eficients i respectuoses amb la conservació del patrimoni natural i cultural "/>
    <s v="Comú"/>
    <s v="Obligatori "/>
    <x v="78"/>
    <s v="S'afegeixen ramaders i forestals"/>
    <x v="0"/>
    <s v="MITJANA"/>
    <s v="*Programa de formació a sector primari"/>
    <m/>
    <m/>
    <m/>
    <m/>
    <m/>
    <m/>
    <m/>
    <m/>
    <m/>
    <x v="3"/>
    <s v="Diagnosi dels productors i productores locals del Parc Natural dels Ports. (6.4. Pla d’acció)"/>
    <x v="69"/>
    <m/>
    <m/>
    <m/>
    <m/>
    <m/>
  </r>
  <r>
    <x v="3"/>
    <x v="7"/>
    <x v="7"/>
    <x v="23"/>
    <x v="23"/>
    <x v="78"/>
    <s v="Oferir formació als productors agraris per millorar el seu coneixement sobre tècniques eficients i respectuoses amb la conservació del patrimoni natural i cultural "/>
    <s v="Comú"/>
    <s v="Obligatori "/>
    <x v="78"/>
    <s v="S'afegeixen ramaders i forestals"/>
    <x v="0"/>
    <s v="MITJANA"/>
    <s v="*Programa de formació a sector primari"/>
    <m/>
    <m/>
    <m/>
    <m/>
    <m/>
    <m/>
    <m/>
    <m/>
    <m/>
    <x v="3"/>
    <s v="Diagnosi dels productors i productores locals del Parc Natural dels Ports. (6.4. Pla d’acció)"/>
    <x v="70"/>
    <m/>
    <m/>
    <m/>
    <m/>
    <m/>
  </r>
  <r>
    <x v="3"/>
    <x v="7"/>
    <x v="7"/>
    <x v="23"/>
    <x v="23"/>
    <x v="78"/>
    <s v="Oferir formació als productors agraris per millorar el seu coneixement sobre tècniques eficients i respectuoses amb la conservació del patrimoni natural i cultural "/>
    <s v="Comú"/>
    <s v="Obligatori "/>
    <x v="78"/>
    <s v="S'afegeixen ramaders i forestals"/>
    <x v="0"/>
    <s v="MITJANA"/>
    <s v="*Programa de formació a sector primari"/>
    <m/>
    <m/>
    <m/>
    <m/>
    <m/>
    <m/>
    <m/>
    <m/>
    <m/>
    <x v="3"/>
    <s v="Diagnosi dels productors i productores locals del Parc Natural dels Ports. (6.4. Pla d’acció)"/>
    <x v="71"/>
    <m/>
    <m/>
    <m/>
    <m/>
    <m/>
  </r>
  <r>
    <x v="3"/>
    <x v="7"/>
    <x v="7"/>
    <x v="23"/>
    <x v="23"/>
    <x v="78"/>
    <s v="Oferir formació als productors agraris per millorar el seu coneixement sobre tècniques eficients i respectuoses amb la conservació del patrimoni natural i cultural "/>
    <s v="Comú"/>
    <s v="Obligatori "/>
    <x v="78"/>
    <s v="S'afegeixen ramaders i forestals"/>
    <x v="0"/>
    <s v="MITJANA"/>
    <s v="*Programa de formació a sector primari"/>
    <m/>
    <m/>
    <m/>
    <m/>
    <m/>
    <m/>
    <m/>
    <m/>
    <m/>
    <x v="3"/>
    <s v="Diagnosi dels productors i productores locals del Parc Natural dels Ports. (6.4. Pla d’acció)"/>
    <x v="72"/>
    <m/>
    <m/>
    <m/>
    <m/>
    <m/>
  </r>
  <r>
    <x v="3"/>
    <x v="7"/>
    <x v="7"/>
    <x v="23"/>
    <x v="23"/>
    <x v="79"/>
    <s v="Promoure la recuperació i conservació de marges i punts d'aigua associats a la ramaderia i l'agricultura i d'interès per la biodiversitat"/>
    <s v="Específic"/>
    <s v="Optatiu"/>
    <x v="79"/>
    <s v="Incloure la recuperació"/>
    <x v="0"/>
    <s v="MITJANA"/>
    <m/>
    <m/>
    <m/>
    <m/>
    <m/>
    <m/>
    <m/>
    <m/>
    <m/>
    <m/>
    <x v="0"/>
    <m/>
    <x v="6"/>
    <m/>
    <m/>
    <m/>
    <m/>
    <m/>
  </r>
  <r>
    <x v="3"/>
    <x v="7"/>
    <x v="7"/>
    <x v="24"/>
    <x v="24"/>
    <x v="80"/>
    <s v="Establir una relació contínua amb agents socioeconòmics del territori, i si s'escau, crear una Taula de desenvolupament local"/>
    <m/>
    <m/>
    <x v="80"/>
    <s v="Inclòs a la CETS"/>
    <x v="1"/>
    <s v="ALTA"/>
    <s v="*Elaboració i actualització periòdica del mapa d’agents socioeconòmics de l’ENP (sector primari i secundari)_x000a_*Establiment de canals de comunicació i coordinació amb els agents socioeconòmics clau del territori._x000a_*Estudi de la idoneïtat de crear una Taula de desenvolupament local, en els ENP que encara no ho tinguin (per ENP o agrupacions d’ENP)._x000a_*Convocar les taules de desenvolupament local ja constituïdes de cada ENP (o agrupacions d’ENP)._x000a_*Promoció i enfortiment de la participació dels agents clau a les taules de desenvolupament local ja constituïdes._x000a_*Participació en la definició i desplegament dels plans de treball de la taula de desenvolupament local. "/>
    <s v="ESNATURA"/>
    <m/>
    <m/>
    <m/>
    <m/>
    <m/>
    <m/>
    <m/>
    <m/>
    <x v="0"/>
    <m/>
    <x v="6"/>
    <m/>
    <m/>
    <m/>
    <m/>
    <m/>
  </r>
  <r>
    <x v="3"/>
    <x v="7"/>
    <x v="7"/>
    <x v="25"/>
    <x v="25"/>
    <x v="81"/>
    <s v="Implantar un distintiu de qualitat i compatibilitat amb la conservació dels productes de la Xarxa d'ENP o criteris de qualitat propis de l'ENP"/>
    <s v="Comú"/>
    <s v="Optatiu"/>
    <x v="81"/>
    <m/>
    <x v="0"/>
    <s v="MITJANA"/>
    <s v="*Generació d'un segell comú per a tota la xarxa de Parcs (responsabilitat de SENP)_x000a_*Establiment de criteris propis de l'ENP per poder facilitar identificació de productes de qualitat i respectuosos"/>
    <s v="ESNATURA"/>
    <s v="SENP: Crear una marca que identifiqui els productes agroalimentaris generats en els ENP"/>
    <m/>
    <m/>
    <m/>
    <m/>
    <m/>
    <m/>
    <m/>
    <x v="3"/>
    <s v="Diagnosi dels productors i productores locals del Parc Natural dels Ports. (6.4. Pla d’acció)"/>
    <x v="73"/>
    <m/>
    <m/>
    <m/>
    <m/>
    <m/>
  </r>
  <r>
    <x v="3"/>
    <x v="7"/>
    <x v="7"/>
    <x v="25"/>
    <x v="25"/>
    <x v="81"/>
    <s v="Implantar un distintiu de qualitat i compatibilitat amb la conservació dels productes de la Xarxa d'ENP o criteris de qualitat propis de l'ENP"/>
    <s v="Comú"/>
    <s v="Optatiu"/>
    <x v="81"/>
    <m/>
    <x v="0"/>
    <s v="MITJANA"/>
    <s v="*Generació d'un segell comú per a tota la xarxa de Parcs (responsabilitat de SENP)_x000a_*Establiment de criteris propis de l'ENP per poder facilitar identificació de productes de qualitat i respectuosos"/>
    <s v="ESNATURA"/>
    <s v="SENP: Crear una marca que identifiqui els productes agroalimentaris generats en els ENP"/>
    <m/>
    <m/>
    <m/>
    <m/>
    <m/>
    <m/>
    <m/>
    <x v="3"/>
    <s v="Diagnosi dels productors i productores locals del Parc Natural dels Ports. (6.4. Pla d’acció)"/>
    <x v="74"/>
    <m/>
    <m/>
    <m/>
    <m/>
    <m/>
  </r>
  <r>
    <x v="3"/>
    <x v="7"/>
    <x v="7"/>
    <x v="25"/>
    <x v="25"/>
    <x v="82"/>
    <s v="Integrar els productes i activitats locals de qualitat en l'oferta d'activitats d'informació i turístiques de l'ENP"/>
    <s v="Comú"/>
    <s v="Obligatori"/>
    <x v="82"/>
    <m/>
    <x v="0"/>
    <s v="MITJANA"/>
    <s v="*Elaboració d'un catàleg de productors i artesans de l'ENP _x000a_*Inclusió de visites a productors o artesans en el catàleg d'activitats de l'ENP"/>
    <s v="ESNATURA_x000a_CETS"/>
    <m/>
    <m/>
    <m/>
    <m/>
    <m/>
    <m/>
    <m/>
    <m/>
    <x v="2"/>
    <s v="Pla d'acció per al foment de l'artesania del Parc Natural dels Ports (2023-2027)"/>
    <x v="75"/>
    <m/>
    <m/>
    <m/>
    <m/>
    <m/>
  </r>
  <r>
    <x v="3"/>
    <x v="7"/>
    <x v="7"/>
    <x v="25"/>
    <x v="25"/>
    <x v="82"/>
    <s v="Integrar els productes i activitats locals de qualitat en l'oferta d'activitats d'informació i turístiques de l'ENP"/>
    <s v="Comú"/>
    <s v="Obligatori"/>
    <x v="82"/>
    <m/>
    <x v="0"/>
    <s v="MITJANA"/>
    <s v="*Elaboració d'un catàleg de productors i artesans de l'ENP _x000a_*Inclusió de visites a productors o artesans en el catàleg d'activitats de l'ENP"/>
    <s v="ESNATURA_x000a_CETS"/>
    <m/>
    <m/>
    <m/>
    <m/>
    <m/>
    <m/>
    <m/>
    <m/>
    <x v="2"/>
    <s v="Pla d'acció per al foment de l'artesania del Parc Natural dels Ports (2023-2027)"/>
    <x v="76"/>
    <m/>
    <m/>
    <m/>
    <m/>
    <m/>
  </r>
  <r>
    <x v="3"/>
    <x v="7"/>
    <x v="7"/>
    <x v="25"/>
    <x v="25"/>
    <x v="82"/>
    <s v="Integrar els productes i activitats locals de qualitat en l'oferta d'activitats d'informació i turístiques de l'ENP"/>
    <s v="Comú"/>
    <s v="Obligatori"/>
    <x v="82"/>
    <m/>
    <x v="0"/>
    <s v="MITJANA"/>
    <s v="*Elaboració d'un catàleg de productors i artesans de l'ENP _x000a_*Inclusió de visites a productors o artesans en el catàleg d'activitats de l'ENP"/>
    <s v="ESNATURA_x000a_CETS"/>
    <m/>
    <m/>
    <m/>
    <m/>
    <m/>
    <m/>
    <m/>
    <m/>
    <x v="3"/>
    <s v="Diagnosi dels productors i productores locals del Parc Natural dels Ports. (6.4. Pla d’acció)"/>
    <x v="77"/>
    <m/>
    <m/>
    <m/>
    <m/>
    <m/>
  </r>
  <r>
    <x v="3"/>
    <x v="7"/>
    <x v="7"/>
    <x v="25"/>
    <x v="25"/>
    <x v="82"/>
    <s v="Integrar els productes i activitats locals de qualitat en l'oferta d'activitats d'informació i turístiques de l'ENP"/>
    <s v="Comú"/>
    <s v="Obligatori"/>
    <x v="82"/>
    <m/>
    <x v="0"/>
    <s v="MITJANA"/>
    <m/>
    <m/>
    <m/>
    <m/>
    <m/>
    <m/>
    <m/>
    <m/>
    <m/>
    <m/>
    <x v="3"/>
    <s v="Diagnosi dels productors i productores locals del Parc Natural dels Ports. (6.4. Pla d’acció)"/>
    <x v="78"/>
    <m/>
    <m/>
    <m/>
    <m/>
    <m/>
  </r>
  <r>
    <x v="3"/>
    <x v="7"/>
    <x v="7"/>
    <x v="25"/>
    <x v="25"/>
    <x v="82"/>
    <s v="Integrar els productes i activitats locals de qualitat en l'oferta d'activitats d'informació i turístiques de l'ENP"/>
    <s v="Comú"/>
    <s v="Obligatori"/>
    <x v="82"/>
    <m/>
    <x v="0"/>
    <s v="MITJANA"/>
    <m/>
    <m/>
    <m/>
    <m/>
    <m/>
    <m/>
    <m/>
    <m/>
    <m/>
    <m/>
    <x v="3"/>
    <s v="Diagnosi dels productors i productores locals del Parc Natural dels Ports. (6.4. Pla d’acció)"/>
    <x v="79"/>
    <m/>
    <m/>
    <m/>
    <m/>
    <m/>
  </r>
  <r>
    <x v="3"/>
    <x v="7"/>
    <x v="7"/>
    <x v="25"/>
    <x v="25"/>
    <x v="82"/>
    <s v="Integrar els productes i activitats locals de qualitat en l'oferta d'activitats d'informació i turístiques de l'ENP"/>
    <s v="Comú"/>
    <s v="Obligatori"/>
    <x v="82"/>
    <m/>
    <x v="0"/>
    <s v="MITJANA"/>
    <m/>
    <m/>
    <m/>
    <m/>
    <m/>
    <m/>
    <m/>
    <m/>
    <m/>
    <m/>
    <x v="3"/>
    <s v="Diagnosi dels productors i productores locals del Parc Natural dels Ports. (6.4. Pla d’acció)"/>
    <x v="80"/>
    <m/>
    <m/>
    <m/>
    <m/>
    <m/>
  </r>
  <r>
    <x v="3"/>
    <x v="7"/>
    <x v="7"/>
    <x v="25"/>
    <x v="25"/>
    <x v="82"/>
    <s v="Integrar els productes i activitats locals de qualitat en l'oferta d'activitats d'informació i turístiques de l'ENP"/>
    <s v="Comú"/>
    <s v="Obligatori"/>
    <x v="82"/>
    <m/>
    <x v="0"/>
    <s v="MITJANA"/>
    <m/>
    <m/>
    <m/>
    <m/>
    <m/>
    <m/>
    <m/>
    <m/>
    <m/>
    <m/>
    <x v="3"/>
    <s v="Diagnosi dels productors i productores locals del Parc Natural dels Ports. (6.4. Pla d’acció)"/>
    <x v="81"/>
    <m/>
    <m/>
    <m/>
    <m/>
    <m/>
  </r>
  <r>
    <x v="3"/>
    <x v="7"/>
    <x v="7"/>
    <x v="25"/>
    <x v="25"/>
    <x v="82"/>
    <s v="Integrar els productes i activitats locals de qualitat en l'oferta d'activitats d'informació i turístiques de l'ENP"/>
    <s v="Comú"/>
    <s v="Obligatori"/>
    <x v="82"/>
    <m/>
    <x v="0"/>
    <s v="MITJANA"/>
    <m/>
    <m/>
    <m/>
    <m/>
    <m/>
    <m/>
    <m/>
    <m/>
    <m/>
    <m/>
    <x v="3"/>
    <s v="Diagnosi dels productors i productores locals del Parc Natural dels Ports. (6.4. Pla d’acció)"/>
    <x v="82"/>
    <m/>
    <m/>
    <m/>
    <m/>
    <m/>
  </r>
  <r>
    <x v="3"/>
    <x v="7"/>
    <x v="7"/>
    <x v="25"/>
    <x v="25"/>
    <x v="83"/>
    <s v="Promoure fires d'artesania i productes locals de l'ENP"/>
    <s v="Comú"/>
    <s v="Optatiu"/>
    <x v="83"/>
    <s v="Inclòs al Pla d'acció 2022-2026 de la CETS (A.4.1.2)"/>
    <x v="0"/>
    <s v="BAIXA"/>
    <m/>
    <m/>
    <m/>
    <m/>
    <m/>
    <m/>
    <m/>
    <m/>
    <m/>
    <m/>
    <x v="1"/>
    <s v="Pla d'acció 2022-2026 de la CETS."/>
    <x v="83"/>
    <m/>
    <m/>
    <m/>
    <m/>
    <m/>
  </r>
  <r>
    <x v="3"/>
    <x v="7"/>
    <x v="7"/>
    <x v="25"/>
    <x v="25"/>
    <x v="83"/>
    <s v="Promoure fires d'artesania i productes locals de l'ENP"/>
    <s v="Comú"/>
    <s v="Optatiu"/>
    <x v="83"/>
    <m/>
    <x v="0"/>
    <s v="BAIXA"/>
    <m/>
    <m/>
    <m/>
    <m/>
    <m/>
    <m/>
    <m/>
    <m/>
    <m/>
    <m/>
    <x v="2"/>
    <s v="Pla d'acció per al foment de l'artesania del Parc Natural dels Ports (2023-2027)"/>
    <x v="84"/>
    <n v="18000"/>
    <m/>
    <m/>
    <m/>
    <m/>
  </r>
  <r>
    <x v="3"/>
    <x v="7"/>
    <x v="7"/>
    <x v="25"/>
    <x v="25"/>
    <x v="83"/>
    <s v="Promoure fires d'artesania i productes locals de l'ENP"/>
    <s v="Comú"/>
    <s v="Optatiu"/>
    <x v="83"/>
    <m/>
    <x v="0"/>
    <s v="BAIXA"/>
    <m/>
    <m/>
    <m/>
    <m/>
    <m/>
    <m/>
    <m/>
    <m/>
    <m/>
    <m/>
    <x v="2"/>
    <s v="Pla d'acció per al foment de l'artesania del Parc Natural dels Ports (2023-2027)"/>
    <x v="85"/>
    <n v="9300"/>
    <m/>
    <m/>
    <m/>
    <m/>
  </r>
  <r>
    <x v="3"/>
    <x v="7"/>
    <x v="7"/>
    <x v="25"/>
    <x v="25"/>
    <x v="83"/>
    <s v="Promoure fires d'artesania i productes locals de l'ENP"/>
    <s v="Comú"/>
    <s v="Optatiu"/>
    <x v="83"/>
    <m/>
    <x v="0"/>
    <s v="BAIXA"/>
    <m/>
    <m/>
    <m/>
    <m/>
    <m/>
    <m/>
    <m/>
    <m/>
    <m/>
    <m/>
    <x v="3"/>
    <s v="Diagnosi dels productors i productores locals del Parc Natural dels Ports. (6.4. Pla d’acció)"/>
    <x v="86"/>
    <m/>
    <m/>
    <m/>
    <m/>
    <m/>
  </r>
  <r>
    <x v="3"/>
    <x v="7"/>
    <x v="7"/>
    <x v="25"/>
    <x v="25"/>
    <x v="83"/>
    <s v="Promoure fires d'artesania i productes locals de l'ENP"/>
    <s v="Comú"/>
    <s v="Optatiu"/>
    <x v="83"/>
    <m/>
    <x v="0"/>
    <s v="BAIXA"/>
    <m/>
    <m/>
    <m/>
    <m/>
    <m/>
    <m/>
    <m/>
    <m/>
    <m/>
    <m/>
    <x v="3"/>
    <s v="Diagnosi dels productors i productores locals del Parc Natural dels Ports. (6.4. Pla d’acció)"/>
    <x v="87"/>
    <m/>
    <m/>
    <m/>
    <m/>
    <m/>
  </r>
  <r>
    <x v="3"/>
    <x v="7"/>
    <x v="7"/>
    <x v="25"/>
    <x v="25"/>
    <x v="83"/>
    <s v="Promoure fires d'artesania i productes locals de l'ENP"/>
    <s v="Comú"/>
    <s v="Optatiu"/>
    <x v="83"/>
    <m/>
    <x v="0"/>
    <s v="BAIXA"/>
    <m/>
    <m/>
    <m/>
    <m/>
    <m/>
    <m/>
    <m/>
    <m/>
    <m/>
    <m/>
    <x v="3"/>
    <s v="Diagnosi dels productors i productores locals del Parc Natural dels Ports. (6.4. Pla d’acció)"/>
    <x v="88"/>
    <m/>
    <m/>
    <m/>
    <m/>
    <m/>
  </r>
  <r>
    <x v="3"/>
    <x v="7"/>
    <x v="7"/>
    <x v="25"/>
    <x v="25"/>
    <x v="84"/>
    <s v="Generar aliances entre el sector primari, el turisme, la restauració i altres per fomentar la gastronomia local "/>
    <s v="Comú"/>
    <s v="Optatiu"/>
    <x v="84"/>
    <s v="Inclòs al Pla d'acció 2022-2026 de la CETS (A.4.1.1)"/>
    <x v="0"/>
    <s v="MITJANA"/>
    <s v="*Creació i coordinació de jornades d'intercanvi_x000a_*Creació d'espais de treball comú_x000a_*Foment del treball per tenir infraestructura comuna (obrador comunitari)"/>
    <s v="ESNATURA_x000a_CETS"/>
    <m/>
    <m/>
    <m/>
    <m/>
    <m/>
    <m/>
    <m/>
    <m/>
    <x v="1"/>
    <s v="Pla d'acció 2022-2026 de la CETS."/>
    <x v="89"/>
    <m/>
    <m/>
    <m/>
    <m/>
    <m/>
  </r>
  <r>
    <x v="3"/>
    <x v="7"/>
    <x v="7"/>
    <x v="25"/>
    <x v="25"/>
    <x v="84"/>
    <s v="Generar aliances entre el sector primari, el turisme, la restauració i altres per fomentar la gastronomia local "/>
    <s v="Comú"/>
    <s v="Optatiu"/>
    <x v="84"/>
    <m/>
    <x v="0"/>
    <s v="MITJANA"/>
    <s v="*Creació i coordinació de jornades d'intercanvi_x000a_*Creació d'espais de treball comú_x000a_*Foment del treball per tenir infraestructura comuna (obrador comunitari)"/>
    <s v="ESNATURA_x000a_CETS"/>
    <m/>
    <m/>
    <m/>
    <m/>
    <m/>
    <m/>
    <m/>
    <m/>
    <x v="3"/>
    <s v="Diagnosi dels productors i productores locals del Parc Natural dels Ports. (6.4. Pla d’acció)"/>
    <x v="90"/>
    <m/>
    <m/>
    <m/>
    <m/>
    <m/>
  </r>
  <r>
    <x v="3"/>
    <x v="7"/>
    <x v="7"/>
    <x v="25"/>
    <x v="25"/>
    <x v="84"/>
    <s v="Generar aliances entre el sector primari, el turisme, la restauració i altres per fomentar la gastronomia local "/>
    <s v="Comú"/>
    <s v="Optatiu"/>
    <x v="84"/>
    <m/>
    <x v="0"/>
    <s v="MITJANA"/>
    <s v="*Creació i coordinació de jornades d'intercanvi_x000a_*Creació d'espais de treball comú_x000a_*Foment del treball per tenir infraestructura comuna (obrador comunitari)"/>
    <s v="ESNATURA_x000a_CETS"/>
    <m/>
    <m/>
    <m/>
    <m/>
    <m/>
    <m/>
    <m/>
    <m/>
    <x v="3"/>
    <s v="Diagnosi dels productors i productores locals del Parc Natural dels Ports. (6.4. Pla d’acció)"/>
    <x v="91"/>
    <m/>
    <m/>
    <m/>
    <m/>
    <m/>
  </r>
  <r>
    <x v="3"/>
    <x v="7"/>
    <x v="7"/>
    <x v="25"/>
    <x v="25"/>
    <x v="85"/>
    <s v="Elaborar una diagnòsi del teixit productiu local i un pla d’acció amb línies de treball i actuacions concretes per donar-li suport"/>
    <s v="Comú"/>
    <s v="Optatiu"/>
    <x v="85"/>
    <s v="Inclòs al Pla d'acció de la Diagnosi dels productors i productores locals del PNP (ja executada)"/>
    <x v="0"/>
    <s v="MITJANA"/>
    <s v="*Divulgació i comunicació, formació i assessorament tècnic, comercialització, treball en xarxa, suport a la gestió de l’activitat"/>
    <s v="ESNATURA"/>
    <m/>
    <m/>
    <m/>
    <m/>
    <m/>
    <m/>
    <m/>
    <m/>
    <x v="1"/>
    <s v="Pla d'acció 2022-2026 de la CETS."/>
    <x v="92"/>
    <m/>
    <m/>
    <m/>
    <m/>
    <m/>
  </r>
  <r>
    <x v="3"/>
    <x v="7"/>
    <x v="7"/>
    <x v="25"/>
    <x v="25"/>
    <x v="86"/>
    <s v="Elaborar una guia per promocionar els agents del territori que potencien i difonen els productes alimentaris locals i de qualitat (allotjaments, restaurants, cellers, establiments, elaboradors i productors)"/>
    <s v="Comú"/>
    <s v="Optatiu"/>
    <x v="86"/>
    <s v="Incloure artesans"/>
    <x v="0"/>
    <s v="BAIXA"/>
    <s v="*Projecte Parcs a taula"/>
    <m/>
    <m/>
    <m/>
    <m/>
    <m/>
    <m/>
    <m/>
    <m/>
    <m/>
    <x v="3"/>
    <s v="Diagnosi dels productors i productores locals del Parc Natural dels Ports. (6.4. Pla d’acció)"/>
    <x v="93"/>
    <n v="16000"/>
    <m/>
    <m/>
    <m/>
    <m/>
  </r>
  <r>
    <x v="3"/>
    <x v="7"/>
    <x v="7"/>
    <x v="25"/>
    <x v="25"/>
    <x v="86"/>
    <s v="Elaborar una guia per promocionar els agents del territori que potencien i difonen els productes alimentaris locals i de qualitat (allotjaments, restaurants, cellers, establiments, elaboradors i productors)"/>
    <s v="Comú"/>
    <s v="Optatiu"/>
    <x v="86"/>
    <s v="Incloure artesans"/>
    <x v="0"/>
    <s v="BAIXA"/>
    <s v="*Projecte Parcs a taula"/>
    <m/>
    <m/>
    <m/>
    <m/>
    <m/>
    <m/>
    <m/>
    <m/>
    <m/>
    <x v="3"/>
    <s v="Diagnosi dels productors i productores locals del Parc Natural dels Ports. (6.4. Pla d’acció)"/>
    <x v="94"/>
    <n v="2000"/>
    <m/>
    <m/>
    <m/>
    <m/>
  </r>
  <r>
    <x v="3"/>
    <x v="7"/>
    <x v="7"/>
    <x v="25"/>
    <x v="25"/>
    <x v="86"/>
    <s v="Elaborar una guia per promocionar els agents del territori que potencien i difonen els productes alimentaris locals i de qualitat (allotjaments, restaurants, cellers, establiments, elaboradors i productors)"/>
    <s v="Comú"/>
    <s v="Optatiu"/>
    <x v="86"/>
    <s v="Incloure artesans"/>
    <x v="0"/>
    <s v="BAIXA"/>
    <s v="Productors/ARTESAN"/>
    <s v="Diagnosi dels productors i productores locals del Parc Natural dels Ports. (6.4. Pla d’acció)"/>
    <s v="1.1.1. Elaborar un Directori dels productors/es i artesans/es del Parc Natural dels Ports // 1.1.2. Crear un apartat específic sobre la producció local i artesana del Parc Natural al web oficial del Parc //..."/>
    <m/>
    <m/>
    <m/>
    <m/>
    <m/>
    <m/>
    <m/>
    <x v="2"/>
    <s v="Pla d'acció per al foment de l'artesania del Parc Natural dels Ports (2023-2027)"/>
    <x v="95"/>
    <n v="9873.84"/>
    <m/>
    <m/>
    <m/>
    <m/>
  </r>
  <r>
    <x v="3"/>
    <x v="7"/>
    <x v="7"/>
    <x v="25"/>
    <x v="25"/>
    <x v="87"/>
    <m/>
    <m/>
    <m/>
    <x v="87"/>
    <s v="NOU. Inclous Ops 08.03.1, 08.3.5, 08.3.6 i 08.4.3"/>
    <x v="0"/>
    <m/>
    <m/>
    <m/>
    <m/>
    <m/>
    <m/>
    <m/>
    <m/>
    <m/>
    <m/>
    <m/>
    <x v="2"/>
    <s v="Pla d'acció per al foment de l'artesania del Parc Natural dels Ports (2023-2027)"/>
    <x v="96"/>
    <n v="2613.6"/>
    <m/>
    <m/>
    <m/>
    <m/>
  </r>
  <r>
    <x v="3"/>
    <x v="7"/>
    <x v="7"/>
    <x v="25"/>
    <x v="25"/>
    <x v="87"/>
    <m/>
    <m/>
    <m/>
    <x v="87"/>
    <s v="NOU. Inclous Ops 08.03.1, 08.3.5, 08.3.6 i 08.4.3"/>
    <x v="0"/>
    <m/>
    <m/>
    <m/>
    <m/>
    <m/>
    <m/>
    <m/>
    <m/>
    <m/>
    <m/>
    <m/>
    <x v="2"/>
    <s v="Pla d'acció per al foment de l'artesania del Parc Natural dels Ports (2023-2027)"/>
    <x v="97"/>
    <m/>
    <m/>
    <m/>
    <m/>
    <m/>
  </r>
  <r>
    <x v="3"/>
    <x v="7"/>
    <x v="7"/>
    <x v="25"/>
    <x v="25"/>
    <x v="87"/>
    <m/>
    <m/>
    <m/>
    <x v="88"/>
    <s v="NOU"/>
    <x v="0"/>
    <m/>
    <m/>
    <m/>
    <m/>
    <m/>
    <m/>
    <m/>
    <m/>
    <m/>
    <m/>
    <m/>
    <x v="3"/>
    <s v="Diagnosi dels productors i productores locals del Parc Natural dels Ports. (6.4. Pla d’acció)"/>
    <x v="98"/>
    <m/>
    <m/>
    <m/>
    <m/>
    <m/>
  </r>
  <r>
    <x v="3"/>
    <x v="7"/>
    <x v="7"/>
    <x v="25"/>
    <x v="25"/>
    <x v="87"/>
    <m/>
    <m/>
    <m/>
    <x v="88"/>
    <s v="NOU"/>
    <x v="0"/>
    <m/>
    <m/>
    <m/>
    <m/>
    <m/>
    <m/>
    <m/>
    <m/>
    <m/>
    <m/>
    <m/>
    <x v="3"/>
    <s v="Diagnosi dels productors i productores locals del Parc Natural dels Ports. (6.4. Pla d’acció)"/>
    <x v="99"/>
    <m/>
    <m/>
    <m/>
    <m/>
    <m/>
  </r>
  <r>
    <x v="3"/>
    <x v="7"/>
    <x v="7"/>
    <x v="25"/>
    <x v="25"/>
    <x v="87"/>
    <m/>
    <m/>
    <m/>
    <x v="88"/>
    <m/>
    <x v="0"/>
    <m/>
    <m/>
    <m/>
    <m/>
    <m/>
    <m/>
    <m/>
    <m/>
    <m/>
    <m/>
    <m/>
    <x v="3"/>
    <s v="Diagnosi dels productors i productores locals del Parc Natural dels Ports. (6.4. Pla d’acció)"/>
    <x v="100"/>
    <n v="4000"/>
    <m/>
    <m/>
    <m/>
    <m/>
  </r>
  <r>
    <x v="3"/>
    <x v="7"/>
    <x v="7"/>
    <x v="26"/>
    <x v="26"/>
    <x v="88"/>
    <s v="Treballar amb l'autoritat competent per garantir objectius de conservació d’espècies i hàbitats en la revisió dels Plans de Gestió Cinegètica"/>
    <s v="Comú"/>
    <s v="Obligatori"/>
    <x v="89"/>
    <s v="Millora del redactat"/>
    <x v="0"/>
    <s v="MITJANA"/>
    <s v="*Foment d'acords amb les Societats de Caçadors per a incorporar objectius de conservació d’espècies i hàbitats en la revisió dels Plans de Gestió Cinegètica_x000a_*Informes i acords DGs"/>
    <s v="MAP"/>
    <m/>
    <m/>
    <m/>
    <m/>
    <m/>
    <m/>
    <m/>
    <m/>
    <x v="0"/>
    <m/>
    <x v="6"/>
    <m/>
    <m/>
    <m/>
    <m/>
    <m/>
  </r>
  <r>
    <x v="3"/>
    <x v="7"/>
    <x v="7"/>
    <x v="26"/>
    <x v="26"/>
    <x v="89"/>
    <s v="Col·laborar en la regulació i ordenació de la caça i la pesca en zones sensibles o amb risc d'afectació d'elements clau objecte de conservació"/>
    <s v="Comú"/>
    <s v="Obligatori"/>
    <x v="90"/>
    <s v="Es proposa eliminar per solapament amb l'Op anterior"/>
    <x v="1"/>
    <s v="ALTA"/>
    <s v="*Impuls a la declaració de refugis de caça i pesca_x000a_*Foment de la implicació dels caçadors i pescadors del territori en la conservació dels valors de l'espai"/>
    <s v="MAP"/>
    <m/>
    <m/>
    <m/>
    <m/>
    <m/>
    <m/>
    <m/>
    <m/>
    <x v="0"/>
    <m/>
    <x v="6"/>
    <m/>
    <m/>
    <m/>
    <m/>
    <m/>
  </r>
  <r>
    <x v="3"/>
    <x v="7"/>
    <x v="7"/>
    <x v="26"/>
    <x v="26"/>
    <x v="90"/>
    <s v="Donar suport en la gestió de poblacions que generen danys a les activitats econòmiques de l'ENP"/>
    <s v="Comú"/>
    <s v="Obligatori"/>
    <x v="91"/>
    <m/>
    <x v="0"/>
    <s v="MITJANA"/>
    <s v="*Gestió directa d'ungulats (protecció de conreus, cooperació amb carreteres, etc.) a partir d'un procediment d’aplicació del control d'ungulats _x000a_*Acords amb caçadors de la APC_x000a_*Foment d’actuacions per prevenció de col·lisions amb vehicles d'acord amb titulars de les carreteres_x000a_*Informes tuberculosi"/>
    <m/>
    <m/>
    <m/>
    <m/>
    <m/>
    <m/>
    <m/>
    <m/>
    <m/>
    <x v="0"/>
    <m/>
    <x v="6"/>
    <m/>
    <m/>
    <m/>
    <m/>
    <m/>
  </r>
  <r>
    <x v="3"/>
    <x v="8"/>
    <x v="8"/>
    <x v="27"/>
    <x v="27"/>
    <x v="91"/>
    <s v="Desplegar la Carta Europea de Turisme Sostenible (CETS)"/>
    <s v="Comú"/>
    <s v="Optatiu"/>
    <x v="92"/>
    <s v="Inclou Ops. 04.4.1, 04.4.3, 08.3.2, 08.3.3, 08.3.4, 09.2.1, 09.2.2, 11.1.2, 11.1.7, 11.1.12, 11.4.2, 13.3.3, 13.8.1"/>
    <x v="0"/>
    <s v="MÀXIMA"/>
    <m/>
    <s v="ESNATURA"/>
    <m/>
    <m/>
    <m/>
    <m/>
    <m/>
    <m/>
    <m/>
    <m/>
    <x v="1"/>
    <s v="Pla d'acció 2022-2026 de la CETS."/>
    <x v="101"/>
    <n v="0"/>
    <m/>
    <m/>
    <m/>
    <m/>
  </r>
  <r>
    <x v="3"/>
    <x v="8"/>
    <x v="8"/>
    <x v="27"/>
    <x v="27"/>
    <x v="91"/>
    <s v="Desplegar la Carta Europea de Turisme Sostenible (CETS)"/>
    <s v="Comú"/>
    <s v="Optatiu"/>
    <x v="92"/>
    <s v="Inclou Ops. 04.4.1, 04.4.3, 08.3.2, 08.3.3, 08.3.4, 09.2.1, 09.2.2, 11.1.2, 11.1.7, 11.1.12, 11.4.2, 13.3.3, 13.8.1"/>
    <x v="0"/>
    <s v="MÀXIMA"/>
    <m/>
    <s v="ESNATURA"/>
    <m/>
    <m/>
    <m/>
    <m/>
    <m/>
    <m/>
    <m/>
    <m/>
    <x v="1"/>
    <s v="Pla d'acció 2022-2026 de la CETS."/>
    <x v="102"/>
    <n v="0"/>
    <m/>
    <m/>
    <m/>
    <m/>
  </r>
  <r>
    <x v="3"/>
    <x v="8"/>
    <x v="8"/>
    <x v="27"/>
    <x v="27"/>
    <x v="91"/>
    <s v="Desplegar la Carta Europea de Turisme Sostenible (CETS)"/>
    <s v="Comú"/>
    <s v="Optatiu"/>
    <x v="92"/>
    <s v="Inclou Ops. 04.4.1, 04.4.3, 08.3.2, 08.3.3, 08.3.4, 09.2.1, 09.2.2, 11.1.2, 11.1.7, 11.1.12, 11.4.2, 13.3.3, 13.8.1"/>
    <x v="0"/>
    <s v="MÀXIMA"/>
    <m/>
    <s v="ESNATURA"/>
    <m/>
    <m/>
    <m/>
    <m/>
    <m/>
    <m/>
    <m/>
    <m/>
    <x v="1"/>
    <s v="Pla d'acció 2022-2026 de la CETS."/>
    <x v="103"/>
    <n v="17400"/>
    <m/>
    <m/>
    <m/>
    <m/>
  </r>
  <r>
    <x v="3"/>
    <x v="8"/>
    <x v="8"/>
    <x v="27"/>
    <x v="27"/>
    <x v="91"/>
    <s v="Desplegar la Carta Europea de Turisme Sostenible (CETS)"/>
    <s v="Comú"/>
    <s v="Optatiu"/>
    <x v="92"/>
    <s v="Inclou Ops. 04.4.1, 04.4.3, 08.3.2, 08.3.3, 08.3.4, 09.2.1, 09.2.2, 11.1.2, 11.1.7, 11.1.12, 11.4.2, 13.3.3, 13.8.1"/>
    <x v="0"/>
    <s v="MÀXIMA"/>
    <m/>
    <s v="ESNATURA"/>
    <m/>
    <m/>
    <m/>
    <m/>
    <m/>
    <m/>
    <m/>
    <m/>
    <x v="1"/>
    <s v="Pla d'acció 2022-2026 de la CETS."/>
    <x v="104"/>
    <n v="0"/>
    <m/>
    <m/>
    <m/>
    <m/>
  </r>
  <r>
    <x v="3"/>
    <x v="8"/>
    <x v="8"/>
    <x v="27"/>
    <x v="27"/>
    <x v="91"/>
    <s v="Desplegar la Carta Europea de Turisme Sostenible (CETS)"/>
    <s v="Comú"/>
    <s v="Optatiu"/>
    <x v="92"/>
    <s v="Inclou Ops. 04.4.1, 04.4.3, 08.3.2, 08.3.3, 08.3.4, 09.2.1, 09.2.2, 11.1.2, 11.1.7, 11.1.12, 11.4.2, 13.3.3, 13.8.1"/>
    <x v="0"/>
    <s v="MÀXIMA"/>
    <m/>
    <s v="ESNATURA"/>
    <m/>
    <m/>
    <m/>
    <m/>
    <m/>
    <m/>
    <m/>
    <m/>
    <x v="1"/>
    <s v="Pla d'acció 2022-2026 de la CETS."/>
    <x v="105"/>
    <n v="0"/>
    <m/>
    <m/>
    <m/>
    <m/>
  </r>
  <r>
    <x v="3"/>
    <x v="8"/>
    <x v="8"/>
    <x v="27"/>
    <x v="27"/>
    <x v="91"/>
    <s v="Desplegar la Carta Europea de Turisme Sostenible (CETS)"/>
    <s v="Comú"/>
    <s v="Optatiu"/>
    <x v="92"/>
    <s v="Inclou Ops. 04.4.1, 04.4.3, 08.3.2, 08.3.3, 08.3.4, 09.2.1, 09.2.2, 11.1.2, 11.1.7, 11.1.12, 11.4.2, 13.3.3, 13.8.1"/>
    <x v="0"/>
    <s v="MÀXIMA"/>
    <m/>
    <s v="ESNATURA"/>
    <m/>
    <m/>
    <m/>
    <m/>
    <m/>
    <m/>
    <m/>
    <m/>
    <x v="1"/>
    <s v="Pla d'acció 2022-2026 de la CETS."/>
    <x v="106"/>
    <n v="0"/>
    <m/>
    <m/>
    <m/>
    <m/>
  </r>
  <r>
    <x v="3"/>
    <x v="8"/>
    <x v="8"/>
    <x v="27"/>
    <x v="27"/>
    <x v="91"/>
    <s v="Desplegar la Carta Europea de Turisme Sostenible (CETS)"/>
    <s v="Comú"/>
    <s v="Optatiu"/>
    <x v="92"/>
    <s v="Inclou Ops. 04.4.1, 04.4.3, 08.3.2, 08.3.3, 08.3.4, 09.2.1, 09.2.2, 11.1.2, 11.1.7, 11.1.12, 11.4.2, 13.3.3, 13.8.1"/>
    <x v="0"/>
    <s v="MÀXIMA"/>
    <m/>
    <s v="ESNATURA"/>
    <m/>
    <m/>
    <m/>
    <m/>
    <m/>
    <m/>
    <m/>
    <m/>
    <x v="1"/>
    <s v="Pla d'acció 2022-2026 de la CETS."/>
    <x v="107"/>
    <n v="0"/>
    <m/>
    <m/>
    <m/>
    <m/>
  </r>
  <r>
    <x v="3"/>
    <x v="8"/>
    <x v="8"/>
    <x v="27"/>
    <x v="27"/>
    <x v="91"/>
    <s v="Desplegar la Carta Europea de Turisme Sostenible (CETS)"/>
    <s v="Comú"/>
    <s v="Optatiu"/>
    <x v="92"/>
    <s v="Inclou Ops. 04.4.1, 04.4.3, 08.3.2, 08.3.3, 08.3.4, 09.2.1, 09.2.2, 11.1.2, 11.1.7, 11.1.12, 11.4.2, 13.3.3, 13.8.1"/>
    <x v="0"/>
    <s v="MÀXIMA"/>
    <m/>
    <s v="ESNATURA"/>
    <m/>
    <m/>
    <m/>
    <m/>
    <m/>
    <m/>
    <m/>
    <m/>
    <x v="1"/>
    <s v="Pla d'acció 2022-2026 de la CETS."/>
    <x v="108"/>
    <m/>
    <m/>
    <m/>
    <m/>
    <m/>
  </r>
  <r>
    <x v="3"/>
    <x v="8"/>
    <x v="8"/>
    <x v="27"/>
    <x v="27"/>
    <x v="91"/>
    <s v="Desplegar la Carta Europea de Turisme Sostenible (CETS)"/>
    <s v="Comú"/>
    <s v="Optatiu"/>
    <x v="92"/>
    <s v="Inclou Ops. 04.4.1, 04.4.3, 08.3.2, 08.3.3, 08.3.4, 09.2.1, 09.2.2, 11.1.2, 11.1.7, 11.1.12, 11.4.2, 13.3.3, 13.8.1"/>
    <x v="0"/>
    <m/>
    <m/>
    <m/>
    <m/>
    <m/>
    <m/>
    <m/>
    <m/>
    <m/>
    <m/>
    <m/>
    <x v="1"/>
    <s v="Pla d'acció 2022-2026 de la CETS."/>
    <x v="109"/>
    <n v="2500"/>
    <m/>
    <m/>
    <m/>
    <m/>
  </r>
  <r>
    <x v="3"/>
    <x v="8"/>
    <x v="8"/>
    <x v="27"/>
    <x v="27"/>
    <x v="92"/>
    <s v="Tramitar la certificació Biosphere"/>
    <s v="Comú"/>
    <s v="Optatiu"/>
    <x v="93"/>
    <s v="No aplica"/>
    <x v="1"/>
    <s v="MITJANA"/>
    <m/>
    <m/>
    <m/>
    <m/>
    <m/>
    <m/>
    <m/>
    <m/>
    <m/>
    <m/>
    <x v="0"/>
    <m/>
    <x v="6"/>
    <m/>
    <m/>
    <m/>
    <m/>
    <m/>
  </r>
  <r>
    <x v="3"/>
    <x v="8"/>
    <x v="8"/>
    <x v="28"/>
    <x v="28"/>
    <x v="93"/>
    <s v="Treballar amb les empreses turístiques per trobar eines de canvi cap a un model de turisme sostenible i de qualitat "/>
    <s v="Comú"/>
    <s v="Optatiu"/>
    <x v="94"/>
    <s v="Inclòs al Pla d'acció 2022-2026 de la CETS"/>
    <x v="0"/>
    <s v="MITJANA"/>
    <m/>
    <s v="ESNATURA"/>
    <m/>
    <m/>
    <m/>
    <m/>
    <m/>
    <m/>
    <m/>
    <m/>
    <x v="1"/>
    <s v="Pla d'acció 2022-2026 de la CETS."/>
    <x v="110"/>
    <n v="1000"/>
    <m/>
    <m/>
    <m/>
    <m/>
  </r>
  <r>
    <x v="3"/>
    <x v="8"/>
    <x v="8"/>
    <x v="28"/>
    <x v="28"/>
    <x v="94"/>
    <s v="Crear productes i paquets turístics amb associacions d’empreses turístiques i operadors turístics"/>
    <s v="Comú"/>
    <s v="Optatiu"/>
    <x v="95"/>
    <s v="Inclòs al Pla d'acció 2022-2026 de la CETS (A.4.2.6)"/>
    <x v="0"/>
    <s v="MITJANA"/>
    <m/>
    <s v="ESNATURA"/>
    <m/>
    <m/>
    <m/>
    <m/>
    <m/>
    <m/>
    <m/>
    <m/>
    <x v="1"/>
    <s v="Pla d'acció 2022-2026 de la CETS."/>
    <x v="111"/>
    <n v="0"/>
    <m/>
    <m/>
    <m/>
    <m/>
  </r>
  <r>
    <x v="3"/>
    <x v="8"/>
    <x v="8"/>
    <x v="28"/>
    <x v="28"/>
    <x v="94"/>
    <s v="Crear productes i paquets turístics amb associacions d’empreses turístiques i operadors turístics"/>
    <s v="Comú"/>
    <s v="Optatiu"/>
    <x v="95"/>
    <s v="Inclòs al Pla d'acció 2022-2026 de la CETS (A.4.2.6)"/>
    <x v="0"/>
    <s v="MITJANA"/>
    <m/>
    <s v="ESNATURA"/>
    <m/>
    <m/>
    <m/>
    <m/>
    <m/>
    <m/>
    <m/>
    <m/>
    <x v="1"/>
    <s v="Pla d'acció 2022-2026 de la CETS."/>
    <x v="112"/>
    <n v="0"/>
    <m/>
    <m/>
    <m/>
    <m/>
  </r>
  <r>
    <x v="3"/>
    <x v="8"/>
    <x v="8"/>
    <x v="28"/>
    <x v="28"/>
    <x v="94"/>
    <s v="Crear productes i paquets turístics amb associacions d’empreses turístiques i operadors turístics"/>
    <s v="Comú"/>
    <s v="Optatiu"/>
    <x v="95"/>
    <s v="Inclòs al Pla d'acció 2022-2026 de la CETS (A.4.2.6)"/>
    <x v="0"/>
    <s v="MITJANA"/>
    <m/>
    <s v="ESNATURA"/>
    <m/>
    <m/>
    <m/>
    <m/>
    <m/>
    <m/>
    <m/>
    <m/>
    <x v="1"/>
    <s v="Pla d'acció 2022-2026 de la CETS."/>
    <x v="113"/>
    <n v="0"/>
    <m/>
    <m/>
    <m/>
    <m/>
  </r>
  <r>
    <x v="4"/>
    <x v="9"/>
    <x v="9"/>
    <x v="29"/>
    <x v="29"/>
    <x v="95"/>
    <s v="Establir un model de construcció a l'ENP en base al model de Pla de protecció"/>
    <s v="Comú"/>
    <s v="Obligatori"/>
    <x v="96"/>
    <s v="No tenim Pla"/>
    <x v="0"/>
    <s v="ALTA"/>
    <s v="*Regulació de tancats"/>
    <m/>
    <s v="SPEN: Elaborar model"/>
    <m/>
    <m/>
    <m/>
    <m/>
    <m/>
    <m/>
    <m/>
    <x v="0"/>
    <m/>
    <x v="114"/>
    <n v="2143.67"/>
    <m/>
    <m/>
    <m/>
    <m/>
  </r>
  <r>
    <x v="4"/>
    <x v="10"/>
    <x v="10"/>
    <x v="30"/>
    <x v="30"/>
    <x v="96"/>
    <s v="Regular l'acampada i pernoctació  en base al model de Pla de protecció"/>
    <s v="Comú"/>
    <s v="Obligatori"/>
    <x v="97"/>
    <s v="No aplica (no tenim Pla) i regulat pel Decret de creació"/>
    <x v="1"/>
    <s v="ALTA"/>
    <s v="*Adaptació i implementació el protocol de regulació d'acampada i pernoctació  en base al model de Pla de protecció"/>
    <m/>
    <s v="SPEN: Elaborar model"/>
    <m/>
    <m/>
    <m/>
    <m/>
    <m/>
    <m/>
    <m/>
    <x v="0"/>
    <m/>
    <x v="6"/>
    <m/>
    <m/>
    <m/>
    <m/>
    <m/>
  </r>
  <r>
    <x v="4"/>
    <x v="10"/>
    <x v="10"/>
    <x v="30"/>
    <x v="30"/>
    <x v="97"/>
    <s v="Regular la circulació rodada no motoritzada en base al model de Pla de protecció"/>
    <s v="Comú"/>
    <s v="Obligatori"/>
    <x v="98"/>
    <s v="Inclòs al Pla d'acció 2022-2026 de la CETS (A.4.1.4)"/>
    <x v="0"/>
    <s v="MÀXIMA"/>
    <s v="*Adaptació i implementació el protocol de regulació de circulació rodada no motoritzada en base al model de Pla de protecció"/>
    <m/>
    <s v="SPEN: Elaborar model"/>
    <m/>
    <m/>
    <m/>
    <m/>
    <m/>
    <m/>
    <m/>
    <x v="1"/>
    <s v="Pla d'acció 2022-2026 de la CETS."/>
    <x v="115"/>
    <n v="2000"/>
    <m/>
    <m/>
    <m/>
    <m/>
  </r>
  <r>
    <x v="4"/>
    <x v="10"/>
    <x v="10"/>
    <x v="30"/>
    <x v="30"/>
    <x v="98"/>
    <s v="Regular l'escalada i alpinisme, barranquisme, i espeleologia  en base al model de Pla de protecció"/>
    <s v="Específic"/>
    <s v="Obligatori"/>
    <x v="99"/>
    <s v="No aplica (no tenim Pla) i regulat pel Decret de creació i comissions de Junta rectora"/>
    <x v="1"/>
    <s v="MÀXIMA"/>
    <s v="*Adaptació i implementació el protocol de regulació d'escalada i alpinisme, barranquisme, i espeleologia  en base al model de Pla de protecció"/>
    <m/>
    <s v="SPEN: Elaborar model"/>
    <m/>
    <m/>
    <m/>
    <m/>
    <m/>
    <m/>
    <m/>
    <x v="0"/>
    <m/>
    <x v="6"/>
    <m/>
    <m/>
    <m/>
    <m/>
    <m/>
  </r>
  <r>
    <x v="4"/>
    <x v="10"/>
    <x v="10"/>
    <x v="30"/>
    <x v="30"/>
    <x v="99"/>
    <s v="Regular les curses i altres activitats esportives organitzades en base al model de Pla de protecció"/>
    <s v="Comú"/>
    <s v="Obligatori"/>
    <x v="100"/>
    <s v="No aplica (no tenim Pla) i regulat pel Decret de creació i comissions de Junta rectora"/>
    <x v="1"/>
    <s v="MÀXIMA"/>
    <s v="*Adaptació i implementació el protocol de regulació de curses i altres activitats esportives organitzades en base al model de Pla de protecció"/>
    <m/>
    <s v="SPEN: Elaborar model"/>
    <m/>
    <m/>
    <m/>
    <m/>
    <m/>
    <m/>
    <m/>
    <x v="0"/>
    <m/>
    <x v="6"/>
    <m/>
    <m/>
    <m/>
    <m/>
    <m/>
  </r>
  <r>
    <x v="4"/>
    <x v="10"/>
    <x v="10"/>
    <x v="30"/>
    <x v="30"/>
    <x v="100"/>
    <s v="Regular els enregistraments i l'observació de fauna i natura en base al model de Pla de protecció"/>
    <s v="Comú"/>
    <s v="Obligatori"/>
    <x v="101"/>
    <s v="No aplica (no tenim Pla) i regulat pel altres normatives"/>
    <x v="1"/>
    <s v="MITJANA"/>
    <s v="*Adaptació i implementació el protocol de regulació d'enregistraments i observació de fauna i natura  en base al model de Pla de protecció"/>
    <m/>
    <s v="SPEN: Elaborar model"/>
    <m/>
    <m/>
    <m/>
    <m/>
    <m/>
    <m/>
    <m/>
    <x v="0"/>
    <m/>
    <x v="6"/>
    <m/>
    <m/>
    <m/>
    <m/>
    <m/>
  </r>
  <r>
    <x v="4"/>
    <x v="10"/>
    <x v="10"/>
    <x v="30"/>
    <x v="30"/>
    <x v="101"/>
    <s v="Regular les activitats científiques en base al model de Pla de protecció"/>
    <s v="Comú"/>
    <s v="Obligatori"/>
    <x v="102"/>
    <s v="No aplica (no tenim Pla) i regulat pel altres normatives"/>
    <x v="1"/>
    <s v="MITJANA"/>
    <s v="*Adaptació i implementació el protocol de regulació d'activitats científiques en base al model de Pla de protecció"/>
    <m/>
    <s v="SPEN: Elaborar model"/>
    <m/>
    <m/>
    <m/>
    <m/>
    <m/>
    <m/>
    <m/>
    <x v="0"/>
    <m/>
    <x v="6"/>
    <m/>
    <m/>
    <m/>
    <m/>
    <m/>
  </r>
  <r>
    <x v="4"/>
    <x v="10"/>
    <x v="10"/>
    <x v="30"/>
    <x v="30"/>
    <x v="102"/>
    <s v="Regular les zones de bany"/>
    <s v="Específic"/>
    <s v="Obligatori"/>
    <x v="103"/>
    <s v="Inclòs al Pla d'acció 2022-2026 de la CETS (A.1.1.3)"/>
    <x v="0"/>
    <s v="ALTA"/>
    <s v="*Adaptació i implementació el protocol de regulació de zones de bany"/>
    <m/>
    <s v="SPEN: Elaborar model"/>
    <m/>
    <m/>
    <m/>
    <m/>
    <m/>
    <m/>
    <m/>
    <x v="1"/>
    <s v="Pla d'acció 2022-2026 de la CETS."/>
    <x v="116"/>
    <m/>
    <m/>
    <m/>
    <m/>
    <m/>
  </r>
  <r>
    <x v="4"/>
    <x v="10"/>
    <x v="10"/>
    <x v="30"/>
    <x v="30"/>
    <x v="103"/>
    <s v="Regular l'enlairament i aterratge sense motor"/>
    <s v="Específic"/>
    <s v="Obligatori"/>
    <x v="104"/>
    <m/>
    <x v="0"/>
    <s v="MITJANA"/>
    <s v="*Adaptació i implementació el protocol de regulació d'enlairament i aterratge sense motor"/>
    <m/>
    <s v="SPEN: Elaborar model"/>
    <m/>
    <m/>
    <m/>
    <m/>
    <m/>
    <m/>
    <m/>
    <x v="0"/>
    <m/>
    <x v="6"/>
    <m/>
    <m/>
    <m/>
    <m/>
    <m/>
  </r>
  <r>
    <x v="4"/>
    <x v="10"/>
    <x v="10"/>
    <x v="30"/>
    <x v="30"/>
    <x v="104"/>
    <s v="Regular el submarinisme i l'snorkel"/>
    <s v="Específic"/>
    <s v="Obligatori"/>
    <x v="105"/>
    <s v="No aplica"/>
    <x v="1"/>
    <s v="ALTA"/>
    <s v="*Adaptació i implementació el protocol de regulació de submarinisme i snorkel"/>
    <m/>
    <s v="SPEN: Elaborar model"/>
    <m/>
    <m/>
    <m/>
    <m/>
    <m/>
    <m/>
    <m/>
    <x v="0"/>
    <m/>
    <x v="6"/>
    <m/>
    <m/>
    <m/>
    <m/>
    <m/>
  </r>
  <r>
    <x v="4"/>
    <x v="10"/>
    <x v="10"/>
    <x v="30"/>
    <x v="30"/>
    <x v="105"/>
    <s v="Regular les activitats aquàtiques i nàutiques i zones de fondeig"/>
    <s v="Específic"/>
    <s v="Obligatori"/>
    <x v="106"/>
    <s v="No aplica"/>
    <x v="1"/>
    <s v="ALTA"/>
    <s v="*Adaptació i implementació el protocol de regulació d'activitats aquàtiques i nàutiques i zones de fondeig"/>
    <m/>
    <s v="SPEN: Elaborar model"/>
    <m/>
    <m/>
    <m/>
    <m/>
    <m/>
    <m/>
    <m/>
    <x v="0"/>
    <m/>
    <x v="6"/>
    <m/>
    <m/>
    <m/>
    <m/>
    <m/>
  </r>
  <r>
    <x v="4"/>
    <x v="10"/>
    <x v="10"/>
    <x v="30"/>
    <x v="30"/>
    <x v="106"/>
    <s v="Regular la presència d'animals de companyia"/>
    <s v="Comú"/>
    <s v="Obligatori"/>
    <x v="107"/>
    <m/>
    <x v="0"/>
    <s v="ALTA"/>
    <s v="*Adaptació i implementació el protocol de regulació d'animals de companyia"/>
    <m/>
    <s v="SPEN: Elaborar model"/>
    <m/>
    <m/>
    <m/>
    <m/>
    <m/>
    <m/>
    <m/>
    <x v="0"/>
    <m/>
    <x v="6"/>
    <m/>
    <m/>
    <m/>
    <m/>
    <m/>
  </r>
  <r>
    <x v="4"/>
    <x v="10"/>
    <x v="10"/>
    <x v="30"/>
    <x v="30"/>
    <x v="107"/>
    <s v="Regular lels activitats d'educació ambiental i el lleure educatiu"/>
    <s v="Comú"/>
    <s v="Obligatori"/>
    <x v="108"/>
    <s v="Inclòs al Pla d'acció 2022-2026 de la CETS (A.3.1.1)"/>
    <x v="1"/>
    <s v="MITJANA"/>
    <s v="*Adaptació i implementació el protocol de regulació d'educació ambiental i lleure educatiu"/>
    <m/>
    <s v="SPEN: Elaborar model"/>
    <m/>
    <m/>
    <m/>
    <m/>
    <m/>
    <m/>
    <m/>
    <x v="0"/>
    <m/>
    <x v="6"/>
    <m/>
    <m/>
    <m/>
    <m/>
    <m/>
  </r>
  <r>
    <x v="4"/>
    <x v="10"/>
    <x v="10"/>
    <x v="30"/>
    <x v="30"/>
    <x v="108"/>
    <m/>
    <m/>
    <m/>
    <x v="109"/>
    <s v="*Nou. Aplega tots els Ops anteriors i s'ajusta més a la realitat actual de l'ENP"/>
    <x v="0"/>
    <m/>
    <m/>
    <m/>
    <m/>
    <m/>
    <m/>
    <m/>
    <m/>
    <m/>
    <m/>
    <m/>
    <x v="1"/>
    <s v="Pla d'acció 2022-2026 de la CETS."/>
    <x v="117"/>
    <m/>
    <m/>
    <m/>
    <m/>
    <m/>
  </r>
  <r>
    <x v="4"/>
    <x v="10"/>
    <x v="10"/>
    <x v="30"/>
    <x v="30"/>
    <x v="108"/>
    <m/>
    <m/>
    <m/>
    <x v="110"/>
    <s v="*Nou"/>
    <x v="2"/>
    <m/>
    <m/>
    <m/>
    <m/>
    <m/>
    <m/>
    <m/>
    <m/>
    <m/>
    <m/>
    <m/>
    <x v="1"/>
    <s v="Pla d'acció 2022-2026 de la CETS."/>
    <x v="118"/>
    <n v="0"/>
    <m/>
    <m/>
    <m/>
    <m/>
  </r>
  <r>
    <x v="4"/>
    <x v="10"/>
    <x v="10"/>
    <x v="31"/>
    <x v="31"/>
    <x v="109"/>
    <s v="Identificar i classificar la xarxa viària bàsica, secundària, senders i itineraris senyalitzats d'acord amb els ajuntaments "/>
    <s v="Comú"/>
    <s v="Obligatori"/>
    <x v="111"/>
    <s v="Aplicar durant la redacció Pla de protecció"/>
    <x v="1"/>
    <s v="MITJANA"/>
    <s v="*Definició d'una xarxa d'itineraris oficial i categoritzada per tipus d'ús per on es poden realitzar activitats (curses a peu, en bicicleta, etc.) d'acord amb els criteris de serveis centrals"/>
    <m/>
    <s v="Persones i natura: concretar criteris"/>
    <m/>
    <m/>
    <m/>
    <m/>
    <m/>
    <m/>
    <m/>
    <x v="0"/>
    <m/>
    <x v="6"/>
    <m/>
    <m/>
    <m/>
    <m/>
    <m/>
  </r>
  <r>
    <x v="4"/>
    <x v="10"/>
    <x v="10"/>
    <x v="31"/>
    <x v="31"/>
    <x v="110"/>
    <s v="Treballar conjuntament amb els principals canals d’informació de rutes  per prioritzar itineraris oficials dins l’ENP"/>
    <s v="Comú"/>
    <s v="Obligatori"/>
    <x v="112"/>
    <s v="Millora de redactat, no és competència exclussiva nostra"/>
    <x v="0"/>
    <s v="ALTA"/>
    <s v="*Incorporació de les tecnologies de Wikiloc o Google Maps"/>
    <m/>
    <s v="Persones i natura: Coordinació"/>
    <m/>
    <m/>
    <m/>
    <m/>
    <m/>
    <m/>
    <m/>
    <x v="0"/>
    <m/>
    <x v="6"/>
    <m/>
    <m/>
    <m/>
    <m/>
    <m/>
  </r>
  <r>
    <x v="4"/>
    <x v="10"/>
    <x v="10"/>
    <x v="32"/>
    <x v="32"/>
    <x v="111"/>
    <s v="Regular l'accés i la circulació"/>
    <s v="Comú"/>
    <s v="Obligatori"/>
    <x v="113"/>
    <s v="S'ajusta més a la realitat"/>
    <x v="0"/>
    <s v="MÀXIMA"/>
    <s v="*Adaptació i implementació el protocol de regulació de l'accés i circulació"/>
    <m/>
    <s v="SPEN: Elaborar model"/>
    <m/>
    <m/>
    <m/>
    <m/>
    <m/>
    <m/>
    <m/>
    <x v="0"/>
    <m/>
    <x v="6"/>
    <m/>
    <m/>
    <m/>
    <m/>
    <m/>
  </r>
  <r>
    <x v="4"/>
    <x v="10"/>
    <x v="10"/>
    <x v="32"/>
    <x v="32"/>
    <x v="112"/>
    <s v="Regular la xarxa viària principal, secundària i restringida"/>
    <s v="Comú"/>
    <s v="Obligatori"/>
    <x v="114"/>
    <s v="No afectaria actualment, al no disposar de Pla de protecció"/>
    <x v="1"/>
    <s v="MITJANA"/>
    <s v="*Adaptació i implementació el protocol de regulació de la xarxa viària principal, secundària i restringida"/>
    <m/>
    <s v="SPEN: Elaborar model"/>
    <m/>
    <m/>
    <m/>
    <m/>
    <m/>
    <m/>
    <m/>
    <x v="0"/>
    <m/>
    <x v="6"/>
    <m/>
    <m/>
    <m/>
    <m/>
    <m/>
  </r>
  <r>
    <x v="4"/>
    <x v="10"/>
    <x v="10"/>
    <x v="32"/>
    <x v="32"/>
    <x v="113"/>
    <s v="Regular l'ús de drons, l'enlairament i l'aterratge"/>
    <s v="Específic"/>
    <s v="Obligatori"/>
    <x v="115"/>
    <s v="Millora del redactat"/>
    <x v="0"/>
    <s v="MITJANA"/>
    <s v="*Adaptació i implementació el protocol de regulació de drons, d'enlairament i aterratge"/>
    <m/>
    <s v="SPEN: Elaborar model"/>
    <m/>
    <m/>
    <m/>
    <m/>
    <m/>
    <m/>
    <m/>
    <x v="0"/>
    <m/>
    <x v="6"/>
    <m/>
    <m/>
    <m/>
    <m/>
    <m/>
  </r>
  <r>
    <x v="4"/>
    <x v="10"/>
    <x v="10"/>
    <x v="32"/>
    <x v="32"/>
    <x v="114"/>
    <s v="Aplicar limitacions temporals d'accés o circulació"/>
    <s v="Comú"/>
    <s v="Obligatori"/>
    <x v="116"/>
    <s v="Es proposa eliminar, ja que se solapa molt amb l'Op 11.3.1"/>
    <x v="1"/>
    <s v="MITJANA"/>
    <s v="*Adaptació i implementació el protocol de limitacions temporals d'accés o circulació_x000a_*Coordinar amb el CAR la vinculació amb el Pla Alfa"/>
    <m/>
    <s v="SPEN: Elaborar model"/>
    <m/>
    <m/>
    <m/>
    <m/>
    <m/>
    <m/>
    <m/>
    <x v="0"/>
    <m/>
    <x v="6"/>
    <m/>
    <m/>
    <m/>
    <m/>
    <m/>
  </r>
  <r>
    <x v="4"/>
    <x v="10"/>
    <x v="10"/>
    <x v="32"/>
    <x v="32"/>
    <x v="115"/>
    <s v="Regular l'aparcament de vehícles"/>
    <s v="Comú"/>
    <s v="Obligatori"/>
    <x v="117"/>
    <s v="Millora del redactat"/>
    <x v="0"/>
    <s v="MITJANA"/>
    <s v="*Adaptació i implementació el protocol de regulació d'aparcament de vehicles"/>
    <m/>
    <s v="SPEN: Elaborar model"/>
    <m/>
    <m/>
    <m/>
    <m/>
    <m/>
    <m/>
    <m/>
    <x v="0"/>
    <m/>
    <x v="6"/>
    <m/>
    <m/>
    <m/>
    <m/>
    <m/>
  </r>
  <r>
    <x v="4"/>
    <x v="10"/>
    <x v="10"/>
    <x v="33"/>
    <x v="33"/>
    <x v="116"/>
    <s v="Implementar l'ordenació de l'ús públic en col·laboració amb els agents del territori"/>
    <s v="Comú"/>
    <s v="Obligatori"/>
    <x v="118"/>
    <m/>
    <x v="0"/>
    <s v="MÀXIMA"/>
    <s v="*Dinamització d'un espai coordinat de treball per fer el seguiment i millores en el desplegament de la gestió de l'UP"/>
    <m/>
    <m/>
    <m/>
    <m/>
    <m/>
    <m/>
    <m/>
    <m/>
    <m/>
    <x v="0"/>
    <m/>
    <x v="6"/>
    <m/>
    <m/>
    <m/>
    <m/>
    <m/>
  </r>
  <r>
    <x v="4"/>
    <x v="10"/>
    <x v="10"/>
    <x v="33"/>
    <x v="33"/>
    <x v="117"/>
    <s v="Promoció i acompanyament en l'ordenació de l'ús públic de l'ENP des de l'àmbit municipal"/>
    <s v="Comú"/>
    <s v="Obligatori"/>
    <x v="119"/>
    <m/>
    <x v="0"/>
    <s v="ALTA"/>
    <s v="*Aplicació del Manual jurídic d'UP i model d'ordenança municipal"/>
    <m/>
    <m/>
    <m/>
    <m/>
    <m/>
    <m/>
    <m/>
    <m/>
    <m/>
    <x v="0"/>
    <m/>
    <x v="6"/>
    <m/>
    <m/>
    <m/>
    <m/>
    <m/>
  </r>
  <r>
    <x v="4"/>
    <x v="10"/>
    <x v="10"/>
    <x v="34"/>
    <x v="34"/>
    <x v="118"/>
    <s v="Realitzar l'inventari de senyalètica de l'ENP"/>
    <s v="Comú"/>
    <s v="Obligatori"/>
    <x v="120"/>
    <s v="Inclou manteniment i actualització de l'inventari"/>
    <x v="0"/>
    <s v="ALTA"/>
    <m/>
    <m/>
    <m/>
    <m/>
    <m/>
    <m/>
    <m/>
    <m/>
    <m/>
    <m/>
    <x v="0"/>
    <m/>
    <x v="119"/>
    <m/>
    <n v="12000"/>
    <m/>
    <m/>
    <m/>
  </r>
  <r>
    <x v="4"/>
    <x v="10"/>
    <x v="10"/>
    <x v="34"/>
    <x v="34"/>
    <x v="119"/>
    <s v="Implantar el programa de senyalització i manteniment "/>
    <s v="Comú"/>
    <s v="Obligatori"/>
    <x v="121"/>
    <s v="No s'entén gaire, programa?"/>
    <x v="1"/>
    <s v="MITJANA"/>
    <s v="*Programa de senyalització_x000a_*Revisió i actualització de la senyalització en base al manual de senyalització vigent"/>
    <s v="ESNATURA_x000a_MAP"/>
    <s v="Persones i natura: Revisió del manual de senyalització"/>
    <m/>
    <m/>
    <m/>
    <m/>
    <m/>
    <m/>
    <m/>
    <x v="0"/>
    <m/>
    <x v="6"/>
    <m/>
    <m/>
    <m/>
    <m/>
    <m/>
  </r>
  <r>
    <x v="4"/>
    <x v="10"/>
    <x v="10"/>
    <x v="35"/>
    <x v="35"/>
    <x v="120"/>
    <s v="Potenciar la visita a espais alternatius dins de l'àmbit d'influència de l'espai natural per reduir la pressió en zones sensibles "/>
    <s v="Comú"/>
    <s v="Optatiu"/>
    <x v="122"/>
    <s v="Ja està integrat"/>
    <x v="0"/>
    <s v="MITJANA"/>
    <m/>
    <m/>
    <m/>
    <m/>
    <m/>
    <m/>
    <m/>
    <m/>
    <m/>
    <m/>
    <x v="0"/>
    <m/>
    <x v="6"/>
    <m/>
    <m/>
    <m/>
    <m/>
    <m/>
  </r>
  <r>
    <x v="4"/>
    <x v="10"/>
    <x v="10"/>
    <x v="35"/>
    <x v="35"/>
    <x v="121"/>
    <s v="Implementar les mesures extraordinàries de regulació de l'ús públic "/>
    <s v="Comú"/>
    <s v="Optatiu"/>
    <x v="123"/>
    <s v="Solapament amb 11.3.1"/>
    <x v="1"/>
    <s v="MÀXIMA"/>
    <s v="*Pla d'informació dels espais freqüentats"/>
    <m/>
    <m/>
    <m/>
    <m/>
    <m/>
    <m/>
    <m/>
    <m/>
    <m/>
    <x v="0"/>
    <m/>
    <x v="6"/>
    <m/>
    <m/>
    <m/>
    <m/>
    <m/>
  </r>
  <r>
    <x v="4"/>
    <x v="10"/>
    <x v="10"/>
    <x v="36"/>
    <x v="36"/>
    <x v="122"/>
    <s v="Adequar els principals accessos, aparcaments i centres d'interès amb un ús elevat"/>
    <s v="Comú"/>
    <s v="Obligatori"/>
    <x v="124"/>
    <m/>
    <x v="0"/>
    <s v="MÀXIMA"/>
    <s v="*Pla d’ordenació de l’acollida dels visitants"/>
    <m/>
    <m/>
    <m/>
    <m/>
    <m/>
    <m/>
    <m/>
    <m/>
    <m/>
    <x v="0"/>
    <m/>
    <x v="120"/>
    <m/>
    <m/>
    <m/>
    <n v="474000"/>
    <m/>
  </r>
  <r>
    <x v="4"/>
    <x v="10"/>
    <x v="10"/>
    <x v="36"/>
    <x v="36"/>
    <x v="123"/>
    <s v="Disposar dels equipaments i infraestructures necessàries i accessibles per acollir, informar, facilitar la visita i garantir la seguretat dels visitants i la protecció de l'entorn"/>
    <s v="Comú"/>
    <s v="Obligatori"/>
    <x v="125"/>
    <m/>
    <x v="0"/>
    <s v="ALTA"/>
    <s v="*Revisió i actualització els equipaments al SIEQ_x000a_*Mantenimet dels espais i infraestructures existents_x000a_*Revisió i identificació de necessitats d'inversió_x000a_*Trobades amb titulars d'espais emblemàtics_x000a_*Establiment dels acords necessaris amb la propietat _x000a_*Adaptació dels equipaments i infraestructures a persones amb diversitat funcional"/>
    <m/>
    <m/>
    <m/>
    <m/>
    <m/>
    <m/>
    <m/>
    <m/>
    <m/>
    <x v="0"/>
    <m/>
    <x v="121"/>
    <n v="2000"/>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22"/>
    <n v="1500"/>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23"/>
    <n v="266.2"/>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24"/>
    <n v="1048.04"/>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25"/>
    <n v="1359.44"/>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26"/>
    <n v="1500"/>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27"/>
    <n v="400.04"/>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28"/>
    <n v="3000"/>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29"/>
    <n v="2063.0500000000002"/>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30"/>
    <n v="350"/>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31"/>
    <n v="363"/>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32"/>
    <n v="29260.09"/>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33"/>
    <n v="12500"/>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34"/>
    <m/>
    <n v="1065000"/>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35"/>
    <m/>
    <m/>
    <m/>
    <n v="632000"/>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36"/>
    <m/>
    <m/>
    <m/>
    <n v="477950"/>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0"/>
    <m/>
    <x v="137"/>
    <m/>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5"/>
    <s v="Pla estratègic 2021-2030 d'educació i voluntariat ambiental "/>
    <x v="138"/>
    <m/>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5"/>
    <s v="Pla estratègic 2021-2030 d'educació i voluntariat ambiental "/>
    <x v="139"/>
    <m/>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2"/>
    <s v="Pla d'acció per al foment de l'artesania del Parc Natural dels Ports (2023-2027)"/>
    <x v="140"/>
    <m/>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1"/>
    <s v="Pla d'acció 2022-2026 de la CETS."/>
    <x v="141"/>
    <m/>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1"/>
    <s v="Pla d'acció 2022-2026 de la CETS."/>
    <x v="142"/>
    <n v="0"/>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1"/>
    <s v="Pla d'acció 2022-2026 de la CETS."/>
    <x v="143"/>
    <n v="0"/>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1"/>
    <s v="Pla d'acció 2022-2026 de la CETS."/>
    <x v="144"/>
    <n v="0"/>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1"/>
    <s v="Pla d'acció 2022-2026 de la CETS."/>
    <x v="145"/>
    <n v="0"/>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1"/>
    <s v="Pla d'acció 2022-2026 de la CETS."/>
    <x v="146"/>
    <n v="0"/>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1"/>
    <s v="Pla d'acció 2022-2026 de la CETS."/>
    <x v="147"/>
    <n v="0"/>
    <m/>
    <m/>
    <m/>
    <m/>
  </r>
  <r>
    <x v="4"/>
    <x v="10"/>
    <x v="10"/>
    <x v="36"/>
    <x v="36"/>
    <x v="123"/>
    <s v="Disposar dels equipaments i infraestructures necessàries i accessibles per acollir, informar, facilitar la visita i garantir la seguretat dels visitants i la protecció de l'entorn"/>
    <s v="Comú"/>
    <s v="Obligatori"/>
    <x v="125"/>
    <m/>
    <x v="0"/>
    <m/>
    <m/>
    <m/>
    <m/>
    <m/>
    <m/>
    <m/>
    <m/>
    <m/>
    <m/>
    <m/>
    <x v="1"/>
    <s v="Pla d'acció 2022-2026 de la CETS."/>
    <x v="148"/>
    <n v="4250"/>
    <m/>
    <m/>
    <m/>
    <m/>
  </r>
  <r>
    <x v="4"/>
    <x v="10"/>
    <x v="10"/>
    <x v="36"/>
    <x v="36"/>
    <x v="124"/>
    <s v="Desenvolupar el Pla d'acollida als visitants en base al model de la DG"/>
    <s v="Comú"/>
    <s v="Obligatori"/>
    <x v="126"/>
    <s v="No tenim coneixement del Pla"/>
    <x v="1"/>
    <s v="MÀXIMA"/>
    <m/>
    <m/>
    <s v="Persones i natura: model de protocol d'acollida"/>
    <m/>
    <m/>
    <m/>
    <m/>
    <m/>
    <m/>
    <m/>
    <x v="0"/>
    <m/>
    <x v="6"/>
    <m/>
    <m/>
    <m/>
    <m/>
    <m/>
  </r>
  <r>
    <x v="4"/>
    <x v="10"/>
    <x v="10"/>
    <x v="36"/>
    <x v="36"/>
    <x v="125"/>
    <s v="Adaptar els missatges a donar des d'oficines d’informació, pròpies i alienes, d'acord amb el model de la DG"/>
    <s v="Comú"/>
    <s v="Obligatori"/>
    <x v="127"/>
    <m/>
    <x v="0"/>
    <s v="ALTA"/>
    <s v="*Revisió dels espais existents i necessitats d'inversió"/>
    <s v="MAP"/>
    <s v="Persones i natura: Unifica missatges que s'incorporen en el model de protocol d'acollida"/>
    <m/>
    <m/>
    <m/>
    <m/>
    <m/>
    <m/>
    <m/>
    <x v="0"/>
    <s v="Contracte de serveis d'I+EA+V 2024-2027"/>
    <x v="149"/>
    <m/>
    <m/>
    <m/>
    <m/>
    <m/>
  </r>
  <r>
    <x v="4"/>
    <x v="10"/>
    <x v="10"/>
    <x v="36"/>
    <x v="36"/>
    <x v="126"/>
    <s v="Mantenir els serveis d'informació actuals de l'ENP"/>
    <m/>
    <m/>
    <x v="128"/>
    <s v="*NOU. Només diu el es fa actualment"/>
    <x v="0"/>
    <m/>
    <m/>
    <m/>
    <m/>
    <m/>
    <m/>
    <m/>
    <m/>
    <m/>
    <m/>
    <m/>
    <x v="0"/>
    <m/>
    <x v="150"/>
    <n v="14387.87"/>
    <m/>
    <m/>
    <m/>
    <m/>
  </r>
  <r>
    <x v="4"/>
    <x v="10"/>
    <x v="10"/>
    <x v="36"/>
    <x v="36"/>
    <x v="126"/>
    <s v="Mantenir els serveis d'informació actuals de l'ENP"/>
    <m/>
    <m/>
    <x v="128"/>
    <s v="*NOU. Només diu el es fa actualment"/>
    <x v="0"/>
    <m/>
    <m/>
    <m/>
    <m/>
    <m/>
    <m/>
    <m/>
    <m/>
    <m/>
    <m/>
    <m/>
    <x v="0"/>
    <m/>
    <x v="151"/>
    <n v="9500"/>
    <m/>
    <m/>
    <m/>
    <m/>
  </r>
  <r>
    <x v="4"/>
    <x v="10"/>
    <x v="10"/>
    <x v="36"/>
    <x v="36"/>
    <x v="126"/>
    <s v="Mantenir els serveis d'informació actuals de l'ENP"/>
    <m/>
    <m/>
    <x v="128"/>
    <s v="*NOU. Només diu el es fa actualment"/>
    <x v="0"/>
    <m/>
    <m/>
    <m/>
    <m/>
    <m/>
    <m/>
    <m/>
    <m/>
    <m/>
    <m/>
    <m/>
    <x v="0"/>
    <m/>
    <x v="152"/>
    <n v="6800"/>
    <m/>
    <m/>
    <m/>
    <m/>
  </r>
  <r>
    <x v="4"/>
    <x v="10"/>
    <x v="10"/>
    <x v="36"/>
    <x v="36"/>
    <x v="126"/>
    <s v="Mantenir els serveis d'informació actuals de l'ENP"/>
    <m/>
    <m/>
    <x v="128"/>
    <s v="*NOU. Només diu el es fa actualment"/>
    <x v="0"/>
    <m/>
    <m/>
    <m/>
    <m/>
    <m/>
    <m/>
    <m/>
    <m/>
    <m/>
    <m/>
    <m/>
    <x v="0"/>
    <m/>
    <x v="153"/>
    <n v="5817.2"/>
    <m/>
    <m/>
    <m/>
    <m/>
  </r>
  <r>
    <x v="4"/>
    <x v="10"/>
    <x v="10"/>
    <x v="36"/>
    <x v="36"/>
    <x v="126"/>
    <s v="Mantenir els serveis d'informació actuals de l'ENP"/>
    <m/>
    <m/>
    <x v="128"/>
    <s v="*NOU. Només diu el es fa actualment"/>
    <x v="0"/>
    <m/>
    <m/>
    <m/>
    <m/>
    <m/>
    <m/>
    <m/>
    <m/>
    <m/>
    <m/>
    <m/>
    <x v="0"/>
    <m/>
    <x v="154"/>
    <n v="13607.66"/>
    <m/>
    <m/>
    <m/>
    <m/>
  </r>
  <r>
    <x v="4"/>
    <x v="10"/>
    <x v="10"/>
    <x v="36"/>
    <x v="36"/>
    <x v="126"/>
    <s v="Mantenir els serveis d'informació actuals de l'ENP"/>
    <m/>
    <m/>
    <x v="128"/>
    <s v="*NOU. Només diu el es fa actualment"/>
    <x v="0"/>
    <m/>
    <m/>
    <m/>
    <m/>
    <m/>
    <m/>
    <m/>
    <m/>
    <m/>
    <m/>
    <m/>
    <x v="0"/>
    <m/>
    <x v="155"/>
    <n v="13607.66"/>
    <m/>
    <m/>
    <m/>
    <m/>
  </r>
  <r>
    <x v="4"/>
    <x v="10"/>
    <x v="10"/>
    <x v="36"/>
    <x v="36"/>
    <x v="126"/>
    <s v="Mantenir els serveis d'informació actuals de l'ENP"/>
    <m/>
    <m/>
    <x v="128"/>
    <s v="*NOU. Només diu el es fa actualment"/>
    <x v="0"/>
    <m/>
    <m/>
    <m/>
    <m/>
    <m/>
    <m/>
    <m/>
    <m/>
    <m/>
    <m/>
    <m/>
    <x v="0"/>
    <m/>
    <x v="156"/>
    <n v="13607.66"/>
    <m/>
    <m/>
    <m/>
    <m/>
  </r>
  <r>
    <x v="4"/>
    <x v="10"/>
    <x v="10"/>
    <x v="37"/>
    <x v="37"/>
    <x v="127"/>
    <s v="Elaborar i executar el Pla de vigilància de l’espai d'acord amb els cossos d’inspecció i seguretat"/>
    <s v="Comú"/>
    <s v="Optatiu"/>
    <x v="129"/>
    <m/>
    <x v="0"/>
    <s v="MITJANA"/>
    <s v="*Pla de vigilància de l’espai d'acord amb els cossos d’inspecció i seguretat_x000a_*Identificació dels punts clau de vigilància, el calendari i els recursos necessaris"/>
    <m/>
    <m/>
    <m/>
    <m/>
    <m/>
    <m/>
    <m/>
    <m/>
    <m/>
    <x v="0"/>
    <s v="Pla de vigilància 2025-2028 (elaborar-lo)"/>
    <x v="6"/>
    <m/>
    <m/>
    <m/>
    <m/>
    <m/>
  </r>
  <r>
    <x v="4"/>
    <x v="10"/>
    <x v="10"/>
    <x v="37"/>
    <x v="37"/>
    <x v="128"/>
    <s v="Millorar la coordinació amb els cossos de seguretat per efectuar accions de control i vigilància"/>
    <s v="Comú"/>
    <s v="Obligatori"/>
    <x v="130"/>
    <m/>
    <x v="0"/>
    <s v="MITJANA"/>
    <m/>
    <m/>
    <m/>
    <m/>
    <m/>
    <m/>
    <m/>
    <m/>
    <m/>
    <m/>
    <x v="0"/>
    <m/>
    <x v="6"/>
    <m/>
    <m/>
    <m/>
    <m/>
    <m/>
  </r>
  <r>
    <x v="4"/>
    <x v="10"/>
    <x v="10"/>
    <x v="37"/>
    <x v="37"/>
    <x v="129"/>
    <s v="Vetllar pel compliment d'informes i la vigilància tècnica de l'espai"/>
    <s v="Comú"/>
    <s v="Obligatori"/>
    <x v="131"/>
    <s v="Solapament amb 03.1.2"/>
    <x v="1"/>
    <s v="MITJANA"/>
    <m/>
    <m/>
    <m/>
    <m/>
    <m/>
    <m/>
    <m/>
    <m/>
    <m/>
    <m/>
    <x v="0"/>
    <m/>
    <x v="6"/>
    <m/>
    <m/>
    <m/>
    <m/>
    <m/>
  </r>
  <r>
    <x v="4"/>
    <x v="11"/>
    <x v="11"/>
    <x v="38"/>
    <x v="38"/>
    <x v="130"/>
    <s v="Ordenar el pla d’emergències"/>
    <s v="Comú"/>
    <s v="Obligatori"/>
    <x v="132"/>
    <s v="No tenim compteències"/>
    <x v="0"/>
    <s v="ALTA"/>
    <s v="*Plans especials_x000a_*Plans d'autoprotecció"/>
    <m/>
    <m/>
    <m/>
    <m/>
    <m/>
    <m/>
    <m/>
    <m/>
    <m/>
    <x v="0"/>
    <m/>
    <x v="6"/>
    <m/>
    <m/>
    <m/>
    <m/>
    <m/>
  </r>
  <r>
    <x v="4"/>
    <x v="11"/>
    <x v="11"/>
    <x v="38"/>
    <x v="38"/>
    <x v="131"/>
    <s v="Contribuir a la protecció dels assentaments humans respecte dels riscos naturals"/>
    <s v="Comú"/>
    <s v="Obligatori"/>
    <x v="133"/>
    <s v="No tenim compteències, no hi ha riscos en assentaments humans"/>
    <x v="1"/>
    <s v="ALTA"/>
    <s v="*Adaptació al canvi climàtic_x000a_*Cobertura 112_x000a_*Prevenció i protecció d'incendis_x000a_*Prevenció i protecció de malalties"/>
    <m/>
    <m/>
    <m/>
    <m/>
    <m/>
    <m/>
    <m/>
    <m/>
    <m/>
    <x v="0"/>
    <m/>
    <x v="6"/>
    <m/>
    <m/>
    <m/>
    <m/>
    <m/>
  </r>
  <r>
    <x v="5"/>
    <x v="12"/>
    <x v="12"/>
    <x v="39"/>
    <x v="39"/>
    <x v="132"/>
    <s v="Definir el model de Xarxa d'Escoles de l'Espai Natural (XEEN) a l'ENP amb els agents educatius del territori"/>
    <s v="Comú"/>
    <s v="Obligatori"/>
    <x v="134"/>
    <m/>
    <x v="0"/>
    <s v="MÀXIMA"/>
    <s v="*Elaboració d'un mapa d'agents col·laboradors: cercar entitats i institucions locals que col·laborin amb la Xarxa (CRPs, administració local, entitats ambientals i educatives...). _x000a_*Organització d'un procés participatiu amb els agents educatius del territori_x000a_"/>
    <s v="PEEVA_x000a_ESNATURA"/>
    <m/>
    <m/>
    <m/>
    <m/>
    <m/>
    <m/>
    <m/>
    <m/>
    <x v="0"/>
    <s v="Contracte de serveis d'I+EA+V 2024-2027"/>
    <x v="6"/>
    <m/>
    <m/>
    <m/>
    <m/>
    <m/>
  </r>
  <r>
    <x v="5"/>
    <x v="12"/>
    <x v="12"/>
    <x v="39"/>
    <x v="39"/>
    <x v="133"/>
    <s v="Desplegar el model de Xarxa d'Escoles de l'Espai Natural (XEEN) a l'ENP d'acord amb el model general"/>
    <s v="Comú"/>
    <s v="Obligatori"/>
    <x v="135"/>
    <m/>
    <x v="0"/>
    <s v="MÀXIMA"/>
    <s v="*Constitució i dinamització dels espais de treball conjunt amb els agents col·laboradors de la XEEN._x000a_*Elaboració d'un mapa de centres educatius._x000a_*Organització de grups de treball entre docents i ENP. _x000a_*Cercer entitats i institucions locals que col·laborin amb la Xarxa (CRPs, administració local, entitats ambientals i educatives...)._x000a_*Disseny i desenvolupament de projectes compartits.  _x000a_*Organització de trobades d'ntercanvi amb alumnat_x000a_Avaluació de les accions de la Xarxa."/>
    <s v="PEEVA_x000a_ESNATURA"/>
    <s v="SEA: Elabora model de xarxa"/>
    <m/>
    <m/>
    <m/>
    <m/>
    <m/>
    <m/>
    <m/>
    <x v="0"/>
    <s v="Contracte de serveis d'I+EA+V 2024-2027"/>
    <x v="6"/>
    <m/>
    <m/>
    <m/>
    <m/>
    <m/>
  </r>
  <r>
    <x v="5"/>
    <x v="12"/>
    <x v="12"/>
    <x v="39"/>
    <x v="39"/>
    <x v="134"/>
    <s v="Formar i capacitar al professorat de la XEEN "/>
    <s v="Comú"/>
    <s v="Obligatori"/>
    <x v="136"/>
    <m/>
    <x v="0"/>
    <s v="MÀXIMA"/>
    <s v="*Coordinació amb els Centres de Rercursos Pedagògics (CRP) perquè les formacions estiguin reconegudes  pel Departament d'Educació"/>
    <s v="PEEVA_x000a_ESNATURA"/>
    <m/>
    <m/>
    <m/>
    <m/>
    <m/>
    <m/>
    <m/>
    <m/>
    <x v="4"/>
    <s v="Programa d'EA 2023-2027"/>
    <x v="157"/>
    <m/>
    <m/>
    <m/>
    <m/>
    <m/>
  </r>
  <r>
    <x v="5"/>
    <x v="12"/>
    <x v="12"/>
    <x v="39"/>
    <x v="39"/>
    <x v="134"/>
    <s v="Formar i capacitar al professorat de la XEEN "/>
    <s v="Comú"/>
    <s v="Obligatori"/>
    <x v="136"/>
    <m/>
    <x v="0"/>
    <s v="MÀXIMA"/>
    <m/>
    <m/>
    <m/>
    <m/>
    <m/>
    <m/>
    <m/>
    <m/>
    <m/>
    <m/>
    <x v="5"/>
    <s v="Pla estratègic 2021-2030 d'educació i voluntariat ambiental "/>
    <x v="158"/>
    <m/>
    <m/>
    <m/>
    <m/>
    <m/>
  </r>
  <r>
    <x v="5"/>
    <x v="12"/>
    <x v="12"/>
    <x v="39"/>
    <x v="39"/>
    <x v="135"/>
    <m/>
    <m/>
    <m/>
    <x v="137"/>
    <s v="*NOU. Només diu el es fa actualment"/>
    <x v="0"/>
    <m/>
    <m/>
    <m/>
    <m/>
    <m/>
    <m/>
    <m/>
    <m/>
    <m/>
    <m/>
    <m/>
    <x v="5"/>
    <s v="Pla estratègic 2021-2030 d'educació i voluntariat ambiental "/>
    <x v="159"/>
    <m/>
    <m/>
    <m/>
    <m/>
    <m/>
  </r>
  <r>
    <x v="5"/>
    <x v="12"/>
    <x v="12"/>
    <x v="39"/>
    <x v="39"/>
    <x v="135"/>
    <m/>
    <m/>
    <m/>
    <x v="137"/>
    <s v="*NOU. Només diu el es fa actualment"/>
    <x v="0"/>
    <m/>
    <m/>
    <m/>
    <m/>
    <m/>
    <m/>
    <m/>
    <m/>
    <m/>
    <m/>
    <m/>
    <x v="0"/>
    <m/>
    <x v="160"/>
    <n v="8228"/>
    <m/>
    <m/>
    <m/>
    <m/>
  </r>
  <r>
    <x v="5"/>
    <x v="12"/>
    <x v="12"/>
    <x v="39"/>
    <x v="39"/>
    <x v="135"/>
    <m/>
    <m/>
    <m/>
    <x v="137"/>
    <s v="*NOU. Només diu el es fa actualment"/>
    <x v="0"/>
    <m/>
    <m/>
    <m/>
    <m/>
    <m/>
    <m/>
    <m/>
    <m/>
    <m/>
    <m/>
    <m/>
    <x v="0"/>
    <m/>
    <x v="161"/>
    <n v="8228"/>
    <m/>
    <m/>
    <m/>
    <m/>
  </r>
  <r>
    <x v="5"/>
    <x v="12"/>
    <x v="12"/>
    <x v="39"/>
    <x v="39"/>
    <x v="135"/>
    <m/>
    <m/>
    <m/>
    <x v="137"/>
    <s v="*NOU. Només diu el es fa actualment"/>
    <x v="0"/>
    <m/>
    <m/>
    <m/>
    <m/>
    <m/>
    <m/>
    <m/>
    <m/>
    <m/>
    <m/>
    <m/>
    <x v="0"/>
    <m/>
    <x v="162"/>
    <n v="8228"/>
    <m/>
    <m/>
    <m/>
    <m/>
  </r>
  <r>
    <x v="5"/>
    <x v="12"/>
    <x v="12"/>
    <x v="39"/>
    <x v="39"/>
    <x v="135"/>
    <m/>
    <m/>
    <m/>
    <x v="137"/>
    <s v="*NOU. Només diu el es fa actualment"/>
    <x v="0"/>
    <m/>
    <m/>
    <m/>
    <m/>
    <m/>
    <m/>
    <m/>
    <m/>
    <m/>
    <m/>
    <m/>
    <x v="5"/>
    <s v="Pla estratègic 2021-2030 d'educació i voluntariat ambiental "/>
    <x v="163"/>
    <m/>
    <m/>
    <m/>
    <m/>
    <m/>
  </r>
  <r>
    <x v="5"/>
    <x v="12"/>
    <x v="12"/>
    <x v="40"/>
    <x v="40"/>
    <x v="136"/>
    <s v="Adaptar i millorar l'oferta pedagògica de l'ENP generant situacions d'aprenentatge i treballs per projecte"/>
    <s v="Comú"/>
    <s v="Obligatori"/>
    <x v="138"/>
    <m/>
    <x v="0"/>
    <s v="MÀXIMA"/>
    <s v="*Implicació i capacitació del professorat per implicar-los en el disseny del projecte educatiu_x000a_*Incorporació a cada curs escolar X situacions d'aprenentatge"/>
    <s v="PEEVA_x000a_ESNATURA"/>
    <s v="SEA: Comparteix models de situcions d'aprenentatge i de projects."/>
    <m/>
    <m/>
    <m/>
    <m/>
    <m/>
    <m/>
    <m/>
    <x v="0"/>
    <m/>
    <x v="6"/>
    <m/>
    <m/>
    <m/>
    <m/>
    <m/>
  </r>
  <r>
    <x v="5"/>
    <x v="12"/>
    <x v="12"/>
    <x v="40"/>
    <x v="40"/>
    <x v="137"/>
    <s v="Dissenyar projectes d'ApS ambiental i Ciència ciutadana i projectes compartits amb entitats del territori que s'incloguin dins de l'oferta pedagògica."/>
    <s v="Comú"/>
    <s v="Optatiu"/>
    <x v="139"/>
    <m/>
    <x v="0"/>
    <s v="ALTA"/>
    <s v="*Cerca d'entitats del territori i centres de recerca amb qui elaborar projectes de ciència ciutadana o d'ApS que donin resposta a les necessitats de l'EN. _x000a_*Dinamització de la realització d'aquests projectes."/>
    <s v="PEEVA_x000a_ESNATURA"/>
    <m/>
    <m/>
    <m/>
    <m/>
    <m/>
    <m/>
    <m/>
    <m/>
    <x v="0"/>
    <m/>
    <x v="6"/>
    <m/>
    <m/>
    <m/>
    <m/>
    <m/>
  </r>
  <r>
    <x v="5"/>
    <x v="12"/>
    <x v="12"/>
    <x v="40"/>
    <x v="40"/>
    <x v="138"/>
    <s v="Elaborar recursos educatius sobre l’espai (que tinguin en compte les problemàtiques singulars del seu espai) i posar-los a disposició dels centres educatius"/>
    <s v="Comú"/>
    <s v="Optatiu"/>
    <x v="140"/>
    <m/>
    <x v="0"/>
    <s v="ALTA"/>
    <m/>
    <s v="PEEVA_x000a_ESNATURA"/>
    <m/>
    <m/>
    <m/>
    <m/>
    <m/>
    <m/>
    <m/>
    <m/>
    <x v="4"/>
    <s v="Programa d'EA 2023-2027"/>
    <x v="164"/>
    <m/>
    <m/>
    <m/>
    <m/>
    <m/>
  </r>
  <r>
    <x v="5"/>
    <x v="12"/>
    <x v="12"/>
    <x v="40"/>
    <x v="40"/>
    <x v="138"/>
    <s v="Elaborar recursos educatius sobre l’espai (que tinguin en compte les problemàtiques singulars del seu espai) i posar-los a disposició dels centres educatius"/>
    <s v="Comú"/>
    <s v="Optatiu"/>
    <x v="140"/>
    <m/>
    <x v="0"/>
    <s v="ALTA"/>
    <m/>
    <s v="PEEVA_x000a_ESNATURA"/>
    <m/>
    <m/>
    <m/>
    <m/>
    <m/>
    <m/>
    <m/>
    <m/>
    <x v="4"/>
    <s v="Programa d'EA 2023-2027"/>
    <x v="165"/>
    <m/>
    <m/>
    <m/>
    <m/>
    <m/>
  </r>
  <r>
    <x v="5"/>
    <x v="12"/>
    <x v="12"/>
    <x v="40"/>
    <x v="40"/>
    <x v="138"/>
    <s v="Elaborar recursos educatius sobre l’espai (que tinguin en compte les problemàtiques singulars del seu espai) i posar-los a disposició dels centres educatius"/>
    <s v="Comú"/>
    <s v="Optatiu"/>
    <x v="140"/>
    <m/>
    <x v="0"/>
    <s v="ALTA"/>
    <m/>
    <s v="PEEVA_x000a_ESNATURA"/>
    <m/>
    <m/>
    <m/>
    <m/>
    <m/>
    <m/>
    <m/>
    <m/>
    <x v="4"/>
    <s v="Programa d'EA 2023-2027"/>
    <x v="166"/>
    <m/>
    <m/>
    <m/>
    <m/>
    <m/>
  </r>
  <r>
    <x v="5"/>
    <x v="12"/>
    <x v="12"/>
    <x v="40"/>
    <x v="40"/>
    <x v="139"/>
    <s v="Oferir projectes de recerca vinculats a l'espai natural per a l'alumnat universitari i de la XEEN"/>
    <s v="Comú"/>
    <s v="Optatiu"/>
    <x v="141"/>
    <m/>
    <x v="0"/>
    <s v="ALTA"/>
    <s v="*Elaboració d'una proposta de posibles temàtiques per oferir als centres educatius de projectes vinculats a l'espai natural (treball de recerca, crèdit de síntesi, servei comunitari, pràctiques, etc.)._x000a_*Acompanyament de l'alumnat en la relació dels projectes."/>
    <s v="PEEVA_x000a_ESNATURA"/>
    <m/>
    <m/>
    <m/>
    <m/>
    <m/>
    <m/>
    <m/>
    <m/>
    <x v="5"/>
    <s v="Pla estratègic 2021-2030 d'educació i voluntariat ambiental "/>
    <x v="167"/>
    <m/>
    <m/>
    <m/>
    <m/>
    <m/>
  </r>
  <r>
    <x v="5"/>
    <x v="12"/>
    <x v="12"/>
    <x v="40"/>
    <x v="40"/>
    <x v="140"/>
    <m/>
    <s v="Comú"/>
    <s v="Optatiu"/>
    <x v="142"/>
    <s v="NOU. Inclou Ops. 13.4.2, 13.4.3, 13.4.4, 13.5.1, 13.5.4, 13.5.5, 13.6.2"/>
    <x v="0"/>
    <s v="ALTA"/>
    <s v="*Elaboració d'una proposta de posibles temàtiques per oferir als centres educatius de projectes vinculats a l'espai natural (treball de recerca, crèdit de síntesi, servei comunitari, pràctiques, etc.)._x000a_*Acompanyament de l'alumnat en la relació dels projectes."/>
    <s v="PEEVA_x000a_ESNATURA"/>
    <m/>
    <m/>
    <m/>
    <m/>
    <m/>
    <m/>
    <m/>
    <m/>
    <x v="5"/>
    <s v="Pla estratègic 2021-2030 d'educació i voluntariat ambiental "/>
    <x v="168"/>
    <n v="1000"/>
    <m/>
    <m/>
    <m/>
    <m/>
  </r>
  <r>
    <x v="5"/>
    <x v="12"/>
    <x v="12"/>
    <x v="40"/>
    <x v="40"/>
    <x v="140"/>
    <m/>
    <s v="Comú"/>
    <s v="Optatiu"/>
    <x v="142"/>
    <s v="NOU. Inclou Ops. 13.4.2, 13.4.3, 13.4.4, 13.5.1, 13.5.4, 13.5.5, 13.6.2"/>
    <x v="0"/>
    <s v="ALTA"/>
    <s v="*Elaboració d'una proposta de posibles temàtiques per oferir als centres educatius de projectes vinculats a l'espai natural (treball de recerca, crèdit de síntesi, servei comunitari, pràctiques, etc.)._x000a_*Acompanyament de l'alumnat en la relació dels projectes."/>
    <s v="PEEVA_x000a_ESNATURA"/>
    <m/>
    <m/>
    <m/>
    <m/>
    <m/>
    <m/>
    <m/>
    <m/>
    <x v="5"/>
    <s v="Pla estratègic 2021-2030 d'educació i voluntariat ambiental "/>
    <x v="169"/>
    <m/>
    <m/>
    <m/>
    <m/>
    <m/>
  </r>
  <r>
    <x v="5"/>
    <x v="12"/>
    <x v="12"/>
    <x v="41"/>
    <x v="41"/>
    <x v="141"/>
    <s v="Establir un model de coordinació territorial amb agents clau de l'educació ambiental"/>
    <s v="Comú"/>
    <s v="Obligatori"/>
    <x v="143"/>
    <m/>
    <x v="0"/>
    <s v="MÀXIMA"/>
    <s v="*Valoració de la idoneïtat de crear una Taula territorial d’Educació Ambiental (de l’ENP o del conjunt d’ENPs)._x000a_*Creació d'una Taula territorial d’Educació Ambiental"/>
    <s v="PEEVA_x000a_ESNATURA"/>
    <m/>
    <m/>
    <m/>
    <m/>
    <m/>
    <m/>
    <m/>
    <m/>
    <x v="0"/>
    <s v="Contracte de serveis d'I+EA+V 2024-2027"/>
    <x v="6"/>
    <m/>
    <m/>
    <m/>
    <m/>
    <m/>
  </r>
  <r>
    <x v="5"/>
    <x v="12"/>
    <x v="12"/>
    <x v="41"/>
    <x v="41"/>
    <x v="141"/>
    <s v="Establir un model de coordinació territorial amb agents clau de l'educació ambiental"/>
    <s v="Comú"/>
    <s v="Obligatori"/>
    <x v="143"/>
    <m/>
    <x v="0"/>
    <s v="MÀXIMA"/>
    <s v="*Valoració de la idoneïtat de crear una Taula territorial d’Educació Ambiental (de l’ENP o del conjunt d’ENPs)._x000a_*Creació d'una Taula territorial d’Educació Ambiental"/>
    <s v="PEEVA_x000a_ESNATURA"/>
    <m/>
    <m/>
    <m/>
    <m/>
    <m/>
    <m/>
    <m/>
    <m/>
    <x v="5"/>
    <s v="Pla estratègic 2021-2030 d'educació i voluntariat ambiental "/>
    <x v="170"/>
    <m/>
    <m/>
    <m/>
    <m/>
    <m/>
  </r>
  <r>
    <x v="5"/>
    <x v="12"/>
    <x v="12"/>
    <x v="41"/>
    <x v="41"/>
    <x v="141"/>
    <s v="Establir un model de coordinació territorial amb agents clau de l'educació ambiental"/>
    <s v="Comú"/>
    <s v="Obligatori"/>
    <x v="143"/>
    <m/>
    <x v="0"/>
    <s v="MÀXIMA"/>
    <s v="*Valoració de la idoneïtat de crear una Taula territorial d’Educació Ambiental (de l’ENP o del conjunt d’ENPs)._x000a_*Creació d'una Taula territorial d’Educació Ambiental"/>
    <s v="PEEVA_x000a_ESNATURA"/>
    <m/>
    <m/>
    <m/>
    <m/>
    <m/>
    <m/>
    <m/>
    <m/>
    <x v="5"/>
    <s v="Pla estratègic 2021-2030 d'educació i voluntariat ambiental "/>
    <x v="171"/>
    <m/>
    <m/>
    <m/>
    <m/>
    <m/>
  </r>
  <r>
    <x v="5"/>
    <x v="12"/>
    <x v="12"/>
    <x v="41"/>
    <x v="41"/>
    <x v="142"/>
    <s v="Cercar i establir col·laboracions i projectes conjunts amb agents clau del territori"/>
    <s v="Comú"/>
    <s v="Obligatori"/>
    <x v="144"/>
    <m/>
    <x v="0"/>
    <s v="MÀXIMA"/>
    <m/>
    <s v="PEEVA_x000a_ESNATURA"/>
    <m/>
    <m/>
    <m/>
    <m/>
    <m/>
    <m/>
    <m/>
    <m/>
    <x v="5"/>
    <s v="Pla estratègic 2021-2030 d'educació i voluntariat ambiental "/>
    <x v="172"/>
    <m/>
    <m/>
    <m/>
    <m/>
    <m/>
  </r>
  <r>
    <x v="5"/>
    <x v="12"/>
    <x v="12"/>
    <x v="41"/>
    <x v="41"/>
    <x v="142"/>
    <s v="Cercar i establir col·laboracions i projectes conjunts amb agents clau del territori"/>
    <s v="Comú"/>
    <s v="Obligatori"/>
    <x v="144"/>
    <m/>
    <x v="0"/>
    <s v="MÀXIMA"/>
    <m/>
    <s v="PEEVA_x000a_ESNATURA"/>
    <m/>
    <m/>
    <m/>
    <m/>
    <m/>
    <m/>
    <m/>
    <m/>
    <x v="5"/>
    <s v="Pla estratègic 2021-2030 d'educació i voluntariat ambiental "/>
    <x v="173"/>
    <m/>
    <m/>
    <m/>
    <m/>
    <m/>
  </r>
  <r>
    <x v="5"/>
    <x v="12"/>
    <x v="12"/>
    <x v="41"/>
    <x v="41"/>
    <x v="142"/>
    <s v="Cercar i establir col·laboracions i projectes conjunts amb agents clau del territori"/>
    <s v="Comú"/>
    <s v="Obligatori"/>
    <x v="144"/>
    <m/>
    <x v="0"/>
    <s v="MÀXIMA"/>
    <m/>
    <s v="PEEVA_x000a_ESNATURA"/>
    <m/>
    <m/>
    <m/>
    <m/>
    <m/>
    <m/>
    <m/>
    <m/>
    <x v="5"/>
    <s v="Pla estratègic 2021-2030 d'educació i voluntariat ambiental "/>
    <x v="174"/>
    <m/>
    <m/>
    <m/>
    <m/>
    <m/>
  </r>
  <r>
    <x v="5"/>
    <x v="12"/>
    <x v="12"/>
    <x v="41"/>
    <x v="41"/>
    <x v="143"/>
    <s v="Elaborar formacions dirigides als informadors, educadors i altres prescriptors del territori"/>
    <s v="Comú"/>
    <s v="Obligatori"/>
    <x v="145"/>
    <s v="Inclòs al Pla d'acció 2022-2026 de la CETS (A.3.2.1)"/>
    <x v="0"/>
    <s v="MÀXIMA"/>
    <s v="*Curs del bon coneixedor de l'ENP_x000a_*Formacions continuades en el marc del contracte del servei d'informació i educació ambiental._x000a_*Formació dels actors implicats en la gestió dels ENP en aspectes vinculats a la conservació dels elements d'interès comunitari"/>
    <s v="PEEVA_x000a_ESNATURA"/>
    <s v="SEA: Elabora propostes MODEL de programes de formació"/>
    <m/>
    <m/>
    <m/>
    <m/>
    <m/>
    <m/>
    <m/>
    <x v="1"/>
    <s v="Pla d'acció 2022-2026 de la CETS."/>
    <x v="175"/>
    <n v="3000"/>
    <m/>
    <m/>
    <m/>
    <m/>
  </r>
  <r>
    <x v="5"/>
    <x v="12"/>
    <x v="12"/>
    <x v="41"/>
    <x v="41"/>
    <x v="143"/>
    <s v="Elaborar formacions dirigides als informadors, educadors i altres prescriptors del territori"/>
    <s v="Comú"/>
    <s v="Obligatori"/>
    <x v="145"/>
    <s v="Inclòs al Pla d'acció 2022-2026 de la CETS (A.3.2.1)"/>
    <x v="0"/>
    <s v="MÀXIMA"/>
    <s v="*Curs del bon coneixedor de l'ENP_x000a_*Formacions continuades en el marc del contracte del servei d'informació i educació ambiental._x000a_*Formació dels actors implicats en la gestió dels ENP en aspectes vinculats a la conservació dels elements d'interès comunitari"/>
    <s v="PEEVA_x000a_ESNATURA"/>
    <s v="SEA: Elabora propostes MODEL de programes de formació"/>
    <m/>
    <m/>
    <m/>
    <m/>
    <m/>
    <m/>
    <m/>
    <x v="5"/>
    <s v="Pla estratègic 2021-2030 d'educació i voluntariat ambiental "/>
    <x v="176"/>
    <m/>
    <m/>
    <m/>
    <m/>
    <m/>
  </r>
  <r>
    <x v="5"/>
    <x v="12"/>
    <x v="12"/>
    <x v="41"/>
    <x v="41"/>
    <x v="143"/>
    <s v="Elaborar formacions dirigides als informadors, educadors i altres prescriptors del territori"/>
    <s v="Comú"/>
    <s v="Obligatori"/>
    <x v="145"/>
    <s v="Inclòs al Pla d'acció 2022-2026 de la CETS (A.3.2.1)"/>
    <x v="0"/>
    <s v="MÀXIMA"/>
    <s v="*Curs del bon coneixedor de l'ENP_x000a_*Formacions continuades en el marc del contracte del servei d'informació i educació ambiental._x000a_*Formació dels actors implicats en la gestió dels ENP en aspectes vinculats a la conservació dels elements d'interès comunitari"/>
    <s v="PEEVA_x000a_ESNATURA"/>
    <s v="SEA: Elabora propostes MODEL de programes de formació"/>
    <m/>
    <m/>
    <m/>
    <m/>
    <m/>
    <m/>
    <m/>
    <x v="1"/>
    <s v="Pla d'acció 2022-2026 de la CETS."/>
    <x v="177"/>
    <n v="2400"/>
    <m/>
    <m/>
    <m/>
    <m/>
  </r>
  <r>
    <x v="5"/>
    <x v="12"/>
    <x v="12"/>
    <x v="41"/>
    <x v="41"/>
    <x v="143"/>
    <s v="Elaborar formacions dirigides als informadors, educadors i altres prescriptors del territori"/>
    <s v="Comú"/>
    <s v="Obligatori"/>
    <x v="145"/>
    <s v="Inclòs al Pla d'acció 2022-2026 de la CETS (A.3.2.1)"/>
    <x v="0"/>
    <s v="MÀXIMA"/>
    <s v="*Curs del bon coneixedor de l'ENP_x000a_*Formacions continuades en el marc del contracte del servei d'informació i educació ambiental._x000a_*Formació dels actors implicats en la gestió dels ENP en aspectes vinculats a la conservació dels elements d'interès comunitari"/>
    <s v="PEEVA_x000a_ESNATURA"/>
    <s v="SEA: Elabora propostes MODEL de programes de formació"/>
    <m/>
    <m/>
    <m/>
    <m/>
    <m/>
    <m/>
    <m/>
    <x v="1"/>
    <s v="Pla d'acció 2022-2026 de la CETS."/>
    <x v="178"/>
    <n v="0"/>
    <m/>
    <m/>
    <m/>
    <m/>
  </r>
  <r>
    <x v="5"/>
    <x v="12"/>
    <x v="12"/>
    <x v="41"/>
    <x v="41"/>
    <x v="143"/>
    <s v="Elaborar formacions dirigides als informadors, educadors i altres prescriptors del territori"/>
    <s v="Comú"/>
    <s v="Obligatori"/>
    <x v="145"/>
    <s v="Inclòs al Pla d'acció 2022-2026 de la CETS (A.3.2.1)"/>
    <x v="0"/>
    <s v="MÀXIMA"/>
    <s v="*Curs del bon coneixedor de l'ENP_x000a_*Formacions continuades en el marc del contracte del servei d'informació i educació ambiental._x000a_*Formació dels actors implicats en la gestió dels ENP en aspectes vinculats a la conservació dels elements d'interès comunitari"/>
    <s v="PEEVA_x000a_ESNATURA"/>
    <s v="SEA: Elabora propostes MODEL de programes de formació"/>
    <m/>
    <m/>
    <m/>
    <m/>
    <m/>
    <m/>
    <m/>
    <x v="1"/>
    <s v="Pla d'acció 2022-2026 de la CETS."/>
    <x v="179"/>
    <n v="0"/>
    <m/>
    <m/>
    <m/>
    <m/>
  </r>
  <r>
    <x v="5"/>
    <x v="12"/>
    <x v="12"/>
    <x v="41"/>
    <x v="41"/>
    <x v="143"/>
    <s v="Elaborar formacions dirigides als informadors, educadors i altres prescriptors del territori"/>
    <s v="Comú"/>
    <s v="Obligatori"/>
    <x v="145"/>
    <s v="Inclòs al Pla d'acció 2022-2026 de la CETS (A.3.2.1)"/>
    <x v="0"/>
    <s v="MÀXIMA"/>
    <s v="*Curs del bon coneixedor de l'ENP_x000a_*Formacions continuades en el marc del contracte del servei d'informació i educació ambiental._x000a_*Formació dels actors implicats en la gestió dels ENP en aspectes vinculats a la conservació dels elements d'interès comunitari"/>
    <s v="PEEVA_x000a_ESNATURA"/>
    <s v="SEA: Elabora propostes MODEL de programes de formació"/>
    <m/>
    <m/>
    <m/>
    <m/>
    <m/>
    <m/>
    <m/>
    <x v="5"/>
    <s v="Pla estratègic 2021-2030 d'educació i voluntariat ambiental "/>
    <x v="180"/>
    <m/>
    <m/>
    <m/>
    <m/>
    <m/>
  </r>
  <r>
    <x v="5"/>
    <x v="12"/>
    <x v="12"/>
    <x v="42"/>
    <x v="42"/>
    <x v="144"/>
    <s v="Desplegar en el territori les campanyes de sensibilització i bones pràctiques que s'impulsin des de la DG"/>
    <s v="Comú"/>
    <s v="Obligatori"/>
    <x v="146"/>
    <m/>
    <x v="0"/>
    <s v="MÀXIMA"/>
    <s v="*Participació en la concreció dels missatges i peces creatives de la campanya de la DG.  _x000a_*Difusió de la campanya aprofintant les eines i equipaments de l'ENP. _x000a_*Establiment d'acords amb amb entitats i institucions locals per a la difusió local de la campanya.  "/>
    <s v="PEEVA_x000a_ESNATURA"/>
    <s v="SEA: Elabora un document marc per unificar missatges i coordinar la difusió"/>
    <m/>
    <m/>
    <m/>
    <m/>
    <m/>
    <m/>
    <m/>
    <x v="0"/>
    <m/>
    <x v="181"/>
    <n v="530"/>
    <m/>
    <m/>
    <m/>
    <m/>
  </r>
  <r>
    <x v="5"/>
    <x v="12"/>
    <x v="12"/>
    <x v="42"/>
    <x v="42"/>
    <x v="144"/>
    <s v="Desplegar en el territori les campanyes de sensibilització i bones pràctiques que s'impulsin des de la DG"/>
    <s v="Comú"/>
    <s v="Obligatori"/>
    <x v="146"/>
    <m/>
    <x v="0"/>
    <m/>
    <m/>
    <m/>
    <m/>
    <m/>
    <m/>
    <m/>
    <m/>
    <m/>
    <m/>
    <m/>
    <x v="0"/>
    <m/>
    <x v="182"/>
    <n v="5000"/>
    <m/>
    <m/>
    <m/>
    <m/>
  </r>
  <r>
    <x v="5"/>
    <x v="12"/>
    <x v="12"/>
    <x v="42"/>
    <x v="42"/>
    <x v="144"/>
    <s v="Desplegar en el territori les campanyes de sensibilització i bones pràctiques que s'impulsin des de la DG"/>
    <s v="Comú"/>
    <s v="Obligatori"/>
    <x v="146"/>
    <m/>
    <x v="0"/>
    <m/>
    <m/>
    <m/>
    <m/>
    <m/>
    <m/>
    <m/>
    <m/>
    <m/>
    <m/>
    <m/>
    <x v="0"/>
    <m/>
    <x v="183"/>
    <n v="530"/>
    <m/>
    <m/>
    <m/>
    <m/>
  </r>
  <r>
    <x v="5"/>
    <x v="12"/>
    <x v="12"/>
    <x v="42"/>
    <x v="42"/>
    <x v="144"/>
    <s v="Desplegar en el territori les campanyes de sensibilització i bones pràctiques que s'impulsin des de la DG"/>
    <s v="Comú"/>
    <s v="Obligatori"/>
    <x v="146"/>
    <m/>
    <x v="0"/>
    <m/>
    <m/>
    <m/>
    <m/>
    <m/>
    <m/>
    <m/>
    <m/>
    <m/>
    <m/>
    <m/>
    <x v="1"/>
    <s v="Pla d'acció 2022-2026 de la CETS."/>
    <x v="184"/>
    <m/>
    <m/>
    <m/>
    <m/>
    <m/>
  </r>
  <r>
    <x v="5"/>
    <x v="12"/>
    <x v="12"/>
    <x v="42"/>
    <x v="42"/>
    <x v="144"/>
    <s v="Desplegar en el territori les campanyes de sensibilització i bones pràctiques que s'impulsin des de la DG"/>
    <s v="Comú"/>
    <s v="Obligatori"/>
    <x v="146"/>
    <m/>
    <x v="0"/>
    <m/>
    <m/>
    <m/>
    <m/>
    <m/>
    <m/>
    <m/>
    <m/>
    <m/>
    <m/>
    <m/>
    <x v="1"/>
    <s v="Pla d'acció 2022-2026 de la CETS."/>
    <x v="185"/>
    <n v="0"/>
    <m/>
    <m/>
    <m/>
    <m/>
  </r>
  <r>
    <x v="5"/>
    <x v="12"/>
    <x v="12"/>
    <x v="42"/>
    <x v="42"/>
    <x v="145"/>
    <s v="Adaptar el programa de divulgació i sensibilització de l'ENP perquè incorpori una oferta d’activitats adequada per a famílies "/>
    <s v="Comú"/>
    <s v="Optatiu"/>
    <x v="147"/>
    <s v="Inclòs al Pla estratègic 2021-2030 d’educació i voluntariat ambiental del Parc Natural dels Ports (PEEVA) - EA5"/>
    <x v="0"/>
    <s v="ALTA"/>
    <s v="*Disseny d'una oferta d’activitats d’educació ambiental de caire lúdic adreçada a famílies._x000a_*Tenir en compte temes de salut i natura "/>
    <s v="PEEVA_x000a_ESNATURA"/>
    <m/>
    <m/>
    <m/>
    <m/>
    <m/>
    <m/>
    <m/>
    <m/>
    <x v="5"/>
    <s v="Pla estratègic 2021-2030 d'educació i voluntariat ambiental "/>
    <x v="186"/>
    <m/>
    <m/>
    <m/>
    <m/>
    <m/>
  </r>
  <r>
    <x v="5"/>
    <x v="12"/>
    <x v="12"/>
    <x v="42"/>
    <x v="42"/>
    <x v="145"/>
    <s v="Adaptar el programa de divulgació i sensibilització de l'ENP perquè incorpori una oferta d’activitats dirigida al lleure educatiu "/>
    <s v="Comú"/>
    <s v="Optatiu"/>
    <x v="148"/>
    <s v="Inclòs al Pla estratègic 2021-2030 d’educació i voluntariat ambiental del Parc Natural dels Ports (PEEVA) - ERP3"/>
    <x v="0"/>
    <s v="ALTA"/>
    <s v="*Entendre els campaments i estades com un públic prioritari i definir quin és el seu objectiu en aquest àmbit: _x000a_*Promoció de campaments i estades, _x000a_*Establiment de vincles entre els campaments i estades que ja es realitzen al parc i l’activitat d’EiVA del parc."/>
    <s v="PEEVA_x000a_ESNATURA"/>
    <m/>
    <m/>
    <m/>
    <m/>
    <m/>
    <m/>
    <m/>
    <m/>
    <x v="5"/>
    <s v="Pla estratègic 2021-2030 d'educació i voluntariat ambiental "/>
    <x v="187"/>
    <m/>
    <m/>
    <m/>
    <m/>
    <m/>
  </r>
  <r>
    <x v="5"/>
    <x v="12"/>
    <x v="12"/>
    <x v="43"/>
    <x v="43"/>
    <x v="146"/>
    <s v="Identificar col·lectius estratègics implicats en la gestió i l'ús del territori"/>
    <s v="Comú"/>
    <s v="Obligatori"/>
    <x v="149"/>
    <m/>
    <x v="0"/>
    <m/>
    <m/>
    <s v="PEEVA_x000a_ESNATURA"/>
    <m/>
    <m/>
    <m/>
    <m/>
    <m/>
    <m/>
    <m/>
    <m/>
    <x v="0"/>
    <m/>
    <x v="6"/>
    <m/>
    <m/>
    <m/>
    <m/>
    <m/>
  </r>
  <r>
    <x v="5"/>
    <x v="12"/>
    <x v="12"/>
    <x v="43"/>
    <x v="43"/>
    <x v="147"/>
    <s v="Executar els projectes de sensibilització i formació dirigits al sector turístic, esportiu i de lleure"/>
    <s v="Comú"/>
    <s v="Optatiu"/>
    <x v="150"/>
    <s v="La resta de sectors ja estan inclosos en altres Ops"/>
    <x v="0"/>
    <s v="ALTA"/>
    <s v="*Disseny d'activitats adreçades als agents turístics locals i/o en col·laboració amb ells per promoure el seu paper com a prescriptors de la conservació de la natura (oficines de turisme, agències receptives, allotjaments, empreses d'activitats esportives / recreatives, restaurants...) (punt molt relacionat amb la CETS). "/>
    <s v="PEEVA_x000a_ESNATURA"/>
    <m/>
    <m/>
    <m/>
    <m/>
    <m/>
    <m/>
    <m/>
    <m/>
    <x v="0"/>
    <m/>
    <x v="6"/>
    <m/>
    <m/>
    <m/>
    <m/>
    <m/>
  </r>
  <r>
    <x v="5"/>
    <x v="12"/>
    <x v="12"/>
    <x v="43"/>
    <x v="43"/>
    <x v="148"/>
    <s v="Executar els projectes de sensibilització i formació dirigits als agents de lleure educatiu "/>
    <s v="Comú"/>
    <s v="Optatiu"/>
    <x v="151"/>
    <m/>
    <x v="0"/>
    <s v="ALTA"/>
    <s v="*Establiment i consolidació d'aliances amb programes i entitats de lleure educatiu locals (activitats extraescolars, casals d’estiu, caus i esplais...). Proposta als campaments de fer petites accions de manteniment dels espais del parc."/>
    <s v="PEEVA_x000a_ESNATURA"/>
    <m/>
    <m/>
    <m/>
    <m/>
    <m/>
    <m/>
    <m/>
    <m/>
    <x v="0"/>
    <m/>
    <x v="6"/>
    <m/>
    <m/>
    <m/>
    <m/>
    <m/>
  </r>
  <r>
    <x v="5"/>
    <x v="12"/>
    <x v="12"/>
    <x v="43"/>
    <x v="43"/>
    <x v="149"/>
    <s v="Executar els projectes de sensibilització i formació dirigits als agents del sector primari "/>
    <s v="Comú"/>
    <s v="Optatiu"/>
    <x v="152"/>
    <s v="Inclòs al Pla estratègic 2021-2030 d’educació i voluntariat ambiental del Parc Natural dels Ports (PEEVA) - EA6"/>
    <x v="0"/>
    <s v="ALTA"/>
    <m/>
    <s v="PEEVA_x000a_ESNATURA"/>
    <m/>
    <m/>
    <m/>
    <m/>
    <m/>
    <m/>
    <m/>
    <m/>
    <x v="5"/>
    <s v="Pla estratègic 2021-2030 d'educació i voluntariat ambiental "/>
    <x v="188"/>
    <m/>
    <m/>
    <m/>
    <m/>
    <m/>
  </r>
  <r>
    <x v="5"/>
    <x v="12"/>
    <x v="12"/>
    <x v="43"/>
    <x v="43"/>
    <x v="150"/>
    <s v="Elaborar i renovar periòdicament un programa d’educació ambiental adreçat a la població local que contribueixi a fomentar el sentiment de pertinença i la implicació en la conservació de l'ENP."/>
    <s v="Comú"/>
    <s v="Obligatori"/>
    <x v="153"/>
    <s v="Inclòs al Pla estratègic 2021-2030 d’educació i voluntariat ambiental del Parc Natural dels Ports (PEEVA) - EA4"/>
    <x v="0"/>
    <s v="MÀXIMA"/>
    <s v="*Estudi de percepció local_x000a_*Renovació del programa educatiu de forma adaptativa_x000a_"/>
    <s v="PEEVA_x000a_ESNATURA"/>
    <m/>
    <m/>
    <m/>
    <m/>
    <m/>
    <m/>
    <m/>
    <m/>
    <x v="5"/>
    <s v="Pla estratègic 2021-2030 d'educació i voluntariat ambiental "/>
    <x v="189"/>
    <n v="1800"/>
    <m/>
    <m/>
    <m/>
    <m/>
  </r>
  <r>
    <x v="5"/>
    <x v="12"/>
    <x v="12"/>
    <x v="43"/>
    <x v="43"/>
    <x v="150"/>
    <s v="Elaborar i renovar periòdicament un programa d’educació ambiental adreçat a la població local que contribueixi a fomentar el sentiment de pertinença i la implicació en la conservació de l'ENP."/>
    <s v="Comú"/>
    <s v="Obligatori"/>
    <x v="153"/>
    <s v="Inclòs al Pla estratègic 2021-2030 d’educació i voluntariat ambiental del Parc Natural dels Ports (PEEVA) - EA4"/>
    <x v="0"/>
    <s v="MÀXIMA"/>
    <s v="*Estudi de percepció local_x000a_*Renovació del programa educatiu de forma adaptativa_x000a_"/>
    <s v="PEEVA_x000a_ESNATURA"/>
    <m/>
    <m/>
    <m/>
    <m/>
    <m/>
    <m/>
    <m/>
    <m/>
    <x v="4"/>
    <s v="Programa d'EA 2023-2027"/>
    <x v="190"/>
    <m/>
    <m/>
    <m/>
    <m/>
    <m/>
  </r>
  <r>
    <x v="5"/>
    <x v="12"/>
    <x v="12"/>
    <x v="43"/>
    <x v="43"/>
    <x v="150"/>
    <s v="Elaborar i renovar periòdicament un programa d’educació ambiental adreçat a la població local que contribueixi a fomentar el sentiment de pertinença i la implicació en la conservació de l'ENP."/>
    <s v="Comú"/>
    <s v="Obligatori"/>
    <x v="153"/>
    <s v="Inclòs al Pla estratègic 2021-2030 d’educació i voluntariat ambiental del Parc Natural dels Ports (PEEVA) - EA4"/>
    <x v="0"/>
    <s v="MÀXIMA"/>
    <s v="*Estudi de percepció local_x000a_*Renovació del programa educatiu de forma adaptativa_x000a_"/>
    <s v="PEEVA_x000a_ESNATURA"/>
    <m/>
    <m/>
    <m/>
    <m/>
    <m/>
    <m/>
    <m/>
    <m/>
    <x v="4"/>
    <s v="Programa d'EA 2023-2027"/>
    <x v="191"/>
    <m/>
    <m/>
    <m/>
    <m/>
    <m/>
  </r>
  <r>
    <x v="6"/>
    <x v="13"/>
    <x v="13"/>
    <x v="44"/>
    <x v="44"/>
    <x v="151"/>
    <m/>
    <m/>
    <m/>
    <x v="154"/>
    <m/>
    <x v="2"/>
    <m/>
    <m/>
    <m/>
    <m/>
    <m/>
    <m/>
    <m/>
    <m/>
    <m/>
    <m/>
    <m/>
    <x v="0"/>
    <m/>
    <x v="6"/>
    <m/>
    <m/>
    <m/>
    <m/>
    <m/>
  </r>
  <r>
    <x v="5"/>
    <x v="12"/>
    <x v="12"/>
    <x v="45"/>
    <x v="45"/>
    <x v="152"/>
    <s v="Identificar els programes, projectes i accions en marxa o previstos a l’ENP que poden rebre el suport del voluntariat"/>
    <s v="Comú"/>
    <s v="Obligatori"/>
    <x v="155"/>
    <s v="Inclòs al Pla estratègic 2021-2030 d’educació i voluntariat ambiental del Parc Natural dels Ports (PEEVA)"/>
    <x v="0"/>
    <s v="MÀXIMA"/>
    <m/>
    <s v="PEEVA_x000a_ESNATURA"/>
    <m/>
    <m/>
    <m/>
    <m/>
    <m/>
    <m/>
    <m/>
    <m/>
    <x v="5"/>
    <s v="Pla estratègic 2021-2030 d'educació i voluntariat ambiental "/>
    <x v="192"/>
    <m/>
    <m/>
    <m/>
    <m/>
    <m/>
  </r>
  <r>
    <x v="5"/>
    <x v="12"/>
    <x v="12"/>
    <x v="45"/>
    <x v="45"/>
    <x v="153"/>
    <s v="Establir un model de coordinació territorial amb agents clau del voluntariat ambiental"/>
    <s v="Comú"/>
    <s v="Obligatori"/>
    <x v="156"/>
    <s v="Inclòs al Pla estratègic 2021-2030 d’educació i voluntariat ambiental del Parc Natural dels Ports (PEEVA) - VA1"/>
    <x v="0"/>
    <s v="ALTA"/>
    <s v="*Elaboració i actualització periòdica del mapa d’agents de voluntariat que actuen a l’ENP, incloent entitats ambientals i altres entitats que participen en activitats de voluntariat ambiental_x000a_*Establiment d'acords i col·laboracions i projectes conjunts de voluntariat ambiental amb els agents clau del territori_x000a_*Valorar la idoneïtat de crear una Taula de Voluntariat Ambiental, en els ENP que encara no ho tingui._x000a_*Convocar les taules de voluntariat ja constituïdes de cada ENP (o agrupacions d’ENP)._x000a_*Enfortiment i promoció de la participació de noves entitats a les taules de voluntariat ja constituïdes._x000a_*Participació en la definició i desplegament dels plans de treball de la taula de voluntariat ambiental. "/>
    <s v="ESNATURA_x000a_PEEVA"/>
    <s v="SEA: Elabora Model de Taula de Voluntariat Ambiental "/>
    <m/>
    <m/>
    <m/>
    <m/>
    <m/>
    <m/>
    <m/>
    <x v="5"/>
    <s v="Pla estratègic 2021-2030 d'educació i voluntariat ambiental "/>
    <x v="193"/>
    <m/>
    <m/>
    <m/>
    <m/>
    <m/>
  </r>
  <r>
    <x v="5"/>
    <x v="12"/>
    <x v="12"/>
    <x v="45"/>
    <x v="45"/>
    <x v="154"/>
    <m/>
    <m/>
    <m/>
    <x v="157"/>
    <s v="Inclòs al Pla estratègic 2021-2030 d’educació i voluntariat ambiental del Parc Natural dels Ports (PEEVA)"/>
    <x v="0"/>
    <m/>
    <m/>
    <m/>
    <m/>
    <m/>
    <m/>
    <m/>
    <m/>
    <m/>
    <m/>
    <m/>
    <x v="5"/>
    <s v="Pla estratègic 2021-2030 d'educació i voluntariat ambiental "/>
    <x v="194"/>
    <n v="1000"/>
    <m/>
    <m/>
    <m/>
    <m/>
  </r>
  <r>
    <x v="5"/>
    <x v="12"/>
    <x v="12"/>
    <x v="45"/>
    <x v="45"/>
    <x v="154"/>
    <m/>
    <m/>
    <m/>
    <x v="157"/>
    <s v="Inclòs al Pla estratègic 2021-2030 d’educació i voluntariat ambiental del Parc Natural dels Ports (PEEVA)"/>
    <x v="0"/>
    <m/>
    <m/>
    <m/>
    <m/>
    <m/>
    <m/>
    <m/>
    <m/>
    <m/>
    <m/>
    <m/>
    <x v="5"/>
    <s v="Pla estratègic 2021-2030 d'educació i voluntariat ambiental "/>
    <x v="195"/>
    <m/>
    <m/>
    <m/>
    <m/>
    <m/>
  </r>
  <r>
    <x v="5"/>
    <x v="12"/>
    <x v="12"/>
    <x v="45"/>
    <x v="45"/>
    <x v="154"/>
    <m/>
    <m/>
    <m/>
    <x v="157"/>
    <s v="Inclòs al Pla estratègic 2021-2030 d’educació i voluntariat ambiental del Parc Natural dels Ports (PEEVA)"/>
    <x v="0"/>
    <m/>
    <m/>
    <m/>
    <m/>
    <m/>
    <m/>
    <m/>
    <m/>
    <m/>
    <m/>
    <m/>
    <x v="5"/>
    <s v="Pla estratègic 2021-2030 d'educació i voluntariat ambiental "/>
    <x v="196"/>
    <m/>
    <m/>
    <m/>
    <m/>
    <m/>
  </r>
  <r>
    <x v="5"/>
    <x v="12"/>
    <x v="12"/>
    <x v="46"/>
    <x v="46"/>
    <x v="155"/>
    <s v="Dissenyar i adaptar activitats inclusives per a persones amb necessitats específiques"/>
    <s v="Comú"/>
    <s v="Obligatori"/>
    <x v="158"/>
    <m/>
    <x v="0"/>
    <s v="MITJANA"/>
    <m/>
    <s v="PEEVA_x000a_ESNATURA"/>
    <m/>
    <m/>
    <m/>
    <m/>
    <m/>
    <m/>
    <m/>
    <m/>
    <x v="0"/>
    <m/>
    <x v="6"/>
    <m/>
    <m/>
    <m/>
    <m/>
    <m/>
  </r>
  <r>
    <x v="5"/>
    <x v="12"/>
    <x v="12"/>
    <x v="46"/>
    <x v="46"/>
    <x v="156"/>
    <s v="Formar el personal de l'ENP (informadors i personal que treballa de cara al públic) en accessibilitat, diversitat funcional i diversitat de gènere"/>
    <s v="Comú"/>
    <s v="Optatiu"/>
    <x v="159"/>
    <m/>
    <x v="0"/>
    <s v="ALTA"/>
    <m/>
    <s v="PEEVA_x000a_ESNATURA"/>
    <m/>
    <m/>
    <m/>
    <m/>
    <m/>
    <m/>
    <m/>
    <m/>
    <x v="0"/>
    <m/>
    <x v="6"/>
    <m/>
    <m/>
    <m/>
    <m/>
    <m/>
  </r>
  <r>
    <x v="5"/>
    <x v="12"/>
    <x v="12"/>
    <x v="46"/>
    <x v="46"/>
    <x v="157"/>
    <s v="Incorporar la perspectiva de gènere als continguts i activitats de l'ENP"/>
    <s v="Comú"/>
    <s v="Obligatori"/>
    <x v="160"/>
    <m/>
    <x v="0"/>
    <s v="ALTA"/>
    <m/>
    <s v="PEEVA_x000a_ESNATURA"/>
    <m/>
    <m/>
    <m/>
    <m/>
    <m/>
    <m/>
    <m/>
    <m/>
    <x v="0"/>
    <m/>
    <x v="6"/>
    <m/>
    <m/>
    <m/>
    <m/>
    <m/>
  </r>
  <r>
    <x v="5"/>
    <x v="12"/>
    <x v="12"/>
    <x v="47"/>
    <x v="47"/>
    <x v="158"/>
    <s v="Dissenyar, implementar i fomentar itineraris saludables dins dels itineraris oficials dels ENP i en la zona d'influència"/>
    <s v="Comú"/>
    <s v="Optatiu"/>
    <x v="161"/>
    <s v="Inclòs al Pla d'acció 2022-2026 de la CETS (A.4.2.1)"/>
    <x v="0"/>
    <s v="ALTA"/>
    <s v="* Promoure itineraris saludables,                                                                                                                                                                                                                            * Incorporació i promoció de guiatges terapèutics en aquests itineraris "/>
    <s v="PEEVA_x000a_ESNATURA"/>
    <m/>
    <m/>
    <m/>
    <m/>
    <m/>
    <m/>
    <m/>
    <m/>
    <x v="1"/>
    <s v="Pla d'acció 2022-2026 de la CETS."/>
    <x v="197"/>
    <m/>
    <m/>
    <m/>
    <m/>
    <m/>
  </r>
  <r>
    <x v="5"/>
    <x v="12"/>
    <x v="12"/>
    <x v="47"/>
    <x v="47"/>
    <x v="158"/>
    <s v="Dissenyar, implementar i fomentar itineraris saludables dins dels itineraris oficials dels ENP i en la zona d'influència"/>
    <s v="Comú"/>
    <s v="Optatiu"/>
    <x v="161"/>
    <s v="Inclòs al Pla d'acció 2022-2026 de la CETS (A.4.2.1)"/>
    <x v="0"/>
    <s v="ALTA"/>
    <s v="* Promoure itineraris saludables,                                                                                                                                                                                                                            * Incorporació i promoció de guiatges terapèutics en aquests itineraris "/>
    <s v="PEEVA_x000a_ESNATURA"/>
    <m/>
    <m/>
    <m/>
    <m/>
    <m/>
    <m/>
    <m/>
    <m/>
    <x v="1"/>
    <s v="Pla d'acció 2022-2026 de la CETS."/>
    <x v="198"/>
    <m/>
    <n v="14000"/>
    <m/>
    <m/>
    <m/>
  </r>
  <r>
    <x v="5"/>
    <x v="12"/>
    <x v="12"/>
    <x v="47"/>
    <x v="47"/>
    <x v="158"/>
    <s v="Dissenyar, implementar i fomentar itineraris saludables dins dels itineraris oficials dels ENP i en la zona d'influència"/>
    <s v="Comú"/>
    <s v="Optatiu"/>
    <x v="161"/>
    <s v="Inclòs al Pla d'acció 2022-2026 de la CETS (A.4.2.1)"/>
    <x v="0"/>
    <s v="ALTA"/>
    <s v="* Promoure itineraris saludables,                                                                                                                                                                                                                            * Incorporació i promoció de guiatges terapèutics en aquests itineraris "/>
    <s v="PEEVA_x000a_ESNATURA"/>
    <m/>
    <m/>
    <m/>
    <m/>
    <m/>
    <m/>
    <m/>
    <m/>
    <x v="1"/>
    <s v="Pla d'acció 2022-2026 de la CETS."/>
    <x v="199"/>
    <m/>
    <m/>
    <m/>
    <m/>
    <n v="5983.6"/>
  </r>
  <r>
    <x v="5"/>
    <x v="12"/>
    <x v="12"/>
    <x v="47"/>
    <x v="47"/>
    <x v="159"/>
    <s v="Identificar els agents clau i els àmbits de col·laboració per implementar el binomi salut i natura"/>
    <s v="Comú"/>
    <s v="Optatiu"/>
    <x v="162"/>
    <s v="Inclòs a l'Ops 13.8.5: Desplegar la Taula Territorial de Salut i Natura de les Terres de l'Ebre"/>
    <x v="1"/>
    <s v="ALTA"/>
    <s v="*Proposta d'espais per a la integració d'equipaments assistencials dins l'ENP_x000a_*Desplegament, de forma coordinada amb els CAPs, activitats i programes adreçats a col·lectius diana dins l'ENP (Ex: prescripció de natura (recepta verda i blava)._x000a_*Facilitar projectes pilot de recerca sobre els beneficis del contacte amb la natura per la salut, per a la població en general o perfils específics."/>
    <s v="PEEVA_x000a_ESNATURA"/>
    <m/>
    <m/>
    <m/>
    <m/>
    <m/>
    <m/>
    <m/>
    <m/>
    <x v="6"/>
    <s v="Taula de Salut i Natura de les Terres de l'Ebre"/>
    <x v="6"/>
    <m/>
    <m/>
    <m/>
    <m/>
    <m/>
  </r>
  <r>
    <x v="5"/>
    <x v="12"/>
    <x v="12"/>
    <x v="47"/>
    <x v="47"/>
    <x v="160"/>
    <s v="Incloure el concepte de salut i natura en els missatges educatius i comunicatius de l'ENP "/>
    <s v="Comú"/>
    <s v="Optatiu"/>
    <x v="163"/>
    <s v="Inclòs a l'Ops 13.8.5: Desplegar la Taula Territorial de Salut i Natura de les Terres de l'Ebre"/>
    <x v="1"/>
    <s v="ALTA"/>
    <s v="*Inclusió en el pla d'acció de la CETS, o la seva renovació, de l'Eix Salut i Natura_x000a_*Inclusió del concepte de Salut i Natura en els missatges comunicatius de conservació i sensibilització_x000a_*Inclusió en els cursos i formacions de l'ENP elements de la interdependència salut i natura. _x000a_*Oferir i donar a conèixer els recursos que es generin en relació aquesta temàtica a la Xarxa d'Escoles del parc, entitats i altres agents del territori"/>
    <s v="PEEVA_x000a_ESNATURA"/>
    <m/>
    <m/>
    <m/>
    <m/>
    <m/>
    <m/>
    <m/>
    <m/>
    <x v="6"/>
    <s v="Taula de Salut i Natura de les Terres de l'Ebre"/>
    <x v="6"/>
    <m/>
    <m/>
    <m/>
    <m/>
    <m/>
  </r>
  <r>
    <x v="5"/>
    <x v="12"/>
    <x v="12"/>
    <x v="47"/>
    <x v="47"/>
    <x v="161"/>
    <s v="Participar a les Taules territorials de Salut i Natura"/>
    <s v="Comú"/>
    <s v="Optatiu"/>
    <x v="164"/>
    <s v="Inclòs a l'Ops 13.8.5: Desplegar la Taula Territorial de Salut i Natura de les Terres de l'Ebre"/>
    <x v="1"/>
    <s v="ALTA"/>
    <m/>
    <s v="PEEVA_x000a_ESNATURA"/>
    <m/>
    <m/>
    <m/>
    <m/>
    <m/>
    <m/>
    <m/>
    <m/>
    <x v="6"/>
    <s v="Taula de Salut i Natura de les Terres de l'Ebre"/>
    <x v="6"/>
    <m/>
    <m/>
    <m/>
    <m/>
    <m/>
  </r>
  <r>
    <x v="5"/>
    <x v="14"/>
    <x v="12"/>
    <x v="48"/>
    <x v="47"/>
    <x v="162"/>
    <m/>
    <m/>
    <m/>
    <x v="165"/>
    <s v="*NOU. Inclou tots els Ops del 13.8, a més altres Ops no inclosos en el Pla estratègic"/>
    <x v="0"/>
    <s v="ALTA"/>
    <m/>
    <m/>
    <m/>
    <m/>
    <m/>
    <m/>
    <m/>
    <m/>
    <m/>
    <m/>
    <x v="6"/>
    <s v="Taula de Salut i Natura de les Terres de l'Ebre"/>
    <x v="6"/>
    <m/>
    <m/>
    <m/>
    <m/>
    <m/>
  </r>
  <r>
    <x v="5"/>
    <x v="14"/>
    <x v="14"/>
    <x v="49"/>
    <x v="48"/>
    <x v="163"/>
    <s v="Informar periòdicament sobre les tasques, projectes i actuacions que duu a terme l'ENP a la població"/>
    <s v="Comú"/>
    <s v="Obligatori"/>
    <x v="166"/>
    <m/>
    <x v="0"/>
    <s v="MITJANA"/>
    <s v="*Elaborar els productes comunicatius que es determinin conjuntament amb Serveis Centrals : ex.un telegrama mensual, butlletí , agenda activitats trimestral, fulletó informatiu vinculats amb ús públic. Etc_x000a_*Donar a conèixer l'equip del Parc através dels diferents canals comunicatius_x000a_*Inclusió d'aspectes de transparència informativa sobre el que s’està treballant des de l’ENP_x000a_*Creació d'un banc d’imatges, vídeos, vídeos amb vols de dron_x000a_*Posar a disposició de la societat els estudis i informes que s'han fet del Parc (realització de jornades, infografies etc)_x000a_*Generació d'un servei geogràfic d'oferta de senders oficials i equipaments_x000a_*Vetllar pel correcte tractament i emmagatzematge d'aquests estudis i informes (repositori)"/>
    <s v="Pla de comunicació"/>
    <s v="SENP: Elaborar els productes comunicatius"/>
    <m/>
    <m/>
    <m/>
    <m/>
    <m/>
    <m/>
    <m/>
    <x v="0"/>
    <m/>
    <x v="200"/>
    <n v="1800"/>
    <m/>
    <m/>
    <m/>
    <m/>
  </r>
  <r>
    <x v="5"/>
    <x v="14"/>
    <x v="14"/>
    <x v="49"/>
    <x v="48"/>
    <x v="163"/>
    <s v="Informar periòdicament sobre les tasques, projectes i actuacions que duu a terme l'ENP a la població"/>
    <s v="Comú"/>
    <s v="Obligatori"/>
    <x v="166"/>
    <m/>
    <x v="0"/>
    <m/>
    <m/>
    <m/>
    <m/>
    <m/>
    <m/>
    <m/>
    <m/>
    <m/>
    <m/>
    <m/>
    <x v="0"/>
    <m/>
    <x v="201"/>
    <n v="7200"/>
    <m/>
    <m/>
    <m/>
    <m/>
  </r>
  <r>
    <x v="5"/>
    <x v="14"/>
    <x v="14"/>
    <x v="49"/>
    <x v="48"/>
    <x v="163"/>
    <s v="Informar periòdicament sobre les tasques, projectes i actuacions que duu a terme l'ENP a la població"/>
    <s v="Comú"/>
    <s v="Obligatori"/>
    <x v="166"/>
    <m/>
    <x v="0"/>
    <m/>
    <m/>
    <m/>
    <m/>
    <m/>
    <m/>
    <m/>
    <m/>
    <m/>
    <m/>
    <m/>
    <x v="0"/>
    <m/>
    <x v="202"/>
    <n v="2500"/>
    <m/>
    <m/>
    <m/>
    <m/>
  </r>
  <r>
    <x v="5"/>
    <x v="14"/>
    <x v="14"/>
    <x v="49"/>
    <x v="48"/>
    <x v="163"/>
    <s v="Informar periòdicament sobre les tasques, projectes i actuacions que duu a terme l'ENP a la població"/>
    <s v="Comú"/>
    <s v="Obligatori"/>
    <x v="166"/>
    <m/>
    <x v="0"/>
    <m/>
    <m/>
    <m/>
    <m/>
    <m/>
    <m/>
    <m/>
    <m/>
    <m/>
    <m/>
    <m/>
    <x v="2"/>
    <s v="Pla d'acció per al foment de l'artesania del Parc Natural dels Ports (2023-2027)"/>
    <x v="203"/>
    <m/>
    <m/>
    <m/>
    <m/>
    <m/>
  </r>
  <r>
    <x v="5"/>
    <x v="14"/>
    <x v="14"/>
    <x v="49"/>
    <x v="48"/>
    <x v="163"/>
    <s v="Informar periòdicament sobre les tasques, projectes i actuacions que duu a terme l'ENP a la població"/>
    <s v="Comú"/>
    <s v="Obligatori"/>
    <x v="166"/>
    <m/>
    <x v="0"/>
    <m/>
    <m/>
    <m/>
    <m/>
    <m/>
    <m/>
    <m/>
    <m/>
    <m/>
    <m/>
    <m/>
    <x v="0"/>
    <m/>
    <x v="204"/>
    <n v="1603.25"/>
    <m/>
    <m/>
    <m/>
    <m/>
  </r>
  <r>
    <x v="5"/>
    <x v="14"/>
    <x v="14"/>
    <x v="49"/>
    <x v="48"/>
    <x v="163"/>
    <s v="Informar periòdicament sobre les tasques, projectes i actuacions que duu a terme l'ENP a la població"/>
    <s v="Comú"/>
    <s v="Obligatori"/>
    <x v="166"/>
    <m/>
    <x v="0"/>
    <m/>
    <m/>
    <m/>
    <m/>
    <m/>
    <m/>
    <m/>
    <m/>
    <m/>
    <m/>
    <m/>
    <x v="0"/>
    <m/>
    <x v="205"/>
    <n v="3243.55"/>
    <m/>
    <m/>
    <m/>
    <m/>
  </r>
  <r>
    <x v="5"/>
    <x v="14"/>
    <x v="14"/>
    <x v="49"/>
    <x v="48"/>
    <x v="163"/>
    <s v="Informar periòdicament sobre les tasques, projectes i actuacions que duu a terme l'ENP a la població"/>
    <s v="Comú"/>
    <s v="Obligatori"/>
    <x v="166"/>
    <m/>
    <x v="0"/>
    <m/>
    <m/>
    <m/>
    <m/>
    <m/>
    <m/>
    <m/>
    <m/>
    <m/>
    <m/>
    <m/>
    <x v="0"/>
    <m/>
    <x v="206"/>
    <n v="1710.8"/>
    <m/>
    <m/>
    <m/>
    <m/>
  </r>
  <r>
    <x v="5"/>
    <x v="14"/>
    <x v="14"/>
    <x v="49"/>
    <x v="48"/>
    <x v="163"/>
    <s v="Informar periòdicament sobre les tasques, projectes i actuacions que duu a terme l'ENP a la població"/>
    <s v="Comú"/>
    <s v="Obligatori"/>
    <x v="166"/>
    <m/>
    <x v="0"/>
    <m/>
    <m/>
    <m/>
    <m/>
    <m/>
    <m/>
    <m/>
    <m/>
    <m/>
    <m/>
    <m/>
    <x v="0"/>
    <m/>
    <x v="207"/>
    <n v="500"/>
    <m/>
    <m/>
    <m/>
    <m/>
  </r>
  <r>
    <x v="5"/>
    <x v="14"/>
    <x v="14"/>
    <x v="49"/>
    <x v="48"/>
    <x v="163"/>
    <s v="Informar periòdicament sobre les tasques, projectes i actuacions que duu a terme l'ENP a la població"/>
    <s v="Comú"/>
    <s v="Obligatori"/>
    <x v="166"/>
    <m/>
    <x v="0"/>
    <m/>
    <m/>
    <m/>
    <m/>
    <m/>
    <m/>
    <m/>
    <m/>
    <m/>
    <m/>
    <m/>
    <x v="0"/>
    <m/>
    <x v="208"/>
    <n v="6300"/>
    <m/>
    <m/>
    <m/>
    <m/>
  </r>
  <r>
    <x v="5"/>
    <x v="14"/>
    <x v="14"/>
    <x v="49"/>
    <x v="48"/>
    <x v="163"/>
    <s v="Informar periòdicament sobre les tasques, projectes i actuacions que duu a terme l'ENP a la població"/>
    <s v="Comú"/>
    <s v="Obligatori"/>
    <x v="166"/>
    <m/>
    <x v="0"/>
    <m/>
    <m/>
    <m/>
    <m/>
    <m/>
    <m/>
    <m/>
    <m/>
    <m/>
    <m/>
    <m/>
    <x v="3"/>
    <s v="Diagnosi dels productors i productores locals del Parc Natural dels Ports. (6.4. Pla d’acció)"/>
    <x v="209"/>
    <m/>
    <m/>
    <m/>
    <m/>
    <m/>
  </r>
  <r>
    <x v="5"/>
    <x v="14"/>
    <x v="14"/>
    <x v="49"/>
    <x v="48"/>
    <x v="163"/>
    <s v="Informar periòdicament sobre les tasques, projectes i actuacions que duu a terme l'ENP a la població"/>
    <s v="Comú"/>
    <s v="Obligatori"/>
    <x v="166"/>
    <m/>
    <x v="0"/>
    <m/>
    <m/>
    <m/>
    <m/>
    <m/>
    <m/>
    <m/>
    <m/>
    <m/>
    <m/>
    <m/>
    <x v="3"/>
    <s v="Diagnosi dels productors i productores locals del Parc Natural dels Ports. (6.4. Pla d’acció)"/>
    <x v="210"/>
    <m/>
    <m/>
    <m/>
    <m/>
    <m/>
  </r>
  <r>
    <x v="5"/>
    <x v="14"/>
    <x v="14"/>
    <x v="49"/>
    <x v="48"/>
    <x v="163"/>
    <s v="Informar periòdicament sobre les tasques, projectes i actuacions que duu a terme l'ENP a la població"/>
    <s v="Comú"/>
    <s v="Obligatori"/>
    <x v="166"/>
    <m/>
    <x v="0"/>
    <m/>
    <m/>
    <m/>
    <m/>
    <m/>
    <m/>
    <m/>
    <m/>
    <m/>
    <m/>
    <m/>
    <x v="3"/>
    <s v="Diagnosi dels productors i productores locals del Parc Natural dels Ports. (6.4. Pla d’acció)"/>
    <x v="211"/>
    <m/>
    <m/>
    <m/>
    <m/>
    <m/>
  </r>
  <r>
    <x v="5"/>
    <x v="14"/>
    <x v="14"/>
    <x v="49"/>
    <x v="48"/>
    <x v="164"/>
    <s v="Garantir l'accessibilitat i gestió del coneixement disponible sobre l'ENP"/>
    <s v="Comú"/>
    <s v="Obligatori"/>
    <x v="167"/>
    <m/>
    <x v="0"/>
    <s v="MITJANA"/>
    <s v="*Oferir diferents versions idiomàtiques dels materials de difusió_x000a_*Ús d'un llenguatge planer quan ens adrecem a la ciutadania_x000a_*Crear un nou espai al web de Preguntes freqüents"/>
    <m/>
    <m/>
    <m/>
    <m/>
    <m/>
    <m/>
    <m/>
    <m/>
    <m/>
    <x v="0"/>
    <m/>
    <x v="6"/>
    <m/>
    <m/>
    <m/>
    <m/>
    <m/>
  </r>
  <r>
    <x v="5"/>
    <x v="14"/>
    <x v="14"/>
    <x v="50"/>
    <x v="49"/>
    <x v="165"/>
    <s v="Sensibilitzar als diferents agents sobre els valors de l'ENP"/>
    <s v="Comú"/>
    <s v="Obligatori"/>
    <x v="168"/>
    <m/>
    <x v="0"/>
    <s v="MITJANA"/>
    <s v="*Creació de material divulgatiu específic a partir de les campanyes de comunicació elaborades conjuntament amb Serveis Centrals (comunicació externa)_x000a_*Foment de la formació de l'equip del Parc i augmentar el coneixement d'aquests valors (comunicació interna)_x000a_*Potenciació de la doble funció dels Centres de documentació: generar informació (material de recerca) i oferir informació als visitants."/>
    <m/>
    <s v="SEA: Crear material divulgatiu"/>
    <m/>
    <m/>
    <m/>
    <m/>
    <m/>
    <m/>
    <m/>
    <x v="0"/>
    <m/>
    <x v="212"/>
    <n v="272.25"/>
    <m/>
    <m/>
    <m/>
    <m/>
  </r>
  <r>
    <x v="5"/>
    <x v="14"/>
    <x v="14"/>
    <x v="50"/>
    <x v="49"/>
    <x v="165"/>
    <s v="Sensibilitzar als diferents agents sobre els valors de l'ENP"/>
    <s v="Comú"/>
    <s v="Obligatori"/>
    <x v="168"/>
    <m/>
    <x v="0"/>
    <m/>
    <m/>
    <m/>
    <m/>
    <m/>
    <m/>
    <m/>
    <m/>
    <m/>
    <m/>
    <m/>
    <x v="0"/>
    <m/>
    <x v="213"/>
    <n v="550"/>
    <m/>
    <m/>
    <m/>
    <m/>
  </r>
  <r>
    <x v="5"/>
    <x v="14"/>
    <x v="14"/>
    <x v="50"/>
    <x v="49"/>
    <x v="165"/>
    <s v="Sensibilitzar als diferents agents sobre els valors de l'ENP"/>
    <s v="Comú"/>
    <s v="Obligatori"/>
    <x v="168"/>
    <m/>
    <x v="0"/>
    <m/>
    <m/>
    <m/>
    <m/>
    <m/>
    <m/>
    <m/>
    <m/>
    <m/>
    <m/>
    <m/>
    <x v="0"/>
    <m/>
    <x v="214"/>
    <n v="272.25"/>
    <m/>
    <m/>
    <m/>
    <m/>
  </r>
  <r>
    <x v="5"/>
    <x v="14"/>
    <x v="14"/>
    <x v="50"/>
    <x v="49"/>
    <x v="165"/>
    <s v="Sensibilitzar als diferents agents sobre els valors de l'ENP"/>
    <s v="Comú"/>
    <s v="Obligatori"/>
    <x v="168"/>
    <m/>
    <x v="0"/>
    <m/>
    <m/>
    <m/>
    <m/>
    <m/>
    <m/>
    <m/>
    <m/>
    <m/>
    <m/>
    <m/>
    <x v="0"/>
    <m/>
    <x v="215"/>
    <n v="4000"/>
    <m/>
    <m/>
    <m/>
    <m/>
  </r>
  <r>
    <x v="5"/>
    <x v="14"/>
    <x v="14"/>
    <x v="50"/>
    <x v="49"/>
    <x v="165"/>
    <s v="Sensibilitzar als diferents agents sobre els valors de l'ENP"/>
    <s v="Comú"/>
    <s v="Obligatori"/>
    <x v="168"/>
    <m/>
    <x v="0"/>
    <m/>
    <m/>
    <m/>
    <m/>
    <m/>
    <m/>
    <m/>
    <m/>
    <m/>
    <m/>
    <m/>
    <x v="0"/>
    <m/>
    <x v="216"/>
    <n v="11228"/>
    <m/>
    <m/>
    <m/>
    <m/>
  </r>
  <r>
    <x v="5"/>
    <x v="14"/>
    <x v="14"/>
    <x v="50"/>
    <x v="49"/>
    <x v="165"/>
    <s v="Sensibilitzar als diferents agents sobre els valors de l'ENP"/>
    <s v="Comú"/>
    <s v="Obligatori"/>
    <x v="168"/>
    <m/>
    <x v="0"/>
    <m/>
    <m/>
    <m/>
    <m/>
    <m/>
    <m/>
    <m/>
    <m/>
    <m/>
    <m/>
    <m/>
    <x v="0"/>
    <m/>
    <x v="217"/>
    <n v="2000"/>
    <m/>
    <m/>
    <m/>
    <m/>
  </r>
  <r>
    <x v="5"/>
    <x v="14"/>
    <x v="14"/>
    <x v="50"/>
    <x v="49"/>
    <x v="165"/>
    <s v="Sensibilitzar als diferents agents sobre els valors de l'ENP"/>
    <s v="Comú"/>
    <s v="Obligatori"/>
    <x v="168"/>
    <m/>
    <x v="0"/>
    <m/>
    <m/>
    <m/>
    <m/>
    <m/>
    <m/>
    <m/>
    <m/>
    <m/>
    <m/>
    <m/>
    <x v="0"/>
    <m/>
    <x v="218"/>
    <n v="2070"/>
    <m/>
    <m/>
    <m/>
    <m/>
  </r>
  <r>
    <x v="5"/>
    <x v="14"/>
    <x v="14"/>
    <x v="50"/>
    <x v="49"/>
    <x v="165"/>
    <s v="Sensibilitzar als diferents agents sobre els valors de l'ENP"/>
    <s v="Comú"/>
    <s v="Obligatori"/>
    <x v="168"/>
    <m/>
    <x v="0"/>
    <m/>
    <m/>
    <m/>
    <m/>
    <m/>
    <m/>
    <m/>
    <m/>
    <m/>
    <m/>
    <m/>
    <x v="0"/>
    <m/>
    <x v="219"/>
    <m/>
    <n v="25000"/>
    <m/>
    <m/>
    <m/>
  </r>
  <r>
    <x v="5"/>
    <x v="14"/>
    <x v="14"/>
    <x v="50"/>
    <x v="49"/>
    <x v="165"/>
    <s v="Sensibilitzar als diferents agents sobre els valors de l'ENP"/>
    <s v="Comú"/>
    <s v="Obligatori"/>
    <x v="168"/>
    <m/>
    <x v="0"/>
    <m/>
    <m/>
    <m/>
    <m/>
    <m/>
    <m/>
    <m/>
    <m/>
    <m/>
    <m/>
    <m/>
    <x v="5"/>
    <s v="Pla estratègic 2021-2030 d'educació i voluntariat ambiental "/>
    <x v="220"/>
    <m/>
    <m/>
    <m/>
    <m/>
    <m/>
  </r>
  <r>
    <x v="5"/>
    <x v="14"/>
    <x v="14"/>
    <x v="51"/>
    <x v="50"/>
    <x v="166"/>
    <s v="Optimitzar els canals de comunicació"/>
    <s v="Comú"/>
    <s v="Obligatori"/>
    <x v="169"/>
    <m/>
    <x v="0"/>
    <s v="MITJANA"/>
    <s v="*Definició i clarificació dels rols de l'equip del parc i una correcta definició de les tasques de cada membre._x000a_*Actualització del web segons el format i estàndards establerts des de Serveis Centrals._x000a_*Tenir un responsable/equip de comunicació amb formació tècnica._x000a_*Estudiar la necessitat i viabilitat d'obrir nous canals comunicatius (butlletí, xxss, revistes etc.) conjuntament amb Serveis Centrals._x000a_*Reunions d'equip periòdiques amb una freqüència no superior a 15 dies._x000a_*Reunions bimensuals de coordinació de la Xarxa dels grups de conservació, d’ús públic i turisme, de gestió econòmica o RAE, d’educació ambiental, de centres de documentació, de millora rural, i de direcció."/>
    <s v="Pla de comunicació"/>
    <m/>
    <m/>
    <m/>
    <m/>
    <m/>
    <m/>
    <m/>
    <m/>
    <x v="5"/>
    <s v="Pla estratègic 2021-2030 d'educació i voluntariat ambiental "/>
    <x v="221"/>
    <m/>
    <m/>
    <m/>
    <m/>
    <m/>
  </r>
  <r>
    <x v="5"/>
    <x v="14"/>
    <x v="14"/>
    <x v="51"/>
    <x v="50"/>
    <x v="167"/>
    <s v="Garantir l'harmonització de la comunicació com a Parc, Xarxa i Generalitat."/>
    <s v="Comú"/>
    <s v="Obligatori"/>
    <x v="170"/>
    <m/>
    <x v="0"/>
    <s v="MITJANA"/>
    <s v="*Planificació i disseny de la comunicació de cada Parc conjuntament amb els Serveis Centrals,  per garantir-ne la imatge corporativa i la coherència com a xarxa (publicacions, xxss, web, NP, merxandatge etc.)_x000a_*Implementació dels protocols vigents d'informació i comunicació_x000a_*Aplicació dels manuals existents i vigents en quan a comunicació corporativa_x000a_*Elaboració i aplicació del Pla de comunicació de l'ENP_x000a_*Participació en els espais d'intercanvi d'informació entre ENP_x000a_*Aplicació del protocol comunicatiu específic per a Juntes Rectores d'ENP"/>
    <s v="Pla de comunicació"/>
    <m/>
    <m/>
    <m/>
    <m/>
    <m/>
    <m/>
    <m/>
    <m/>
    <x v="0"/>
    <m/>
    <x v="6"/>
    <m/>
    <m/>
    <m/>
    <m/>
    <m/>
  </r>
  <r>
    <x v="7"/>
    <x v="15"/>
    <x v="15"/>
    <x v="52"/>
    <x v="51"/>
    <x v="168"/>
    <s v="Crear una taula de treball amb els agents prioritaris per a la gestió de l'ENP i els grups de treball temàtics necessaris"/>
    <s v="Comú"/>
    <s v="Optatiu"/>
    <x v="171"/>
    <s v="Redacció més realista d'acord amb la llei"/>
    <x v="0"/>
    <s v="MITJANA"/>
    <m/>
    <m/>
    <m/>
    <m/>
    <m/>
    <m/>
    <m/>
    <m/>
    <m/>
    <m/>
    <x v="0"/>
    <m/>
    <x v="6"/>
    <m/>
    <m/>
    <m/>
    <m/>
    <m/>
  </r>
  <r>
    <x v="7"/>
    <x v="15"/>
    <x v="15"/>
    <x v="52"/>
    <x v="51"/>
    <x v="169"/>
    <s v="Disposar d'assessorament científic en l'ENP"/>
    <s v="Comú"/>
    <s v="Optatiu"/>
    <x v="172"/>
    <m/>
    <x v="0"/>
    <s v="MITJANA"/>
    <m/>
    <m/>
    <m/>
    <m/>
    <m/>
    <m/>
    <m/>
    <m/>
    <m/>
    <m/>
    <x v="0"/>
    <m/>
    <x v="6"/>
    <m/>
    <m/>
    <m/>
    <m/>
    <m/>
  </r>
  <r>
    <x v="7"/>
    <x v="15"/>
    <x v="15"/>
    <x v="52"/>
    <x v="51"/>
    <x v="170"/>
    <s v="Incloure entitats i organismes científics i culturals de referència en els mecanismes de presa de decisions de l'ENP"/>
    <s v="Comú"/>
    <s v="Optatiu"/>
    <x v="173"/>
    <s v="No pertoca; en tot cas inclòs en l'Op anterior"/>
    <x v="1"/>
    <s v="MITJANA"/>
    <s v="*Inclusió de personal expert exter en els òrgans gestors dels ENP / Inclusió d'entitats i organismes científics i culturals a les reunions de la junta rectora de l'ENP"/>
    <m/>
    <m/>
    <m/>
    <m/>
    <m/>
    <m/>
    <m/>
    <m/>
    <m/>
    <x v="0"/>
    <m/>
    <x v="6"/>
    <m/>
    <m/>
    <m/>
    <m/>
    <m/>
  </r>
  <r>
    <x v="7"/>
    <x v="15"/>
    <x v="15"/>
    <x v="52"/>
    <x v="51"/>
    <x v="171"/>
    <s v="Adaptar i desplegar el model de governança dels espais naturals protegits"/>
    <s v="Comú"/>
    <s v="Obligatori"/>
    <x v="174"/>
    <s v="El model de governança de PNP és la Junta rectora, que no es pot canviar internament"/>
    <x v="0"/>
    <s v="MITJANA"/>
    <s v="*Presentació de la proposta de PE a junta amb un pressupost associat per validar-lo. Possibles aportacions al consell de participació"/>
    <m/>
    <s v="SENP: Elaborar una proposta de model de governança dels espais naturals protegits"/>
    <m/>
    <m/>
    <m/>
    <m/>
    <m/>
    <m/>
    <m/>
    <x v="0"/>
    <m/>
    <x v="6"/>
    <m/>
    <m/>
    <m/>
    <m/>
    <m/>
  </r>
  <r>
    <x v="7"/>
    <x v="15"/>
    <x v="15"/>
    <x v="52"/>
    <x v="51"/>
    <x v="172"/>
    <m/>
    <m/>
    <m/>
    <x v="175"/>
    <s v="NOU. S'incorporen les tasques que es realitzen actualment (convocatòries, actes, gestió de la documentació, manteniment Teams...)"/>
    <x v="0"/>
    <m/>
    <m/>
    <m/>
    <m/>
    <m/>
    <m/>
    <m/>
    <m/>
    <m/>
    <m/>
    <m/>
    <x v="0"/>
    <m/>
    <x v="222"/>
    <n v="0"/>
    <m/>
    <m/>
    <m/>
    <m/>
  </r>
  <r>
    <x v="7"/>
    <x v="15"/>
    <x v="15"/>
    <x v="52"/>
    <x v="51"/>
    <x v="172"/>
    <m/>
    <m/>
    <m/>
    <x v="175"/>
    <m/>
    <x v="0"/>
    <m/>
    <m/>
    <m/>
    <m/>
    <m/>
    <m/>
    <m/>
    <m/>
    <m/>
    <m/>
    <m/>
    <x v="0"/>
    <m/>
    <x v="223"/>
    <n v="0"/>
    <m/>
    <m/>
    <m/>
    <m/>
  </r>
  <r>
    <x v="7"/>
    <x v="15"/>
    <x v="15"/>
    <x v="52"/>
    <x v="51"/>
    <x v="172"/>
    <m/>
    <m/>
    <m/>
    <x v="175"/>
    <m/>
    <x v="0"/>
    <m/>
    <m/>
    <m/>
    <m/>
    <m/>
    <m/>
    <m/>
    <m/>
    <m/>
    <m/>
    <m/>
    <x v="0"/>
    <m/>
    <x v="224"/>
    <n v="0"/>
    <m/>
    <m/>
    <m/>
    <m/>
  </r>
  <r>
    <x v="7"/>
    <x v="15"/>
    <x v="15"/>
    <x v="52"/>
    <x v="51"/>
    <x v="172"/>
    <m/>
    <m/>
    <m/>
    <x v="175"/>
    <s v="Si"/>
    <x v="0"/>
    <m/>
    <m/>
    <m/>
    <m/>
    <m/>
    <m/>
    <m/>
    <m/>
    <m/>
    <m/>
    <m/>
    <x v="0"/>
    <m/>
    <x v="225"/>
    <n v="0"/>
    <m/>
    <m/>
    <m/>
    <m/>
  </r>
  <r>
    <x v="7"/>
    <x v="16"/>
    <x v="16"/>
    <x v="53"/>
    <x v="52"/>
    <x v="173"/>
    <s v="Millorar el sistema de control de l'execució del pressupost, d'acord amb les indicacions de Serveis Centrals"/>
    <s v="Comú"/>
    <s v="Obligatori"/>
    <x v="176"/>
    <m/>
    <x v="0"/>
    <s v="MITJANA"/>
    <s v="*Aplicació del nou sistema de seguiment pressupostari conjunt per a tots els ENP per al control de les despeses (quan entri en funcionament)._x000a_*Aplicació del manual per al règim de gestió econòmica als ENP per traspassar dades al RAE._x000a_*Participació dels espais de coordinació entre ENP per identificar les despeses comunes tramitables a càrrec del pressupost de la DG."/>
    <m/>
    <s v="UGA: Dissenyar i desplegar el nou sistema de seguiment pressupostari conjunt per a tots els ENP._x000a_SENP:  Crear espais de coordinació entre ENP per identificar les despeses comunes"/>
    <m/>
    <m/>
    <m/>
    <m/>
    <m/>
    <m/>
    <m/>
    <x v="0"/>
    <m/>
    <x v="6"/>
    <m/>
    <m/>
    <m/>
    <m/>
    <m/>
  </r>
  <r>
    <x v="7"/>
    <x v="16"/>
    <x v="16"/>
    <x v="53"/>
    <x v="52"/>
    <x v="174"/>
    <m/>
    <m/>
    <m/>
    <x v="177"/>
    <s v="NOU. S'incorporen les tasques que es realitzen actualment"/>
    <x v="0"/>
    <m/>
    <m/>
    <m/>
    <m/>
    <m/>
    <m/>
    <m/>
    <m/>
    <m/>
    <m/>
    <m/>
    <x v="0"/>
    <m/>
    <x v="226"/>
    <n v="85.31"/>
    <m/>
    <m/>
    <m/>
    <m/>
  </r>
  <r>
    <x v="7"/>
    <x v="16"/>
    <x v="16"/>
    <x v="53"/>
    <x v="52"/>
    <x v="174"/>
    <m/>
    <m/>
    <m/>
    <x v="177"/>
    <m/>
    <x v="0"/>
    <m/>
    <m/>
    <m/>
    <m/>
    <m/>
    <m/>
    <m/>
    <m/>
    <m/>
    <m/>
    <m/>
    <x v="0"/>
    <m/>
    <x v="227"/>
    <n v="300"/>
    <m/>
    <m/>
    <m/>
    <m/>
  </r>
  <r>
    <x v="7"/>
    <x v="16"/>
    <x v="16"/>
    <x v="53"/>
    <x v="52"/>
    <x v="174"/>
    <m/>
    <m/>
    <m/>
    <x v="177"/>
    <m/>
    <x v="0"/>
    <m/>
    <m/>
    <m/>
    <m/>
    <m/>
    <m/>
    <m/>
    <m/>
    <m/>
    <m/>
    <m/>
    <x v="0"/>
    <m/>
    <x v="228"/>
    <n v="2000"/>
    <m/>
    <m/>
    <m/>
    <m/>
  </r>
  <r>
    <x v="7"/>
    <x v="16"/>
    <x v="16"/>
    <x v="53"/>
    <x v="52"/>
    <x v="174"/>
    <m/>
    <m/>
    <m/>
    <x v="177"/>
    <m/>
    <x v="0"/>
    <m/>
    <m/>
    <m/>
    <m/>
    <m/>
    <m/>
    <m/>
    <m/>
    <m/>
    <m/>
    <m/>
    <x v="0"/>
    <m/>
    <x v="229"/>
    <n v="100"/>
    <m/>
    <m/>
    <m/>
    <m/>
  </r>
  <r>
    <x v="7"/>
    <x v="16"/>
    <x v="16"/>
    <x v="53"/>
    <x v="52"/>
    <x v="174"/>
    <m/>
    <m/>
    <m/>
    <x v="177"/>
    <m/>
    <x v="0"/>
    <m/>
    <m/>
    <m/>
    <m/>
    <m/>
    <m/>
    <m/>
    <m/>
    <m/>
    <m/>
    <m/>
    <x v="0"/>
    <m/>
    <x v="230"/>
    <n v="1000"/>
    <m/>
    <m/>
    <m/>
    <m/>
  </r>
  <r>
    <x v="7"/>
    <x v="16"/>
    <x v="16"/>
    <x v="53"/>
    <x v="52"/>
    <x v="174"/>
    <m/>
    <m/>
    <m/>
    <x v="177"/>
    <s v="Si"/>
    <x v="0"/>
    <m/>
    <m/>
    <m/>
    <m/>
    <m/>
    <m/>
    <m/>
    <m/>
    <m/>
    <m/>
    <m/>
    <x v="0"/>
    <m/>
    <x v="231"/>
    <n v="0"/>
    <m/>
    <m/>
    <m/>
    <m/>
  </r>
  <r>
    <x v="7"/>
    <x v="16"/>
    <x v="16"/>
    <x v="53"/>
    <x v="52"/>
    <x v="174"/>
    <m/>
    <m/>
    <m/>
    <x v="177"/>
    <s v="Si"/>
    <x v="0"/>
    <m/>
    <m/>
    <m/>
    <m/>
    <m/>
    <m/>
    <m/>
    <m/>
    <m/>
    <m/>
    <m/>
    <x v="0"/>
    <m/>
    <x v="232"/>
    <n v="0"/>
    <m/>
    <m/>
    <m/>
    <m/>
  </r>
  <r>
    <x v="7"/>
    <x v="16"/>
    <x v="16"/>
    <x v="53"/>
    <x v="52"/>
    <x v="174"/>
    <m/>
    <m/>
    <m/>
    <x v="177"/>
    <s v="Si"/>
    <x v="0"/>
    <m/>
    <m/>
    <m/>
    <m/>
    <m/>
    <m/>
    <m/>
    <m/>
    <m/>
    <m/>
    <m/>
    <x v="0"/>
    <m/>
    <x v="233"/>
    <n v="0"/>
    <m/>
    <m/>
    <m/>
    <m/>
  </r>
  <r>
    <x v="7"/>
    <x v="16"/>
    <x v="16"/>
    <x v="53"/>
    <x v="52"/>
    <x v="174"/>
    <m/>
    <m/>
    <m/>
    <x v="177"/>
    <s v="Si"/>
    <x v="0"/>
    <m/>
    <m/>
    <m/>
    <m/>
    <m/>
    <m/>
    <m/>
    <m/>
    <m/>
    <m/>
    <m/>
    <x v="0"/>
    <m/>
    <x v="234"/>
    <n v="0"/>
    <m/>
    <m/>
    <m/>
    <m/>
  </r>
  <r>
    <x v="7"/>
    <x v="16"/>
    <x v="16"/>
    <x v="53"/>
    <x v="52"/>
    <x v="174"/>
    <m/>
    <m/>
    <m/>
    <x v="177"/>
    <m/>
    <x v="0"/>
    <m/>
    <m/>
    <m/>
    <m/>
    <m/>
    <m/>
    <m/>
    <m/>
    <m/>
    <m/>
    <m/>
    <x v="0"/>
    <m/>
    <x v="235"/>
    <n v="0"/>
    <m/>
    <m/>
    <m/>
    <m/>
  </r>
  <r>
    <x v="7"/>
    <x v="16"/>
    <x v="16"/>
    <x v="53"/>
    <x v="52"/>
    <x v="174"/>
    <m/>
    <m/>
    <m/>
    <x v="177"/>
    <m/>
    <x v="0"/>
    <m/>
    <m/>
    <m/>
    <m/>
    <m/>
    <m/>
    <m/>
    <m/>
    <m/>
    <m/>
    <m/>
    <x v="0"/>
    <m/>
    <x v="236"/>
    <n v="0"/>
    <m/>
    <m/>
    <m/>
    <m/>
  </r>
  <r>
    <x v="7"/>
    <x v="16"/>
    <x v="16"/>
    <x v="53"/>
    <x v="52"/>
    <x v="174"/>
    <m/>
    <m/>
    <m/>
    <x v="177"/>
    <m/>
    <x v="0"/>
    <m/>
    <m/>
    <m/>
    <m/>
    <m/>
    <m/>
    <m/>
    <m/>
    <m/>
    <m/>
    <m/>
    <x v="0"/>
    <m/>
    <x v="237"/>
    <n v="0"/>
    <m/>
    <m/>
    <m/>
    <m/>
  </r>
  <r>
    <x v="7"/>
    <x v="16"/>
    <x v="16"/>
    <x v="53"/>
    <x v="52"/>
    <x v="174"/>
    <m/>
    <m/>
    <m/>
    <x v="177"/>
    <m/>
    <x v="0"/>
    <m/>
    <m/>
    <m/>
    <m/>
    <m/>
    <m/>
    <m/>
    <m/>
    <m/>
    <m/>
    <m/>
    <x v="0"/>
    <m/>
    <x v="238"/>
    <n v="0"/>
    <m/>
    <m/>
    <m/>
    <m/>
  </r>
  <r>
    <x v="7"/>
    <x v="16"/>
    <x v="16"/>
    <x v="53"/>
    <x v="52"/>
    <x v="174"/>
    <m/>
    <m/>
    <m/>
    <x v="177"/>
    <m/>
    <x v="0"/>
    <m/>
    <m/>
    <m/>
    <m/>
    <m/>
    <m/>
    <m/>
    <m/>
    <m/>
    <m/>
    <m/>
    <x v="0"/>
    <m/>
    <x v="239"/>
    <n v="0"/>
    <m/>
    <m/>
    <m/>
    <m/>
  </r>
  <r>
    <x v="7"/>
    <x v="16"/>
    <x v="16"/>
    <x v="53"/>
    <x v="52"/>
    <x v="174"/>
    <m/>
    <m/>
    <m/>
    <x v="177"/>
    <m/>
    <x v="0"/>
    <m/>
    <m/>
    <m/>
    <m/>
    <m/>
    <m/>
    <m/>
    <m/>
    <m/>
    <m/>
    <m/>
    <x v="0"/>
    <m/>
    <x v="240"/>
    <n v="0"/>
    <m/>
    <m/>
    <m/>
    <m/>
  </r>
  <r>
    <x v="7"/>
    <x v="16"/>
    <x v="16"/>
    <x v="53"/>
    <x v="52"/>
    <x v="174"/>
    <m/>
    <m/>
    <m/>
    <x v="177"/>
    <m/>
    <x v="0"/>
    <m/>
    <m/>
    <m/>
    <m/>
    <m/>
    <m/>
    <m/>
    <m/>
    <m/>
    <m/>
    <m/>
    <x v="0"/>
    <m/>
    <x v="241"/>
    <n v="0"/>
    <m/>
    <m/>
    <m/>
    <m/>
  </r>
  <r>
    <x v="7"/>
    <x v="16"/>
    <x v="16"/>
    <x v="54"/>
    <x v="53"/>
    <x v="175"/>
    <s v="Planificar i detectar les necessitats de contractació del l'ENP per a l'optimització dels contractes a nivell de Xarxa"/>
    <s v="Comú"/>
    <s v="Obligatori"/>
    <x v="178"/>
    <m/>
    <x v="0"/>
    <s v="MITJANA"/>
    <s v="*Amb els espais de coordinació entre ENP, detecció de les necessitats conjuntes que es puguin agrupar en contractes únics (amb o sense lots) o en convocatòries amb concurrència._x000a_*Encaix de les necessitats específiques de cada ENP a les necessitats conjuntes detectades a nivell de Xarxa._x000a_*Preveure amb una antelació mínima de 6 mesos les necessitats de contractació per augmentar l'eficiència de la tramitació i disposar de marge de maniobra davant qualsevol eventualitat."/>
    <m/>
    <s v="SENP: Crear espais de coordinació entre ENP per detectar necessitats conjuntes."/>
    <m/>
    <m/>
    <m/>
    <m/>
    <m/>
    <m/>
    <m/>
    <x v="0"/>
    <m/>
    <x v="6"/>
    <m/>
    <m/>
    <m/>
    <m/>
    <m/>
  </r>
  <r>
    <x v="7"/>
    <x v="16"/>
    <x v="16"/>
    <x v="54"/>
    <x v="53"/>
    <x v="176"/>
    <s v="Planificar i detectar les tasques de convocatòries d'ajuts de l'ENP"/>
    <s v="Comú"/>
    <s v="Obligatori"/>
    <x v="179"/>
    <m/>
    <x v="0"/>
    <s v="MITJANA"/>
    <s v="*Preveure amb una antelació mínima de 6 mesos les convocatòries d'ajuts per augmentar l'eficiència de la tramitació i disposar de marge de maniobra davant qualsevol eventualitat._x000a_*Implementació de gestor d'expedients_x000a_*Treballar amb SSCC per adaptar les convocatòries d'ajuts a les necessitats de l'ENP"/>
    <m/>
    <m/>
    <m/>
    <m/>
    <m/>
    <m/>
    <m/>
    <m/>
    <m/>
    <x v="0"/>
    <m/>
    <x v="242"/>
    <n v="0"/>
    <m/>
    <m/>
    <m/>
    <m/>
  </r>
  <r>
    <x v="7"/>
    <x v="16"/>
    <x v="16"/>
    <x v="54"/>
    <x v="53"/>
    <x v="176"/>
    <s v="Planificar i detectar les tasques de convocatòries d'ajuts de l'ENP"/>
    <s v="Comú"/>
    <s v="Obligatori"/>
    <x v="179"/>
    <m/>
    <x v="0"/>
    <s v="MITJANA"/>
    <s v="*Preveure amb una antelació mínima de 6 mesos les convocatòries d'ajuts per augmentar l'eficiència de la tramitació i disposar de marge de maniobra davant qualsevol eventualitat._x000a_*Implementació de gestor d'expedients_x000a_*Treballar amb SSCC per adaptar les convocatòries d'ajuts a les necessitats de l'ENP"/>
    <m/>
    <m/>
    <m/>
    <m/>
    <m/>
    <m/>
    <m/>
    <m/>
    <m/>
    <x v="3"/>
    <s v="Diagnosi dels productors i productores locals del Parc Natural dels Ports. (6.4. Pla d’acció)"/>
    <x v="243"/>
    <m/>
    <m/>
    <m/>
    <m/>
    <m/>
  </r>
  <r>
    <x v="7"/>
    <x v="16"/>
    <x v="16"/>
    <x v="54"/>
    <x v="53"/>
    <x v="177"/>
    <s v="Establir i renovar en temps i forma convenis de col·laboració, convenis marc, acords, protocols i altres instruments de col·laboració."/>
    <s v="Comú"/>
    <s v="Obligatori"/>
    <x v="180"/>
    <s v="No som els responsable darrers"/>
    <x v="0"/>
    <s v="MITJANA"/>
    <s v="*Elaboració d'un llistat de convenis i altres instruments de col·laboració vigents i planificar les pròrrogues que es requereixin._x000a_*Participació en l'elaboració coordinada dels catàlegs col·lectius amb universitats i centres documentació_x000a_*Implementació del gestor d'expedients (d'un registre únic de convenis)"/>
    <m/>
    <s v="UGA: Coordinar l'elaboració dels catàlegs col·lectius amb ENP, universitats i centres documentació"/>
    <m/>
    <m/>
    <m/>
    <m/>
    <m/>
    <m/>
    <m/>
    <x v="0"/>
    <m/>
    <x v="244"/>
    <n v="0"/>
    <m/>
    <m/>
    <m/>
    <m/>
  </r>
  <r>
    <x v="7"/>
    <x v="16"/>
    <x v="16"/>
    <x v="54"/>
    <x v="53"/>
    <x v="177"/>
    <s v="Establir i renovar en temps i forma convenis de col·laboració, convenis marc, acords, protocols i altres instruments de col·laboració."/>
    <s v="Comú"/>
    <s v="Obligatori"/>
    <x v="180"/>
    <s v="Si"/>
    <x v="0"/>
    <m/>
    <m/>
    <m/>
    <m/>
    <m/>
    <m/>
    <m/>
    <m/>
    <m/>
    <m/>
    <m/>
    <x v="0"/>
    <m/>
    <x v="245"/>
    <n v="0"/>
    <m/>
    <m/>
    <m/>
    <m/>
  </r>
  <r>
    <x v="7"/>
    <x v="16"/>
    <x v="16"/>
    <x v="54"/>
    <x v="53"/>
    <x v="177"/>
    <s v="Establir i renovar en temps i forma convenis de col·laboració, convenis marc, acords, protocols i altres instruments de col·laboració."/>
    <s v="Comú"/>
    <s v="Obligatori"/>
    <x v="180"/>
    <m/>
    <x v="0"/>
    <m/>
    <m/>
    <m/>
    <m/>
    <m/>
    <m/>
    <m/>
    <m/>
    <m/>
    <m/>
    <m/>
    <x v="0"/>
    <m/>
    <x v="246"/>
    <n v="0"/>
    <m/>
    <m/>
    <m/>
    <m/>
  </r>
  <r>
    <x v="7"/>
    <x v="16"/>
    <x v="16"/>
    <x v="54"/>
    <x v="53"/>
    <x v="177"/>
    <s v="Establir i renovar en temps i forma convenis de col·laboració, convenis marc, acords, protocols i altres instruments de col·laboració."/>
    <s v="Comú"/>
    <s v="Obligatori"/>
    <x v="180"/>
    <m/>
    <x v="0"/>
    <m/>
    <m/>
    <m/>
    <m/>
    <m/>
    <m/>
    <m/>
    <m/>
    <m/>
    <m/>
    <m/>
    <x v="0"/>
    <m/>
    <x v="247"/>
    <n v="0"/>
    <m/>
    <m/>
    <m/>
    <m/>
  </r>
  <r>
    <x v="7"/>
    <x v="16"/>
    <x v="16"/>
    <x v="54"/>
    <x v="53"/>
    <x v="178"/>
    <s v="Participar en l'avaluació i el seguiment de les actuacions derivades dels ajuts (certificacions, expedients administratius, publicitat...)"/>
    <m/>
    <m/>
    <x v="181"/>
    <s v="*NOU. Seguiments de les actuacions amb ajut atorgats (certificacions, expedients administratius...)"/>
    <x v="0"/>
    <m/>
    <m/>
    <m/>
    <m/>
    <m/>
    <m/>
    <m/>
    <m/>
    <m/>
    <m/>
    <m/>
    <x v="0"/>
    <m/>
    <x v="248"/>
    <n v="0"/>
    <m/>
    <m/>
    <m/>
    <m/>
  </r>
  <r>
    <x v="7"/>
    <x v="16"/>
    <x v="16"/>
    <x v="54"/>
    <x v="53"/>
    <x v="178"/>
    <s v="Participar en l'avaluació i el seguiment de les actuacions derivades dels ajuts (certificacions, expedients administratius, publicitat...)"/>
    <m/>
    <m/>
    <x v="181"/>
    <s v="Si"/>
    <x v="0"/>
    <m/>
    <m/>
    <m/>
    <m/>
    <m/>
    <m/>
    <m/>
    <m/>
    <m/>
    <m/>
    <m/>
    <x v="0"/>
    <m/>
    <x v="249"/>
    <n v="0"/>
    <m/>
    <m/>
    <m/>
    <m/>
  </r>
  <r>
    <x v="7"/>
    <x v="16"/>
    <x v="16"/>
    <x v="55"/>
    <x v="54"/>
    <x v="179"/>
    <s v="Optimitzar l'elaboració d'informes"/>
    <s v="Comú"/>
    <s v="Obligatori"/>
    <x v="182"/>
    <s v="S'afegeixen les tasques que es realitzen actualment"/>
    <x v="0"/>
    <s v="MITJANA"/>
    <s v="*Optimitzar la comunicació i acompanyament durant els processos administratius amb el personal tècnic de Serveis Centrals_x000a_*Designació d'interlocutors tècnics per al desenvolupament d'accions que requereixen procediments administratius._x000a_*Manteniment d'una comunicació continuada amb l'UGA._x000a_*Elaboració d'una llista dels tràmits realitzats pels ENP per detectar necessitats de suport i acompanyament administratiu._x000a_*Implementació de gestor d'expedients"/>
    <m/>
    <m/>
    <m/>
    <m/>
    <m/>
    <m/>
    <m/>
    <m/>
    <m/>
    <x v="0"/>
    <m/>
    <x v="250"/>
    <n v="0"/>
    <m/>
    <m/>
    <m/>
    <m/>
  </r>
  <r>
    <x v="7"/>
    <x v="16"/>
    <x v="16"/>
    <x v="55"/>
    <x v="54"/>
    <x v="179"/>
    <s v="Optimitzar l'elaboració d'informes"/>
    <s v="Comú"/>
    <s v="Obligatori"/>
    <x v="182"/>
    <s v="S'afegeixen les tasques que es realitzen actualment"/>
    <x v="0"/>
    <m/>
    <m/>
    <m/>
    <m/>
    <m/>
    <m/>
    <m/>
    <m/>
    <m/>
    <m/>
    <m/>
    <x v="0"/>
    <m/>
    <x v="251"/>
    <n v="0"/>
    <m/>
    <m/>
    <m/>
    <m/>
  </r>
  <r>
    <x v="7"/>
    <x v="16"/>
    <x v="16"/>
    <x v="55"/>
    <x v="54"/>
    <x v="180"/>
    <s v="Adequar i actualitzar els procediments i tramitacions realitzats des de l'ENP als nous processos i eines conjuntes proposades des de Serveis Centrals"/>
    <s v="Comú"/>
    <s v="Obligatori"/>
    <x v="183"/>
    <m/>
    <x v="0"/>
    <s v="MITJANA"/>
    <s v="*Ús dels formularis simplificats_x000a_*Implementació de gestor d'expedients"/>
    <m/>
    <s v="UGA: Simplificació i optimització de formularis. Tipificació de peticions (tràmits específics)"/>
    <m/>
    <m/>
    <m/>
    <m/>
    <m/>
    <m/>
    <m/>
    <x v="0"/>
    <m/>
    <x v="6"/>
    <m/>
    <m/>
    <m/>
    <m/>
    <m/>
  </r>
  <r>
    <x v="7"/>
    <x v="16"/>
    <x v="16"/>
    <x v="55"/>
    <x v="54"/>
    <x v="181"/>
    <s v="Augmentar el coneixement de l'equip de treball en matèria de procediment administratiu"/>
    <s v="Comú"/>
    <s v="Obligatori"/>
    <x v="184"/>
    <m/>
    <x v="0"/>
    <s v="MITJANA"/>
    <s v="*Participació de les formacions ofertades des del Centre de formació i estudis agrorurals per al personal administratiu._x000a_*Respondre a la demanda activa de formacions quan es planifica el Pla anual de formació ofertat des del Centre de formació i estudis agrorurals._x000a_*Formació interna de l'equip administratiu de l'ENP per adquirir coneixements bàsics en temes prioritaris (comptabilitat, contractació, tramitació electrònica, accessibilitat i transparència, propietat intel·lectual) i processos de tramitació (CQS, peticions informació genèrica, solicituds accés informació ambiental)"/>
    <m/>
    <m/>
    <m/>
    <m/>
    <m/>
    <m/>
    <m/>
    <m/>
    <m/>
    <x v="0"/>
    <m/>
    <x v="252"/>
    <n v="0"/>
    <m/>
    <m/>
    <m/>
    <m/>
  </r>
  <r>
    <x v="7"/>
    <x v="16"/>
    <x v="16"/>
    <x v="55"/>
    <x v="54"/>
    <x v="182"/>
    <s v="Garantir la transparència administrativa"/>
    <s v="Específic"/>
    <s v="Obligatori"/>
    <x v="185"/>
    <s v="S'afegeix l'accés a la informació"/>
    <x v="0"/>
    <s v="MITJANA"/>
    <s v="*Difondre o permetre l'accés a la informació pública_x000a_*Atendre les sol·licituds d'informació"/>
    <m/>
    <m/>
    <m/>
    <m/>
    <m/>
    <m/>
    <m/>
    <m/>
    <m/>
    <x v="0"/>
    <m/>
    <x v="253"/>
    <n v="5000"/>
    <m/>
    <m/>
    <m/>
    <m/>
  </r>
  <r>
    <x v="7"/>
    <x v="16"/>
    <x v="16"/>
    <x v="55"/>
    <x v="54"/>
    <x v="183"/>
    <s v="Millorar i mantenir el material i infraestructures de gestió"/>
    <s v="Comú"/>
    <s v="Optatiu"/>
    <x v="186"/>
    <m/>
    <x v="0"/>
    <s v="MITJANA"/>
    <s v="*Millora del material i els serveis informàtics_x000a_*Compra de material d'oficina_x000a_*Reparació i millora del material de la brigada"/>
    <m/>
    <m/>
    <m/>
    <m/>
    <m/>
    <m/>
    <m/>
    <m/>
    <m/>
    <x v="0"/>
    <m/>
    <x v="6"/>
    <m/>
    <m/>
    <m/>
    <m/>
    <m/>
  </r>
  <r>
    <x v="7"/>
    <x v="16"/>
    <x v="16"/>
    <x v="55"/>
    <x v="54"/>
    <x v="184"/>
    <m/>
    <m/>
    <m/>
    <x v="187"/>
    <s v="NOU. S'incorporen les tasques que es realitzen actualment"/>
    <x v="0"/>
    <m/>
    <m/>
    <m/>
    <m/>
    <m/>
    <m/>
    <m/>
    <m/>
    <m/>
    <m/>
    <m/>
    <x v="0"/>
    <m/>
    <x v="254"/>
    <n v="0"/>
    <m/>
    <m/>
    <m/>
    <m/>
  </r>
  <r>
    <x v="7"/>
    <x v="16"/>
    <x v="16"/>
    <x v="55"/>
    <x v="54"/>
    <x v="184"/>
    <m/>
    <m/>
    <m/>
    <x v="187"/>
    <m/>
    <x v="0"/>
    <m/>
    <m/>
    <m/>
    <m/>
    <m/>
    <m/>
    <m/>
    <m/>
    <m/>
    <m/>
    <m/>
    <x v="0"/>
    <m/>
    <x v="255"/>
    <n v="0"/>
    <m/>
    <m/>
    <m/>
    <m/>
  </r>
  <r>
    <x v="7"/>
    <x v="16"/>
    <x v="16"/>
    <x v="56"/>
    <x v="55"/>
    <x v="185"/>
    <s v="Revisar l’estat dels béns patrimonials i la situació administrativa-legal dels equipaments del parc"/>
    <s v="Comú"/>
    <s v="Obligatori"/>
    <x v="188"/>
    <m/>
    <x v="0"/>
    <s v="MÀXIMA"/>
    <s v="*Revisió de tota la documentació relativa als béns patrimonials de l'ENP_x000a_*Traspas de tota la informació del béns patrimonials i col·laborar amb el Servei de Contractació i Patrimoni per tramitar els expedients de cessió de titularitat, declaracions d'obra nova, compra, lloguer...             "/>
    <m/>
    <s v="UGA: tramitar els expedients de cessió de titularitat, declaracions d'obra nova, compra, lloguer, etc."/>
    <m/>
    <m/>
    <m/>
    <m/>
    <m/>
    <m/>
    <m/>
    <x v="0"/>
    <m/>
    <x v="6"/>
    <m/>
    <m/>
    <m/>
    <m/>
    <m/>
  </r>
  <r>
    <x v="7"/>
    <x v="16"/>
    <x v="16"/>
    <x v="56"/>
    <x v="55"/>
    <x v="186"/>
    <s v="Tenir cobertes les pèrdues o danys materials del patrimoni de la Direcció General que hi ha a l'àmbit territorial del Parc, com a conseqüència de la materialització de qualsevol dels riscs emparats en el plec de prescripcions tècniques de la pòlissa."/>
    <s v="Comú"/>
    <s v="Obligatori"/>
    <x v="189"/>
    <s v="No depèn, en últim terme, de nosaltres. Millora del redactat"/>
    <x v="0"/>
    <s v="MÀXIMA"/>
    <s v="*Revisió que tots els equipaments del parc estiguin correctament assegurats dins la pòlissa d'assegurança de danys materials (número 86-5034332) de la Generalitat, en col·laboració amb  serveis centrals i d'acord amb les seves directrius._x000a_*Col·laboració amb el Servei de Contractació i Patrimoni per tramitar les assegurances dels béns patrimonials."/>
    <m/>
    <s v="UGA: Tramitar les assegurances dels béns patrimonials."/>
    <m/>
    <m/>
    <m/>
    <m/>
    <m/>
    <m/>
    <m/>
    <x v="0"/>
    <m/>
    <x v="6"/>
    <m/>
    <m/>
    <m/>
    <m/>
    <m/>
  </r>
  <r>
    <x v="7"/>
    <x v="16"/>
    <x v="16"/>
    <x v="56"/>
    <x v="55"/>
    <x v="187"/>
    <m/>
    <s v="Comú"/>
    <s v="Obligatori"/>
    <x v="190"/>
    <s v="*NOU. Ídem a l'anterior però en responsabilibitat civil"/>
    <x v="0"/>
    <m/>
    <m/>
    <m/>
    <m/>
    <m/>
    <m/>
    <m/>
    <m/>
    <m/>
    <m/>
    <m/>
    <x v="0"/>
    <m/>
    <x v="6"/>
    <m/>
    <m/>
    <m/>
    <m/>
    <m/>
  </r>
  <r>
    <x v="7"/>
    <x v="16"/>
    <x v="16"/>
    <x v="56"/>
    <x v="55"/>
    <x v="188"/>
    <m/>
    <m/>
    <m/>
    <x v="191"/>
    <s v="*NOU."/>
    <x v="0"/>
    <m/>
    <m/>
    <m/>
    <m/>
    <m/>
    <m/>
    <m/>
    <m/>
    <m/>
    <m/>
    <m/>
    <x v="0"/>
    <m/>
    <x v="256"/>
    <n v="4000"/>
    <m/>
    <m/>
    <m/>
    <m/>
  </r>
  <r>
    <x v="7"/>
    <x v="16"/>
    <x v="16"/>
    <x v="56"/>
    <x v="55"/>
    <x v="188"/>
    <m/>
    <m/>
    <m/>
    <x v="191"/>
    <m/>
    <x v="0"/>
    <m/>
    <m/>
    <m/>
    <m/>
    <m/>
    <m/>
    <m/>
    <m/>
    <m/>
    <m/>
    <m/>
    <x v="0"/>
    <m/>
    <x v="257"/>
    <n v="3000"/>
    <m/>
    <m/>
    <m/>
    <m/>
  </r>
  <r>
    <x v="7"/>
    <x v="16"/>
    <x v="16"/>
    <x v="56"/>
    <x v="55"/>
    <x v="188"/>
    <m/>
    <m/>
    <m/>
    <x v="191"/>
    <m/>
    <x v="0"/>
    <m/>
    <m/>
    <m/>
    <m/>
    <m/>
    <m/>
    <m/>
    <m/>
    <m/>
    <m/>
    <m/>
    <x v="0"/>
    <m/>
    <x v="256"/>
    <n v="10000"/>
    <m/>
    <m/>
    <m/>
    <m/>
  </r>
  <r>
    <x v="7"/>
    <x v="16"/>
    <x v="16"/>
    <x v="56"/>
    <x v="55"/>
    <x v="188"/>
    <m/>
    <m/>
    <m/>
    <x v="191"/>
    <m/>
    <x v="0"/>
    <m/>
    <m/>
    <m/>
    <m/>
    <m/>
    <m/>
    <m/>
    <m/>
    <m/>
    <m/>
    <m/>
    <x v="0"/>
    <m/>
    <x v="258"/>
    <n v="2500"/>
    <m/>
    <m/>
    <m/>
    <m/>
  </r>
  <r>
    <x v="7"/>
    <x v="16"/>
    <x v="16"/>
    <x v="56"/>
    <x v="55"/>
    <x v="188"/>
    <m/>
    <m/>
    <m/>
    <x v="191"/>
    <m/>
    <x v="0"/>
    <m/>
    <m/>
    <m/>
    <m/>
    <m/>
    <m/>
    <m/>
    <m/>
    <m/>
    <m/>
    <m/>
    <x v="0"/>
    <m/>
    <x v="259"/>
    <n v="500"/>
    <m/>
    <m/>
    <m/>
    <m/>
  </r>
  <r>
    <x v="7"/>
    <x v="16"/>
    <x v="16"/>
    <x v="56"/>
    <x v="55"/>
    <x v="188"/>
    <m/>
    <m/>
    <m/>
    <x v="191"/>
    <m/>
    <x v="0"/>
    <m/>
    <m/>
    <m/>
    <m/>
    <m/>
    <m/>
    <m/>
    <m/>
    <m/>
    <m/>
    <m/>
    <x v="0"/>
    <m/>
    <x v="260"/>
    <n v="700"/>
    <m/>
    <m/>
    <m/>
    <m/>
  </r>
  <r>
    <x v="7"/>
    <x v="16"/>
    <x v="16"/>
    <x v="56"/>
    <x v="55"/>
    <x v="188"/>
    <m/>
    <m/>
    <m/>
    <x v="191"/>
    <m/>
    <x v="0"/>
    <m/>
    <m/>
    <m/>
    <m/>
    <m/>
    <m/>
    <m/>
    <m/>
    <m/>
    <m/>
    <m/>
    <x v="0"/>
    <m/>
    <x v="261"/>
    <n v="1500"/>
    <m/>
    <m/>
    <m/>
    <m/>
  </r>
  <r>
    <x v="7"/>
    <x v="16"/>
    <x v="16"/>
    <x v="56"/>
    <x v="55"/>
    <x v="188"/>
    <m/>
    <m/>
    <m/>
    <x v="191"/>
    <m/>
    <x v="0"/>
    <m/>
    <m/>
    <m/>
    <m/>
    <m/>
    <m/>
    <m/>
    <m/>
    <m/>
    <m/>
    <m/>
    <x v="0"/>
    <m/>
    <x v="262"/>
    <n v="1500"/>
    <m/>
    <m/>
    <m/>
    <m/>
  </r>
  <r>
    <x v="7"/>
    <x v="16"/>
    <x v="16"/>
    <x v="56"/>
    <x v="55"/>
    <x v="188"/>
    <m/>
    <m/>
    <m/>
    <x v="191"/>
    <m/>
    <x v="0"/>
    <m/>
    <m/>
    <m/>
    <m/>
    <m/>
    <m/>
    <m/>
    <m/>
    <m/>
    <m/>
    <m/>
    <x v="0"/>
    <m/>
    <x v="263"/>
    <n v="2950"/>
    <m/>
    <m/>
    <m/>
    <m/>
  </r>
  <r>
    <x v="7"/>
    <x v="16"/>
    <x v="16"/>
    <x v="56"/>
    <x v="55"/>
    <x v="188"/>
    <m/>
    <m/>
    <m/>
    <x v="191"/>
    <m/>
    <x v="0"/>
    <m/>
    <m/>
    <m/>
    <m/>
    <m/>
    <m/>
    <m/>
    <m/>
    <m/>
    <m/>
    <m/>
    <x v="0"/>
    <m/>
    <x v="264"/>
    <n v="400"/>
    <m/>
    <m/>
    <m/>
    <m/>
  </r>
  <r>
    <x v="7"/>
    <x v="16"/>
    <x v="16"/>
    <x v="56"/>
    <x v="55"/>
    <x v="188"/>
    <m/>
    <m/>
    <m/>
    <x v="191"/>
    <m/>
    <x v="0"/>
    <m/>
    <m/>
    <m/>
    <m/>
    <m/>
    <m/>
    <m/>
    <m/>
    <m/>
    <m/>
    <m/>
    <x v="0"/>
    <m/>
    <x v="265"/>
    <n v="445.45"/>
    <m/>
    <m/>
    <m/>
    <m/>
  </r>
  <r>
    <x v="7"/>
    <x v="16"/>
    <x v="16"/>
    <x v="56"/>
    <x v="55"/>
    <x v="188"/>
    <m/>
    <m/>
    <m/>
    <x v="191"/>
    <m/>
    <x v="0"/>
    <m/>
    <m/>
    <m/>
    <m/>
    <m/>
    <m/>
    <m/>
    <m/>
    <m/>
    <m/>
    <m/>
    <x v="0"/>
    <m/>
    <x v="266"/>
    <n v="400"/>
    <m/>
    <m/>
    <m/>
    <m/>
  </r>
  <r>
    <x v="7"/>
    <x v="16"/>
    <x v="16"/>
    <x v="56"/>
    <x v="55"/>
    <x v="188"/>
    <m/>
    <m/>
    <m/>
    <x v="191"/>
    <m/>
    <x v="0"/>
    <m/>
    <m/>
    <m/>
    <m/>
    <m/>
    <m/>
    <m/>
    <m/>
    <m/>
    <m/>
    <m/>
    <x v="0"/>
    <m/>
    <x v="267"/>
    <n v="1000"/>
    <m/>
    <m/>
    <m/>
    <m/>
  </r>
  <r>
    <x v="7"/>
    <x v="16"/>
    <x v="16"/>
    <x v="56"/>
    <x v="55"/>
    <x v="188"/>
    <m/>
    <m/>
    <m/>
    <x v="191"/>
    <m/>
    <x v="0"/>
    <m/>
    <m/>
    <m/>
    <m/>
    <m/>
    <m/>
    <m/>
    <m/>
    <m/>
    <m/>
    <m/>
    <x v="0"/>
    <m/>
    <x v="268"/>
    <n v="600"/>
    <m/>
    <m/>
    <m/>
    <m/>
  </r>
  <r>
    <x v="7"/>
    <x v="16"/>
    <x v="16"/>
    <x v="57"/>
    <x v="56"/>
    <x v="189"/>
    <s v="Millorar l'accessibilitat i la gestió documental del centre o punt de documentació de l'ENP"/>
    <s v="Comú"/>
    <s v="Obligatori"/>
    <x v="192"/>
    <s v="Millora en el redactat"/>
    <x v="0"/>
    <s v="BAIXA"/>
    <s v="*Desenvolupament del repositori digital, recollint, preservant i difonent la informació generada._x000a_*Catalogar i digitalitzar el fons documental._x000a_*Millora de l'accessibilitat documental al web._x000a_* Implementació de gestor d'expedients"/>
    <m/>
    <s v="SENP: Disseny d'una metodologia de treball conjunta"/>
    <m/>
    <m/>
    <m/>
    <m/>
    <m/>
    <m/>
    <m/>
    <x v="0"/>
    <m/>
    <x v="269"/>
    <n v="62.5"/>
    <m/>
    <m/>
    <m/>
    <m/>
  </r>
  <r>
    <x v="7"/>
    <x v="16"/>
    <x v="16"/>
    <x v="57"/>
    <x v="56"/>
    <x v="189"/>
    <s v="Millorar l'accessibilitat i la gestió documental del centre o punt de documentació de l'ENP"/>
    <s v="Comú"/>
    <s v="Obligatori"/>
    <x v="192"/>
    <m/>
    <x v="0"/>
    <m/>
    <m/>
    <m/>
    <m/>
    <m/>
    <m/>
    <m/>
    <m/>
    <m/>
    <m/>
    <m/>
    <x v="0"/>
    <m/>
    <x v="270"/>
    <n v="8200"/>
    <m/>
    <m/>
    <m/>
    <m/>
  </r>
  <r>
    <x v="7"/>
    <x v="16"/>
    <x v="16"/>
    <x v="57"/>
    <x v="56"/>
    <x v="189"/>
    <s v="Millorar l'accessibilitat i la gestió documental del centre o punt de documentació de l'ENP"/>
    <s v="Comú"/>
    <s v="Obligatori"/>
    <x v="192"/>
    <m/>
    <x v="0"/>
    <m/>
    <m/>
    <m/>
    <m/>
    <m/>
    <m/>
    <m/>
    <m/>
    <m/>
    <m/>
    <m/>
    <x v="0"/>
    <m/>
    <x v="271"/>
    <n v="33"/>
    <m/>
    <m/>
    <m/>
    <m/>
  </r>
  <r>
    <x v="7"/>
    <x v="16"/>
    <x v="16"/>
    <x v="57"/>
    <x v="56"/>
    <x v="189"/>
    <s v="Millorar l'accessibilitat i la gestió documental del centre o punt de documentació de l'ENP"/>
    <s v="Comú"/>
    <s v="Obligatori"/>
    <x v="192"/>
    <m/>
    <x v="0"/>
    <m/>
    <m/>
    <m/>
    <m/>
    <m/>
    <m/>
    <m/>
    <m/>
    <m/>
    <m/>
    <m/>
    <x v="0"/>
    <m/>
    <x v="272"/>
    <n v="93"/>
    <m/>
    <m/>
    <m/>
    <m/>
  </r>
  <r>
    <x v="7"/>
    <x v="16"/>
    <x v="16"/>
    <x v="57"/>
    <x v="56"/>
    <x v="189"/>
    <s v="Millorar l'accessibilitat i la gestió documental del centre o punt de documentació de l'ENP"/>
    <s v="Comú"/>
    <s v="Obligatori"/>
    <x v="192"/>
    <m/>
    <x v="0"/>
    <m/>
    <m/>
    <m/>
    <m/>
    <m/>
    <m/>
    <m/>
    <m/>
    <m/>
    <m/>
    <m/>
    <x v="0"/>
    <m/>
    <x v="273"/>
    <n v="17400"/>
    <m/>
    <m/>
    <m/>
    <m/>
  </r>
  <r>
    <x v="7"/>
    <x v="16"/>
    <x v="16"/>
    <x v="57"/>
    <x v="56"/>
    <x v="189"/>
    <s v="Millorar l'accessibilitat i la gestió documental del centre o punt de documentació de l'ENP"/>
    <s v="Comú"/>
    <s v="Obligatori"/>
    <x v="192"/>
    <m/>
    <x v="0"/>
    <m/>
    <m/>
    <m/>
    <m/>
    <m/>
    <m/>
    <m/>
    <m/>
    <m/>
    <m/>
    <m/>
    <x v="0"/>
    <m/>
    <x v="274"/>
    <n v="600"/>
    <m/>
    <m/>
    <m/>
    <m/>
  </r>
  <r>
    <x v="7"/>
    <x v="16"/>
    <x v="16"/>
    <x v="57"/>
    <x v="56"/>
    <x v="189"/>
    <s v="Millorar l'accessibilitat i la gestió documental del centre o punt de documentació de l'ENP"/>
    <s v="Comú"/>
    <s v="Obligatori"/>
    <x v="192"/>
    <m/>
    <x v="0"/>
    <m/>
    <m/>
    <m/>
    <m/>
    <m/>
    <m/>
    <m/>
    <m/>
    <m/>
    <m/>
    <m/>
    <x v="0"/>
    <m/>
    <x v="275"/>
    <n v="72.989999999999995"/>
    <m/>
    <m/>
    <m/>
    <m/>
  </r>
  <r>
    <x v="7"/>
    <x v="16"/>
    <x v="16"/>
    <x v="57"/>
    <x v="56"/>
    <x v="189"/>
    <s v="Millorar l'accessibilitat i la gestió documental del centre o punt de documentació de l'ENP"/>
    <s v="Comú"/>
    <s v="Obligatori"/>
    <x v="192"/>
    <m/>
    <x v="0"/>
    <m/>
    <m/>
    <m/>
    <m/>
    <m/>
    <m/>
    <m/>
    <m/>
    <m/>
    <m/>
    <m/>
    <x v="0"/>
    <m/>
    <x v="276"/>
    <n v="36"/>
    <m/>
    <m/>
    <m/>
    <m/>
  </r>
  <r>
    <x v="7"/>
    <x v="16"/>
    <x v="16"/>
    <x v="57"/>
    <x v="56"/>
    <x v="189"/>
    <s v="Millorar l'accessibilitat i la gestió documental del centre o punt de documentació de l'ENP"/>
    <s v="Comú"/>
    <s v="Obligatori"/>
    <x v="192"/>
    <m/>
    <x v="0"/>
    <m/>
    <m/>
    <m/>
    <m/>
    <m/>
    <m/>
    <m/>
    <m/>
    <m/>
    <m/>
    <m/>
    <x v="0"/>
    <m/>
    <x v="277"/>
    <n v="3137"/>
    <m/>
    <m/>
    <m/>
    <m/>
  </r>
  <r>
    <x v="7"/>
    <x v="16"/>
    <x v="16"/>
    <x v="57"/>
    <x v="56"/>
    <x v="189"/>
    <s v="Millorar l'accessibilitat i la gestió documental del centre o punt de documentació de l'ENP"/>
    <s v="Comú"/>
    <s v="Obligatori"/>
    <x v="192"/>
    <m/>
    <x v="0"/>
    <m/>
    <m/>
    <m/>
    <m/>
    <m/>
    <m/>
    <m/>
    <m/>
    <m/>
    <m/>
    <m/>
    <x v="0"/>
    <m/>
    <x v="278"/>
    <n v="600"/>
    <m/>
    <m/>
    <m/>
    <m/>
  </r>
  <r>
    <x v="7"/>
    <x v="16"/>
    <x v="16"/>
    <x v="57"/>
    <x v="56"/>
    <x v="189"/>
    <s v="Millorar l'accessibilitat i la gestió documental del centre o punt de documentació de l'ENP"/>
    <s v="Comú"/>
    <s v="Obligatori"/>
    <x v="192"/>
    <m/>
    <x v="0"/>
    <m/>
    <m/>
    <m/>
    <m/>
    <m/>
    <m/>
    <m/>
    <m/>
    <m/>
    <m/>
    <m/>
    <x v="0"/>
    <m/>
    <x v="279"/>
    <n v="350"/>
    <m/>
    <m/>
    <m/>
    <m/>
  </r>
  <r>
    <x v="7"/>
    <x v="16"/>
    <x v="16"/>
    <x v="58"/>
    <x v="57"/>
    <x v="190"/>
    <s v="Gestió de la brigada de manteniment"/>
    <s v="Específic"/>
    <s v="Obligatori"/>
    <x v="193"/>
    <s v="Millora del redactat"/>
    <x v="0"/>
    <s v="BAIXA"/>
    <m/>
    <m/>
    <m/>
    <m/>
    <m/>
    <m/>
    <m/>
    <m/>
    <m/>
    <m/>
    <x v="0"/>
    <m/>
    <x v="280"/>
    <n v="0"/>
    <m/>
    <m/>
    <m/>
    <m/>
  </r>
  <r>
    <x v="7"/>
    <x v="16"/>
    <x v="16"/>
    <x v="58"/>
    <x v="57"/>
    <x v="190"/>
    <s v="Gestió de la brigada de manteniment"/>
    <s v="Específic"/>
    <s v="Obligatori"/>
    <x v="193"/>
    <s v="Millora del redactat"/>
    <x v="0"/>
    <m/>
    <m/>
    <m/>
    <m/>
    <m/>
    <m/>
    <m/>
    <m/>
    <m/>
    <m/>
    <m/>
    <x v="0"/>
    <m/>
    <x v="281"/>
    <n v="0"/>
    <m/>
    <m/>
    <m/>
    <m/>
  </r>
  <r>
    <x v="7"/>
    <x v="16"/>
    <x v="16"/>
    <x v="58"/>
    <x v="57"/>
    <x v="190"/>
    <s v="Gestió de la brigada de manteniment"/>
    <s v="Específic"/>
    <s v="Obligatori"/>
    <x v="193"/>
    <m/>
    <x v="0"/>
    <m/>
    <m/>
    <m/>
    <m/>
    <m/>
    <m/>
    <m/>
    <m/>
    <m/>
    <m/>
    <m/>
    <x v="0"/>
    <m/>
    <x v="282"/>
    <n v="0"/>
    <m/>
    <m/>
    <m/>
    <m/>
  </r>
  <r>
    <x v="7"/>
    <x v="16"/>
    <x v="16"/>
    <x v="58"/>
    <x v="57"/>
    <x v="190"/>
    <s v="Gestió de la brigada de manteniment"/>
    <s v="Específic"/>
    <s v="Obligatori"/>
    <x v="193"/>
    <m/>
    <x v="0"/>
    <m/>
    <m/>
    <m/>
    <m/>
    <m/>
    <m/>
    <m/>
    <m/>
    <m/>
    <m/>
    <m/>
    <x v="0"/>
    <m/>
    <x v="283"/>
    <n v="0"/>
    <m/>
    <m/>
    <m/>
    <m/>
  </r>
  <r>
    <x v="7"/>
    <x v="16"/>
    <x v="16"/>
    <x v="58"/>
    <x v="57"/>
    <x v="191"/>
    <s v="Gestió de personal"/>
    <s v="Específic"/>
    <s v="Obligatori"/>
    <x v="194"/>
    <s v="Millora del redactat"/>
    <x v="0"/>
    <m/>
    <m/>
    <m/>
    <m/>
    <m/>
    <m/>
    <m/>
    <m/>
    <m/>
    <m/>
    <m/>
    <x v="0"/>
    <m/>
    <x v="284"/>
    <n v="0"/>
    <m/>
    <m/>
    <m/>
    <m/>
  </r>
  <r>
    <x v="7"/>
    <x v="16"/>
    <x v="16"/>
    <x v="58"/>
    <x v="57"/>
    <x v="191"/>
    <s v="Gestió de personal"/>
    <s v="Específic"/>
    <s v="Obligatori"/>
    <x v="194"/>
    <s v="Millora del redactat"/>
    <x v="0"/>
    <m/>
    <m/>
    <m/>
    <m/>
    <m/>
    <m/>
    <m/>
    <m/>
    <m/>
    <m/>
    <m/>
    <x v="0"/>
    <m/>
    <x v="285"/>
    <n v="0"/>
    <m/>
    <m/>
    <m/>
    <m/>
  </r>
  <r>
    <x v="7"/>
    <x v="16"/>
    <x v="16"/>
    <x v="58"/>
    <x v="57"/>
    <x v="191"/>
    <s v="Gestió de personal"/>
    <s v="Específic"/>
    <s v="Obligatori"/>
    <x v="194"/>
    <s v="Millora del redactat"/>
    <x v="0"/>
    <m/>
    <m/>
    <m/>
    <m/>
    <m/>
    <m/>
    <m/>
    <m/>
    <m/>
    <m/>
    <m/>
    <x v="0"/>
    <m/>
    <x v="286"/>
    <n v="0"/>
    <m/>
    <m/>
    <m/>
    <m/>
  </r>
  <r>
    <x v="7"/>
    <x v="16"/>
    <x v="16"/>
    <x v="58"/>
    <x v="57"/>
    <x v="191"/>
    <s v="Gestió de personal"/>
    <s v="Específic"/>
    <s v="Obligatori"/>
    <x v="194"/>
    <s v="Millora del redactat"/>
    <x v="0"/>
    <s v="BAIXA"/>
    <m/>
    <m/>
    <m/>
    <m/>
    <m/>
    <m/>
    <m/>
    <m/>
    <m/>
    <m/>
    <x v="0"/>
    <m/>
    <x v="287"/>
    <n v="0"/>
    <m/>
    <m/>
    <m/>
    <m/>
  </r>
  <r>
    <x v="7"/>
    <x v="16"/>
    <x v="16"/>
    <x v="58"/>
    <x v="57"/>
    <x v="192"/>
    <m/>
    <s v="Específic"/>
    <s v="Obligatori"/>
    <x v="195"/>
    <s v="*NOU"/>
    <x v="0"/>
    <s v="MÀXIMA"/>
    <m/>
    <m/>
    <m/>
    <m/>
    <m/>
    <m/>
    <m/>
    <m/>
    <m/>
    <m/>
    <x v="0"/>
    <m/>
    <x v="288"/>
    <m/>
    <m/>
    <m/>
    <m/>
    <m/>
  </r>
  <r>
    <x v="7"/>
    <x v="16"/>
    <x v="16"/>
    <x v="58"/>
    <x v="57"/>
    <x v="192"/>
    <m/>
    <s v="Específic"/>
    <s v="Obligatori"/>
    <x v="195"/>
    <s v="*NOU"/>
    <x v="0"/>
    <s v="MÀXIMA"/>
    <m/>
    <m/>
    <m/>
    <m/>
    <m/>
    <m/>
    <m/>
    <m/>
    <m/>
    <m/>
    <x v="0"/>
    <m/>
    <x v="289"/>
    <m/>
    <m/>
    <m/>
    <m/>
    <m/>
  </r>
  <r>
    <x v="7"/>
    <x v="16"/>
    <x v="16"/>
    <x v="58"/>
    <x v="57"/>
    <x v="192"/>
    <m/>
    <s v="Específic"/>
    <s v="Obligatori"/>
    <x v="196"/>
    <s v="*NOU"/>
    <x v="0"/>
    <s v="BAIXA"/>
    <m/>
    <m/>
    <m/>
    <m/>
    <m/>
    <m/>
    <m/>
    <m/>
    <m/>
    <m/>
    <x v="5"/>
    <s v="Pla estratègic 2021-2030 d'educació i voluntariat ambiental "/>
    <x v="290"/>
    <n v="0"/>
    <m/>
    <m/>
    <m/>
    <m/>
  </r>
</pivotCacheRecords>
</file>

<file path=xl/pivotCache/pivotCacheRecords2.xml><?xml version="1.0" encoding="utf-8"?>
<pivotCacheRecords xmlns="http://schemas.openxmlformats.org/spreadsheetml/2006/main" xmlns:r="http://schemas.openxmlformats.org/officeDocument/2006/relationships" count="464">
  <r>
    <x v="0"/>
    <n v="1"/>
    <s v="CONSERVAR LA NATURA i restaurar els ecosistemes, els processos naturals i seminaturals, la biodiversitat i la geodiversitat associada."/>
    <s v="01.1"/>
    <s v="Adequar i fer eficient la conservació dels elements objecte de gestió prioritària marcats per la DG a l'ENP"/>
    <s v="01.1.1"/>
    <s v="Implementar i executar plans de gestió específics per a hàbitats i espècies de conservació prioritària dins l'ENP"/>
    <s v="Comú"/>
    <s v="Obligatori "/>
    <s v="Elaborar plans de gestió específics per a hàbitats i espècies de conservació prioritària dins de l'ENP"/>
    <s v="Primer, caldria elaborar aquests plans, ja que no existeixen"/>
    <s v="Si"/>
    <s v="ALTA"/>
    <x v="0"/>
    <s v="La part d’execucio de les mesures i totes les actuacions concretes lligades a aquestes, es podria traslladar al 1.2.2, i deixar aquí només la planificacio (criteri DG-Parpal aplicat a altres espais). Si s’accepta, es proposa modificar redactat OP i treure la part d’executar. MODIFICAT"/>
    <m/>
    <x v="0"/>
    <x v="0"/>
  </r>
  <r>
    <x v="0"/>
    <n v="1"/>
    <s v="CONSERVAR LA NATURA i restaurar els ecosistemes, els processos naturals i seminaturals, la biodiversitat i la geodiversitat associada."/>
    <s v="01.1"/>
    <s v="Adequar i fer eficient la conservació dels elements objecte de gestió prioritària marcats per la DG a l'ENP"/>
    <s v="01.1.1"/>
    <s v="Implementar i executar plans de gestió específics per a hàbitats i espècies de conservació prioritària dins l'ENP"/>
    <s v="Comú"/>
    <s v="Obligatori "/>
    <s v="Elaborar plans de gestió específics per a hàbitats i espècies de conservació prioritària dins de l'ENP"/>
    <s v="Primer, caldria elaborar aquests plans, ja que no existeixen"/>
    <s v="Si"/>
    <s v="ALTA"/>
    <x v="1"/>
    <m/>
    <m/>
    <x v="0"/>
    <x v="0"/>
  </r>
  <r>
    <x v="0"/>
    <n v="1"/>
    <s v="CONSERVAR LA NATURA i restaurar els ecosistemes, els processos naturals i seminaturals, la biodiversitat i la geodiversitat associada."/>
    <s v="01.1"/>
    <s v="Adequar i fer eficient la conservació dels elements objecte de gestió prioritària marcats per la DG a l'ENP"/>
    <s v="01.1.2"/>
    <s v="Adaptar i executar plans de gestió específics per a elements geològics de conservació prioritària dins l'ENP"/>
    <s v="Comú"/>
    <s v="Obligatori "/>
    <s v="Elaborar i executar plans de gestió específics per a elements geològics de conservació prioritària dins l'ENP"/>
    <s v="Primer, caldria elaborar aquests plans, ja que no existeixen"/>
    <s v="Si"/>
    <s v="MITJANA"/>
    <x v="2"/>
    <m/>
    <s v="elements geològics de conservació prioritària protegida: és la denominació correcta? Treure protegida? Ho mantenim, ja que existeix cet grau de protecció"/>
    <x v="0"/>
    <x v="0"/>
  </r>
  <r>
    <x v="0"/>
    <n v="1"/>
    <s v="CONSERVAR LA NATURA i restaurar els ecosistemes, els processos naturals i seminaturals, la biodiversitat i la geodiversitat associada."/>
    <s v="01.1"/>
    <s v="Adequar i fer eficient la conservació dels elements objecte de gestió prioritària marcats per la DG a l'ENP"/>
    <s v="01.1.2"/>
    <s v="Adaptar i executar plans de gestió específics per a elements geològics de conservació prioritària dins l'ENP"/>
    <s v="Comú"/>
    <s v="Obligatori "/>
    <s v="Elaborar i executar plans de gestió específics per a elements geològics de conservació prioritària dins l'ENP"/>
    <s v="Primer, caldria elaborar aquests plans, ja que no existeixen"/>
    <s v="Si"/>
    <s v="MITJANA"/>
    <x v="3"/>
    <m/>
    <m/>
    <x v="0"/>
    <x v="0"/>
  </r>
  <r>
    <x v="0"/>
    <n v="1"/>
    <s v="CONSERVAR LA NATURA i restaurar els ecosistemes, els processos naturals i seminaturals, la biodiversitat i la geodiversitat associada."/>
    <s v="01.2"/>
    <s v="Executar les mesures de gestió directa previstes en els intruments de planificació per la conservació i la gestió adaptativa dels elements clau de l'ENP"/>
    <s v="01.2.1"/>
    <s v="Implementar la metodologia de gestió adaptativa (Estàndards Oberts de Gestió Adaptativa a Catalunya) en tots els processos de l'ENP"/>
    <s v="Comú"/>
    <s v="Obligatori"/>
    <s v="Implementar la metodologia de gestió adaptativa (Estàndards Oberts de Gestió Adaptativa a Catalunya) en tots els processos de l'ENP"/>
    <m/>
    <s v="Si"/>
    <s v="MÀXIMA"/>
    <x v="4"/>
    <s v="Exemple accions Montsant: 1. Priorització d'espècies en base a laDirectiva.                                                             _x000a_2. Priorització d'hàbitats a conservar en base a la Directiva.                                       _x000a_3. Aplicació dels Open Standard (creació d'un document en base a un diagrama de flux sobre els OS del Parc)."/>
    <m/>
    <x v="1"/>
    <x v="0"/>
  </r>
  <r>
    <x v="0"/>
    <n v="1"/>
    <s v="CONSERVAR LA NATURA i restaurar els ecosistemes, els processos naturals i seminaturals, la biodiversitat i la geodiversitat associada."/>
    <s v="01.2"/>
    <s v="Executar les mesures de gestió directa previstes en els intruments de planificació per la conservació i la gestió adaptativa dels elements clau de l'ENP"/>
    <s v="01.2.2"/>
    <s v="Executar les mesures previstes en els plans de conservació o recuperació d'espècies amenaçades de forma coordinada amb el Servei de Flora i Fauna en l'àmbit de l'ENP"/>
    <s v="Comú"/>
    <s v="Obligatori "/>
    <s v="Executar les mesures previstes en els plans de conservació o recuperació d'espècies amenaçades de forma coordinada amb el Servei de Flora i Fauna en l'àmbit de l'ENP"/>
    <s v="També participar en l'elaboració dels plans. Servei de Fauna i Flora"/>
    <s v="Si"/>
    <s v="MÀXIMA"/>
    <x v="5"/>
    <m/>
    <m/>
    <x v="0"/>
    <x v="0"/>
  </r>
  <r>
    <x v="0"/>
    <n v="1"/>
    <s v="CONSERVAR LA NATURA i restaurar els ecosistemes, els processos naturals i seminaturals, la biodiversitat i la geodiversitat associada."/>
    <s v="01.2"/>
    <s v="Executar les mesures de gestió directa previstes en els intruments de planificació per la conservació i la gestió adaptativa dels elements clau de l'ENP"/>
    <s v="01.2.2"/>
    <s v="Executar les mesures previstes en els plans de conservació o recuperació d'espècies amenaçades de forma coordinada amb el Servei de Flora i Fauna en l'àmbit de l'ENP"/>
    <s v="Comú"/>
    <s v="Obligatori "/>
    <s v="Executar les mesures previstes en els plans de conservació o recuperació d'espècies amenaçades de forma coordinada amb el Servei de Flora i Fauna en l'àmbit de l'ENP"/>
    <s v="També participar en l'elaboració dels plans. Servei de Fauna i Flora és el nom correcte"/>
    <s v="Si"/>
    <m/>
    <x v="6"/>
    <m/>
    <m/>
    <x v="0"/>
    <x v="0"/>
  </r>
  <r>
    <x v="0"/>
    <n v="1"/>
    <s v="CONSERVAR LA NATURA i restaurar els ecosistemes, els processos naturals i seminaturals, la biodiversitat i la geodiversitat associada."/>
    <s v="01.2"/>
    <s v="Executar les mesures de gestió directa previstes en els intruments de planificació per la conservació i la gestió adaptativa dels elements clau de l'ENP"/>
    <s v="01.2.2"/>
    <s v="Executar les mesures previstes en els plans de conservació o recuperació d'espècies amenaçades de forma coordinada amb el Servei de Flora i Fauna en l'àmbit de l'ENP"/>
    <s v="Comú"/>
    <s v="Obligatori "/>
    <s v="Executar les mesures previstes en els plans de conservació o recuperació d'espècies amenaçades de forma coordinada amb el Servei de Flora i Fauna en l'àmbit de l'ENP"/>
    <s v="També participar en l'elaboració dels plans. Servei de Fauna i Flora és el nom correcte"/>
    <s v="Si"/>
    <m/>
    <x v="7"/>
    <m/>
    <m/>
    <x v="0"/>
    <x v="0"/>
  </r>
  <r>
    <x v="0"/>
    <n v="1"/>
    <s v="CONSERVAR LA NATURA i restaurar els ecosistemes, els processos naturals i seminaturals, la biodiversitat i la geodiversitat associada."/>
    <s v="01.2"/>
    <s v="Executar les mesures de gestió directa previstes en els intruments de planificació per la conservació i la gestió adaptativa dels elements clau de l'ENP"/>
    <s v="01.2.2"/>
    <s v="Executar les mesures previstes en els plans de conservació o recuperació d'espècies amenaçades de forma coordinada amb el Servei de Flora i Fauna en l'àmbit de l'ENP"/>
    <s v="Comú"/>
    <s v="Obligatori "/>
    <s v="Executar les mesures previstes en els plans de conservació o recuperació d'espècies amenaçades de forma coordinada amb el Servei de Flora i Fauna en l'àmbit de l'ENP"/>
    <s v="També participar en l'elaboració dels plans. Servei de Fauna i Flora és el nom correcte"/>
    <s v="Si"/>
    <m/>
    <x v="8"/>
    <m/>
    <m/>
    <x v="0"/>
    <x v="0"/>
  </r>
  <r>
    <x v="0"/>
    <n v="1"/>
    <s v="CONSERVAR LA NATURA i restaurar els ecosistemes, els processos naturals i seminaturals, la biodiversitat i la geodiversitat associada."/>
    <s v="01.2"/>
    <s v="Executar les mesures de gestió directa previstes en els intruments de planificació per la conservació i la gestió adaptativa dels elements clau de l'ENP"/>
    <s v="01.2.2"/>
    <s v="Executar les mesures previstes en els plans de conservació o recuperació d'espècies amenaçades de forma coordinada amb el Servei de Flora i Fauna en l'àmbit de l'ENP"/>
    <s v="Comú"/>
    <s v="Obligatori "/>
    <s v="Executar les mesures previstes en els plans de conservació o recuperació d'espècies amenaçades de forma coordinada amb el Servei de Flora i Fauna en l'àmbit de l'ENP"/>
    <s v="També participar en l'elaboració dels plans. Servei de Fauna i Flora és el nom correcte"/>
    <s v="Si"/>
    <m/>
    <x v="9"/>
    <m/>
    <m/>
    <x v="0"/>
    <x v="0"/>
  </r>
  <r>
    <x v="0"/>
    <n v="1"/>
    <s v="CONSERVAR LA NATURA i restaurar els ecosistemes, els processos naturals i seminaturals, la biodiversitat i la geodiversitat associada."/>
    <s v="01.2"/>
    <s v="Executar les mesures de gestió directa previstes en els intruments de planificació per la conservació i la gestió adaptativa dels elements clau de l'ENP"/>
    <s v="01.2.2"/>
    <s v="Executar les mesures previstes en els plans de conservació o recuperació d'espècies amenaçades de forma coordinada amb el Servei de Flora i Fauna en l'àmbit de l'ENP"/>
    <s v="Comú"/>
    <s v="Obligatori "/>
    <s v="Executar les mesures previstes en els plans de conservació o recuperació d'espècies amenaçades de forma coordinada amb el Servei de Flora i Fauna en l'àmbit de l'ENP"/>
    <s v="També participar en l'elaboració dels plans. Servei de Fauna i Flora és el nom correcte"/>
    <s v="Si"/>
    <m/>
    <x v="10"/>
    <m/>
    <m/>
    <x v="0"/>
    <x v="0"/>
  </r>
  <r>
    <x v="0"/>
    <n v="1"/>
    <s v="CONSERVAR LA NATURA i restaurar els ecosistemes, els processos naturals i seminaturals, la biodiversitat i la geodiversitat associada."/>
    <s v="01.2"/>
    <s v="Executar les mesures de gestió directa previstes en els intruments de planificació per la conservació i la gestió adaptativa dels elements clau de l'ENP"/>
    <s v="01.2.2"/>
    <s v="Executar les mesures previstes en els plans de conservació o recuperació d'espècies amenaçades de forma coordinada amb el Servei de Flora i Fauna en l'àmbit de l'ENP"/>
    <s v="Comú"/>
    <s v="Obligatori "/>
    <s v="Executar les mesures previstes en els plans de conservació o recuperació d'espècies amenaçades de forma coordinada amb el Servei de Flora i Fauna en l'àmbit de l'ENP"/>
    <s v="També participar en l'elaboració dels plans. Servei de Fauna i Flora és el nom correcte"/>
    <s v="Si"/>
    <m/>
    <x v="11"/>
    <m/>
    <m/>
    <x v="0"/>
    <x v="0"/>
  </r>
  <r>
    <x v="0"/>
    <n v="1"/>
    <s v="CONSERVAR LA NATURA i restaurar els ecosistemes, els processos naturals i seminaturals, la biodiversitat i la geodiversitat associada."/>
    <s v="01.2"/>
    <s v="Executar les mesures de gestió directa previstes en els intruments de planificació per la conservació i la gestió adaptativa dels elements clau de l'ENP"/>
    <s v="01.2.2"/>
    <s v="Executar les mesures previstes en els plans de conservació o recuperació d'espècies amenaçades de forma coordinada amb el Servei de Flora i Fauna en l'àmbit de l'ENP"/>
    <s v="Comú"/>
    <s v="Obligatori "/>
    <s v="Executar les mesures previstes en els plans de conservació o recuperació d'espècies amenaçades de forma coordinada amb el Servei de Flora i Fauna en l'àmbit de l'ENP"/>
    <s v="També participar en l'elaboració dels plans. Servei de Fauna i Flora és el nom correcte"/>
    <s v="Si"/>
    <m/>
    <x v="12"/>
    <m/>
    <m/>
    <x v="0"/>
    <x v="0"/>
  </r>
  <r>
    <x v="0"/>
    <n v="1"/>
    <s v="CONSERVAR LA NATURA i restaurar els ecosistemes, els processos naturals i seminaturals, la biodiversitat i la geodiversitat associada."/>
    <s v="01.2"/>
    <s v="Executar les mesures de gestió directa previstes en els intruments de planificació per la conservació i la gestió adaptativa dels elements clau de l'ENP"/>
    <s v="01.2.2"/>
    <s v="Executar les mesures previstes en els plans de conservació o recuperació d'espècies amenaçades de forma coordinada amb el Servei de Flora i Fauna en l'àmbit de l'ENP"/>
    <s v="Comú"/>
    <s v="Obligatori "/>
    <s v="Executar les mesures previstes en els plans de conservació o recuperació d'espècies amenaçades de forma coordinada amb el Servei de Flora i Fauna en l'àmbit de l'ENP"/>
    <m/>
    <s v="Si"/>
    <m/>
    <x v="13"/>
    <m/>
    <m/>
    <x v="0"/>
    <x v="0"/>
  </r>
  <r>
    <x v="0"/>
    <n v="1"/>
    <s v="CONSERVAR LA NATURA i restaurar els ecosistemes, els processos naturals i seminaturals, la biodiversitat i la geodiversitat associada."/>
    <s v="01.2"/>
    <s v="Executar les mesures de gestió directa previstes en els intruments de planificació per la conservació i la gestió adaptativa dels elements clau de l'ENP"/>
    <s v="01.2.3"/>
    <s v="Executar les mesures de gestió previstes en els plans de control i erradicació d'espècies exòtiques de forma coordinada amb el Servei de Flora i Fauna en l'àmbit de l'ENP"/>
    <s v="Comú"/>
    <s v="Obligatori "/>
    <s v="Participar en l'elaboració dels plans de control i erradicació d'espècies exòtiques de forma coordinada amb el Servei de Fauna i Flora en l'àmbit de l'ENP i executar les actuacions"/>
    <s v="També participar en l'elaboració dels plans. Servei de Fauna i Flora"/>
    <s v="Si"/>
    <s v="MÀXIMA"/>
    <x v="14"/>
    <m/>
    <m/>
    <x v="0"/>
    <x v="0"/>
  </r>
  <r>
    <x v="0"/>
    <n v="1"/>
    <s v="CONSERVAR LA NATURA i restaurar els ecosistemes, els processos naturals i seminaturals, la biodiversitat i la geodiversitat associada."/>
    <s v="01.2"/>
    <s v="Executar les mesures de gestió directa previstes en els intruments de planificació per la conservació i la gestió adaptativa dels elements clau de l'ENP"/>
    <s v="01.2.3"/>
    <s v="Executar les mesures de gestió previstes en els plans de control i erradicació d'espècies exòtiques de forma coordinada amb el Servei de Flora i Fauna en l'àmbit de l'ENP"/>
    <s v="Comú"/>
    <s v="Obligatori "/>
    <s v="Participar en l'elaboració dels plans de control i erradicació d'espècies exòtiques de forma coordinada amb el Servei de Fauna i Flora en l'àmbit de l'ENP i executar les actuacions"/>
    <s v="També participar en l'elaboració dels plans. Servei de Fauna i Flora"/>
    <s v="Si"/>
    <m/>
    <x v="15"/>
    <m/>
    <m/>
    <x v="0"/>
    <x v="0"/>
  </r>
  <r>
    <x v="0"/>
    <n v="1"/>
    <s v="CONSERVAR LA NATURA i restaurar els ecosistemes, els processos naturals i seminaturals, la biodiversitat i la geodiversitat associada."/>
    <s v="01.2"/>
    <s v="Executar les mesures de gestió directa previstes en els intruments de planificació per la conservació i la gestió adaptativa dels elements clau de l'ENP"/>
    <s v="01.2.3"/>
    <s v="Executar les mesures de gestió previstes en els plans de control i erradicació d'espècies exòtiques de forma coordinada amb el Servei de Flora i Fauna en l'àmbit de l'ENP"/>
    <s v="Comú"/>
    <s v="Obligatori "/>
    <s v="Participar en l'elaboració dels plans de control i erradicació d'espècies exòtiques de forma coordinada amb el Servei de Fauna i Flora en l'àmbit de l'ENP i executar les actuacions"/>
    <s v="També participar en l'elaboració dels plans. Servei de Fauna i Flora"/>
    <s v="Si"/>
    <m/>
    <x v="16"/>
    <m/>
    <m/>
    <x v="0"/>
    <x v="0"/>
  </r>
  <r>
    <x v="0"/>
    <n v="1"/>
    <s v="CONSERVAR LA NATURA i restaurar els ecosistemes, els processos naturals i seminaturals, la biodiversitat i la geodiversitat associada."/>
    <s v="01.2"/>
    <s v="Executar les mesures de gestió directa previstes en els intruments de planificació per la conservació i la gestió adaptativa dels elements clau de l'ENP"/>
    <s v="01.2.4"/>
    <s v="Desplegar els objectius i tasques recollits en els instruments de referència i compromisos internacionals  "/>
    <s v="Específic"/>
    <s v="Optatiu "/>
    <s v="Desplegar els objectius i tasques recollits en els instruments de referència i compromisos internacionals  "/>
    <s v="De moment, només Reserva Biosfera, però la gestió global està delegada en un altre organisme (COPATE) amb poca activitat en temes de conservació"/>
    <s v="Si"/>
    <s v="ALTA"/>
    <x v="4"/>
    <m/>
    <m/>
    <x v="2"/>
    <x v="0"/>
  </r>
  <r>
    <x v="0"/>
    <n v="1"/>
    <s v="CONSERVAR LA NATURA i restaurar els ecosistemes, els processos naturals i seminaturals, la biodiversitat i la geodiversitat associada."/>
    <s v="01.3"/>
    <s v="Crear ecosistemes complexes, resilients, i d'alta biodiversitat per garantir la recuperació dels processos ecosistèmics"/>
    <s v="01.3.1"/>
    <s v="Identificar espais pel foment de la dinàmica natural i l'aprofitament no extractiu"/>
    <s v="Comú"/>
    <s v="Obligatori "/>
    <s v="Identificar i promoure espais per al foment de la dinàmica natural i l'aprofitament no extractiu"/>
    <s v="S'afegeix la promoció"/>
    <s v="Si"/>
    <s v="ALTA"/>
    <x v="17"/>
    <m/>
    <m/>
    <x v="0"/>
    <x v="0"/>
  </r>
  <r>
    <x v="0"/>
    <n v="1"/>
    <s v="CONSERVAR LA NATURA i restaurar els ecosistemes, els processos naturals i seminaturals, la biodiversitat i la geodiversitat associada."/>
    <s v="01.3"/>
    <s v="Crear ecosistemes complexes, resilients, i d'alta biodiversitat per garantir la recuperació dels processos ecosistèmics"/>
    <s v="01.3.2"/>
    <s v="Afavorir la maduresa dels sistemes forestals"/>
    <s v="Específic"/>
    <s v="Optatiu "/>
    <s v="Afavorir la maduresa dels sistemes forestals"/>
    <s v="Solapament. Veure mesures del 01.3.5"/>
    <s v="Si"/>
    <s v="ALTA"/>
    <x v="18"/>
    <s v="A valorar: considerar que no aplica per solapament amb 1.3.5 com ja indiqueu. MODIFICAT. OK. L'hem tornat a incorporar"/>
    <m/>
    <x v="0"/>
    <x v="0"/>
  </r>
  <r>
    <x v="0"/>
    <n v="1"/>
    <s v="CONSERVAR LA NATURA i restaurar els ecosistemes, els processos naturals i seminaturals, la biodiversitat i la geodiversitat associada."/>
    <s v="01.3"/>
    <s v="Crear ecosistemes complexes, resilients, i d'alta biodiversitat per garantir la recuperació dels processos ecosistèmics"/>
    <s v="01.3.3"/>
    <s v="Generar pertorbacions controlades"/>
    <s v="Específic"/>
    <s v="Optatiu "/>
    <s v="Planificar i executar pertorbacions controlades"/>
    <s v="S'afegeix la planificació"/>
    <s v="No"/>
    <s v="MITJANA"/>
    <x v="4"/>
    <m/>
    <m/>
    <x v="0"/>
    <x v="1"/>
  </r>
  <r>
    <x v="0"/>
    <n v="1"/>
    <s v="CONSERVAR LA NATURA i restaurar els ecosistemes, els processos naturals i seminaturals, la biodiversitat i la geodiversitat associada."/>
    <s v="01.3"/>
    <s v="Crear ecosistemes complexes, resilients, i d'alta biodiversitat per garantir la recuperació dels processos ecosistèmics"/>
    <s v="01.3.4"/>
    <s v="Restaurar la dinàmica natural dels rius "/>
    <s v="Específic"/>
    <s v="Optatiu "/>
    <s v="Planificar i restaurar la dinàmica natural dels rius "/>
    <m/>
    <s v="Si"/>
    <s v="MITJANA"/>
    <x v="19"/>
    <m/>
    <m/>
    <x v="0"/>
    <x v="0"/>
  </r>
  <r>
    <x v="0"/>
    <n v="1"/>
    <s v="CONSERVAR LA NATURA i restaurar els ecosistemes, els processos naturals i seminaturals, la biodiversitat i la geodiversitat associada."/>
    <s v="01.3"/>
    <s v="Crear ecosistemes complexes, resilients, i d'alta biodiversitat per garantir la recuperació dels processos ecosistèmics"/>
    <s v="01.3.4"/>
    <s v="Restaurar la dinàmica natural dels rius "/>
    <s v="Específic"/>
    <s v="Optatiu "/>
    <s v="Planificar i restaurar la dinàmica natural dels rius "/>
    <m/>
    <s v="Si"/>
    <s v="MITJANA"/>
    <x v="4"/>
    <m/>
    <m/>
    <x v="3"/>
    <x v="0"/>
  </r>
  <r>
    <x v="0"/>
    <n v="1"/>
    <s v="CONSERVAR LA NATURA i restaurar els ecosistemes, els processos naturals i seminaturals, la biodiversitat i la geodiversitat associada."/>
    <s v="01.3"/>
    <s v="Crear ecosistemes complexes, resilients, i d'alta biodiversitat per garantir la recuperació dels processos ecosistèmics"/>
    <s v="01.3.4"/>
    <s v="Restaurar la dinàmica natural dels rius "/>
    <s v="Específic"/>
    <s v="Optatiu "/>
    <s v="Planificar i restaurar la dinàmica natural dels rius "/>
    <m/>
    <s v="Si"/>
    <s v="MITJANA"/>
    <x v="20"/>
    <m/>
    <s v="Corregit error tipogràfic. ok"/>
    <x v="0"/>
    <x v="0"/>
  </r>
  <r>
    <x v="0"/>
    <n v="1"/>
    <s v="CONSERVAR LA NATURA i restaurar els ecosistemes, els processos naturals i seminaturals, la biodiversitat i la geodiversitat associada."/>
    <s v="01.3"/>
    <s v="Crear ecosistemes complexes, resilients, i d'alta biodiversitat per garantir la recuperació dels processos ecosistèmics"/>
    <s v="01.3.5"/>
    <s v="Fomentar el paisatge en mosaïc"/>
    <s v="Específic"/>
    <s v="Optatiu "/>
    <s v="Fomentar el paisatge en mosaic"/>
    <s v="Possible solapament amb altres objectius operatius (foc, maduresa, pastures...)"/>
    <s v="Si"/>
    <m/>
    <x v="21"/>
    <m/>
    <m/>
    <x v="0"/>
    <x v="0"/>
  </r>
  <r>
    <x v="0"/>
    <n v="1"/>
    <s v="CONSERVAR LA NATURA i restaurar els ecosistemes, els processos naturals i seminaturals, la biodiversitat i la geodiversitat associada."/>
    <s v="01.3"/>
    <s v="Crear ecosistemes complexes, resilients, i d'alta biodiversitat per garantir la recuperació dels processos ecosistèmics"/>
    <s v="01.3.6"/>
    <s v="Gestionar i intervenir en la dinàmica de poblacions de fauna que no tenen depredador natural"/>
    <s v="Específic"/>
    <s v="Optatiu "/>
    <s v="Planificar i intervenir en la dinàmica de poblacions de fauna que poden generar impactes negatius en la conservació dels elements d'interès de l'ENP"/>
    <s v="Només s'inclouen actuacions que impliquin conservació/millora d'elements de conservació. "/>
    <s v="No"/>
    <s v="MITJANA"/>
    <x v="4"/>
    <m/>
    <m/>
    <x v="0"/>
    <x v="2"/>
  </r>
  <r>
    <x v="0"/>
    <n v="1"/>
    <s v="CONSERVAR LA NATURA i restaurar els ecosistemes, els processos naturals i seminaturals, la biodiversitat i la geodiversitat associada."/>
    <s v="01.3"/>
    <s v="Crear ecosistemes complexes, resilients, i d'alta biodiversitat per garantir la recuperació dels processos ecosistèmics"/>
    <s v="01.3.7"/>
    <s v="Afavorir la connectivitat ecològica del territori"/>
    <s v="Comú"/>
    <s v="Obligatori"/>
    <s v="Afavorir la connectivitat ecològica del territori"/>
    <m/>
    <s v="No"/>
    <m/>
    <x v="4"/>
    <m/>
    <m/>
    <x v="0"/>
    <x v="3"/>
  </r>
  <r>
    <x v="0"/>
    <n v="1"/>
    <s v="CONSERVAR LA NATURA i restaurar els ecosistemes, els processos naturals i seminaturals, la biodiversitat i la geodiversitat associada."/>
    <s v="01.4"/>
    <s v="Alinear l'activitat de propietaris i gestors del territori amb la conservació, millora i restauració dels valors de l'ENP"/>
    <s v="01.4.1"/>
    <s v="Fomentar acords de custòdia en espais d'alt valor dins l'ENP per a la gestió dels elements prioritaris"/>
    <s v="Comú"/>
    <s v="Optatiu "/>
    <s v="Fomentar acords de custòdia en espais d'alt valor dins l'ENP per a la gestió dels elements prioritaris"/>
    <m/>
    <s v="No"/>
    <s v="ALTA"/>
    <x v="4"/>
    <m/>
    <m/>
    <x v="0"/>
    <x v="4"/>
  </r>
  <r>
    <x v="0"/>
    <n v="1"/>
    <s v="CONSERVAR LA NATURA i restaurar els ecosistemes, els processos naturals i seminaturals, la biodiversitat i la geodiversitat associada."/>
    <s v="01.4"/>
    <s v="Alinear l'activitat de propietaris i gestors del territori amb la conservació, millora i restauració dels valors de l'ENP"/>
    <s v="01.4.2"/>
    <s v="Fomentar bones pràctiques entre els col·lectius de propietaris i gestors del territori"/>
    <s v="Comú"/>
    <s v="Optatiu "/>
    <s v="Fomentar bones pràctiques entre els col·lectius de propietaris i gestors del territori"/>
    <m/>
    <s v="No"/>
    <s v="ALTA"/>
    <x v="4"/>
    <m/>
    <m/>
    <x v="0"/>
    <x v="5"/>
  </r>
  <r>
    <x v="0"/>
    <n v="1"/>
    <s v="CONSERVAR LA NATURA i restaurar els ecosistemes, els processos naturals i seminaturals, la biodiversitat i la geodiversitat associada."/>
    <s v="01.4"/>
    <s v="Alinear l'activitat de propietaris i gestors del territori amb la conservació, millora i restauració dels valors de l'ENP"/>
    <s v="01.4.3"/>
    <s v="Impulsar la coordinació amb els ens locals en la gestió finques públiques situades dins d’ENP"/>
    <s v="Específic"/>
    <s v="Optatiu "/>
    <s v="Impulsar la coordinació amb els ens locals i l'Administració pública de boscos en la gestió finques públiques situades dins d’ENP"/>
    <s v="S'afegeixen boscos de la Generalitat"/>
    <s v="Si"/>
    <s v="MÀXIMA"/>
    <x v="22"/>
    <m/>
    <m/>
    <x v="0"/>
    <x v="0"/>
  </r>
  <r>
    <x v="0"/>
    <n v="2"/>
    <s v="ADAPTAR ELS ECOSISTEMES AL CANVI CLIMÀTIC i millorar-ne la resiliència en front dels riscos associats."/>
    <s v="02.1"/>
    <s v="Planificar l'adaptació dels sistemes naturals al canvi climàtic"/>
    <s v="02.1.1"/>
    <s v="Adaptar i implementar el Pla d'adaptació de l'ENP al canvi climàtic"/>
    <s v="Comú"/>
    <s v="Obligatori "/>
    <s v="Promoure l'elaboració del Pla d'adaptació de l'ENP al canvi climàtic"/>
    <s v="No el tenim i les actuacions correspondran a altes Ops"/>
    <s v="Si"/>
    <s v="ALTA"/>
    <x v="23"/>
    <m/>
    <m/>
    <x v="0"/>
    <x v="0"/>
  </r>
  <r>
    <x v="0"/>
    <n v="2"/>
    <s v="ADAPTAR ELS ECOSISTEMES AL CANVI CLIMÀTIC i millorar-ne la resiliència en front dels riscos associats."/>
    <s v="02.1"/>
    <s v="Planificar l'adaptació dels sistemes naturals al canvi climàtic"/>
    <s v="02.1.2"/>
    <s v="Gestionar i planificar els recursos hídrics de l'ENP"/>
    <s v="Comú"/>
    <s v="Obligatori"/>
    <s v="Promoure la planificació, la gestió i el control dels recursos hídrics de l'ENP"/>
    <s v="Només intervenim a nivell de gestió preventiva (informes i seguiments)"/>
    <s v="Si"/>
    <s v="ALTA"/>
    <x v="24"/>
    <m/>
    <m/>
    <x v="0"/>
    <x v="0"/>
  </r>
  <r>
    <x v="0"/>
    <n v="2"/>
    <s v="ADAPTAR ELS ECOSISTEMES AL CANVI CLIMÀTIC i millorar-ne la resiliència en front dels riscos associats."/>
    <s v="02.1"/>
    <s v="Planificar l'adaptació dels sistemes naturals al canvi climàtic"/>
    <s v="02.1.3"/>
    <s v="Participar en la redacció i execució dels instruments d'ordenació forestal sostenible i per la conservació en finques públiques"/>
    <s v="Específic"/>
    <s v="Optatiu "/>
    <s v="Promoure i participar en la redacció dels instruments d'ordenació forestal sostenible, amb objectius de conservació, en finques públiques"/>
    <s v="Millora del redactat"/>
    <s v="Si"/>
    <s v="ALTA"/>
    <x v="25"/>
    <m/>
    <m/>
    <x v="0"/>
    <x v="0"/>
  </r>
  <r>
    <x v="0"/>
    <n v="2"/>
    <s v="ADAPTAR ELS ECOSISTEMES AL CANVI CLIMÀTIC i millorar-ne la resiliència en front dels riscos associats."/>
    <s v="02.2"/>
    <s v="Planificar la prevenció i extinció d’incendis forestals i la gestió del foc de forma coordinada amb els diferents agents del territori "/>
    <s v="02.2.1"/>
    <s v="Redactar i implementar el Pla de Prevenció d'Incendis "/>
    <s v="Comú"/>
    <s v="Obligatori "/>
    <s v="Redactar i implementar el Pla de Prevenció d'Incendis de l'ENP"/>
    <s v="Hi ha diversos plans que afecten l'ENP (municipals, PPP, franges)"/>
    <s v="Si"/>
    <s v="ALTA"/>
    <x v="26"/>
    <m/>
    <m/>
    <x v="0"/>
    <x v="0"/>
  </r>
  <r>
    <x v="0"/>
    <n v="2"/>
    <s v="ADAPTAR ELS ECOSISTEMES AL CANVI CLIMÀTIC i millorar-ne la resiliència en front dels riscos associats."/>
    <s v="02.2"/>
    <s v="Planificar la prevenció i extinció d’incendis forestals i la gestió del foc de forma coordinada amb els diferents agents del territori "/>
    <s v="02.2.2"/>
    <s v="Definir i planificar la gestió del foc per a la millora de l'ENP"/>
    <s v="Específic"/>
    <s v="Optatiu "/>
    <s v="Definir i planificar la gestió del foc per a la millora de l'ENP"/>
    <m/>
    <s v="Si"/>
    <s v="ALTA"/>
    <x v="27"/>
    <m/>
    <m/>
    <x v="0"/>
    <x v="0"/>
  </r>
  <r>
    <x v="0"/>
    <n v="2"/>
    <s v="ADAPTAR ELS ECOSISTEMES AL CANVI CLIMÀTIC i millorar-ne la resiliència en front dels riscos associats."/>
    <s v="02.2"/>
    <s v="Planificar la prevenció i extinció d’incendis forestals i la gestió del foc de forma coordinada amb els diferents agents del territori "/>
    <s v="02.2.3"/>
    <s v="Treballar per a la prevenció d'incendis juntament amb els propietaris, ajuntaments, protecció civil, ADF i bombers."/>
    <s v="Comú"/>
    <s v="Obligatori "/>
    <s v="Participar, juntament amb els propietaris, ajuntaments i bombers, en els diversos plans de prevenció d'incendis (PPP, plans municipals, franges de protecció...)"/>
    <s v="Millora del redactat"/>
    <s v="Si"/>
    <s v="MITJANA"/>
    <x v="28"/>
    <m/>
    <m/>
    <x v="0"/>
    <x v="0"/>
  </r>
  <r>
    <x v="0"/>
    <n v="2"/>
    <s v="ADAPTAR ELS ECOSISTEMES AL CANVI CLIMÀTIC i millorar-ne la resiliència en front dels riscos associats."/>
    <s v="02.2"/>
    <s v="Planificar la prevenció i extinció d’incendis forestals i la gestió del foc de forma coordinada amb els diferents agents del territori "/>
    <s v="02.2.3"/>
    <s v="Treballar per a la prevenció d'incendis juntament amb els propietaris, ajuntaments, protecció civil, ADF i bombers."/>
    <s v="Comú"/>
    <s v="Obligatori "/>
    <s v="Participar, juntament amb els propietaris, ajuntaments i bombers, en els diversos plans de prevenció d'incendis (PPP, plans municipals, franges de protecció...)"/>
    <s v="Millora del redactat"/>
    <s v="Si"/>
    <s v="MITJANA"/>
    <x v="29"/>
    <m/>
    <s v="Repetit, ja recollit a la fila 39, OP2.2.1. ok, canviat el redactat"/>
    <x v="0"/>
    <x v="0"/>
  </r>
  <r>
    <x v="0"/>
    <n v="3"/>
    <s v="PROTEGIR LA BIODIVERSITAT, i especialment els elements fràgils i amenaçats, d’interès comunitari o de major interès natural."/>
    <s v="03.1"/>
    <s v="Prevenir, minimitzar i compensar els impactes ambientals dels usos i activitats que es desenvolupin en l'àmbit de l'ENP"/>
    <s v="03.1.1"/>
    <s v="Participar en les consultes dels procesos d'Avaluació Ambiental que afectin directament o indirectament l’espai del ENP"/>
    <s v="Comú"/>
    <s v="Obligatori"/>
    <s v="Participar en les consultes dels processos d'Avaluació Ambiental que afectin directament o indirectament l'ENP"/>
    <s v="Faltes ortogràfiques, millora redactat"/>
    <s v="Si"/>
    <s v="MITJANA"/>
    <x v="30"/>
    <m/>
    <m/>
    <x v="0"/>
    <x v="0"/>
  </r>
  <r>
    <x v="0"/>
    <n v="3"/>
    <s v="PROTEGIR LA BIODIVERSITAT, i especialment els elements fràgils i amenaçats, d’interès comunitari o de major interès natural."/>
    <s v="03.1"/>
    <s v="Prevenir, minimitzar i compensar els impactes ambientals dels usos i activitats que es desenvolupin en l'àmbit de l'ENP"/>
    <s v="03.1.1"/>
    <s v="Participar en les consultes dels procesos d'Avaluació Ambiental que afectin directament o indirectament l’espai del ENP"/>
    <s v="Comú"/>
    <s v="Obligatori"/>
    <s v="Participar en les consultes dels processos d'Avaluació Ambiental que afectin directament o indirectament l'ENP"/>
    <s v="Faltes ortogràfiques, millora redactat"/>
    <s v="Si"/>
    <s v="MITJANA"/>
    <x v="31"/>
    <m/>
    <m/>
    <x v="0"/>
    <x v="0"/>
  </r>
  <r>
    <x v="0"/>
    <n v="3"/>
    <s v="PROTEGIR LA BIODIVERSITAT, i especialment els elements fràgils i amenaçats, d’interès comunitari o de major interès natural."/>
    <s v="03.1"/>
    <s v="Prevenir, minimitzar i compensar els impactes ambientals dels usos i activitats que es desenvolupin en l'àmbit de l'ENP"/>
    <s v="03.1.2"/>
    <s v="Exercir un seguiment efectiu de les obres al Parc juntament amb les Oficines Territorials d'Acció i Avaluació Ambiental als efectes d'assegurar la correcta translació de la tutela administrativa."/>
    <s v="Comú"/>
    <s v="Obligatori"/>
    <s v="Exercir un seguiment efectiu de les obres i actuacions al Parc juntament amb les Oficines Territorials d'Acció i Avaluació Ambiental i el Cos d'Agents Rurals als efectes d'assegurar la correcta translació de la tutela administrativa."/>
    <s v="Hem afegit CAR"/>
    <s v="Si"/>
    <s v="MITJANA"/>
    <x v="32"/>
    <m/>
    <m/>
    <x v="0"/>
    <x v="0"/>
  </r>
  <r>
    <x v="0"/>
    <n v="3"/>
    <s v="PROTEGIR LA BIODIVERSITAT, i especialment els elements fràgils i amenaçats, d’interès comunitari o de major interès natural."/>
    <s v="03.1"/>
    <s v="Prevenir, minimitzar i compensar els impactes ambientals dels usos i activitats que es desenvolupin en l'àmbit de l'ENP"/>
    <s v="03.1.3"/>
    <s v="Participar en la compensació d'impactes residuals durant els processos d'avaluació ambiental mitjançant la identificació de necessitats d'actuació prioritària dins i fora dels límits de l’ENP"/>
    <s v="Comú"/>
    <s v="Optatiu "/>
    <s v="Participar en la compensació d'impactes residuals durant els processos d'avaluació ambiental mitjançant la identificació de necessitats d'actuació prioritària dins i fora dels límits de l’ENP"/>
    <m/>
    <s v="No"/>
    <s v="MITJANA"/>
    <x v="4"/>
    <m/>
    <m/>
    <x v="0"/>
    <x v="6"/>
  </r>
  <r>
    <x v="0"/>
    <n v="3"/>
    <s v="PROTEGIR LA BIODIVERSITAT, i especialment els elements fràgils i amenaçats, d’interès comunitari o de major interès natural."/>
    <s v="03.2"/>
    <s v="Garantir el compliment dels objectius de conservació dotant l'ENP de la planificació adequada segons estableix la normativa vigent (Pla de Protecció, PRUG, plans específics...)"/>
    <s v="03.2.1"/>
    <s v="Participar en l'elaboració dels instruments de planificació de l'ENP"/>
    <s v="Comú"/>
    <s v="Obligatori"/>
    <s v="Participar en l'elaboració dels instruments de planificació de l'ENP"/>
    <s v="No tenim previsió d'elaboració del Pla i, per tant, no l'incloem al 2025-2029. Preguntar a Sara la previsió temporal"/>
    <s v="No"/>
    <s v="MÀXIMA"/>
    <x v="4"/>
    <m/>
    <m/>
    <x v="4"/>
    <x v="0"/>
  </r>
  <r>
    <x v="0"/>
    <n v="3"/>
    <s v="PROTEGIR LA BIODIVERSITAT, i especialment els elements fràgils i amenaçats, d’interès comunitari o de major interès natural."/>
    <s v="03.3"/>
    <s v="Vetllar pel manteniment dels cabals ecològics i la bona qualitat dels cursos fluvials de l'ENP de forma coordinada amb l'administració competent"/>
    <s v="03.3.1"/>
    <s v="Vetllar pel manteniment del cabal ecològic dels rius definit al Pla sectorial corresponent"/>
    <s v="Específic"/>
    <s v="Optatiu"/>
    <s v="Vetllar, juntament amb altres administracions, pel manteniment del cabal ecològic dels rius definit al Pla sectorial corresponent"/>
    <m/>
    <s v="No"/>
    <s v="ALTA"/>
    <x v="4"/>
    <m/>
    <m/>
    <x v="0"/>
    <x v="7"/>
  </r>
  <r>
    <x v="0"/>
    <n v="3"/>
    <s v="PROTEGIR LA BIODIVERSITAT, i especialment els elements fràgils i amenaçats, d’interès comunitari o de major interès natural."/>
    <s v="03.3"/>
    <s v="Vetllar pel manteniment dels cabals ecològics i la bona qualitat dels cursos fluvials de l'ENP de forma coordinada amb l'administració competent"/>
    <s v="03.3.2"/>
    <s v="Vetllar per la regulació dels dragatges, canalitzacions o implantació d'activitats extractives que puguin modificar la llera i el cabal dels rius"/>
    <s v="Específic"/>
    <s v="Optatiu "/>
    <s v="Vetllar per la regulació dels dragatges, canalitzacions o implantació d'activitats extractives que puguin modificar la llera i el cabal dels rius"/>
    <s v="Es proposa eliminar, ja que és molt similar a l'Op següent"/>
    <s v="No"/>
    <s v="ALTA"/>
    <x v="4"/>
    <m/>
    <m/>
    <x v="0"/>
    <x v="0"/>
  </r>
  <r>
    <x v="0"/>
    <n v="3"/>
    <s v="PROTEGIR LA BIODIVERSITAT, i especialment els elements fràgils i amenaçats, d’interès comunitari o de major interès natural."/>
    <s v="03.3"/>
    <s v="Vetllar pel manteniment dels cabals ecològics i la bona qualitat dels cursos fluvials de l'ENP de forma coordinada amb l'administració competent"/>
    <s v="03.3.3"/>
    <s v="Avaluar i controlar les actuacions que produeixin drenatges, captacions o que puguin impedir l’arribada d’aigua tant superficial com freàtica"/>
    <s v="Específic"/>
    <s v="Optatiu "/>
    <s v="Avaluar i controlar les actuacions que produeixin drenatges, captacions o que puguin impedir l’arribada d’aigua tant superficial com freàtica"/>
    <m/>
    <s v="Si"/>
    <s v="ALTA"/>
    <x v="33"/>
    <m/>
    <m/>
    <x v="0"/>
    <x v="0"/>
  </r>
  <r>
    <x v="0"/>
    <n v="3"/>
    <s v="PROTEGIR LA BIODIVERSITAT, i especialment els elements fràgils i amenaçats, d’interès comunitari o de major interès natural."/>
    <s v="03.3"/>
    <s v="Vetllar pel manteniment dels cabals ecològics i la bona qualitat dels cursos fluvials de l'ENP de forma coordinada amb l'administració competent"/>
    <s v="03.3.4"/>
    <s v="Vetllar pel compliment de la normativa de depuració dels efluents agroramaders, urbans i industrials que s'aboquen als cursos fluvials"/>
    <s v="Específic"/>
    <s v="Optatiu "/>
    <s v="Vetllar, juntament amb altres administracions, pel compliment de la normativa de depuració dels efluents agroramaders, urbans i industrials que s'aboquen als cursos fluvials"/>
    <s v="Millora del redactat"/>
    <s v="Si"/>
    <s v="ALTA"/>
    <x v="34"/>
    <m/>
    <m/>
    <x v="0"/>
    <x v="0"/>
  </r>
  <r>
    <x v="0"/>
    <n v="3"/>
    <s v="PROTEGIR LA BIODIVERSITAT, i especialment els elements fràgils i amenaçats, d’interès comunitari o de major interès natural."/>
    <s v="03.3"/>
    <s v="Vetllar pel manteniment dels cabals ecològics i la bona qualitat dels cursos fluvials de l'ENP de forma coordinada amb l'administració competent"/>
    <s v="03.3.5"/>
    <s v="Colaborar amb l'òrgan competent per la conservació del domini públic d'acord amb les delimitacions i la normativa d'usos vigent"/>
    <s v="Comú"/>
    <s v="Optatiu"/>
    <s v="Colaborar amb l'òrgan competent per la conservació del domini públic d'acord amb les delimitacions i la normativa d'usos vigent"/>
    <m/>
    <s v="Si"/>
    <m/>
    <x v="35"/>
    <m/>
    <m/>
    <x v="0"/>
    <x v="0"/>
  </r>
  <r>
    <x v="0"/>
    <n v="3"/>
    <s v="PROTEGIR LA BIODIVERSITAT, i especialment els elements fràgils i amenaçats, d’interès comunitari o de major interès natural."/>
    <s v="03.4"/>
    <s v="Incrementar el patrimoni públic destinat a la conservació i millora del patrimoni natural"/>
    <s v="03.4.1"/>
    <s v="Identificar espais prioritaris per a la compra de terrenys de més valor dins l'ENP "/>
    <s v="Comú"/>
    <s v="Optatiu "/>
    <s v="Identificar i promoure la compra d'espais prioritaris de terrenys de més valor dins l'ENP "/>
    <s v="Veure mesures del 03.4.2"/>
    <s v="Si"/>
    <s v="ALTA"/>
    <x v="36"/>
    <s v="Posar que NA (no aplica) per solapament amb el següent. MODIFICAT. HO MANTENIM"/>
    <m/>
    <x v="0"/>
    <x v="0"/>
  </r>
  <r>
    <x v="0"/>
    <n v="3"/>
    <s v="PROTEGIR LA BIODIVERSITAT, i especialment els elements fràgils i amenaçats, d’interès comunitari o de major interès natural."/>
    <s v="03.4"/>
    <s v="Incrementar el patrimoni públic destinat a la conservació i millora del patrimoni natural"/>
    <s v="03.4.2"/>
    <s v="Identificar espais prioritaris per a la gestió directa"/>
    <s v="Comú"/>
    <s v="Optatiu"/>
    <s v="Identificar espais prioritaris en finques públiques destinades a altres usos per a la gestió directa"/>
    <s v="Possible solapament amb l'anterior. Amb aquest enunciat s'fageix la gestió directa en boscos públics."/>
    <s v="No"/>
    <s v="ALTA"/>
    <x v="4"/>
    <m/>
    <m/>
    <x v="0"/>
    <x v="8"/>
  </r>
  <r>
    <x v="1"/>
    <n v="4"/>
    <s v="CONSERVAR ELS ELEMENTS CULTURALS materials i immaterials vinculats a la natura"/>
    <s v="04.1"/>
    <s v="Millorar el coneixement disponible sobre el patrimoni arquitectònic i cultural (material i immaterial) vinculat al patrimoni natural, el seu estat de conservació i els estils propis dels territoris de l'ENP"/>
    <s v="04.1.1"/>
    <s v="Elaborar l'inventari i cartografia de patrimoni cultural de l'ENP, que també inclogui el patrimoni etnològic i immaterial"/>
    <s v="Comú"/>
    <s v="Optatiu"/>
    <s v="Elaborar l'inventari i la cartografia de patrimoni arquitèctonic i cultural de l'ENP, que també inclogui el patrimoni etnològic i immaterial"/>
    <s v="Millora del redactat"/>
    <s v="Si"/>
    <s v="MITJANA"/>
    <x v="37"/>
    <m/>
    <m/>
    <x v="0"/>
    <x v="0"/>
  </r>
  <r>
    <x v="1"/>
    <n v="4"/>
    <s v="CONSERVAR ELS ELEMENTS CULTURALS materials i immaterials vinculats a la natura"/>
    <s v="04.1"/>
    <s v="Millorar el coneixement disponible sobre el patrimoni arquitectònic i cultural (material i immaterial) vinculat al patrimoni natural, el seu estat de conservació i els estils propis dels territoris de l'ENP"/>
    <s v="04.1.1"/>
    <s v="Elaborar l'inventari i cartografia de patrimoni cultural de l'ENP, que també inclogui el patrimoni etnològic i immaterial"/>
    <s v="Comú"/>
    <s v="Optatiu"/>
    <s v="Elaborar l'inventari i la cartografia de patrimoni arquitèctonic i cultural de l'ENP, que també inclogui el patrimoni etnològic i immaterial"/>
    <s v="Millora del redactat"/>
    <s v="No"/>
    <s v="MITJANA"/>
    <x v="4"/>
    <m/>
    <m/>
    <x v="0"/>
    <x v="9"/>
  </r>
  <r>
    <x v="1"/>
    <n v="4"/>
    <s v="CONSERVAR ELS ELEMENTS CULTURALS materials i immaterials vinculats a la natura"/>
    <s v="04.1"/>
    <s v="Millorar el coneixement disponible sobre el patrimoni arquitectònic i cultural (material i immaterial) vinculat al patrimoni natural, el seu estat de conservació i els estils propis dels territoris de l'ENP"/>
    <s v="04.1.1"/>
    <s v="Elaborar l'inventari i cartografia de patrimoni cultural de l'ENP, que també inclogui el patrimoni etnològic i immaterial"/>
    <s v="Comú"/>
    <s v="Optatiu"/>
    <s v="Elaborar l'inventari i la cartografia de patrimoni arquitèctonic i cultural de l'ENP, que també inclogui el patrimoni etnològic i immaterial"/>
    <s v="Millora del redactat"/>
    <s v="No"/>
    <s v="MITJANA"/>
    <x v="4"/>
    <m/>
    <m/>
    <x v="0"/>
    <x v="10"/>
  </r>
  <r>
    <x v="1"/>
    <n v="4"/>
    <s v="CONSERVAR ELS ELEMENTS CULTURALS materials i immaterials vinculats a la natura"/>
    <s v="04.1"/>
    <s v="Millorar el coneixement disponible sobre el patrimoni arquitectònic i cultural (material i immaterial) vinculat al patrimoni natural, el seu estat de conservació i els estils propis dels territoris de l'ENP"/>
    <s v="04.1.2"/>
    <s v="Elaborar el catàleg lingüístic (localismes) de patrimoni natural, geografia popular, festes i activitats tradicionals de l'ENP"/>
    <s v="Comú"/>
    <s v="Optatiu"/>
    <s v="Elaborar el catàleg lingüístic (localismes) de patrimoni natural, geografia popular, festes i activitats tradicionals de l'ENP"/>
    <s v="Es proposa eliminar, ja que és motl similar a l'Op anterior"/>
    <s v="No"/>
    <s v="MITJANA"/>
    <x v="4"/>
    <m/>
    <m/>
    <x v="0"/>
    <x v="11"/>
  </r>
  <r>
    <x v="1"/>
    <n v="4"/>
    <s v="CONSERVAR ELS ELEMENTS CULTURALS materials i immaterials vinculats a la natura"/>
    <s v="04.1"/>
    <s v="Millorar el coneixement disponible sobre el patrimoni arquitectònic i cultural (material i immaterial) vinculat al patrimoni natural, el seu estat de conservació i els estils propis dels territoris de l'ENP"/>
    <s v="04.1.3"/>
    <s v="Elaborar la cartografia de la xarxa de camins ramaders i senders tradicionals de l'ENP"/>
    <s v="Comú"/>
    <s v="Optatiu"/>
    <s v="Elaborar la cartografia de la xarxa de camins ramaders i senders tradicionals de l'ENP"/>
    <m/>
    <s v="No"/>
    <s v="MITJANA"/>
    <x v="4"/>
    <m/>
    <m/>
    <x v="0"/>
    <x v="12"/>
  </r>
  <r>
    <x v="1"/>
    <n v="4"/>
    <s v="CONSERVAR ELS ELEMENTS CULTURALS materials i immaterials vinculats a la natura"/>
    <s v="04.2"/>
    <s v="Conservar i gestionar el patrimoni cultural de l'ENP de forma coordinada amb els agents responsables i entitats de referència"/>
    <s v="04.2.1"/>
    <s v="Identificar els ens de referència en patrimoni cultural (entitats, associacions, museus i ecomuseus, etc.) en l'àmbit de l'ENP"/>
    <s v="Comú"/>
    <s v="Obligatori"/>
    <s v="Identificar els ens de referència en patrimoni cultural (entitats, associacions, museus i ecomuseus, etc.) en l'àmbit de l'ENP"/>
    <m/>
    <s v="Si"/>
    <s v="MITJANA"/>
    <x v="38"/>
    <m/>
    <m/>
    <x v="0"/>
    <x v="0"/>
  </r>
  <r>
    <x v="1"/>
    <n v="4"/>
    <s v="CONSERVAR ELS ELEMENTS CULTURALS materials i immaterials vinculats a la natura"/>
    <s v="04.2"/>
    <s v="Conservar i gestionar el patrimoni cultural de l'ENP de forma coordinada amb els agents responsables i entitats de referència"/>
    <s v="04.2.2"/>
    <s v="Articular treballs conjunts entre l'ENP i representants, gestors o custodis del patrimoni cultural per a la seva protecció i millora"/>
    <s v="Comú"/>
    <s v="Optatiu"/>
    <s v="Impulsar i participar en línies de treball conjuntes entre l'ENP i representants, gestors o custodis del patrimoni cultural per a la seva protecció i millora"/>
    <s v="Millora del redactat"/>
    <s v="Si"/>
    <s v="MITJANA"/>
    <x v="39"/>
    <m/>
    <m/>
    <x v="0"/>
    <x v="0"/>
  </r>
  <r>
    <x v="1"/>
    <n v="4"/>
    <s v="CONSERVAR ELS ELEMENTS CULTURALS materials i immaterials vinculats a la natura"/>
    <s v="04.2"/>
    <s v="Conservar i gestionar el patrimoni cultural de l'ENP de forma coordinada amb els agents responsables i entitats de referència"/>
    <s v="04.2.3"/>
    <s v="Impulsar i/o participar dels treballs de restauració arquitectònica, arqueològica i del patrimoni cultural"/>
    <s v="Comú"/>
    <s v="Optatiu"/>
    <s v="Impulsar i/o participar dels treballs de restauració arquitectònica, arqueològica i del patrimoni cultural"/>
    <m/>
    <s v="Si"/>
    <m/>
    <x v="40"/>
    <m/>
    <m/>
    <x v="0"/>
    <x v="0"/>
  </r>
  <r>
    <x v="1"/>
    <n v="4"/>
    <s v="CONSERVAR ELS ELEMENTS CULTURALS materials i immaterials vinculats a la natura"/>
    <s v="04.2"/>
    <s v="Conservar i gestionar el patrimoni cultural de l'ENP de forma coordinada amb els agents responsables i entitats de referència"/>
    <s v="04.2.4"/>
    <s v="Disposar de personal especialitzat en patrimoni cultural"/>
    <s v="Comú"/>
    <s v="Obligatori "/>
    <s v="Formar al personal tècnic de l'ENP en patrimoni cultural"/>
    <s v="Més realista"/>
    <s v="No"/>
    <s v="MITJANA"/>
    <x v="4"/>
    <m/>
    <m/>
    <x v="0"/>
    <x v="13"/>
  </r>
  <r>
    <x v="1"/>
    <n v="4"/>
    <s v="CONSERVAR ELS ELEMENTS CULTURALS materials i immaterials vinculats a la natura"/>
    <s v="04.3"/>
    <s v="Potenciar la conservació i recuperació del patrimoni cultural material i immaterial de l'ENP"/>
    <s v="04.3.1"/>
    <s v="Recuperar i conservar el patrimoni cultural immaterial (associat a les activitats i aprofitaments rurals tradicionals) i els valors espirituals"/>
    <s v="Comú"/>
    <s v="Obligatori "/>
    <s v="Recuperar i conservar el patrimoni cultural immaterial (associat a les activitats i aprofitaments rurals tradicionals) i els valors espirituals"/>
    <m/>
    <s v="Si"/>
    <s v="MITJANA"/>
    <x v="4"/>
    <m/>
    <m/>
    <x v="0"/>
    <x v="14"/>
  </r>
  <r>
    <x v="1"/>
    <n v="4"/>
    <s v="CONSERVAR ELS ELEMENTS CULTURALS materials i immaterials vinculats a la natura"/>
    <s v="04.3"/>
    <s v="Potenciar la conservació i recuperació del patrimoni cultural material i immaterial de l'ENP"/>
    <s v="04.3.2"/>
    <s v="Recuperar i conservar el patrimoni cultural rural vinculat específicament a construccions de pedra en sec"/>
    <s v="Específic"/>
    <s v="Obligatori "/>
    <s v="Recuperar i conservar el patrimoni cultural rural vinculat específicament a construccions de pedra en sec"/>
    <m/>
    <s v="Si"/>
    <s v="MITJANA"/>
    <x v="41"/>
    <m/>
    <m/>
    <x v="0"/>
    <x v="0"/>
  </r>
  <r>
    <x v="1"/>
    <n v="4"/>
    <s v="CONSERVAR ELS ELEMENTS CULTURALS materials i immaterials vinculats a la natura"/>
    <s v="04.3"/>
    <s v="Potenciar la conservació i recuperació del patrimoni cultural material i immaterial de l'ENP"/>
    <s v="04.3.2"/>
    <s v="Recuperar i conservar el patrimoni cultural rural vinculat específicament a construccions de pedra en sec"/>
    <s v="Específic"/>
    <s v="Obligatori "/>
    <s v="Recuperar i conservar el patrimoni cultural rural vinculat específicament a construccions de pedra en sec"/>
    <m/>
    <s v="Si"/>
    <s v="MITJANA"/>
    <x v="42"/>
    <m/>
    <m/>
    <x v="0"/>
    <x v="0"/>
  </r>
  <r>
    <x v="1"/>
    <n v="4"/>
    <s v="CONSERVAR ELS ELEMENTS CULTURALS materials i immaterials vinculats a la natura"/>
    <s v="04.3"/>
    <s v="Potenciar la conservació i recuperació del patrimoni cultural material i immaterial de l'ENP"/>
    <s v="04.3.3"/>
    <s v="Fomentar la recuperació i conservació de l'arquitectura tradicional d'interès de les edificacions i construccions "/>
    <s v="Comú"/>
    <s v="Optatiu "/>
    <s v="Fomentar la recuperació i conservació de l'arquitectura tradicional d'interès de les edificacions i construccions, en especial de les construccions de pedra en sec "/>
    <s v="Ortografia, s'afegeix pedra en sec"/>
    <s v="Si"/>
    <s v="MITJANA"/>
    <x v="43"/>
    <s v="A valorar: Per simplificar, posar redactat adaptat a OP 4.3.2 que es considera obligatori i aquest optatiu posar NA o deixar en blanc. HO MANTENIM"/>
    <m/>
    <x v="0"/>
    <x v="0"/>
  </r>
  <r>
    <x v="1"/>
    <n v="4"/>
    <s v="CONSERVAR ELS ELEMENTS CULTURALS materials i immaterials vinculats a la natura"/>
    <s v="04.3"/>
    <s v="Potenciar la conservació i recuperació del patrimoni cultural material i immaterial de l'ENP"/>
    <s v="04.3.3"/>
    <s v="Fomentar la recuperació i conservació de l'arquitectura tradicional d'intrès de les edificacions i construccions "/>
    <s v="Comú"/>
    <s v="Optatiu "/>
    <s v="Fomentar la recuperació i conservació de l'arquitectura tradicional d'interès de les edificacions i construccions, en especial de les construccions de pedra en sec "/>
    <s v="Ortografia, s'afegeix pedra en sec"/>
    <s v="Si"/>
    <s v="MITJANA"/>
    <x v="44"/>
    <m/>
    <m/>
    <x v="0"/>
    <x v="0"/>
  </r>
  <r>
    <x v="1"/>
    <n v="4"/>
    <s v="CONSERVAR ELS ELEMENTS CULTURALS materials i immaterials vinculats a la natura"/>
    <s v="04.3"/>
    <s v="Potenciar la conservació i recuperació del patrimoni cultural material i immaterial de l'ENP"/>
    <s v="04.3.4"/>
    <s v="Identificar i conservar la diversitat domesticada de varietats agrícoles i ramaderes locals"/>
    <s v="Comú"/>
    <s v="Obligatori"/>
    <s v="Identificar i conservar la diversitat domesticada de varietats agrícoles i ramaderes locals"/>
    <m/>
    <s v="Si"/>
    <s v="MITJANA"/>
    <x v="45"/>
    <m/>
    <m/>
    <x v="0"/>
    <x v="0"/>
  </r>
  <r>
    <x v="1"/>
    <n v="4"/>
    <s v="CONSERVAR ELS ELEMENTS CULTURALS materials i immaterials vinculats a la natura"/>
    <s v="04.4"/>
    <s v="Donar a conèixer els elements culturals com a valors del paisatge de l'ENP en les activitats d'ús públic "/>
    <s v="04.4.1"/>
    <s v="Integrar el patrimoni cultural als itineraris i cartelleria de l'ENP."/>
    <s v="Comú"/>
    <s v="Obligatori "/>
    <s v="Integrar el patrimoni cultural als itineraris, cartelleria i materials de difusió de l'ENP."/>
    <s v="S'inclou altres materials de difusió (web, XXSS)"/>
    <s v="Si"/>
    <s v="MITJANA"/>
    <x v="46"/>
    <m/>
    <m/>
    <x v="0"/>
    <x v="0"/>
  </r>
  <r>
    <x v="1"/>
    <n v="4"/>
    <s v="CONSERVAR ELS ELEMENTS CULTURALS materials i immaterials vinculats a la natura"/>
    <s v="04.4"/>
    <s v="Donar a conèixer els elements culturals com a valors del paisatge de l'ENP en les activitats d'ús públic "/>
    <s v="04.4.1"/>
    <s v="Integrar el patrimoni cultural als itineraris i cartelleria de l'ENP."/>
    <s v="Comú"/>
    <s v="Obligatori "/>
    <s v="Integrar el patrimoni cultural als itineraris, cartelleria i materials de difusió de l'ENP."/>
    <s v="S'inclou altres materials de difusió (web, XXSS)"/>
    <s v="Si"/>
    <m/>
    <x v="47"/>
    <m/>
    <m/>
    <x v="0"/>
    <x v="0"/>
  </r>
  <r>
    <x v="1"/>
    <n v="4"/>
    <s v="CONSERVAR ELS ELEMENTS CULTURALS materials i immaterials vinculats a la natura"/>
    <s v="04.4"/>
    <s v="Donar a conèixer els elements culturals com a valors del paisatge de l'ENP en les activitats d'ús públic "/>
    <s v="04.4.1"/>
    <s v="Integrar el patrimoni cultural als itineraris i cartelleria de l'ENP."/>
    <s v="Comú"/>
    <s v="Obligatori "/>
    <s v="Integrar el patrimoni cultural als itineraris, cartelleria i materials de difusió de l'ENP."/>
    <s v="S'inclou altres materials de difusió (web, XXSS)"/>
    <s v="Si"/>
    <m/>
    <x v="48"/>
    <m/>
    <m/>
    <x v="0"/>
    <x v="0"/>
  </r>
  <r>
    <x v="1"/>
    <n v="4"/>
    <s v="CONSERVAR ELS ELEMENTS CULTURALS materials i immaterials vinculats a la natura"/>
    <s v="04.4"/>
    <s v="Donar a conèixer els elements culturals com a valors del paisatge de l'ENP en les activitats d'ús públic "/>
    <s v="04.4.2"/>
    <s v="Incorporar el patrimoni cultural en els plans d’ús públic i educació ambiental per fomentar-ne la seva conservació i divulgació."/>
    <s v="Comú"/>
    <s v="Obligatori "/>
    <s v="Incorporar el patrimoni cultural en els plans d’ús públic i educació ambiental per fomentar-ne la seva conservació i divulgació."/>
    <m/>
    <s v="Si"/>
    <s v="MITJANA"/>
    <x v="49"/>
    <m/>
    <s v="I quin seria el tema clau 1? No apareix citat enlloc. Aquesta actuació (incorporar activitats d'educació ambiental al Mas de Burot) està associada al Pla d'educació ambiental, el qual anomena &quot;tema clau&quot; a les línies d'actuació. Del tem clau 1 no apareix cap actuació, sigui perquè l'objectiu ja està acomplit o perquèno hi ha cap actuació al 2026."/>
    <x v="0"/>
    <x v="0"/>
  </r>
  <r>
    <x v="1"/>
    <n v="4"/>
    <s v="CONSERVAR ELS ELEMENTS CULTURALS materials i immaterials vinculats a la natura"/>
    <s v="04.4"/>
    <s v="Donar a conèixer els elements culturals com a valors del paisatge de l'ENP en les activitats d'ús públic "/>
    <s v="04.4.3"/>
    <s v="Formar el personal dels punts d’informació en els valors culturals de l'ENP"/>
    <s v="Comú"/>
    <s v="Obligatori "/>
    <s v="Formar el personal dels punts d’informació en els valors culturals de l'ENP"/>
    <m/>
    <s v="Si"/>
    <s v="MITJANA"/>
    <x v="4"/>
    <m/>
    <m/>
    <x v="5"/>
    <x v="0"/>
  </r>
  <r>
    <x v="1"/>
    <n v="5"/>
    <s v="PROTEGIR EL PAISATGE i la qualitat de l'ambient visual, sonor i lumínic."/>
    <s v="05.1"/>
    <s v="Identificar els elements d'interès paisatgístic de l'espai"/>
    <s v="05.1.1"/>
    <s v="Elaborar un inventari d'elements d'interès paisatgístic de l'ENP d'acord amb el Catàleg de paisatge de la zona "/>
    <s v="Comú"/>
    <s v="Optatiu"/>
    <s v="Elaborar un inventari d'elements d'interès paisatgístic de l'ENP d'acord amb el Catàleg de paisatge de la zona "/>
    <m/>
    <s v="Si"/>
    <s v="MITJANA"/>
    <x v="4"/>
    <m/>
    <m/>
    <x v="6"/>
    <x v="0"/>
  </r>
  <r>
    <x v="1"/>
    <n v="5"/>
    <s v="PROTEGIR EL PAISATGE i la qualitat de l'ambient visual, sonor i lumínic."/>
    <s v="05.2"/>
    <s v="Millorar la qualitat paisatgística"/>
    <s v="05.2.1"/>
    <s v="Desplegar actuacions de restauració dels elements d'interès paisatgístic degradats"/>
    <s v="Comú"/>
    <s v="Optatiu"/>
    <s v="Desplegar actuacions de restauració i conservació dels elements d'interès paisatgístic degradats"/>
    <s v="Millora redactat (inclou conservació), inclou Op següent"/>
    <s v="Si"/>
    <s v="BAIXA"/>
    <x v="50"/>
    <m/>
    <m/>
    <x v="0"/>
    <x v="0"/>
  </r>
  <r>
    <x v="1"/>
    <n v="5"/>
    <s v="PROTEGIR EL PAISATGE i la qualitat de l'ambient visual, sonor i lumínic."/>
    <s v="05.2"/>
    <s v="Millorar la qualitat paisatgística"/>
    <s v="05.2.1"/>
    <s v="Desplegar actuacions de restauració dels elements d'interès paisatgístic degradats"/>
    <s v="Comú"/>
    <s v="Optatiu"/>
    <s v="Desplegar actuacions de restauració i conservació dels elements d'interès paisatgístic degradats"/>
    <m/>
    <m/>
    <m/>
    <x v="51"/>
    <m/>
    <m/>
    <x v="0"/>
    <x v="0"/>
  </r>
  <r>
    <x v="1"/>
    <n v="5"/>
    <s v="PROTEGIR EL PAISATGE i la qualitat de l'ambient visual, sonor i lumínic."/>
    <s v="05.2"/>
    <s v="Millorar la qualitat paisatgística"/>
    <s v="05.2.1"/>
    <s v="Desplegar actuacions de restauració dels elements d'interès paisatgístic degradats"/>
    <s v="Comú"/>
    <s v="Optatiu"/>
    <s v="Desplegar actuacions de restauració i conservació dels elements d'interès paisatgístic degradats"/>
    <s v="Millora redactat (inclou conservació), inclou Op següent"/>
    <s v="Si"/>
    <s v="BAIXA"/>
    <x v="52"/>
    <m/>
    <m/>
    <x v="0"/>
    <x v="0"/>
  </r>
  <r>
    <x v="1"/>
    <n v="5"/>
    <s v="PROTEGIR EL PAISATGE i la qualitat de l'ambient visual, sonor i lumínic."/>
    <s v="05.2"/>
    <s v="Millorar la qualitat paisatgística"/>
    <s v="05.2.2"/>
    <s v="Gestionar l'abandonament d'infraestructures i instal·lacions amb inpactes sobre els valors de l'espai"/>
    <m/>
    <m/>
    <s v="Gestionar l'abandonament d'infraestructures i instal·lacions amb inpactes sobre els valors de l'espai"/>
    <s v="Es proposa eliminar, ja que se solapa molt amb l'Op anterior"/>
    <s v="No"/>
    <s v="MITJANA"/>
    <x v="4"/>
    <m/>
    <m/>
    <x v="0"/>
    <x v="0"/>
  </r>
  <r>
    <x v="1"/>
    <n v="5"/>
    <s v="PROTEGIR EL PAISATGE i la qualitat de l'ambient visual, sonor i lumínic."/>
    <s v="05.2"/>
    <s v="Millorar la qualitat paisatgística"/>
    <s v="05.2.3"/>
    <s v="Minimitzar la brutícia, deixalles, vandalisme i males praxis dins l'ENP"/>
    <s v="Comú"/>
    <s v="Obligatori"/>
    <s v="Minimitzar la brutícia, deixalles, vandalisme i males praxis dins l'ENP"/>
    <m/>
    <s v="Si"/>
    <s v="MITJANA"/>
    <x v="53"/>
    <m/>
    <m/>
    <x v="0"/>
    <x v="0"/>
  </r>
  <r>
    <x v="1"/>
    <n v="5"/>
    <s v="PROTEGIR EL PAISATGE i la qualitat de l'ambient visual, sonor i lumínic."/>
    <s v="05.2"/>
    <s v="Millorar la qualitat paisatgística"/>
    <s v="05.2.3"/>
    <s v="Minimitzar la brutícia, deixalles, vandalisme i males praxis dins l'ENP"/>
    <s v="Comú"/>
    <s v="Obligatori"/>
    <s v="Minimitzar la brutícia, deixalles, vandalisme i males praxis dins l'ENP"/>
    <m/>
    <s v="Si"/>
    <s v="MITJANA"/>
    <x v="54"/>
    <m/>
    <m/>
    <x v="0"/>
    <x v="0"/>
  </r>
  <r>
    <x v="1"/>
    <n v="5"/>
    <s v="PROTEGIR EL PAISATGE i la qualitat de l'ambient visual, sonor i lumínic."/>
    <s v="05.3"/>
    <s v="Protegir la qualitat acústica i lumínica de l'ENP"/>
    <s v="05.3.1"/>
    <s v="Promoure la certificació de qualitat del cel nocturn"/>
    <s v="Específic"/>
    <s v="Optatiu"/>
    <s v="Promoure la certificació de qualitat del cel nocturn"/>
    <m/>
    <s v="Si"/>
    <s v="MITJANA"/>
    <x v="55"/>
    <m/>
    <m/>
    <x v="0"/>
    <x v="0"/>
  </r>
  <r>
    <x v="1"/>
    <n v="5"/>
    <s v="PROTEGIR EL PAISATGE i la qualitat de l'ambient visual, sonor i lumínic."/>
    <s v="05.3"/>
    <s v="Protegir la qualitat acústica i lumínica de l'ENP"/>
    <s v="05.3.1"/>
    <s v="Promoure la certificació de qualitat del cel nocturn"/>
    <s v="Específic"/>
    <s v="Optatiu"/>
    <s v="Promoure la certificació de qualitat del cel nocturn"/>
    <m/>
    <s v="Si"/>
    <m/>
    <x v="56"/>
    <m/>
    <m/>
    <x v="0"/>
    <x v="0"/>
  </r>
  <r>
    <x v="1"/>
    <n v="5"/>
    <s v="PROTEGIR EL PAISATGE i la qualitat de l'ambient visual, sonor i lumínic."/>
    <s v="05.3"/>
    <s v="Protegir la qualitat acústica i lumínica de l'ENP"/>
    <s v="05.3.2"/>
    <s v="Promoure la certificació de zones d'especial protecció de la qualitat acústica"/>
    <s v="Específic"/>
    <s v="Optatiu"/>
    <s v="Promoure la certificació de zones d'especial protecció de la qualitat acústica"/>
    <s v="En segona fase, després cel nocturn"/>
    <s v="Si"/>
    <s v="MITJANA"/>
    <x v="4"/>
    <m/>
    <m/>
    <x v="0"/>
    <x v="15"/>
  </r>
  <r>
    <x v="2"/>
    <n v="6"/>
    <s v="MILLORAR EL CONEIXEMENT DE L'ENTORN, del patrimoni natural, cultural i social."/>
    <s v="06.1"/>
    <s v="Identificar els objectes de gestió prioritària de l'ENP en el marc dels objectius de govern"/>
    <s v="06.1.1"/>
    <s v="Identificar i prioritzar els elements clau i d'interès per la gestió de la biodiversitat i geodiversitat de Catalunya es troben dins l'ENP (especies amenaçades, espècies exòtiques invasores,.. )"/>
    <s v="Comú"/>
    <s v="Obligatori"/>
    <s v="Identificar i prioritzar els elements clau i d'interès per la gestió de la biodiversitat i geodiversitat de Catalunya que es troben dins l'ENP (espècies amenaçades, espècies exòtiques invasores... )"/>
    <s v="Ortografia"/>
    <s v="Si"/>
    <s v="MÀXIMA"/>
    <x v="57"/>
    <m/>
    <m/>
    <x v="0"/>
    <x v="0"/>
  </r>
  <r>
    <x v="2"/>
    <n v="6"/>
    <s v="MILLORAR EL CONEIXEMENT DE L'ENTORN, del patrimoni natural, cultural i social."/>
    <s v="06.1"/>
    <s v="Identificar els objectes de gestió prioritària de l'ENP en el marc dels objectius de govern"/>
    <s v="06.1.1"/>
    <s v="Identificar i prioritzar els elements clau i d'interès per la gestió de la biodiversitat i geodiversitat de Catalunya es troben dins l'ENP (especies amenaçades, espècies exòtiques invasores,.. )"/>
    <s v="Comú"/>
    <s v="Obligatori"/>
    <s v="Identificar i prioritzar els elements clau i d'interès per la gestió de la biodiversitat i geodiversitat de Catalunya que es troben dins l'ENP (espècies amenaçades, espècies exòtiques invasores... )"/>
    <m/>
    <s v="Si"/>
    <m/>
    <x v="58"/>
    <m/>
    <m/>
    <x v="0"/>
    <x v="0"/>
  </r>
  <r>
    <x v="2"/>
    <n v="6"/>
    <s v="MILLORAR EL CONEIXEMENT DE L'ENTORN, del patrimoni natural, cultural i social."/>
    <s v="06.1"/>
    <s v="Identificar els objectes de gestió prioritària de l'ENP en el marc dels objectius de govern"/>
    <s v="06.1.1"/>
    <s v="Identificar i prioritzar els elements clau i d'interès per la gestió de la biodiversitat i geodiversitat de Catalunya es troben dins l'ENP (especies amenaçades, espècies exòtiques invasores,.. )"/>
    <s v="Comú"/>
    <s v="Obligatori"/>
    <s v="Identificar i prioritzar els elements clau i d'interès per la gestió de la biodiversitat i geodiversitat de Catalunya que es troben dins l'ENP (espècies amenaçades, espècies exòtiques invasores... )"/>
    <m/>
    <s v="Si"/>
    <m/>
    <x v="59"/>
    <m/>
    <m/>
    <x v="0"/>
    <x v="0"/>
  </r>
  <r>
    <x v="2"/>
    <n v="6"/>
    <s v="MILLORAR EL CONEIXEMENT DE L'ENTORN, del patrimoni natural, cultural i social."/>
    <s v="06.1"/>
    <s v="Identificar els objectes de gestió prioritària de l'ENP en el marc dels objectius de govern"/>
    <s v="06.1.1"/>
    <s v="Identificar i prioritzar els elements clau i d'interès per la gestió de la biodiversitat i geodiversitat de Catalunya es troben dins l'ENP (especies amenaçades, espècies exòtiques invasores,.. )"/>
    <s v="Comú"/>
    <s v="Obligatori"/>
    <s v="Identificar i prioritzar els elements clau i d'interès per la gestió de la biodiversitat i geodiversitat de Catalunya que es troben dins l'ENP (espècies amenaçades, espècies exòtiques invasores... )"/>
    <m/>
    <s v="Si"/>
    <m/>
    <x v="60"/>
    <m/>
    <m/>
    <x v="0"/>
    <x v="0"/>
  </r>
  <r>
    <x v="2"/>
    <n v="6"/>
    <s v="MILLORAR EL CONEIXEMENT DE L'ENTORN, del patrimoni natural, cultural i social."/>
    <s v="06.1"/>
    <s v="Identificar els objectes de gestió prioritària de l'ENP en el marc dels objectius de govern"/>
    <s v="06.1.1"/>
    <s v="Identificar i prioritzar els elements clau i d'interès per la gestió de la biodiversitat i geodiversitat de Catalunya es troben dins l'ENP (especies amenaçades, espècies exòtiques invasores,.. )"/>
    <s v="Comú"/>
    <s v="Obligatori"/>
    <s v="Identificar i prioritzar els elements clau i d'interès per la gestió de la biodiversitat i geodiversitat de Catalunya que es troben dins l'ENP (espècies amenaçades, espècies exòtiques invasores... )"/>
    <m/>
    <s v="Si"/>
    <m/>
    <x v="61"/>
    <m/>
    <m/>
    <x v="0"/>
    <x v="0"/>
  </r>
  <r>
    <x v="2"/>
    <n v="6"/>
    <s v="MILLORAR EL CONEIXEMENT DE L'ENTORN, del patrimoni natural, cultural i social."/>
    <s v="06.1"/>
    <s v="Identificar els objectes de gestió prioritària de l'ENP en el marc dels objectius de govern"/>
    <s v="06.1.1"/>
    <s v="Identificar i prioritzar els elements clau i d'interès per la gestió de la biodiversitat i geodiversitat de Catalunya es troben dins l'ENP (especies amenaçades, espècies exòtiques invasores,.. )"/>
    <s v="Comú"/>
    <s v="Obligatori"/>
    <s v="Identificar i prioritzar els elements clau i d'interès per la gestió de la biodiversitat i geodiversitat de Catalunya que es troben dins l'ENP (espècies amenaçades, espècies exòtiques invasores... )"/>
    <m/>
    <s v="Si"/>
    <m/>
    <x v="62"/>
    <m/>
    <m/>
    <x v="0"/>
    <x v="0"/>
  </r>
  <r>
    <x v="2"/>
    <n v="6"/>
    <s v="MILLORAR EL CONEIXEMENT DE L'ENTORN, del patrimoni natural, cultural i social."/>
    <s v="06.1"/>
    <s v="Identificar els objectes de gestió prioritària de l'ENP en el marc dels objectius de govern"/>
    <s v="06.1.1"/>
    <s v="Identificar i prioritzar els elements clau i d'interès per la gestió de la biodiversitat i geodiversitat de Catalunya es troben dins l'ENP (especies amenaçades, espècies exòtiques invasores,.. )"/>
    <s v="Comú"/>
    <s v="Obligatori"/>
    <s v="Identificar i prioritzar els elements clau i d'interès per la gestió de la biodiversitat i geodiversitat de Catalunya que es troben dins l'ENP (espècies amenaçades, espècies exòtiques invasores... )"/>
    <m/>
    <s v="Si"/>
    <m/>
    <x v="63"/>
    <m/>
    <m/>
    <x v="0"/>
    <x v="0"/>
  </r>
  <r>
    <x v="2"/>
    <n v="6"/>
    <s v="MILLORAR EL CONEIXEMENT DE L'ENTORN, del patrimoni natural, cultural i social."/>
    <s v="06.1"/>
    <s v="Identificar els objectes de gestió prioritària de l'ENP en el marc dels objectius de govern"/>
    <s v="06.1.1"/>
    <s v="Identificar i prioritzar els elements clau i d'interès per la gestió de la biodiversitat i geodiversitat de Catalunya es troben dins l'ENP (especies amenaçades, espècies exòtiques invasores,.. )"/>
    <s v="Comú"/>
    <s v="Obligatori"/>
    <s v="Identificar i prioritzar els elements clau i d'interès per la gestió de la biodiversitat i geodiversitat de Catalunya que es troben dins l'ENP (espècies amenaçades, espècies exòtiques invasores... )"/>
    <m/>
    <s v="Si"/>
    <m/>
    <x v="64"/>
    <m/>
    <m/>
    <x v="0"/>
    <x v="0"/>
  </r>
  <r>
    <x v="2"/>
    <n v="6"/>
    <s v="MILLORAR EL CONEIXEMENT DE L'ENTORN, del patrimoni natural, cultural i social."/>
    <s v="06.1"/>
    <s v="Identificar els objectes de gestió prioritària de l'ENP en el marc dels objectius de govern"/>
    <s v="06.1.1"/>
    <s v="Identificar i prioritzar els elements clau i d'interès per la gestió de la biodiversitat i geodiversitat de Catalunya es troben dins l'ENP (especies amenaçades, espècies exòtiques invasores,.. )"/>
    <s v="Comú"/>
    <s v="Obligatori"/>
    <s v="Identificar i prioritzar els elements clau i d'interès per la gestió de la biodiversitat i geodiversitat de Catalunya que es troben dins l'ENP (espècies amenaçades, espècies exòtiques invasores... )"/>
    <m/>
    <s v="Si"/>
    <m/>
    <x v="65"/>
    <m/>
    <m/>
    <x v="0"/>
    <x v="0"/>
  </r>
  <r>
    <x v="2"/>
    <n v="6"/>
    <s v="MILLORAR EL CONEIXEMENT DE L'ENTORN, del patrimoni natural, cultural i social."/>
    <s v="06.1"/>
    <s v="Identificar els objectes de gestió prioritària de l'ENP en el marc dels objectius de govern"/>
    <s v="06.1.2"/>
    <s v="Definir espais fràgils i zones d'especial atenció"/>
    <s v="Comú"/>
    <s v="Obligatori"/>
    <s v="Definir espais fràgils i zones d'especial atenció"/>
    <s v="?"/>
    <s v="Si"/>
    <s v="MÀXIMA"/>
    <x v="66"/>
    <m/>
    <m/>
    <x v="0"/>
    <x v="0"/>
  </r>
  <r>
    <x v="2"/>
    <n v="6"/>
    <s v="MILLORAR EL CONEIXEMENT DE L'ENTORN, del patrimoni natural, cultural i social."/>
    <s v="06.1"/>
    <s v="Identificar els objectes de gestió prioritària de l'ENP en el marc dels objectius de govern"/>
    <s v="06.1.2"/>
    <s v="Definir espais fràgils i zones d'especial atenció"/>
    <s v="Comú"/>
    <s v="Obligatori"/>
    <s v="Definir espais fràgils i zones d'especial atenció"/>
    <s v="?"/>
    <s v="Si"/>
    <s v="MÀXIMA"/>
    <x v="67"/>
    <m/>
    <m/>
    <x v="0"/>
    <x v="0"/>
  </r>
  <r>
    <x v="2"/>
    <n v="6"/>
    <s v="MILLORAR EL CONEIXEMENT DE L'ENTORN, del patrimoni natural, cultural i social."/>
    <s v="06.1"/>
    <s v="Identificar els objectes de gestió prioritària de l'ENP en el marc dels objectius de govern"/>
    <s v="06.1.2"/>
    <s v="Definir espais fràgils i zones d'especial atenció"/>
    <s v="Comú"/>
    <s v="Obligatori"/>
    <s v="Definir espais fràgils i zones d'especial atenció"/>
    <s v="?"/>
    <s v="Si"/>
    <s v="MÀXIMA"/>
    <x v="68"/>
    <m/>
    <s v="Potser encaixa millor a l'eix de coneixement al 6.1.2 Definir espais fràgils i zones d'especial atenció. Valorar canvi. Ok, fet el canvi"/>
    <x v="0"/>
    <x v="0"/>
  </r>
  <r>
    <x v="2"/>
    <n v="6"/>
    <s v="MILLORAR EL CONEIXEMENT DE L'ENTORN, del patrimoni natural, cultural i social."/>
    <s v="06.2"/>
    <s v="Conèixer l'estat de conservació i la seva tendència dels hàbitats, les espècies els elements de la gea i els processos ecològics com a eina per avaluar i optimitzar la gestió"/>
    <s v="06.2.1"/>
    <s v="Participar en l'elaboració de la cartografia que elabora la UIC"/>
    <s v="Comú"/>
    <s v="Obligatori"/>
    <s v="Participar en l'elaboració de la cartografia que elabora la UIC"/>
    <m/>
    <s v="Si"/>
    <s v="ALTA"/>
    <x v="69"/>
    <m/>
    <m/>
    <x v="0"/>
    <x v="0"/>
  </r>
  <r>
    <x v="2"/>
    <n v="6"/>
    <s v="MILLORAR EL CONEIXEMENT DE L'ENTORN, del patrimoni natural, cultural i social."/>
    <s v="06.2"/>
    <s v="Conèixer l'estat de conservació i la seva tendència dels hàbitats, les espècies els elements de la gea i els processos ecològics com a eina per avaluar i optimitzar la gestió"/>
    <s v="06.2.3"/>
    <s v="Conèixer els usos i factors de canvi rellevants en l'evolució dels elements de conservació, i avaluar els efectes que generen en l’espai (pressions i amenaces)"/>
    <s v="Comú"/>
    <s v="Obligatori"/>
    <s v="Conèixer els usos i factors de canvi rellevants en l'evolució dels elements de conservació, i avaluar els efectes que generen en l’espai (pressions i amenaces)"/>
    <m/>
    <s v="Si"/>
    <s v="ALTA"/>
    <x v="70"/>
    <m/>
    <m/>
    <x v="0"/>
    <x v="0"/>
  </r>
  <r>
    <x v="2"/>
    <n v="6"/>
    <s v="MILLORAR EL CONEIXEMENT DE L'ENTORN, del patrimoni natural, cultural i social."/>
    <s v="06.2"/>
    <s v="Conèixer l'estat de conservació i la seva tendència dels hàbitats, les espècies els elements de la gea i els processos ecològics com a eina per avaluar i optimitzar la gestió"/>
    <s v="06.2.4"/>
    <s v="Conèixer l'impacte de les gestió de l'aigua, sobre la biodiversitat."/>
    <s v="Comú"/>
    <s v="Optatiu"/>
    <s v="Conèixer l'impacte de la gestió de l'aigua sobre la biodiversitat."/>
    <s v="Ortografia"/>
    <s v="Si"/>
    <s v="MITJANA"/>
    <x v="71"/>
    <m/>
    <m/>
    <x v="0"/>
    <x v="0"/>
  </r>
  <r>
    <x v="2"/>
    <n v="6"/>
    <s v="MILLORAR EL CONEIXEMENT DE L'ENTORN, del patrimoni natural, cultural i social."/>
    <s v="06.2"/>
    <s v="Conèixer l'estat de conservació i la seva tendència dels hàbitats, les espècies els elements de la gea i els processos ecològics com a eina per avaluar i optimitzar la gestió"/>
    <s v="06.2.5"/>
    <s v="Participar en el coneixement de la tendència d'espècies plaga amb afectacions sobre ecosistemes o activitats econòmiques dins l'ENP"/>
    <s v="Comú"/>
    <s v="Optatiu"/>
    <s v="Participar en el coneixement de la tendència d'espècies plaga amb afectacions sobre ecosistemes o activitats econòmiques dins l'ENP"/>
    <s v="Es proposa eliminar, no té gaire sentit com a Op"/>
    <s v="No"/>
    <s v="MITJANA"/>
    <x v="4"/>
    <m/>
    <m/>
    <x v="0"/>
    <x v="0"/>
  </r>
  <r>
    <x v="2"/>
    <n v="6"/>
    <s v="MILLORAR EL CONEIXEMENT DE L'ENTORN, del patrimoni natural, cultural i social."/>
    <s v="06.2"/>
    <s v="Conèixer l'estat de conservació i la seva tendència dels hàbitats, les espècies els elements de la gea i els processos ecològics com a eina per avaluar i optimitzar la gestió"/>
    <s v="06.2.6"/>
    <s v="Conèixer la tendència d'espècies exòtiques invasores amb afectacions sobre ecosistemes o activitats econòmiques dins l'ENP"/>
    <s v="Comú"/>
    <s v="Obligatori"/>
    <s v="Conèixer la tendència d'espècies exòtiques invasores amb afectacions sobre ecosistemes o activitats econòmiques dins l'ENP"/>
    <m/>
    <s v="Si"/>
    <s v="ALTA"/>
    <x v="72"/>
    <m/>
    <m/>
    <x v="0"/>
    <x v="0"/>
  </r>
  <r>
    <x v="2"/>
    <n v="6"/>
    <s v="MILLORAR EL CONEIXEMENT DE L'ENTORN, del patrimoni natural, cultural i social."/>
    <s v="06.2"/>
    <s v="Conèixer l'estat de conservació i la seva tendència dels hàbitats, les espècies els elements de la gea i els processos ecològics com a eina per avaluar i optimitzar la gestió"/>
    <s v="06.2.7"/>
    <s v="Coneixer com millorar la connectivitat de forma coordinada amb altres ENP"/>
    <s v="Comú"/>
    <s v="Optatiu"/>
    <s v="Conèixer com millorar la connectivitat de forma coordinada amb altres ENP"/>
    <s v="Ortografia"/>
    <s v="No"/>
    <s v="ALTA"/>
    <x v="4"/>
    <m/>
    <m/>
    <x v="0"/>
    <x v="0"/>
  </r>
  <r>
    <x v="2"/>
    <n v="6"/>
    <s v="MILLORAR EL CONEIXEMENT DE L'ENTORN, del patrimoni natural, cultural i social."/>
    <s v="06.3"/>
    <s v="Estandaritzar els seguiments periòdics dels grups clau "/>
    <s v="06.3.1"/>
    <s v="Participar en la definició del sistema estàndard de seguiment de flora, fauna i hàbitats de la DG"/>
    <s v="Comú"/>
    <s v="Obligatori"/>
    <s v="Participar en la definició del sistema estàndard de seguiment de flora, fauna i hàbitats de la DG"/>
    <m/>
    <s v="Si"/>
    <s v="ALTA"/>
    <x v="73"/>
    <m/>
    <m/>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s v="ALTA"/>
    <x v="74"/>
    <m/>
    <s v="Aquesta i les dues següents semblen pensades en clau pressupost, més que no pas actuacions. Una proposta de redactat d'actuació seria: Dotació del material tècnic necessari per a les activitats de recerca"/>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75"/>
    <m/>
    <s v="ídem anterior"/>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76"/>
    <m/>
    <s v="ídem anterior"/>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77"/>
    <m/>
    <m/>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78"/>
    <m/>
    <m/>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79"/>
    <s v="La redacció del pla de recuperació es solaparia amb el previst al 1.1.1? Però potser és un tema de que el cost que heu contemplat inclou la redacció del pla i el seguiment. NO AFECTA AL PLA (L'ACTUACIÓ DE 2024 ERA, MALGRAT EL TÍTOL DE SEGUIMENT, UNA ACTUACIÓ DE SEGUIMENT)"/>
    <m/>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80"/>
    <m/>
    <m/>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81"/>
    <m/>
    <s v="ídem anterior"/>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82"/>
    <m/>
    <m/>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83"/>
    <m/>
    <m/>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84"/>
    <m/>
    <m/>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85"/>
    <m/>
    <m/>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86"/>
    <m/>
    <m/>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87"/>
    <m/>
    <m/>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88"/>
    <m/>
    <m/>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89"/>
    <m/>
    <m/>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90"/>
    <m/>
    <m/>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91"/>
    <m/>
    <m/>
    <x v="0"/>
    <x v="0"/>
  </r>
  <r>
    <x v="2"/>
    <n v="6"/>
    <s v="MILLORAR EL CONEIXEMENT DE L'ENTORN, del patrimoni natural, cultural i social."/>
    <s v="06.3"/>
    <s v="Estandaritzar els seguiments periòdics dels grups clau "/>
    <s v="06.3.2"/>
    <s v="Adequar i executar el sistema de seguiment periòdic dels grups clau de l'ENP al sistema estàndard de seguiment"/>
    <s v="Comú"/>
    <s v="Obligatori"/>
    <s v="Adequar i executar el sistema de seguiment periòdic dels grups clau de l'ENP al sistema estàndard de seguiment"/>
    <m/>
    <s v="Si"/>
    <m/>
    <x v="92"/>
    <m/>
    <m/>
    <x v="0"/>
    <x v="0"/>
  </r>
  <r>
    <x v="2"/>
    <n v="6"/>
    <s v="MILLORAR EL CONEIXEMENT DE L'ENTORN, del patrimoni natural, cultural i social."/>
    <s v="06.3"/>
    <s v="Estandaritzar els seguiments periòdics dels grups clau "/>
    <s v="06.3.3"/>
    <s v="Mantenir una base de dades de seguiment de patrimoni natural de l'ENP actualitzada i ordenada "/>
    <s v="Comú"/>
    <s v="Obligatori"/>
    <s v="Mantenir una base de dades de seguiment de patrimoni natural de l'ENP actualitzada i ordenada "/>
    <s v="Pensar si cal tenir-la indivualitzada o integrada al sistema UIC"/>
    <s v="Si"/>
    <s v="MITJANA"/>
    <x v="93"/>
    <m/>
    <m/>
    <x v="0"/>
    <x v="0"/>
  </r>
  <r>
    <x v="2"/>
    <n v="6"/>
    <s v="MILLORAR EL CONEIXEMENT DE L'ENTORN, del patrimoni natural, cultural i social."/>
    <s v="06.3"/>
    <s v="Estandaritzar els seguiments periòdics dels grups clau "/>
    <s v="06.3.4"/>
    <s v="Participar en la definició, organització i bolcatge de dades del SINATCAT"/>
    <s v="Comú"/>
    <s v="Obligatori"/>
    <s v="Participar en la definició, organització i bolcatge de dades del SINATCAT"/>
    <m/>
    <s v="Si"/>
    <s v="MITJANA"/>
    <x v="94"/>
    <m/>
    <m/>
    <x v="0"/>
    <x v="0"/>
  </r>
  <r>
    <x v="2"/>
    <n v="6"/>
    <s v="MILLORAR EL CONEIXEMENT DE L'ENTORN, del patrimoni natural, cultural i social."/>
    <s v="06.4"/>
    <s v="Incrementar el coneixement de qualitat mitjançant l’establiment de marcs de col·laboració, assessorament i suport amb centres de recerca, museus i entitats naturalistes per al desenvolupament de part de la seva activitat en l’ENP"/>
    <s v="06.4.1"/>
    <s v="Crear sinèrgies i col·laborar amb museus i equipaments de referència per definir línies d'actuació conjunta entre patrimoni cultural i natural"/>
    <s v="Comú"/>
    <s v="Optatiu"/>
    <s v="Crear sinèrgies i col·laborar amb museus i equipaments de referència per definir línies d'actuació conjunta entre patrimoni cultural i natural"/>
    <m/>
    <s v="Si"/>
    <s v="MITJANA"/>
    <x v="95"/>
    <m/>
    <m/>
    <x v="0"/>
    <x v="0"/>
  </r>
  <r>
    <x v="2"/>
    <n v="6"/>
    <s v="MILLORAR EL CONEIXEMENT DE L'ENTORN, del patrimoni natural, cultural i social."/>
    <s v="06.4"/>
    <s v="Incrementar el coneixement de qualitat mitjançant l’establiment de marcs de col·laboració, assessorament i suport amb centres de recerca, museus i entitats naturalistes per al desenvolupament de part de la seva activitat en l’ENP"/>
    <s v="06.4.2"/>
    <s v="Establir acords amb les institucions de recerca i naturalistes per al desenvolupament d'estudis i inventaris dins l'ENP en el marc de les seves línies de recerca"/>
    <s v="Comú"/>
    <s v="Optatiu"/>
    <s v="Contractació o establiment d'acords amb les institucions de recerca i naturalistes per al desenvolupament d'estudis i inventaris dins l'ENP en el marc de les seves línies de recerca"/>
    <s v="Incloure contractes, estudiants en pràctiques"/>
    <s v="Si"/>
    <s v="MITJANA"/>
    <x v="96"/>
    <m/>
    <m/>
    <x v="0"/>
    <x v="0"/>
  </r>
  <r>
    <x v="2"/>
    <n v="6"/>
    <s v="MILLORAR EL CONEIXEMENT DE L'ENTORN, del patrimoni natural, cultural i social."/>
    <s v="06.4"/>
    <s v="Incrementar el coneixement de qualitat mitjançant l’establiment de marcs de col·laboració, assessorament i suport amb centres de recerca, museus i entitats naturalistes per al desenvolupament de part de la seva activitat en l’ENP"/>
    <s v="06.4.3"/>
    <s v="Potenciar la ciència ciutadana en l’ENP com a eina per generar coneixement "/>
    <s v="Comú"/>
    <s v="Optatiu"/>
    <s v="Potenciar la ciència ciutadana en l’ENP com a eina per generar coneixement "/>
    <m/>
    <s v="Si"/>
    <s v="MITJANA"/>
    <x v="4"/>
    <m/>
    <m/>
    <x v="0"/>
    <x v="16"/>
  </r>
  <r>
    <x v="2"/>
    <n v="6"/>
    <s v="MILLORAR EL CONEIXEMENT DE L'ENTORN, del patrimoni natural, cultural i social."/>
    <s v="06.4"/>
    <s v="Incrementar el coneixement de qualitat mitjançant l’establiment de marcs de col·laboració, assessorament i suport amb centres de recerca, museus i entitats naturalistes per al desenvolupament de part de la seva activitat en l’ENP"/>
    <s v="06.4.4"/>
    <s v="Crear i desenvolupar jornades de recerca de l'ENP de forma anual on els diferents centres mostrin els estudis realizats en l'ENP "/>
    <s v="Comú"/>
    <s v="Optatiu"/>
    <s v="Crear i desenvolupar jornades de recerca de l'ENP de forma periòdica on els diferents centres mostrin els estudis realizats en l'ENP "/>
    <s v="Canviar anual per periòdica"/>
    <s v="Si"/>
    <s v="MITJANA"/>
    <x v="4"/>
    <m/>
    <m/>
    <x v="0"/>
    <x v="17"/>
  </r>
  <r>
    <x v="2"/>
    <n v="6"/>
    <s v="MILLORAR EL CONEIXEMENT DE L'ENTORN, del patrimoni natural, cultural i social."/>
    <s v="06.4"/>
    <s v="Incrementar el coneixement de qualitat mitjançant l’establiment de marcs de col·laboració, assessorament i suport amb centres de recerca, museus i entitats naturalistes per al desenvolupament de part de la seva activitat en l’ENP"/>
    <s v="06.4.5"/>
    <s v="Posar a disposició de la recerca, equipaments i serveis de l'ENP"/>
    <s v="Comú"/>
    <s v="Optatiu"/>
    <s v="Posar a disposició de la recerca, equipaments i serveis de l'ENP"/>
    <m/>
    <s v="Si"/>
    <s v="MITJANA"/>
    <x v="97"/>
    <m/>
    <m/>
    <x v="0"/>
    <x v="0"/>
  </r>
  <r>
    <x v="2"/>
    <n v="6"/>
    <s v="MILLORAR EL CONEIXEMENT DE L'ENTORN, del patrimoni natural, cultural i social."/>
    <s v="06.4"/>
    <s v="Incrementar el coneixement de qualitat mitjançant l’establiment de marcs de col·laboració, assessorament i suport amb centres de recerca, museus i entitats naturalistes per al desenvolupament de part de la seva activitat en l’ENP"/>
    <s v="06.4.6"/>
    <s v="Crear l'Observatori de recerca de l'ENP vinculat a l'Observatori del Patrimoni natural i la biodiversitat "/>
    <s v="Comú"/>
    <s v="Optatiu"/>
    <s v="Crear l'Observatori de recerca de l'ENP vinculat a l'Observatori del Patrimoni natural i la biodiversitat "/>
    <s v="No tenim previst crear-lo en el període 2025-2029"/>
    <s v="No"/>
    <s v="MITJANA"/>
    <x v="4"/>
    <m/>
    <m/>
    <x v="0"/>
    <x v="18"/>
  </r>
  <r>
    <x v="2"/>
    <n v="6"/>
    <s v="MILLORAR EL CONEIXEMENT DE L'ENTORN, del patrimoni natural, cultural i social."/>
    <s v="06.5"/>
    <s v="Millorar el coneixement global de les dinàmiques d'usos antròpics de l’ENP"/>
    <s v="06.5.1"/>
    <s v="Participar en la definició del sistema estándard de seguiment de l'ús públic amb el SENP"/>
    <s v="Comú"/>
    <s v="Obligatori"/>
    <s v="Participar en la definició del sistema estándard de seguiment de l'ús públic amb el SENP"/>
    <m/>
    <s v="Si"/>
    <s v="MITJANA"/>
    <x v="98"/>
    <m/>
    <m/>
    <x v="0"/>
    <x v="0"/>
  </r>
  <r>
    <x v="2"/>
    <n v="6"/>
    <s v="MILLORAR EL CONEIXEMENT DE L'ENTORN, del patrimoni natural, cultural i social."/>
    <s v="06.5"/>
    <s v="Millorar el coneixement global de les dinàmiques d'usos antròpics de l’ENP"/>
    <s v="06.5.2"/>
    <s v="Disposar de dades de freqüentació i perfil d'usuari en l'ENP i en especial en equipaments i en zones d'alta freqüentació segons el model de DG "/>
    <s v="Comú"/>
    <s v="Obligatori"/>
    <s v="Disposar de dades de freqüentació i perfil d'usuari en l'ENP i en especial en equipaments i en zones d'alta freqüentació segons el model de DG "/>
    <m/>
    <s v="Si"/>
    <s v="MÀXIMA"/>
    <x v="99"/>
    <m/>
    <m/>
    <x v="0"/>
    <x v="0"/>
  </r>
  <r>
    <x v="2"/>
    <n v="6"/>
    <s v="MILLORAR EL CONEIXEMENT DE L'ENTORN, del patrimoni natural, cultural i social."/>
    <s v="06.5"/>
    <s v="Millorar el coneixement global de les dinàmiques d'usos antròpics de l’ENP"/>
    <s v="06.5.2"/>
    <s v="Disposar de dades de freqüentació i perfil d'usuari en l'ENP i en especial en equipaments i en zones d'alta freqüentació segons el model de DG "/>
    <s v="Comú"/>
    <s v="Obligatori"/>
    <s v="Disposar de dades de freqüentació i perfil d'usuari en l'ENP i en especial en equipaments i en zones d'alta freqüentació segons el model de DG "/>
    <m/>
    <s v="Si"/>
    <s v="MÀXIMA"/>
    <x v="100"/>
    <m/>
    <m/>
    <x v="0"/>
    <x v="0"/>
  </r>
  <r>
    <x v="2"/>
    <n v="6"/>
    <s v="MILLORAR EL CONEIXEMENT DE L'ENTORN, del patrimoni natural, cultural i social."/>
    <s v="06.5"/>
    <s v="Millorar el coneixement global de les dinàmiques d'usos antròpics de l’ENP"/>
    <s v="06.5.2"/>
    <s v="Disposar de dades de freqüentació i perfil d'usuari en l'ENP i en especial en equipaments i en zones d'alta freqüentació segons el model de DG "/>
    <s v="Comú"/>
    <s v="Obligatori"/>
    <s v="Disposar de dades de freqüentació i perfil d'usuari en l'ENP i en especial en equipaments i en zones d'alta freqüentació segons el model de DG "/>
    <m/>
    <s v="Si"/>
    <s v="MÀXIMA"/>
    <x v="101"/>
    <m/>
    <m/>
    <x v="0"/>
    <x v="0"/>
  </r>
  <r>
    <x v="2"/>
    <n v="6"/>
    <s v="MILLORAR EL CONEIXEMENT DE L'ENTORN, del patrimoni natural, cultural i social."/>
    <s v="06.5"/>
    <s v="Millorar el coneixement global de les dinàmiques d'usos antròpics de l’ENP"/>
    <s v="06.5.2"/>
    <s v="Disposar de dades de freqüentació i perfil d'usuari en l'ENP i en especial en equipaments i en zones d'alta freqüentació segons el model de DG "/>
    <s v="Comú"/>
    <s v="Obligatori"/>
    <s v="Disposar de dades de freqüentació i perfil d'usuari en l'ENP i en especial en equipaments i en zones d'alta freqüentació segons el model de DG "/>
    <m/>
    <s v="Si"/>
    <s v="MÀXIMA"/>
    <x v="102"/>
    <m/>
    <m/>
    <x v="0"/>
    <x v="0"/>
  </r>
  <r>
    <x v="2"/>
    <n v="6"/>
    <s v="MILLORAR EL CONEIXEMENT DE L'ENTORN, del patrimoni natural, cultural i social."/>
    <s v="06.5"/>
    <s v="Millorar el coneixement global de les dinàmiques d'usos antròpics de l’ENP"/>
    <s v="06.5.3"/>
    <s v="Identificar les activitats i actors de l’espai."/>
    <s v="Comú"/>
    <s v="Obligatori"/>
    <s v="Identificar les activitats i actors de l’espai."/>
    <s v="Es proposa eliminar per solapament amb l'Op 06.05.05"/>
    <s v="No"/>
    <s v="MITJANA"/>
    <x v="4"/>
    <m/>
    <m/>
    <x v="0"/>
    <x v="0"/>
  </r>
  <r>
    <x v="2"/>
    <n v="6"/>
    <s v="MILLORAR EL CONEIXEMENT DE L'ENTORN, del patrimoni natural, cultural i social."/>
    <s v="06.5"/>
    <s v="Millorar el coneixement global de les dinàmiques d'usos antròpics de l’ENP"/>
    <s v="06.5.4"/>
    <s v="Identificar en cartografia les males praxis i punts de massificació"/>
    <m/>
    <m/>
    <s v="Identificar en cartografia les males praxis i punts de massificació"/>
    <s v="Es proposa eliminar per solapament amb l'Op 06.05.05"/>
    <s v="No"/>
    <s v="MITJANA"/>
    <x v="4"/>
    <m/>
    <m/>
    <x v="0"/>
    <x v="0"/>
  </r>
  <r>
    <x v="2"/>
    <n v="6"/>
    <s v="MILLORAR EL CONEIXEMENT DE L'ENTORN, del patrimoni natural, cultural i social."/>
    <s v="06.5"/>
    <s v="Millorar el coneixement global de les dinàmiques d'usos antròpics de l’ENP"/>
    <s v="06.5.5"/>
    <s v="Adaptar i mantenir un registre d'activitats, actors i inciències en ús públic (curses, conflictes, queixes, etc)"/>
    <s v="Comú"/>
    <s v="Obligatori"/>
    <s v="Adaptar i mantenir un registre i cartografia d'activitats, actors i inciències en ús públic (curses, conflictes, queixes, etc)"/>
    <s v="Adaptar per incloure Ops 06.5.3 i 06.5.4"/>
    <s v="Si"/>
    <s v="MITJANA"/>
    <x v="4"/>
    <m/>
    <m/>
    <x v="0"/>
    <x v="19"/>
  </r>
  <r>
    <x v="2"/>
    <n v="6"/>
    <s v="MILLORAR EL CONEIXEMENT DE L'ENTORN, del patrimoni natural, cultural i social."/>
    <s v="06.5"/>
    <s v="Millorar el coneixement global de les dinàmiques d'usos antròpics de l’ENP"/>
    <s v="06.5.6"/>
    <s v="Identificar els impactes (positius i negatius) que generen les activitats d'ús públic dins l'ENP"/>
    <s v="Comú"/>
    <s v="Obligatori"/>
    <s v="Identificar els impactes (positius i negatius) que generen les activitats d'ús públic dins l'ENP"/>
    <m/>
    <s v="Si"/>
    <s v="ALTA"/>
    <x v="103"/>
    <m/>
    <m/>
    <x v="0"/>
    <x v="0"/>
  </r>
  <r>
    <x v="3"/>
    <n v="7"/>
    <s v="FIXAR LA POBLACIÓ AL TERRITORI d'acord amb les oportunitats que generen els objectius de l'espai."/>
    <s v="07.1"/>
    <s v="Fomentar i donar suport tècnic als Plans de desenvolupament socioecòmonic local sostenible dels municipis "/>
    <s v="07.1.1"/>
    <s v="Promoure i/o col·laborar en l'aplicació de Plans de Desenvolupament Local Sostenible "/>
    <s v="Comú"/>
    <s v="Obligatori "/>
    <s v="Promoure i/o col·laborar en la planificació i el desenvolupament sostenible en l’àmbit local"/>
    <m/>
    <s v="Si"/>
    <s v="MITJANA"/>
    <x v="104"/>
    <m/>
    <m/>
    <x v="0"/>
    <x v="0"/>
  </r>
  <r>
    <x v="3"/>
    <n v="7"/>
    <s v="FIXAR LA POBLACIÓ AL TERRITORI d'acord amb les oportunitats que generen els objectius de l'espai."/>
    <s v="07.1"/>
    <s v="Fomentar i donar suport tècnic als Plans de desenvolupament socioecòmonic local sostenible dels municipis "/>
    <s v="07.1.1"/>
    <s v="Promoure i/o col·laborar en l'aplicació de Plans de Desenvolupament Local Sostenible "/>
    <s v="Comú"/>
    <s v="Obligatori "/>
    <s v="Promoure i/o col·laborar en la planificació i el desenvolupament sostenible en l’àmbit local"/>
    <m/>
    <s v="Si"/>
    <s v="MITJANA"/>
    <x v="105"/>
    <m/>
    <m/>
    <x v="0"/>
    <x v="0"/>
  </r>
  <r>
    <x v="3"/>
    <n v="7"/>
    <s v="FIXAR LA POBLACIÓ AL TERRITORI d'acord amb les oportunitats que generen els objectius de l'espai."/>
    <s v="07.1"/>
    <s v="Fomentar i donar suport tècnic als Plans de desenvolupament socioecòmonic local sostenible dels municipis "/>
    <s v="07.1.1"/>
    <s v="Promoure i/o col·laborar en l'aplicació de Plans de Desenvolupament Local Sostenible "/>
    <s v="Comú"/>
    <s v="Obligatori "/>
    <s v="Promoure i/o col·laborar en la planificació i el desenvolupament sostenible en l’àmbit local"/>
    <m/>
    <s v="Si"/>
    <s v="MITJANA"/>
    <x v="106"/>
    <m/>
    <m/>
    <x v="0"/>
    <x v="0"/>
  </r>
  <r>
    <x v="3"/>
    <n v="7"/>
    <s v="FIXAR LA POBLACIÓ AL TERRITORI d'acord amb les oportunitats que generen els objectius de l'espai."/>
    <s v="07.1"/>
    <s v="Fomentar i donar suport tècnic als Plans de desenvolupament socioecòmonic local sostenible dels municipis "/>
    <s v="07.1.1"/>
    <s v="Promoure i/o col·laborar en l'aplicació de Plans de Desenvolupament Local Sostenible "/>
    <s v="Comú"/>
    <s v="Obligatori "/>
    <s v="Promoure i/o col·laborar en la planificació i el desenvolupament sostenible en l’àmbit local"/>
    <m/>
    <s v="Si"/>
    <s v="MITJANA"/>
    <x v="4"/>
    <m/>
    <m/>
    <x v="0"/>
    <x v="20"/>
  </r>
  <r>
    <x v="3"/>
    <n v="8"/>
    <s v="APROFITAR ELS RECURSOS NATURALS DE FORMA SOSTENIBLE mitjançant desenvolupament dels aprofitaments tradicionals de forma compatible amb la conservació de l'espai "/>
    <s v="08.1"/>
    <s v="Impulsar models productius agraris i forestals per tal d'afavorir la conservació dels hàbitats i els paisatges modelats per aquestes, i contribuir a la millora socioeconòmica de les persones que la fan possible"/>
    <s v="08.1.1"/>
    <s v="Acompanyar i assessorar els productors agraris per millorar les tècniques productives agràries i afavorir la conservació dels hàbitats i paisatges "/>
    <s v="Comú"/>
    <s v="Obligatori "/>
    <s v="Acompanyar i assessorar els productors agraris, ramaders i forestals per millorar les tècniques productives agràries i afavorir la conservació dels hàbitats i paisatges "/>
    <s v="S'afegeixen ramaders i forestals. S'afegeix assessorament"/>
    <s v="No"/>
    <m/>
    <x v="107"/>
    <m/>
    <m/>
    <x v="0"/>
    <x v="0"/>
  </r>
  <r>
    <x v="3"/>
    <n v="8"/>
    <s v="APROFITAR ELS RECURSOS NATURALS DE FORMA SOSTENIBLE mitjançant desenvolupament dels aprofitaments tradicionals de forma compatible amb la conservació de l'espai "/>
    <s v="08.1"/>
    <s v="Impulsar models productius agraris i forestals per tal d'afavorir la conservació dels hàbitats i els paisatges modelats per aquestes, i contribuir a la millora socioeconòmica de les persones que la fan possible"/>
    <s v="08.1.1"/>
    <s v="Acompanyar i assessorar els productors agraris per millorar les tècniques productives agràries i afavorir la conservació dels hàbitats i paisatges "/>
    <s v="Comú"/>
    <s v="Obligatori "/>
    <s v="Acompanyar i assessorar els productors agraris, ramaders i forestals per millorar les tècniques productives agràries i afavorir la conservació dels hàbitats i paisatges "/>
    <s v="S'afegeixen ramaders i forestals. S'afegeix assessorament"/>
    <s v="No"/>
    <m/>
    <x v="108"/>
    <m/>
    <m/>
    <x v="0"/>
    <x v="0"/>
  </r>
  <r>
    <x v="3"/>
    <n v="8"/>
    <s v="APROFITAR ELS RECURSOS NATURALS DE FORMA SOSTENIBLE mitjançant desenvolupament dels aprofitaments tradicionals de forma compatible amb la conservació de l'espai "/>
    <s v="08.1"/>
    <s v="Impulsar models productius agraris i forestals per tal d'afavorir la conservació dels hàbitats i els paisatges modelats per aquestes, i contribuir a la millora socioeconòmica de les persones que la fan possible"/>
    <s v="08.1.1"/>
    <s v="Acompanyar i assessorar els productors agraris per millorar les tècniques productives agràries i afavorir la conservació dels hàbitats i paisatges "/>
    <s v="Comú"/>
    <s v="Obligatori "/>
    <s v="Acompanyar i assessorar els productors agraris, ramaders i forestals per millorar les tècniques productives agràries i afavorir la conservació dels hàbitats i paisatges "/>
    <s v="S'afegeixen ramaders i forestals. S'afegeix assessorament"/>
    <s v="No"/>
    <s v="MITJANA"/>
    <x v="109"/>
    <m/>
    <m/>
    <x v="0"/>
    <x v="0"/>
  </r>
  <r>
    <x v="3"/>
    <n v="8"/>
    <s v="APROFITAR ELS RECURSOS NATURALS DE FORMA SOSTENIBLE mitjançant desenvolupament dels aprofitaments tradicionals de forma compatible amb la conservació de l'espai "/>
    <s v="08.1"/>
    <s v="Impulsar models productius agraris i forestals per tal d'afavorir la conservació dels hàbitats i els paisatges modelats per aquestes, i contribuir a la millora socioeconòmica de les persones que la fan possible"/>
    <s v="08.1.2"/>
    <s v="Oferir formació als productors agraris per millorar el seu coneixement sobre tècniques eficients i respectuoses amb la conservació del patrimoni natural i cultural "/>
    <s v="Comú"/>
    <s v="Obligatori "/>
    <s v="Oferir formació i assessorament als productors agraris, ramaders i forestals per millorar el seu coneixement sobre tècniques eficients i respectuoses amb la conservació del patrimoni natural i cultural "/>
    <s v="S'afegeixen ramaders i forestals. S'afegeix assessorament"/>
    <s v="No"/>
    <s v="MITJANA"/>
    <x v="110"/>
    <m/>
    <m/>
    <x v="0"/>
    <x v="0"/>
  </r>
  <r>
    <x v="3"/>
    <n v="8"/>
    <s v="APROFITAR ELS RECURSOS NATURALS DE FORMA SOSTENIBLE mitjançant desenvolupament dels aprofitaments tradicionals de forma compatible amb la conservació de l'espai "/>
    <s v="08.1"/>
    <s v="Impulsar models productius agraris i forestals per tal d'afavorir la conservació dels hàbitats i els paisatges modelats per aquestes, i contribuir a la millora socioeconòmica de les persones que la fan possible"/>
    <s v="08.1.2"/>
    <s v="Oferir formació als productors agraris per millorar el seu coneixement sobre tècniques eficients i respectuoses amb la conservació del patrimoni natural i cultural "/>
    <s v="Comú"/>
    <s v="Obligatori "/>
    <s v="Oferir formació i assessorament als productors agraris, ramaders i forestals per millorar el seu coneixement sobre tècniques eficients i respectuoses amb la conservació del patrimoni natural i cultural "/>
    <s v="S'afegeixen ramaders i forestals"/>
    <s v="No"/>
    <s v="MITJANA"/>
    <x v="111"/>
    <s v="Ja modificat per Anthesis: per a totes les accions on apareix aquest OP, afegit assessorament a redactat OP concret en la línia de la fila superior. OK"/>
    <m/>
    <x v="0"/>
    <x v="0"/>
  </r>
  <r>
    <x v="3"/>
    <n v="8"/>
    <s v="APROFITAR ELS RECURSOS NATURALS DE FORMA SOSTENIBLE mitjançant desenvolupament dels aprofitaments tradicionals de forma compatible amb la conservació de l'espai "/>
    <s v="08.1"/>
    <s v="Impulsar models productius agraris i forestals per tal d'afavorir la conservació dels hàbitats i els paisatges modelats per aquestes, i contribuir a la millora socioeconòmica de les persones que la fan possible"/>
    <s v="08.1.3"/>
    <s v="Promoure la recuperació i conservació de marges i punts d'aigua associats a la ramaderia i l'agricultura i d'interès per la biodiversitat"/>
    <s v="Específic"/>
    <s v="Optatiu"/>
    <s v="Promoure i recuperar la conservació de marges i punts d'aigua associats a la ramaderia i l'agricultura i d'interès per la biodiversitat"/>
    <s v="Incloure la recuperació"/>
    <s v="Si"/>
    <s v="MITJANA"/>
    <x v="112"/>
    <m/>
    <m/>
    <x v="0"/>
    <x v="0"/>
  </r>
  <r>
    <x v="3"/>
    <n v="8"/>
    <s v="APROFITAR ELS RECURSOS NATURALS DE FORMA SOSTENIBLE mitjançant desenvolupament dels aprofitaments tradicionals de forma compatible amb la conservació de l'espai "/>
    <s v="08.2"/>
    <s v="Promoure la coordinació amb els agents socioeconòmics del territori pel foment del desenvolupament sostenible de l'espai (sector primari i secundari)"/>
    <s v="08.2.1"/>
    <s v="Establir una relació contínua amb agents socioeconòmics del territori, i si s'escau, crear una Taula de desenvolupament local"/>
    <m/>
    <m/>
    <s v="Establir una relació contínua amb agents socioeconòmics del territori, i si s'escau, crear una Taula de desenvolupament local"/>
    <s v="Eliminar. Inclòs a la CETS. A.4.1.1."/>
    <s v="No"/>
    <s v="ALTA"/>
    <x v="4"/>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1"/>
    <s v="Implantar un distintiu de qualitat i compatibilitat amb la conservació dels productes de la Xarxa d'ENP o criteris de qualitat propis de l'ENP"/>
    <s v="Comú"/>
    <s v="Optatiu"/>
    <s v="Implantar un distintiu de qualitat i compatibilitat amb la conservació dels productes de la Xarxa d'ENP o criteris de qualitat propis de l'ENP"/>
    <m/>
    <s v="Si"/>
    <s v="MITJANA"/>
    <x v="113"/>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2"/>
    <s v="Integrar els productes i activitats locals de qualitat en l'oferta d'activitats d'informació i turístiques de l'ENP"/>
    <s v="Comú"/>
    <s v="Obligatori"/>
    <s v="Integrar els productes i activitats locals de qualitat en l'oferta d'activitats d'informació i turístiques de l'ENP"/>
    <m/>
    <s v="Si"/>
    <s v="MITJANA"/>
    <x v="114"/>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2"/>
    <s v="Integrar els productes i activitats locals de qualitat en l'oferta d'activitats d'informació i turístiques de l'ENP"/>
    <s v="Comú"/>
    <s v="Obligatori"/>
    <s v="Integrar els productes i activitats locals de qualitat en l'oferta d'activitats d'informació i turístiques de l'ENP"/>
    <m/>
    <s v="No"/>
    <s v="MITJANA"/>
    <x v="115"/>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2"/>
    <s v="Integrar els productes i activitats locals de qualitat en l'oferta d'activitats d'informació i turístiques de l'ENP"/>
    <s v="Comú"/>
    <s v="Obligatori"/>
    <s v="Integrar els productes i activitats locals de qualitat en l'oferta d'activitats d'informació i turístiques de l'ENP"/>
    <m/>
    <s v="No"/>
    <s v="MITJANA"/>
    <x v="116"/>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2"/>
    <s v="Integrar els productes i activitats locals de qualitat en l'oferta d'activitats d'informació i turístiques de l'ENP"/>
    <s v="Comú"/>
    <s v="Obligatori"/>
    <s v="Integrar els productes i activitats locals de qualitat en l'oferta d'activitats d'informació i turístiques de l'ENP"/>
    <m/>
    <s v="Si"/>
    <s v="MITJANA"/>
    <x v="117"/>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2"/>
    <s v="Integrar els productes i activitats locals de qualitat en l'oferta d'activitats d'informació i turístiques de l'ENP"/>
    <s v="Comú"/>
    <s v="Obligatori"/>
    <s v="Integrar els productes i activitats locals de qualitat en l'oferta d'activitats d'informació i turístiques de l'ENP"/>
    <m/>
    <s v="Si"/>
    <s v="MITJANA"/>
    <x v="118"/>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2"/>
    <s v="Integrar els productes i activitats locals de qualitat en l'oferta d'activitats d'informació i turístiques de l'ENP"/>
    <s v="Comú"/>
    <s v="Obligatori"/>
    <s v="Integrar els productes i activitats locals de qualitat en l'oferta d'activitats d'informació i turístiques de l'ENP"/>
    <m/>
    <s v="Si"/>
    <s v="MITJANA"/>
    <x v="119"/>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2"/>
    <s v="Integrar els productes i activitats locals de qualitat en l'oferta d'activitats d'informació i turístiques de l'ENP"/>
    <s v="Comú"/>
    <s v="Obligatori"/>
    <s v="Integrar els productes i activitats locals de qualitat en l'oferta d'activitats d'informació i turístiques de l'ENP"/>
    <m/>
    <s v="No"/>
    <s v="MITJANA"/>
    <x v="120"/>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2"/>
    <s v="Integrar els productes i activitats locals de qualitat en l'oferta d'activitats d'informació i turístiques de l'ENP"/>
    <s v="Comú"/>
    <s v="Obligatori"/>
    <s v="Integrar els productes i activitats locals de qualitat en l'oferta d'activitats d'informació i turístiques de l'ENP"/>
    <m/>
    <s v="No"/>
    <s v="MITJANA"/>
    <x v="121"/>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3"/>
    <s v="Promoure fires d'artesania i productes locals de l'ENP"/>
    <s v="Comú"/>
    <s v="Optatiu"/>
    <s v="Promoure fires d'artesania i productes locals de l'ENP"/>
    <m/>
    <s v="Si"/>
    <s v="BAIXA"/>
    <x v="122"/>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3"/>
    <s v="Promoure fires d'artesania i productes locals de l'ENP"/>
    <s v="Comú"/>
    <s v="Optatiu"/>
    <s v="Promoure fires d'artesania i productes locals de l'ENP"/>
    <m/>
    <s v="Si"/>
    <s v="BAIXA"/>
    <x v="123"/>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3"/>
    <s v="Promoure fires d'artesania i productes locals de l'ENP"/>
    <s v="Comú"/>
    <s v="Optatiu"/>
    <s v="Promoure fires d'artesania i productes locals de l'ENP"/>
    <m/>
    <s v="Si"/>
    <s v="BAIXA"/>
    <x v="124"/>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3"/>
    <s v="Promoure fires d'artesania i productes locals de l'ENP"/>
    <s v="Comú"/>
    <s v="Optatiu"/>
    <s v="Promoure fires d'artesania i productes locals de l'ENP"/>
    <m/>
    <s v="Si"/>
    <s v="BAIXA"/>
    <x v="125"/>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3"/>
    <s v="Promoure fires d'artesania i productes locals de l'ENP"/>
    <s v="Comú"/>
    <s v="Optatiu"/>
    <s v="Promoure fires d'artesania i productes locals de l'ENP"/>
    <m/>
    <s v="Si"/>
    <s v="BAIXA"/>
    <x v="126"/>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3"/>
    <s v="Promoure fires d'artesania i productes locals de l'ENP"/>
    <s v="Comú"/>
    <s v="Optatiu"/>
    <s v="Promoure fires d'artesania i productes locals de l'ENP"/>
    <m/>
    <s v="No"/>
    <s v="BAIXA"/>
    <x v="127"/>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4"/>
    <s v="Generar aliances entre el sector primari, el turisme, la restauració i altres per fomentar la gastronomia local "/>
    <s v="Comú"/>
    <s v="Optatiu"/>
    <s v="Generar aliances entre el sector primari, el turisme, la restauració i altres per fomentar la gastronomia local "/>
    <m/>
    <s v="Si"/>
    <s v="MITJANA"/>
    <x v="128"/>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4"/>
    <s v="Generar aliances entre el sector primari, el turisme, la restauració i altres per fomentar la gastronomia local "/>
    <s v="Comú"/>
    <s v="Optatiu"/>
    <s v="Generar aliances entre el sector primari, el turisme, la restauració i altres per fomentar la gastronomia local "/>
    <m/>
    <s v="Si"/>
    <s v="MITJANA"/>
    <x v="129"/>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5"/>
    <s v="Elaborar una diagnòsi del teixit productiu local i un pla d’acció amb línies de treball i actuacions concretes per donar-li suport"/>
    <s v="Comú"/>
    <s v="Optatiu"/>
    <s v="Actualitzar la diagnosi del teixit productiu local i un pla d’acció amb línies de treball i actuacions concretes per donar-li suport"/>
    <s v="Fet"/>
    <s v="No"/>
    <s v="MITJANA"/>
    <x v="4"/>
    <m/>
    <m/>
    <x v="0"/>
    <x v="21"/>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6"/>
    <s v="Promoure els agents del territori que potencien i difonen els productes locals i de qualitat (artesanies, allotjaments, restaurants, cellers, establiments, elaboradors i productors) que afavoreixin la conservació"/>
    <s v="Comú"/>
    <s v="Optatiu"/>
    <s v="Promoure els agents del territori que potencien i difonen els productes locals i de qualitat (artesanies, allotjaments, restaurants, cellers, establiments, elaboradors i productors) que afavoreixin la conservació"/>
    <m/>
    <s v="Si"/>
    <s v="BAIXA"/>
    <x v="130"/>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6"/>
    <s v="Promoure els agents del territori que potencien i difonen els productes locals i de qualitat (artesanies, allotjaments, restaurants, cellers, establiments, elaboradors i productors) que afavoreixin la conservació"/>
    <s v="Comú"/>
    <s v="Optatiu"/>
    <s v="Promoure els agents del territori que potencien i difonen els productes locals i de qualitat (artesanies, allotjaments, restaurants, cellers, establiments, elaboradors i productors) que afavoreixin la conservació"/>
    <m/>
    <s v="Si"/>
    <s v="BAIXA"/>
    <x v="131"/>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6"/>
    <s v="Promoure els agents del territori que potencien i difonen els productes locals i de qualitat (artesanies, allotjaments, restaurants, cellers, establiments, elaboradors i productors) que afavoreixin la conservació"/>
    <s v="Comú"/>
    <s v="Optatiu"/>
    <s v="Elaborar una guia per promocionar els agents del territori que potencien i difonen els productes locals i de qualitat (allotjaments, restaurants, cellers, establiments, elaboradors, productors, artesans)"/>
    <s v="Incloure artesans"/>
    <s v="No"/>
    <s v="BAIXA"/>
    <x v="132"/>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7"/>
    <m/>
    <m/>
    <m/>
    <s v="Desplegar el Pla d'acció per al foment de l'artesania del Parc Natural dels Ports (2023-2027)"/>
    <s v="NOU. Inclous Ops 08.03.1, 08.3.5, 08.3.6 i 08.4.3"/>
    <s v="Si"/>
    <m/>
    <x v="133"/>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7"/>
    <m/>
    <m/>
    <m/>
    <s v="Desplegar el Pla d'acció per al foment de l'artesania del Parc Natural dels Ports (2023-2027)"/>
    <s v="NOU. Inclous Ops 08.03.1, 08.3.5, 08.3.6 i 08.4.3"/>
    <s v="Si"/>
    <m/>
    <x v="134"/>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8"/>
    <m/>
    <m/>
    <m/>
    <s v="Desplegar el Pla d'acció de la Diagnosi dels productors i productores locals del PNP"/>
    <s v="NOU"/>
    <s v="Si"/>
    <m/>
    <x v="135"/>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8"/>
    <m/>
    <m/>
    <m/>
    <s v="Desplegar el Pla d'acció de la Diagnosi dels productors i productores locals del PNP"/>
    <s v="NOU"/>
    <s v="No"/>
    <m/>
    <x v="136"/>
    <m/>
    <m/>
    <x v="0"/>
    <x v="0"/>
  </r>
  <r>
    <x v="3"/>
    <n v="8"/>
    <s v="APROFITAR ELS RECURSOS NATURALS DE FORMA SOSTENIBLE mitjançant desenvolupament dels aprofitaments tradicionals de forma compatible amb la conservació de l'espai "/>
    <s v="08.3"/>
    <s v="Millorar la valorització i comercialització dels productes generats a l'ENP que contribueixen al desenvolupament socioeconòmic i la conservació del patrimoni de l'ENP"/>
    <s v="08.3.8"/>
    <m/>
    <m/>
    <m/>
    <s v="Desplegar el Pla d'acció de la Diagnosi dels productors i productores locals del PNP"/>
    <m/>
    <s v="No"/>
    <m/>
    <x v="137"/>
    <m/>
    <m/>
    <x v="0"/>
    <x v="0"/>
  </r>
  <r>
    <x v="3"/>
    <n v="8"/>
    <s v="APROFITAR ELS RECURSOS NATURALS DE FORMA SOSTENIBLE mitjançant desenvolupament dels aprofitaments tradicionals de forma compatible amb la conservació de l'espai "/>
    <s v="08.4"/>
    <s v="Contribuir a una correcta planificació i gestió dels recursos cinegètics i piscícoles de forma compatible amb els valors de l'ENP"/>
    <s v="08.4.1"/>
    <s v="Treballar amb l'autoritat competent per garantir objectius de conservació d’espècies i hàbitats en la revisió dels Plans de Gestió Cinegètica"/>
    <s v="Comú"/>
    <s v="Obligatori"/>
    <s v="Col·laborar amb l'Administració cinegètica i les Àrees privades de caça per garantir objectius de conservació d’espècies i hàbitats en la revisió dels Plans de Gestió Cinegètica"/>
    <s v="Millora del redactat"/>
    <s v="Si"/>
    <s v="MITJANA"/>
    <x v="138"/>
    <m/>
    <m/>
    <x v="0"/>
    <x v="0"/>
  </r>
  <r>
    <x v="3"/>
    <n v="8"/>
    <s v="APROFITAR ELS RECURSOS NATURALS DE FORMA SOSTENIBLE mitjançant desenvolupament dels aprofitaments tradicionals de forma compatible amb la conservació de l'espai "/>
    <s v="08.4"/>
    <s v="Contribuir a una correcta planificació i gestió dels recursos cinegètics i piscícoles de forma compatible amb els valors de l'ENP"/>
    <s v="08.4.1"/>
    <s v="Treballar amb l'autoritat competent per garantir objectius de conservació d’espècies i hàbitats en la revisió dels Plans de Gestió Cinegètica"/>
    <s v="Comú"/>
    <s v="Obligatori"/>
    <s v="Col·laborar amb l'Administració cinegètica i les Àrees privades de caça per garantir objectius de conservació d’espècies i hàbitats en la revisió dels Plans de Gestió Cinegètica"/>
    <s v="Millora del redactat"/>
    <s v="Si"/>
    <s v="MITJANA"/>
    <x v="139"/>
    <m/>
    <m/>
    <x v="0"/>
    <x v="0"/>
  </r>
  <r>
    <x v="3"/>
    <n v="8"/>
    <s v="APROFITAR ELS RECURSOS NATURALS DE FORMA SOSTENIBLE mitjançant desenvolupament dels aprofitaments tradicionals de forma compatible amb la conservació de l'espai "/>
    <s v="08.4"/>
    <s v="Contribuir a una correcta planificació i gestió dels recursos cinegètics i piscícoles de forma compatible amb els valors de l'ENP"/>
    <s v="08.4.1"/>
    <s v="Treballar amb l'autoritat competent per garantir objectius de conservació d’espècies i hàbitats en la revisió dels Plans de Gestió Cinegètica"/>
    <s v="Comú"/>
    <s v="Obligatori"/>
    <s v="Col·laborar amb l'Administració cinegètica i les Àrees privades de caça per garantir objectius de conservació d’espècies i hàbitats en la revisió dels Plans de Gestió Cinegètica"/>
    <s v="Millora del redactat"/>
    <s v="Si"/>
    <s v="MITJANA"/>
    <x v="140"/>
    <m/>
    <m/>
    <x v="0"/>
    <x v="0"/>
  </r>
  <r>
    <x v="3"/>
    <n v="8"/>
    <s v="APROFITAR ELS RECURSOS NATURALS DE FORMA SOSTENIBLE mitjançant desenvolupament dels aprofitaments tradicionals de forma compatible amb la conservació de l'espai "/>
    <s v="08.4"/>
    <s v="Contribuir a una correcta planificació i gestió dels recursos cinegètics i piscícoles de forma compatible amb els valors de l'ENP"/>
    <s v="08.4.1"/>
    <s v="Treballar amb l'autoritat competent per garantir objectius de conservació d’espècies i hàbitats en la revisió dels Plans de Gestió Cinegètica"/>
    <s v="Comú"/>
    <s v="Obligatori"/>
    <s v="Col·laborar amb l'Administració cinegètica i les Àrees privades de caça per garantir objectius de conservació d’espècies i hàbitats en la revisió dels Plans de Gestió Cinegètica"/>
    <s v="Millora del redactat"/>
    <s v="Si"/>
    <s v="MITJANA"/>
    <x v="141"/>
    <m/>
    <m/>
    <x v="0"/>
    <x v="0"/>
  </r>
  <r>
    <x v="3"/>
    <n v="8"/>
    <s v="APROFITAR ELS RECURSOS NATURALS DE FORMA SOSTENIBLE mitjançant desenvolupament dels aprofitaments tradicionals de forma compatible amb la conservació de l'espai "/>
    <s v="08.4"/>
    <s v="Contribuir a una correcta planificació i gestió dels recursos cinegètics i piscícoles de forma compatible amb els valors de l'ENP"/>
    <s v="08.4.2"/>
    <s v="Col·laborar en la regulació i ordenació de la caça i la pesca en zones sensibles o amb risc d'afectació d'elements clau objecte de conservació"/>
    <s v="Comú"/>
    <s v="Obligatori"/>
    <s v="Col·laborar en la regulació i ordenació de la caça i la pesca en zones sensibles o amb risc d'afectació d'elements clau objecte de conservació"/>
    <s v="Es proposa eliminar per solapament amb l'Op anterior"/>
    <s v="No"/>
    <s v="ALTA"/>
    <x v="4"/>
    <m/>
    <m/>
    <x v="0"/>
    <x v="0"/>
  </r>
  <r>
    <x v="3"/>
    <n v="8"/>
    <s v="APROFITAR ELS RECURSOS NATURALS DE FORMA SOSTENIBLE mitjançant desenvolupament dels aprofitaments tradicionals de forma compatible amb la conservació de l'espai "/>
    <s v="08.4"/>
    <s v="Contribuir a una correcta planificació i gestió dels recursos cinegètics i piscícoles de forma compatible amb els valors de l'ENP"/>
    <s v="08.4.3"/>
    <s v="Donar suport en la gestió de poblacions que generen danys a les activitats econòmiques de l'ENP"/>
    <s v="Comú"/>
    <s v="Obligatori"/>
    <s v="Donar suport en la gestió de poblacions de fauna salvatge que generen danys a les activitats econòmiques de l'ENP"/>
    <s v="Millora del redactat"/>
    <s v="Si"/>
    <s v="MITJANA"/>
    <x v="142"/>
    <m/>
    <m/>
    <x v="0"/>
    <x v="0"/>
  </r>
  <r>
    <x v="3"/>
    <n v="9"/>
    <s v="FOMENTAR UN TURISME SOSTENIBLE compatible amb la conservació de l'espai "/>
    <s v="09.1"/>
    <s v="Fomentar un model de turisme que promogui els valors dels espais naturals protegits d'acord amb els agents turístics del territori "/>
    <s v="09.1.1"/>
    <s v="Desplegar la Carta Europea de Turisme Sostenible (CETS)"/>
    <s v="Comú"/>
    <s v="Optatiu"/>
    <s v="Desplegar la Carta Europea de Turisme Sostenible (CETS)"/>
    <m/>
    <s v="Si"/>
    <s v="MÀXIMA"/>
    <x v="143"/>
    <m/>
    <m/>
    <x v="0"/>
    <x v="0"/>
  </r>
  <r>
    <x v="3"/>
    <n v="9"/>
    <s v="FOMENTAR UN TURISME SOSTENIBLE compatible amb la conservació de l'espai "/>
    <s v="09.1"/>
    <s v="Fomentar un model de turisme que promogui els valors dels espais naturals protegits d'acord amb els agents turístics del territori "/>
    <s v="09.1.1"/>
    <s v="Desplegar la Carta Europea de Turisme Sostenible (CETS)"/>
    <s v="Comú"/>
    <s v="Optatiu"/>
    <s v="Desplegar la Carta Europea de Turisme Sostenible (CETS)"/>
    <m/>
    <s v="Si"/>
    <s v="MÀXIMA"/>
    <x v="144"/>
    <m/>
    <m/>
    <x v="0"/>
    <x v="0"/>
  </r>
  <r>
    <x v="3"/>
    <n v="9"/>
    <s v="FOMENTAR UN TURISME SOSTENIBLE compatible amb la conservació de l'espai "/>
    <s v="09.1"/>
    <s v="Fomentar un model de turisme que promogui els valors dels espais naturals protegits d'acord amb els agents turístics del territori "/>
    <s v="09.1.1"/>
    <s v="Desplegar la Carta Europea de Turisme Sostenible (CETS)"/>
    <s v="Comú"/>
    <s v="Optatiu"/>
    <s v="Desplegar la Carta Europea de Turisme Sostenible (CETS)"/>
    <m/>
    <s v="Si"/>
    <s v="MÀXIMA"/>
    <x v="145"/>
    <m/>
    <m/>
    <x v="0"/>
    <x v="0"/>
  </r>
  <r>
    <x v="3"/>
    <n v="9"/>
    <s v="FOMENTAR UN TURISME SOSTENIBLE compatible amb la conservació de l'espai "/>
    <s v="09.1"/>
    <s v="Fomentar un model de turisme que promogui els valors dels espais naturals protegits d'acord amb els agents turístics del territori "/>
    <s v="09.1.1"/>
    <s v="Desplegar la Carta Europea de Turisme Sostenible (CETS)"/>
    <s v="Comú"/>
    <s v="Optatiu"/>
    <s v="Desplegar la Carta Europea de Turisme Sostenible (CETS)"/>
    <m/>
    <s v="No"/>
    <s v="MÀXIMA"/>
    <x v="146"/>
    <m/>
    <m/>
    <x v="0"/>
    <x v="0"/>
  </r>
  <r>
    <x v="3"/>
    <n v="9"/>
    <s v="FOMENTAR UN TURISME SOSTENIBLE compatible amb la conservació de l'espai "/>
    <s v="09.1"/>
    <s v="Fomentar un model de turisme que promogui els valors dels espais naturals protegits d'acord amb els agents turístics del territori "/>
    <s v="09.1.1"/>
    <s v="Desplegar la Carta Europea de Turisme Sostenible (CETS)"/>
    <s v="Comú"/>
    <s v="Optatiu"/>
    <s v="Desplegar la Carta Europea de Turisme Sostenible (CETS)"/>
    <m/>
    <s v="Si"/>
    <s v="MÀXIMA"/>
    <x v="147"/>
    <m/>
    <m/>
    <x v="0"/>
    <x v="0"/>
  </r>
  <r>
    <x v="3"/>
    <n v="9"/>
    <s v="FOMENTAR UN TURISME SOSTENIBLE compatible amb la conservació de l'espai "/>
    <s v="09.1"/>
    <s v="Fomentar un model de turisme que promogui els valors dels espais naturals protegits d'acord amb els agents turístics del territori "/>
    <s v="09.1.1"/>
    <s v="Desplegar la Carta Europea de Turisme Sostenible (CETS)"/>
    <s v="Comú"/>
    <s v="Optatiu"/>
    <s v="Desplegar la Carta Europea de Turisme Sostenible (CETS)"/>
    <m/>
    <s v="Si"/>
    <s v="MÀXIMA"/>
    <x v="148"/>
    <m/>
    <m/>
    <x v="0"/>
    <x v="0"/>
  </r>
  <r>
    <x v="3"/>
    <n v="9"/>
    <s v="FOMENTAR UN TURISME SOSTENIBLE compatible amb la conservació de l'espai "/>
    <s v="09.1"/>
    <s v="Fomentar un model de turisme que promogui els valors dels espais naturals protegits d'acord amb els agents turístics del territori "/>
    <s v="09.1.1"/>
    <s v="Desplegar la Carta Europea de Turisme Sostenible (CETS)"/>
    <s v="Comú"/>
    <s v="Optatiu"/>
    <s v="Desplegar la Carta Europea de Turisme Sostenible (CETS)"/>
    <m/>
    <s v="Si"/>
    <s v="MÀXIMA"/>
    <x v="149"/>
    <m/>
    <m/>
    <x v="0"/>
    <x v="0"/>
  </r>
  <r>
    <x v="3"/>
    <n v="9"/>
    <s v="FOMENTAR UN TURISME SOSTENIBLE compatible amb la conservació de l'espai "/>
    <s v="09.1"/>
    <s v="Fomentar un model de turisme que promogui els valors dels espais naturals protegits d'acord amb els agents turístics del territori "/>
    <s v="09.1.1"/>
    <s v="Desplegar la Carta Europea de Turisme Sostenible (CETS)"/>
    <s v="Comú"/>
    <s v="Optatiu"/>
    <s v="Desplegar la Carta Europea de Turisme Sostenible (CETS)"/>
    <m/>
    <s v="Si"/>
    <s v="MÀXIMA"/>
    <x v="150"/>
    <m/>
    <m/>
    <x v="0"/>
    <x v="0"/>
  </r>
  <r>
    <x v="3"/>
    <n v="9"/>
    <s v="FOMENTAR UN TURISME SOSTENIBLE compatible amb la conservació de l'espai "/>
    <s v="09.1"/>
    <s v="Fomentar un model de turisme que promogui els valors dels espais naturals protegits d'acord amb els agents turístics del territori "/>
    <s v="09.1.1"/>
    <s v="Desplegar la Carta Europea de Turisme Sostenible (CETS)"/>
    <s v="Comú"/>
    <s v="Optatiu"/>
    <s v="Desplegar la Carta Europea de Turisme Sostenible (CETS)"/>
    <m/>
    <s v="Si"/>
    <m/>
    <x v="151"/>
    <m/>
    <m/>
    <x v="0"/>
    <x v="0"/>
  </r>
  <r>
    <x v="3"/>
    <n v="9"/>
    <s v="FOMENTAR UN TURISME SOSTENIBLE compatible amb la conservació de l'espai "/>
    <s v="09.1"/>
    <s v="Fomentar un model de turisme que promogui els valors dels espais naturals protegits d'acord amb els agents turístics del territori "/>
    <s v="09.1.2"/>
    <s v="Tramitar la certificació Biosphere"/>
    <s v="Comú"/>
    <s v="Optatiu"/>
    <s v="Tramitar la certificació Biosphere"/>
    <s v="Eliminar. No aplica"/>
    <s v="No"/>
    <s v="MITJANA"/>
    <x v="4"/>
    <m/>
    <m/>
    <x v="0"/>
    <x v="0"/>
  </r>
  <r>
    <x v="3"/>
    <n v="9"/>
    <s v="FOMENTAR UN TURISME SOSTENIBLE compatible amb la conservació de l'espai "/>
    <s v="09.1"/>
    <s v="Fomentar un model de turisme que promogui els valors dels espais naturals protegits d'acord amb els agents turístics del territori "/>
    <s v="09.1.3"/>
    <s v="Fomentar la creació d'allotjaments i altres recursos turístics d'acord amb les necessitats i els agents turístics del territori que es vinculin als valors naturals de l'espai"/>
    <s v="Comú"/>
    <s v="Optatiu"/>
    <s v="Fomentar la creació d'allotjaments i altres recursos turístics d'acord amb les necessitats i els agents turístics del territori que es vinculin als valors naturals de l'espai"/>
    <m/>
    <s v="No"/>
    <m/>
    <x v="4"/>
    <m/>
    <m/>
    <x v="0"/>
    <x v="22"/>
  </r>
  <r>
    <x v="3"/>
    <n v="9"/>
    <s v="FOMENTAR UN TURISME SOSTENIBLE compatible amb la conservació de l'espai "/>
    <s v="09.2"/>
    <s v="Promoure la coordinació amb els agents turístics del territori (empreses, industries, administració)."/>
    <s v="09.2.1"/>
    <s v="Treballar amb les empreses turístiques per trobar eines de canvi cap a un model de turisme sostenible i de qualitat "/>
    <s v="Comú"/>
    <s v="Optatiu"/>
    <s v="Treballar amb els agents turístics per trobar eines de canvi cap a un model de turisme sostenible i de qualitat "/>
    <s v="Canviar empreses per agents (per incloure administracions)"/>
    <s v="Si"/>
    <s v="MITJANA"/>
    <x v="152"/>
    <m/>
    <m/>
    <x v="0"/>
    <x v="0"/>
  </r>
  <r>
    <x v="3"/>
    <n v="9"/>
    <s v="FOMENTAR UN TURISME SOSTENIBLE compatible amb la conservació de l'espai "/>
    <s v="09.2"/>
    <s v="Promoure la coordinació amb els agents turístics del territori (empreses, industries, administració)."/>
    <s v="09.2.1"/>
    <s v="Treballar amb les empreses turístiques per trobar eines de canvi cap a un model de turisme sostenible i de qualitat "/>
    <s v="Comú"/>
    <s v="Optatiu"/>
    <s v="Treballar amb els agents turístics per trobar eines de canvi cap a un model de turisme sostenible i de qualitat "/>
    <s v="Canviar empreses per agents (per incloure administracions)"/>
    <s v="No"/>
    <s v="MITJANA"/>
    <x v="153"/>
    <m/>
    <m/>
    <x v="0"/>
    <x v="0"/>
  </r>
  <r>
    <x v="3"/>
    <n v="9"/>
    <s v="FOMENTAR UN TURISME SOSTENIBLE compatible amb la conservació de l'espai "/>
    <s v="09.2"/>
    <s v="Promoure la coordinació amb els agents turístics del territori (empreses, industries, administració)."/>
    <s v="09.2.2"/>
    <s v="Crear productes i paquets turístics amb associacions d’empreses turístiques i operadors turístics"/>
    <s v="Comú"/>
    <s v="Optatiu"/>
    <s v="Crear productes i paquets turístics amb associacions d’empreses turístiques i operadors turístics"/>
    <m/>
    <s v="No"/>
    <s v="MITJANA"/>
    <x v="154"/>
    <m/>
    <m/>
    <x v="0"/>
    <x v="0"/>
  </r>
  <r>
    <x v="3"/>
    <n v="9"/>
    <s v="FOMENTAR UN TURISME SOSTENIBLE compatible amb la conservació de l'espai "/>
    <s v="09.2"/>
    <s v="Promoure la coordinació amb els agents turístics del territori (empreses, industries, administració)."/>
    <s v="09.2.2"/>
    <s v="Crear productes i paquets turístics amb associacions d’empreses turístiques i operadors turístics"/>
    <s v="Comú"/>
    <s v="Optatiu"/>
    <s v="Crear productes i paquets turístics amb associacions d’empreses turístiques i operadors turístics"/>
    <m/>
    <s v="Si"/>
    <s v="MITJANA"/>
    <x v="155"/>
    <m/>
    <m/>
    <x v="0"/>
    <x v="0"/>
  </r>
  <r>
    <x v="3"/>
    <n v="9"/>
    <s v="FOMENTAR UN TURISME SOSTENIBLE compatible amb la conservació de l'espai "/>
    <s v="09.2"/>
    <s v="Promoure la coordinació amb els agents turístics del territori (empreses, industries, administració)."/>
    <s v="09.2.2"/>
    <s v="Crear productes i paquets turístics amb associacions d’empreses turístiques i operadors turístics"/>
    <s v="Comú"/>
    <s v="Optatiu"/>
    <s v="Crear productes i paquets turístics amb associacions d’empreses turístiques i operadors turístics"/>
    <m/>
    <s v="Si"/>
    <s v="MITJANA"/>
    <x v="156"/>
    <m/>
    <m/>
    <x v="0"/>
    <x v="0"/>
  </r>
  <r>
    <x v="4"/>
    <n v="10"/>
    <s v="ORDENAR ELS USOS I APROFITAMENTS per garantir l'equilibri de les activitats humanes amb la conservació de la biodiversitat"/>
    <s v="10.1"/>
    <s v="Estandarditzar de regulació d'usos i aprofitaments  en base al model de Pla de protecció"/>
    <s v="10.1.1"/>
    <s v="Establir un model de construcció a l'ENP en base al model de Pla de protecció"/>
    <s v="Comú"/>
    <s v="Obligatori"/>
    <s v="Establir un model de construcció a l'ENP en base a les tècniques tradicionals"/>
    <s v="No tenim Pla"/>
    <s v="Si"/>
    <s v="ALTA"/>
    <x v="157"/>
    <m/>
    <m/>
    <x v="0"/>
    <x v="0"/>
  </r>
  <r>
    <x v="4"/>
    <n v="10"/>
    <s v="ORDENAR ELS USOS I APROFITAMENTS per garantir l'equilibri de les activitats humanes amb la conservació de la biodiversitat"/>
    <s v="10.1"/>
    <s v="Estandarditzar de regulació d'usos i aprofitaments  en base al model de Pla de protecció"/>
    <s v="10.1.2"/>
    <s v="Ordenar els aprofitaments i extraccions dins l'espai"/>
    <s v="Comú"/>
    <s v="Obligatori"/>
    <s v="Ordenar els aprofitaments i extraccions dins l'espai"/>
    <m/>
    <s v="Si"/>
    <m/>
    <x v="4"/>
    <m/>
    <m/>
    <x v="0"/>
    <x v="23"/>
  </r>
  <r>
    <x v="4"/>
    <n v="11"/>
    <s v="ORDENAR L'ÚS PÚBLIC I SOCIAL per a la protecció dels hàbitats, espècies i elements geològics"/>
    <s v="11.1"/>
    <s v="Estandaritzar regulació de l’ús públic i social en base al model acordat per govern"/>
    <s v="11.1.1"/>
    <s v="Ordenar l'acampada i pernoctació  en base a un model estandarditzat de Pla de protecció"/>
    <s v="Comú"/>
    <s v="Obligatori"/>
    <s v="Ordenar l'acampada i pernoctació  en base a un model estandarditzat de Pla de protecció"/>
    <m/>
    <s v="Si"/>
    <s v="ALTA"/>
    <x v="158"/>
    <m/>
    <m/>
    <x v="0"/>
    <x v="0"/>
  </r>
  <r>
    <x v="4"/>
    <n v="11"/>
    <s v="ORDENAR L'ÚS PÚBLIC I SOCIAL per a la protecció dels hàbitats, espècies i elements geològics"/>
    <s v="11.1"/>
    <s v="Estandaritzar regulació de l’ús públic i social en base al model acordat per govern"/>
    <s v="11.1.2"/>
    <s v="Ordenar la circulació rodada no motoritzada en base a un model estàndard de Pla de protecció"/>
    <s v="Comú"/>
    <s v="Obligatori"/>
    <s v="Ordenar la circulació rodada no motoritzada en base a un model estàndard de Pla de protecció"/>
    <s v="S'ajusta a la realitat"/>
    <s v="Si"/>
    <s v="MÀXIMA"/>
    <x v="159"/>
    <m/>
    <m/>
    <x v="0"/>
    <x v="0"/>
  </r>
  <r>
    <x v="4"/>
    <n v="11"/>
    <s v="ORDENAR L'ÚS PÚBLIC I SOCIAL per a la protecció dels hàbitats, espècies i elements geològics"/>
    <s v="11.1"/>
    <s v="Estandaritzar regulació de l’ús públic i social en base al model acordat per govern"/>
    <s v="11.1.3"/>
    <s v="Ordenar l'escalada i alpinisme, barranquisme, i espeleologia  en base a un model estàndard de Pla de protecció"/>
    <s v="Específic"/>
    <s v="Obligatori"/>
    <s v="Ordenar l'escalada i alpinisme, barranquisme, i espeleologia  en base a un model estàndard de Pla de protecció"/>
    <m/>
    <s v="Si"/>
    <s v="MÀXIMA"/>
    <x v="160"/>
    <m/>
    <m/>
    <x v="0"/>
    <x v="0"/>
  </r>
  <r>
    <x v="4"/>
    <n v="11"/>
    <s v="ORDENAR L'ÚS PÚBLIC I SOCIAL per a la protecció dels hàbitats, espècies i elements geològics"/>
    <s v="11.1"/>
    <s v="Estandaritzar regulació de l’ús públic i social en base al model acordat per govern"/>
    <s v="11.1.3"/>
    <s v="Ordenar l'escalada i alpinisme, barranquisme, i espeleologia  en base a un model estàndard de Pla de protecció"/>
    <s v="Específic"/>
    <s v="Obligatori"/>
    <s v="Ordenar l'escalada i alpinisme, barranquisme, i espeleologia  en base a un model estàndard de Pla de protecció"/>
    <m/>
    <s v="Si"/>
    <s v="MÀXIMA"/>
    <x v="161"/>
    <m/>
    <m/>
    <x v="0"/>
    <x v="0"/>
  </r>
  <r>
    <x v="4"/>
    <n v="11"/>
    <s v="ORDENAR L'ÚS PÚBLIC I SOCIAL per a la protecció dels hàbitats, espècies i elements geològics"/>
    <s v="11.1"/>
    <s v="Estandaritzar regulació de l’ús públic i social en base al model acordat per govern"/>
    <s v="11.1.3"/>
    <s v="Ordenar l'escalada i alpinisme, barranquisme, i espeleologia  en base a un model estàndard de Pla de protecció"/>
    <s v="Específic"/>
    <s v="Obligatori"/>
    <s v="Ordenar l'escalada i alpinisme, barranquisme, i espeleologia  en base a un model estàndard de Pla de protecció"/>
    <m/>
    <m/>
    <m/>
    <x v="162"/>
    <m/>
    <m/>
    <x v="0"/>
    <x v="0"/>
  </r>
  <r>
    <x v="4"/>
    <n v="11"/>
    <s v="ORDENAR L'ÚS PÚBLIC I SOCIAL per a la protecció dels hàbitats, espècies i elements geològics"/>
    <s v="11.1"/>
    <s v="Estandaritzar regulació de l’ús públic i social en base al model acordat per govern"/>
    <s v="11.1.3"/>
    <s v="Ordenar l'escalada i alpinisme, barranquisme, i espeleologia  en base a un model estàndard de Pla de protecció"/>
    <s v="Específic"/>
    <s v="Obligatori"/>
    <s v="Ordenar l'escalada i alpinisme, barranquisme, i espeleologia  en base a un model estàndard de Pla de protecció"/>
    <m/>
    <s v="Si"/>
    <s v="MÀXIMA"/>
    <x v="163"/>
    <m/>
    <m/>
    <x v="0"/>
    <x v="0"/>
  </r>
  <r>
    <x v="4"/>
    <n v="11"/>
    <s v="ORDENAR L'ÚS PÚBLIC I SOCIAL per a la protecció dels hàbitats, espècies i elements geològics"/>
    <s v="11.1"/>
    <s v="Estandaritzar regulació de l’ús públic i social en base al model acordat per govern"/>
    <s v="11.1.3"/>
    <s v="Ordenar l'escalada i alpinisme, barranquisme, i espeleologia  en base a un model estàndard de Pla de protecció"/>
    <s v="Específic"/>
    <s v="Obligatori"/>
    <s v="Ordenar l'escalada i alpinisme, barranquisme, i espeleologia  en base a un model estàndard de Pla de protecció"/>
    <m/>
    <s v="Si"/>
    <s v="MÀXIMA"/>
    <x v="164"/>
    <m/>
    <m/>
    <x v="0"/>
    <x v="0"/>
  </r>
  <r>
    <x v="4"/>
    <n v="11"/>
    <s v="ORDENAR L'ÚS PÚBLIC I SOCIAL per a la protecció dels hàbitats, espècies i elements geològics"/>
    <s v="11.1"/>
    <s v="Estandaritzar regulació de l’ús públic i social en base al model acordat per govern"/>
    <s v="11.1.4"/>
    <s v="Ordenar les curses i altres activitats esportives organitzades en base a un model estàndard de Pla de protecció"/>
    <s v="Comú"/>
    <s v="Obligatori"/>
    <s v="Ordenar les curses i altres activitats esportives organitzades en base a un model estàndard de Pla de protecció"/>
    <m/>
    <s v="Si"/>
    <s v="MÀXIMA"/>
    <x v="165"/>
    <m/>
    <m/>
    <x v="0"/>
    <x v="0"/>
  </r>
  <r>
    <x v="4"/>
    <n v="11"/>
    <s v="ORDENAR L'ÚS PÚBLIC I SOCIAL per a la protecció dels hàbitats, espècies i elements geològics"/>
    <s v="11.1"/>
    <s v="Estandaritzar regulació de l’ús públic i social en base al model acordat per govern"/>
    <s v="11.1.5"/>
    <s v="Ordenar els enregistraments i l'observació de fauna i natura en base a un model estàndard de Pla de protecció"/>
    <s v="Comú"/>
    <s v="Obligatori"/>
    <s v="Ordenar els enregistraments i l'observació de fauna i natura en base a un model estàndard de Pla de protecció"/>
    <m/>
    <s v="Si"/>
    <s v="MITJANA"/>
    <x v="166"/>
    <m/>
    <m/>
    <x v="0"/>
    <x v="0"/>
  </r>
  <r>
    <x v="4"/>
    <n v="11"/>
    <s v="ORDENAR L'ÚS PÚBLIC I SOCIAL per a la protecció dels hàbitats, espècies i elements geològics"/>
    <s v="11.1"/>
    <s v="Estandaritzar regulació de l’ús públic i social en base al model acordat per govern"/>
    <s v="11.1.6"/>
    <s v="Ordenar les activitats científiques en base a un model estàndard de Pla de protecció"/>
    <s v="Comú"/>
    <s v="Obligatori"/>
    <s v="Ordenar les activitats científiques en base a un model estàndard de Pla de protecció"/>
    <m/>
    <s v="Si"/>
    <s v="MITJANA"/>
    <x v="167"/>
    <m/>
    <m/>
    <x v="0"/>
    <x v="0"/>
  </r>
  <r>
    <x v="4"/>
    <n v="11"/>
    <s v="ORDENAR L'ÚS PÚBLIC I SOCIAL per a la protecció dels hàbitats, espècies i elements geològics"/>
    <s v="11.1"/>
    <s v="Estandaritzar regulació de l’ús públic i social en base al model acordat per govern"/>
    <s v="11.1.7"/>
    <s v="Ordenar les zones de bany"/>
    <s v="Específic"/>
    <s v="Obligatori"/>
    <s v="Ordenar les zones de bany"/>
    <m/>
    <s v="Si"/>
    <s v="ALTA"/>
    <x v="168"/>
    <m/>
    <m/>
    <x v="0"/>
    <x v="0"/>
  </r>
  <r>
    <x v="4"/>
    <n v="11"/>
    <s v="ORDENAR L'ÚS PÚBLIC I SOCIAL per a la protecció dels hàbitats, espècies i elements geològics"/>
    <s v="11.1"/>
    <s v="Estandaritzar regulació de l’ús públic i social en base al model acordat per govern"/>
    <s v="11.1.7"/>
    <s v="Ordenar les zones de bany"/>
    <s v="Específic"/>
    <s v="Obligatori"/>
    <s v="Ordenar les zones de bany"/>
    <m/>
    <s v="Si"/>
    <s v="ALTA"/>
    <x v="169"/>
    <m/>
    <m/>
    <x v="0"/>
    <x v="0"/>
  </r>
  <r>
    <x v="4"/>
    <n v="11"/>
    <s v="ORDENAR L'ÚS PÚBLIC I SOCIAL per a la protecció dels hàbitats, espècies i elements geològics"/>
    <s v="11.1"/>
    <s v="Estandaritzar regulació de l’ús públic i social en base al model acordat per govern"/>
    <s v="11.1.8"/>
    <s v="Ordenar l'enlairament i aterratge sense motor"/>
    <s v="Específic"/>
    <s v="Obligatori"/>
    <s v="Ordenar l'enlairament i aterratge sense motor"/>
    <m/>
    <s v="Si"/>
    <s v="MITJANA"/>
    <x v="170"/>
    <m/>
    <m/>
    <x v="0"/>
    <x v="0"/>
  </r>
  <r>
    <x v="4"/>
    <n v="11"/>
    <s v="ORDENAR L'ÚS PÚBLIC I SOCIAL per a la protecció dels hàbitats, espècies i elements geològics"/>
    <s v="11.1"/>
    <s v="Estandaritzar regulació de l’ús públic i social en base al model acordat per govern"/>
    <s v="11.1.9"/>
    <s v="Ordenar el submarinisme i l'snorkel"/>
    <s v="Específic"/>
    <s v="Obligatori"/>
    <s v="Ordenar el submarinisme i l'snorkel"/>
    <s v="No aplica"/>
    <s v="No"/>
    <s v="ALTA"/>
    <x v="4"/>
    <m/>
    <m/>
    <x v="0"/>
    <x v="0"/>
  </r>
  <r>
    <x v="4"/>
    <n v="11"/>
    <s v="ORDENAR L'ÚS PÚBLIC I SOCIAL per a la protecció dels hàbitats, espècies i elements geològics"/>
    <s v="11.1"/>
    <s v="Estandaritzar regulació de l’ús públic i social en base al model acordat per govern"/>
    <s v="11.1.10"/>
    <s v="Ordenar les activitats aquàtiques i nàutiques i zones de fondeig"/>
    <s v="Específic"/>
    <s v="Obligatori"/>
    <s v="Ordenar les activitats aquàtiques i nàutiques i zones de fondeig"/>
    <s v="No aplica"/>
    <s v="No"/>
    <s v="ALTA"/>
    <x v="4"/>
    <m/>
    <m/>
    <x v="0"/>
    <x v="0"/>
  </r>
  <r>
    <x v="4"/>
    <n v="11"/>
    <s v="ORDENAR L'ÚS PÚBLIC I SOCIAL per a la protecció dels hàbitats, espècies i elements geològics"/>
    <s v="11.1"/>
    <s v="Estandaritzar regulació de l’ús públic i social en base al model acordat per govern"/>
    <s v="11.1.11"/>
    <s v="Ordenar la presència d'animals de companyia"/>
    <s v="Comú"/>
    <s v="Obligatori"/>
    <s v="Ordenar la presència d'animals de companyia"/>
    <m/>
    <s v="Si"/>
    <s v="ALTA"/>
    <x v="171"/>
    <m/>
    <m/>
    <x v="0"/>
    <x v="0"/>
  </r>
  <r>
    <x v="4"/>
    <n v="11"/>
    <s v="ORDENAR L'ÚS PÚBLIC I SOCIAL per a la protecció dels hàbitats, espècies i elements geològics"/>
    <s v="11.1"/>
    <s v="Estandaritzar regulació de l’ús públic i social en base al model acordat per govern"/>
    <s v="11.1.11"/>
    <s v="Ordenar la presència d'animals de companyia"/>
    <s v="Comú"/>
    <s v="Obligatori"/>
    <s v="Ordenar la presència d'animals de companyia"/>
    <m/>
    <s v="Si"/>
    <s v="ALTA"/>
    <x v="172"/>
    <m/>
    <m/>
    <x v="0"/>
    <x v="0"/>
  </r>
  <r>
    <x v="4"/>
    <n v="11"/>
    <s v="ORDENAR L'ÚS PÚBLIC I SOCIAL per a la protecció dels hàbitats, espècies i elements geològics"/>
    <s v="11.1"/>
    <s v="Estandaritzar regulació de l’ús públic i social en base al model acordat per govern"/>
    <s v="11.1.12"/>
    <s v="Ordenar les activitats d'educació ambiental i el lleure educatiu"/>
    <s v="Comú"/>
    <s v="Obligatori"/>
    <s v="Ordenar les activitats d'educació ambiental i el lleure educatiu"/>
    <m/>
    <s v="Si"/>
    <s v="MITJANA"/>
    <x v="173"/>
    <m/>
    <m/>
    <x v="0"/>
    <x v="0"/>
  </r>
  <r>
    <x v="4"/>
    <n v="11"/>
    <s v="ORDENAR L'ÚS PÚBLIC I SOCIAL per a la protecció dels hàbitats, espècies i elements geològics"/>
    <s v="11.1"/>
    <s v="Estandaritzar regulació de l’ús públic i social en base al model acordat per govern"/>
    <s v="11.1.12"/>
    <s v="Regular les activitats d'educació ambiental i el lleure educatiu"/>
    <s v="Comú"/>
    <s v="Obligatori"/>
    <s v="Aplicar la regulació de les activitats d'educació ambiental i el lleure educatiu d'acord amb el Decret 148/1992 i els acords de Junta rectora del Parc"/>
    <s v="Ortografia"/>
    <s v="Si"/>
    <s v="MITJANA"/>
    <x v="174"/>
    <m/>
    <m/>
    <x v="0"/>
    <x v="0"/>
  </r>
  <r>
    <x v="4"/>
    <n v="11"/>
    <s v="ORDENAR L'ÚS PÚBLIC I SOCIAL per a la protecció dels hàbitats, espècies i elements geològics"/>
    <s v="11.1"/>
    <s v="Estandaritzar regulació de l’ús públic i social en base al model acordat per govern"/>
    <s v="11.1.13"/>
    <m/>
    <s v="Comú"/>
    <s v="Obligatori"/>
    <s v="Regular les activitats aèries amb motor per sobre de l'ENP"/>
    <s v="*NOU"/>
    <s v="Si"/>
    <s v="MITJANA"/>
    <x v="175"/>
    <m/>
    <m/>
    <x v="0"/>
    <x v="0"/>
  </r>
  <r>
    <x v="4"/>
    <n v="11"/>
    <s v="ORDENAR L'ÚS PÚBLIC I SOCIAL per a la protecció dels hàbitats, espècies i elements geològics"/>
    <s v="11.1"/>
    <s v="Estandaritzar regulació de l’ús públic i social en base al model acordat per govern"/>
    <s v="11.1.15"/>
    <m/>
    <m/>
    <m/>
    <s v="Planificar l'ús públic al PN"/>
    <s v="*Nou"/>
    <s v="Si"/>
    <m/>
    <x v="176"/>
    <m/>
    <m/>
    <x v="0"/>
    <x v="0"/>
  </r>
  <r>
    <x v="4"/>
    <n v="11"/>
    <s v="ORDENAR L'ÚS PÚBLIC I SOCIAL per a la protecció dels hàbitats, espècies i elements geològics"/>
    <s v="11.1"/>
    <s v="Estandaritzar regulació de l’ús públic i social en base al model acordat per govern"/>
    <s v="11.1.16"/>
    <m/>
    <m/>
    <m/>
    <s v="Planificar l'ús públic al PN"/>
    <s v="*Nou"/>
    <s v="Si"/>
    <m/>
    <x v="177"/>
    <m/>
    <m/>
    <x v="0"/>
    <x v="0"/>
  </r>
  <r>
    <x v="4"/>
    <n v="11"/>
    <s v="ORDENAR L'ÚS PÚBLIC I SOCIAL per a la protecció dels hàbitats, espècies i elements geològics"/>
    <s v="11.2"/>
    <s v="Disposar de la xarxa viària i itineraris oficials de l'ENP"/>
    <s v="11.2.1"/>
    <s v="Identificar i classificar la xarxa viària bàsica, secundària, senders i itineraris senyalitzats d'acord amb els ajuntaments "/>
    <s v="Comú"/>
    <s v="Obligatori"/>
    <s v="Identificar i classificar la xarxa viària bàsica, secundària, senders i itineraris senyalitzats d'acord amb els titulars públics i privats"/>
    <s v="S'amplia a titulars privats i l'administració forestal de GenCat"/>
    <s v="No"/>
    <s v="MITJANA"/>
    <x v="4"/>
    <m/>
    <m/>
    <x v="7"/>
    <x v="0"/>
  </r>
  <r>
    <x v="4"/>
    <n v="11"/>
    <s v="ORDENAR L'ÚS PÚBLIC I SOCIAL per a la protecció dels hàbitats, espècies i elements geològics"/>
    <s v="11.2"/>
    <s v="Disposar de la xarxa viària i itineraris oficials de l'ENP"/>
    <s v="11.2.2"/>
    <s v="Treballar conjuntament amb els principals canals d’informació de rutes  per prioritzar itineraris oficials dins l’ENP"/>
    <s v="Comú"/>
    <s v="Obligatori"/>
    <s v="Col·laborar amb SENP, conjuntament amb els principals canals d’informació de rutes, per prioritzar itineraris oficials dins l’ENP"/>
    <s v="Millora de redactat, no és competència exclussiva nostra"/>
    <s v="Si"/>
    <s v="ALTA"/>
    <x v="178"/>
    <m/>
    <m/>
    <x v="0"/>
    <x v="0"/>
  </r>
  <r>
    <x v="4"/>
    <n v="11"/>
    <s v="ORDENAR L'ÚS PÚBLIC I SOCIAL per a la protecció dels hàbitats, espècies i elements geològics"/>
    <s v="11.3"/>
    <s v="Implementar el protocol estandarditzat basat en el pla per la regulació al accés, circulació i ús de la xarxa viària"/>
    <s v="11.3.1"/>
    <s v="Ordenar l'accés i la circulació"/>
    <s v="Comú"/>
    <s v="Obligatori"/>
    <s v="Ordenar l'accés i la circulació"/>
    <m/>
    <s v="Si"/>
    <s v="MÀXIMA"/>
    <x v="4"/>
    <m/>
    <m/>
    <x v="8"/>
    <x v="0"/>
  </r>
  <r>
    <x v="4"/>
    <n v="11"/>
    <s v="ORDENAR L'ÚS PÚBLIC I SOCIAL per a la protecció dels hàbitats, espècies i elements geològics"/>
    <s v="11.3"/>
    <s v="Implementar el protocol estandarditzat basat en el pla per la regulació al accés, circulació i ús de la xarxa viària"/>
    <s v="11.3.2"/>
    <s v="Ordenar la xarxa viària principal, secundària i restringida"/>
    <s v="Comú"/>
    <s v="Obligatori"/>
    <s v="Ordenar la xarxa viària principal, secundària i restringida"/>
    <s v="No afectaria actualment, al no disposar de Pla de protecció"/>
    <s v="No"/>
    <s v="MITJANA"/>
    <x v="4"/>
    <m/>
    <m/>
    <x v="0"/>
    <x v="24"/>
  </r>
  <r>
    <x v="4"/>
    <n v="11"/>
    <s v="ORDENAR L'ÚS PÚBLIC I SOCIAL per a la protecció dels hàbitats, espècies i elements geològics"/>
    <s v="11.3"/>
    <s v="Implementar el protocol estandarditzat basat en el pla per la regulació al accés, circulació i ús de la xarxa viària"/>
    <s v="11.3.3"/>
    <s v="Ordenar l'ús de drons, l'enlairament i l'aterratge"/>
    <s v="Específic"/>
    <s v="Obligatori"/>
    <s v="Ordenar l'ús de drons, l'enlairament i l'aterratge"/>
    <m/>
    <s v="Si"/>
    <s v="MITJANA"/>
    <x v="4"/>
    <m/>
    <m/>
    <x v="9"/>
    <x v="0"/>
  </r>
  <r>
    <x v="4"/>
    <n v="11"/>
    <s v="ORDENAR L'ÚS PÚBLIC I SOCIAL per a la protecció dels hàbitats, espècies i elements geològics"/>
    <s v="11.3"/>
    <s v="Implementar el protocol estandarditzat basat en el pla per la regulació al accés, circulació i ús de la xarxa viària"/>
    <s v="11.3.4"/>
    <s v="Aplicar limitacions temporals d'accés o circulació"/>
    <s v="Comú"/>
    <s v="Obligatori"/>
    <s v="Aplicar limitacions temporals d'accés o circulació"/>
    <s v="Es proposa eliminar, ja que se solapa molt amb l'Op 11.3.1"/>
    <s v="No"/>
    <s v="MITJANA"/>
    <x v="4"/>
    <m/>
    <m/>
    <x v="0"/>
    <x v="0"/>
  </r>
  <r>
    <x v="4"/>
    <n v="11"/>
    <s v="ORDENAR L'ÚS PÚBLIC I SOCIAL per a la protecció dels hàbitats, espècies i elements geològics"/>
    <s v="11.3"/>
    <s v="Implementar el protocol estandarditzat basat en el pla per la regulació al accés, circulació i ús de la xarxa viària"/>
    <s v="11.3.5"/>
    <s v="Ordenar l'aparcament de vehícles"/>
    <s v="Comú"/>
    <s v="Obligatori"/>
    <s v="Ordenar l'aparcament de vehícles"/>
    <m/>
    <s v="Si"/>
    <s v="MITJANA"/>
    <x v="179"/>
    <m/>
    <m/>
    <x v="0"/>
    <x v="0"/>
  </r>
  <r>
    <x v="4"/>
    <n v="11"/>
    <s v="ORDENAR L'ÚS PÚBLIC I SOCIAL per a la protecció dels hàbitats, espècies i elements geològics"/>
    <s v="11.4"/>
    <s v="Enfortir la col·laboració i coordinació amb els agents d'ús públic (empreses, entitats i ajuntaments)"/>
    <s v="11.4.1"/>
    <s v="Implementar l'ordenació de l'ús públic en col·laboració amb els agents del territori"/>
    <s v="Comú"/>
    <s v="Obligatori"/>
    <s v="Implementar l'ordenació de l'ús públic en col·laboració amb els agents del territori"/>
    <s v="Eliminació: se solapen àmpliament amb altres Ops"/>
    <s v="No"/>
    <s v="MÀXIMA"/>
    <x v="4"/>
    <m/>
    <m/>
    <x v="0"/>
    <x v="0"/>
  </r>
  <r>
    <x v="4"/>
    <n v="11"/>
    <s v="ORDENAR L'ÚS PÚBLIC I SOCIAL per a la protecció dels hàbitats, espècies i elements geològics"/>
    <s v="11.4"/>
    <s v="Enfortir la col·laboració i coordinació amb els agents d'ús públic (empreses, entitats i ajuntaments)"/>
    <s v="11.4.2"/>
    <s v="Promoció i acompanyament en l'ordenació de l'ús públic de l'ENP des de l'àmbit municipal"/>
    <s v="Comú"/>
    <s v="Obligatori"/>
    <s v="Promoció i acompanyament en l'ordenació de l'ús públic de l'ENP des de l'àmbit municipal"/>
    <s v="Eliminació: se solapen àmpliament amb altres Ops"/>
    <s v="No"/>
    <s v="ALTA"/>
    <x v="4"/>
    <m/>
    <m/>
    <x v="0"/>
    <x v="0"/>
  </r>
  <r>
    <x v="4"/>
    <n v="11"/>
    <s v="ORDENAR L'ÚS PÚBLIC I SOCIAL per a la protecció dels hàbitats, espècies i elements geològics"/>
    <s v="11.5"/>
    <s v="Mantenir i millorar la senyalització de l'ENP"/>
    <s v="11.5.1"/>
    <s v="Realitzar l'inventari de senyalètica de l'ENP"/>
    <s v="Comú"/>
    <s v="Obligatori"/>
    <s v="Actualitzar l'inventari de senyalètica de l'ENP"/>
    <s v="L'inventari ja està fet"/>
    <s v="Si"/>
    <s v="ALTA"/>
    <x v="180"/>
    <m/>
    <m/>
    <x v="0"/>
    <x v="0"/>
  </r>
  <r>
    <x v="4"/>
    <n v="11"/>
    <s v="ORDENAR L'ÚS PÚBLIC I SOCIAL per a la protecció dels hàbitats, espècies i elements geològics"/>
    <s v="11.5"/>
    <s v="Mantenir i millorar la senyalització de l'ENP"/>
    <s v="11.5.2"/>
    <s v="Implantar el programa de senyalització i manteniment "/>
    <s v="Comú"/>
    <s v="Obligatori"/>
    <s v="Senyalitzar el nous espais d'ús públic i mantenir l'existent, d'acord amb el Manual de senyalització dels espais naturals protegits"/>
    <s v="No s'entén gaire, programa?"/>
    <s v="Si"/>
    <s v="MITJANA"/>
    <x v="181"/>
    <m/>
    <m/>
    <x v="0"/>
    <x v="0"/>
  </r>
  <r>
    <x v="4"/>
    <n v="11"/>
    <s v="ORDENAR L'ÚS PÚBLIC I SOCIAL per a la protecció dels hàbitats, espècies i elements geològics"/>
    <s v="11.5"/>
    <s v="Mantenir i millorar la senyalització de l'ENP"/>
    <s v="11.5.2"/>
    <s v="Implantar el programa de senyalització i manteniment "/>
    <s v="Comú"/>
    <s v="Obligatori"/>
    <s v="Senyalitzar el nous espais d'ús públic i mantenir l'existent, d'acord amb el Manual de senyalització dels espais naturals protegits"/>
    <s v="No s'entén gaire, programa?"/>
    <s v="Si"/>
    <s v="MITJANA"/>
    <x v="182"/>
    <m/>
    <m/>
    <x v="0"/>
    <x v="0"/>
  </r>
  <r>
    <x v="4"/>
    <n v="11"/>
    <s v="ORDENAR L'ÚS PÚBLIC I SOCIAL per a la protecció dels hàbitats, espècies i elements geològics"/>
    <s v="11.5"/>
    <s v="Mantenir i millorar la senyalització de l'ENP"/>
    <s v="11.5.2"/>
    <s v="Implantar el programa de senyalització i manteniment "/>
    <s v="Comú"/>
    <s v="Obligatori"/>
    <s v="Senyalitzar el nous espais d'ús públic i mantenir l'existent, d'acord amb el Manual de senyalització dels espais naturals protegits"/>
    <s v="No s'entén gaire, programa?"/>
    <s v="Si"/>
    <s v="MITJANA"/>
    <x v="183"/>
    <m/>
    <m/>
    <x v="0"/>
    <x v="0"/>
  </r>
  <r>
    <x v="4"/>
    <n v="11"/>
    <s v="ORDENAR L'ÚS PÚBLIC I SOCIAL per a la protecció dels hàbitats, espècies i elements geològics"/>
    <s v="11.6"/>
    <s v="Prevenir i gestionar els impactes derivats de la sobrefreqüentació"/>
    <s v="11.6.1"/>
    <s v="Potenciar la visita a espais alternatius dins de l'àmbit d'influència de l'espai natural per reduir la pressió en zones sensibles "/>
    <s v="Comú"/>
    <s v="Optatiu"/>
    <s v="Potenciar la visita a espais alternatius dins de l'àmbit d'influència de l'espai natural per reduir la pressió en zones sensibles "/>
    <m/>
    <s v="Si"/>
    <s v="MITJANA"/>
    <x v="184"/>
    <m/>
    <m/>
    <x v="0"/>
    <x v="0"/>
  </r>
  <r>
    <x v="4"/>
    <n v="11"/>
    <s v="ORDENAR L'ÚS PÚBLIC I SOCIAL per a la protecció dels hàbitats, espècies i elements geològics"/>
    <s v="11.6"/>
    <s v="Prevenir i gestionar els impactes derivats de la sobrefreqüentació"/>
    <s v="11.6.1"/>
    <s v="Potenciar la visita a espais alternatius dins de l'àmbit d'influència de l'espai natural per reduir la pressió en zones sensibles "/>
    <s v="Comú"/>
    <s v="Optatiu"/>
    <s v="Potenciar la visita a espais alternatius dins de l'àmbit d'influència de l'espai natural per reduir la pressió en zones sensibles "/>
    <m/>
    <m/>
    <m/>
    <x v="185"/>
    <m/>
    <m/>
    <x v="0"/>
    <x v="0"/>
  </r>
  <r>
    <x v="4"/>
    <n v="11"/>
    <s v="ORDENAR L'ÚS PÚBLIC I SOCIAL per a la protecció dels hàbitats, espècies i elements geològics"/>
    <s v="11.6"/>
    <s v="Prevenir i gestionar els impactes derivats de la sobrefreqüentació"/>
    <s v="11.6.2"/>
    <s v="Implementar les mesures extraordinàries de regulació de l'ús públic "/>
    <s v="Comú"/>
    <s v="Optatiu"/>
    <s v="Implementar les mesures extraordinàries de regulació de l'ús públic "/>
    <s v="Solapament amb 11.3.1"/>
    <s v="No"/>
    <s v="MÀXIMA"/>
    <x v="4"/>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1"/>
    <s v="Adequar els principals accessos, aparcaments i centres d'interès amb un ús elevat"/>
    <s v="Comú"/>
    <s v="Obligatori"/>
    <s v="Adequar els principals accessos, aparcaments i centres d'interès amb un ús elevat"/>
    <m/>
    <s v="Si"/>
    <s v="MÀXIMA"/>
    <x v="186"/>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1"/>
    <s v="Adequar els principals accessos, aparcaments i centres d'interès amb un ús elevat"/>
    <s v="Comú"/>
    <s v="Obligatori"/>
    <s v="Adequar els principals accessos, aparcaments i centres d'interès amb un ús elevat"/>
    <m/>
    <s v="Si"/>
    <s v="MÀXIMA"/>
    <x v="187"/>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1"/>
    <s v="Adequar els principals accessos, aparcaments i centres d'interès amb un ús elevat"/>
    <s v="Comú"/>
    <s v="Obligatori"/>
    <s v="Adequar els principals accessos, aparcaments i centres d'interès amb un ús elevat"/>
    <m/>
    <s v="Si"/>
    <s v="MÀXIMA"/>
    <x v="188"/>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189"/>
    <m/>
    <s v="Ítem pressupost. Canviar redactat, proposta Manteniment de l'Alberg d'Alfara"/>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190"/>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191"/>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192"/>
    <m/>
    <s v="unificar amb l'anterior?"/>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193"/>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194"/>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195"/>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196"/>
    <m/>
    <s v="unificar amb l'anterior?"/>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197"/>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198"/>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199"/>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200"/>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201"/>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No"/>
    <m/>
    <x v="202"/>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No"/>
    <m/>
    <x v="203"/>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No"/>
    <m/>
    <x v="204"/>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4"/>
    <s v="Només tenim el que hem fet colaborativament amb el patronat de turime de la DIPTA. Podriem fetr un encàrrec 2026 a Picampall o amb SEO o amb Photologístics??"/>
    <m/>
    <x v="1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205"/>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4"/>
    <m/>
    <m/>
    <x v="11"/>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4"/>
    <m/>
    <m/>
    <x v="12"/>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206"/>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4"/>
    <m/>
    <m/>
    <x v="13"/>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No"/>
    <m/>
    <x v="207"/>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208"/>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m/>
    <m/>
    <x v="209"/>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2"/>
    <s v="Disposar i mantenir els serveis, equipaments i infraestructures necessàries i accessibles per acollir, informar, facilitar la visita i garantir la seguretat dels visitants i la protecció de l'entorn"/>
    <s v="Comú"/>
    <s v="Obligatori"/>
    <s v="Disposar i mantenir els serveis, equipaments i infraestructures necessàries i accessibles per acollir, informar, facilitar la visita i garantir la seguretat dels visitants i la protecció de l'entorn"/>
    <m/>
    <s v="Si"/>
    <m/>
    <x v="210"/>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3"/>
    <s v="Desenvolupar el Pla d'acollida als visitants en base al model de la DG"/>
    <s v="Comú"/>
    <s v="Obligatori"/>
    <s v="Desenvolupar el Pla d'acollida als visitants en base al model de la DG"/>
    <s v="No tenim coneixement del Pla. No sabem el què és"/>
    <s v="No"/>
    <s v="MÀXIMA"/>
    <x v="4"/>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4"/>
    <s v="Adaptar els missatges a donar des d'oficines d’informació, pròpies i alienes, d'acord amb el model de la DG"/>
    <s v="Comú"/>
    <s v="Obligatori"/>
    <s v="Adaptar els missatges a donar des d'oficines d’informació, pròpies i alienes, d'acord amb el model de la DG"/>
    <m/>
    <s v="Si"/>
    <s v="ALTA"/>
    <x v="211"/>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5"/>
    <s v="Mantenir els serveis d'informació actuals de l'ENP"/>
    <m/>
    <m/>
    <s v="Mantenir els serveis d'informació actuals de l'ENP"/>
    <s v="*NOU. Només diu el que es fa actualment"/>
    <s v="Si"/>
    <m/>
    <x v="212"/>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5"/>
    <s v="Mantenir els serveis d'informació actuals de l'ENP"/>
    <m/>
    <m/>
    <s v="Mantenir els serveis d'informació actuals de l'ENP"/>
    <s v="*NOU. Només diu el que es fa actualment"/>
    <s v="Si"/>
    <m/>
    <x v="213"/>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5"/>
    <s v="Mantenir els serveis d'informació actuals de l'ENP"/>
    <m/>
    <m/>
    <s v="Mantenir els serveis d'informació actuals de l'ENP"/>
    <s v="*NOU. Només diu el que es fa actualment"/>
    <s v="Si"/>
    <m/>
    <x v="214"/>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5"/>
    <s v="Mantenir els serveis d'informació actuals de l'ENP"/>
    <m/>
    <m/>
    <s v="Mantenir els serveis d'informació actuals de l'ENP"/>
    <s v="*NOU. Només diu el que es fa actualment"/>
    <s v="Si"/>
    <m/>
    <x v="215"/>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5"/>
    <s v="Mantenir els serveis d'informació actuals de l'ENP"/>
    <m/>
    <m/>
    <s v="Mantenir els serveis d'informació actuals de l'ENP"/>
    <s v="*NOU. Només diu el que es fa actualment"/>
    <s v="Si"/>
    <m/>
    <x v="216"/>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5"/>
    <s v="Mantenir els serveis d'informació actuals de l'ENP"/>
    <m/>
    <m/>
    <s v="Mantenir els serveis d'informació actuals de l'ENP"/>
    <s v="*NOU. Només diu el que es fa actualment"/>
    <s v="Si"/>
    <m/>
    <x v="217"/>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5"/>
    <s v="Mantenir els serveis d'informació actuals de l'ENP"/>
    <m/>
    <m/>
    <s v="Mantenir els serveis d'informació actuals de l'ENP"/>
    <s v="*NOU. Només diu el que es fa actualment"/>
    <s v="Si"/>
    <m/>
    <x v="218"/>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5"/>
    <s v="Mantenir els serveis d'informació actuals de l'ENP"/>
    <m/>
    <m/>
    <s v="Mantenir els serveis d'informació actuals de l'ENP"/>
    <s v="*NOU. Només diu el que es fa actualment"/>
    <s v="Si"/>
    <m/>
    <x v="219"/>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5"/>
    <s v="Mantenir els serveis d'informació actuals de l'ENP"/>
    <m/>
    <m/>
    <s v="Mantenir els serveis d'informació actuals de l'ENP"/>
    <s v="*NOU. Només diu el que es fa actualment"/>
    <s v="Si"/>
    <m/>
    <x v="220"/>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5"/>
    <s v="Mantenir els serveis d'informació actuals de l'ENP"/>
    <m/>
    <m/>
    <s v="Mantenir els serveis d'informació actuals de l'ENP"/>
    <s v="*NOU. Només diu el que es fa actualment"/>
    <s v="Si"/>
    <m/>
    <x v="221"/>
    <m/>
    <m/>
    <x v="0"/>
    <x v="0"/>
  </r>
  <r>
    <x v="4"/>
    <n v="11"/>
    <s v="ORDENAR L'ÚS PÚBLIC I SOCIAL per a la protecció dels hàbitats, espècies i elements geològics"/>
    <s v="11.7"/>
    <s v="Ordenar i estandaritzar els espais d'acollida de visitants i equipaments d'ús públic, i garantir un correcte servei d'atenció i acollida dels visitants"/>
    <s v="11.7.5"/>
    <s v="Mantenir els serveis d'informació actuals de l'ENP"/>
    <m/>
    <m/>
    <s v="Mantenir els serveis d'informació actuals de l'ENP"/>
    <s v="*NOU. Només diu el que es fa actualment"/>
    <s v="Si"/>
    <m/>
    <x v="222"/>
    <m/>
    <m/>
    <x v="0"/>
    <x v="0"/>
  </r>
  <r>
    <x v="4"/>
    <n v="11"/>
    <s v="ORDENAR L'ÚS PÚBLIC I SOCIAL per a la protecció dels hàbitats, espècies i elements geològics"/>
    <s v="11.8"/>
    <s v="Garantir el compliment de la normativa dins els ENP, especialment en l'accés motoritzat, zones amb hiperfrequentació i elements amb aprofitament comercial"/>
    <s v="11.8.1"/>
    <s v="Elaborar i executar el Pla de vigilància de l’espai d'acord amb els cossos d’inspecció i seguretat"/>
    <s v="Comú"/>
    <s v="Optatiu"/>
    <s v="Elaborar i executar el Pla de vigilància de l’espai d'acord amb els cossos d’inspecció i seguretat"/>
    <m/>
    <s v="Si"/>
    <s v="MITJANA"/>
    <x v="223"/>
    <m/>
    <m/>
    <x v="0"/>
    <x v="0"/>
  </r>
  <r>
    <x v="4"/>
    <n v="11"/>
    <s v="ORDENAR L'ÚS PÚBLIC I SOCIAL per a la protecció dels hàbitats, espècies i elements geològics"/>
    <s v="11.8"/>
    <s v="Garantir el compliment de la normativa dins els ENP, especialment en l'accés motoritzat, zones amb hiperfrequentació i elements amb aprofitament comercial"/>
    <s v="11.8.1"/>
    <s v="Elaborar i executar el Pla de vigilància de l’espai d'acord amb els cossos d’inspecció i seguretat"/>
    <s v="Comú"/>
    <s v="Obligatori"/>
    <s v="Elaborar i executar el Pla de vigilància de l’espai d'acord amb els cossos d’inspecció i seguretat"/>
    <m/>
    <s v="Si"/>
    <s v="MITJANA"/>
    <x v="224"/>
    <m/>
    <m/>
    <x v="0"/>
    <x v="0"/>
  </r>
  <r>
    <x v="4"/>
    <n v="11"/>
    <s v="ORDENAR L'ÚS PÚBLIC I SOCIAL per a la protecció dels hàbitats, espècies i elements geològics"/>
    <s v="11.8"/>
    <s v="Garantir el compliment de la normativa dins els ENP, especialment en l'accés motoritzat, zones amb hiperfrequentació i elements amb aprofitament comercial"/>
    <s v="11.8.2"/>
    <s v="Millorar la coordinació amb els cossos de seguretat per efectuar accions de control i vigilància"/>
    <s v="Comú"/>
    <s v="Obligatori"/>
    <s v="Millorar la coordinació amb els cossos de seguretat per efectuar accions de control i vigilància"/>
    <m/>
    <s v="Si"/>
    <s v="MITJANA"/>
    <x v="225"/>
    <m/>
    <m/>
    <x v="0"/>
    <x v="0"/>
  </r>
  <r>
    <x v="4"/>
    <n v="11"/>
    <s v="ORDENAR L'ÚS PÚBLIC I SOCIAL per a la protecció dels hàbitats, espècies i elements geològics"/>
    <s v="11.8"/>
    <s v="Garantir el compliment de la normativa dins els ENP, especialment en l'accés motoritzat, zones amb hiperfrequentació i elements amb aprofitament comercial"/>
    <s v="11.8.2"/>
    <s v="Millorar la coordinació amb els cossos de seguretat per efectuar accions de control i vigilància"/>
    <s v="Comú"/>
    <s v="Obligatori"/>
    <s v="Millorar la coordinació amb els cossos de seguretat per efectuar accions de control i vigilància"/>
    <m/>
    <s v="Si"/>
    <s v="MITJANA"/>
    <x v="226"/>
    <m/>
    <m/>
    <x v="0"/>
    <x v="0"/>
  </r>
  <r>
    <x v="4"/>
    <n v="11"/>
    <s v="ORDENAR L'ÚS PÚBLIC I SOCIAL per a la protecció dels hàbitats, espècies i elements geològics"/>
    <s v="11.8"/>
    <s v="Garantir el compliment de la normativa dins els ENP, especialment en l'accés motoritzat, zones amb hiperfrequentació i elements amb aprofitament comercial"/>
    <s v="11.8.3"/>
    <s v="Vetllar pel compliment d'informes i la vigilància tècnica de l'espai"/>
    <s v="Comú"/>
    <s v="Obligatori"/>
    <s v="Vetllar pel compliment d'informes i la vigilància tècnica de l'espai"/>
    <s v="Solapament amb 03.1.2"/>
    <s v="No"/>
    <s v="MITJANA"/>
    <x v="4"/>
    <m/>
    <m/>
    <x v="0"/>
    <x v="0"/>
  </r>
  <r>
    <x v="4"/>
    <n v="12"/>
    <s v="GESTIONAR ELS RISCOS NATURALS per a l'autoprotecció de la població local"/>
    <s v="12.1"/>
    <s v="Col·laborar amb les autoritats competents per a la gestió de riscos dins l’ENP"/>
    <s v="12.1.1"/>
    <s v="Ordenar el pla d’emergències"/>
    <s v="Comú"/>
    <s v="Obligatori"/>
    <s v="Col·laborar en la redacció i execució dels plans d’emergències"/>
    <s v="No tenim compteències"/>
    <s v="Si"/>
    <s v="ALTA"/>
    <x v="227"/>
    <m/>
    <m/>
    <x v="0"/>
    <x v="0"/>
  </r>
  <r>
    <x v="4"/>
    <n v="12"/>
    <s v="GESTIONAR ELS RISCOS NATURALS per a l'autoprotecció de la població local"/>
    <s v="12.1"/>
    <s v="Col·laborar amb les autoritats competents per a la gestió de riscos dins l’ENP"/>
    <s v="12.1.1"/>
    <s v="Ordenar el pla d’emergències"/>
    <s v="Comú"/>
    <s v="Obligatori"/>
    <s v="Col·laborar en la redacció i execució dels plans d’emergències"/>
    <s v="No tenim competències"/>
    <s v="Si"/>
    <s v="ALTA"/>
    <x v="228"/>
    <m/>
    <m/>
    <x v="0"/>
    <x v="0"/>
  </r>
  <r>
    <x v="4"/>
    <n v="12"/>
    <s v="GESTIONAR ELS RISCOS NATURALS per a l'autoprotecció de la població local"/>
    <s v="12.1"/>
    <s v="Col·laborar amb les autoritats competents per a la gestió de riscos dins l’ENP"/>
    <s v="12.1.2"/>
    <s v="Contribuir a la protecció dels assentaments humans respecte dels riscos naturals"/>
    <s v="Comú"/>
    <s v="Obligatori"/>
    <s v="Contribuir a la protecció dels assentaments humans respecte dels riscos naturals"/>
    <s v="No tenim compteències, no hi ha riscos en assentaments humans"/>
    <s v="No"/>
    <s v="ALTA"/>
    <x v="4"/>
    <m/>
    <m/>
    <x v="0"/>
    <x v="0"/>
  </r>
  <r>
    <x v="5"/>
    <n v="13"/>
    <s v="FORMAR I SENSIBILITZAR la població incrementant la valoració i estima social de l'ENP"/>
    <s v="13.1"/>
    <s v="Afavorir la vinculació entre la comunitat educativa de l'entorn i l'ENP "/>
    <s v="13.1.1"/>
    <s v="Definir el model de Xarxa d'Escoles de l'Espai Natural (XEEN) a l'ENP amb els agents educatius del territori"/>
    <s v="Comú"/>
    <s v="Obligatori"/>
    <s v="Definir el model de Xarxa d'Escoles de l'Espai Natural (XEEN) a l'ENP amb els agents educatius del territori"/>
    <m/>
    <s v="Si"/>
    <s v="MÀXIMA"/>
    <x v="229"/>
    <m/>
    <m/>
    <x v="0"/>
    <x v="0"/>
  </r>
  <r>
    <x v="5"/>
    <n v="13"/>
    <s v="FORMAR I SENSIBILITZAR la població incrementant la valoració i estima social de l'ENP"/>
    <s v="13.1"/>
    <s v="Afavorir la vinculació entre la comunitat educativa de l'entorn i l'ENP "/>
    <s v="13.1.2"/>
    <s v="Desplegar el model de Xarxa d'Escoles de l'Espai Natural (XEEN) a l'ENP d'acord amb el model general"/>
    <s v="Comú"/>
    <s v="Obligatori"/>
    <s v="Desplegar el model de Xarxa d'Escoles de l'Espai Natural (XEEN) a l'ENP d'acord amb el model general"/>
    <m/>
    <s v="Si"/>
    <s v="MÀXIMA"/>
    <x v="230"/>
    <m/>
    <m/>
    <x v="0"/>
    <x v="0"/>
  </r>
  <r>
    <x v="5"/>
    <n v="13"/>
    <s v="FORMAR I SENSIBILITZAR la població incrementant la valoració i estima social de l'ENP"/>
    <s v="13.1"/>
    <s v="Afavorir la vinculació entre la comunitat educativa de l'entorn i l'ENP "/>
    <s v="13.1.2"/>
    <s v="Desplegar el model de Xarxa d'Escoles de l'Espai Natural (XEEN) a l'ENP d'acord amb el model general"/>
    <s v="Comú"/>
    <s v="Obligatori"/>
    <s v="Desplegar el model de Xarxa d'Escoles de l'Espai Natural (XEEN) a l'ENP d'acord amb el model general"/>
    <m/>
    <s v="Si"/>
    <s v="MÀXIMA"/>
    <x v="231"/>
    <m/>
    <m/>
    <x v="0"/>
    <x v="0"/>
  </r>
  <r>
    <x v="5"/>
    <n v="13"/>
    <s v="FORMAR I SENSIBILITZAR la població incrementant la valoració i estima social de l'ENP"/>
    <s v="13.1"/>
    <s v="Afavorir la vinculació entre la comunitat educativa de l'entorn i l'ENP "/>
    <s v="13.1.3"/>
    <s v="Formar i capacitar al professorat de la XEEN "/>
    <s v="Comú"/>
    <s v="Obligatori"/>
    <s v="Formar i capacitar al professorat de la XEEN "/>
    <m/>
    <s v="Si"/>
    <s v="MÀXIMA"/>
    <x v="232"/>
    <m/>
    <m/>
    <x v="0"/>
    <x v="0"/>
  </r>
  <r>
    <x v="5"/>
    <n v="13"/>
    <s v="FORMAR I SENSIBILITZAR la població incrementant la valoració i estima social de l'ENP"/>
    <s v="13.2"/>
    <s v="Promoure una oferta pedagògica basada en metodologies innovadores i actives que estiguin alineades amb el currículum educatiu del Departament d'Educació"/>
    <s v="13.2.1"/>
    <s v="Adaptar i millorar l'oferta pedagògica de l'ENP generant situacions d'aprenentatge i treballs per projecte"/>
    <s v="Comú"/>
    <s v="Obligatori"/>
    <s v="Adaptar i millorar l'oferta pedagògica de l'ENP generant situacions d'aprenentatge i treballs per projecte"/>
    <m/>
    <s v="Si"/>
    <s v="MÀXIMA"/>
    <x v="233"/>
    <m/>
    <m/>
    <x v="0"/>
    <x v="0"/>
  </r>
  <r>
    <x v="5"/>
    <n v="13"/>
    <s v="FORMAR I SENSIBILITZAR la població incrementant la valoració i estima social de l'ENP"/>
    <s v="13.2"/>
    <s v="Promoure una oferta pedagògica basada en metodologies innovadores i actives que estiguin alineades amb el currículum educatiu del Departament d'Educació"/>
    <s v="13.2.2"/>
    <s v="Dissenyar projectes d'ApS ambiental i Ciència ciutadana i projectes compartits amb entitats del territori que s'incloguin dins de l'oferta pedagògica."/>
    <s v="Comú"/>
    <s v="Optatiu"/>
    <s v="Dissenyar projectes d'ApS ambiental i Ciència ciutadana i projectes compartits amb entitats del territori que s'incloguin dins de l'oferta pedagògica."/>
    <m/>
    <s v="No"/>
    <s v="ALTA"/>
    <x v="4"/>
    <m/>
    <m/>
    <x v="0"/>
    <x v="0"/>
  </r>
  <r>
    <x v="5"/>
    <n v="13"/>
    <s v="FORMAR I SENSIBILITZAR la població incrementant la valoració i estima social de l'ENP"/>
    <s v="13.2"/>
    <s v="Promoure una oferta pedagògica basada en metodologies innovadores i actives que estiguin alineades amb el currículum educatiu del Departament d'Educació"/>
    <s v="13.2.3"/>
    <s v="Elaborar recursos educatius sobre l’espai (que tinguin en compte les problemàtiques singulars del seu espai) i posar-los a disposició dels centres educatius"/>
    <s v="Comú"/>
    <s v="Optatiu"/>
    <s v="Elaborar recursos educatius sobre l’espai (que tinguin en compte les problemàtiques singulars del seu espai) i posar-los a disposició dels centres educatius"/>
    <m/>
    <s v="Si"/>
    <s v="ALTA"/>
    <x v="234"/>
    <m/>
    <m/>
    <x v="0"/>
    <x v="0"/>
  </r>
  <r>
    <x v="5"/>
    <n v="13"/>
    <s v="FORMAR I SENSIBILITZAR la població incrementant la valoració i estima social de l'ENP"/>
    <s v="13.2"/>
    <s v="Promoure una oferta pedagògica basada en metodologies innovadores i actives que estiguin alineades amb el currículum educatiu del Departament d'Educació"/>
    <s v="13.2.3"/>
    <s v="Elaborar recursos educatius sobre l’espai (que tinguin en compte les problemàtiques singulars del seu espai) i posar-los a disposició dels centres educatius"/>
    <s v="Comú"/>
    <s v="Optatiu"/>
    <s v="Elaborar recursos educatius sobre l’espai (que tinguin en compte les problemàtiques singulars del seu espai) i posar-los a disposició dels centres educatius"/>
    <m/>
    <s v="Si"/>
    <s v="ALTA"/>
    <x v="235"/>
    <m/>
    <m/>
    <x v="0"/>
    <x v="0"/>
  </r>
  <r>
    <x v="5"/>
    <n v="13"/>
    <s v="FORMAR I SENSIBILITZAR la població incrementant la valoració i estima social de l'ENP"/>
    <s v="13.2"/>
    <s v="Promoure una oferta pedagògica basada en metodologies innovadores i actives que estiguin alineades amb el currículum educatiu del Departament d'Educació"/>
    <s v="13.2.4"/>
    <s v="Oferir projectes de recerca vinculats a l'espai natural per a l'alumnat universitari i de la XEEN"/>
    <s v="Comú"/>
    <s v="Optatiu"/>
    <s v="Oferir projectes de recerca vinculats a l'espai natural per a l'alumnat universitari i de la XEEN"/>
    <m/>
    <s v="Si"/>
    <s v="ALTA"/>
    <x v="236"/>
    <m/>
    <m/>
    <x v="0"/>
    <x v="0"/>
  </r>
  <r>
    <x v="5"/>
    <n v="13"/>
    <s v="FORMAR I SENSIBILITZAR la població incrementant la valoració i estima social de l'ENP"/>
    <s v="13.2"/>
    <s v="Promoure una oferta pedagògica basada en metodologies innovadores i actives que estiguin alineades amb el currículum educatiu del Departament d'Educació"/>
    <s v="13.2.5"/>
    <s v="Desplegar el Pla estratègic 2021-2030 d’educació i voluntariat ambiental del Parc Natural dels Ports (PEEVA): Educació ambiental"/>
    <s v="Comú"/>
    <s v="Obligatori"/>
    <s v="Desplegar el Pla estratègic 2021-2030 d’educació i voluntariat ambiental del Parc Natural dels Ports (PEEVA): Educació ambiental"/>
    <m/>
    <s v="Si"/>
    <s v="ALTA"/>
    <x v="237"/>
    <m/>
    <m/>
    <x v="0"/>
    <x v="0"/>
  </r>
  <r>
    <x v="5"/>
    <n v="13"/>
    <s v="FORMAR I SENSIBILITZAR la població incrementant la valoració i estima social de l'ENP"/>
    <s v="13.2"/>
    <s v="Promoure una oferta pedagògica basada en metodologies innovadores i actives que estiguin alineades amb el currículum educatiu del Departament d'Educació"/>
    <s v="13.2.5"/>
    <s v="Desplegar el Pla estratègic 2021-2030 d’educació i voluntariat ambiental del Parc Natural dels Ports (PEEVA): Educació ambiental"/>
    <s v="Comú"/>
    <s v="Obligatori"/>
    <s v="Desplegar el Pla estratègic 2021-2030 d’educació i voluntariat ambiental del Parc Natural dels Ports (PEEVA): Educació ambiental"/>
    <m/>
    <s v="Si"/>
    <s v="ALTA"/>
    <x v="238"/>
    <m/>
    <m/>
    <x v="0"/>
    <x v="0"/>
  </r>
  <r>
    <x v="5"/>
    <n v="13"/>
    <s v="FORMAR I SENSIBILITZAR la població incrementant la valoració i estima social de l'ENP"/>
    <s v="13.2"/>
    <s v="Promoure una oferta pedagògica basada en metodologies innovadores i actives que estiguin alineades amb el currículum educatiu del Departament d'Educació"/>
    <s v="13.2.5"/>
    <s v="Desplegar el Pla estratègic 2021-2030 d’educació i voluntariat ambiental del Parc Natural dels Ports (PEEVA): Educació ambiental"/>
    <s v="Comú"/>
    <s v="Obligatori"/>
    <s v="Desplegar el Pla estratègic 2021-2030 d’educació i voluntariat ambiental del Parc Natural dels Ports (PEEVA): Educació ambiental"/>
    <m/>
    <s v="Si"/>
    <s v="ALTA"/>
    <x v="239"/>
    <m/>
    <m/>
    <x v="0"/>
    <x v="0"/>
  </r>
  <r>
    <x v="5"/>
    <n v="13"/>
    <s v="FORMAR I SENSIBILITZAR la població incrementant la valoració i estima social de l'ENP"/>
    <s v="13.2"/>
    <s v="Promoure una oferta pedagògica basada en metodologies innovadores i actives que estiguin alineades amb el currículum educatiu del Departament d'Educació"/>
    <s v="13.2.5"/>
    <s v="Desplegar el Pla estratègic 2021-2030 d’educació i voluntariat ambiental del Parc Natural dels Ports (PEEVA): Educació ambiental"/>
    <s v="Comú"/>
    <s v="Obligatori"/>
    <s v="Desplegar el Pla estratègic 2021-2030 d’educació i voluntariat ambiental del Parc Natural dels Ports (PEEVA): Educació ambiental"/>
    <m/>
    <s v="Si"/>
    <s v="ALTA"/>
    <x v="240"/>
    <m/>
    <m/>
    <x v="0"/>
    <x v="0"/>
  </r>
  <r>
    <x v="5"/>
    <n v="13"/>
    <s v="FORMAR I SENSIBILITZAR la població incrementant la valoració i estima social de l'ENP"/>
    <s v="13.2"/>
    <s v="Promoure una oferta pedagògica basada en metodologies innovadores i actives que estiguin alineades amb el currículum educatiu del Departament d'Educació"/>
    <s v="13.2.5"/>
    <s v="Desplegar el Pla estratègic 2021-2030 d’educació i voluntariat ambiental del Parc Natural dels Ports (PEEVA): Educació ambiental"/>
    <s v="Comú"/>
    <s v="Obligatori"/>
    <s v="Desplegar el Pla estratègic 2021-2030 d’educació i voluntariat ambiental del Parc Natural dels Ports (PEEVA): Educació ambiental"/>
    <m/>
    <s v="Si"/>
    <s v="ALTA"/>
    <x v="241"/>
    <m/>
    <m/>
    <x v="0"/>
    <x v="0"/>
  </r>
  <r>
    <x v="5"/>
    <n v="13"/>
    <s v="FORMAR I SENSIBILITZAR la població incrementant la valoració i estima social de l'ENP"/>
    <s v="13.2"/>
    <s v="Promoure una oferta pedagògica basada en metodologies innovadores i actives que estiguin alineades amb el currículum educatiu del Departament d'Educació"/>
    <s v="13.2.5"/>
    <s v="Desplegar el Pla estratègic 2021-2030 d’educació i voluntariat ambiental del Parc Natural dels Ports (PEEVA): Educació ambiental"/>
    <s v="Comú"/>
    <s v="Obligatori"/>
    <s v="Desplegar el Pla estratègic 2021-2030 d’educació i voluntariat ambiental del Parc Natural dels Ports (PEEVA): Educació ambiental"/>
    <m/>
    <s v="Si"/>
    <s v="ALTA"/>
    <x v="242"/>
    <m/>
    <m/>
    <x v="0"/>
    <x v="0"/>
  </r>
  <r>
    <x v="5"/>
    <n v="13"/>
    <s v="FORMAR I SENSIBILITZAR la població incrementant la valoració i estima social de l'ENP"/>
    <s v="13.3"/>
    <s v="Establir mecanismes estables de formació, treball i coordinació amb els col·lectius implicats en la sensibilització i l'educació dins el ENP"/>
    <s v="13.3.1"/>
    <s v="Establir un model de coordinació territorial amb agents clau de l'educació ambiental"/>
    <s v="Comú"/>
    <s v="Obligatori"/>
    <s v="Establir un model de coordinació territorial amb agents clau de l'educació ambiental"/>
    <m/>
    <s v="Si"/>
    <s v="MÀXIMA"/>
    <x v="243"/>
    <m/>
    <m/>
    <x v="0"/>
    <x v="0"/>
  </r>
  <r>
    <x v="5"/>
    <n v="13"/>
    <s v="FORMAR I SENSIBILITZAR la població incrementant la valoració i estima social de l'ENP"/>
    <s v="13.3"/>
    <s v="Establir mecanismes estables de formació, treball i coordinació amb els col·lectius implicats en la sensibilització i l'educació dins el ENP"/>
    <s v="13.3.1"/>
    <s v="Establir un model de coordinació territorial amb agents clau de l'educació ambiental"/>
    <s v="Comú"/>
    <s v="Obligatori"/>
    <s v="Establir un model de coordinació territorial amb agents clau de l'educació ambiental"/>
    <m/>
    <s v="Si"/>
    <s v="MÀXIMA"/>
    <x v="244"/>
    <m/>
    <m/>
    <x v="0"/>
    <x v="0"/>
  </r>
  <r>
    <x v="5"/>
    <n v="13"/>
    <s v="FORMAR I SENSIBILITZAR la població incrementant la valoració i estima social de l'ENP"/>
    <s v="13.3"/>
    <s v="Establir mecanismes estables de formació, treball i coordinació amb els col·lectius implicats en la sensibilització i l'educació dins el ENP"/>
    <s v="13.3.2"/>
    <s v="Cercar i establir col·laboracions i projectes conjunts amb agents clau del territori"/>
    <s v="Comú"/>
    <s v="Obligatori"/>
    <s v="Cercar i establir col·laboracions i projectes conjunts amb agents clau del territori"/>
    <m/>
    <s v="No"/>
    <s v="MÀXIMA"/>
    <x v="245"/>
    <m/>
    <m/>
    <x v="0"/>
    <x v="0"/>
  </r>
  <r>
    <x v="5"/>
    <n v="13"/>
    <s v="FORMAR I SENSIBILITZAR la població incrementant la valoració i estima social de l'ENP"/>
    <s v="13.3"/>
    <s v="Establir mecanismes estables de formació, treball i coordinació amb els col·lectius implicats en la sensibilització i l'educació dins el ENP"/>
    <s v="13.3.2"/>
    <s v="Cercar i establir col·laboracions i projectes conjunts amb agents clau del territori"/>
    <s v="Comú"/>
    <s v="Obligatori"/>
    <s v="Cercar i establir col·laboracions i projectes conjunts amb agents clau del territori"/>
    <m/>
    <s v="No"/>
    <s v="MÀXIMA"/>
    <x v="246"/>
    <m/>
    <m/>
    <x v="0"/>
    <x v="0"/>
  </r>
  <r>
    <x v="5"/>
    <n v="13"/>
    <s v="FORMAR I SENSIBILITZAR la població incrementant la valoració i estima social de l'ENP"/>
    <s v="13.3"/>
    <s v="Establir mecanismes estables de formació, treball i coordinació amb els col·lectius implicats en la sensibilització i l'educació dins el ENP"/>
    <s v="13.3.2"/>
    <s v="Cercar i establir col·laboracions i projectes conjunts amb agents clau del territori"/>
    <s v="Comú"/>
    <s v="Obligatori"/>
    <s v="Cercar i establir col·laboracions i projectes conjunts amb agents clau del territori"/>
    <m/>
    <s v="Si"/>
    <s v="MÀXIMA"/>
    <x v="247"/>
    <m/>
    <m/>
    <x v="0"/>
    <x v="0"/>
  </r>
  <r>
    <x v="5"/>
    <n v="13"/>
    <s v="FORMAR I SENSIBILITZAR la població incrementant la valoració i estima social de l'ENP"/>
    <s v="13.3"/>
    <s v="Establir mecanismes estables de formació, treball i coordinació amb els col·lectius implicats en la sensibilització i l'educació dins el ENP"/>
    <s v="13.3.3"/>
    <s v="Elaborar formacions dirigides als informadors, educadors i altres prescriptors del territori"/>
    <s v="Comú"/>
    <s v="Obligatori"/>
    <s v="Elaborar formacions dirigides als informadors, educadors i altres prescriptors del territori"/>
    <m/>
    <s v="Si"/>
    <s v="MÀXIMA"/>
    <x v="248"/>
    <m/>
    <m/>
    <x v="0"/>
    <x v="0"/>
  </r>
  <r>
    <x v="5"/>
    <n v="13"/>
    <s v="FORMAR I SENSIBILITZAR la població incrementant la valoració i estima social de l'ENP"/>
    <s v="13.3"/>
    <s v="Establir mecanismes estables de formació, treball i coordinació amb els col·lectius implicats en la sensibilització i l'educació dins el ENP"/>
    <s v="13.3.3"/>
    <s v="Elaborar formacions dirigides als informadors, educadors i altres prescriptors del territori"/>
    <s v="Comú"/>
    <s v="Obligatori"/>
    <s v="Elaborar formacions dirigides als informadors, educadors i altres prescriptors del territori"/>
    <m/>
    <s v="Si"/>
    <s v="MÀXIMA"/>
    <x v="249"/>
    <m/>
    <m/>
    <x v="0"/>
    <x v="0"/>
  </r>
  <r>
    <x v="5"/>
    <n v="13"/>
    <s v="FORMAR I SENSIBILITZAR la població incrementant la valoració i estima social de l'ENP"/>
    <s v="13.3"/>
    <s v="Establir mecanismes estables de formació, treball i coordinació amb els col·lectius implicats en la sensibilització i l'educació dins el ENP"/>
    <s v="13.3.3"/>
    <s v="Elaborar formacions dirigides als informadors, educadors i altres prescriptors del territori"/>
    <s v="Comú"/>
    <s v="Obligatori"/>
    <s v="Elaborar formacions dirigides als informadors, educadors i altres prescriptors del territori"/>
    <m/>
    <s v="Si"/>
    <s v="MÀXIMA"/>
    <x v="4"/>
    <s v=": Curs Mas de Burot + Curs NaturWalks d'Evarist March???"/>
    <m/>
    <x v="14"/>
    <x v="0"/>
  </r>
  <r>
    <x v="5"/>
    <n v="13"/>
    <s v="FORMAR I SENSIBILITZAR la població incrementant la valoració i estima social de l'ENP"/>
    <s v="13.3"/>
    <s v="Establir mecanismes estables de formació, treball i coordinació amb els col·lectius implicats en la sensibilització i l'educació dins el ENP"/>
    <s v="13.3.3"/>
    <s v="Elaborar formacions dirigides als informadors, educadors i altres prescriptors del territori"/>
    <s v="Comú"/>
    <s v="Obligatori"/>
    <s v="Elaborar formacions dirigides als informadors, educadors i altres prescriptors del territori"/>
    <m/>
    <s v="Si"/>
    <s v="MÀXIMA"/>
    <x v="250"/>
    <m/>
    <m/>
    <x v="0"/>
    <x v="0"/>
  </r>
  <r>
    <x v="5"/>
    <n v="13"/>
    <s v="FORMAR I SENSIBILITZAR la població incrementant la valoració i estima social de l'ENP"/>
    <s v="13.3"/>
    <s v="Establir mecanismes estables de formació, treball i coordinació amb els col·lectius implicats en la sensibilització i l'educació dins el ENP"/>
    <s v="13.3.3"/>
    <s v="Elaborar formacions dirigides als informadors, educadors i altres prescriptors del territori"/>
    <s v="Comú"/>
    <s v="Obligatori"/>
    <s v="Elaborar formacions dirigides als informadors, educadors i altres prescriptors del territori"/>
    <m/>
    <s v="Si"/>
    <s v="MÀXIMA"/>
    <x v="251"/>
    <m/>
    <m/>
    <x v="0"/>
    <x v="0"/>
  </r>
  <r>
    <x v="5"/>
    <n v="13"/>
    <s v="FORMAR I SENSIBILITZAR la població incrementant la valoració i estima social de l'ENP"/>
    <s v="13.3"/>
    <s v="Establir mecanismes estables de formació, treball i coordinació amb els col·lectius implicats en la sensibilització i l'educació dins el ENP"/>
    <s v="13.3.3"/>
    <s v="Elaborar formacions dirigides als informadors, educadors i altres prescriptors del territori"/>
    <s v="Comú"/>
    <s v="Obligatori"/>
    <s v="Elaborar formacions dirigides als informadors, educadors i altres prescriptors del territori"/>
    <m/>
    <s v="No"/>
    <s v="MÀXIMA"/>
    <x v="4"/>
    <s v=" Llibre de Llobet?"/>
    <m/>
    <x v="15"/>
    <x v="0"/>
  </r>
  <r>
    <x v="5"/>
    <n v="13"/>
    <s v="FORMAR I SENSIBILITZAR la població incrementant la valoració i estima social de l'ENP"/>
    <s v="13.4"/>
    <s v="Desplegar un programa de divulgació i sensibilització per a visitants"/>
    <s v="13.4.1"/>
    <s v="Desplegar en el territori les campanyes de sensibilització i bones pràctiques que s'impulsin des de la DG"/>
    <s v="Comú"/>
    <s v="Obligatori"/>
    <s v="Desplegar en el territori les campanyes de sensibilització i bones pràctiques que s'impulsin des de la DG"/>
    <m/>
    <s v="Si"/>
    <s v="MÀXIMA"/>
    <x v="252"/>
    <m/>
    <m/>
    <x v="0"/>
    <x v="0"/>
  </r>
  <r>
    <x v="5"/>
    <n v="13"/>
    <s v="FORMAR I SENSIBILITZAR la població incrementant la valoració i estima social de l'ENP"/>
    <s v="13.4"/>
    <s v="Desplegar un programa de divulgació i sensibilització per a visitants"/>
    <s v="13.4.1"/>
    <s v="Desplegar en el territori les campanyes de sensibilització i bones pràctiques que s'impulsin des de la DG"/>
    <s v="Comú"/>
    <s v="Obligatori"/>
    <s v="Desplegar en el territori les campanyes de sensibilització i bones pràctiques que s'impulsin des de la DG"/>
    <m/>
    <s v="Si"/>
    <m/>
    <x v="253"/>
    <m/>
    <m/>
    <x v="0"/>
    <x v="0"/>
  </r>
  <r>
    <x v="5"/>
    <n v="13"/>
    <s v="FORMAR I SENSIBILITZAR la població incrementant la valoració i estima social de l'ENP"/>
    <s v="13.4"/>
    <s v="Desplegar un programa de divulgació i sensibilització per a visitants"/>
    <s v="13.4.2"/>
    <s v="Adaptar el programa de divulgació i sensibilització de l'ENP perquè incorpori una oferta d’activitats adequada per a famílies "/>
    <s v="Comú"/>
    <s v="Optatiu"/>
    <s v="Adaptar el programa de divulgació i sensibilització de l'ENP perquè incorpori una oferta d’activitats adequada per a famílies "/>
    <m/>
    <s v="Si"/>
    <s v="ALTA"/>
    <x v="254"/>
    <m/>
    <m/>
    <x v="0"/>
    <x v="0"/>
  </r>
  <r>
    <x v="5"/>
    <n v="13"/>
    <s v="FORMAR I SENSIBILITZAR la població incrementant la valoració i estima social de l'ENP"/>
    <s v="13.4"/>
    <s v="Desplegar un programa de divulgació i sensibilització per a visitants"/>
    <s v="13.4.3"/>
    <s v="Adaptar el programa de divulgació i sensibilització de l'ENP perquè incorpori una oferta d’activitats adequada per a altres perfils "/>
    <m/>
    <m/>
    <s v="Adaptar el programa de divulgació i sensibilització de l'ENP perquè incorpori una oferta d’activitats adequada per a altres perfils "/>
    <m/>
    <s v="Si"/>
    <m/>
    <x v="255"/>
    <m/>
    <m/>
    <x v="0"/>
    <x v="0"/>
  </r>
  <r>
    <x v="5"/>
    <n v="13"/>
    <s v="FORMAR I SENSIBILITZAR la població incrementant la valoració i estima social de l'ENP"/>
    <s v="13.4"/>
    <s v="Desplegar un programa de divulgació i sensibilització per a visitants"/>
    <s v="13.4.3"/>
    <s v="Adaptar el programa de divulgació i sensibilització de l'ENP perquè incorpori una oferta d’activitats adequada per a altres perfils "/>
    <m/>
    <m/>
    <s v="Adaptar el programa de divulgació i sensibilització de l'ENP perquè incorpori una oferta d’activitats adequada per a altres perfils "/>
    <m/>
    <s v="No"/>
    <m/>
    <x v="4"/>
    <m/>
    <m/>
    <x v="16"/>
    <x v="0"/>
  </r>
  <r>
    <x v="5"/>
    <n v="13"/>
    <s v="FORMAR I SENSIBILITZAR la població incrementant la valoració i estima social de l'ENP"/>
    <s v="13.4"/>
    <s v="Desplegar un programa de divulgació i sensibilització per a visitants"/>
    <s v="13.4.3"/>
    <s v="Adaptar el programa de divulgació i sensibilització de l'ENP perquè incorpori una oferta d’activitats adequada per a altres perfils "/>
    <m/>
    <m/>
    <s v="Adaptar el programa de divulgació i sensibilització de l'ENP perquè incorpori una oferta d’activitats adequada per a altres perfils "/>
    <m/>
    <s v="Si"/>
    <m/>
    <x v="256"/>
    <m/>
    <m/>
    <x v="0"/>
    <x v="0"/>
  </r>
  <r>
    <x v="5"/>
    <n v="13"/>
    <s v="FORMAR I SENSIBILITZAR la població incrementant la valoració i estima social de l'ENP"/>
    <s v="13.4"/>
    <s v="Desplegar un programa de divulgació i sensibilització per a visitants"/>
    <s v="13.4.4"/>
    <s v="Adaptar el programa de divulgació i sensibilització de l'ENP perquè incorpori una oferta d’activitats dirigida al lleure educatiu "/>
    <s v="Comú"/>
    <s v="Optatiu"/>
    <s v="Adaptar el programa de divulgació i sensibilització de l'ENP perquè incorpori una oferta d’activitats dirigida al lleure educatiu "/>
    <m/>
    <s v="Si"/>
    <s v="ALTA"/>
    <x v="257"/>
    <m/>
    <m/>
    <x v="0"/>
    <x v="0"/>
  </r>
  <r>
    <x v="5"/>
    <n v="13"/>
    <s v="FORMAR I SENSIBILITZAR la població incrementant la valoració i estima social de l'ENP"/>
    <s v="13.4"/>
    <s v="Desplegar un programa de divulgació i sensibilització per a visitants"/>
    <s v="13.4.4"/>
    <s v="Adaptar el programa de divulgació i sensibilització de l'ENP perquè incorpori una oferta d’activitats dirigida al lleure educatiu "/>
    <s v="Comú"/>
    <s v="Optatiu"/>
    <s v="Adaptar el programa de divulgació i sensibilització de l'ENP perquè incorpori una oferta d’activitats dirigida al lleure educatiu "/>
    <m/>
    <s v="Si"/>
    <s v="ALTA"/>
    <x v="258"/>
    <m/>
    <m/>
    <x v="0"/>
    <x v="0"/>
  </r>
  <r>
    <x v="5"/>
    <n v="13"/>
    <s v="FORMAR I SENSIBILITZAR la població incrementant la valoració i estima social de l'ENP"/>
    <s v="13.5"/>
    <s v="Desplegar un programa de sensibilització i formació per als col·lectius del territori estratègics en la conservació de la natura"/>
    <s v="13.5.1"/>
    <s v="Identificar col·lectius estratègics implicats en la gestió i l'ús del territori"/>
    <s v="Comú"/>
    <s v="Obligatori"/>
    <s v="Identificar col·lectius estratègics implicats en la gestió i l'ús del territori"/>
    <m/>
    <s v="No"/>
    <m/>
    <x v="4"/>
    <s v="Parlem-ne"/>
    <m/>
    <x v="17"/>
    <x v="0"/>
  </r>
  <r>
    <x v="5"/>
    <n v="13"/>
    <s v="FORMAR I SENSIBILITZAR la població incrementant la valoració i estima social de l'ENP"/>
    <s v="13.5"/>
    <s v="Desplegar un programa de sensibilització i formació per als col·lectius del territori estratègics en la conservació de la natura"/>
    <s v="13.5.2"/>
    <s v="Executar els projectes de sensibilització i formació dirigits al sector turístic, esportiu i de lleure"/>
    <s v="Comú"/>
    <s v="Optatiu"/>
    <s v="Executar els projectes de sensibilització i formació dirigits al sector esportiu"/>
    <s v="La resta de sectors ja estan inclosos en altres Ops"/>
    <s v="No"/>
    <s v="ALTA"/>
    <x v="4"/>
    <m/>
    <m/>
    <x v="0"/>
    <x v="0"/>
  </r>
  <r>
    <x v="5"/>
    <n v="13"/>
    <s v="FORMAR I SENSIBILITZAR la població incrementant la valoració i estima social de l'ENP"/>
    <s v="13.5"/>
    <s v="Desplegar un programa de sensibilització i formació per als col·lectius del territori estratègics en la conservació de la natura"/>
    <s v="13.5.3"/>
    <s v="Executar els projectes de sensibilització i formació dirigits als agents de lleure educatiu "/>
    <s v="Comú"/>
    <s v="Optatiu"/>
    <s v="Executar els projectes de sensibilització i formació dirigits als agents de lleure educatiu "/>
    <s v="Eliminar: se solapa amb 'Op 13.4.4"/>
    <s v="No"/>
    <s v="ALTA"/>
    <x v="4"/>
    <m/>
    <m/>
    <x v="0"/>
    <x v="0"/>
  </r>
  <r>
    <x v="5"/>
    <n v="13"/>
    <s v="FORMAR I SENSIBILITZAR la població incrementant la valoració i estima social de l'ENP"/>
    <s v="13.5"/>
    <s v="Desplegar un programa de sensibilització i formació per als col·lectius del territori estratègics en la conservació de la natura"/>
    <s v="13.5.4"/>
    <s v="Executar els projectes de sensibilització i formació dirigits als agents del sector primari "/>
    <s v="Comú"/>
    <s v="Optatiu"/>
    <s v="Executar els projectes de sensibilització i formació dirigits als agents del sector primari "/>
    <m/>
    <s v="No"/>
    <s v="ALTA"/>
    <x v="4"/>
    <s v="No ho hem emprés mai."/>
    <m/>
    <x v="18"/>
    <x v="0"/>
  </r>
  <r>
    <x v="5"/>
    <n v="13"/>
    <s v="FORMAR I SENSIBILITZAR la població incrementant la valoració i estima social de l'ENP"/>
    <s v="13.5"/>
    <s v="Desplegar un programa de sensibilització i formació per als col·lectius del territori estratègics en la conservació de la natura"/>
    <s v="13.5.5"/>
    <s v="Elaborar i renovar periòdicament un programa d’educació ambiental adreçat a la població local que contribueixi a fomentar el sentiment de pertinença i la implicació en la conservació de l'ENP"/>
    <s v="Comú"/>
    <s v="Obligatori"/>
    <s v="Elaborar i renovar periòdicament un programa d’educació ambiental adreçat a la població local que contribueixi a fomentar el sentiment de pertinença i la implicació en la conservació de l'ENP"/>
    <m/>
    <s v="No"/>
    <s v="MÀXIMA"/>
    <x v="4"/>
    <m/>
    <m/>
    <x v="19"/>
    <x v="0"/>
  </r>
  <r>
    <x v="5"/>
    <n v="13"/>
    <s v="FORMAR I SENSIBILITZAR la població incrementant la valoració i estima social de l'ENP"/>
    <s v="13.5"/>
    <s v="Desplegar un programa de sensibilització i formació per als col·lectius del territori estratègics en la conservació de la natura"/>
    <s v="13.5.5"/>
    <s v="Elaborar i renovar periòdicament un programa d’educació ambiental adreçat a la població local que contribueixi a fomentar el sentiment de pertinença i la implicació en la conservació de l'ENP"/>
    <s v="Comú"/>
    <s v="Obligatori"/>
    <s v="Elaborar i renovar periòdicament un programa d’educació ambiental adreçat a la població local que contribueixi a fomentar el sentiment de pertinença i la implicació en la conservació de l'ENP"/>
    <m/>
    <s v="Si"/>
    <s v="MÀXIMA"/>
    <x v="259"/>
    <m/>
    <s v="No acaba de quedar clar quina relació té amb el nom de l'OP"/>
    <x v="0"/>
    <x v="0"/>
  </r>
  <r>
    <x v="5"/>
    <n v="13"/>
    <s v="FORMAR I SENSIBILITZAR la població incrementant la valoració i estima social de l'ENP"/>
    <s v="13.5"/>
    <s v="Desplegar un programa de sensibilització i formació per als col·lectius del territori estratègics en la conservació de la natura"/>
    <s v="13.5.5"/>
    <s v="Elaborar i renovar periòdicament un programa d’educació ambiental adreçat a la població local que contribueixi a fomentar el sentiment de pertinença i la implicació en la conservació de l'ENP"/>
    <s v="Comú"/>
    <s v="Obligatori"/>
    <s v="Elaborar i renovar periòdicament un programa d’educació ambiental adreçat a la població local que contribueixi a fomentar el sentiment de pertinença i la implicació en la conservació de l'ENP"/>
    <m/>
    <s v="Si"/>
    <s v="MÀXIMA"/>
    <x v="260"/>
    <m/>
    <m/>
    <x v="0"/>
    <x v="0"/>
  </r>
  <r>
    <x v="5"/>
    <n v="13"/>
    <s v="FORMAR I SENSIBILITZAR la població incrementant la valoració i estima social de l'ENP"/>
    <s v="13.5"/>
    <s v="Desplegar un programa de sensibilització i formació per als col·lectius del territori estratègics en la conservació de la natura"/>
    <s v="13.5.5"/>
    <s v="Elaborar i renovar periòdicament un programa d’educació ambiental adreçat a la població local que contribueixi a fomentar el sentiment de pertinença i la implicació en la conservació de l'ENP"/>
    <s v="Comú"/>
    <s v="Obligatori"/>
    <s v="Elaborar i renovar periòdicament un programa d’educació ambiental adreçat a la població local que contribueixi a fomentar el sentiment de pertinença i la implicació en la conservació de l'ENP"/>
    <m/>
    <s v="Si"/>
    <s v="MÀXIMA"/>
    <x v="261"/>
    <m/>
    <m/>
    <x v="0"/>
    <x v="0"/>
  </r>
  <r>
    <x v="5"/>
    <n v="13"/>
    <s v="FORMAR I SENSIBILITZAR la població incrementant la valoració i estima social de l'ENP"/>
    <s v="13.5"/>
    <s v="Desplegar un programa de sensibilització i formació per als col·lectius del territori estratègics en la conservació de la natura"/>
    <s v="13.5.5"/>
    <s v="Elaborar i renovar periòdicament un programa d’educació ambiental adreçat a la població local que contribueixi a fomentar el sentiment de pertinença i la implicació en la conservació de l'ENP"/>
    <s v="Comú"/>
    <s v="Obligatori"/>
    <s v="Elaborar i renovar periòdicament un programa d’educació ambiental adreçat a la població local que contribueixi a fomentar el sentiment de pertinença i la implicació en la conservació de l'ENP"/>
    <m/>
    <s v="Si"/>
    <s v="MÀXIMA"/>
    <x v="4"/>
    <m/>
    <m/>
    <x v="20"/>
    <x v="0"/>
  </r>
  <r>
    <x v="5"/>
    <n v="13"/>
    <s v="FORMAR I SENSIBILITZAR la població incrementant la valoració i estima social de l'ENP"/>
    <s v="13.6"/>
    <s v="Fomentar accions de voluntariat per conservar el patrimoni natural i cultural "/>
    <s v="13.6.1"/>
    <s v="Identificar els programes, projectes i accions en marxa o previstos a l’ENP que poden rebre el suport del voluntariat"/>
    <s v="Comú"/>
    <s v="Obligatori"/>
    <s v="Identificar els programes, projectes i accions en marxa o previstos a l’ENP que poden rebre el suport del voluntariat"/>
    <m/>
    <s v="Si"/>
    <s v="MÀXIMA"/>
    <x v="262"/>
    <m/>
    <m/>
    <x v="0"/>
    <x v="0"/>
  </r>
  <r>
    <x v="5"/>
    <n v="13"/>
    <s v="FORMAR I SENSIBILITZAR la població incrementant la valoració i estima social de l'ENP"/>
    <s v="13.6"/>
    <s v="Fomentar accions de voluntariat per conservar el patrimoni natural i cultural "/>
    <s v="13.6.2"/>
    <s v="Establir un model de coordinació territorial amb agents clau del voluntariat ambiental"/>
    <s v="Comú"/>
    <s v="Obligatori"/>
    <s v="Establir un model de coordinació territorial amb agents clau del voluntariat ambiental"/>
    <m/>
    <s v="No"/>
    <s v="ALTA"/>
    <x v="263"/>
    <m/>
    <m/>
    <x v="0"/>
    <x v="0"/>
  </r>
  <r>
    <x v="5"/>
    <n v="13"/>
    <s v="FORMAR I SENSIBILITZAR la població incrementant la valoració i estima social de l'ENP"/>
    <s v="13.6"/>
    <s v="Fomentar accions de voluntariat per conservar el patrimoni natural i cultural "/>
    <s v="13.6.3"/>
    <s v="Desplegar el Pla estratègic 2021-2030 d’educació i voluntariat ambiental del Parc Natural dels Ports (PEEVA): Voluntariat"/>
    <s v="Comú"/>
    <s v="Obligatori"/>
    <s v="Desplegar el Pla estratègic 2021-2030 d’educació i voluntariat ambiental del Parc Natural dels Ports (PEEVA): Voluntariat"/>
    <m/>
    <s v="Si"/>
    <m/>
    <x v="264"/>
    <m/>
    <m/>
    <x v="0"/>
    <x v="0"/>
  </r>
  <r>
    <x v="5"/>
    <n v="13"/>
    <s v="FORMAR I SENSIBILITZAR la població incrementant la valoració i estima social de l'ENP"/>
    <s v="13.6"/>
    <s v="Fomentar accions de voluntariat per conservar el patrimoni natural i cultural "/>
    <s v="13.6.3"/>
    <s v="Desplegar el Pla estratègic 2021-2030 d’educació i voluntariat ambiental del Parc Natural dels Ports (PEEVA): Voluntariat"/>
    <s v="Comú"/>
    <s v="Obligatori"/>
    <s v="Desplegar el Pla estratègic 2021-2030 d’educació i voluntariat ambiental del Parc Natural dels Ports (PEEVA): Voluntariat"/>
    <m/>
    <s v="Si"/>
    <m/>
    <x v="265"/>
    <m/>
    <m/>
    <x v="0"/>
    <x v="0"/>
  </r>
  <r>
    <x v="5"/>
    <n v="13"/>
    <s v="FORMAR I SENSIBILITZAR la població incrementant la valoració i estima social de l'ENP"/>
    <s v="13.6"/>
    <s v="Fomentar accions de voluntariat per conservar el patrimoni natural i cultural "/>
    <s v="13.6.3"/>
    <s v="Desplegar el Pla estratègic 2021-2030 d’educació i voluntariat ambiental del Parc Natural dels Ports (PEEVA): Voluntariat"/>
    <s v="Comú"/>
    <s v="Obligatori"/>
    <s v="Desplegar el Pla estratègic 2021-2030 d’educació i voluntariat ambiental del Parc Natural dels Ports (PEEVA): Voluntariat"/>
    <m/>
    <s v="Si"/>
    <m/>
    <x v="266"/>
    <m/>
    <m/>
    <x v="0"/>
    <x v="0"/>
  </r>
  <r>
    <x v="5"/>
    <n v="13"/>
    <s v="FORMAR I SENSIBILITZAR la població incrementant la valoració i estima social de l'ENP"/>
    <s v="13.7"/>
    <s v="Treballar per a la universalitat de les accions d’educació, sensibilització i voluntariat ambiental "/>
    <s v="13.7.1"/>
    <s v="Dissenyar i adaptar activitats inclusives per a persones amb necessitats específiques"/>
    <s v="Comú"/>
    <s v="Obligatori"/>
    <s v="Dissenyar i adaptar activitats inclusives per a persones amb necessitats específiques"/>
    <m/>
    <s v="Si"/>
    <s v="MITJANA"/>
    <x v="267"/>
    <s v="Activitats amb Joelettes, diagnosi de l'ús dels nostres itineraris per part de Joëlette"/>
    <m/>
    <x v="0"/>
    <x v="0"/>
  </r>
  <r>
    <x v="5"/>
    <n v="13"/>
    <s v="FORMAR I SENSIBILITZAR la població incrementant la valoració i estima social de l'ENP"/>
    <s v="13.7"/>
    <s v="Treballar per a la universalitat de les accions d’educació, sensibilització i voluntariat ambiental "/>
    <s v="13.7.2"/>
    <s v="Formar el personal de l'ENP (informadors i personal que treballa de cara al públic) en accessibilitat, diversitat funcional i diversitat de gènere"/>
    <s v="Comú"/>
    <s v="Optatiu"/>
    <s v="Formar el personal de l'ENP (informadors i personal que treballa de cara al públic) en accessibilitat, diversitat funcional i diversitat de gènere"/>
    <m/>
    <s v="Si"/>
    <s v="ALTA"/>
    <x v="268"/>
    <s v="A valorar??? Repetir formació de SEO/BirdLife"/>
    <m/>
    <x v="21"/>
    <x v="0"/>
  </r>
  <r>
    <x v="5"/>
    <n v="13"/>
    <s v="FORMAR I SENSIBILITZAR la població incrementant la valoració i estima social de l'ENP"/>
    <s v="13.7"/>
    <s v="Treballar per a la universalitat de les accions d’educació, sensibilització i voluntariat ambiental "/>
    <s v="13.7.3"/>
    <s v="Incorporar la perspectiva de gènere als continguts i activitats de l'ENP"/>
    <s v="Comú"/>
    <s v="Obligatori"/>
    <s v="Incorporar la perspectiva de gènere als continguts i activitats de l'ENP"/>
    <m/>
    <s v="Si"/>
    <s v="ALTA"/>
    <x v="269"/>
    <m/>
    <m/>
    <x v="0"/>
    <x v="0"/>
  </r>
  <r>
    <x v="5"/>
    <n v="13"/>
    <s v="FORMAR I SENSIBILITZAR la població incrementant la valoració i estima social de l'ENP"/>
    <s v="13.8"/>
    <s v="Desplegar i adaptar el programa Salut i Natura de la DG en l'àmbit de l'ENP"/>
    <s v="13.8.1"/>
    <s v="Dissenyar, implementar i fomentar itineraris saludables dins dels itineraris oficials dels ENP i en la zona d'influència"/>
    <s v="Comú"/>
    <s v="Optatiu"/>
    <s v="Dissenyar, implementar i fomentar itineraris saludables dins dels itineraris oficials dels ENP i en la zona d'influència"/>
    <m/>
    <s v="Si"/>
    <s v="ALTA"/>
    <x v="4"/>
    <s v=": Mas de Corretja? i Roca Llisa?"/>
    <m/>
    <x v="22"/>
    <x v="0"/>
  </r>
  <r>
    <x v="5"/>
    <n v="13"/>
    <s v="FORMAR I SENSIBILITZAR la població incrementant la valoració i estima social de l'ENP"/>
    <s v="13.8"/>
    <s v="Desplegar i adaptar el programa Salut i Natura de la DG en l'àmbit de l'ENP"/>
    <s v="13.8.1"/>
    <s v="Dissenyar, implementar i fomentar itineraris saludables dins dels itineraris oficials dels ENP i en la zona d'influència"/>
    <s v="Comú"/>
    <s v="Optatiu"/>
    <s v="Dissenyar, implementar i fomentar itineraris saludables dins dels itineraris oficials dels ENP i en la zona d'influència"/>
    <m/>
    <s v="Si"/>
    <s v="ALTA"/>
    <x v="270"/>
    <m/>
    <m/>
    <x v="0"/>
    <x v="0"/>
  </r>
  <r>
    <x v="5"/>
    <n v="13"/>
    <s v="FORMAR I SENSIBILITZAR la població incrementant la valoració i estima social de l'ENP"/>
    <s v="13.8"/>
    <s v="Desplegar i adaptar el programa Salut i Natura de la DG en l'àmbit de l'ENP"/>
    <s v="13.8.2"/>
    <s v="Identificar els agents clau i els àmbits de col·laboració per implementar el binomi salut i natura"/>
    <s v="Comú"/>
    <s v="Optatiu"/>
    <s v="Identificar els agents clau i els àmbits de col·laboració per implementar el binomi salut i natura"/>
    <s v="Inclòs a l'Ops 13.8.4: Desplegar la Taula Territorial de Salut i Natura de les Terres de l'Ebre"/>
    <s v="No"/>
    <s v="ALTA"/>
    <x v="4"/>
    <m/>
    <m/>
    <x v="0"/>
    <x v="0"/>
  </r>
  <r>
    <x v="5"/>
    <n v="13"/>
    <s v="FORMAR I SENSIBILITZAR la població incrementant la valoració i estima social de l'ENP"/>
    <s v="13.8"/>
    <s v="Desplegar i adaptar el programa Salut i Natura de la DG en l'àmbit de l'ENP"/>
    <s v="13.8.3"/>
    <s v="Incloure el concepte de salut i natura en els missatges educatius i comunicatius de l'ENP "/>
    <s v="Comú"/>
    <s v="Optatiu"/>
    <s v="Incloure el concepte de salut i natura en els missatges educatius i comunicatius de l'ENP "/>
    <s v="Inclòs a l'Ops 13.8.4: Desplegar la Taula Territorial de Salut i Natura de les Terres de l'Ebre"/>
    <s v="No"/>
    <s v="ALTA"/>
    <x v="4"/>
    <m/>
    <m/>
    <x v="0"/>
    <x v="0"/>
  </r>
  <r>
    <x v="5"/>
    <n v="13"/>
    <s v="FORMAR I SENSIBILITZAR la població incrementant la valoració i estima social de l'ENP"/>
    <s v="13.8"/>
    <s v="Desplegar i adaptar el programa Salut i Natura de la DG en l'àmbit de l'ENP"/>
    <s v="13.8.4"/>
    <s v="Desplegar i/o participar a les Taules territorials de Salut i Natura"/>
    <s v="Comú"/>
    <s v="Optatiu"/>
    <s v="Desplegar i/o participar a la Taula Territorial de Salut i Natura de les Terres de l'Ebre"/>
    <m/>
    <s v="Si"/>
    <s v="ALTA"/>
    <x v="271"/>
    <s v="Modificar redactat OP concret per: Desplegar i/o participar a la Taula Territorial de Salut i Natura de les Terres de l'Ebre MODIFICAT. OK"/>
    <m/>
    <x v="0"/>
    <x v="0"/>
  </r>
  <r>
    <x v="5"/>
    <n v="13"/>
    <s v="FORMAR I SENSIBILITZAR la població incrementant la valoració i estima social de l'ENP"/>
    <s v="13.8"/>
    <s v="Desplegar i adaptar el programa Salut i Natura de la DG en l'àmbit de l'ENP"/>
    <s v="13.8.4"/>
    <s v="Desplegar i/o participar a les Taules territorials de Salut i Natura"/>
    <s v="Comú"/>
    <s v="Optatiu"/>
    <s v="Desplegar i/o participar a la Taula Territorial de Salut i Natura de les Terres de l'Ebre"/>
    <m/>
    <s v="Si"/>
    <s v="ALTA"/>
    <x v="272"/>
    <m/>
    <m/>
    <x v="0"/>
    <x v="0"/>
  </r>
  <r>
    <x v="5"/>
    <n v="13"/>
    <s v="FORMAR I SENSIBILITZAR la població incrementant la valoració i estima social de l'ENP"/>
    <s v="13.8"/>
    <s v="Desplegar i adaptar el programa Salut i Natura de la DG en l'àmbit de l'ENP"/>
    <s v="13.8.4"/>
    <s v="Desplegar i/o participar a les Taules territorials de Salut i Natura"/>
    <s v="Comú"/>
    <s v="Optatiu"/>
    <s v="Desplegar i/o participar a la Taula Territorial de Salut i Natura de les Terres de l'Ebre"/>
    <m/>
    <s v="Si"/>
    <s v="ALTA"/>
    <x v="273"/>
    <m/>
    <m/>
    <x v="0"/>
    <x v="0"/>
  </r>
  <r>
    <x v="5"/>
    <n v="14"/>
    <s v="COMUNICAR I DIFONDRE ELS VALORS DE L'ENP, contribuint a l'educació ambiental de la societat"/>
    <s v="14.1"/>
    <s v="Augmentar el coneixement de l'ENP entre la població"/>
    <s v="14.1.1"/>
    <s v="Informar periòdicament sobre les tasques, projectes i actuacions que duu a terme l'ENP a la població"/>
    <s v="Comú"/>
    <s v="Obligatori"/>
    <s v="Informar periòdicament sobre les tasques, projectes i actuacions que duu a terme l'ENP a la població"/>
    <m/>
    <s v="Si"/>
    <s v="MITJANA"/>
    <x v="274"/>
    <m/>
    <m/>
    <x v="0"/>
    <x v="0"/>
  </r>
  <r>
    <x v="5"/>
    <n v="14"/>
    <s v="COMUNICAR I DIFONDRE ELS VALORS DE L'ENP, contribuint a l'educació ambiental de la societat"/>
    <s v="14.1"/>
    <s v="Augmentar el coneixement de l'ENP entre la població"/>
    <s v="14.1.1"/>
    <s v="Informar periòdicament sobre les tasques, projectes i actuacions que duu a terme l'ENP a la població"/>
    <s v="Comú"/>
    <s v="Obligatori"/>
    <s v="Informar periòdicament sobre les tasques, projectes i actuacions que duu a terme l'ENP a la població"/>
    <m/>
    <s v="Si"/>
    <m/>
    <x v="275"/>
    <m/>
    <m/>
    <x v="0"/>
    <x v="0"/>
  </r>
  <r>
    <x v="5"/>
    <n v="14"/>
    <s v="COMUNICAR I DIFONDRE ELS VALORS DE L'ENP, contribuint a l'educació ambiental de la societat"/>
    <s v="14.1"/>
    <s v="Augmentar el coneixement de l'ENP entre la població"/>
    <s v="14.1.1"/>
    <s v="Informar periòdicament sobre les tasques, projectes i actuacions que duu a terme l'ENP a la població"/>
    <s v="Comú"/>
    <s v="Obligatori"/>
    <s v="Informar periòdicament sobre les tasques, projectes i actuacions que duu a terme l'ENP a la població"/>
    <m/>
    <s v="Si"/>
    <m/>
    <x v="276"/>
    <m/>
    <m/>
    <x v="0"/>
    <x v="0"/>
  </r>
  <r>
    <x v="5"/>
    <n v="14"/>
    <s v="COMUNICAR I DIFONDRE ELS VALORS DE L'ENP, contribuint a l'educació ambiental de la societat"/>
    <s v="14.1"/>
    <s v="Augmentar el coneixement de l'ENP entre la població"/>
    <s v="14.1.1"/>
    <s v="Informar periòdicament sobre les tasques, projectes i actuacions que duu a terme l'ENP a la població"/>
    <s v="Comú"/>
    <s v="Obligatori"/>
    <s v="Informar periòdicament sobre les tasques, projectes i actuacions que duu a terme l'ENP a la població"/>
    <m/>
    <s v="Si"/>
    <m/>
    <x v="277"/>
    <m/>
    <m/>
    <x v="0"/>
    <x v="0"/>
  </r>
  <r>
    <x v="5"/>
    <n v="14"/>
    <s v="COMUNICAR I DIFONDRE ELS VALORS DE L'ENP, contribuint a l'educació ambiental de la societat"/>
    <s v="14.1"/>
    <s v="Augmentar el coneixement de l'ENP entre la població"/>
    <s v="14.1.1"/>
    <s v="Informar periòdicament sobre les tasques, projectes i actuacions que duu a terme l'ENP a la població"/>
    <s v="Comú"/>
    <s v="Obligatori"/>
    <s v="Informar periòdicament sobre les tasques, projectes i actuacions que duu a terme l'ENP a la població"/>
    <m/>
    <s v="Si"/>
    <m/>
    <x v="278"/>
    <m/>
    <m/>
    <x v="0"/>
    <x v="0"/>
  </r>
  <r>
    <x v="5"/>
    <n v="14"/>
    <s v="COMUNICAR I DIFONDRE ELS VALORS DE L'ENP, contribuint a l'educació ambiental de la societat"/>
    <s v="14.1"/>
    <s v="Augmentar el coneixement de l'ENP entre la població"/>
    <s v="14.1.1"/>
    <s v="Informar periòdicament sobre les tasques, projectes i actuacions que duu a terme l'ENP a la població"/>
    <s v="Comú"/>
    <s v="Obligatori"/>
    <s v="Informar periòdicament sobre les tasques, projectes i actuacions que duu a terme l'ENP a la població"/>
    <m/>
    <s v="Si"/>
    <m/>
    <x v="279"/>
    <m/>
    <m/>
    <x v="0"/>
    <x v="0"/>
  </r>
  <r>
    <x v="5"/>
    <n v="14"/>
    <s v="COMUNICAR I DIFONDRE ELS VALORS DE L'ENP, contribuint a l'educació ambiental de la societat"/>
    <s v="14.1"/>
    <s v="Augmentar el coneixement de l'ENP entre la població"/>
    <s v="14.1.1"/>
    <s v="Informar periòdicament sobre les tasques, projectes i actuacions que duu a terme l'ENP a la població"/>
    <s v="Comú"/>
    <s v="Obligatori"/>
    <s v="Informar periòdicament sobre les tasques, projectes i actuacions que duu a terme l'ENP a la població"/>
    <m/>
    <s v="Si"/>
    <m/>
    <x v="280"/>
    <m/>
    <m/>
    <x v="0"/>
    <x v="0"/>
  </r>
  <r>
    <x v="5"/>
    <n v="14"/>
    <s v="COMUNICAR I DIFONDRE ELS VALORS DE L'ENP, contribuint a l'educació ambiental de la societat"/>
    <s v="14.1"/>
    <s v="Augmentar el coneixement de l'ENP entre la població"/>
    <s v="14.1.1"/>
    <s v="Informar periòdicament sobre les tasques, projectes i actuacions que duu a terme l'ENP a la població"/>
    <s v="Comú"/>
    <s v="Obligatori"/>
    <s v="Informar periòdicament sobre les tasques, projectes i actuacions que duu a terme l'ENP a la població"/>
    <m/>
    <s v="Si"/>
    <m/>
    <x v="281"/>
    <m/>
    <m/>
    <x v="0"/>
    <x v="0"/>
  </r>
  <r>
    <x v="5"/>
    <n v="14"/>
    <s v="COMUNICAR I DIFONDRE ELS VALORS DE L'ENP, contribuint a l'educació ambiental de la societat"/>
    <s v="14.1"/>
    <s v="Augmentar el coneixement de l'ENP entre la població"/>
    <s v="14.1.1"/>
    <s v="Informar periòdicament sobre les tasques, projectes i actuacions que duu a terme l'ENP a la població"/>
    <s v="Comú"/>
    <s v="Obligatori"/>
    <s v="Informar periòdicament sobre les tasques, projectes i actuacions que duu a terme l'ENP a la població"/>
    <m/>
    <s v="Si"/>
    <m/>
    <x v="282"/>
    <m/>
    <m/>
    <x v="0"/>
    <x v="0"/>
  </r>
  <r>
    <x v="5"/>
    <n v="14"/>
    <s v="COMUNICAR I DIFONDRE ELS VALORS DE L'ENP, contribuint a l'educació ambiental de la societat"/>
    <s v="14.1"/>
    <s v="Augmentar el coneixement de l'ENP entre la població"/>
    <s v="14.1.1"/>
    <s v="Informar periòdicament sobre les tasques, projectes i actuacions que duu a terme l'ENP a la població"/>
    <s v="Comú"/>
    <s v="Obligatori"/>
    <s v="Informar periòdicament sobre les tasques, projectes i actuacions que duu a terme l'ENP a la població"/>
    <m/>
    <s v="Si"/>
    <m/>
    <x v="4"/>
    <s v=" Per 2026????"/>
    <m/>
    <x v="23"/>
    <x v="0"/>
  </r>
  <r>
    <x v="5"/>
    <n v="14"/>
    <s v="COMUNICAR I DIFONDRE ELS VALORS DE L'ENP, contribuint a l'educació ambiental de la societat"/>
    <s v="14.1"/>
    <s v="Augmentar el coneixement de l'ENP entre la població"/>
    <s v="14.1.1"/>
    <s v="Informar periòdicament sobre les tasques, projectes i actuacions que duu a terme l'ENP a la població"/>
    <s v="Comú"/>
    <s v="Obligatori"/>
    <s v="Informar periòdicament sobre les tasques, projectes i actuacions que duu a terme l'ENP a la població"/>
    <m/>
    <s v="Si"/>
    <m/>
    <x v="4"/>
    <s v=". Crec que no estem alineats per fer-ho. Però en podem parlar."/>
    <m/>
    <x v="24"/>
    <x v="0"/>
  </r>
  <r>
    <x v="5"/>
    <n v="14"/>
    <s v="COMUNICAR I DIFONDRE ELS VALORS DE L'ENP, contribuint a l'educació ambiental de la societat"/>
    <s v="14.1"/>
    <s v="Augmentar el coneixement de l'ENP entre la població"/>
    <s v="14.1.1"/>
    <s v="Informar periòdicament sobre les tasques, projectes i actuacions que duu a terme l'ENP a la població"/>
    <s v="Comú"/>
    <s v="Obligatori"/>
    <s v="Informar periòdicament sobre les tasques, projectes i actuacions que duu a terme l'ENP a la població"/>
    <m/>
    <s v="Si"/>
    <m/>
    <x v="4"/>
    <s v=". Cingles? O memòria oral? Per al 2026 tenim recull de la memòria oral (ARTESANIA)"/>
    <m/>
    <x v="25"/>
    <x v="0"/>
  </r>
  <r>
    <x v="5"/>
    <n v="14"/>
    <s v="COMUNICAR I DIFONDRE ELS VALORS DE L'ENP, contribuint a l'educació ambiental de la societat"/>
    <s v="14.2"/>
    <s v="Conscienciar sobre els valors de l'ENP als diferents públics objectiu"/>
    <s v="14.2.1"/>
    <s v="Sensibilitzar als diferents agents sobre els valors de l'ENP"/>
    <s v="Comú"/>
    <s v="Obligatori"/>
    <s v="Sensibilitzar als diferents agents sobre els valors de l'ENP"/>
    <m/>
    <s v="Si"/>
    <s v="MITJANA"/>
    <x v="283"/>
    <m/>
    <m/>
    <x v="0"/>
    <x v="0"/>
  </r>
  <r>
    <x v="5"/>
    <n v="14"/>
    <s v="COMUNICAR I DIFONDRE ELS VALORS DE L'ENP, contribuint a l'educació ambiental de la societat"/>
    <s v="14.2"/>
    <s v="Conscienciar sobre els valors de l'ENP als diferents públics objectiu"/>
    <s v="14.2.1"/>
    <s v="Sensibilitzar als diferents agents sobre els valors de l'ENP"/>
    <s v="Comú"/>
    <s v="Obligatori"/>
    <s v="Sensibilitzar als diferents agents sobre els valors de l'ENP"/>
    <m/>
    <s v="Si"/>
    <m/>
    <x v="4"/>
    <m/>
    <m/>
    <x v="26"/>
    <x v="0"/>
  </r>
  <r>
    <x v="5"/>
    <n v="14"/>
    <s v="COMUNICAR I DIFONDRE ELS VALORS DE L'ENP, contribuint a l'educació ambiental de la societat"/>
    <s v="14.2"/>
    <s v="Conscienciar sobre els valors de l'ENP als diferents públics objectiu"/>
    <s v="14.2.1"/>
    <s v="Sensibilitzar als diferents agents sobre els valors de l'ENP"/>
    <s v="Comú"/>
    <s v="Obligatori"/>
    <s v="Sensibilitzar als diferents agents sobre els valors de l'ENP"/>
    <m/>
    <s v="Si"/>
    <s v="MITJANA"/>
    <x v="284"/>
    <m/>
    <s v="Ítem pressupost. Es podria unificar amb l'actuació de manteniment webcam niu rapinyaires?"/>
    <x v="0"/>
    <x v="0"/>
  </r>
  <r>
    <x v="5"/>
    <n v="14"/>
    <s v="COMUNICAR I DIFONDRE ELS VALORS DE L'ENP, contribuint a l'educació ambiental de la societat"/>
    <s v="14.2"/>
    <s v="Conscienciar sobre els valors de l'ENP als diferents públics objectiu"/>
    <s v="14.2.1"/>
    <s v="Sensibilitzar als diferents agents sobre els valors de l'ENP"/>
    <s v="Comú"/>
    <s v="Obligatori"/>
    <s v="Sensibilitzar als diferents agents sobre els valors de l'ENP"/>
    <m/>
    <s v="Si"/>
    <s v="MITJANA"/>
    <x v="285"/>
    <m/>
    <m/>
    <x v="0"/>
    <x v="0"/>
  </r>
  <r>
    <x v="5"/>
    <n v="14"/>
    <s v="COMUNICAR I DIFONDRE ELS VALORS DE L'ENP, contribuint a l'educació ambiental de la societat"/>
    <s v="14.2"/>
    <s v="Conscienciar sobre els valors de l'ENP als diferents públics objectiu"/>
    <s v="14.2.1"/>
    <s v="Sensibilitzar als diferents agents sobre els valors de l'ENP"/>
    <s v="Comú"/>
    <s v="Obligatori"/>
    <s v="Sensibilitzar als diferents agents sobre els valors de l'ENP"/>
    <m/>
    <s v="Si"/>
    <s v="MITJANA"/>
    <x v="286"/>
    <m/>
    <s v="Ítem pressupost. Es podria unificar amb l'actuació de manteniment webcam niu rapinyaires?"/>
    <x v="0"/>
    <x v="0"/>
  </r>
  <r>
    <x v="5"/>
    <n v="14"/>
    <s v="COMUNICAR I DIFONDRE ELS VALORS DE L'ENP, contribuint a l'educació ambiental de la societat"/>
    <s v="14.2"/>
    <s v="Conscienciar sobre els valors de l'ENP als diferents públics objectiu"/>
    <s v="14.2.1"/>
    <s v="Sensibilitzar als diferents agents sobre els valors de l'ENP"/>
    <s v="Comú"/>
    <s v="Obligatori"/>
    <s v="Sensibilitzar als diferents agents sobre els valors de l'ENP"/>
    <m/>
    <s v="Si"/>
    <m/>
    <x v="287"/>
    <m/>
    <s v="Proposta canvi redactat: Elaboració de material de difusió sobre el voltor negre (marxandantge). ok"/>
    <x v="0"/>
    <x v="0"/>
  </r>
  <r>
    <x v="5"/>
    <n v="14"/>
    <s v="COMUNICAR I DIFONDRE ELS VALORS DE L'ENP, contribuint a l'educació ambiental de la societat"/>
    <s v="14.2"/>
    <s v="Conscienciar sobre els valors de l'ENP als diferents públics objectiu"/>
    <s v="14.2.1"/>
    <s v="Sensibilitzar als diferents agents sobre els valors de l'ENP"/>
    <s v="Comú"/>
    <s v="Obligatori"/>
    <s v="Sensibilitzar als diferents agents sobre els valors de l'ENP"/>
    <m/>
    <s v="Si"/>
    <m/>
    <x v="288"/>
    <m/>
    <m/>
    <x v="0"/>
    <x v="0"/>
  </r>
  <r>
    <x v="5"/>
    <n v="14"/>
    <s v="COMUNICAR I DIFONDRE ELS VALORS DE L'ENP, contribuint a l'educació ambiental de la societat"/>
    <s v="14.2"/>
    <s v="Conscienciar sobre els valors de l'ENP als diferents públics objectiu"/>
    <s v="14.2.1"/>
    <s v="Sensibilitzar als diferents agents sobre els valors de l'ENP"/>
    <s v="Comú"/>
    <s v="Obligatori"/>
    <s v="Sensibilitzar als diferents agents sobre els valors de l'ENP"/>
    <m/>
    <s v="Si"/>
    <m/>
    <x v="289"/>
    <m/>
    <m/>
    <x v="0"/>
    <x v="0"/>
  </r>
  <r>
    <x v="5"/>
    <n v="14"/>
    <s v="COMUNICAR I DIFONDRE ELS VALORS DE L'ENP, contribuint a l'educació ambiental de la societat"/>
    <s v="14.2"/>
    <s v="Conscienciar sobre els valors de l'ENP als diferents públics objectiu"/>
    <s v="14.2.1"/>
    <s v="Sensibilitzar als diferents agents sobre els valors de l'ENP"/>
    <s v="Comú"/>
    <s v="Obligatori"/>
    <s v="Sensibilitzar als diferents agents sobre els valors de l'ENP"/>
    <m/>
    <m/>
    <m/>
    <x v="290"/>
    <m/>
    <m/>
    <x v="0"/>
    <x v="0"/>
  </r>
  <r>
    <x v="5"/>
    <n v="14"/>
    <s v="COMUNICAR I DIFONDRE ELS VALORS DE L'ENP, contribuint a l'educació ambiental de la societat"/>
    <s v="14.3"/>
    <s v="Disposar d'una comunicació ordenada efectiva, positiva i coordinada que arribi a la ciutadania i aquesta pugui reconèixer fàcilment "/>
    <s v="14.3.1"/>
    <s v="Optimitzar els canals de comunicació"/>
    <s v="Comú"/>
    <s v="Obligatori"/>
    <s v="Optimitzar els canals de comunicació"/>
    <m/>
    <s v="Si"/>
    <s v="MITJANA"/>
    <x v="291"/>
    <m/>
    <m/>
    <x v="0"/>
    <x v="0"/>
  </r>
  <r>
    <x v="5"/>
    <n v="14"/>
    <s v="COMUNICAR I DIFONDRE ELS VALORS DE L'ENP, contribuint a l'educació ambiental de la societat"/>
    <s v="14.3"/>
    <s v="Disposar d'una comunicació ordenada efectiva, positiva i coordinada que arribi a la ciutadania i aquesta pugui reconèixer fàcilment "/>
    <s v="14.3.1"/>
    <s v="Optimitzar els canals de comunicació"/>
    <s v="Comú"/>
    <s v="Obligatori"/>
    <s v="Optimitzar els canals de comunicació"/>
    <m/>
    <s v="Si"/>
    <s v="MITJANA"/>
    <x v="292"/>
    <m/>
    <m/>
    <x v="0"/>
    <x v="0"/>
  </r>
  <r>
    <x v="5"/>
    <n v="14"/>
    <s v="COMUNICAR I DIFONDRE ELS VALORS DE L'ENP, contribuint a l'educació ambiental de la societat"/>
    <s v="14.3"/>
    <s v="Disposar d'una comunicació ordenada efectiva, positiva i coordinada que arribi a la ciutadania i aquesta pugui reconèixer fàcilment "/>
    <s v="14.3.1"/>
    <s v="Optimitzar els canals de comunicació"/>
    <s v="Comú"/>
    <s v="Obligatori"/>
    <s v="Optimitzar els canals de comunicació"/>
    <m/>
    <s v="Si"/>
    <s v="MITJANA"/>
    <x v="293"/>
    <m/>
    <m/>
    <x v="0"/>
    <x v="0"/>
  </r>
  <r>
    <x v="5"/>
    <n v="14"/>
    <s v="COMUNICAR I DIFONDRE ELS VALORS DE L'ENP, contribuint a l'educació ambiental de la societat"/>
    <s v="14.3"/>
    <s v="Disposar d'una comunicació ordenada efectiva, positiva i coordinada que arribi a la ciutadania i aquesta pugui reconèixer fàcilment "/>
    <s v="14.3.2"/>
    <s v="Garantir l'harmonització de la comunicació com a Parc, Xarxa i Generalitat."/>
    <s v="Comú"/>
    <s v="Obligatori"/>
    <s v="Garantir l'harmonització de la comunicació com a Parc, Xarxa i Generalitat."/>
    <s v="Inclòs en l'Op anterior"/>
    <s v="Si"/>
    <s v="MITJANA"/>
    <x v="294"/>
    <m/>
    <m/>
    <x v="0"/>
    <x v="0"/>
  </r>
  <r>
    <x v="6"/>
    <n v="15"/>
    <s v="ESTABLIR EL MARC PER A LA GOVERNANÇA i la gestió eficient de l'espai i la xarxa d'ENP"/>
    <s v="15.1"/>
    <s v="Disposar d'espais per a la participació de personal expert i agents del territori en la governança de l'ENP"/>
    <s v="15.1.1"/>
    <s v="Crear una taula de treball amb els agents prioritaris per a la gestió de l'ENP i els grups de treball temàtics necessaris"/>
    <s v="Comú"/>
    <s v="Optatiu"/>
    <s v="Crear taules de treball temàtiques amb els agents prioritaris per a la gestió de l'ENP"/>
    <s v="Redacció més realista d'acord amb la llei"/>
    <s v="Si"/>
    <s v="MITJANA"/>
    <x v="4"/>
    <m/>
    <m/>
    <x v="27"/>
    <x v="0"/>
  </r>
  <r>
    <x v="6"/>
    <n v="15"/>
    <s v="ESTABLIR EL MARC PER A LA GOVERNANÇA i la gestió eficient de l'espai i la xarxa d'ENP"/>
    <s v="15.1"/>
    <s v="Disposar d'espais per a la participació de personal expert i agents del territori en la governança de l'ENP"/>
    <s v="15.1.2"/>
    <s v="Disposar d'assessorament científic en l'ENP"/>
    <s v="Comú"/>
    <s v="Optatiu"/>
    <s v="Disposar d'assessorament científic en l'ENP"/>
    <m/>
    <s v="Si"/>
    <s v="MITJANA"/>
    <x v="295"/>
    <m/>
    <m/>
    <x v="0"/>
    <x v="0"/>
  </r>
  <r>
    <x v="6"/>
    <n v="15"/>
    <s v="ESTABLIR EL MARC PER A LA GOVERNANÇA i la gestió eficient de l'espai i la xarxa d'ENP"/>
    <s v="15.1"/>
    <s v="Disposar d'espais per a la participació de personal expert i agents del territori en la governança de l'ENP"/>
    <s v="15.1.3"/>
    <s v="Incloure entitats i organismes científics i culturals de referència en els mecanismes de presa de decisions de l'ENP"/>
    <s v="Comú"/>
    <s v="Optatiu"/>
    <s v="Incloure entitats i organismes científics i culturals de referència en els mecanismes de presa de decisions de l'ENP"/>
    <s v="No pertoca; en tot cas inclòs en l'Op anterior"/>
    <s v="No"/>
    <s v="MITJANA"/>
    <x v="4"/>
    <m/>
    <m/>
    <x v="0"/>
    <x v="0"/>
  </r>
  <r>
    <x v="6"/>
    <n v="15"/>
    <s v="ESTABLIR EL MARC PER A LA GOVERNANÇA i la gestió eficient de l'espai i la xarxa d'ENP"/>
    <s v="15.1"/>
    <s v="Disposar d'espais per a la participació de personal expert i agents del territori en la governança de l'ENP"/>
    <s v="15.1.4"/>
    <s v="Adaptar i desplegar el model de governança dels espais naturals protegits"/>
    <s v="Comú"/>
    <s v="Obligatori"/>
    <s v="Participar en l'adaptació i el desplegament del model de governança dels espais naturals protegits"/>
    <m/>
    <s v="Si"/>
    <s v="MITJANA"/>
    <x v="296"/>
    <m/>
    <m/>
    <x v="0"/>
    <x v="0"/>
  </r>
  <r>
    <x v="6"/>
    <n v="15"/>
    <s v="ESTABLIR EL MARC PER A LA GOVERNANÇA i la gestió eficient de l'espai i la xarxa d'ENP"/>
    <s v="15.1"/>
    <s v="Disposar d'espais per a la participació de personal expert i agents del territori en la governança de l'ENP"/>
    <s v="15.1.5"/>
    <m/>
    <m/>
    <m/>
    <s v="Gestionar el funcionament i la gestió documental de la Junta rectora del Parc"/>
    <s v="NOU. S'incorporen les tasques que es realitzen actualment (convocatòries, actes, gestió de la documentació, manteniment Teams...)"/>
    <s v="Si"/>
    <m/>
    <x v="297"/>
    <m/>
    <m/>
    <x v="0"/>
    <x v="0"/>
  </r>
  <r>
    <x v="6"/>
    <n v="15"/>
    <s v="ESTABLIR EL MARC PER A LA GOVERNANÇA i la gestió eficient de l'espai i la xarxa d'ENP"/>
    <s v="15.1"/>
    <s v="Disposar d'espais per a la participació de personal expert i agents del territori en la governança de l'ENP"/>
    <s v="15.1.5"/>
    <m/>
    <m/>
    <m/>
    <s v="Gestionar el funcionament i la gestió documental de la Junta rectora del Parc"/>
    <s v="NOU. S'incorporen les tasques que es realitzen actualment (convocatòries, actes, gestió de la documentació, manteniment Teams...)"/>
    <s v="Si"/>
    <m/>
    <x v="298"/>
    <m/>
    <m/>
    <x v="0"/>
    <x v="0"/>
  </r>
  <r>
    <x v="6"/>
    <n v="15"/>
    <s v="ESTABLIR EL MARC PER A LA GOVERNANÇA i la gestió eficient de l'espai i la xarxa d'ENP"/>
    <s v="15.1"/>
    <s v="Disposar d'espais per a la participació de personal expert i agents del territori en la governança de l'ENP"/>
    <s v="15.1.5"/>
    <m/>
    <m/>
    <m/>
    <s v="Gestionar el funcionament i la gestió documental de la Junta rectora del Parc"/>
    <s v="NOU. S'incorporen les tasques que es realitzen actualment (convocatòries, actes, gestió de la documentació, manteniment Teams...)"/>
    <s v="Si"/>
    <m/>
    <x v="299"/>
    <m/>
    <m/>
    <x v="0"/>
    <x v="0"/>
  </r>
  <r>
    <x v="6"/>
    <n v="15"/>
    <s v="ESTABLIR EL MARC PER A LA GOVERNANÇA i la gestió eficient de l'espai i la xarxa d'ENP"/>
    <s v="15.1"/>
    <s v="Disposar d'espais per a la participació de personal expert i agents del territori en la governança de l'ENP"/>
    <s v="15.1.5"/>
    <m/>
    <m/>
    <m/>
    <s v="Gestionar el funcionament i la gestió documental de la Junta rectora del Parc"/>
    <s v="NOU. S'incorporen les tasques que es realitzen actualment (convocatòries, actes, gestió de la documentació, manteniment Teams...)"/>
    <s v="Si"/>
    <m/>
    <x v="300"/>
    <m/>
    <m/>
    <x v="0"/>
    <x v="0"/>
  </r>
  <r>
    <x v="6"/>
    <n v="15"/>
    <s v="ESTABLIR EL MARC PER A LA GOVERNANÇA i la gestió eficient de l'espai i la xarxa d'ENP"/>
    <s v="15.1"/>
    <s v="Disposar d'espais per a la participació de personal expert i agents del territori en la governança de l'ENP"/>
    <s v="15.1.5"/>
    <m/>
    <m/>
    <m/>
    <s v="Gestionar el funcionament i la gestió documental de la Junta rectora del Parc"/>
    <s v="NOU. S'incorporen les tasques que es realitzen actualment (convocatòries, actes, gestió de la documentació, manteniment Teams...)"/>
    <s v="Si"/>
    <m/>
    <x v="301"/>
    <m/>
    <m/>
    <x v="0"/>
    <x v="0"/>
  </r>
  <r>
    <x v="6"/>
    <n v="15"/>
    <s v="ESTABLIR EL MARC PER A LA GOVERNANÇA i la gestió eficient de l'espai i la xarxa d'ENP"/>
    <s v="15.1"/>
    <s v="Disposar d'espais per a la participació de personal expert i agents del territori en la governança de l'ENP"/>
    <s v="15.1.5"/>
    <m/>
    <m/>
    <m/>
    <s v="Gestionar el funcionament i la gestió documental de la Junta rectora del Parc"/>
    <s v="NOU. S'incorporen les tasques que es realitzen actualment (convocatòries, actes, gestió de la documentació, manteniment Teams...)"/>
    <s v="Si"/>
    <m/>
    <x v="302"/>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s v="MITJANA"/>
    <x v="303"/>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m/>
    <x v="304"/>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m/>
    <x v="305"/>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m/>
    <x v="306"/>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m/>
    <x v="307"/>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m/>
    <x v="308"/>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m/>
    <x v="309"/>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m/>
    <x v="310"/>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m/>
    <x v="311"/>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m/>
    <x v="312"/>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m/>
    <x v="313"/>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m/>
    <x v="314"/>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m/>
    <x v="315"/>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m/>
    <x v="316"/>
    <m/>
    <m/>
    <x v="0"/>
    <x v="0"/>
  </r>
  <r>
    <x v="6"/>
    <n v="16"/>
    <s v="MILLORAR L'EFICIÈNCIA de la gestió administrativa"/>
    <s v="16.1"/>
    <s v="Optimitzar l'aplicació pressupostària"/>
    <s v="16.1.1"/>
    <s v="Gestionar i millorar administrativament els pressupostos anuals d'entrades i despeses "/>
    <s v="Gestionar i millorar administrativament els pressupostos anuals d'entrades i despeses "/>
    <m/>
    <s v="Gestionar i millorar administrativament els pressupostos anuals d'entrades i despeses "/>
    <m/>
    <s v="Si"/>
    <m/>
    <x v="317"/>
    <m/>
    <m/>
    <x v="0"/>
    <x v="0"/>
  </r>
  <r>
    <x v="6"/>
    <n v="16"/>
    <s v="MILLORAR L'EFICIÈNCIA de la gestió administrativa"/>
    <s v="16.1"/>
    <s v="Optimitzar l'aplicació pressupostària"/>
    <s v="16.1.1"/>
    <s v="Gestionar i millorar administrativament els pressupostos anuals d'entrades i despeses "/>
    <m/>
    <m/>
    <s v="Gestionar i millorar administrativament els pressupostos anuals d'entrades i despeses "/>
    <m/>
    <s v="Si"/>
    <m/>
    <x v="318"/>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m/>
    <x v="319"/>
    <m/>
    <m/>
    <x v="0"/>
    <x v="0"/>
  </r>
  <r>
    <x v="6"/>
    <n v="16"/>
    <s v="MILLORAR L'EFICIÈNCIA de la gestió administrativa"/>
    <s v="16.1"/>
    <s v="Optimitzar l'aplicació pressupostària"/>
    <s v="16.1.1"/>
    <s v="Gestionar i millorar administrativament els pressupostos anuals d'entrades i despeses "/>
    <s v="Comú"/>
    <s v="Obligatori"/>
    <s v="Gestionar i millorar administrativament els pressupostos anuals d'entrades i despeses "/>
    <m/>
    <s v="Si"/>
    <m/>
    <x v="320"/>
    <m/>
    <m/>
    <x v="0"/>
    <x v="0"/>
  </r>
  <r>
    <x v="6"/>
    <n v="16"/>
    <s v="MILLORAR L'EFICIÈNCIA de la gestió administrativa"/>
    <s v="16.2"/>
    <s v="Planificar i optimitzar els processos de contractació, concessió d'ajuts, i les col·laboracions amb ens públics i privats"/>
    <s v="16.2.1"/>
    <s v="Planificar, detectar les necessitats de contractació del l'ENP per a l'optimització dels contractes a nivell de Xarxa i gestionar els contractes"/>
    <s v="Comú"/>
    <s v="Obligatori"/>
    <s v="Planificar, detectar les necessitats de contractació del l'ENP per a l'optimització dels contractes a nivell de Xarxa i gestionar els contractes"/>
    <m/>
    <s v="Si"/>
    <s v="MITJANA"/>
    <x v="321"/>
    <m/>
    <m/>
    <x v="0"/>
    <x v="0"/>
  </r>
  <r>
    <x v="6"/>
    <n v="16"/>
    <s v="MILLORAR L'EFICIÈNCIA de la gestió administrativa"/>
    <s v="16.2"/>
    <s v="Planificar i optimitzar els processos de contractació, concessió d'ajuts, i les col·laboracions amb ens públics i privats"/>
    <s v="16.2.2"/>
    <s v="Planificar i gestionar els ajuts"/>
    <s v="Comú"/>
    <s v="Obligatori"/>
    <s v="Planificar i gestionar els ajuts"/>
    <m/>
    <s v="Si"/>
    <s v="MITJANA"/>
    <x v="322"/>
    <m/>
    <m/>
    <x v="0"/>
    <x v="0"/>
  </r>
  <r>
    <x v="6"/>
    <n v="16"/>
    <s v="MILLORAR L'EFICIÈNCIA de la gestió administrativa"/>
    <s v="16.2"/>
    <s v="Planificar i optimitzar els processos de contractació, concessió d'ajuts, i les col·laboracions amb ens públics i privats"/>
    <s v="16.2.2"/>
    <s v="Planificar i gestionar els ajuts"/>
    <s v="Comú"/>
    <s v="Obligatori"/>
    <s v="Planificar i gestionar els ajuts"/>
    <m/>
    <s v="Si"/>
    <s v="MITJANA"/>
    <x v="323"/>
    <m/>
    <m/>
    <x v="0"/>
    <x v="0"/>
  </r>
  <r>
    <x v="6"/>
    <n v="16"/>
    <s v="MILLORAR L'EFICIÈNCIA de la gestió administrativa"/>
    <s v="16.2"/>
    <s v="Planificar i optimitzar els processos de contractació, concessió d'ajuts, i les col·laboracions amb ens públics i privats"/>
    <s v="16.2.3"/>
    <s v="Establir i renovar en temps i forma convenis de col·laboració, convenis marc, acords, protocols i altres instruments de col·laboració."/>
    <s v="Comú"/>
    <s v="Obligatori"/>
    <s v="Participar en la renovació en temps i forma convenis de col·laboració, convenis marc, acords, protocols i altres instruments de col·laboració."/>
    <m/>
    <s v="Si"/>
    <s v="MITJANA"/>
    <x v="324"/>
    <m/>
    <m/>
    <x v="0"/>
    <x v="0"/>
  </r>
  <r>
    <x v="6"/>
    <n v="16"/>
    <s v="MILLORAR L'EFICIÈNCIA de la gestió administrativa"/>
    <s v="16.2"/>
    <s v="Planificar i optimitzar els processos de contractació, concessió d'ajuts, i les col·laboracions amb ens públics i privats"/>
    <s v="16.2.3"/>
    <s v="Establir i renovar en temps i forma convenis de col·laboració, convenis marc, acords, protocols i altres instruments de col·laboració."/>
    <s v="Comú"/>
    <s v="Obligatori"/>
    <s v="Participar en la renovació en temps i forma convenis de col·laboració, convenis marc, acords, protocols i altres instruments de col·laboració."/>
    <m/>
    <s v="Si"/>
    <m/>
    <x v="325"/>
    <m/>
    <m/>
    <x v="0"/>
    <x v="0"/>
  </r>
  <r>
    <x v="6"/>
    <n v="16"/>
    <s v="MILLORAR L'EFICIÈNCIA de la gestió administrativa"/>
    <s v="16.2"/>
    <s v="Planificar i optimitzar els processos de contractació, concessió d'ajuts, i les col·laboracions amb ens públics i privats"/>
    <s v="16.2.3"/>
    <s v="Establir i renovar en temps i forma convenis de col·laboració, convenis marc, acords, protocols i altres instruments de col·laboració."/>
    <s v="Comú"/>
    <s v="Obligatori"/>
    <s v="Participar en la renovació en temps i forma convenis de col·laboració, convenis marc, acords, protocols i altres instruments de col·laboració."/>
    <m/>
    <s v="Si"/>
    <m/>
    <x v="326"/>
    <m/>
    <m/>
    <x v="0"/>
    <x v="0"/>
  </r>
  <r>
    <x v="6"/>
    <n v="16"/>
    <s v="MILLORAR L'EFICIÈNCIA de la gestió administrativa"/>
    <s v="16.2"/>
    <s v="Planificar i optimitzar els processos de contractació, concessió d'ajuts, i les col·laboracions amb ens públics i privats"/>
    <s v="16.2.4"/>
    <s v="Participar en l'avaluació i el seguiment de les actuacions derivades dels ajuts (certificacions, expedients administratius, publicitat...)"/>
    <m/>
    <m/>
    <s v="Participar en l'avaluació i el seguiment de les actuacions derivades dels ajuts (certificacions, expedients administratius, publicitat...)"/>
    <s v="*NOU. Seguiments de les actuacions amb ajut atorgats (certificacions, expedients administratius...)"/>
    <s v="Si"/>
    <m/>
    <x v="327"/>
    <m/>
    <m/>
    <x v="0"/>
    <x v="0"/>
  </r>
  <r>
    <x v="6"/>
    <n v="16"/>
    <s v="MILLORAR L'EFICIÈNCIA de la gestió administrativa"/>
    <s v="16.2"/>
    <s v="Planificar i optimitzar els processos de contractació, concessió d'ajuts, i les col·laboracions amb ens públics i privats"/>
    <s v="16.2.4"/>
    <s v="Participar en l'avaluació i el seguiment de les actuacions derivades dels ajuts (certificacions, expedients administratius, publicitat...)"/>
    <m/>
    <m/>
    <s v="Participar en l'avaluació i el seguiment de les actuacions derivades dels ajuts (certificacions, expedients administratius, publicitat...)"/>
    <s v="*NOU. Seguiments de les actuacions amb ajut atorgats (certificacions, expedients administratius...)"/>
    <s v="Si"/>
    <m/>
    <x v="328"/>
    <m/>
    <m/>
    <x v="0"/>
    <x v="0"/>
  </r>
  <r>
    <x v="6"/>
    <n v="16"/>
    <s v="MILLORAR L'EFICIÈNCIA de la gestió administrativa"/>
    <s v="16.2"/>
    <s v="Planificar i optimitzar els processos de contractació, concessió d'ajuts, i les col·laboracions amb ens públics i privats"/>
    <s v="16.2.4"/>
    <s v="Participar en l'avaluació i el seguiment de les actuacions derivades dels ajuts (certificacions, expedients administratius, publicitat...)"/>
    <m/>
    <m/>
    <s v="Participar en l'avaluació i el seguiment de les actuacions derivades dels ajuts (certificacions, expedients administratius, publicitat...)"/>
    <s v="*NOU. Seguiments de les actuacions amb ajut atorgats (certificacions, expedients administratius...)"/>
    <s v="Si"/>
    <m/>
    <x v="329"/>
    <m/>
    <m/>
    <x v="0"/>
    <x v="0"/>
  </r>
  <r>
    <x v="6"/>
    <n v="16"/>
    <s v="MILLORAR L'EFICIÈNCIA de la gestió administrativa"/>
    <s v="16.2"/>
    <s v="Planificar i optimitzar els processos de contractació, concessió d'ajuts, i les col·laboracions amb ens públics i privats"/>
    <s v="16.2.5"/>
    <m/>
    <m/>
    <m/>
    <s v="Establir línies de col·laboració específiques, per afinitats territorials o temàtiques, amb altres ENP, de Catalunya o fora d'aquest àmbit"/>
    <s v="*NOU."/>
    <s v="Si"/>
    <m/>
    <x v="330"/>
    <m/>
    <m/>
    <x v="0"/>
    <x v="0"/>
  </r>
  <r>
    <x v="6"/>
    <n v="16"/>
    <s v="MILLORAR L'EFICIÈNCIA de la gestió administrativa"/>
    <s v="16.3"/>
    <s v="Agilitzar, incrementar l'eficiència  i incrementar l’assoliment dels procediments administratius"/>
    <s v="16.3.1"/>
    <s v="Optimitzar l'elaboració d'informes"/>
    <s v="Comú"/>
    <s v="Obligatori"/>
    <s v="Gestionar administrativament i optimitzar els informes i les autoritzacions de l'òrgan gestor"/>
    <s v="S'afegeixen les tasques que es realitzen actualment. S'afegeixen les autoritzacions"/>
    <s v="Si"/>
    <s v="MITJANA"/>
    <x v="331"/>
    <m/>
    <m/>
    <x v="0"/>
    <x v="0"/>
  </r>
  <r>
    <x v="6"/>
    <n v="16"/>
    <s v="MILLORAR L'EFICIÈNCIA de la gestió administrativa"/>
    <s v="16.3"/>
    <s v="Agilitzar, incrementar l'eficiència  i incrementar l’assoliment dels procediments administratius"/>
    <s v="16.3.1"/>
    <s v="Optimitzar l'elaboració d'informes"/>
    <s v="Comú"/>
    <s v="Obligatori"/>
    <s v="Gestionar administrativament i optimitzar els informes i les autoritzacions de l'òrgan gestor"/>
    <s v="S'afegeixen les tasques que es realitzen actualment. S'afegeixen les autoritzacions"/>
    <s v="Si"/>
    <m/>
    <x v="332"/>
    <m/>
    <m/>
    <x v="0"/>
    <x v="0"/>
  </r>
  <r>
    <x v="6"/>
    <n v="16"/>
    <s v="MILLORAR L'EFICIÈNCIA de la gestió administrativa"/>
    <s v="16.3"/>
    <s v="Agilitzar, incrementar l'eficiència  i incrementar l’assoliment dels procediments administratius"/>
    <s v="16.3.1"/>
    <s v="Optimitzar l'elaboració d'informes"/>
    <s v="Comú"/>
    <s v="Obligatori"/>
    <s v="Gestionar administrativament i optimitzar els informes i les autoritzacions de l'òrgan gestor"/>
    <s v="S'afegeixen les tasques que es realitzen actualment. S'afegeixen les autoritzacions"/>
    <s v="Si"/>
    <m/>
    <x v="333"/>
    <m/>
    <m/>
    <x v="0"/>
    <x v="0"/>
  </r>
  <r>
    <x v="6"/>
    <n v="16"/>
    <s v="MILLORAR L'EFICIÈNCIA de la gestió administrativa"/>
    <s v="16.3"/>
    <s v="Agilitzar, incrementar l'eficiència  i incrementar l’assoliment dels procediments administratius"/>
    <s v="16.3.1"/>
    <s v="Optimitzar l'elaboració d'informes"/>
    <s v="Comú"/>
    <s v="Obligatori"/>
    <s v="Gestionar administrativament i optimitzar els informes i les autoritzacions de l'òrgan gestor"/>
    <s v="S'afegeixen les tasques que es realitzen actualment. S'afegeixen les autoritzacions"/>
    <s v="Si"/>
    <m/>
    <x v="334"/>
    <m/>
    <m/>
    <x v="0"/>
    <x v="0"/>
  </r>
  <r>
    <x v="6"/>
    <n v="16"/>
    <s v="MILLORAR L'EFICIÈNCIA de la gestió administrativa"/>
    <s v="16.3"/>
    <s v="Agilitzar, incrementar l'eficiència  i incrementar l’assoliment dels procediments administratius"/>
    <s v="16.3.2"/>
    <s v="Adequar i actualitzar els procediments i tramitacions realitzats des de l'ENP als nous processos i eines conjuntes proposades des de Serveis Centrals"/>
    <s v="Comú"/>
    <s v="Obligatori"/>
    <s v="Adequar i actualitzar els procediments i tramitacions realitzats des de l'ENP als nous processos i eines conjuntes proposades des de Serveis Centrals"/>
    <m/>
    <s v="Si"/>
    <s v="MITJANA"/>
    <x v="335"/>
    <m/>
    <m/>
    <x v="0"/>
    <x v="0"/>
  </r>
  <r>
    <x v="6"/>
    <n v="16"/>
    <s v="MILLORAR L'EFICIÈNCIA de la gestió administrativa"/>
    <s v="16.3"/>
    <s v="Agilitzar, incrementar l'eficiència  i incrementar l’assoliment dels procediments administratius"/>
    <s v="16.3.2"/>
    <s v="Adequar i actualitzar els procediments i tramitacions realitzats des de l'ENP als nous processos i eines conjuntes proposades des de Serveis Centrals"/>
    <s v="Comú"/>
    <s v="Obligatori"/>
    <s v="Adequar i actualitzar els procediments i tramitacions realitzats des de l'ENP als nous processos i eines conjuntes proposades des de Serveis Centrals"/>
    <m/>
    <s v="Si"/>
    <s v="MITJANA"/>
    <x v="336"/>
    <m/>
    <m/>
    <x v="0"/>
    <x v="0"/>
  </r>
  <r>
    <x v="6"/>
    <n v="16"/>
    <s v="MILLORAR L'EFICIÈNCIA de la gestió administrativa"/>
    <s v="16.3"/>
    <s v="Agilitzar, incrementar l'eficiència  i incrementar l’assoliment dels procediments administratius"/>
    <s v="16.3.2"/>
    <s v="Adequar i actualitzar els procediments i tramitacions realitzats des de l'ENP als nous processos i eines conjuntes proposades des de Serveis Centrals"/>
    <s v="Comú"/>
    <s v="Obligatori"/>
    <s v="Adequar i actualitzar els procediments i tramitacions realitzats des de l'ENP als nous processos i eines conjuntes proposades des de Serveis Centrals"/>
    <m/>
    <s v="Si"/>
    <s v="MITJANA"/>
    <x v="337"/>
    <m/>
    <m/>
    <x v="0"/>
    <x v="0"/>
  </r>
  <r>
    <x v="6"/>
    <n v="16"/>
    <s v="MILLORAR L'EFICIÈNCIA de la gestió administrativa"/>
    <s v="16.3"/>
    <s v="Agilitzar, incrementar l'eficiència  i incrementar l’assoliment dels procediments administratius"/>
    <s v="16.3.3"/>
    <s v="Augmentar el coneixement de l'equip de treball en matèria de procediment administratiu"/>
    <s v="Comú"/>
    <s v="Obligatori"/>
    <s v="Augmentar el coneixement de l'equip de treball en matèria de procediment administratiu"/>
    <m/>
    <s v="Si"/>
    <s v="MITJANA"/>
    <x v="338"/>
    <m/>
    <m/>
    <x v="0"/>
    <x v="0"/>
  </r>
  <r>
    <x v="6"/>
    <n v="16"/>
    <s v="MILLORAR L'EFICIÈNCIA de la gestió administrativa"/>
    <s v="16.3"/>
    <s v="Agilitzar, incrementar l'eficiència  i incrementar l’assoliment dels procediments administratius"/>
    <s v="16.3.4"/>
    <s v="Garantir la transparència administrativa"/>
    <s v="Específic"/>
    <s v="Obligatori"/>
    <s v="Garantir la transparència administrativa i l'accés a la informació pública"/>
    <s v="S'afegeix l'accés a la informació"/>
    <s v="Si"/>
    <s v="MITJANA"/>
    <x v="339"/>
    <m/>
    <m/>
    <x v="0"/>
    <x v="0"/>
  </r>
  <r>
    <x v="6"/>
    <n v="16"/>
    <s v="MILLORAR L'EFICIÈNCIA de la gestió administrativa"/>
    <s v="16.3"/>
    <s v="Agilitzar, incrementar l'eficiència  i incrementar l’assoliment dels procediments administratius"/>
    <s v="16.3.4"/>
    <s v="Garantir la transparència administrativa"/>
    <s v="Específic"/>
    <s v="Obligatori"/>
    <s v="Garantir la transparència administrativa i l'accés a la informació pública"/>
    <s v="S'afegeix l'accés a la informació"/>
    <s v="Si"/>
    <s v="MITJANA"/>
    <x v="340"/>
    <m/>
    <m/>
    <x v="0"/>
    <x v="0"/>
  </r>
  <r>
    <x v="6"/>
    <n v="16"/>
    <s v="MILLORAR L'EFICIÈNCIA de la gestió administrativa"/>
    <s v="16.3"/>
    <s v="Agilitzar, incrementar l'eficiència  i incrementar l’assoliment dels procediments administratius"/>
    <s v="16.3.4"/>
    <s v="Garantir la transparència administrativa"/>
    <m/>
    <m/>
    <s v="Garantir la transparència administrativa i l'accés a la informació pública"/>
    <m/>
    <s v="Si"/>
    <m/>
    <x v="341"/>
    <m/>
    <m/>
    <x v="0"/>
    <x v="0"/>
  </r>
  <r>
    <x v="6"/>
    <n v="16"/>
    <s v="MILLORAR L'EFICIÈNCIA de la gestió administrativa"/>
    <s v="16.3"/>
    <s v="Agilitzar, incrementar l'eficiència  i incrementar l’assoliment dels procediments administratius"/>
    <s v="16.3.5"/>
    <s v="Millorar i mantenir el material, infraestructures i equipaments de gestió de l'espai"/>
    <s v="Comú"/>
    <s v="Optatiu"/>
    <s v="Millorar i mantenir el material, infraestructures i equipaments de gestió de l'espai"/>
    <s v="no és procediment administratiu (16.3). Passat a 16.4.4"/>
    <s v="No"/>
    <s v="MITJANA"/>
    <x v="4"/>
    <s v="D'acord. Eliminat camp columna J perquè quedi clar que no es contempla. Deixat com a objectiu sense mesures incorporades a la planificació anual de l'espai. OK"/>
    <m/>
    <x v="0"/>
    <x v="0"/>
  </r>
  <r>
    <x v="6"/>
    <n v="16"/>
    <s v="MILLORAR L'EFICIÈNCIA de la gestió administrativa"/>
    <s v="16.4"/>
    <s v="Ordenar l'estat dels béns patrimonials"/>
    <s v="16.4.1"/>
    <s v="Revisar l’estat dels béns patrimonials i la situació administrativa-legal dels equipaments del parc"/>
    <s v="Comú"/>
    <s v="Obligatori"/>
    <s v="Revisar l’estat dels béns patrimonials i la situació administrativa-legal dels equipaments del parc"/>
    <m/>
    <s v="Si"/>
    <s v="MÀXIMA"/>
    <x v="342"/>
    <m/>
    <m/>
    <x v="0"/>
    <x v="0"/>
  </r>
  <r>
    <x v="6"/>
    <n v="16"/>
    <s v="MILLORAR L'EFICIÈNCIA de la gestió administrativa"/>
    <s v="16.4"/>
    <s v="Ordenar l'estat dels béns patrimonials"/>
    <s v="16.4.1"/>
    <s v="Revisar l’estat dels béns patrimonials i la situació administrativa-legal dels equipaments del parc"/>
    <s v="Comú"/>
    <s v="Obligatori"/>
    <s v="Revisar l’estat dels béns patrimonials i la situació administrativa-legal dels equipaments del parc"/>
    <m/>
    <m/>
    <m/>
    <x v="343"/>
    <m/>
    <m/>
    <x v="0"/>
    <x v="0"/>
  </r>
  <r>
    <x v="6"/>
    <n v="16"/>
    <s v="MILLORAR L'EFICIÈNCIA de la gestió administrativa"/>
    <s v="16.4"/>
    <s v="Ordenar l'estat dels béns patrimonials"/>
    <s v="16.4.1"/>
    <s v="Revisar l’estat dels béns patrimonials i la situació administrativa-legal dels equipaments del parc"/>
    <s v="Comú"/>
    <s v="Obligatori"/>
    <s v="Revisar l’estat dels béns patrimonials i la situació administrativa-legal dels equipaments del parc"/>
    <m/>
    <m/>
    <m/>
    <x v="344"/>
    <m/>
    <m/>
    <x v="0"/>
    <x v="0"/>
  </r>
  <r>
    <x v="6"/>
    <n v="16"/>
    <s v="MILLORAR L'EFICIÈNCIA de la gestió administrativa"/>
    <s v="16.4"/>
    <s v="Ordenar l'estat dels béns patrimonials"/>
    <s v="16.4.2"/>
    <s v="Tenir cobertes les pèrdues o danys materials del patrimoni de la Direcció General que hi ha a l'àmbit territorial del Parc, com a conseqüència de la materialització de qualsevol dels riscs emparats en el plec de prescripcions tècniques de la pòlissa."/>
    <s v="Comú"/>
    <s v="Obligatori"/>
    <s v="Col·laborar en la tramitació i la definició dels riscos de pèrdues o danys materials del patrimoni de la Generalitat de Catalunya en l'àmbit territorial del Parc per part de les pòlisses d'assegurances"/>
    <s v="No depèn, en últim terme, de nosaltres. Millora del redactat"/>
    <s v="Si"/>
    <s v="MÀXIMA"/>
    <x v="345"/>
    <m/>
    <m/>
    <x v="0"/>
    <x v="0"/>
  </r>
  <r>
    <x v="6"/>
    <n v="16"/>
    <s v="MILLORAR L'EFICIÈNCIA de la gestió administrativa"/>
    <s v="16.4"/>
    <s v="Ordenar l'estat dels béns patrimonials"/>
    <s v="16.4.3"/>
    <m/>
    <s v="Comú"/>
    <s v="Obligatori"/>
    <s v="Col·laborar en la tramitació i la definició dels riscos de les pòlisses d'assegurances de responsabilitat patrimonial i civil "/>
    <s v="*NOU. Ídem a l'anterior però en responsabilibitat civil"/>
    <s v="Si"/>
    <m/>
    <x v="346"/>
    <m/>
    <m/>
    <x v="0"/>
    <x v="0"/>
  </r>
  <r>
    <x v="6"/>
    <n v="16"/>
    <s v="MILLORAR L'EFICIÈNCIA de la gestió administrativa"/>
    <s v="16.4"/>
    <s v="Ordenar l'estat dels béns patrimonials"/>
    <s v="16.4.3"/>
    <m/>
    <m/>
    <m/>
    <s v="Col·laborar en la tramitació i la definició dels riscos de les pòlisses d'assegurances de responsabilitat patrimonial i civil "/>
    <m/>
    <s v="Si"/>
    <m/>
    <x v="347"/>
    <m/>
    <m/>
    <x v="0"/>
    <x v="0"/>
  </r>
  <r>
    <x v="6"/>
    <n v="16"/>
    <s v="MILLORAR L'EFICIÈNCIA de la gestió administrativa"/>
    <s v="16.4"/>
    <s v="Ordenar l'estat dels béns patrimonials"/>
    <s v="16.4.4"/>
    <m/>
    <m/>
    <m/>
    <s v="Mantenir i millorar els equipaments de gestió (oficines, cases forestals...) de l'ENP"/>
    <s v="*NOU. És equivalent a l'Op Millorar i mantenir el material i infraestructures de gestió (16.3.4)"/>
    <s v="Si"/>
    <m/>
    <x v="348"/>
    <m/>
    <m/>
    <x v="0"/>
    <x v="0"/>
  </r>
  <r>
    <x v="6"/>
    <n v="16"/>
    <s v="MILLORAR L'EFICIÈNCIA de la gestió administrativa"/>
    <s v="16.4"/>
    <s v="Ordenar l'estat dels béns patrimonials"/>
    <s v="16.4.4"/>
    <m/>
    <m/>
    <m/>
    <s v="Mantenir i millorar els equipaments de gestió (oficines, cases forestals...) de l'ENP"/>
    <s v="*NOU. És equivalent a l'Op Millorar i mantenir el material i infraestructures de gestió (16.3.4)"/>
    <s v="Si"/>
    <m/>
    <x v="349"/>
    <m/>
    <m/>
    <x v="0"/>
    <x v="0"/>
  </r>
  <r>
    <x v="6"/>
    <n v="16"/>
    <s v="MILLORAR L'EFICIÈNCIA de la gestió administrativa"/>
    <s v="16.4"/>
    <s v="Ordenar l'estat dels béns patrimonials"/>
    <s v="16.4.4"/>
    <m/>
    <m/>
    <m/>
    <s v="Mantenir i millorar els equipaments de gestió (oficines, cases forestals...) de l'ENP"/>
    <s v="*NOU. És equivalent a l'Op Millorar i mantenir el material i infraestructures de gestió (16.3.4)"/>
    <s v="Si"/>
    <m/>
    <x v="350"/>
    <m/>
    <m/>
    <x v="0"/>
    <x v="0"/>
  </r>
  <r>
    <x v="6"/>
    <n v="16"/>
    <s v="MILLORAR L'EFICIÈNCIA de la gestió administrativa"/>
    <s v="16.4"/>
    <s v="Ordenar l'estat dels béns patrimonials"/>
    <s v="16.4.4"/>
    <m/>
    <m/>
    <m/>
    <s v="Mantenir i millorar els equipaments de gestió (oficines, cases forestals...) de l'ENP"/>
    <s v="*NOU. És equivalent a l'Op Millorar i mantenir el material i infraestructures de gestió (16.3.4)"/>
    <s v="Si"/>
    <m/>
    <x v="351"/>
    <m/>
    <m/>
    <x v="0"/>
    <x v="0"/>
  </r>
  <r>
    <x v="6"/>
    <n v="16"/>
    <s v="MILLORAR L'EFICIÈNCIA de la gestió administrativa"/>
    <s v="16.4"/>
    <s v="Ordenar l'estat dels béns patrimonials"/>
    <s v="16.4.4"/>
    <m/>
    <m/>
    <m/>
    <s v="Mantenir i millorar els equipaments de gestió (oficines, cases forestals...) de l'ENP"/>
    <s v="*NOU. És equivalent a l'Op Millorar i mantenir el material i infraestructures de gestió (16.3.4)"/>
    <s v="Si"/>
    <m/>
    <x v="352"/>
    <m/>
    <m/>
    <x v="0"/>
    <x v="0"/>
  </r>
  <r>
    <x v="6"/>
    <n v="16"/>
    <s v="MILLORAR L'EFICIÈNCIA de la gestió administrativa"/>
    <s v="16.4"/>
    <s v="Ordenar l'estat dels béns patrimonials"/>
    <s v="16.4.4"/>
    <m/>
    <m/>
    <m/>
    <s v="Mantenir i millorar els equipaments de gestió (oficines, cases forestals...) de l'ENP"/>
    <s v="*NOU. És equivalent a l'Op Millorar i mantenir el material i infraestructures de gestió (16.3.4)"/>
    <s v="Si"/>
    <m/>
    <x v="353"/>
    <m/>
    <m/>
    <x v="0"/>
    <x v="0"/>
  </r>
  <r>
    <x v="6"/>
    <n v="16"/>
    <s v="MILLORAR L'EFICIÈNCIA de la gestió administrativa"/>
    <s v="16.4"/>
    <s v="Ordenar l'estat dels béns patrimonials"/>
    <s v="16.4.4"/>
    <m/>
    <m/>
    <m/>
    <s v="Mantenir i millorar els equipaments de gestió (oficines, cases forestals...) de l'ENP"/>
    <s v="*NOU. És equivalent a l'Op Millorar i mantenir el material i infraestructures de gestió (16.3.4)"/>
    <s v="Si"/>
    <m/>
    <x v="354"/>
    <m/>
    <m/>
    <x v="0"/>
    <x v="0"/>
  </r>
  <r>
    <x v="6"/>
    <n v="16"/>
    <s v="MILLORAR L'EFICIÈNCIA de la gestió administrativa"/>
    <s v="16.4"/>
    <s v="Ordenar l'estat dels béns patrimonials"/>
    <s v="16.4.4"/>
    <m/>
    <m/>
    <m/>
    <s v="Mantenir i millorar els equipaments de gestió (oficines, cases forestals...) de l'ENP"/>
    <s v="*NOU. És equivalent a l'Op Millorar i mantenir el material i infraestructures de gestió (16.3.4)"/>
    <s v="Si"/>
    <m/>
    <x v="355"/>
    <m/>
    <m/>
    <x v="0"/>
    <x v="0"/>
  </r>
  <r>
    <x v="6"/>
    <n v="16"/>
    <s v="MILLORAR L'EFICIÈNCIA de la gestió administrativa"/>
    <s v="16.4"/>
    <s v="Ordenar l'estat dels béns patrimonials"/>
    <s v="16.4.4"/>
    <m/>
    <m/>
    <m/>
    <s v="Mantenir i millorar els equipaments de gestió (oficines, cases forestals...) de l'ENP"/>
    <s v="*NOU. És equivalent a l'Op Millorar i mantenir el material i infraestructures de gestió (16.3.4)"/>
    <s v="Si"/>
    <m/>
    <x v="356"/>
    <m/>
    <m/>
    <x v="0"/>
    <x v="0"/>
  </r>
  <r>
    <x v="6"/>
    <n v="16"/>
    <s v="MILLORAR L'EFICIÈNCIA de la gestió administrativa"/>
    <s v="16.4"/>
    <s v="Ordenar l'estat dels béns patrimonials"/>
    <s v="16.4.4"/>
    <m/>
    <m/>
    <m/>
    <s v="Mantenir i millorar els equipaments de gestió (oficines, cases forestals...) de l'ENP"/>
    <s v="*NOU. És equivalent a l'Op Millorar i mantenir el material i infraestructures de gestió (16.3.4)"/>
    <s v="Si"/>
    <m/>
    <x v="357"/>
    <m/>
    <m/>
    <x v="0"/>
    <x v="0"/>
  </r>
  <r>
    <x v="6"/>
    <n v="16"/>
    <s v="MILLORAR L'EFICIÈNCIA de la gestió administrativa"/>
    <s v="16.4"/>
    <s v="Ordenar l'estat dels béns patrimonials"/>
    <s v="16.4.4"/>
    <m/>
    <m/>
    <m/>
    <s v="Mantenir i millorar els equipaments de gestió (oficines, cases forestals...) de l'ENP"/>
    <s v="*NOU. És equivalent a l'Op Millorar i mantenir el material i infraestructures de gestió (16.3.4)"/>
    <s v="Si"/>
    <m/>
    <x v="358"/>
    <m/>
    <m/>
    <x v="0"/>
    <x v="0"/>
  </r>
  <r>
    <x v="6"/>
    <n v="16"/>
    <s v="MILLORAR L'EFICIÈNCIA de la gestió administrativa"/>
    <s v="16.4"/>
    <s v="Ordenar l'estat dels béns patrimonials"/>
    <s v="16.4.4"/>
    <m/>
    <m/>
    <m/>
    <s v="Mantenir i millorar els equipaments de gestió (oficines, cases forestals...) de l'ENP"/>
    <s v="*NOU. És equivalent a l'Op Millorar i mantenir el material i infraestructures de gestió (16.3.4)"/>
    <s v="Si"/>
    <m/>
    <x v="359"/>
    <m/>
    <m/>
    <x v="0"/>
    <x v="0"/>
  </r>
  <r>
    <x v="6"/>
    <n v="16"/>
    <s v="MILLORAR L'EFICIÈNCIA de la gestió administrativa"/>
    <s v="16.4"/>
    <s v="Ordenar l'estat dels béns patrimonials"/>
    <s v="16.4.4"/>
    <m/>
    <m/>
    <m/>
    <s v="Mantenir i millorar els equipaments de gestió (oficines, cases forestals...) de l'ENP"/>
    <s v="*NOU. És equivalent a l'Op Millorar i mantenir el material i infraestructures de gestió (16.3.4)"/>
    <s v="Si"/>
    <m/>
    <x v="360"/>
    <m/>
    <m/>
    <x v="0"/>
    <x v="0"/>
  </r>
  <r>
    <x v="6"/>
    <n v="16"/>
    <s v="MILLORAR L'EFICIÈNCIA de la gestió administrativa"/>
    <s v="16.4"/>
    <s v="Ordenar l'estat dels béns patrimonials"/>
    <s v="16.4.4"/>
    <m/>
    <m/>
    <m/>
    <s v="Mantenir i millorar els equipaments de gestió (oficines, cases forestals...) de l'ENP"/>
    <s v="*NOU. És equivalent a l'Op Millorar i mantenir el material i infraestructures de gestió (16.3.4)"/>
    <s v="Si"/>
    <m/>
    <x v="361"/>
    <m/>
    <m/>
    <x v="0"/>
    <x v="0"/>
  </r>
  <r>
    <x v="6"/>
    <n v="16"/>
    <s v="MILLORAR L'EFICIÈNCIA de la gestió administrativa"/>
    <s v="16.4"/>
    <s v="Ordenar l'estat dels béns patrimonials"/>
    <s v="16.4.4"/>
    <m/>
    <m/>
    <m/>
    <s v="Mantenir i millorar els equipaments de gestió (oficines, cases forestals...) de l'ENP"/>
    <s v="*NOU. És equivalent a l'Op Millorar i mantenir el material i infraestructures de gestió (16.3.4)"/>
    <s v="Si"/>
    <m/>
    <x v="362"/>
    <m/>
    <m/>
    <x v="0"/>
    <x v="0"/>
  </r>
  <r>
    <x v="6"/>
    <n v="16"/>
    <s v="MILLORAR L'EFICIÈNCIA de la gestió administrativa"/>
    <s v="16.5"/>
    <s v="Estructurar la gestió documental"/>
    <s v="16.5.1"/>
    <s v="Millorar l'accessibilitat i de la gestió documental i digital de l'ENP"/>
    <s v="Comú"/>
    <s v="Obligatori"/>
    <s v="Millorar l'accessibilitat i de la gestió documental i digital de l'ENP"/>
    <m/>
    <s v="Si"/>
    <s v="BAIXA"/>
    <x v="363"/>
    <m/>
    <m/>
    <x v="0"/>
    <x v="0"/>
  </r>
  <r>
    <x v="6"/>
    <n v="16"/>
    <s v="MILLORAR L'EFICIÈNCIA de la gestió administrativa"/>
    <s v="16.5"/>
    <s v="Estructurar la gestió documental"/>
    <s v="16.5.1"/>
    <s v="Millorar l'accessibilitat i de la gestió documental i digital de l'ENP"/>
    <s v="Comú"/>
    <s v="Obligatori"/>
    <s v="Millorar l'accessibilitat i de la gestió documental i digital de l'ENP"/>
    <m/>
    <m/>
    <m/>
    <x v="364"/>
    <m/>
    <m/>
    <x v="0"/>
    <x v="0"/>
  </r>
  <r>
    <x v="6"/>
    <n v="16"/>
    <s v="MILLORAR L'EFICIÈNCIA de la gestió administrativa"/>
    <s v="16.5"/>
    <s v="Estructurar la gestió documental"/>
    <s v="16.5.1"/>
    <s v="Millorar l'accessibilitat i de la gestió documental i digital de l'ENP"/>
    <s v="Comú"/>
    <s v="Obligatori"/>
    <s v="Millorar l'accessibilitat i de la gestió documental i digital de l'ENP"/>
    <m/>
    <m/>
    <m/>
    <x v="365"/>
    <m/>
    <m/>
    <x v="0"/>
    <x v="0"/>
  </r>
  <r>
    <x v="6"/>
    <n v="16"/>
    <s v="MILLORAR L'EFICIÈNCIA de la gestió administrativa"/>
    <s v="16.5"/>
    <s v="Estructurar la gestió documental"/>
    <s v="16.5.1"/>
    <s v="Millorar l'accessibilitat i de la gestió documental i digital de l'ENP"/>
    <s v="Comú"/>
    <s v="Obligatori"/>
    <s v="Millorar l'accessibilitat i de la gestió documental i digital de l'ENP"/>
    <m/>
    <s v="Si"/>
    <m/>
    <x v="366"/>
    <m/>
    <m/>
    <x v="0"/>
    <x v="0"/>
  </r>
  <r>
    <x v="6"/>
    <n v="16"/>
    <s v="MILLORAR L'EFICIÈNCIA de la gestió administrativa"/>
    <s v="16.5"/>
    <s v="Estructurar la gestió documental"/>
    <s v="16.5.1"/>
    <s v="Millorar l'accessibilitat i de la gestió documental i digital de l'ENP"/>
    <s v="Comú"/>
    <s v="Obligatori"/>
    <s v="Millorar l'accessibilitat i de la gestió documental i digital de l'ENP"/>
    <m/>
    <s v="Si"/>
    <m/>
    <x v="367"/>
    <m/>
    <m/>
    <x v="0"/>
    <x v="0"/>
  </r>
  <r>
    <x v="6"/>
    <n v="16"/>
    <s v="MILLORAR L'EFICIÈNCIA de la gestió administrativa"/>
    <s v="16.5"/>
    <s v="Estructurar la gestió documental"/>
    <s v="16.5.1"/>
    <s v="Millorar l'accessibilitat i de la gestió documental i digital de l'ENP"/>
    <s v="Comú"/>
    <s v="Obligatori"/>
    <s v="Millorar l'accessibilitat i de la gestió documental i digital de l'ENP"/>
    <m/>
    <s v="Si"/>
    <m/>
    <x v="368"/>
    <m/>
    <m/>
    <x v="0"/>
    <x v="0"/>
  </r>
  <r>
    <x v="6"/>
    <n v="16"/>
    <s v="MILLORAR L'EFICIÈNCIA de la gestió administrativa"/>
    <s v="16.5"/>
    <s v="Estructurar la gestió documental"/>
    <s v="16.5.1"/>
    <s v="Millorar l'accessibilitat i de la gestió documental i digital de l'ENP"/>
    <s v="Comú"/>
    <s v="Obligatori"/>
    <s v="Millorar l'accessibilitat i de la gestió documental i digital de l'ENP"/>
    <m/>
    <s v="Si"/>
    <m/>
    <x v="369"/>
    <m/>
    <m/>
    <x v="0"/>
    <x v="0"/>
  </r>
  <r>
    <x v="6"/>
    <n v="16"/>
    <s v="MILLORAR L'EFICIÈNCIA de la gestió administrativa"/>
    <s v="16.5"/>
    <s v="Estructurar la gestió documental"/>
    <s v="16.5.1"/>
    <s v="Millorar l'accessibilitat i de la gestió documental i digital de l'ENP"/>
    <s v="Comú"/>
    <s v="Obligatori"/>
    <s v="Millorar l'accessibilitat i de la gestió documental i digital de l'ENP"/>
    <m/>
    <s v="Si"/>
    <m/>
    <x v="370"/>
    <m/>
    <m/>
    <x v="0"/>
    <x v="0"/>
  </r>
  <r>
    <x v="6"/>
    <n v="16"/>
    <s v="MILLORAR L'EFICIÈNCIA de la gestió administrativa"/>
    <s v="16.5"/>
    <s v="Estructurar la gestió documental"/>
    <s v="16.5.1"/>
    <s v="Millorar l'accessibilitat i de la gestió documental i digital de l'ENP"/>
    <s v="Comú"/>
    <s v="Obligatori"/>
    <s v="Millorar l'accessibilitat i de la gestió documental i digital de l'ENP"/>
    <m/>
    <s v="Si"/>
    <m/>
    <x v="371"/>
    <m/>
    <m/>
    <x v="0"/>
    <x v="0"/>
  </r>
  <r>
    <x v="6"/>
    <n v="16"/>
    <s v="MILLORAR L'EFICIÈNCIA de la gestió administrativa"/>
    <s v="16.5"/>
    <s v="Estructurar la gestió documental"/>
    <s v="16.5.1"/>
    <s v="Millorar l'accessibilitat i de la gestió documental i digital de l'ENP"/>
    <s v="Comú"/>
    <s v="Obligatori"/>
    <s v="Millorar l'accessibilitat i de la gestió documental i digital de l'ENP"/>
    <m/>
    <s v="Si"/>
    <m/>
    <x v="372"/>
    <m/>
    <m/>
    <x v="0"/>
    <x v="0"/>
  </r>
  <r>
    <x v="6"/>
    <n v="16"/>
    <s v="MILLORAR L'EFICIÈNCIA de la gestió administrativa"/>
    <s v="16.5"/>
    <s v="Estructurar la gestió documental"/>
    <s v="16.5.1"/>
    <s v="Millorar l'accessibilitat i de la gestió documental i digital de l'ENP"/>
    <s v="Comú"/>
    <s v="Obligatori"/>
    <s v="Millorar l'accessibilitat i de la gestió documental i digital de l'ENP"/>
    <m/>
    <s v="Si"/>
    <m/>
    <x v="373"/>
    <m/>
    <m/>
    <x v="0"/>
    <x v="0"/>
  </r>
  <r>
    <x v="6"/>
    <n v="16"/>
    <s v="MILLORAR L'EFICIÈNCIA de la gestió administrativa"/>
    <s v="16.5"/>
    <s v="Estructurar la gestió documental"/>
    <s v="16.5.1"/>
    <s v="Millorar l'accessibilitat i de la gestió documental i digital de l'ENP"/>
    <s v="Comú"/>
    <s v="Obligatori"/>
    <s v="Millorar l'accessibilitat i de la gestió documental i digital de l'ENP"/>
    <m/>
    <s v="Si"/>
    <m/>
    <x v="374"/>
    <m/>
    <m/>
    <x v="0"/>
    <x v="0"/>
  </r>
  <r>
    <x v="6"/>
    <n v="16"/>
    <s v="MILLORAR L'EFICIÈNCIA de la gestió administrativa"/>
    <s v="16.5"/>
    <s v="Estructurar la gestió documental"/>
    <s v="16.5.1"/>
    <s v="Millorar l'accessibilitat i de la gestió documental i digital de l'ENP"/>
    <s v="Comú"/>
    <s v="Obligatori"/>
    <s v="Millorar l'accessibilitat i de la gestió documental i digital de l'ENP"/>
    <m/>
    <s v="Si"/>
    <m/>
    <x v="375"/>
    <m/>
    <m/>
    <x v="0"/>
    <x v="0"/>
  </r>
  <r>
    <x v="6"/>
    <n v="16"/>
    <s v="MILLORAR L'EFICIÈNCIA de la gestió administrativa"/>
    <s v="16.6"/>
    <s v="Gestionar recursos humans"/>
    <s v="16.6.1"/>
    <s v="Gestió de la brigada de manteniment"/>
    <s v="Específic"/>
    <s v="Obligatori"/>
    <s v="Gestionar i coordinar la brigada de manteniment de l'ENP"/>
    <s v="Millora del redactat"/>
    <s v="Si"/>
    <s v="BAIXA"/>
    <x v="376"/>
    <m/>
    <m/>
    <x v="0"/>
    <x v="0"/>
  </r>
  <r>
    <x v="6"/>
    <n v="16"/>
    <s v="MILLORAR L'EFICIÈNCIA de la gestió administrativa"/>
    <s v="16.6"/>
    <s v="Gestionar recursos humans"/>
    <s v="16.6.1"/>
    <s v="Gestió de la brigada de manteniment"/>
    <s v="Específic"/>
    <s v="Obligatori"/>
    <s v="Gestionar i coordinar la brigada de manteniment de l'ENP"/>
    <s v="Millora del redactat"/>
    <s v="Si"/>
    <m/>
    <x v="377"/>
    <m/>
    <m/>
    <x v="0"/>
    <x v="0"/>
  </r>
  <r>
    <x v="6"/>
    <n v="16"/>
    <s v="MILLORAR L'EFICIÈNCIA de la gestió administrativa"/>
    <s v="16.6"/>
    <s v="Gestionar recursos humans"/>
    <s v="16.6.1"/>
    <s v="Gestió de la brigada de manteniment"/>
    <s v="Específic"/>
    <s v="Obligatori"/>
    <s v="Gestionar i coordinar la brigada de manteniment de l'ENP"/>
    <s v="Millora del redactat"/>
    <s v="Si"/>
    <m/>
    <x v="378"/>
    <m/>
    <m/>
    <x v="0"/>
    <x v="0"/>
  </r>
  <r>
    <x v="6"/>
    <n v="16"/>
    <s v="MILLORAR L'EFICIÈNCIA de la gestió administrativa"/>
    <s v="16.6"/>
    <s v="Gestionar recursos humans"/>
    <s v="16.6.1"/>
    <s v="Gestió de la brigada de manteniment"/>
    <s v="Específic"/>
    <s v="Obligatori"/>
    <s v="Gestionar i coordinar la brigada de manteniment de l'ENP"/>
    <s v="Millora del redactat"/>
    <s v="Si"/>
    <m/>
    <x v="379"/>
    <m/>
    <m/>
    <x v="0"/>
    <x v="0"/>
  </r>
  <r>
    <x v="6"/>
    <n v="16"/>
    <s v="MILLORAR L'EFICIÈNCIA de la gestió administrativa"/>
    <s v="16.6"/>
    <s v="Gestionar recursos humans"/>
    <s v="16.6.1"/>
    <s v="Gestió de la brigada de manteniment"/>
    <s v="Específic"/>
    <s v="Obligatori"/>
    <s v="Gestionar i coordinar la brigada de manteniment de l'ENP"/>
    <s v="Millora del redactat"/>
    <s v="Si"/>
    <m/>
    <x v="380"/>
    <m/>
    <m/>
    <x v="0"/>
    <x v="0"/>
  </r>
  <r>
    <x v="6"/>
    <n v="16"/>
    <s v="MILLORAR L'EFICIÈNCIA de la gestió administrativa"/>
    <s v="16.6"/>
    <s v="Gestionar recursos humans"/>
    <s v="16.6.2"/>
    <s v="Gestionar, enfortir i consolidar l'equip de gestió del parc"/>
    <s v="Específic"/>
    <s v="Obligatori"/>
    <s v="Gestionar, enfortir i consolidar l'equip de gestió del parc"/>
    <m/>
    <s v="Si"/>
    <m/>
    <x v="381"/>
    <m/>
    <m/>
    <x v="0"/>
    <x v="0"/>
  </r>
  <r>
    <x v="6"/>
    <n v="16"/>
    <s v="MILLORAR L'EFICIÈNCIA de la gestió administrativa"/>
    <s v="16.6"/>
    <s v="Gestionar recursos humans"/>
    <s v="16.6.2"/>
    <s v="Gestionar, enfortir i consolidar l'equip de gestió del parc"/>
    <s v="Específic"/>
    <s v="Obligatori"/>
    <s v="Gestionar, enfortir i consolidar l'equip de gestió del parc"/>
    <m/>
    <s v="Si"/>
    <m/>
    <x v="382"/>
    <m/>
    <m/>
    <x v="0"/>
    <x v="0"/>
  </r>
  <r>
    <x v="6"/>
    <n v="16"/>
    <s v="MILLORAR L'EFICIÈNCIA de la gestió administrativa"/>
    <s v="16.6"/>
    <s v="Gestionar recursos humans"/>
    <s v="16.6.2"/>
    <s v="Gestionar, enfortir i consolidar l'equip de gestió del parc"/>
    <s v="Específic"/>
    <s v="Obligatori"/>
    <s v="Gestionar, enfortir i consolidar l'equip de gestió del parc"/>
    <m/>
    <s v="Si"/>
    <s v="BAIXA"/>
    <x v="383"/>
    <m/>
    <m/>
    <x v="0"/>
    <x v="0"/>
  </r>
  <r>
    <x v="6"/>
    <n v="16"/>
    <s v="MILLORAR L'EFICIÈNCIA de la gestió administrativa"/>
    <s v="16.6"/>
    <s v="Gestionar recursos humans"/>
    <s v="16.6.2"/>
    <s v="Gestionar, enfortir i consolidar l'equip de gestió del parc"/>
    <s v="Específic"/>
    <s v="Obligatori"/>
    <s v="Gestionar, enfortir i consolidar l'equip de gestió del parc"/>
    <m/>
    <s v="Si"/>
    <s v="MÀXIMA"/>
    <x v="384"/>
    <m/>
    <m/>
    <x v="0"/>
    <x v="0"/>
  </r>
  <r>
    <x v="6"/>
    <n v="16"/>
    <s v="MILLORAR L'EFICIÈNCIA de la gestió administrativa"/>
    <s v="16.6"/>
    <s v="Gestionar recursos humans"/>
    <s v="16.6.2"/>
    <s v="Gestionar, enfortir i consolidar l'equip de gestió del parc"/>
    <s v="Específic"/>
    <s v="Obligatori"/>
    <s v="Gestionar, enfortir i consolidar l'equip de gestió del parc"/>
    <m/>
    <s v="Si"/>
    <s v="MÀXIMA"/>
    <x v="385"/>
    <m/>
    <m/>
    <x v="0"/>
    <x v="0"/>
  </r>
  <r>
    <x v="6"/>
    <n v="16"/>
    <s v="MILLORAR L'EFICIÈNCIA de la gestió administrativa"/>
    <s v="16.6"/>
    <s v="Gestionar recursos humans"/>
    <s v="16.6.2"/>
    <s v="Gestionar, enfortir i consolidar l'equip de gestió del parc"/>
    <s v="Específic"/>
    <s v="Obligatori"/>
    <s v="Gestionar, enfortir i consolidar l'equip de gestió del parc"/>
    <m/>
    <s v="Si"/>
    <s v="MÀXIMA"/>
    <x v="386"/>
    <m/>
    <m/>
    <x v="0"/>
    <x v="0"/>
  </r>
  <r>
    <x v="6"/>
    <n v="16"/>
    <s v="MILLORAR L'EFICIÈNCIA de la gestió administrativa"/>
    <s v="16.6"/>
    <s v="Gestionar recursos humans"/>
    <s v="16.6.2"/>
    <s v="Gestionar, enfortir i consolidar l'equip de gestió del parc"/>
    <s v="Específic"/>
    <s v="Obligatori"/>
    <s v="Gestionar, enfortir i consolidar l'equip de gestió del parc"/>
    <m/>
    <s v="Si"/>
    <s v="MÀXIMA"/>
    <x v="387"/>
    <m/>
    <m/>
    <x v="0"/>
    <x v="0"/>
  </r>
  <r>
    <x v="6"/>
    <n v="16"/>
    <s v="MILLORAR L'EFICIÈNCIA de la gestió administrativa"/>
    <s v="16.6"/>
    <s v="Gestionar recursos humans"/>
    <s v="16.6.2"/>
    <s v="Gestionar, enfortir i consolidar l'equip de gestió del parc"/>
    <s v="Específic"/>
    <s v="Obligatori"/>
    <s v="Gestionar, enfortir i consolidar l'equip de gestió del parc"/>
    <m/>
    <s v="Si"/>
    <s v="BAIXA"/>
    <x v="388"/>
    <m/>
    <m/>
    <x v="0"/>
    <x v="0"/>
  </r>
  <r>
    <x v="6"/>
    <n v="16"/>
    <s v="MILLORAR L'EFICIÈNCIA de la gestió administrativa"/>
    <s v="16.6"/>
    <s v="Gestionar recursos humans"/>
    <s v="16.6.3"/>
    <s v="Gestió ordinària i imprevistos no contemplats en cap dels Objectius opertatius anteriors"/>
    <s v="Comú"/>
    <s v="Optatiu"/>
    <s v="Gestió ordinària i imprevistos no contemplats en cap dels Objectius opertatius anteriors"/>
    <m/>
    <s v="Si"/>
    <s v="BAIXA"/>
    <x v="389"/>
    <m/>
    <m/>
    <x v="0"/>
    <x v="0"/>
  </r>
</pivotCacheRecords>
</file>

<file path=xl/pivotCache/pivotCacheRecords3.xml><?xml version="1.0" encoding="utf-8"?>
<pivotCacheRecords xmlns="http://schemas.openxmlformats.org/spreadsheetml/2006/main" xmlns:r="http://schemas.openxmlformats.org/officeDocument/2006/relationships" count="468">
  <r>
    <x v="0"/>
    <x v="0"/>
    <x v="0"/>
    <x v="0"/>
    <x v="0"/>
    <x v="0"/>
    <s v="Implementar i executar plans de gestió específics per a hàbitats i espècies de conservació prioritària dins l'ENP"/>
    <s v="Comú"/>
    <s v="Obligatori "/>
    <x v="0"/>
    <s v="Primer, caldria elaborar aquests plans, ja que no existeixen"/>
    <x v="0"/>
    <s v="ALTA"/>
    <s v="Participar en les reunions del GT de Conservació per a coordinar les actuacions de conservació i de seguiment dels elements de biodiversitat"/>
    <s v="La part d’execucio de les mesures i totes les actuacions concretes lligades a aquestes, es podria traslladar al 1.2.2, i deixar aquí només la planificacio (criteri DG-Parpal aplicat a altres espais). Si s’accepta, es proposa modificar redactat OP i treure la part d’executar. MODIFICAT"/>
    <m/>
    <m/>
    <m/>
    <x v="0"/>
    <s v="MAP"/>
    <s v="SFF: Elaboració de plans de gestió específics per a espècies de conservació prioritària i directrius de gestió d'hàbitats._x000a_SFF/SENP: Definir a nivell de cluster quins son els que es poden elaborar conjuntament."/>
    <s v="1) Nombre de plans de gestió específics per a elements prioritaris redactats i implementats._x000a_2) Nombre de Plans de recuperació en els que s'ha participat"/>
    <s v="1) 1_x000a_2) 1_x000a_"/>
    <s v="1) 10_x000a_2) 4_x000a_"/>
    <m/>
    <s v="APR"/>
    <s v="JMQ"/>
    <m/>
    <m/>
    <m/>
    <m/>
    <m/>
    <m/>
    <m/>
    <m/>
    <m/>
    <n v="0"/>
  </r>
  <r>
    <x v="0"/>
    <x v="0"/>
    <x v="0"/>
    <x v="0"/>
    <x v="0"/>
    <x v="0"/>
    <s v="Implementar i executar plans de gestió específics per a hàbitats i espècies de conservació prioritària dins l'ENP"/>
    <s v="Comú"/>
    <s v="Obligatori "/>
    <x v="0"/>
    <s v="Primer, caldria elaborar aquests plans, ja que no existeixen"/>
    <x v="0"/>
    <s v="ALTA"/>
    <s v="Participar en l'elaboració dels Plans de recuperació o de Conservació de les espècies amenaçades presents al PNP"/>
    <m/>
    <m/>
    <m/>
    <m/>
    <x v="1"/>
    <m/>
    <m/>
    <m/>
    <m/>
    <m/>
    <m/>
    <s v="APR"/>
    <s v="JMQ/MAC"/>
    <m/>
    <m/>
    <m/>
    <m/>
    <m/>
    <m/>
    <m/>
    <m/>
    <m/>
    <m/>
  </r>
  <r>
    <x v="0"/>
    <x v="0"/>
    <x v="0"/>
    <x v="0"/>
    <x v="0"/>
    <x v="1"/>
    <s v="Adaptar i executar plans de gestió específics per a elements geològics de conservació prioritària dins l'ENP"/>
    <s v="Comú"/>
    <s v="Obligatori "/>
    <x v="1"/>
    <s v="Primer, caldria elaborar aquests plans, ja que no existeixen"/>
    <x v="0"/>
    <s v="MITJANA"/>
    <s v="Participar en les reunions del GT de Geoconservació per a coordinar les actuacions de conservació i de seguiment dels elements geològics de conservació prioritària protegida"/>
    <m/>
    <s v="elements geològics de conservació prioritària protegida: és la denominació correcta? Treure protegida? Ho mantenim, ja que existeix cet grau de protecció"/>
    <m/>
    <m/>
    <x v="2"/>
    <m/>
    <m/>
    <s v="Nombre d'actuacions de manteniment i conservació d'elements geològics prioritaris executades."/>
    <n v="1"/>
    <n v="4"/>
    <m/>
    <s v="APR"/>
    <s v="JMQ"/>
    <m/>
    <m/>
    <m/>
    <m/>
    <m/>
    <m/>
    <m/>
    <m/>
    <m/>
    <m/>
  </r>
  <r>
    <x v="0"/>
    <x v="0"/>
    <x v="0"/>
    <x v="0"/>
    <x v="0"/>
    <x v="1"/>
    <s v="Adaptar i executar plans de gestió específics per a elements geològics de conservació prioritària dins l'ENP"/>
    <s v="Comú"/>
    <s v="Obligatori "/>
    <x v="1"/>
    <s v="Primer, caldria elaborar aquests plans, ja que no existeixen"/>
    <x v="0"/>
    <s v="MITJANA"/>
    <s v="Introduir mesures de gestió preventiva en informes per evitar impactes significatius en els valors geològics"/>
    <m/>
    <m/>
    <m/>
    <m/>
    <x v="1"/>
    <m/>
    <m/>
    <m/>
    <m/>
    <m/>
    <m/>
    <s v="APR"/>
    <s v="JMQ"/>
    <m/>
    <m/>
    <m/>
    <m/>
    <m/>
    <m/>
    <m/>
    <m/>
    <m/>
    <n v="0"/>
  </r>
  <r>
    <x v="0"/>
    <x v="0"/>
    <x v="0"/>
    <x v="1"/>
    <x v="1"/>
    <x v="2"/>
    <s v="Implementar la metodologia de gestió adaptativa (Estàndards Oberts de Gestió Adaptativa a Catalunya) en tots els processos de l'ENP"/>
    <s v="Comú"/>
    <s v="Obligatori"/>
    <x v="2"/>
    <m/>
    <x v="0"/>
    <s v="MÀXIMA"/>
    <m/>
    <s v="Exemple accions Montsant: 1. Priorització d'espècies en base a laDirectiva.                                                             _x000a_2. Priorització d'hàbitats a conservar en base a la Directiva.                                       _x000a_3. Aplicació dels Open Standard (creació d'un document en base a un diagrama de flux sobre els OS del Parc)."/>
    <m/>
    <s v="Implementar la metodologia de gestió adaptativa (Estàndards Oberts de Gestió Adaptativa a Catalunya) en tots els processos de l'ENP"/>
    <m/>
    <x v="3"/>
    <s v="ESNATURA"/>
    <s v="SENP: Elaboració d'un manual per la implementació dels OSAM"/>
    <s v="Creació del sistema de seguiment"/>
    <n v="1"/>
    <n v="1"/>
    <m/>
    <s v="APR"/>
    <s v="JMQ/MAC"/>
    <m/>
    <m/>
    <m/>
    <m/>
    <m/>
    <m/>
    <m/>
    <m/>
    <m/>
    <n v="0"/>
  </r>
  <r>
    <x v="0"/>
    <x v="0"/>
    <x v="0"/>
    <x v="1"/>
    <x v="1"/>
    <x v="3"/>
    <s v="Executar les mesures previstes en els plans de conservació o recuperació d'espècies amenaçades de forma coordinada amb el Servei de Flora i Fauna en l'àmbit de l'ENP"/>
    <s v="Comú"/>
    <s v="Obligatori "/>
    <x v="3"/>
    <s v="També participar en l'elaboració dels plans. Servei de Fauna i Flora"/>
    <x v="0"/>
    <s v="MÀXIMA"/>
    <s v="Projecte de reintroducció del trencalòs Gypaetus barbatus: Alimentació aus amenaçades"/>
    <m/>
    <m/>
    <m/>
    <m/>
    <x v="4"/>
    <s v="MAP_x000a_Catàlegs"/>
    <s v="SFF: Elaboració de plans de conservació o recuperació d'espècies protegides"/>
    <s v="1) Nombre d'aportacions anuals als canyets de trencalòs_x000a_2) Nombre d'exemplars de voltor negre alliberats_x000a_3) Nombre d'exemplars de tortuga mediterrània alliberats_x000a_4) Nombre d'actuacions de millora de l'hàbitat sobre flora amenaçada"/>
    <s v="1) 90_x000a_2) 5_x000a_3) 600_x000a_4) 4"/>
    <s v="1) 100_x000a_2) 10_x000a_3) 800_x000a_4) 8"/>
    <m/>
    <s v="APR"/>
    <s v="JMQ"/>
    <m/>
    <m/>
    <m/>
    <m/>
    <m/>
    <m/>
    <m/>
    <m/>
    <m/>
    <n v="0"/>
  </r>
  <r>
    <x v="0"/>
    <x v="0"/>
    <x v="0"/>
    <x v="1"/>
    <x v="1"/>
    <x v="3"/>
    <s v="Executar les mesures previstes en els plans de conservació o recuperació d'espècies amenaçades de forma coordinada amb el Servei de Flora i Fauna en l'àmbit de l'ENP"/>
    <s v="Comú"/>
    <s v="Obligatori "/>
    <x v="3"/>
    <s v="També participar en l'elaboració dels plans. Servei de Fauna i Flora és el nom correcte"/>
    <x v="0"/>
    <m/>
    <s v="Projecte de reintroducció del trencalòs: Col·laboració en el projecte de reintroducció del trencalòs Gypaetus barbatus al PN de la Tinença de Benifassà (reunions, participació en els alliberaments, seguiment a PNP...)"/>
    <m/>
    <m/>
    <m/>
    <m/>
    <x v="1"/>
    <m/>
    <m/>
    <m/>
    <m/>
    <m/>
    <m/>
    <s v="APR"/>
    <s v="JMQ"/>
    <m/>
    <m/>
    <m/>
    <m/>
    <m/>
    <m/>
    <m/>
    <m/>
    <m/>
    <n v="0"/>
  </r>
  <r>
    <x v="0"/>
    <x v="0"/>
    <x v="0"/>
    <x v="1"/>
    <x v="1"/>
    <x v="3"/>
    <s v="Executar les mesures previstes en els plans de conservació o recuperació d'espècies amenaçades de forma coordinada amb el Servei de Flora i Fauna en l'àmbit de l'ENP"/>
    <s v="Comú"/>
    <s v="Obligatori "/>
    <x v="3"/>
    <s v="També participar en l'elaboració dels plans. Servei de Fauna i Flora és el nom correcte"/>
    <x v="0"/>
    <m/>
    <s v="Projecte de reintroducció del voltor negre al PN Ports: assistència tècnica "/>
    <m/>
    <m/>
    <m/>
    <m/>
    <x v="1"/>
    <m/>
    <m/>
    <m/>
    <m/>
    <m/>
    <m/>
    <s v="APR"/>
    <s v="JMQ"/>
    <m/>
    <m/>
    <m/>
    <m/>
    <m/>
    <m/>
    <m/>
    <m/>
    <m/>
    <m/>
  </r>
  <r>
    <x v="0"/>
    <x v="0"/>
    <x v="0"/>
    <x v="1"/>
    <x v="1"/>
    <x v="3"/>
    <s v="Executar les mesures previstes en els plans de conservació o recuperació d'espècies amenaçades de forma coordinada amb el Servei de Flora i Fauna en l'àmbit de l'ENP"/>
    <s v="Comú"/>
    <s v="Obligatori "/>
    <x v="3"/>
    <s v="També participar en l'elaboració dels plans. Servei de Fauna i Flora és el nom correcte"/>
    <x v="0"/>
    <m/>
    <s v="Projecte de reintroducció del voltor negre al PN Ports: Coordinació i seguiment  del projecte de reintroducció local del voltor negre Aegypius monachus"/>
    <m/>
    <m/>
    <m/>
    <m/>
    <x v="1"/>
    <m/>
    <m/>
    <m/>
    <m/>
    <m/>
    <m/>
    <s v="APR"/>
    <s v="JMQ"/>
    <m/>
    <m/>
    <m/>
    <m/>
    <m/>
    <m/>
    <m/>
    <m/>
    <m/>
    <m/>
  </r>
  <r>
    <x v="0"/>
    <x v="0"/>
    <x v="0"/>
    <x v="1"/>
    <x v="1"/>
    <x v="3"/>
    <s v="Executar les mesures previstes en els plans de conservació o recuperació d'espècies amenaçades de forma coordinada amb el Servei de Flora i Fauna en l'àmbit de l'ENP"/>
    <s v="Comú"/>
    <s v="Obligatori "/>
    <x v="3"/>
    <s v="També participar en l'elaboració dels plans. Servei de Fauna i Flora és el nom correcte"/>
    <x v="0"/>
    <m/>
    <s v="Projecte de reintroducció de la tortuga mediterrània al PN Ports: Coordinació i seguiment  del projecte de reintroducció local "/>
    <m/>
    <m/>
    <m/>
    <m/>
    <x v="1"/>
    <m/>
    <m/>
    <m/>
    <m/>
    <m/>
    <m/>
    <s v="APR"/>
    <s v="JMQ"/>
    <m/>
    <m/>
    <m/>
    <m/>
    <m/>
    <m/>
    <m/>
    <m/>
    <m/>
    <m/>
  </r>
  <r>
    <x v="0"/>
    <x v="0"/>
    <x v="0"/>
    <x v="1"/>
    <x v="1"/>
    <x v="3"/>
    <s v="Executar les mesures previstes en els plans de conservació o recuperació d'espècies amenaçades de forma coordinada amb el Servei de Flora i Fauna en l'àmbit de l'ENP"/>
    <s v="Comú"/>
    <s v="Obligatori "/>
    <x v="3"/>
    <s v="També participar en l'elaboració dels plans. Servei de Fauna i Flora és el nom correcte"/>
    <x v="0"/>
    <m/>
    <s v="Projecte de reintroducció de la tortuga mediterrània al PN Ports: Alliberaments d'exemplars de tortuga mediterrània Testudo hermanni"/>
    <m/>
    <m/>
    <m/>
    <m/>
    <x v="1"/>
    <m/>
    <m/>
    <m/>
    <m/>
    <m/>
    <m/>
    <s v="APR"/>
    <s v="JMQ"/>
    <m/>
    <m/>
    <m/>
    <m/>
    <m/>
    <m/>
    <m/>
    <m/>
    <m/>
    <m/>
  </r>
  <r>
    <x v="0"/>
    <x v="0"/>
    <x v="0"/>
    <x v="1"/>
    <x v="1"/>
    <x v="3"/>
    <s v="Executar les mesures previstes en els plans de conservació o recuperació d'espècies amenaçades de forma coordinada amb el Servei de Flora i Fauna en l'àmbit de l'ENP"/>
    <s v="Comú"/>
    <s v="Obligatori "/>
    <x v="3"/>
    <s v="També participar en l'elaboració dels plans. Servei de Fauna i Flora és el nom correcte"/>
    <x v="0"/>
    <m/>
    <s v="Participar, juntament amb Forestal Catalana, en la conservació i, si escau, la recuperació dels arbres catalogats com a monumentals"/>
    <m/>
    <m/>
    <m/>
    <m/>
    <x v="1"/>
    <m/>
    <m/>
    <m/>
    <m/>
    <m/>
    <m/>
    <s v="APR"/>
    <s v="MAC"/>
    <m/>
    <m/>
    <m/>
    <m/>
    <m/>
    <m/>
    <m/>
    <m/>
    <m/>
    <m/>
  </r>
  <r>
    <x v="0"/>
    <x v="0"/>
    <x v="0"/>
    <x v="1"/>
    <x v="1"/>
    <x v="3"/>
    <s v="Executar les mesures previstes en els plans de conservació o recuperació d'espècies amenaçades de forma coordinada amb el Servei de Flora i Fauna en l'àmbit de l'ENP"/>
    <s v="Comú"/>
    <s v="Obligatori "/>
    <x v="3"/>
    <s v="També participar en l'elaboració dels plans. Servei de Fauna i Flora és el nom correcte"/>
    <x v="0"/>
    <m/>
    <s v="Actuacions de millora d'hàbitat i reforçaments poblacionals d'espècies de flora amenaçada: Atropa baetica i Nepeta tuberosa"/>
    <m/>
    <m/>
    <m/>
    <m/>
    <x v="1"/>
    <m/>
    <m/>
    <m/>
    <m/>
    <m/>
    <m/>
    <s v="APR"/>
    <s v="MAC"/>
    <m/>
    <m/>
    <m/>
    <m/>
    <m/>
    <m/>
    <m/>
    <m/>
    <m/>
    <m/>
  </r>
  <r>
    <x v="0"/>
    <x v="0"/>
    <x v="0"/>
    <x v="1"/>
    <x v="1"/>
    <x v="3"/>
    <s v="Executar les mesures previstes en els plans de conservació o recuperació d'espècies amenaçades de forma coordinada amb el Servei de Flora i Fauna en l'àmbit de l'ENP"/>
    <s v="Comú"/>
    <s v="Obligatori "/>
    <x v="3"/>
    <m/>
    <x v="0"/>
    <m/>
    <s v="Introduir mesures de gestió preventiva en informes i autoritzacions per evitar impactes significatius en espècies protegides i/o amenaçades i hàbitats d'interès prioritari"/>
    <m/>
    <m/>
    <m/>
    <m/>
    <x v="1"/>
    <m/>
    <m/>
    <m/>
    <m/>
    <m/>
    <m/>
    <s v="APR"/>
    <s v="JMQ/JSB/MAC"/>
    <m/>
    <m/>
    <m/>
    <m/>
    <m/>
    <m/>
    <m/>
    <m/>
    <m/>
    <m/>
  </r>
  <r>
    <x v="0"/>
    <x v="0"/>
    <x v="0"/>
    <x v="1"/>
    <x v="1"/>
    <x v="4"/>
    <s v="Executar les mesures de gestió previstes en els plans de control i erradicació d'espècies exòtiques de forma coordinada amb el Servei de Flora i Fauna en l'àmbit de l'ENP"/>
    <s v="Comú"/>
    <s v="Obligatori "/>
    <x v="4"/>
    <s v="També participar en l'elaboració dels plans. Servei de Fauna i Flora"/>
    <x v="0"/>
    <s v="MÀXIMA"/>
    <s v="Erradicació de la carpa i carpí al PN Ports"/>
    <m/>
    <m/>
    <m/>
    <m/>
    <x v="5"/>
    <s v="ESNATURA_x000a_MAP"/>
    <s v="SFF: Elaboració de plans de control i erradicació d'espècies exòtiques"/>
    <s v="Nombre d'actuacions efectuades"/>
    <n v="5"/>
    <n v="10"/>
    <m/>
    <s v="APR"/>
    <s v="JMQ"/>
    <m/>
    <m/>
    <m/>
    <m/>
    <m/>
    <m/>
    <m/>
    <m/>
    <m/>
    <n v="0"/>
  </r>
  <r>
    <x v="0"/>
    <x v="0"/>
    <x v="0"/>
    <x v="1"/>
    <x v="1"/>
    <x v="4"/>
    <s v="Executar les mesures de gestió previstes en els plans de control i erradicació d'espècies exòtiques de forma coordinada amb el Servei de Flora i Fauna en l'àmbit de l'ENP"/>
    <s v="Comú"/>
    <s v="Obligatori "/>
    <x v="4"/>
    <s v="També participar en l'elaboració dels plans. Servei de Fauna i Flora"/>
    <x v="0"/>
    <m/>
    <s v="Actuacions de control d'espècies de flora exòtica (ailant Ailanthus altissima, etc.)"/>
    <m/>
    <m/>
    <m/>
    <m/>
    <x v="1"/>
    <m/>
    <m/>
    <m/>
    <m/>
    <m/>
    <m/>
    <s v="APR"/>
    <s v="MAC"/>
    <m/>
    <m/>
    <m/>
    <m/>
    <m/>
    <m/>
    <m/>
    <m/>
    <m/>
    <n v="0"/>
  </r>
  <r>
    <x v="0"/>
    <x v="0"/>
    <x v="0"/>
    <x v="1"/>
    <x v="1"/>
    <x v="4"/>
    <s v="Executar les mesures de gestió previstes en els plans de control i erradicació d'espècies exòtiques de forma coordinada amb el Servei de Flora i Fauna en l'àmbit de l'ENP"/>
    <s v="Comú"/>
    <s v="Obligatori "/>
    <x v="4"/>
    <s v="També participar en l'elaboració dels plans. Servei de Fauna i Flora"/>
    <x v="0"/>
    <m/>
    <s v="Actuacions de control de la vespa asiàtica Vespa velutina"/>
    <m/>
    <m/>
    <m/>
    <m/>
    <x v="1"/>
    <m/>
    <m/>
    <m/>
    <m/>
    <m/>
    <m/>
    <s v="APR"/>
    <s v="JMQ"/>
    <m/>
    <m/>
    <m/>
    <m/>
    <m/>
    <m/>
    <m/>
    <m/>
    <m/>
    <n v="0"/>
  </r>
  <r>
    <x v="0"/>
    <x v="0"/>
    <x v="0"/>
    <x v="1"/>
    <x v="1"/>
    <x v="5"/>
    <s v="Desplegar els objectius i tasques recollits en els instruments de referència i compromisos internacionals  "/>
    <s v="Específic"/>
    <s v="Optatiu "/>
    <x v="5"/>
    <s v="De moment, només Reserva Biosfera, però la gestió global està delegada en un altre organisme (COPATE) amb poca activitat en temes de conservació"/>
    <x v="0"/>
    <s v="ALTA"/>
    <m/>
    <m/>
    <m/>
    <s v="Participar en la revisió del Pla d'acció de la Reserva de la Biosfera de Terres de l'Ebre i portar a terme les actuacions previstes  "/>
    <m/>
    <x v="6"/>
    <m/>
    <m/>
    <s v="Nombre de reunions efectuades"/>
    <n v="1"/>
    <n v="4"/>
    <m/>
    <m/>
    <m/>
    <m/>
    <m/>
    <m/>
    <m/>
    <m/>
    <m/>
    <m/>
    <m/>
    <m/>
    <n v="0"/>
  </r>
  <r>
    <x v="0"/>
    <x v="0"/>
    <x v="0"/>
    <x v="2"/>
    <x v="2"/>
    <x v="6"/>
    <s v="Identificar espais pel foment de la dinàmica natural i l'aprofitament no extractiu"/>
    <s v="Comú"/>
    <s v="Obligatori "/>
    <x v="6"/>
    <s v="S'afegeix la promoció"/>
    <x v="0"/>
    <s v="ALTA"/>
    <s v="Promoure la participació del PNP en la redacció projecte Life RESTADAPT per a promoure la dinàmica natural en hàbitats forestals"/>
    <m/>
    <m/>
    <m/>
    <m/>
    <x v="7"/>
    <s v="ESNATURA"/>
    <s v="SENP/SFF: Definir criteris metodològics"/>
    <s v="Participació, com a soci, en el projecte"/>
    <n v="1"/>
    <n v="1"/>
    <m/>
    <s v="AGH"/>
    <s v="JSB"/>
    <m/>
    <m/>
    <m/>
    <m/>
    <m/>
    <m/>
    <m/>
    <m/>
    <m/>
    <n v="0"/>
  </r>
  <r>
    <x v="0"/>
    <x v="0"/>
    <x v="0"/>
    <x v="2"/>
    <x v="2"/>
    <x v="7"/>
    <s v="Afavorir la maduresa dels sistemes forestals"/>
    <s v="Específic"/>
    <s v="Optatiu "/>
    <x v="7"/>
    <s v="Solapament. Veure mesures del 01.3.5"/>
    <x v="0"/>
    <s v="ALTA"/>
    <s v="Desplegar algunes actuacions planificades en els instruments d'ordenació forestals, elaborats durant el Life RedBosques_Clima, mitjançant la brigada del Parc, per afavorir la maduresa en sistemes forestals"/>
    <s v="A valorar: considerar que no aplica per solapament amb 1.3.5 com ja indiqueu. MODIFICAT. OK. L'hem tornat a incorporar"/>
    <m/>
    <m/>
    <m/>
    <x v="8"/>
    <s v="MAP"/>
    <s v="SENP/SFF: Definir criteris metodològics"/>
    <s v="Nombre d'actuacions efectuades"/>
    <n v="2"/>
    <n v="4"/>
    <m/>
    <s v="AGH"/>
    <s v="JSB"/>
    <m/>
    <m/>
    <m/>
    <m/>
    <m/>
    <m/>
    <m/>
    <m/>
    <m/>
    <n v="0"/>
  </r>
  <r>
    <x v="0"/>
    <x v="0"/>
    <x v="0"/>
    <x v="2"/>
    <x v="2"/>
    <x v="8"/>
    <s v="Generar pertorbacions controlades"/>
    <s v="Específic"/>
    <s v="Optatiu "/>
    <x v="8"/>
    <s v="S'afegeix la planificació"/>
    <x v="1"/>
    <s v="MITJANA"/>
    <m/>
    <m/>
    <m/>
    <m/>
    <s v="Planificar i executar pertorbacions controlades"/>
    <x v="9"/>
    <s v="MAP"/>
    <s v="SENP/SFF: Definir criteris metodològics"/>
    <m/>
    <m/>
    <m/>
    <m/>
    <s v="AGH"/>
    <s v="JSB"/>
    <m/>
    <m/>
    <m/>
    <m/>
    <m/>
    <m/>
    <m/>
    <m/>
    <m/>
    <n v="0"/>
  </r>
  <r>
    <x v="0"/>
    <x v="0"/>
    <x v="0"/>
    <x v="2"/>
    <x v="2"/>
    <x v="9"/>
    <s v="Restaurar la dinàmica natural dels rius "/>
    <s v="Específic"/>
    <s v="Optatiu "/>
    <x v="9"/>
    <m/>
    <x v="0"/>
    <s v="MITJANA"/>
    <s v="Eliminació de restes del dic al barranc de la Fou"/>
    <m/>
    <m/>
    <m/>
    <m/>
    <x v="10"/>
    <s v="MAP"/>
    <s v="SENP/SFF: Definir criteris metodològics"/>
    <s v="Nombre d'actuacions efectuades"/>
    <n v="2"/>
    <n v="4"/>
    <m/>
    <s v="AGH"/>
    <s v="JSB"/>
    <m/>
    <m/>
    <m/>
    <m/>
    <m/>
    <m/>
    <m/>
    <m/>
    <m/>
    <n v="0"/>
  </r>
  <r>
    <x v="0"/>
    <x v="0"/>
    <x v="0"/>
    <x v="2"/>
    <x v="2"/>
    <x v="9"/>
    <s v="Restaurar la dinàmica natural dels rius "/>
    <s v="Específic"/>
    <s v="Optatiu "/>
    <x v="9"/>
    <m/>
    <x v="0"/>
    <s v="MITJANA"/>
    <m/>
    <m/>
    <m/>
    <s v="Avaluació de l'estat de conservació del barranc de la Conca i les sèquies, i planificar pla d'acció (neteja, manteniment...)"/>
    <m/>
    <x v="1"/>
    <m/>
    <m/>
    <m/>
    <m/>
    <m/>
    <m/>
    <m/>
    <m/>
    <m/>
    <m/>
    <m/>
    <m/>
    <m/>
    <m/>
    <m/>
    <m/>
    <m/>
    <m/>
  </r>
  <r>
    <x v="0"/>
    <x v="0"/>
    <x v="0"/>
    <x v="2"/>
    <x v="2"/>
    <x v="9"/>
    <s v="Restaurar la dinàmica natural dels rius "/>
    <s v="Específic"/>
    <s v="Optatiu "/>
    <x v="9"/>
    <m/>
    <x v="0"/>
    <s v="MITJANA"/>
    <s v="Estudi de viabilitat per a l'eliminació de la trampa de sediments al barranc de la Galera"/>
    <m/>
    <s v="Corregit error tipogràfic. ok"/>
    <m/>
    <m/>
    <x v="1"/>
    <m/>
    <m/>
    <m/>
    <m/>
    <m/>
    <m/>
    <m/>
    <m/>
    <m/>
    <m/>
    <m/>
    <m/>
    <m/>
    <m/>
    <m/>
    <m/>
    <m/>
    <m/>
  </r>
  <r>
    <x v="0"/>
    <x v="0"/>
    <x v="0"/>
    <x v="2"/>
    <x v="2"/>
    <x v="10"/>
    <s v="Fomentar el paisatge en mosaïc"/>
    <s v="Específic"/>
    <s v="Optatiu "/>
    <x v="10"/>
    <s v="Possible solapament amb altres objectius operatius (foc, maduresa, pastures...)"/>
    <x v="0"/>
    <m/>
    <s v="Participació en el programa Paisatges Resilients (Estratègia de la Bioeconomia de Catalunya 2030): Creació i manteniment de zones obertes per a la conservació de la biodiversitat (hàbitats i espècies)"/>
    <m/>
    <m/>
    <m/>
    <m/>
    <x v="11"/>
    <m/>
    <m/>
    <s v="1) Execució de l'itinerari terapèutic de la Mola de Catí_x000a_2) Superfície de milllora de maduresa forestal (ha)"/>
    <s v="1) 1_x000a_2) 10"/>
    <s v="1) 1_x000a_2) 11"/>
    <m/>
    <s v="AGH"/>
    <s v="JSB/ACM"/>
    <m/>
    <m/>
    <m/>
    <m/>
    <m/>
    <m/>
    <m/>
    <m/>
    <n v="70000"/>
    <n v="70000"/>
  </r>
  <r>
    <x v="0"/>
    <x v="0"/>
    <x v="0"/>
    <x v="2"/>
    <x v="2"/>
    <x v="11"/>
    <s v="Gestionar i intervenir en la dinàmica de poblacions de fauna que no tenen depredador natural"/>
    <s v="Específic"/>
    <s v="Optatiu "/>
    <x v="11"/>
    <s v="Només s'inclouen actuacions que impliquin conservació/millora d'elements de conservació. "/>
    <x v="1"/>
    <s v="MITJANA"/>
    <m/>
    <m/>
    <m/>
    <m/>
    <s v="Planificar i intervenir en la dinàmica de poblacions de fauna que poden generar impactes negatius en la conservació dels elements d'interès de l'ENP"/>
    <x v="12"/>
    <m/>
    <s v="SENP/SFF: Definir criteris metodològics"/>
    <m/>
    <m/>
    <m/>
    <m/>
    <s v="APR"/>
    <s v="JMQ"/>
    <m/>
    <m/>
    <m/>
    <m/>
    <m/>
    <m/>
    <m/>
    <m/>
    <m/>
    <n v="0"/>
  </r>
  <r>
    <x v="0"/>
    <x v="0"/>
    <x v="0"/>
    <x v="2"/>
    <x v="2"/>
    <x v="12"/>
    <s v="Afavorir la connectivitat ecològica del territori"/>
    <s v="Comú"/>
    <s v="Obligatori"/>
    <x v="12"/>
    <m/>
    <x v="1"/>
    <m/>
    <m/>
    <m/>
    <m/>
    <m/>
    <s v="Afavorir la connectivitat ecològica del territori"/>
    <x v="13"/>
    <m/>
    <m/>
    <m/>
    <m/>
    <m/>
    <m/>
    <s v="AGH"/>
    <s v="JSB"/>
    <m/>
    <m/>
    <m/>
    <m/>
    <m/>
    <m/>
    <m/>
    <m/>
    <m/>
    <m/>
  </r>
  <r>
    <x v="0"/>
    <x v="0"/>
    <x v="0"/>
    <x v="3"/>
    <x v="3"/>
    <x v="13"/>
    <s v="Fomentar acords de custòdia en espais d'alt valor dins l'ENP per a la gestió dels elements prioritaris"/>
    <s v="Comú"/>
    <s v="Optatiu "/>
    <x v="13"/>
    <m/>
    <x v="1"/>
    <s v="ALTA"/>
    <m/>
    <m/>
    <m/>
    <m/>
    <s v="Fomentar acords de custòdia en espais d'alt valor dins l'ENP per a la gestió dels elements prioritaris"/>
    <x v="14"/>
    <s v="MAP"/>
    <s v="SENP/SENP: Dissenyar el protocol i elaborar un model d'acord"/>
    <m/>
    <m/>
    <m/>
    <m/>
    <s v="DIR"/>
    <s v="ACM"/>
    <m/>
    <m/>
    <m/>
    <m/>
    <m/>
    <m/>
    <m/>
    <m/>
    <m/>
    <n v="0"/>
  </r>
  <r>
    <x v="0"/>
    <x v="0"/>
    <x v="0"/>
    <x v="3"/>
    <x v="3"/>
    <x v="14"/>
    <s v="Fomentar bones pràctiques entre els col·lectius de propietaris i gestors del territori"/>
    <s v="Comú"/>
    <s v="Optatiu "/>
    <x v="14"/>
    <m/>
    <x v="1"/>
    <s v="ALTA"/>
    <m/>
    <m/>
    <m/>
    <m/>
    <s v="Fomentar bones pràctiques entre els col·lectius de propietaris i gestors del territori"/>
    <x v="15"/>
    <m/>
    <m/>
    <m/>
    <m/>
    <m/>
    <m/>
    <s v="DIR"/>
    <s v="ACM"/>
    <m/>
    <m/>
    <m/>
    <m/>
    <m/>
    <m/>
    <m/>
    <m/>
    <m/>
    <n v="0"/>
  </r>
  <r>
    <x v="0"/>
    <x v="0"/>
    <x v="0"/>
    <x v="3"/>
    <x v="3"/>
    <x v="15"/>
    <s v="Impulsar la coordinació amb els ens locals en la gestió finques públiques situades dins d’ENP"/>
    <s v="Específic"/>
    <s v="Optatiu "/>
    <x v="15"/>
    <s v="S'afegeixen boscos de la Generalitat"/>
    <x v="0"/>
    <s v="MÀXIMA"/>
    <s v="Reunions periòdiques amb ens locals i administració forestal per a desplegar la gestió per a la millora d'hàbitats"/>
    <m/>
    <m/>
    <m/>
    <m/>
    <x v="16"/>
    <s v="ESNATURA"/>
    <m/>
    <s v="Nombre de reunions realitzades"/>
    <n v="1"/>
    <n v="4"/>
    <m/>
    <s v="AGH"/>
    <s v="JSB"/>
    <m/>
    <m/>
    <m/>
    <m/>
    <m/>
    <m/>
    <m/>
    <m/>
    <m/>
    <n v="0"/>
  </r>
  <r>
    <x v="0"/>
    <x v="1"/>
    <x v="1"/>
    <x v="4"/>
    <x v="4"/>
    <x v="16"/>
    <s v="Adaptar i implementar el Pla d'adaptació de l'ENP al canvi climàtic"/>
    <s v="Comú"/>
    <s v="Obligatori "/>
    <x v="16"/>
    <s v="No el tenim i les actuacions correspondran a altes Ops"/>
    <x v="0"/>
    <s v="ALTA"/>
    <s v="Col·laborar amb el projecte Life eCOadapt50, liderat pel Living Lab Ebre Bioterritori d'EURECAT"/>
    <m/>
    <m/>
    <m/>
    <m/>
    <x v="17"/>
    <m/>
    <s v="OCCC/SENP: Elaboració del model de Pla d'adaptació dels ENP al canvi climàtic "/>
    <s v="Percentetge d'assistències a reunions convocades"/>
    <n v="0.5"/>
    <n v="1"/>
    <m/>
    <s v="AGH"/>
    <s v="JSB"/>
    <m/>
    <m/>
    <m/>
    <m/>
    <m/>
    <m/>
    <m/>
    <m/>
    <m/>
    <n v="0"/>
  </r>
  <r>
    <x v="0"/>
    <x v="1"/>
    <x v="1"/>
    <x v="4"/>
    <x v="4"/>
    <x v="17"/>
    <s v="Gestionar i planificar els recursos hídrics de l'ENP"/>
    <s v="Comú"/>
    <s v="Obligatori"/>
    <x v="17"/>
    <s v="Només intervenim a nivell de gestió preventiva (informes i seguiments)"/>
    <x v="0"/>
    <s v="ALTA"/>
    <s v="A.2.2.2. Anàlisi dels cabals ecològics dels rius del PN aplicats a l'ús de l'aigua com a recurs turístic (CETS): Diagnosi de l'estat de conservació dels Estrets, Algars i Canaletes i definir els cabals ecològics "/>
    <m/>
    <m/>
    <m/>
    <m/>
    <x v="18"/>
    <m/>
    <m/>
    <s v="Diagnosis elaborades"/>
    <n v="1"/>
    <n v="3"/>
    <m/>
    <s v="AGH"/>
    <s v="JSB"/>
    <s v="CETS"/>
    <s v="Pla d'acció 2022-2026 de la CETS."/>
    <m/>
    <m/>
    <m/>
    <m/>
    <m/>
    <m/>
    <m/>
    <n v="0"/>
  </r>
  <r>
    <x v="0"/>
    <x v="1"/>
    <x v="1"/>
    <x v="4"/>
    <x v="4"/>
    <x v="18"/>
    <s v="Participar en la redacció i execució dels instruments d'ordenació forestal sostenible i per la conservació en finques públiques"/>
    <s v="Específic"/>
    <s v="Optatiu "/>
    <x v="18"/>
    <s v="Millora del redactat"/>
    <x v="0"/>
    <s v="ALTA"/>
    <s v="Participació en la redacció i aprovació dels instruments d'ordenació forestal sostenible de les finques de la Vallcervera i d'Alfara de Carles"/>
    <m/>
    <m/>
    <m/>
    <m/>
    <x v="19"/>
    <m/>
    <s v="DGEFMN: Redacció d'IOF en finques públiques"/>
    <s v="Nombre de finques"/>
    <n v="1"/>
    <n v="3"/>
    <m/>
    <s v="AGH"/>
    <s v="JSB"/>
    <m/>
    <m/>
    <m/>
    <m/>
    <m/>
    <m/>
    <m/>
    <m/>
    <m/>
    <n v="0"/>
  </r>
  <r>
    <x v="0"/>
    <x v="1"/>
    <x v="1"/>
    <x v="5"/>
    <x v="5"/>
    <x v="19"/>
    <s v="Redactar i implementar el Pla de Prevenció d'Incendis "/>
    <s v="Comú"/>
    <s v="Obligatori "/>
    <x v="19"/>
    <s v="Hi ha diversos plans que afecten l'ENP (municipals, PPP, franges)"/>
    <x v="0"/>
    <s v="ALTA"/>
    <s v="Promoure i participar en la redacció del Pla bàsic de prevenció d'incendis del PNP"/>
    <m/>
    <m/>
    <m/>
    <m/>
    <x v="20"/>
    <s v="ESNATURA"/>
    <s v="Equip de PPI: Disseny del protocol de treball"/>
    <s v="Percentatge d'assistències a reunions convocades"/>
    <n v="0.75"/>
    <n v="1"/>
    <m/>
    <s v="DIR"/>
    <s v="ACM"/>
    <m/>
    <m/>
    <m/>
    <m/>
    <m/>
    <m/>
    <m/>
    <m/>
    <m/>
    <n v="0"/>
  </r>
  <r>
    <x v="0"/>
    <x v="1"/>
    <x v="1"/>
    <x v="5"/>
    <x v="5"/>
    <x v="20"/>
    <s v="Definir i planificar la gestió del foc per a la millora de l'ENP"/>
    <s v="Específic"/>
    <s v="Optatiu "/>
    <x v="20"/>
    <m/>
    <x v="0"/>
    <s v="ALTA"/>
    <s v="Col·laboració amb el GPIF i Bombers per a la planificació de cremes control·lades aprovades en els instruments d'ordenació forestal (Mola de Catí, Alfara de Carles, Vallcervera, etc.)"/>
    <m/>
    <m/>
    <m/>
    <m/>
    <x v="21"/>
    <m/>
    <s v="SPEN: Elaboració d'un model de pla de gestió"/>
    <s v="1) Número actuacions planificades_x000a_2) Número actuacions realitzades"/>
    <s v="1) 2_x000a_2) 0_x000a_"/>
    <s v="1) 4_x000a_2) 2"/>
    <m/>
    <s v="AGH"/>
    <s v="JSB"/>
    <m/>
    <m/>
    <m/>
    <m/>
    <m/>
    <m/>
    <m/>
    <m/>
    <m/>
    <n v="0"/>
  </r>
  <r>
    <x v="0"/>
    <x v="1"/>
    <x v="1"/>
    <x v="5"/>
    <x v="5"/>
    <x v="21"/>
    <s v="Treballar per a la prevenció d'incendis juntament amb els propietaris, ajuntaments, protecció civil, ADF i bombers."/>
    <s v="Comú"/>
    <s v="Obligatori "/>
    <x v="21"/>
    <s v="Millora del redactat"/>
    <x v="0"/>
    <s v="MITJANA"/>
    <s v="Participar en la redacció del Plans de prevenció d'incendis municipals, promoguts per la Diputació de Tarragona"/>
    <m/>
    <m/>
    <m/>
    <m/>
    <x v="22"/>
    <m/>
    <m/>
    <s v="1) Percentatge de PPIM revisats_x000a_2) Percentatge d'assistències a reunions convocades del PPP "/>
    <s v="1) 100%_x000a_2) 75%"/>
    <s v="1) 100%_x000a_2) 100%"/>
    <m/>
    <s v="AGH"/>
    <s v="JSB"/>
    <m/>
    <m/>
    <m/>
    <m/>
    <m/>
    <m/>
    <m/>
    <m/>
    <m/>
    <n v="0"/>
  </r>
  <r>
    <x v="0"/>
    <x v="1"/>
    <x v="1"/>
    <x v="5"/>
    <x v="5"/>
    <x v="21"/>
    <s v="Treballar per a la prevenció d'incendis juntament amb els propietaris, ajuntaments, protecció civil, ADF i bombers."/>
    <s v="Comú"/>
    <s v="Obligatori "/>
    <x v="21"/>
    <s v="Millora del redactat"/>
    <x v="0"/>
    <s v="MITJANA"/>
    <s v="Participar en la redacció del Pla de prevenció del PPP &quot;Ports de Tortosa-Besseit&quot;"/>
    <m/>
    <s v="Repetit, ja recollit a la fila 39, OP2.2.1. ok, canviat el redactat"/>
    <m/>
    <m/>
    <x v="1"/>
    <m/>
    <m/>
    <m/>
    <m/>
    <m/>
    <m/>
    <m/>
    <m/>
    <m/>
    <m/>
    <m/>
    <m/>
    <m/>
    <m/>
    <m/>
    <m/>
    <m/>
    <m/>
  </r>
  <r>
    <x v="0"/>
    <x v="2"/>
    <x v="2"/>
    <x v="6"/>
    <x v="6"/>
    <x v="22"/>
    <s v="Participar en les consultes dels procesos d'Avaluació Ambiental que afectin directament o indirectament l’espai del ENP"/>
    <s v="Comú"/>
    <s v="Obligatori"/>
    <x v="22"/>
    <s v="Faltes ortogràfiques, millora redactat"/>
    <x v="0"/>
    <s v="MITJANA"/>
    <s v="Emissió dels informes preceptius en les tramitacions ambientals, incloent-hi l'avaluació dels impactes sobre la biodiversitat, i els patrimonis geològic, històric i cultural"/>
    <m/>
    <m/>
    <m/>
    <m/>
    <x v="23"/>
    <m/>
    <m/>
    <s v="Percentatge d'obres, actuacions i projectes informats per part del Parc"/>
    <n v="0.9"/>
    <n v="1"/>
    <m/>
    <s v="APR"/>
    <s v="JMQ/MAC/AAA/JSB/JMFR"/>
    <m/>
    <m/>
    <m/>
    <m/>
    <m/>
    <m/>
    <m/>
    <m/>
    <m/>
    <n v="0"/>
  </r>
  <r>
    <x v="0"/>
    <x v="2"/>
    <x v="2"/>
    <x v="6"/>
    <x v="6"/>
    <x v="22"/>
    <s v="Participar en les consultes dels procesos d'Avaluació Ambiental que afectin directament o indirectament l’espai del ENP"/>
    <s v="Comú"/>
    <s v="Obligatori"/>
    <x v="22"/>
    <s v="Faltes ortogràfiques, millora redactat"/>
    <x v="0"/>
    <s v="MITJANA"/>
    <s v="Participar en les reunions periòdiques de les Àrees de Coneixement de la DG, particularnent la de l'Àmbit Forestal"/>
    <m/>
    <m/>
    <m/>
    <m/>
    <x v="1"/>
    <m/>
    <m/>
    <m/>
    <m/>
    <m/>
    <m/>
    <s v="AGH"/>
    <s v="JSB"/>
    <m/>
    <m/>
    <m/>
    <m/>
    <m/>
    <m/>
    <m/>
    <m/>
    <m/>
    <m/>
  </r>
  <r>
    <x v="0"/>
    <x v="2"/>
    <x v="2"/>
    <x v="6"/>
    <x v="6"/>
    <x v="23"/>
    <s v="Exercir un seguiment efectiu de les obres al Parc juntament amb les Oficines Territorials d'Acció i Avaluació Ambiental als efectes d'assegurar la correcta translació de la tutela administrativa."/>
    <s v="Comú"/>
    <s v="Obligatori"/>
    <x v="23"/>
    <s v="Hem afegit CAR"/>
    <x v="0"/>
    <s v="MITJANA"/>
    <s v="Servei de vigilància per a la minimització d’afectacions perhiperfreqüentació al Parc Natural dels Aiguamolls de l’Empordà, al Parc Natural del Delta de l’Ebre i al Parc Natural dels Ports (PT OP 2025 357). Lots 3 i 4"/>
    <m/>
    <m/>
    <m/>
    <m/>
    <x v="24"/>
    <m/>
    <m/>
    <s v="Nombre de dies de vigilància realment efectuats"/>
    <n v="375"/>
    <n v="408"/>
    <m/>
    <s v="DIR"/>
    <s v="ACM"/>
    <m/>
    <m/>
    <m/>
    <m/>
    <m/>
    <m/>
    <m/>
    <m/>
    <m/>
    <n v="0"/>
  </r>
  <r>
    <x v="0"/>
    <x v="2"/>
    <x v="2"/>
    <x v="6"/>
    <x v="6"/>
    <x v="24"/>
    <s v="Participar en la compensació d'impactes residuals durant els processos d'avaluació ambiental mitjançant la identificació de necessitats d'actuació prioritària dins i fora dels límits de l’ENP"/>
    <s v="Comú"/>
    <s v="Optatiu "/>
    <x v="24"/>
    <m/>
    <x v="1"/>
    <s v="MITJANA"/>
    <m/>
    <m/>
    <m/>
    <m/>
    <s v="Participar en la compensació d'impactes residuals durant els processos d'avaluació ambiental mitjançant la identificació de necessitats d'actuació prioritària dins i fora dels límits de l’ENP"/>
    <x v="25"/>
    <m/>
    <m/>
    <m/>
    <m/>
    <m/>
    <m/>
    <s v="DIR"/>
    <s v="ACM"/>
    <m/>
    <m/>
    <m/>
    <m/>
    <m/>
    <m/>
    <m/>
    <m/>
    <m/>
    <n v="0"/>
  </r>
  <r>
    <x v="0"/>
    <x v="2"/>
    <x v="2"/>
    <x v="7"/>
    <x v="7"/>
    <x v="25"/>
    <s v="Participar en l'elaboració dels instruments de planificació de l'ENP"/>
    <s v="Comú"/>
    <s v="Obligatori"/>
    <x v="25"/>
    <s v="No tenim previsió d'elaboració del Pla i, per tant, no l'incloem al 2025-2029. Preguntar a Sara la previsió temporal"/>
    <x v="0"/>
    <s v="MÀXIMA"/>
    <m/>
    <m/>
    <m/>
    <s v="A.2.1.1. Elaboració del Pla de Protecció del Medi Natural i el Paisatge del PN (CETS)"/>
    <m/>
    <x v="26"/>
    <m/>
    <s v="SPEN: Elaboració del Pla rector d'usos i gestió._x000a_SPEN: Elaboració del Pla rector d'usos i gestió"/>
    <s v="Pla elaborat"/>
    <n v="1"/>
    <n v="1"/>
    <m/>
    <s v="DIR"/>
    <s v="ACM"/>
    <m/>
    <s v="CETS"/>
    <s v="Pla d'acció 2022-2026 de la CETS."/>
    <m/>
    <m/>
    <m/>
    <m/>
    <m/>
    <m/>
    <n v="0"/>
  </r>
  <r>
    <x v="0"/>
    <x v="2"/>
    <x v="2"/>
    <x v="8"/>
    <x v="8"/>
    <x v="26"/>
    <s v="Vetllar pel manteniment del cabal ecològic dels rius definit al Pla sectorial corresponent"/>
    <s v="Específic"/>
    <s v="Optatiu"/>
    <x v="26"/>
    <m/>
    <x v="1"/>
    <s v="ALTA"/>
    <m/>
    <m/>
    <m/>
    <m/>
    <s v="Vetllar, juntament amb altres administracions, pel manteniment del cabal ecològic dels rius definit al Pla sectorial corresponent"/>
    <x v="27"/>
    <s v="ESNATURA"/>
    <s v="ACA/CHE: Determinar els cabals ecològics en espais naturals protegits"/>
    <m/>
    <m/>
    <m/>
    <m/>
    <s v="AGH"/>
    <s v="JSB"/>
    <m/>
    <m/>
    <m/>
    <m/>
    <m/>
    <m/>
    <m/>
    <m/>
    <m/>
    <n v="0"/>
  </r>
  <r>
    <x v="0"/>
    <x v="2"/>
    <x v="2"/>
    <x v="8"/>
    <x v="8"/>
    <x v="27"/>
    <s v="Vetllar per la regulació dels dragatges, canalitzacions o implantació d'activitats extractives que puguin modificar la llera i el cabal dels rius"/>
    <s v="Específic"/>
    <s v="Optatiu "/>
    <x v="27"/>
    <s v="Es proposa eliminar, ja que és molt similar a l'Op següent"/>
    <x v="1"/>
    <s v="ALTA"/>
    <m/>
    <m/>
    <m/>
    <m/>
    <m/>
    <x v="1"/>
    <m/>
    <m/>
    <m/>
    <m/>
    <m/>
    <m/>
    <m/>
    <m/>
    <m/>
    <m/>
    <m/>
    <m/>
    <m/>
    <m/>
    <m/>
    <m/>
    <m/>
    <n v="0"/>
  </r>
  <r>
    <x v="0"/>
    <x v="2"/>
    <x v="2"/>
    <x v="8"/>
    <x v="8"/>
    <x v="28"/>
    <s v="Avaluar i controlar les actuacions que produeixin drenatges, captacions o que puguin impedir l’arribada d’aigua tant superficial com freàtica"/>
    <s v="Específic"/>
    <s v="Optatiu "/>
    <x v="28"/>
    <m/>
    <x v="0"/>
    <s v="ALTA"/>
    <s v="Comunicació a CAR i l'ACA d'actuacions no autoritzades en els espais fluvials (captacions, drenatges, etc.)"/>
    <m/>
    <m/>
    <m/>
    <m/>
    <x v="28"/>
    <m/>
    <m/>
    <s v="Percentatge d'actuacions no autoritzades comunicades"/>
    <n v="1"/>
    <n v="1"/>
    <m/>
    <s v="AGH"/>
    <s v="JSB"/>
    <m/>
    <m/>
    <m/>
    <m/>
    <m/>
    <m/>
    <m/>
    <m/>
    <m/>
    <n v="0"/>
  </r>
  <r>
    <x v="0"/>
    <x v="2"/>
    <x v="2"/>
    <x v="8"/>
    <x v="8"/>
    <x v="29"/>
    <s v="Vetllar pel compliment de la normativa de depuració dels efluents agroramaders, urbans i industrials que s'aboquen als cursos fluvials"/>
    <s v="Específic"/>
    <s v="Optatiu "/>
    <x v="29"/>
    <s v="Millora del redactat"/>
    <x v="0"/>
    <s v="ALTA"/>
    <s v="Seguiment dels abocaments al barranc del Bosc Negre"/>
    <m/>
    <m/>
    <m/>
    <m/>
    <x v="29"/>
    <m/>
    <m/>
    <s v="Nombre de visites efectuades"/>
    <n v="3"/>
    <n v="4"/>
    <m/>
    <s v="AGH"/>
    <s v="JSB"/>
    <m/>
    <m/>
    <m/>
    <m/>
    <m/>
    <m/>
    <m/>
    <m/>
    <m/>
    <n v="0"/>
  </r>
  <r>
    <x v="0"/>
    <x v="2"/>
    <x v="2"/>
    <x v="8"/>
    <x v="8"/>
    <x v="30"/>
    <s v="Colaborar amb l'òrgan competent per la conservació del domini públic d'acord amb les delimitacions i la normativa d'usos vigent"/>
    <s v="Comú"/>
    <s v="Optatiu"/>
    <x v="30"/>
    <m/>
    <x v="0"/>
    <m/>
    <s v="Comunicació a CAR i l'ACA d'actuacions no autoritzades en els espais fluvials (rompudes, extracció d'àrids, etc.)"/>
    <m/>
    <m/>
    <m/>
    <m/>
    <x v="30"/>
    <m/>
    <m/>
    <s v="Percentatge d'actuacions no autoritzades comunicades"/>
    <n v="1"/>
    <n v="1"/>
    <m/>
    <s v="AGH"/>
    <s v="JSB"/>
    <m/>
    <m/>
    <m/>
    <m/>
    <m/>
    <m/>
    <m/>
    <m/>
    <m/>
    <m/>
  </r>
  <r>
    <x v="0"/>
    <x v="2"/>
    <x v="2"/>
    <x v="9"/>
    <x v="9"/>
    <x v="31"/>
    <s v="Identificar espais prioritaris per a la compra de terrenys de més valor dins l'ENP "/>
    <s v="Comú"/>
    <s v="Optatiu "/>
    <x v="31"/>
    <s v="Veure mesures del 03.4.2"/>
    <x v="0"/>
    <s v="ALTA"/>
    <s v="Manteniment de la base de dades d'espais prioritaris per a la conservació o l'ús públic"/>
    <s v="Posar que NA (no aplica) per solapament amb el següent. MODIFICAT. HO MANTENIM"/>
    <m/>
    <m/>
    <m/>
    <x v="31"/>
    <m/>
    <s v="SENP/SPEN: Facilitar els criteris a seguir"/>
    <s v="Nombre de finques incorporades a la base de dades"/>
    <n v="1"/>
    <n v="3"/>
    <m/>
    <s v="DIR"/>
    <s v="ACM"/>
    <m/>
    <m/>
    <m/>
    <m/>
    <m/>
    <m/>
    <m/>
    <m/>
    <m/>
    <n v="0"/>
  </r>
  <r>
    <x v="0"/>
    <x v="2"/>
    <x v="2"/>
    <x v="9"/>
    <x v="9"/>
    <x v="32"/>
    <s v="Identificar espais prioritaris per a la gestió directa"/>
    <s v="Comú"/>
    <s v="Optatiu"/>
    <x v="32"/>
    <s v="Possible solapament amb l'anterior. Amb aquest enunciat s'fageix la gestió directa en boscos públics."/>
    <x v="1"/>
    <s v="ALTA"/>
    <m/>
    <m/>
    <m/>
    <m/>
    <s v="Identificar espais prioritaris en finques públiques destinades a altres usos per a la gestió directa"/>
    <x v="32"/>
    <m/>
    <s v="SENP/SPEN: Facilitar els criteris a seguir"/>
    <m/>
    <m/>
    <m/>
    <m/>
    <s v="DIR"/>
    <s v="ACM"/>
    <m/>
    <m/>
    <m/>
    <m/>
    <m/>
    <m/>
    <m/>
    <m/>
    <m/>
    <n v="0"/>
  </r>
  <r>
    <x v="1"/>
    <x v="3"/>
    <x v="3"/>
    <x v="10"/>
    <x v="10"/>
    <x v="33"/>
    <s v="Elaborar l'inventari i cartografia de patrimoni cultural de l'ENP, que també inclogui el patrimoni etnològic i immaterial"/>
    <s v="Comú"/>
    <s v="Optatiu"/>
    <x v="33"/>
    <s v="Millora del redactat"/>
    <x v="0"/>
    <s v="MITJANA"/>
    <s v="A.3.3. Programa de recuperació de la memòria artesana (ARTESAN)"/>
    <m/>
    <m/>
    <m/>
    <m/>
    <x v="33"/>
    <m/>
    <m/>
    <s v="Nombre d'entrevistes realitzades"/>
    <n v="3"/>
    <n v="4"/>
    <m/>
    <s v="AIM"/>
    <s v="JMFR"/>
    <m/>
    <s v="ARTESAN"/>
    <s v="Pla d'acció per al foment de l'artesania del Parc Natural dels Ports (2023-2027)"/>
    <m/>
    <m/>
    <m/>
    <m/>
    <m/>
    <m/>
    <n v="0"/>
  </r>
  <r>
    <x v="1"/>
    <x v="3"/>
    <x v="3"/>
    <x v="10"/>
    <x v="10"/>
    <x v="33"/>
    <s v="Elaborar l'inventari i cartografia de patrimoni cultural de l'ENP, que també inclogui el patrimoni etnològic i immaterial"/>
    <s v="Comú"/>
    <s v="Optatiu"/>
    <x v="33"/>
    <s v="Millora del redactat"/>
    <x v="1"/>
    <s v="MITJANA"/>
    <m/>
    <m/>
    <m/>
    <m/>
    <s v="Crear uns premis de recerca en matèria de patrimoni cultural que siguin publicables posteriorment. "/>
    <x v="1"/>
    <m/>
    <m/>
    <m/>
    <m/>
    <m/>
    <m/>
    <m/>
    <m/>
    <m/>
    <m/>
    <m/>
    <m/>
    <m/>
    <m/>
    <m/>
    <m/>
    <m/>
    <m/>
  </r>
  <r>
    <x v="1"/>
    <x v="3"/>
    <x v="3"/>
    <x v="10"/>
    <x v="10"/>
    <x v="33"/>
    <s v="Elaborar l'inventari i cartografia de patrimoni cultural de l'ENP, que també inclogui el patrimoni etnològic i immaterial"/>
    <s v="Comú"/>
    <s v="Optatiu"/>
    <x v="33"/>
    <s v="Millora del redactat"/>
    <x v="1"/>
    <s v="MITJANA"/>
    <m/>
    <m/>
    <m/>
    <m/>
    <s v="Fer recerca del Barranc de Lloret. "/>
    <x v="1"/>
    <m/>
    <m/>
    <m/>
    <m/>
    <m/>
    <m/>
    <m/>
    <m/>
    <m/>
    <m/>
    <m/>
    <m/>
    <m/>
    <m/>
    <m/>
    <m/>
    <m/>
    <m/>
  </r>
  <r>
    <x v="1"/>
    <x v="3"/>
    <x v="3"/>
    <x v="10"/>
    <x v="10"/>
    <x v="34"/>
    <s v="Elaborar el catàleg lingüístic (localismes) de patrimoni natural, geografia popular, festes i activitats tradicionals de l'ENP"/>
    <s v="Comú"/>
    <s v="Optatiu"/>
    <x v="34"/>
    <s v="Es proposa eliminar, ja que és motl similar a l'Op anterior"/>
    <x v="1"/>
    <s v="MITJANA"/>
    <m/>
    <m/>
    <m/>
    <m/>
    <s v="Elaborar el catàleg lingüístic (localismes) de patrimoni natural, geografia popular, festes i activitats tradicionals de l'ENP"/>
    <x v="34"/>
    <m/>
    <m/>
    <m/>
    <m/>
    <m/>
    <m/>
    <m/>
    <m/>
    <m/>
    <m/>
    <m/>
    <m/>
    <m/>
    <m/>
    <m/>
    <m/>
    <m/>
    <n v="0"/>
  </r>
  <r>
    <x v="1"/>
    <x v="3"/>
    <x v="3"/>
    <x v="10"/>
    <x v="10"/>
    <x v="35"/>
    <s v="Elaborar la cartografia de la xarxa de camins ramaders i senders tradicionals de l'ENP"/>
    <s v="Comú"/>
    <s v="Optatiu"/>
    <x v="35"/>
    <m/>
    <x v="1"/>
    <s v="MITJANA"/>
    <m/>
    <m/>
    <m/>
    <m/>
    <s v="Elaborar la cartografia de la xarxa de camins ramaders i senders tradicionals de l'ENP"/>
    <x v="35"/>
    <m/>
    <m/>
    <m/>
    <m/>
    <m/>
    <m/>
    <s v="AIM"/>
    <s v="AAA"/>
    <m/>
    <m/>
    <m/>
    <m/>
    <m/>
    <m/>
    <m/>
    <m/>
    <m/>
    <n v="0"/>
  </r>
  <r>
    <x v="1"/>
    <x v="3"/>
    <x v="3"/>
    <x v="11"/>
    <x v="11"/>
    <x v="36"/>
    <s v="Identificar els ens de referència en patrimoni cultural (entitats, associacions, museus i ecomuseus, etc.) en l'àmbit de l'ENP"/>
    <s v="Comú"/>
    <s v="Obligatori"/>
    <x v="36"/>
    <m/>
    <x v="0"/>
    <s v="MITJANA"/>
    <s v="Identificar els ens de referència en patrimoni cultural (entitats, associacions, museus i ecomuseus, etc.) en l'àmbit de l'ENP, mitjançant el Museu de les Terres de l'Ebre"/>
    <m/>
    <m/>
    <m/>
    <m/>
    <x v="36"/>
    <m/>
    <m/>
    <s v="Elaboració de l'inventari d'entitats i actors locals"/>
    <n v="1"/>
    <n v="1"/>
    <m/>
    <s v="AUP"/>
    <s v="JMFR"/>
    <m/>
    <m/>
    <m/>
    <m/>
    <m/>
    <m/>
    <m/>
    <m/>
    <m/>
    <n v="0"/>
  </r>
  <r>
    <x v="1"/>
    <x v="3"/>
    <x v="3"/>
    <x v="11"/>
    <x v="11"/>
    <x v="37"/>
    <s v="Articular treballs conjunts entre l'ENP i representants, gestors o custodis del patrimoni cultural per a la seva protecció i millora"/>
    <s v="Comú"/>
    <s v="Optatiu"/>
    <x v="37"/>
    <s v="Millora del redactat"/>
    <x v="0"/>
    <s v="MITJANA"/>
    <s v="Continuar la línia de colaboració amb el Museu de les Terres de l'Ebre: A.4.2.4 Creació d'itineraris culturals (CETS)"/>
    <m/>
    <m/>
    <m/>
    <m/>
    <x v="37"/>
    <m/>
    <m/>
    <s v="Nombre total d'actuacions realitzades amb el Museu de les Terres de l'Ebre"/>
    <n v="1"/>
    <n v="2"/>
    <m/>
    <s v="AUP"/>
    <s v="JMFR"/>
    <m/>
    <s v="CETS"/>
    <s v="Pla d'acció 2022-2026 de la CETS."/>
    <m/>
    <m/>
    <m/>
    <m/>
    <m/>
    <m/>
    <n v="0"/>
  </r>
  <r>
    <x v="1"/>
    <x v="3"/>
    <x v="3"/>
    <x v="11"/>
    <x v="11"/>
    <x v="38"/>
    <s v="Impulsar i/o participar dels treballs de restauració arquitectònica, arqueològica i del patrimoni cultural"/>
    <s v="Comú"/>
    <s v="Optatiu"/>
    <x v="38"/>
    <m/>
    <x v="0"/>
    <m/>
    <s v="Organització jornada sobre les construccions de pedra en sec amb l'ajuntament del Mas de Barberans"/>
    <m/>
    <m/>
    <m/>
    <m/>
    <x v="38"/>
    <m/>
    <m/>
    <s v="Nombre de jornades realitzades"/>
    <n v="1"/>
    <n v="1"/>
    <m/>
    <s v="AIM"/>
    <s v="AAA"/>
    <m/>
    <m/>
    <m/>
    <m/>
    <m/>
    <m/>
    <m/>
    <m/>
    <m/>
    <m/>
  </r>
  <r>
    <x v="1"/>
    <x v="3"/>
    <x v="3"/>
    <x v="11"/>
    <x v="11"/>
    <x v="39"/>
    <s v="Disposar de personal especialitzat en patrimoni cultural"/>
    <s v="Comú"/>
    <s v="Obligatori "/>
    <x v="39"/>
    <s v="Més realista"/>
    <x v="1"/>
    <s v="MITJANA"/>
    <m/>
    <m/>
    <m/>
    <m/>
    <s v="Formar al personal tècnic de l'ENP en patrimoni cultural"/>
    <x v="39"/>
    <m/>
    <m/>
    <m/>
    <m/>
    <m/>
    <m/>
    <s v="AUP"/>
    <s v="JMFR"/>
    <m/>
    <m/>
    <m/>
    <m/>
    <m/>
    <m/>
    <m/>
    <m/>
    <m/>
    <n v="0"/>
  </r>
  <r>
    <x v="1"/>
    <x v="3"/>
    <x v="3"/>
    <x v="12"/>
    <x v="12"/>
    <x v="40"/>
    <s v="Recuperar i conservar el patrimoni cultural immaterial (associat a les activitats i aprofitaments rurals tradicionals) i els valors espirituals"/>
    <s v="Comú"/>
    <s v="Obligatori "/>
    <x v="40"/>
    <m/>
    <x v="1"/>
    <s v="MITJANA"/>
    <m/>
    <m/>
    <m/>
    <m/>
    <s v="Recuperar i conservar el patrimoni cultural immaterial (associat a les activitats i aprofitaments rurals tradicionals) i els valors espirituals"/>
    <x v="40"/>
    <s v="MAP"/>
    <m/>
    <m/>
    <m/>
    <m/>
    <m/>
    <s v="AIM"/>
    <s v="AAA"/>
    <m/>
    <m/>
    <m/>
    <m/>
    <m/>
    <m/>
    <m/>
    <m/>
    <m/>
    <n v="0"/>
  </r>
  <r>
    <x v="1"/>
    <x v="3"/>
    <x v="3"/>
    <x v="12"/>
    <x v="12"/>
    <x v="41"/>
    <s v="Recuperar i conservar el patrimoni cultural rural vinculat específicament a construccions de pedra en sec"/>
    <s v="Específic"/>
    <s v="Obligatori "/>
    <x v="41"/>
    <m/>
    <x v="0"/>
    <s v="MITJANA"/>
    <s v="Treballs de recuperació i manteniment, amb brigada, d'elements de patrimoni cultural rural"/>
    <m/>
    <m/>
    <m/>
    <m/>
    <x v="41"/>
    <s v="MAP"/>
    <m/>
    <s v="1) Nombre anual d'actuacions efectuades amb brigada_x000a_2) Realització de l'avaluació"/>
    <s v="1) 10_x000a_2) 1"/>
    <s v="1) 20_x000a_2) 1"/>
    <m/>
    <s v="AIM"/>
    <s v="AAA"/>
    <m/>
    <m/>
    <m/>
    <m/>
    <m/>
    <m/>
    <m/>
    <m/>
    <m/>
    <n v="0"/>
  </r>
  <r>
    <x v="1"/>
    <x v="3"/>
    <x v="3"/>
    <x v="12"/>
    <x v="12"/>
    <x v="41"/>
    <s v="Recuperar i conservar el patrimoni cultural rural vinculat específicament a construccions de pedra en sec"/>
    <s v="Específic"/>
    <s v="Obligatori "/>
    <x v="41"/>
    <m/>
    <x v="0"/>
    <s v="MITJANA"/>
    <s v="Avaluació de l’estat de conservació de la sèquia dels Reguers i la seva reparació"/>
    <m/>
    <m/>
    <m/>
    <m/>
    <x v="1"/>
    <m/>
    <m/>
    <m/>
    <m/>
    <m/>
    <m/>
    <m/>
    <m/>
    <m/>
    <m/>
    <m/>
    <m/>
    <m/>
    <m/>
    <m/>
    <m/>
    <m/>
    <m/>
  </r>
  <r>
    <x v="1"/>
    <x v="3"/>
    <x v="3"/>
    <x v="12"/>
    <x v="12"/>
    <x v="42"/>
    <s v="Fomentar la recuperació i conservació de l'arquitectura tradicional d'interès de les edificacions i construccions "/>
    <s v="Comú"/>
    <s v="Optatiu "/>
    <x v="42"/>
    <s v="Ortografia, s'afegeix pedra en sec"/>
    <x v="0"/>
    <s v="MITJANA"/>
    <s v="Introduir mesures de gestió preventiva en informes urbanístics per evitar impactes significatius en el patrimoni històric i cultural"/>
    <s v="A valorar: Per simplificar, posar redactat adaptat a OP 4.3.2 que es considera obligatori i aquest optatiu posar NA o deixar en blanc. HO MANTENIM"/>
    <m/>
    <m/>
    <m/>
    <x v="42"/>
    <m/>
    <m/>
    <s v="1) Percentatge d'informes en què s'han introduït mesures_x000a_2) Realització de treballs de recuperació en patrimoni arquitectònic"/>
    <s v="1) 100%_x000a_2) 1"/>
    <s v="1) 100%_x000a_2) 2"/>
    <m/>
    <s v="AIM"/>
    <s v="AAA"/>
    <m/>
    <m/>
    <m/>
    <m/>
    <m/>
    <m/>
    <m/>
    <m/>
    <m/>
    <n v="0"/>
  </r>
  <r>
    <x v="1"/>
    <x v="3"/>
    <x v="3"/>
    <x v="12"/>
    <x v="12"/>
    <x v="42"/>
    <s v="Fomentar la recuperació i conservació de l'arquitectura tradicional d'intrès de les edificacions i construccions "/>
    <s v="Comú"/>
    <s v="Optatiu "/>
    <x v="42"/>
    <s v="Ortografia, s'afegeix pedra en sec"/>
    <x v="0"/>
    <s v="MITJANA"/>
    <s v="Treballs de recuperació de l'antic Molí de Paüls"/>
    <m/>
    <m/>
    <m/>
    <m/>
    <x v="1"/>
    <m/>
    <m/>
    <m/>
    <m/>
    <m/>
    <m/>
    <m/>
    <m/>
    <m/>
    <m/>
    <m/>
    <m/>
    <m/>
    <m/>
    <m/>
    <m/>
    <m/>
    <m/>
  </r>
  <r>
    <x v="1"/>
    <x v="3"/>
    <x v="3"/>
    <x v="12"/>
    <x v="12"/>
    <x v="43"/>
    <s v="Identificar i conservar la diversitat domesticada de varietats agrícoles i ramaderes locals"/>
    <s v="Comú"/>
    <s v="Obligatori"/>
    <x v="43"/>
    <m/>
    <x v="0"/>
    <s v="MITJANA"/>
    <s v="2.2.3. Estudi de la possibilitat de recuperar espècies agrícoles i ramaderes (PRODUCT)"/>
    <m/>
    <m/>
    <m/>
    <m/>
    <x v="43"/>
    <s v="ESNATURA"/>
    <m/>
    <s v="Elaboració d'una diagnosi de patrimoni cultivat"/>
    <n v="1"/>
    <n v="1"/>
    <m/>
    <s v="AIM"/>
    <s v="AAA"/>
    <m/>
    <s v="PRODUCT"/>
    <s v="Diagnosi dels productors i productores locals del Parc Natural dels Ports. (6.4. Pla d’acció)"/>
    <m/>
    <m/>
    <m/>
    <m/>
    <m/>
    <m/>
    <n v="0"/>
  </r>
  <r>
    <x v="1"/>
    <x v="3"/>
    <x v="3"/>
    <x v="13"/>
    <x v="13"/>
    <x v="44"/>
    <s v="Integrar el patrimoni cultural als itineraris i cartelleria de l'ENP."/>
    <s v="Comú"/>
    <s v="Obligatori "/>
    <x v="44"/>
    <s v="S'inclou altres materials de difusió (web, XXSS)"/>
    <x v="0"/>
    <s v="MITJANA"/>
    <s v="A.4.2.4. Disseny i desenvolupament d'itineraris culturals (CETS): Adequació de l'àrea interpretativa del Molí de Paüls"/>
    <m/>
    <m/>
    <m/>
    <m/>
    <x v="44"/>
    <m/>
    <m/>
    <s v="1) Nombre d'equipaments adequats_x000a_2) Manteniment del web de Mas de Burot"/>
    <s v="1) 2_x000a_2) 1"/>
    <s v="1) 4_x000a_2) 1"/>
    <m/>
    <s v="AIM"/>
    <s v="AAA"/>
    <m/>
    <s v="CETS"/>
    <s v="Pla d'acció 2022-2026 de la CETS."/>
    <m/>
    <m/>
    <m/>
    <m/>
    <m/>
    <m/>
    <n v="0"/>
  </r>
  <r>
    <x v="1"/>
    <x v="3"/>
    <x v="3"/>
    <x v="13"/>
    <x v="13"/>
    <x v="44"/>
    <s v="Integrar el patrimoni cultural als itineraris i cartelleria de l'ENP."/>
    <s v="Comú"/>
    <s v="Obligatori "/>
    <x v="44"/>
    <s v="S'inclou altres materials de difusió (web, XXSS)"/>
    <x v="0"/>
    <s v="MITJANA"/>
    <s v="A.4.2.4. Disseny i desenvolupament d'itineraris culturals (CETS): Estudi de la viabilitat de la senyalització i publicació de l’itinerari del Cocó de la Gralla"/>
    <m/>
    <m/>
    <m/>
    <m/>
    <x v="1"/>
    <m/>
    <m/>
    <m/>
    <m/>
    <m/>
    <m/>
    <m/>
    <m/>
    <m/>
    <m/>
    <m/>
    <m/>
    <m/>
    <m/>
    <m/>
    <m/>
    <m/>
    <m/>
  </r>
  <r>
    <x v="1"/>
    <x v="3"/>
    <x v="3"/>
    <x v="13"/>
    <x v="13"/>
    <x v="44"/>
    <s v="Integrar el patrimoni cultural als itineraris i cartelleria de l'ENP."/>
    <s v="Comú"/>
    <s v="Obligatori "/>
    <x v="44"/>
    <s v="S'inclou altres materials de difusió (web, XXSS)"/>
    <x v="0"/>
    <m/>
    <s v="A.4.2.4. Disseny i desenvolupament d'itineraris culturals (CETS): manteniment de l'Hosting i web Mas de Burot"/>
    <m/>
    <m/>
    <m/>
    <m/>
    <x v="1"/>
    <m/>
    <m/>
    <m/>
    <m/>
    <m/>
    <m/>
    <s v="AIM"/>
    <s v="AAA"/>
    <m/>
    <s v="CETS"/>
    <s v="Pla d'acció 2022-2026 de la CETS."/>
    <m/>
    <m/>
    <m/>
    <m/>
    <m/>
    <m/>
    <n v="0"/>
  </r>
  <r>
    <x v="1"/>
    <x v="3"/>
    <x v="3"/>
    <x v="13"/>
    <x v="13"/>
    <x v="44"/>
    <s v="Integrar el patrimoni cultural als itineraris i cartelleria de l'ENP."/>
    <s v="Comú"/>
    <s v="Obligatori "/>
    <x v="44"/>
    <s v="S'inclou altres materials de difusió (web, XXSS)"/>
    <x v="0"/>
    <m/>
    <s v="A.4.1. Creació d'itineraris turístics a partir d'experiències entorn de l'artesania (ARTESAN)"/>
    <m/>
    <m/>
    <m/>
    <m/>
    <x v="1"/>
    <m/>
    <m/>
    <m/>
    <m/>
    <m/>
    <m/>
    <s v="AUP"/>
    <s v="JMFR"/>
    <m/>
    <s v="ARTESAN"/>
    <s v="Pla d'acció per al foment de l'artesania del Parc Natural dels Ports (2023-2027)"/>
    <m/>
    <m/>
    <m/>
    <m/>
    <m/>
    <m/>
    <n v="0"/>
  </r>
  <r>
    <x v="1"/>
    <x v="3"/>
    <x v="3"/>
    <x v="13"/>
    <x v="13"/>
    <x v="45"/>
    <s v="Incorporar el patrimoni cultural en els plans d’ús públic i educació ambiental per fomentar-ne la seva conservació i divulgació."/>
    <s v="Comú"/>
    <s v="Obligatori "/>
    <x v="45"/>
    <m/>
    <x v="0"/>
    <s v="MITJANA"/>
    <s v="Tema clau 2: Paisatge i arquitectura rural tradicional (EDU): incorporar activitats d'educació ambiental al Mas de Burot"/>
    <m/>
    <s v="I quin seria el tema clau 1? No apareix citat enlloc. Aquesta actuació (incorporar activitats d'educació ambiental al Mas de Burot) està associada al Pla d'educació ambiental, el qual anomena &quot;tema clau&quot; a les línies d'actuació. Del tem clau 1 no apareix cap actuació, sigui perquè l'objectiu ja està acomplit o perquèno hi ha cap actuació al 2026."/>
    <m/>
    <m/>
    <x v="45"/>
    <m/>
    <m/>
    <s v="Nombre de'activitats incorporades"/>
    <n v="1"/>
    <n v="1"/>
    <m/>
    <s v="AIM"/>
    <s v="AAA"/>
    <m/>
    <s v="EDU"/>
    <s v="Programa d'EA 2023-2027"/>
    <m/>
    <m/>
    <m/>
    <m/>
    <m/>
    <m/>
    <n v="0"/>
  </r>
  <r>
    <x v="1"/>
    <x v="3"/>
    <x v="3"/>
    <x v="13"/>
    <x v="13"/>
    <x v="46"/>
    <s v="Formar el personal dels punts d’informació en els valors culturals de l'ENP"/>
    <s v="Comú"/>
    <s v="Obligatori "/>
    <x v="46"/>
    <m/>
    <x v="0"/>
    <s v="MITJANA"/>
    <m/>
    <m/>
    <m/>
    <s v="Formar el personal dels punts d’informació en els valors culturals de l'ENP"/>
    <m/>
    <x v="46"/>
    <m/>
    <m/>
    <s v="Número de participants anuals a les sessions sobre patrimoni cultural"/>
    <n v="15"/>
    <n v="30"/>
    <m/>
    <s v="AUP"/>
    <s v="JMFR"/>
    <m/>
    <s v="ARTESAN"/>
    <s v="Pla d'acció per al foment de l'artesania del Parc Natural dels Ports (2023-2027)"/>
    <m/>
    <m/>
    <m/>
    <m/>
    <m/>
    <m/>
    <n v="0"/>
  </r>
  <r>
    <x v="1"/>
    <x v="4"/>
    <x v="4"/>
    <x v="14"/>
    <x v="14"/>
    <x v="47"/>
    <s v="Elaborar un inventari d'elements d'interès paisatgístic de l'ENP d'acord amb el Catàleg de paisatge de la zona "/>
    <s v="Comú"/>
    <s v="Optatiu"/>
    <x v="47"/>
    <m/>
    <x v="0"/>
    <s v="MITJANA"/>
    <m/>
    <m/>
    <m/>
    <s v="Elaborar un inventari d'elements d'interès paisatgístic de l'ENP d'acord amb el Catàleg de paisatge de la zona "/>
    <m/>
    <x v="47"/>
    <m/>
    <m/>
    <s v="Disposició del catàleg"/>
    <n v="1"/>
    <n v="1"/>
    <m/>
    <s v="AIM"/>
    <s v="AAA"/>
    <m/>
    <m/>
    <m/>
    <m/>
    <m/>
    <m/>
    <m/>
    <m/>
    <m/>
    <n v="0"/>
  </r>
  <r>
    <x v="1"/>
    <x v="4"/>
    <x v="4"/>
    <x v="15"/>
    <x v="15"/>
    <x v="48"/>
    <s v="Desplegar actuacions de restauració dels elements d'interès paisatgístic degradats"/>
    <s v="Comú"/>
    <s v="Optatiu"/>
    <x v="48"/>
    <s v="Millora redactat (inclou conservació), inclou Op següent"/>
    <x v="0"/>
    <s v="BAIXA"/>
    <s v="Redacció projecte executiu de l'àrea dels Ateus"/>
    <m/>
    <m/>
    <m/>
    <m/>
    <x v="48"/>
    <m/>
    <m/>
    <s v="1) redacció del projecte_x000a_2) elaboració del manual de bones pràctiques"/>
    <s v="1) 1_x000a_2) 1"/>
    <s v="1) 1_x000a_2) 1"/>
    <m/>
    <s v="AIM"/>
    <s v="AAA"/>
    <m/>
    <m/>
    <m/>
    <m/>
    <m/>
    <m/>
    <m/>
    <m/>
    <m/>
    <n v="0"/>
  </r>
  <r>
    <x v="1"/>
    <x v="4"/>
    <x v="4"/>
    <x v="15"/>
    <x v="15"/>
    <x v="48"/>
    <s v="Desplegar actuacions de restauració dels elements d'interès paisatgístic degradats"/>
    <s v="Comú"/>
    <s v="Optatiu"/>
    <x v="48"/>
    <m/>
    <x v="0"/>
    <m/>
    <s v="Impulsar el grup de treball per a l'elaborar un manual de bones pràctiques de l'arranjament de camins"/>
    <m/>
    <m/>
    <m/>
    <m/>
    <x v="1"/>
    <m/>
    <m/>
    <m/>
    <m/>
    <m/>
    <m/>
    <m/>
    <m/>
    <m/>
    <m/>
    <m/>
    <m/>
    <m/>
    <m/>
    <m/>
    <m/>
    <m/>
    <m/>
  </r>
  <r>
    <x v="1"/>
    <x v="4"/>
    <x v="4"/>
    <x v="15"/>
    <x v="15"/>
    <x v="48"/>
    <s v="Desplegar actuacions de restauració dels elements d'interès paisatgístic degradats"/>
    <s v="Comú"/>
    <s v="Optatiu"/>
    <x v="48"/>
    <s v="Millora redactat (inclou conservació), inclou Op següent"/>
    <x v="0"/>
    <s v="BAIXA"/>
    <s v="Introduir mesures de gestió preventiva en els informes del Parc per evitar una degradació dels valors paisatgístics"/>
    <m/>
    <m/>
    <m/>
    <m/>
    <x v="1"/>
    <m/>
    <m/>
    <m/>
    <m/>
    <m/>
    <m/>
    <s v="AIM"/>
    <s v="AAA"/>
    <m/>
    <m/>
    <m/>
    <m/>
    <m/>
    <m/>
    <m/>
    <m/>
    <m/>
    <m/>
  </r>
  <r>
    <x v="1"/>
    <x v="4"/>
    <x v="4"/>
    <x v="15"/>
    <x v="15"/>
    <x v="49"/>
    <s v="Gestionar l'abandonament d'infraestructures i instal·lacions amb inpactes sobre els valors de l'espai"/>
    <m/>
    <m/>
    <x v="49"/>
    <s v="Es proposa eliminar, ja que se solapa molt amb l'Op anterior"/>
    <x v="1"/>
    <s v="MITJANA"/>
    <m/>
    <m/>
    <m/>
    <m/>
    <m/>
    <x v="1"/>
    <m/>
    <m/>
    <m/>
    <m/>
    <m/>
    <m/>
    <m/>
    <m/>
    <m/>
    <m/>
    <m/>
    <m/>
    <m/>
    <m/>
    <m/>
    <m/>
    <m/>
    <n v="0"/>
  </r>
  <r>
    <x v="1"/>
    <x v="4"/>
    <x v="4"/>
    <x v="15"/>
    <x v="15"/>
    <x v="50"/>
    <s v="Minimitzar la brutícia, deixalles, vandalisme i males praxis dins l'ENP"/>
    <s v="Comú"/>
    <s v="Obligatori"/>
    <x v="50"/>
    <m/>
    <x v="0"/>
    <s v="MITJANA"/>
    <s v="Participar en la campanya Let's Clean Up Europe, en coordinació amb l'Agència Catalana de Residus"/>
    <m/>
    <m/>
    <m/>
    <m/>
    <x v="49"/>
    <m/>
    <m/>
    <s v="Participació en la campanya anual"/>
    <n v="3"/>
    <n v="4"/>
    <m/>
    <s v="AUP"/>
    <s v="CFF"/>
    <m/>
    <m/>
    <m/>
    <m/>
    <m/>
    <m/>
    <m/>
    <m/>
    <m/>
    <n v="0"/>
  </r>
  <r>
    <x v="1"/>
    <x v="4"/>
    <x v="4"/>
    <x v="15"/>
    <x v="15"/>
    <x v="50"/>
    <s v="Minimitzar la brutícia, deixalles, vandalisme i males praxis dins l'ENP"/>
    <s v="Comú"/>
    <s v="Obligatori"/>
    <x v="50"/>
    <m/>
    <x v="0"/>
    <s v="MITJANA"/>
    <s v="Fer accions de sensibilització sobre els residus humans generats durant el descens de barrancs"/>
    <m/>
    <m/>
    <m/>
    <m/>
    <x v="1"/>
    <m/>
    <m/>
    <m/>
    <m/>
    <m/>
    <m/>
    <m/>
    <m/>
    <m/>
    <m/>
    <m/>
    <m/>
    <m/>
    <m/>
    <m/>
    <m/>
    <m/>
    <m/>
  </r>
  <r>
    <x v="1"/>
    <x v="4"/>
    <x v="4"/>
    <x v="16"/>
    <x v="16"/>
    <x v="51"/>
    <s v="Promoure la certificació de qualitat del cel nocturn"/>
    <s v="Específic"/>
    <s v="Optatiu"/>
    <x v="51"/>
    <m/>
    <x v="0"/>
    <s v="MITJANA"/>
    <s v="Seguiment de la qualitat lumínica del cel nocturn a Cova Avellanes en col·laboració amb la DGCCQA"/>
    <m/>
    <m/>
    <m/>
    <m/>
    <x v="50"/>
    <s v="ESNATURA"/>
    <m/>
    <s v="Disposar del Pla d'acció de reducció de l'impacte lumínic"/>
    <n v="1"/>
    <n v="1"/>
    <m/>
    <s v="APR"/>
    <s v="JMQ"/>
    <m/>
    <m/>
    <m/>
    <m/>
    <m/>
    <m/>
    <m/>
    <m/>
    <m/>
    <n v="0"/>
  </r>
  <r>
    <x v="1"/>
    <x v="4"/>
    <x v="4"/>
    <x v="16"/>
    <x v="16"/>
    <x v="51"/>
    <s v="Promoure la certificació de qualitat del cel nocturn"/>
    <s v="Específic"/>
    <s v="Optatiu"/>
    <x v="51"/>
    <m/>
    <x v="0"/>
    <m/>
    <s v="Col·laboració en el projecte per reduir l’impacte ambiental de l’enllumenat en zones d’especial protecció envers la contaminació lumínica en col·laboració de la DGCCQA "/>
    <m/>
    <m/>
    <m/>
    <m/>
    <x v="1"/>
    <m/>
    <m/>
    <m/>
    <m/>
    <m/>
    <m/>
    <s v="APR"/>
    <s v="JMQ"/>
    <m/>
    <m/>
    <m/>
    <m/>
    <m/>
    <m/>
    <m/>
    <m/>
    <m/>
    <n v="0"/>
  </r>
  <r>
    <x v="1"/>
    <x v="4"/>
    <x v="4"/>
    <x v="16"/>
    <x v="16"/>
    <x v="52"/>
    <s v="Promoure la certificació de zones d'especial protecció de la qualitat acústica"/>
    <s v="Específic"/>
    <s v="Optatiu"/>
    <x v="52"/>
    <s v="En segona fase, després cel nocturn"/>
    <x v="1"/>
    <s v="MITJANA"/>
    <m/>
    <m/>
    <m/>
    <m/>
    <s v="Promoure la certificació de zones d'especial protecció de la qualitat acústica"/>
    <x v="51"/>
    <s v="ESNATURA"/>
    <m/>
    <m/>
    <m/>
    <m/>
    <m/>
    <s v="APR"/>
    <s v="JMQ"/>
    <m/>
    <m/>
    <m/>
    <m/>
    <m/>
    <m/>
    <m/>
    <m/>
    <m/>
    <n v="0"/>
  </r>
  <r>
    <x v="2"/>
    <x v="5"/>
    <x v="5"/>
    <x v="17"/>
    <x v="17"/>
    <x v="53"/>
    <s v="Identificar i prioritzar els elements clau i d'interès per la gestió de la biodiversitat i geodiversitat de Catalunya es troben dins l'ENP (especies amenaçades, espècies exòtiques invasores,.. )"/>
    <s v="Comú"/>
    <s v="Obligatori"/>
    <x v="53"/>
    <s v="Ortografia"/>
    <x v="0"/>
    <s v="MÀXIMA"/>
    <s v="Millora del coneixement dels briòfits amenaçats i d'interès"/>
    <m/>
    <m/>
    <m/>
    <m/>
    <x v="52"/>
    <s v="Directriva Habitats_x000a_Carta emplaçament_x000a_ESNATURA_x000a_Catàlegs"/>
    <s v="UIC/SFF/SPEN: Definir criteris d'identificació d'elements interès._x000a_UIC/SFF/SPEN: Definició dels objectes de conservació clau comuns a nivell de Xarxa d'ENP o clúster territorial"/>
    <s v="1) Nombre d'estudis encarregats de flora no cormofítica_x000a_2) Nombre de capes cartogràfiques d'HICs elaborades_x000a_3) Nombre de dades d'espècies exòtiques enviades_x000a_4) Nombre de fitxes d'arbres monumentals enviades"/>
    <s v="1) 2_x000a_2) 2_x000a_3) 10_x000a_4) 4"/>
    <s v="1) 4_x000a_2) 5_x000a_3) 15_x000a_4) 8"/>
    <m/>
    <s v="APR"/>
    <s v="MAC"/>
    <m/>
    <m/>
    <m/>
    <m/>
    <m/>
    <m/>
    <m/>
    <m/>
    <m/>
    <n v="0"/>
  </r>
  <r>
    <x v="2"/>
    <x v="5"/>
    <x v="5"/>
    <x v="17"/>
    <x v="17"/>
    <x v="53"/>
    <s v="Identificar i prioritzar els elements clau i d'interès per la gestió de la biodiversitat i geodiversitat de Catalunya es troben dins l'ENP (especies amenaçades, espècies exòtiques invasores,.. )"/>
    <s v="Comú"/>
    <s v="Obligatori"/>
    <x v="53"/>
    <m/>
    <x v="0"/>
    <m/>
    <s v="Millora del coneixement dels líquens amenaçats i d'interès"/>
    <m/>
    <m/>
    <m/>
    <m/>
    <x v="1"/>
    <m/>
    <m/>
    <m/>
    <m/>
    <m/>
    <m/>
    <s v="APR"/>
    <s v="MAC"/>
    <m/>
    <m/>
    <m/>
    <m/>
    <m/>
    <m/>
    <m/>
    <m/>
    <m/>
    <n v="0"/>
  </r>
  <r>
    <x v="2"/>
    <x v="5"/>
    <x v="5"/>
    <x v="17"/>
    <x v="17"/>
    <x v="53"/>
    <s v="Identificar i prioritzar els elements clau i d'interès per la gestió de la biodiversitat i geodiversitat de Catalunya es troben dins l'ENP (especies amenaçades, espècies exòtiques invasores,.. )"/>
    <s v="Comú"/>
    <s v="Obligatori"/>
    <x v="53"/>
    <m/>
    <x v="0"/>
    <m/>
    <s v="Millora del coneixement dels fongs"/>
    <m/>
    <m/>
    <m/>
    <m/>
    <x v="1"/>
    <m/>
    <m/>
    <m/>
    <m/>
    <m/>
    <m/>
    <s v="APR"/>
    <s v="MAC"/>
    <m/>
    <m/>
    <m/>
    <m/>
    <m/>
    <m/>
    <m/>
    <m/>
    <m/>
    <m/>
  </r>
  <r>
    <x v="2"/>
    <x v="5"/>
    <x v="5"/>
    <x v="17"/>
    <x v="17"/>
    <x v="53"/>
    <s v="Identificar i prioritzar els elements clau i d'interès per la gestió de la biodiversitat i geodiversitat de Catalunya es troben dins l'ENP (especies amenaçades, espècies exòtiques invasores,.. )"/>
    <s v="Comú"/>
    <s v="Obligatori"/>
    <x v="53"/>
    <m/>
    <x v="0"/>
    <m/>
    <s v="Recollida de mostres Timon lepidus/nevadensis i d'observacions al PNP"/>
    <m/>
    <m/>
    <m/>
    <m/>
    <x v="1"/>
    <m/>
    <m/>
    <m/>
    <m/>
    <m/>
    <m/>
    <s v="APR"/>
    <s v="JMQ"/>
    <m/>
    <m/>
    <m/>
    <m/>
    <m/>
    <m/>
    <m/>
    <m/>
    <m/>
    <n v="0"/>
  </r>
  <r>
    <x v="2"/>
    <x v="5"/>
    <x v="5"/>
    <x v="17"/>
    <x v="17"/>
    <x v="53"/>
    <s v="Identificar i prioritzar els elements clau i d'interès per la gestió de la biodiversitat i geodiversitat de Catalunya es troben dins l'ENP (especies amenaçades, espècies exòtiques invasores,.. )"/>
    <s v="Comú"/>
    <s v="Obligatori"/>
    <x v="53"/>
    <m/>
    <x v="0"/>
    <m/>
    <s v="Cartografia de detall dels HIC escassos (grevoleda, teixeda)"/>
    <m/>
    <m/>
    <m/>
    <m/>
    <x v="1"/>
    <m/>
    <m/>
    <m/>
    <m/>
    <m/>
    <m/>
    <s v="APR"/>
    <s v="JMQ"/>
    <m/>
    <m/>
    <m/>
    <m/>
    <m/>
    <n v="18000"/>
    <m/>
    <m/>
    <m/>
    <n v="18000"/>
  </r>
  <r>
    <x v="2"/>
    <x v="5"/>
    <x v="5"/>
    <x v="17"/>
    <x v="17"/>
    <x v="53"/>
    <s v="Identificar i prioritzar els elements clau i d'interès per la gestió de la biodiversitat i geodiversitat de Catalunya es troben dins l'ENP (especies amenaçades, espècies exòtiques invasores,.. )"/>
    <s v="Comú"/>
    <s v="Obligatori"/>
    <x v="53"/>
    <m/>
    <x v="0"/>
    <m/>
    <s v="Participació en la Xarxa d'alerta d'espècies exòtiques invasores"/>
    <m/>
    <m/>
    <m/>
    <m/>
    <x v="1"/>
    <m/>
    <m/>
    <m/>
    <m/>
    <m/>
    <m/>
    <s v="APR"/>
    <s v="JMQ/MAC"/>
    <m/>
    <m/>
    <m/>
    <m/>
    <m/>
    <m/>
    <m/>
    <m/>
    <m/>
    <n v="0"/>
  </r>
  <r>
    <x v="2"/>
    <x v="5"/>
    <x v="5"/>
    <x v="17"/>
    <x v="17"/>
    <x v="53"/>
    <s v="Identificar i prioritzar els elements clau i d'interès per la gestió de la biodiversitat i geodiversitat de Catalunya es troben dins l'ENP (especies amenaçades, espècies exòtiques invasores,.. )"/>
    <s v="Comú"/>
    <s v="Obligatori"/>
    <x v="53"/>
    <m/>
    <x v="0"/>
    <m/>
    <s v="Col·laboració amb la base de dades EXOCAT"/>
    <m/>
    <m/>
    <m/>
    <m/>
    <x v="1"/>
    <m/>
    <m/>
    <m/>
    <m/>
    <m/>
    <m/>
    <s v="APR"/>
    <s v="JMQ/MAC"/>
    <m/>
    <m/>
    <m/>
    <m/>
    <m/>
    <m/>
    <m/>
    <m/>
    <m/>
    <n v="0"/>
  </r>
  <r>
    <x v="2"/>
    <x v="5"/>
    <x v="5"/>
    <x v="17"/>
    <x v="17"/>
    <x v="53"/>
    <s v="Identificar i prioritzar els elements clau i d'interès per la gestió de la biodiversitat i geodiversitat de Catalunya es troben dins l'ENP (especies amenaçades, espècies exòtiques invasores,.. )"/>
    <s v="Comú"/>
    <s v="Obligatori"/>
    <x v="53"/>
    <m/>
    <x v="0"/>
    <m/>
    <s v="Seguiment ecològic dels arbres monumentals i preparar la proposta de declaració de nous exemplars, segons el Decret 214/1987"/>
    <m/>
    <m/>
    <m/>
    <m/>
    <x v="1"/>
    <m/>
    <m/>
    <m/>
    <m/>
    <m/>
    <m/>
    <s v="APR"/>
    <s v="MAC"/>
    <m/>
    <m/>
    <m/>
    <m/>
    <m/>
    <m/>
    <m/>
    <m/>
    <m/>
    <m/>
  </r>
  <r>
    <x v="2"/>
    <x v="5"/>
    <x v="5"/>
    <x v="17"/>
    <x v="17"/>
    <x v="53"/>
    <s v="Identificar i prioritzar els elements clau i d'interès per la gestió de la biodiversitat i geodiversitat de Catalunya es troben dins l'ENP (especies amenaçades, espècies exòtiques invasores,.. )"/>
    <s v="Comú"/>
    <s v="Obligatori"/>
    <x v="53"/>
    <m/>
    <x v="0"/>
    <m/>
    <s v="Diagnosticar i planificar la millora de la biodiversitat de les parcel·les de Roquetes (Pol. 21, Parc. 64) i d'alfara de Carles (Pol.19, Parc. 4; Pol. 20, Parc. 52), herències abintestades i assignades al PNP"/>
    <m/>
    <m/>
    <m/>
    <m/>
    <x v="1"/>
    <m/>
    <m/>
    <m/>
    <m/>
    <m/>
    <m/>
    <m/>
    <m/>
    <m/>
    <m/>
    <m/>
    <m/>
    <m/>
    <m/>
    <m/>
    <m/>
    <m/>
    <m/>
  </r>
  <r>
    <x v="2"/>
    <x v="5"/>
    <x v="5"/>
    <x v="17"/>
    <x v="17"/>
    <x v="54"/>
    <s v="Definir espais fràgils i zones d'especial atenció"/>
    <s v="Comú"/>
    <s v="Obligatori"/>
    <x v="54"/>
    <s v="?"/>
    <x v="0"/>
    <s v="MÀXIMA"/>
    <s v="A.2.1.3. Estudi i seguiment d'espècies, hàbitats i ecosistemes que es poden veure afectats per l'ús públic (CETS)"/>
    <m/>
    <m/>
    <m/>
    <m/>
    <x v="53"/>
    <m/>
    <s v="SPEN: Inventari i cartografia d'espais fràgils i zones d'especial atenció"/>
    <s v="1) Nombre d'estudis de capacitat de càrrega realitzats_x000a_2) Document proposta de noves zones humides"/>
    <s v="1) 1_x000a_2) 1"/>
    <s v="1) 3_x000a_2) 1"/>
    <m/>
    <s v="AUP"/>
    <s v="JMFR/JMQ"/>
    <m/>
    <s v="CETS"/>
    <s v="Pla d'acció 2022-2026 de la CETS."/>
    <m/>
    <m/>
    <m/>
    <m/>
    <m/>
    <m/>
    <n v="0"/>
  </r>
  <r>
    <x v="2"/>
    <x v="5"/>
    <x v="5"/>
    <x v="17"/>
    <x v="17"/>
    <x v="54"/>
    <s v="Definir espais fràgils i zones d'especial atenció"/>
    <s v="Comú"/>
    <s v="Obligatori"/>
    <x v="54"/>
    <s v="?"/>
    <x v="0"/>
    <s v="MÀXIMA"/>
    <s v="A.2.2.1. Anàlisi de la capacitat de càrrega dels diferents espais més vulnerables i ordenació de fluxos en espais crítics (CETS): anàlisi de la capacitat de càrrega del riu Canaletes"/>
    <m/>
    <m/>
    <m/>
    <m/>
    <x v="1"/>
    <m/>
    <s v="SPEN: Inventari i cartografia d'espais fràgils i zones d'especial atenció"/>
    <m/>
    <m/>
    <m/>
    <m/>
    <s v="AUP"/>
    <s v="JMFR"/>
    <m/>
    <s v="CETS"/>
    <s v="Pla d'acció 2022-2026 de la CETS."/>
    <m/>
    <m/>
    <m/>
    <m/>
    <m/>
    <m/>
    <n v="0"/>
  </r>
  <r>
    <x v="2"/>
    <x v="5"/>
    <x v="5"/>
    <x v="17"/>
    <x v="17"/>
    <x v="54"/>
    <s v="Definir espais fràgils i zones d'especial atenció"/>
    <s v="Comú"/>
    <s v="Obligatori"/>
    <x v="54"/>
    <s v="?"/>
    <x v="0"/>
    <s v="MÀXIMA"/>
    <s v="Participar en l'actualització de l'Inventari de Zones Humides de Catalunya"/>
    <m/>
    <s v="Potser encaixa millor a l'eix de coneixement al 6.1.2 Definir espais fràgils i zones d'especial atenció. Valorar canvi. Ok, fet el canvi"/>
    <m/>
    <m/>
    <x v="1"/>
    <s v="APR"/>
    <s v="JMQ/MAC"/>
    <m/>
    <m/>
    <m/>
    <m/>
    <s v="APR"/>
    <s v="JMQ/MAC"/>
    <m/>
    <m/>
    <m/>
    <m/>
    <m/>
    <m/>
    <m/>
    <m/>
    <m/>
    <m/>
  </r>
  <r>
    <x v="2"/>
    <x v="5"/>
    <x v="5"/>
    <x v="18"/>
    <x v="18"/>
    <x v="55"/>
    <s v="Participar en l'elaboració de la cartografia que elabora la UIC"/>
    <s v="Comú"/>
    <s v="Obligatori"/>
    <x v="55"/>
    <m/>
    <x v="0"/>
    <s v="ALTA"/>
    <s v="Actualització de les bases cartogràfiques del Parc (GIS)"/>
    <m/>
    <m/>
    <m/>
    <m/>
    <x v="54"/>
    <s v="ESNATURA"/>
    <s v="UIC: Coordinar i contractar l'elaboració de la cartografia"/>
    <s v="1) Nombre de cartografies generades transferides a la UIC._x000a_"/>
    <n v="1"/>
    <n v="5"/>
    <m/>
    <s v="AUP"/>
    <s v="MAC"/>
    <m/>
    <m/>
    <m/>
    <m/>
    <m/>
    <n v="14000"/>
    <m/>
    <m/>
    <m/>
    <n v="14000"/>
  </r>
  <r>
    <x v="2"/>
    <x v="5"/>
    <x v="5"/>
    <x v="18"/>
    <x v="18"/>
    <x v="56"/>
    <s v="Conèixer els usos i factors de canvi rellevants en l'evolució dels elements de conservació, i avaluar els efectes que generen en l’espai (pressions i amenaces)"/>
    <s v="Comú"/>
    <s v="Obligatori"/>
    <x v="56"/>
    <m/>
    <x v="0"/>
    <s v="ALTA"/>
    <s v="Seguiment de les actuacions del projecte de millora d'hàbitats i espècies PPO 23227, mitjançant rèpliques de vols de dron i parcel·les"/>
    <m/>
    <m/>
    <m/>
    <m/>
    <x v="55"/>
    <s v="ESNATURA"/>
    <s v="SENP/UIC: Elaborar la classificació i cartografia de les pressions o factors de canvi sobre el medi natural "/>
    <s v="Nombre de seguiments efetuats"/>
    <n v="1"/>
    <n v="2"/>
    <m/>
    <s v="APR"/>
    <s v="JMQ"/>
    <m/>
    <m/>
    <m/>
    <m/>
    <m/>
    <m/>
    <m/>
    <m/>
    <m/>
    <n v="0"/>
  </r>
  <r>
    <x v="2"/>
    <x v="5"/>
    <x v="5"/>
    <x v="18"/>
    <x v="18"/>
    <x v="57"/>
    <s v="Conèixer l'impacte de les gestió de l'aigua, sobre la biodiversitat."/>
    <s v="Comú"/>
    <s v="Optatiu"/>
    <x v="57"/>
    <s v="Ortografia"/>
    <x v="0"/>
    <s v="MITJANA"/>
    <s v="Assistència tècnica: Manteniment de la monitorització de zones humides per al control de la qualitat ambiental al Parc Natural dels Ports"/>
    <m/>
    <m/>
    <m/>
    <m/>
    <x v="56"/>
    <m/>
    <m/>
    <s v="Nombre de seguiments realitzats"/>
    <n v="1"/>
    <n v="2"/>
    <m/>
    <s v="APR"/>
    <s v="JMQ"/>
    <m/>
    <m/>
    <m/>
    <m/>
    <m/>
    <m/>
    <m/>
    <m/>
    <m/>
    <n v="0"/>
  </r>
  <r>
    <x v="2"/>
    <x v="5"/>
    <x v="5"/>
    <x v="18"/>
    <x v="18"/>
    <x v="58"/>
    <s v="Participar en el coneixement de la tendència d'espècies plaga amb afectacions sobre ecosistemes o activitats econòmiques dins l'ENP"/>
    <s v="Comú"/>
    <s v="Optatiu"/>
    <x v="58"/>
    <s v="Es proposa eliminar, no té gaire sentit com a Op"/>
    <x v="1"/>
    <s v="MITJANA"/>
    <m/>
    <m/>
    <m/>
    <m/>
    <m/>
    <x v="1"/>
    <m/>
    <m/>
    <m/>
    <m/>
    <m/>
    <m/>
    <m/>
    <m/>
    <m/>
    <m/>
    <m/>
    <m/>
    <m/>
    <m/>
    <m/>
    <m/>
    <m/>
    <n v="0"/>
  </r>
  <r>
    <x v="2"/>
    <x v="5"/>
    <x v="5"/>
    <x v="18"/>
    <x v="18"/>
    <x v="59"/>
    <s v="Conèixer la tendència d'espècies exòtiques invasores amb afectacions sobre ecosistemes o activitats econòmiques dins l'ENP"/>
    <s v="Comú"/>
    <s v="Obligatori"/>
    <x v="59"/>
    <m/>
    <x v="0"/>
    <s v="ALTA"/>
    <s v="Seguiment de la papallona del boix Cydalima perspectalis"/>
    <m/>
    <m/>
    <m/>
    <m/>
    <x v="57"/>
    <s v="ESNATURA"/>
    <m/>
    <s v="Nombre de seguiments realitzades seguint el protocol"/>
    <n v="4"/>
    <n v="4"/>
    <m/>
    <s v="APR"/>
    <s v="JMQ"/>
    <m/>
    <m/>
    <m/>
    <m/>
    <m/>
    <m/>
    <m/>
    <m/>
    <m/>
    <n v="0"/>
  </r>
  <r>
    <x v="2"/>
    <x v="5"/>
    <x v="5"/>
    <x v="18"/>
    <x v="18"/>
    <x v="60"/>
    <s v="Coneixer com millorar la connectivitat de forma coordinada amb altres ENP"/>
    <s v="Comú"/>
    <s v="Optatiu"/>
    <x v="60"/>
    <s v="Ortografia"/>
    <x v="1"/>
    <s v="ALTA"/>
    <m/>
    <m/>
    <m/>
    <m/>
    <m/>
    <x v="1"/>
    <s v="ESNATURA"/>
    <m/>
    <m/>
    <m/>
    <m/>
    <m/>
    <s v="AGH"/>
    <s v="JSB"/>
    <m/>
    <m/>
    <m/>
    <m/>
    <m/>
    <m/>
    <m/>
    <m/>
    <m/>
    <n v="0"/>
  </r>
  <r>
    <x v="2"/>
    <x v="5"/>
    <x v="5"/>
    <x v="19"/>
    <x v="19"/>
    <x v="61"/>
    <s v="Participar en la definició del sistema estàndard de seguiment de flora, fauna i hàbitats de la DG"/>
    <s v="Comú"/>
    <s v="Obligatori"/>
    <x v="61"/>
    <m/>
    <x v="0"/>
    <s v="ALTA"/>
    <s v="Participar en els GT de la DG i amb la UIC, per estandaritzar els seguiments dels elements clau de flora, fauna i hàbitats"/>
    <m/>
    <m/>
    <m/>
    <m/>
    <x v="58"/>
    <s v="ESNATURA"/>
    <s v="UIC/SFF/SENP: Crear espais de participació_x000a_UIC/SFF: Definir el sistema estàndard de seguiment i el protocol d'aplicació"/>
    <s v="Nombre de sistemes de seguiment en els que s'ha participat/col·laborat"/>
    <n v="4"/>
    <n v="8"/>
    <m/>
    <s v="APR"/>
    <s v="JMQ/MAC"/>
    <m/>
    <m/>
    <m/>
    <m/>
    <m/>
    <m/>
    <m/>
    <m/>
    <m/>
    <n v="0"/>
  </r>
  <r>
    <x v="2"/>
    <x v="5"/>
    <x v="5"/>
    <x v="19"/>
    <x v="19"/>
    <x v="62"/>
    <s v="Adequar i executar el sistema de seguiment periòdic dels grups clau de l'ENP al sistema estàndard de seguiment"/>
    <s v="Comú"/>
    <s v="Obligatori"/>
    <x v="62"/>
    <m/>
    <x v="0"/>
    <s v="ALTA"/>
    <s v="Material tècnic de recerca"/>
    <m/>
    <s v="Aquesta i les dues següents semblen pensades en clau pressupost, més que no pas actuacions. Una proposta de redactat d'actuació seria: Dotació del material tècnic necessari per a les activitats de recerca"/>
    <m/>
    <m/>
    <x v="59"/>
    <s v="ESNATURA"/>
    <s v="UIC/SFF: Definir el sistema estàndard de seguiment i el protocol d'aplicació_x000a_UIC: Elaborar el protocol d'informació i coneixement"/>
    <s v="Nombre de seguiments dels elements clau estandaritzats"/>
    <n v="10"/>
    <n v="15"/>
    <m/>
    <s v="APR"/>
    <s v="JMQ"/>
    <m/>
    <m/>
    <m/>
    <m/>
    <m/>
    <m/>
    <m/>
    <m/>
    <m/>
    <n v="0"/>
  </r>
  <r>
    <x v="2"/>
    <x v="5"/>
    <x v="5"/>
    <x v="19"/>
    <x v="19"/>
    <x v="62"/>
    <s v="Adequar i executar el sistema de seguiment periòdic dels grups clau de l'ENP al sistema estàndard de seguiment"/>
    <s v="Comú"/>
    <s v="Obligatori"/>
    <x v="62"/>
    <m/>
    <x v="0"/>
    <m/>
    <s v="Piles per a treballs de recerca"/>
    <m/>
    <s v="ídem anterior"/>
    <m/>
    <m/>
    <x v="1"/>
    <m/>
    <m/>
    <m/>
    <m/>
    <m/>
    <m/>
    <s v="APR"/>
    <s v="JMQ"/>
    <m/>
    <m/>
    <m/>
    <m/>
    <m/>
    <m/>
    <m/>
    <m/>
    <m/>
    <n v="0"/>
  </r>
  <r>
    <x v="2"/>
    <x v="5"/>
    <x v="5"/>
    <x v="19"/>
    <x v="19"/>
    <x v="62"/>
    <s v="Adequar i executar el sistema de seguiment periòdic dels grups clau de l'ENP al sistema estàndard de seguiment"/>
    <s v="Comú"/>
    <s v="Obligatori"/>
    <x v="62"/>
    <m/>
    <x v="0"/>
    <m/>
    <s v="Material divers per a activitats de recerca"/>
    <m/>
    <s v="ídem anterior"/>
    <m/>
    <m/>
    <x v="1"/>
    <m/>
    <m/>
    <m/>
    <m/>
    <m/>
    <m/>
    <s v="APR"/>
    <s v="JMQ"/>
    <m/>
    <m/>
    <m/>
    <m/>
    <m/>
    <m/>
    <m/>
    <m/>
    <m/>
    <n v="0"/>
  </r>
  <r>
    <x v="2"/>
    <x v="5"/>
    <x v="5"/>
    <x v="19"/>
    <x v="19"/>
    <x v="62"/>
    <s v="Adequar i executar el sistema de seguiment periòdic dels grups clau de l'ENP al sistema estàndard de seguiment"/>
    <s v="Comú"/>
    <s v="Obligatori"/>
    <x v="62"/>
    <m/>
    <x v="0"/>
    <m/>
    <s v="Seguiment de l'estació de lepidòpters CBMS Montsagres i Estrets"/>
    <m/>
    <m/>
    <m/>
    <m/>
    <x v="1"/>
    <m/>
    <m/>
    <m/>
    <m/>
    <m/>
    <m/>
    <s v="APR"/>
    <s v="JMQ"/>
    <m/>
    <m/>
    <m/>
    <m/>
    <m/>
    <m/>
    <m/>
    <m/>
    <m/>
    <n v="0"/>
  </r>
  <r>
    <x v="2"/>
    <x v="5"/>
    <x v="5"/>
    <x v="19"/>
    <x v="19"/>
    <x v="62"/>
    <s v="Adequar i executar el sistema de seguiment periòdic dels grups clau de l'ENP al sistema estàndard de seguiment"/>
    <s v="Comú"/>
    <s v="Obligatori"/>
    <x v="62"/>
    <m/>
    <x v="0"/>
    <m/>
    <s v="SLIC Estrets"/>
    <m/>
    <m/>
    <m/>
    <m/>
    <x v="1"/>
    <m/>
    <m/>
    <m/>
    <m/>
    <m/>
    <m/>
    <s v="APR"/>
    <s v="JMQ"/>
    <m/>
    <m/>
    <m/>
    <m/>
    <m/>
    <m/>
    <m/>
    <m/>
    <m/>
    <n v="0"/>
  </r>
  <r>
    <x v="2"/>
    <x v="5"/>
    <x v="5"/>
    <x v="19"/>
    <x v="19"/>
    <x v="62"/>
    <s v="Adequar i executar el sistema de seguiment periòdic dels grups clau de l'ENP al sistema estàndard de seguiment"/>
    <s v="Comú"/>
    <s v="Obligatori"/>
    <x v="62"/>
    <m/>
    <x v="0"/>
    <m/>
    <s v="Projecte de reintroducció de la tortuga mediterrània al PN Ports: seguiment de la reintroducció de la tortuga mediterrània "/>
    <s v="La redacció del pla de recuperació es solaparia amb el previst al 1.1.1? Però potser és un tema de que el cost que heu contemplat inclou la redacció del pla i el seguiment. NO AFECTA AL PLA (L'ACTUACIÓ DE 2024 ERA, MALGRAT EL TÍTOL DE SEGUIMENT, UNA ACTUACIÓ DE SEGUIMENT)"/>
    <m/>
    <m/>
    <m/>
    <x v="1"/>
    <m/>
    <m/>
    <m/>
    <m/>
    <m/>
    <m/>
    <s v="APR"/>
    <s v="JMQ"/>
    <m/>
    <m/>
    <m/>
    <m/>
    <m/>
    <m/>
    <m/>
    <m/>
    <m/>
    <n v="0"/>
  </r>
  <r>
    <x v="2"/>
    <x v="5"/>
    <x v="5"/>
    <x v="19"/>
    <x v="19"/>
    <x v="62"/>
    <s v="Adequar i executar el sistema de seguiment periòdic dels grups clau de l'ENP al sistema estàndard de seguiment"/>
    <s v="Comú"/>
    <s v="Obligatori"/>
    <x v="62"/>
    <m/>
    <x v="0"/>
    <m/>
    <s v="Captura i col·locació emissors rapinyaires"/>
    <m/>
    <m/>
    <m/>
    <m/>
    <x v="1"/>
    <m/>
    <m/>
    <m/>
    <m/>
    <m/>
    <m/>
    <s v="APR"/>
    <s v="JMQ"/>
    <m/>
    <m/>
    <m/>
    <m/>
    <m/>
    <m/>
    <m/>
    <m/>
    <m/>
    <n v="0"/>
  </r>
  <r>
    <x v="2"/>
    <x v="5"/>
    <x v="5"/>
    <x v="19"/>
    <x v="19"/>
    <x v="62"/>
    <s v="Adequar i executar el sistema de seguiment periòdic dels grups clau de l'ENP al sistema estàndard de seguiment"/>
    <s v="Comú"/>
    <s v="Obligatori"/>
    <x v="62"/>
    <m/>
    <x v="0"/>
    <m/>
    <s v="Assegurança dron"/>
    <m/>
    <s v="ídem anterior"/>
    <m/>
    <m/>
    <x v="1"/>
    <m/>
    <m/>
    <m/>
    <m/>
    <m/>
    <m/>
    <s v="AGH"/>
    <s v="JSB"/>
    <m/>
    <m/>
    <m/>
    <m/>
    <m/>
    <m/>
    <m/>
    <m/>
    <m/>
    <n v="0"/>
  </r>
  <r>
    <x v="2"/>
    <x v="5"/>
    <x v="5"/>
    <x v="19"/>
    <x v="19"/>
    <x v="62"/>
    <s v="Adequar i executar el sistema de seguiment periòdic dels grups clau de l'ENP al sistema estàndard de seguiment"/>
    <s v="Comú"/>
    <s v="Obligatori"/>
    <x v="62"/>
    <m/>
    <x v="0"/>
    <m/>
    <s v="Seguiments de flora amenaçada: Orchis cazorlensis, Asplenium sagittatum, Nepeta tuberosa, Lepidium hirtum, Ramonda myconi, Berberis garciae, Arenaria conimbricensis subsp. viridis, Jasione crispa s.l., Botrychium lunaria, Epipactis leptochila i Atropa baetica."/>
    <m/>
    <m/>
    <m/>
    <m/>
    <x v="1"/>
    <m/>
    <m/>
    <m/>
    <m/>
    <m/>
    <m/>
    <s v="APR"/>
    <s v="MAC"/>
    <m/>
    <m/>
    <m/>
    <m/>
    <m/>
    <m/>
    <m/>
    <m/>
    <m/>
    <n v="0"/>
  </r>
  <r>
    <x v="2"/>
    <x v="5"/>
    <x v="5"/>
    <x v="19"/>
    <x v="19"/>
    <x v="62"/>
    <s v="Adequar i executar el sistema de seguiment periòdic dels grups clau de l'ENP al sistema estàndard de seguiment"/>
    <s v="Comú"/>
    <s v="Obligatori"/>
    <x v="62"/>
    <m/>
    <x v="0"/>
    <m/>
    <s v="Seguiment anual de les poblacions d'invertebrats amenaçats: Saga pedo, Erebia epistygne, Iolana debilitata, Zygaena ignifera, Macromia splendens, Austropotamobius pallipes"/>
    <m/>
    <m/>
    <m/>
    <m/>
    <x v="1"/>
    <m/>
    <m/>
    <m/>
    <m/>
    <m/>
    <m/>
    <s v="APR"/>
    <s v="MAC/JMQ"/>
    <m/>
    <m/>
    <m/>
    <m/>
    <m/>
    <m/>
    <m/>
    <m/>
    <m/>
    <n v="0"/>
  </r>
  <r>
    <x v="2"/>
    <x v="5"/>
    <x v="5"/>
    <x v="19"/>
    <x v="19"/>
    <x v="62"/>
    <s v="Adequar i executar el sistema de seguiment periòdic dels grups clau de l'ENP al sistema estàndard de seguiment"/>
    <s v="Comú"/>
    <s v="Obligatori"/>
    <x v="62"/>
    <m/>
    <x v="0"/>
    <m/>
    <s v="Estudi dels pol·linitzadors al PNP"/>
    <m/>
    <m/>
    <m/>
    <m/>
    <x v="1"/>
    <m/>
    <m/>
    <m/>
    <m/>
    <m/>
    <m/>
    <s v="APR"/>
    <s v="MAC/JMQ"/>
    <m/>
    <m/>
    <m/>
    <m/>
    <m/>
    <m/>
    <m/>
    <m/>
    <m/>
    <m/>
  </r>
  <r>
    <x v="2"/>
    <x v="5"/>
    <x v="5"/>
    <x v="19"/>
    <x v="19"/>
    <x v="62"/>
    <s v="Adequar i executar el sistema de seguiment periòdic dels grups clau de l'ENP al sistema estàndard de seguiment"/>
    <s v="Comú"/>
    <s v="Obligatori"/>
    <x v="62"/>
    <m/>
    <x v="0"/>
    <m/>
    <s v="Seguiment anual de les poblacions reproductores d'àguila cuabarrada Aquila fasciata, àguila calçada Hieraaetus pennatus, àguila marcenca Circaetus gallicus, aufrany Neophron percnopterus, astor Accipiter gentilis, duc Bubo bubo"/>
    <m/>
    <m/>
    <m/>
    <m/>
    <x v="1"/>
    <m/>
    <m/>
    <m/>
    <m/>
    <m/>
    <m/>
    <s v="APR"/>
    <s v="JMQ"/>
    <m/>
    <m/>
    <m/>
    <m/>
    <m/>
    <m/>
    <m/>
    <m/>
    <m/>
    <n v="0"/>
  </r>
  <r>
    <x v="2"/>
    <x v="5"/>
    <x v="5"/>
    <x v="19"/>
    <x v="19"/>
    <x v="62"/>
    <s v="Adequar i executar el sistema de seguiment periòdic dels grups clau de l'ENP al sistema estàndard de seguiment"/>
    <s v="Comú"/>
    <s v="Obligatori"/>
    <x v="62"/>
    <m/>
    <x v="0"/>
    <m/>
    <s v="Seguiment de passeriformes amenaçats (còlit ros, cogullada fosca, botxí)"/>
    <m/>
    <m/>
    <m/>
    <m/>
    <x v="1"/>
    <m/>
    <m/>
    <m/>
    <m/>
    <m/>
    <m/>
    <s v="APR"/>
    <s v="JMQ"/>
    <m/>
    <m/>
    <m/>
    <m/>
    <m/>
    <m/>
    <m/>
    <m/>
    <m/>
    <n v="0"/>
  </r>
  <r>
    <x v="2"/>
    <x v="5"/>
    <x v="5"/>
    <x v="19"/>
    <x v="19"/>
    <x v="62"/>
    <s v="Adequar i executar el sistema de seguiment periòdic dels grups clau de l'ENP al sistema estàndard de seguiment"/>
    <s v="Comú"/>
    <s v="Obligatori"/>
    <x v="62"/>
    <m/>
    <x v="0"/>
    <m/>
    <s v="Projecte de reintroducció del trencalòs: Seguiment del trencalòs Gypaetus barbatus mitjançant fototrampeig als Punts d'alimentació suplementària"/>
    <m/>
    <m/>
    <m/>
    <m/>
    <x v="1"/>
    <m/>
    <m/>
    <m/>
    <m/>
    <m/>
    <m/>
    <s v="APR"/>
    <s v="JMQ"/>
    <m/>
    <m/>
    <m/>
    <m/>
    <m/>
    <m/>
    <m/>
    <m/>
    <m/>
    <n v="0"/>
  </r>
  <r>
    <x v="2"/>
    <x v="5"/>
    <x v="5"/>
    <x v="19"/>
    <x v="19"/>
    <x v="62"/>
    <s v="Adequar i executar el sistema de seguiment periòdic dels grups clau de l'ENP al sistema estàndard de seguiment"/>
    <s v="Comú"/>
    <s v="Obligatori"/>
    <x v="62"/>
    <m/>
    <x v="0"/>
    <m/>
    <s v="Participació en el pla de seguiment del gat fer i altres mesocarnívors (Felis-ICHN)"/>
    <m/>
    <m/>
    <m/>
    <m/>
    <x v="1"/>
    <m/>
    <m/>
    <m/>
    <m/>
    <m/>
    <m/>
    <s v="APR"/>
    <s v="JMQ"/>
    <m/>
    <m/>
    <m/>
    <m/>
    <m/>
    <m/>
    <m/>
    <m/>
    <m/>
    <n v="0"/>
  </r>
  <r>
    <x v="2"/>
    <x v="5"/>
    <x v="5"/>
    <x v="19"/>
    <x v="19"/>
    <x v="62"/>
    <s v="Adequar i executar el sistema de seguiment periòdic dels grups clau de l'ENP al sistema estàndard de seguiment"/>
    <s v="Comú"/>
    <s v="Obligatori"/>
    <x v="62"/>
    <m/>
    <x v="0"/>
    <m/>
    <s v="Participació en el Seguiment d’Ocells Comuns a Catalunya (SOCC)"/>
    <m/>
    <m/>
    <m/>
    <m/>
    <x v="1"/>
    <m/>
    <m/>
    <m/>
    <m/>
    <m/>
    <m/>
    <s v="APR"/>
    <s v="JMQ"/>
    <m/>
    <m/>
    <m/>
    <m/>
    <m/>
    <m/>
    <m/>
    <m/>
    <m/>
    <n v="0"/>
  </r>
  <r>
    <x v="2"/>
    <x v="5"/>
    <x v="5"/>
    <x v="19"/>
    <x v="19"/>
    <x v="62"/>
    <s v="Adequar i executar el sistema de seguiment periòdic dels grups clau de l'ENP al sistema estàndard de seguiment"/>
    <s v="Comú"/>
    <s v="Obligatori"/>
    <x v="62"/>
    <m/>
    <x v="0"/>
    <m/>
    <s v="Col·laboració en els projectes de seguiment de quiròpters (Museu de Ciències Naturals de Granollers)"/>
    <m/>
    <m/>
    <m/>
    <m/>
    <x v="1"/>
    <m/>
    <m/>
    <m/>
    <m/>
    <m/>
    <m/>
    <s v="APR"/>
    <s v="JMQ"/>
    <m/>
    <m/>
    <m/>
    <m/>
    <m/>
    <m/>
    <m/>
    <m/>
    <m/>
    <n v="0"/>
  </r>
  <r>
    <x v="2"/>
    <x v="5"/>
    <x v="5"/>
    <x v="19"/>
    <x v="19"/>
    <x v="62"/>
    <s v="Adequar i executar el sistema de seguiment periòdic dels grups clau de l'ENP al sistema estàndard de seguiment"/>
    <s v="Comú"/>
    <s v="Obligatori"/>
    <x v="62"/>
    <m/>
    <x v="0"/>
    <m/>
    <s v="Seguiment de la llúdriga als espais fluvials del Parc"/>
    <m/>
    <m/>
    <m/>
    <m/>
    <x v="1"/>
    <m/>
    <m/>
    <m/>
    <m/>
    <m/>
    <m/>
    <m/>
    <m/>
    <m/>
    <m/>
    <m/>
    <m/>
    <m/>
    <m/>
    <m/>
    <m/>
    <m/>
    <m/>
  </r>
  <r>
    <x v="2"/>
    <x v="5"/>
    <x v="5"/>
    <x v="19"/>
    <x v="19"/>
    <x v="62"/>
    <s v="Adequar i executar el sistema de seguiment periòdic dels grups clau de l'ENP al sistema estàndard de seguiment"/>
    <s v="Comú"/>
    <s v="Obligatori"/>
    <x v="62"/>
    <m/>
    <x v="0"/>
    <m/>
    <s v="Seguiment de la recuperació de la biodiversitat en l'àmbit de l'incendi de Paüls"/>
    <m/>
    <m/>
    <m/>
    <m/>
    <x v="1"/>
    <m/>
    <m/>
    <m/>
    <m/>
    <m/>
    <m/>
    <s v="APR"/>
    <s v="JMQ"/>
    <m/>
    <m/>
    <m/>
    <m/>
    <m/>
    <m/>
    <m/>
    <m/>
    <m/>
    <m/>
  </r>
  <r>
    <x v="2"/>
    <x v="5"/>
    <x v="5"/>
    <x v="19"/>
    <x v="19"/>
    <x v="63"/>
    <s v="Mantenir una base de dades de seguiment de patrimoni natural de l'ENP actualitzada i ordenada "/>
    <s v="Comú"/>
    <s v="Obligatori"/>
    <x v="63"/>
    <s v="Pensar si cal tenir-la indivualitzada o integrada al sistema UIC"/>
    <x v="0"/>
    <s v="MITJANA"/>
    <s v="Actualitzar les bases de dades dels seguiments que realitza el ENP"/>
    <m/>
    <m/>
    <m/>
    <m/>
    <x v="60"/>
    <m/>
    <m/>
    <s v="Base de dades actualitzada"/>
    <n v="1"/>
    <n v="1"/>
    <m/>
    <s v="APR"/>
    <s v="JMQ"/>
    <m/>
    <m/>
    <m/>
    <m/>
    <m/>
    <m/>
    <m/>
    <m/>
    <m/>
    <n v="0"/>
  </r>
  <r>
    <x v="2"/>
    <x v="5"/>
    <x v="5"/>
    <x v="19"/>
    <x v="19"/>
    <x v="64"/>
    <s v="Participar en la definició, organització i bolcatge de dades del SINATCAT"/>
    <s v="Comú"/>
    <s v="Obligatori"/>
    <x v="64"/>
    <m/>
    <x v="0"/>
    <s v="MITJANA"/>
    <s v="Participar en el grups de treball per a la definició i organització del SINATCAT"/>
    <m/>
    <m/>
    <m/>
    <m/>
    <x v="61"/>
    <m/>
    <s v="UIC/SENP: Crear i coordinar una metodologia participativa per a la definició del SINATCAT"/>
    <s v="Percentatge de participació de l'ENP en reunions del SINATCAT"/>
    <n v="0.75"/>
    <n v="1"/>
    <m/>
    <s v="DIR"/>
    <s v="ACM"/>
    <m/>
    <m/>
    <m/>
    <m/>
    <m/>
    <m/>
    <m/>
    <m/>
    <m/>
    <n v="0"/>
  </r>
  <r>
    <x v="2"/>
    <x v="5"/>
    <x v="5"/>
    <x v="20"/>
    <x v="20"/>
    <x v="65"/>
    <s v="Crear sinèrgies i col·laborar amb museus i equipaments de referència per definir línies d'actuació conjunta entre patrimoni cultural i natural"/>
    <s v="Comú"/>
    <s v="Optatiu"/>
    <x v="65"/>
    <m/>
    <x v="0"/>
    <s v="MITJANA"/>
    <s v="Col·laborar amb el Museu de les Terres de l'Ebre i el Museu de la Pauma de Mas de Barberans per definir línies d'actuació conjunta entre patrimoni cultural i natural"/>
    <m/>
    <m/>
    <m/>
    <m/>
    <x v="62"/>
    <m/>
    <s v="SENP: Elaborar un mapa d'agents de referència"/>
    <s v="1) Nombre de línies d'actuacions engegades "/>
    <n v="1"/>
    <n v="2"/>
    <m/>
    <s v="DIR"/>
    <s v="ACM"/>
    <m/>
    <m/>
    <m/>
    <m/>
    <m/>
    <m/>
    <m/>
    <m/>
    <m/>
    <n v="0"/>
  </r>
  <r>
    <x v="2"/>
    <x v="5"/>
    <x v="5"/>
    <x v="20"/>
    <x v="20"/>
    <x v="66"/>
    <s v="Establir acords amb les institucions de recerca i naturalistes per al desenvolupament d'estudis i inventaris dins l'ENP en el marc de les seves línies de recerca"/>
    <s v="Comú"/>
    <s v="Optatiu"/>
    <x v="66"/>
    <s v="Incloure contractes, estudiants en pràctiques"/>
    <x v="0"/>
    <s v="MITJANA"/>
    <s v="Acollir estudiants en pràctiques en el marc dels convenis amb universitat i centres de recerca"/>
    <m/>
    <m/>
    <m/>
    <m/>
    <x v="63"/>
    <m/>
    <s v="SENP: Elaborar un mapa d'agents de referècia"/>
    <s v="Nombre d'estudiants acollits"/>
    <n v="4"/>
    <n v="8"/>
    <m/>
    <s v="APR"/>
    <s v="JMQ"/>
    <m/>
    <m/>
    <m/>
    <m/>
    <m/>
    <m/>
    <m/>
    <m/>
    <m/>
    <n v="0"/>
  </r>
  <r>
    <x v="2"/>
    <x v="5"/>
    <x v="5"/>
    <x v="20"/>
    <x v="20"/>
    <x v="67"/>
    <s v="Potenciar la ciència ciutadana en l’ENP com a eina per generar coneixement "/>
    <s v="Comú"/>
    <s v="Optatiu"/>
    <x v="67"/>
    <m/>
    <x v="1"/>
    <s v="MITJANA"/>
    <m/>
    <m/>
    <m/>
    <m/>
    <s v="Potenciar la ciència ciutadana en l’ENP com a eina per generar coneixement "/>
    <x v="64"/>
    <m/>
    <m/>
    <m/>
    <m/>
    <m/>
    <m/>
    <s v="APR"/>
    <s v="JMQ/MAC"/>
    <m/>
    <m/>
    <m/>
    <m/>
    <m/>
    <m/>
    <m/>
    <m/>
    <m/>
    <n v="0"/>
  </r>
  <r>
    <x v="2"/>
    <x v="5"/>
    <x v="5"/>
    <x v="20"/>
    <x v="20"/>
    <x v="68"/>
    <s v="Crear i desenvolupar jornades de recerca de l'ENP de forma anual on els diferents centres mostrin els estudis realizats en l'ENP "/>
    <s v="Comú"/>
    <s v="Optatiu"/>
    <x v="68"/>
    <s v="Canviar anual per periòdica"/>
    <x v="1"/>
    <s v="MITJANA"/>
    <m/>
    <m/>
    <m/>
    <m/>
    <s v="Crear i desenvolupar jornades de recerca de l'ENP de forma periòdica on els diferents centres mostrin els estudis realizats en l'ENP "/>
    <x v="65"/>
    <m/>
    <s v="SENP: Suport en l'organització de les jornades"/>
    <s v="1) Jornades realitzades"/>
    <s v="1) 1"/>
    <s v="1) 4"/>
    <m/>
    <s v="AGH"/>
    <s v="JSB"/>
    <m/>
    <m/>
    <m/>
    <m/>
    <m/>
    <m/>
    <m/>
    <m/>
    <m/>
    <n v="0"/>
  </r>
  <r>
    <x v="2"/>
    <x v="5"/>
    <x v="5"/>
    <x v="20"/>
    <x v="20"/>
    <x v="69"/>
    <s v="Posar a disposició de la recerca, equipaments i serveis de l'ENP"/>
    <s v="Comú"/>
    <s v="Optatiu"/>
    <x v="69"/>
    <m/>
    <x v="0"/>
    <s v="MITJANA"/>
    <s v="Posar a disposició la casa de Gànduls per a equips de recerca que treballen a l'ENP"/>
    <m/>
    <m/>
    <m/>
    <m/>
    <x v="66"/>
    <s v="ESNATURA"/>
    <m/>
    <s v="Percentatge d'ocupació de la casa de Ganduls"/>
    <n v="0.5"/>
    <n v="0.75"/>
    <m/>
    <s v="AIM"/>
    <s v="AAA"/>
    <m/>
    <m/>
    <m/>
    <m/>
    <m/>
    <m/>
    <m/>
    <m/>
    <m/>
    <n v="0"/>
  </r>
  <r>
    <x v="2"/>
    <x v="5"/>
    <x v="5"/>
    <x v="20"/>
    <x v="20"/>
    <x v="70"/>
    <s v="Crear l'Observatori de recerca de l'ENP vinculat a l'Observatori del Patrimoni natural i la biodiversitat "/>
    <s v="Comú"/>
    <s v="Optatiu"/>
    <x v="70"/>
    <s v="No tenim previst crear-lo en el període 2025-2029"/>
    <x v="1"/>
    <s v="MITJANA"/>
    <m/>
    <m/>
    <m/>
    <m/>
    <s v="Crear l'Observatori de recerca de l'ENP vinculat a l'Observatori del Patrimoni natural i la biodiversitat "/>
    <x v="67"/>
    <m/>
    <s v="UIC: Suport en la creació de l'Observatori de reserca"/>
    <m/>
    <m/>
    <m/>
    <m/>
    <m/>
    <m/>
    <m/>
    <m/>
    <m/>
    <m/>
    <m/>
    <m/>
    <m/>
    <m/>
    <m/>
    <n v="0"/>
  </r>
  <r>
    <x v="2"/>
    <x v="5"/>
    <x v="5"/>
    <x v="21"/>
    <x v="21"/>
    <x v="71"/>
    <s v="Participar en la definició del sistema estándard de seguiment de l'ús públic amb el SENP"/>
    <s v="Comú"/>
    <s v="Obligatori"/>
    <x v="71"/>
    <m/>
    <x v="0"/>
    <s v="MITJANA"/>
    <s v="Participar en la definició del sistema estándard de seguiment de l'ús públic amb el SENP"/>
    <m/>
    <m/>
    <m/>
    <m/>
    <x v="68"/>
    <m/>
    <s v="SENP: Crear espais de participació. Definició del sistema estándard de seguiment de l'ús públic"/>
    <s v="1) Nombre de reunions"/>
    <s v="1) 1"/>
    <s v="1) 8"/>
    <m/>
    <s v="AUP"/>
    <s v="JMFR"/>
    <m/>
    <m/>
    <m/>
    <m/>
    <m/>
    <m/>
    <m/>
    <m/>
    <m/>
    <n v="0"/>
  </r>
  <r>
    <x v="2"/>
    <x v="5"/>
    <x v="5"/>
    <x v="21"/>
    <x v="21"/>
    <x v="72"/>
    <s v="Disposar de dades de freqüentació i perfil d'usuari en l'ENP i en especial en equipaments i en zones d'alta freqüentació segons el model de DG "/>
    <s v="Comú"/>
    <s v="Obligatori"/>
    <x v="72"/>
    <m/>
    <x v="0"/>
    <s v="MÀXIMA"/>
    <s v="Manteniment dels comptadors de vehicles"/>
    <m/>
    <m/>
    <m/>
    <m/>
    <x v="69"/>
    <m/>
    <s v="SENP: Disseny i elaboració del sistema estandaritzat de presa de dades i seguiment de la freqüentació en ENP"/>
    <s v="1) Informe anual de freqüentació_x000a_2) Estudi de viabilitat d'una eina de &quot;big data&quot;"/>
    <s v="1) 1_x000a_2) 1"/>
    <s v="1) 1_x000a_2) 1"/>
    <m/>
    <s v="AIM"/>
    <s v="AAA"/>
    <m/>
    <m/>
    <m/>
    <m/>
    <m/>
    <m/>
    <m/>
    <m/>
    <m/>
    <n v="0"/>
  </r>
  <r>
    <x v="2"/>
    <x v="5"/>
    <x v="5"/>
    <x v="21"/>
    <x v="21"/>
    <x v="72"/>
    <s v="Disposar de dades de freqüentació i perfil d'usuari en l'ENP i en especial en equipaments i en zones d'alta freqüentació segons el model de DG "/>
    <s v="Comú"/>
    <s v="Obligatori"/>
    <x v="72"/>
    <m/>
    <x v="0"/>
    <s v="MÀXIMA"/>
    <s v="Seguiment dels serveis d'informació i educació ambiental"/>
    <m/>
    <m/>
    <m/>
    <m/>
    <x v="70"/>
    <m/>
    <s v="SENP: Disseny i elaboració del sistema estandaritzat de presa de dades i seguiment de la freqüentació en ENP"/>
    <m/>
    <m/>
    <m/>
    <m/>
    <s v="AUP"/>
    <s v="JMFR/CFF"/>
    <m/>
    <m/>
    <m/>
    <m/>
    <m/>
    <m/>
    <m/>
    <m/>
    <m/>
    <n v="0"/>
  </r>
  <r>
    <x v="2"/>
    <x v="5"/>
    <x v="5"/>
    <x v="21"/>
    <x v="21"/>
    <x v="72"/>
    <s v="Disposar de dades de freqüentació i perfil d'usuari en l'ENP i en especial en equipaments i en zones d'alta freqüentació segons el model de DG "/>
    <s v="Comú"/>
    <s v="Obligatori"/>
    <x v="72"/>
    <m/>
    <x v="0"/>
    <s v="MÀXIMA"/>
    <s v="A.3.5.1. Revisió i millora del sistema de recollida de dades turístiques dut a terme pel PN, les oficines de turisme i pels empresaris turístics a fi de sistematitzar el procés (CETS)"/>
    <m/>
    <m/>
    <m/>
    <m/>
    <x v="71"/>
    <m/>
    <s v="SENP: Disseny i elaboració del sistema estandaritzat de presa de dades i seguiment de la freqüentació en ENP"/>
    <m/>
    <m/>
    <m/>
    <m/>
    <s v="AUP"/>
    <s v="JMFR"/>
    <m/>
    <s v="CETS"/>
    <s v="Pla d'acció 2022-2026 de la CETS."/>
    <m/>
    <m/>
    <m/>
    <m/>
    <m/>
    <m/>
    <n v="0"/>
  </r>
  <r>
    <x v="2"/>
    <x v="5"/>
    <x v="5"/>
    <x v="21"/>
    <x v="21"/>
    <x v="72"/>
    <s v="Disposar de dades de freqüentació i perfil d'usuari en l'ENP i en especial en equipaments i en zones d'alta freqüentació segons el model de DG "/>
    <s v="Comú"/>
    <s v="Obligatori"/>
    <x v="72"/>
    <m/>
    <x v="0"/>
    <s v="MÀXIMA"/>
    <s v="A.3.5.2. Estudi de viabilitat d'una eina 'big data' per al seguiment de visitants a determinats punts del PN (CETS)"/>
    <m/>
    <m/>
    <m/>
    <m/>
    <x v="1"/>
    <m/>
    <s v="SENP: Disseny i elaboració del sistema estandaritzat de presa de dades i seguiment de la freqüentació en ENP"/>
    <m/>
    <m/>
    <m/>
    <m/>
    <s v="AUP"/>
    <s v="JMFR"/>
    <m/>
    <s v="CETS"/>
    <s v="Pla d'acció 2022-2026 de la CETS."/>
    <m/>
    <m/>
    <m/>
    <m/>
    <m/>
    <m/>
    <n v="0"/>
  </r>
  <r>
    <x v="2"/>
    <x v="5"/>
    <x v="5"/>
    <x v="21"/>
    <x v="21"/>
    <x v="73"/>
    <s v="Identificar les activitats i actors de l’espai."/>
    <s v="Comú"/>
    <s v="Obligatori"/>
    <x v="73"/>
    <s v="Es proposa eliminar per solapament amb l'Op 06.05.05"/>
    <x v="1"/>
    <s v="MITJANA"/>
    <m/>
    <m/>
    <m/>
    <m/>
    <m/>
    <x v="1"/>
    <m/>
    <m/>
    <m/>
    <m/>
    <m/>
    <m/>
    <m/>
    <m/>
    <m/>
    <m/>
    <m/>
    <m/>
    <m/>
    <m/>
    <m/>
    <m/>
    <m/>
    <n v="0"/>
  </r>
  <r>
    <x v="2"/>
    <x v="5"/>
    <x v="5"/>
    <x v="21"/>
    <x v="21"/>
    <x v="74"/>
    <s v="Identificar en cartografia les males praxis i punts de massificació"/>
    <m/>
    <m/>
    <x v="74"/>
    <s v="Es proposa eliminar per solapament amb l'Op 06.05.05"/>
    <x v="1"/>
    <s v="MITJANA"/>
    <m/>
    <m/>
    <m/>
    <m/>
    <m/>
    <x v="1"/>
    <m/>
    <m/>
    <m/>
    <m/>
    <m/>
    <m/>
    <m/>
    <m/>
    <m/>
    <m/>
    <m/>
    <m/>
    <m/>
    <m/>
    <m/>
    <m/>
    <m/>
    <n v="0"/>
  </r>
  <r>
    <x v="2"/>
    <x v="5"/>
    <x v="5"/>
    <x v="21"/>
    <x v="21"/>
    <x v="75"/>
    <s v="Adaptar i mantenir un registre d'activitats, actors i inciències en ús públic (curses, conflictes, queixes, etc)"/>
    <s v="Comú"/>
    <s v="Obligatori"/>
    <x v="75"/>
    <s v="Adaptar per incloure Ops 06.5.3 i 06.5.4"/>
    <x v="1"/>
    <s v="MITJANA"/>
    <m/>
    <m/>
    <m/>
    <m/>
    <s v="Adaptar i mantenir un registre i cartografia d'activitats, actors i inciències en ús públic (curses, conflictes, queixes, etc)"/>
    <x v="72"/>
    <m/>
    <s v="UIC: Disseny d'un model de registre d'activitats, actors i inciències en ús públic"/>
    <m/>
    <m/>
    <m/>
    <m/>
    <s v="AUP"/>
    <s v="JMFR"/>
    <m/>
    <m/>
    <m/>
    <m/>
    <m/>
    <m/>
    <m/>
    <m/>
    <m/>
    <n v="0"/>
  </r>
  <r>
    <x v="2"/>
    <x v="5"/>
    <x v="5"/>
    <x v="21"/>
    <x v="21"/>
    <x v="76"/>
    <s v="Identificar els impactes (positius i negatius) que generen les activitats d'ús públic dins l'ENP"/>
    <s v="Comú"/>
    <s v="Obligatori"/>
    <x v="76"/>
    <m/>
    <x v="0"/>
    <s v="ALTA"/>
    <s v="Diagnosi de la identificació dels impactes (positius i negatius) que generen les activitats d'ús públic dins l'ENP"/>
    <m/>
    <m/>
    <m/>
    <m/>
    <x v="73"/>
    <s v="ESNATURA"/>
    <m/>
    <s v="Informe/llistat dels impactes"/>
    <n v="1"/>
    <n v="1"/>
    <m/>
    <s v="AUP"/>
    <s v="JMFR"/>
    <m/>
    <m/>
    <m/>
    <m/>
    <m/>
    <m/>
    <m/>
    <m/>
    <m/>
    <n v="0"/>
  </r>
  <r>
    <x v="3"/>
    <x v="6"/>
    <x v="6"/>
    <x v="22"/>
    <x v="22"/>
    <x v="77"/>
    <s v="Promoure i/o col·laborar en l'aplicació de Plans de Desenvolupament Local Sostenible "/>
    <s v="Comú"/>
    <s v="Obligatori "/>
    <x v="77"/>
    <m/>
    <x v="0"/>
    <s v="MITJANA"/>
    <s v="Col·laborar en el pla &quot;Treball a les Comarques&quot; Terra Alta Més del Servei d'Ocupació de Catalunya (SOC)"/>
    <m/>
    <m/>
    <m/>
    <m/>
    <x v="74"/>
    <m/>
    <m/>
    <s v="Nombre de plans recolçats"/>
    <n v="12"/>
    <n v="12"/>
    <m/>
    <s v="DIR"/>
    <s v="ACM"/>
    <m/>
    <m/>
    <m/>
    <m/>
    <m/>
    <m/>
    <m/>
    <m/>
    <m/>
    <n v="0"/>
  </r>
  <r>
    <x v="3"/>
    <x v="6"/>
    <x v="6"/>
    <x v="22"/>
    <x v="22"/>
    <x v="77"/>
    <s v="Promoure i/o col·laborar en l'aplicació de Plans de Desenvolupament Local Sostenible "/>
    <s v="Comú"/>
    <s v="Obligatori "/>
    <x v="77"/>
    <m/>
    <x v="0"/>
    <s v="MITJANA"/>
    <s v="Col·laborar en el pla &quot;Treball a les Comarques&quot; Baix Ebre Avant del Servei d'Ocupació de Catalunya (SOC)"/>
    <m/>
    <m/>
    <m/>
    <m/>
    <x v="1"/>
    <m/>
    <m/>
    <m/>
    <m/>
    <m/>
    <m/>
    <s v="DIR"/>
    <s v="ACM"/>
    <m/>
    <m/>
    <m/>
    <m/>
    <m/>
    <m/>
    <m/>
    <m/>
    <m/>
    <m/>
  </r>
  <r>
    <x v="3"/>
    <x v="6"/>
    <x v="6"/>
    <x v="22"/>
    <x v="22"/>
    <x v="77"/>
    <s v="Promoure i/o col·laborar en l'aplicació de Plans de Desenvolupament Local Sostenible "/>
    <s v="Comú"/>
    <s v="Obligatori "/>
    <x v="77"/>
    <m/>
    <x v="0"/>
    <s v="MITJANA"/>
    <s v="Col·laborar en el pla &quot;Treball a les Comarques&quot; Agència de desenvolupament del Montsià del Servei d'Ocupació de Catalunya (SOC)"/>
    <m/>
    <m/>
    <m/>
    <m/>
    <x v="1"/>
    <m/>
    <m/>
    <m/>
    <m/>
    <m/>
    <m/>
    <s v="DIR"/>
    <s v="ACM"/>
    <m/>
    <m/>
    <m/>
    <m/>
    <m/>
    <m/>
    <m/>
    <m/>
    <m/>
    <m/>
  </r>
  <r>
    <x v="3"/>
    <x v="6"/>
    <x v="6"/>
    <x v="22"/>
    <x v="22"/>
    <x v="77"/>
    <s v="Promoure i/o col·laborar en l'aplicació de Plans de Desenvolupament Local Sostenible "/>
    <s v="Comú"/>
    <s v="Obligatori "/>
    <x v="77"/>
    <m/>
    <x v="0"/>
    <s v="MITJANA"/>
    <m/>
    <m/>
    <m/>
    <m/>
    <s v="Promoure i/o col·laborar en la planificació i el desenvolupament sostenible en l’àmbit local"/>
    <x v="1"/>
    <m/>
    <m/>
    <m/>
    <m/>
    <m/>
    <m/>
    <s v="AUP"/>
    <s v="JMFR"/>
    <m/>
    <m/>
    <m/>
    <m/>
    <m/>
    <m/>
    <m/>
    <m/>
    <m/>
    <m/>
  </r>
  <r>
    <x v="3"/>
    <x v="7"/>
    <x v="7"/>
    <x v="23"/>
    <x v="23"/>
    <x v="78"/>
    <s v="Acompanyar i assessorar els productors agraris per millorar les tècniques productives agràries i afavorir la conservació dels hàbitats i paisatges "/>
    <s v="Comú"/>
    <s v="Obligatori "/>
    <x v="78"/>
    <s v="S'afegeixen ramaders i forestals. S'afegeix assessorament"/>
    <x v="1"/>
    <m/>
    <s v="2.1.3. Assessorament i acompanyament individualitzat (PRODUCT)"/>
    <m/>
    <m/>
    <m/>
    <m/>
    <x v="75"/>
    <m/>
    <m/>
    <m/>
    <m/>
    <m/>
    <m/>
    <s v="AUP"/>
    <s v="JMFR"/>
    <m/>
    <s v="PRODUCT"/>
    <s v="Diagnosi dels productors i productores locals del Parc Natural dels Ports. (6.4. Pla d’acció)"/>
    <m/>
    <m/>
    <m/>
    <m/>
    <m/>
    <m/>
    <n v="0"/>
  </r>
  <r>
    <x v="3"/>
    <x v="7"/>
    <x v="7"/>
    <x v="23"/>
    <x v="23"/>
    <x v="78"/>
    <s v="Acompanyar i assessorar els productors agraris per millorar les tècniques productives agràries i afavorir la conservació dels hàbitats i paisatges "/>
    <s v="Comú"/>
    <s v="Obligatori "/>
    <x v="78"/>
    <s v="S'afegeixen ramaders i forestals. S'afegeix assessorament"/>
    <x v="1"/>
    <m/>
    <s v="2.2.2. Elaborar estudis o diagnosis específiques sobre particularitats de la producció agroalimentària de l’àmbit del Parc (PRODUCT)"/>
    <m/>
    <m/>
    <m/>
    <m/>
    <x v="1"/>
    <m/>
    <m/>
    <m/>
    <m/>
    <m/>
    <m/>
    <s v="AUP"/>
    <s v="JMFR"/>
    <m/>
    <s v="PRODUCT"/>
    <s v="Diagnosi dels productors i productores locals del Parc Natural dels Ports. (6.4. Pla d’acció)"/>
    <m/>
    <m/>
    <m/>
    <m/>
    <m/>
    <m/>
    <n v="0"/>
  </r>
  <r>
    <x v="3"/>
    <x v="7"/>
    <x v="7"/>
    <x v="23"/>
    <x v="23"/>
    <x v="78"/>
    <s v="Acompanyar i assessorar els productors agraris per millorar les tècniques productives agràries i afavorir la conservació dels hàbitats i paisatges "/>
    <s v="Comú"/>
    <s v="Obligatori "/>
    <x v="78"/>
    <s v="S'afegeixen ramaders i forestals. S'afegeix assessorament"/>
    <x v="1"/>
    <s v="MITJANA"/>
    <s v="5.1.1. Assessorament en la gestió de la finca (PRODUCT)"/>
    <m/>
    <m/>
    <m/>
    <m/>
    <x v="1"/>
    <m/>
    <m/>
    <m/>
    <m/>
    <m/>
    <m/>
    <s v="AUP"/>
    <s v="JMFR"/>
    <m/>
    <s v="PRODUCT"/>
    <s v="Diagnosi dels productors i productores locals del Parc Natural dels Ports. (6.4. Pla d’acció)"/>
    <m/>
    <m/>
    <m/>
    <m/>
    <m/>
    <m/>
    <n v="0"/>
  </r>
  <r>
    <x v="3"/>
    <x v="7"/>
    <x v="7"/>
    <x v="23"/>
    <x v="23"/>
    <x v="79"/>
    <s v="Oferir formació als productors agraris per millorar el seu coneixement sobre tècniques eficients i respectuoses amb la conservació del patrimoni natural i cultural "/>
    <s v="Comú"/>
    <s v="Obligatori "/>
    <x v="79"/>
    <s v="S'afegeixen ramaders i forestals. S'afegeix assessorament"/>
    <x v="1"/>
    <s v="MITJANA"/>
    <s v="2.1.1. Coordinació i/o impartició de formació especialitzada adreçada a productors agroalimentaris i artesans per aprendre a valoritzar el propi producte (PRODUCT)"/>
    <m/>
    <m/>
    <m/>
    <m/>
    <x v="76"/>
    <m/>
    <m/>
    <m/>
    <m/>
    <m/>
    <m/>
    <s v="AUP"/>
    <s v="JMFR"/>
    <m/>
    <s v="PRODUCT"/>
    <s v="Diagnosi dels productors i productores locals del Parc Natural dels Ports. (6.4. Pla d’acció)"/>
    <m/>
    <m/>
    <m/>
    <m/>
    <m/>
    <m/>
    <n v="0"/>
  </r>
  <r>
    <x v="3"/>
    <x v="7"/>
    <x v="7"/>
    <x v="23"/>
    <x v="23"/>
    <x v="79"/>
    <s v="Oferir formació als productors agraris per millorar el seu coneixement sobre tècniques eficients i respectuoses amb la conservació del patrimoni natural i cultural "/>
    <s v="Comú"/>
    <s v="Obligatori "/>
    <x v="79"/>
    <s v="S'afegeixen ramaders i forestals"/>
    <x v="1"/>
    <s v="MITJANA"/>
    <s v="2.1.2. Organització de jornades tècniques formatives (PRODUCT)"/>
    <s v="Ja modificat per Anthesis: per a totes les accions on apareix aquest OP, afegit assessorament a redactat OP concret en la línia de la fila superior. OK"/>
    <m/>
    <m/>
    <m/>
    <x v="1"/>
    <m/>
    <m/>
    <m/>
    <m/>
    <m/>
    <m/>
    <s v="AUP"/>
    <s v="JMFR"/>
    <m/>
    <s v="PRODUCT"/>
    <s v="Diagnosi dels productors i productores locals del Parc Natural dels Ports. (6.4. Pla d’acció)"/>
    <m/>
    <m/>
    <m/>
    <m/>
    <m/>
    <m/>
    <n v="0"/>
  </r>
  <r>
    <x v="3"/>
    <x v="7"/>
    <x v="7"/>
    <x v="23"/>
    <x v="23"/>
    <x v="80"/>
    <s v="Promoure la recuperació i conservació de marges i punts d'aigua associats a la ramaderia i l'agricultura i d'interès per la biodiversitat"/>
    <s v="Específic"/>
    <s v="Optatiu"/>
    <x v="80"/>
    <s v="Incloure la recuperació"/>
    <x v="0"/>
    <s v="MITJANA"/>
    <s v="Treballs de brigada per a la recuperació de marges i punts d'aigua d'interès per a la flora i la flora en explotacions ramaderes i agrícoles "/>
    <m/>
    <m/>
    <m/>
    <m/>
    <x v="77"/>
    <m/>
    <m/>
    <s v="Nombre de punts d'aigua recuperats"/>
    <n v="5"/>
    <n v="10"/>
    <m/>
    <s v="AIM"/>
    <s v="AAA"/>
    <m/>
    <m/>
    <m/>
    <m/>
    <m/>
    <m/>
    <m/>
    <m/>
    <m/>
    <n v="0"/>
  </r>
  <r>
    <x v="3"/>
    <x v="7"/>
    <x v="7"/>
    <x v="24"/>
    <x v="24"/>
    <x v="81"/>
    <s v="Establir una relació contínua amb agents socioeconòmics del territori, i si s'escau, crear una Taula de desenvolupament local"/>
    <m/>
    <m/>
    <x v="81"/>
    <s v="Eliminar. Inclòs a la CETS. A.4.1.1."/>
    <x v="1"/>
    <s v="ALTA"/>
    <m/>
    <m/>
    <m/>
    <m/>
    <m/>
    <x v="1"/>
    <s v="ESNATURA"/>
    <m/>
    <m/>
    <m/>
    <m/>
    <m/>
    <m/>
    <m/>
    <m/>
    <s v="CETS"/>
    <m/>
    <m/>
    <m/>
    <m/>
    <m/>
    <m/>
    <m/>
    <n v="0"/>
  </r>
  <r>
    <x v="3"/>
    <x v="7"/>
    <x v="7"/>
    <x v="25"/>
    <x v="25"/>
    <x v="82"/>
    <s v="Implantar un distintiu de qualitat i compatibilitat amb la conservació dels productes de la Xarxa d'ENP o criteris de qualitat propis de l'ENP"/>
    <s v="Comú"/>
    <s v="Optatiu"/>
    <x v="82"/>
    <m/>
    <x v="0"/>
    <s v="MITJANA"/>
    <s v="3.2.1. Orientació sobre la normativa en l’etiquetatge dels productes (PRODUCT)"/>
    <m/>
    <m/>
    <m/>
    <m/>
    <x v="78"/>
    <s v="ESNATURA"/>
    <s v="SENP: Crear una marca que identifiqui els productes agroalimentaris generats en els ENP"/>
    <s v="Implementació de la marca"/>
    <n v="1"/>
    <n v="1"/>
    <m/>
    <s v="AUP"/>
    <s v="JMFR"/>
    <m/>
    <s v="PRODUCT"/>
    <s v="Diagnosi dels productors i productores locals del Parc Natural dels Ports. (6.4. Pla d’acció)"/>
    <m/>
    <m/>
    <m/>
    <m/>
    <m/>
    <m/>
    <n v="0"/>
  </r>
  <r>
    <x v="3"/>
    <x v="7"/>
    <x v="7"/>
    <x v="25"/>
    <x v="25"/>
    <x v="83"/>
    <s v="Integrar els productes i activitats locals de qualitat en l'oferta d'activitats d'informació i turístiques de l'ENP"/>
    <s v="Comú"/>
    <s v="Obligatori"/>
    <x v="83"/>
    <m/>
    <x v="0"/>
    <s v="MITJANA"/>
    <s v="A.3.1. Elaboració d'un directori digital de productes artesans (ARTESAN): manteniment del directori existent"/>
    <m/>
    <m/>
    <m/>
    <m/>
    <x v="79"/>
    <s v="ESNATURA_x000a_CETS"/>
    <m/>
    <s v="1) Nombre de productors nous incorporats_x000a_2) Nombre de punts d'informació amb producte local o artesà_x000a_3) Producció de material de marxandatge"/>
    <s v="1) 2_x000a_2) 1_x000a_3) 1"/>
    <s v="1) 4_x000a_2) 3_x000a_3) 1"/>
    <m/>
    <s v="AUP"/>
    <s v="JMFR"/>
    <m/>
    <s v="ARTESAN"/>
    <s v="Pla d'acció per al foment de l'artesania del Parc Natural dels Ports (2023-2027)"/>
    <m/>
    <m/>
    <m/>
    <m/>
    <m/>
    <m/>
    <n v="0"/>
  </r>
  <r>
    <x v="3"/>
    <x v="7"/>
    <x v="7"/>
    <x v="25"/>
    <x v="25"/>
    <x v="83"/>
    <s v="Integrar els productes i activitats locals de qualitat en l'oferta d'activitats d'informació i turístiques de l'ENP"/>
    <s v="Comú"/>
    <s v="Obligatori"/>
    <x v="83"/>
    <m/>
    <x v="1"/>
    <s v="MITJANA"/>
    <s v="A.4.4. Foment de la venda i comercialització de productes artesans als Punts d'informació del PNP (ARTESAN)"/>
    <m/>
    <m/>
    <m/>
    <m/>
    <x v="1"/>
    <s v="ESNATURA_x000a_CETS"/>
    <m/>
    <m/>
    <m/>
    <m/>
    <m/>
    <s v="AUP"/>
    <s v="JMFR"/>
    <m/>
    <s v="ARTESAN"/>
    <s v="Pla d'acció per al foment de l'artesania del Parc Natural dels Ports (2023-2027)"/>
    <m/>
    <m/>
    <m/>
    <m/>
    <m/>
    <m/>
    <n v="0"/>
  </r>
  <r>
    <x v="3"/>
    <x v="7"/>
    <x v="7"/>
    <x v="25"/>
    <x v="25"/>
    <x v="83"/>
    <s v="Integrar els productes i activitats locals de qualitat en l'oferta d'activitats d'informació i turístiques de l'ENP"/>
    <s v="Comú"/>
    <s v="Obligatori"/>
    <x v="83"/>
    <m/>
    <x v="1"/>
    <s v="MITJANA"/>
    <s v="3.2.2. Potenciar els Centres de visitants del Parc Natural dels Ports a Roquetes, Prat de Comte i la Sénia, així com l'Alberg a Alfara de Carles per a la venda conjunta dels productes locals i artesanals (PRODUCT)"/>
    <m/>
    <m/>
    <m/>
    <m/>
    <x v="1"/>
    <s v="ESNATURA_x000a_CETS"/>
    <m/>
    <m/>
    <m/>
    <m/>
    <m/>
    <s v="AUP"/>
    <s v="JMFR"/>
    <m/>
    <s v="PRODUCT"/>
    <s v="Diagnosi dels productors i productores locals del Parc Natural dels Ports. (6.4. Pla d’acció)"/>
    <m/>
    <m/>
    <m/>
    <m/>
    <m/>
    <m/>
    <n v="0"/>
  </r>
  <r>
    <x v="3"/>
    <x v="7"/>
    <x v="7"/>
    <x v="25"/>
    <x v="25"/>
    <x v="83"/>
    <s v="Integrar els productes i activitats locals de qualitat en l'oferta d'activitats d'informació i turístiques de l'ENP"/>
    <s v="Comú"/>
    <s v="Obligatori"/>
    <x v="83"/>
    <m/>
    <x v="0"/>
    <s v="MITJANA"/>
    <s v="1.1.2. Crear un apartat específic sobre la producció local i artesana del Parc Natural al web oficial del Parc Natural dels Ports (PRODUCT): manteniment del directori existent"/>
    <m/>
    <m/>
    <m/>
    <m/>
    <x v="1"/>
    <m/>
    <m/>
    <m/>
    <m/>
    <m/>
    <m/>
    <s v="AUP"/>
    <s v="JMFR"/>
    <m/>
    <s v="PRODUCT"/>
    <s v="Diagnosi dels productors i productores locals del Parc Natural dels Ports. (6.4. Pla d’acció)"/>
    <m/>
    <m/>
    <m/>
    <m/>
    <m/>
    <m/>
    <n v="0"/>
  </r>
  <r>
    <x v="3"/>
    <x v="7"/>
    <x v="7"/>
    <x v="25"/>
    <x v="25"/>
    <x v="83"/>
    <s v="Integrar els productes i activitats locals de qualitat en l'oferta d'activitats d'informació i turístiques de l'ENP"/>
    <s v="Comú"/>
    <s v="Obligatori"/>
    <x v="83"/>
    <m/>
    <x v="0"/>
    <s v="MITJANA"/>
    <s v="3.1.2. Elaborar material de marxandatge amb aquest segell o distintiu (PRODUCT)"/>
    <m/>
    <m/>
    <m/>
    <m/>
    <x v="1"/>
    <m/>
    <m/>
    <m/>
    <m/>
    <m/>
    <m/>
    <s v="AUP"/>
    <s v="JMFR"/>
    <m/>
    <s v="PRODUCT"/>
    <s v="Diagnosi dels productors i productores locals del Parc Natural dels Ports. (6.4. Pla d’acció)"/>
    <m/>
    <m/>
    <m/>
    <m/>
    <m/>
    <m/>
    <n v="0"/>
  </r>
  <r>
    <x v="3"/>
    <x v="7"/>
    <x v="7"/>
    <x v="25"/>
    <x v="25"/>
    <x v="83"/>
    <s v="Integrar els productes i activitats locals de qualitat en l'oferta d'activitats d'informació i turístiques de l'ENP"/>
    <s v="Comú"/>
    <s v="Obligatori"/>
    <x v="83"/>
    <m/>
    <x v="0"/>
    <s v="MITJANA"/>
    <s v="1.1.3. Elaborar material divulgatiu sobre alguna particularitat de la producció local del Parc per fomentar el consum local o dels visitants (PRODUCT): col·laboració amb el LEADER i GAL per dissenyar i produir material divulgatiu"/>
    <m/>
    <m/>
    <m/>
    <m/>
    <x v="1"/>
    <m/>
    <m/>
    <m/>
    <m/>
    <m/>
    <m/>
    <s v="AUP"/>
    <s v="JMFR"/>
    <m/>
    <s v="PRODUCT"/>
    <s v="Diagnosi dels productors i productores locals del Parc Natural dels Ports. (6.4. Pla d’acció)"/>
    <m/>
    <m/>
    <m/>
    <m/>
    <m/>
    <m/>
    <n v="0"/>
  </r>
  <r>
    <x v="3"/>
    <x v="7"/>
    <x v="7"/>
    <x v="25"/>
    <x v="25"/>
    <x v="83"/>
    <s v="Integrar els productes i activitats locals de qualitat en l'oferta d'activitats d'informació i turístiques de l'ENP"/>
    <s v="Comú"/>
    <s v="Obligatori"/>
    <x v="83"/>
    <m/>
    <x v="1"/>
    <s v="MITJANA"/>
    <s v="1.1.4. Crear un Catàleg d’experiències turístiques en base al producte local i l’artesania (PRODUCT)"/>
    <m/>
    <m/>
    <m/>
    <m/>
    <x v="1"/>
    <m/>
    <m/>
    <m/>
    <m/>
    <m/>
    <m/>
    <s v="AUP"/>
    <s v="JMFR"/>
    <m/>
    <s v="PRODUCT"/>
    <s v="Diagnosi dels productors i productores locals del Parc Natural dels Ports. (6.4. Pla d’acció)"/>
    <m/>
    <m/>
    <m/>
    <m/>
    <m/>
    <m/>
    <n v="0"/>
  </r>
  <r>
    <x v="3"/>
    <x v="7"/>
    <x v="7"/>
    <x v="25"/>
    <x v="25"/>
    <x v="83"/>
    <s v="Integrar els productes i activitats locals de qualitat en l'oferta d'activitats d'informació i turístiques de l'ENP"/>
    <s v="Comú"/>
    <s v="Obligatori"/>
    <x v="83"/>
    <m/>
    <x v="1"/>
    <s v="MITJANA"/>
    <s v="2.1.4. Potenciar les experiències entorn de l’oleoturisme, en particular, ja que l’oli és el producte agroalimentari amb més presència en l’àmbit del Parc Natural dels Ports (PRODUCT)"/>
    <m/>
    <m/>
    <m/>
    <m/>
    <x v="1"/>
    <m/>
    <m/>
    <m/>
    <m/>
    <m/>
    <m/>
    <s v="AUP"/>
    <s v="JMFR"/>
    <m/>
    <s v="PRODUCT"/>
    <s v="Diagnosi dels productors i productores locals del Parc Natural dels Ports. (6.4. Pla d’acció)"/>
    <m/>
    <m/>
    <m/>
    <m/>
    <m/>
    <m/>
    <n v="0"/>
  </r>
  <r>
    <x v="3"/>
    <x v="7"/>
    <x v="7"/>
    <x v="25"/>
    <x v="25"/>
    <x v="84"/>
    <s v="Promoure fires d'artesania i productes locals de l'ENP"/>
    <s v="Comú"/>
    <s v="Optatiu"/>
    <x v="84"/>
    <m/>
    <x v="0"/>
    <s v="BAIXA"/>
    <s v="A.4.1.2. Reforç de la presència del parc natural a les fires locals de l'àrea d'influència de l'espai protegit (CETS)"/>
    <m/>
    <m/>
    <m/>
    <m/>
    <x v="80"/>
    <m/>
    <m/>
    <s v="1) Nombre de fires amb presència_x000a_2) Nombre de pobles en els que s'ha exhibit l'exposisió itinerant_x000a_3) Creació de marxandatge artesà_x000a_4) Nombre d'edicions de FestTast amb presència del Parc"/>
    <s v="1) 2_x000a_2) 3_x000a_3) 1_x000a_4) 2"/>
    <s v="1) 4_x000a_2) 6_x000a_3) 1_x000a_4) 4"/>
    <m/>
    <s v="AUP"/>
    <s v="JMFR"/>
    <m/>
    <s v="CETS"/>
    <s v="Pla d'acció 2022-2026 de la CETS."/>
    <m/>
    <m/>
    <m/>
    <m/>
    <m/>
    <m/>
    <n v="0"/>
  </r>
  <r>
    <x v="3"/>
    <x v="7"/>
    <x v="7"/>
    <x v="25"/>
    <x v="25"/>
    <x v="84"/>
    <s v="Promoure fires d'artesania i productes locals de l'ENP"/>
    <s v="Comú"/>
    <s v="Optatiu"/>
    <x v="84"/>
    <m/>
    <x v="0"/>
    <s v="BAIXA"/>
    <s v="A.2.3. Creació d'una exposició itinerant de productes artesans que viatgés pels diferents punts d'informació dels Ports: itinerància de l'exposició als pobles de l'àmbit del Parc"/>
    <m/>
    <m/>
    <m/>
    <m/>
    <x v="1"/>
    <m/>
    <m/>
    <m/>
    <m/>
    <m/>
    <m/>
    <s v="AUP"/>
    <s v="JMFR"/>
    <m/>
    <s v="ARTESAN"/>
    <s v="Pla d'acció per al foment de l'artesania del Parc Natural dels Ports (2023-2027)"/>
    <m/>
    <m/>
    <m/>
    <m/>
    <m/>
    <m/>
    <n v="0"/>
  </r>
  <r>
    <x v="3"/>
    <x v="7"/>
    <x v="7"/>
    <x v="25"/>
    <x v="25"/>
    <x v="84"/>
    <s v="Promoure fires d'artesania i productes locals de l'ENP"/>
    <s v="Comú"/>
    <s v="Optatiu"/>
    <x v="84"/>
    <m/>
    <x v="0"/>
    <s v="BAIXA"/>
    <s v="A.4.3. Disseny, promoció i comercialització de productes artesans de marxandatge dels Ports (ARTESAN): creació de marxandatge artesà en motiu del 25è aniversari del Parc"/>
    <m/>
    <m/>
    <m/>
    <m/>
    <x v="1"/>
    <m/>
    <m/>
    <m/>
    <m/>
    <m/>
    <m/>
    <s v="AUP"/>
    <s v="JMFR"/>
    <m/>
    <s v="ARTESAN"/>
    <s v="Pla d'acció per al foment de l'artesania del Parc Natural dels Ports (2023-2027)"/>
    <m/>
    <m/>
    <m/>
    <m/>
    <m/>
    <m/>
    <n v="0"/>
  </r>
  <r>
    <x v="3"/>
    <x v="7"/>
    <x v="7"/>
    <x v="25"/>
    <x v="25"/>
    <x v="84"/>
    <s v="Promoure fires d'artesania i productes locals de l'ENP"/>
    <s v="Comú"/>
    <s v="Optatiu"/>
    <x v="84"/>
    <m/>
    <x v="0"/>
    <s v="BAIXA"/>
    <s v="1.2.5. Programa de tallers i activitats que es poguessin organitzar de forma conjunta entre el Parc Natural i les empreses productores i artesanes (PRODUCT): demostracions i tallers d'artesania en fires locals"/>
    <m/>
    <m/>
    <m/>
    <m/>
    <x v="1"/>
    <m/>
    <m/>
    <m/>
    <m/>
    <m/>
    <m/>
    <s v="AUP"/>
    <s v="JMFR"/>
    <m/>
    <s v="PRODUCT"/>
    <s v="Diagnosi dels productors i productores locals del Parc Natural dels Ports. (6.4. Pla d’acció)"/>
    <m/>
    <m/>
    <m/>
    <m/>
    <m/>
    <m/>
    <n v="0"/>
  </r>
  <r>
    <x v="3"/>
    <x v="7"/>
    <x v="7"/>
    <x v="25"/>
    <x v="25"/>
    <x v="84"/>
    <s v="Promoure fires d'artesania i productes locals de l'ENP"/>
    <s v="Comú"/>
    <s v="Optatiu"/>
    <x v="84"/>
    <m/>
    <x v="0"/>
    <s v="BAIXA"/>
    <s v="3.3.1. Suport a la dinamització de fires especialitzades entorn dels productes agroalimentaris (PRODUCT): participació a FesTast amb els productors Fet al Parc"/>
    <m/>
    <m/>
    <m/>
    <m/>
    <x v="1"/>
    <m/>
    <m/>
    <m/>
    <m/>
    <m/>
    <m/>
    <s v="AUP"/>
    <s v="JMFR"/>
    <m/>
    <s v="PRODUCT"/>
    <s v="Diagnosi dels productors i productores locals del Parc Natural dels Ports. (6.4. Pla d’acció)"/>
    <m/>
    <m/>
    <m/>
    <m/>
    <m/>
    <m/>
    <n v="0"/>
  </r>
  <r>
    <x v="3"/>
    <x v="7"/>
    <x v="7"/>
    <x v="25"/>
    <x v="25"/>
    <x v="84"/>
    <s v="Promoure fires d'artesania i productes locals de l'ENP"/>
    <s v="Comú"/>
    <s v="Optatiu"/>
    <x v="84"/>
    <m/>
    <x v="1"/>
    <s v="BAIXA"/>
    <s v="3.3.2. Suport a les empreses locals per participar en fires nacionals o internacionals (PRODUCT)"/>
    <m/>
    <m/>
    <m/>
    <m/>
    <x v="1"/>
    <m/>
    <m/>
    <m/>
    <m/>
    <m/>
    <m/>
    <s v="AUP"/>
    <s v="JMFR"/>
    <m/>
    <s v="PRODUCT"/>
    <s v="Diagnosi dels productors i productores locals del Parc Natural dels Ports. (6.4. Pla d’acció)"/>
    <m/>
    <m/>
    <m/>
    <m/>
    <m/>
    <m/>
    <n v="0"/>
  </r>
  <r>
    <x v="3"/>
    <x v="7"/>
    <x v="7"/>
    <x v="25"/>
    <x v="25"/>
    <x v="85"/>
    <s v="Generar aliances entre el sector primari, el turisme, la restauració i altres per fomentar la gastronomia local "/>
    <s v="Comú"/>
    <s v="Optatiu"/>
    <x v="85"/>
    <m/>
    <x v="0"/>
    <s v="MITJANA"/>
    <s v="4.2.1. Organització de networkings entre productors agroalimentaris i artesans amb comerços, restaurants i allotjaments turístics dels municipis de l’àmbit del Parc Natural (PRODUCT): reunions periòdiques de la comissió dels productors agroalimentaris Fet al Parc"/>
    <m/>
    <m/>
    <m/>
    <m/>
    <x v="81"/>
    <s v="ESNATURA_x000a_CETS"/>
    <m/>
    <s v="Nombre de reunions de la comissió"/>
    <n v="2"/>
    <n v="4"/>
    <m/>
    <s v="AUP"/>
    <s v="JMFR"/>
    <m/>
    <s v="PRODUCT"/>
    <s v="Diagnosi dels productors i productores locals del Parc Natural dels Ports. (6.4. Pla d’acció)"/>
    <m/>
    <m/>
    <m/>
    <m/>
    <m/>
    <m/>
    <n v="0"/>
  </r>
  <r>
    <x v="3"/>
    <x v="7"/>
    <x v="7"/>
    <x v="25"/>
    <x v="25"/>
    <x v="85"/>
    <s v="Generar aliances entre el sector primari, el turisme, la restauració i altres per fomentar la gastronomia local "/>
    <s v="Comú"/>
    <s v="Optatiu"/>
    <x v="85"/>
    <m/>
    <x v="0"/>
    <s v="MITJANA"/>
    <s v="4.2.2 Organització de jornades gastronòmiques amb producte elaborat/produït al Parc Natural i restaurants de municipis del Parc o de l’entorn proper (PRODUCT): organització en col·laboració amb els GAL del LEADER en l'organització de showcooking amb productes Fet al Parc"/>
    <m/>
    <m/>
    <m/>
    <m/>
    <x v="1"/>
    <s v="ESNATURA_x000a_CETS"/>
    <m/>
    <m/>
    <m/>
    <m/>
    <m/>
    <s v="AUP"/>
    <s v="JMFR"/>
    <m/>
    <s v="PRODUCT"/>
    <s v="Diagnosi dels productors i productores locals del Parc Natural dels Ports. (6.4. Pla d’acció)"/>
    <m/>
    <m/>
    <m/>
    <m/>
    <m/>
    <m/>
    <n v="0"/>
  </r>
  <r>
    <x v="3"/>
    <x v="7"/>
    <x v="7"/>
    <x v="25"/>
    <x v="25"/>
    <x v="86"/>
    <s v="Elaborar una diagnòsi del teixit productiu local i un pla d’acció amb línies de treball i actuacions concretes per donar-li suport"/>
    <s v="Comú"/>
    <s v="Optatiu"/>
    <x v="86"/>
    <s v="Fet"/>
    <x v="1"/>
    <s v="MITJANA"/>
    <m/>
    <m/>
    <m/>
    <m/>
    <s v="Actualitzar la diagnosi del teixit productiu local i un pla d’acció amb línies de treball i actuacions concretes per donar-li suport"/>
    <x v="82"/>
    <s v="ESNATURA"/>
    <m/>
    <m/>
    <m/>
    <m/>
    <m/>
    <s v="AUP"/>
    <s v="JMFR"/>
    <m/>
    <m/>
    <m/>
    <m/>
    <m/>
    <m/>
    <m/>
    <m/>
    <m/>
    <n v="0"/>
  </r>
  <r>
    <x v="3"/>
    <x v="7"/>
    <x v="7"/>
    <x v="25"/>
    <x v="25"/>
    <x v="87"/>
    <s v="Promoure els agents del territori que potencien i difonen els productes locals i de qualitat (artesanies, allotjaments, restaurants, cellers, establiments, elaboradors i productors) que afavoreixin la conservació"/>
    <s v="Comú"/>
    <s v="Optatiu"/>
    <x v="87"/>
    <m/>
    <x v="0"/>
    <s v="BAIXA"/>
    <s v="1.1.1 Elaborar un Directori dels productors/es i artesans/es del Parc Natural dels Ports: manteniment del directori web"/>
    <m/>
    <m/>
    <m/>
    <m/>
    <x v="83"/>
    <m/>
    <m/>
    <s v="Nombre d'artesans nous incorporats"/>
    <s v="2_x000a_"/>
    <n v="4"/>
    <m/>
    <s v="AUP"/>
    <s v="SMM"/>
    <m/>
    <s v="PRODUCT"/>
    <s v="Diagnosi dels productors i productores locals del Parc Natural dels Ports. (6.4. Pla d’acció)"/>
    <m/>
    <m/>
    <m/>
    <m/>
    <m/>
    <m/>
    <n v="0"/>
  </r>
  <r>
    <x v="3"/>
    <x v="7"/>
    <x v="7"/>
    <x v="25"/>
    <x v="25"/>
    <x v="87"/>
    <s v="Promoure els agents del territori que potencien i difonen els productes locals i de qualitat (artesanies, allotjaments, restaurants, cellers, establiments, elaboradors i productors) que afavoreixin la conservació"/>
    <s v="Comú"/>
    <s v="Optatiu"/>
    <x v="87"/>
    <m/>
    <x v="0"/>
    <s v="BAIXA"/>
    <s v="Promocionar l’artesania dins del programa lectiu de les escoles."/>
    <m/>
    <m/>
    <m/>
    <m/>
    <x v="1"/>
    <m/>
    <m/>
    <m/>
    <m/>
    <m/>
    <m/>
    <m/>
    <m/>
    <m/>
    <m/>
    <m/>
    <m/>
    <m/>
    <m/>
    <m/>
    <m/>
    <m/>
    <m/>
  </r>
  <r>
    <x v="3"/>
    <x v="7"/>
    <x v="7"/>
    <x v="25"/>
    <x v="25"/>
    <x v="87"/>
    <s v="Promoure els agents del territori que potencien i difonen els productes locals i de qualitat (artesanies, allotjaments, restaurants, cellers, establiments, elaboradors i productors) que afavoreixin la conservació"/>
    <s v="Comú"/>
    <s v="Optatiu"/>
    <x v="88"/>
    <s v="Incloure artesans"/>
    <x v="1"/>
    <s v="BAIXA"/>
    <s v="A.3.5. Elaboració d'un catàleg d'artesans/es a disposició del públic als punts d'informació (ARTESAN)"/>
    <m/>
    <m/>
    <m/>
    <m/>
    <x v="1"/>
    <s v="Diagnosi dels productors i productores locals del Parc Natural dels Ports. (6.4. Pla d’acció)"/>
    <s v="1.1.1. Elaborar un Directori dels productors/es i artesans/es del Parc Natural dels Ports // 1.1.2. Crear un apartat específic sobre la producció local i artesana del Parc Natural al web oficial del Parc //..."/>
    <m/>
    <m/>
    <m/>
    <m/>
    <s v="AUP"/>
    <s v="JMFR"/>
    <m/>
    <s v="ARTESAN"/>
    <s v="Pla d'acció per al foment de l'artesania del Parc Natural dels Ports (2023-2027)"/>
    <m/>
    <m/>
    <m/>
    <m/>
    <m/>
    <m/>
    <n v="0"/>
  </r>
  <r>
    <x v="3"/>
    <x v="7"/>
    <x v="7"/>
    <x v="25"/>
    <x v="25"/>
    <x v="88"/>
    <m/>
    <m/>
    <m/>
    <x v="89"/>
    <s v="NOU. Inclous Ops 08.03.1, 08.3.5, 08.3.6 i 08.4.3"/>
    <x v="0"/>
    <m/>
    <s v="0. Coordinació i seguiment del Pla d'artesania: Actualització del Pla d'artesania (ARTESAN)"/>
    <m/>
    <m/>
    <m/>
    <m/>
    <x v="84"/>
    <m/>
    <m/>
    <s v="Percentatge d'accions assolides"/>
    <n v="0.5"/>
    <n v="0.9"/>
    <m/>
    <s v="AUP"/>
    <s v="JMFR"/>
    <m/>
    <s v="ARTESAN"/>
    <s v="Pla d'acció per al foment de l'artesania del Parc Natural dels Ports (2023-2027)"/>
    <m/>
    <m/>
    <m/>
    <m/>
    <m/>
    <m/>
    <n v="0"/>
  </r>
  <r>
    <x v="3"/>
    <x v="7"/>
    <x v="7"/>
    <x v="25"/>
    <x v="25"/>
    <x v="88"/>
    <m/>
    <m/>
    <m/>
    <x v="89"/>
    <s v="NOU. Inclous Ops 08.03.1, 08.3.5, 08.3.6 i 08.4.3"/>
    <x v="0"/>
    <m/>
    <s v="A.3.10. Creació d'un canal directe de comunicació amb el PN per a la difusió de l'activitat artesana (ARTESAN): manteniment del canal de comunicació"/>
    <m/>
    <m/>
    <m/>
    <m/>
    <x v="1"/>
    <m/>
    <m/>
    <m/>
    <m/>
    <m/>
    <m/>
    <s v="AUP"/>
    <s v="SMM"/>
    <m/>
    <s v="ARTESAN"/>
    <s v="Pla d'acció per al foment de l'artesania del Parc Natural dels Ports (2023-2027)"/>
    <m/>
    <m/>
    <m/>
    <m/>
    <m/>
    <m/>
    <n v="0"/>
  </r>
  <r>
    <x v="3"/>
    <x v="7"/>
    <x v="7"/>
    <x v="25"/>
    <x v="25"/>
    <x v="89"/>
    <m/>
    <m/>
    <m/>
    <x v="90"/>
    <s v="NOU"/>
    <x v="0"/>
    <m/>
    <s v="0. Coordinació i seguiment del Pla d'acció de la Diagnosi dels productors i productores locals del PNP (PRODUCT)"/>
    <m/>
    <m/>
    <m/>
    <m/>
    <x v="85"/>
    <s v="Percentatge d'accions assolides"/>
    <n v="0.5"/>
    <s v="Percentatge d'accions assolides"/>
    <n v="0.5"/>
    <n v="0.9"/>
    <m/>
    <s v="AUP"/>
    <s v="JMFR"/>
    <m/>
    <s v="PRODUCT"/>
    <s v="Diagnosi dels productors i productores locals del Parc Natural dels Ports. (6.4. Pla d’acció)"/>
    <m/>
    <m/>
    <m/>
    <m/>
    <m/>
    <m/>
    <n v="0"/>
  </r>
  <r>
    <x v="3"/>
    <x v="7"/>
    <x v="7"/>
    <x v="25"/>
    <x v="25"/>
    <x v="89"/>
    <m/>
    <m/>
    <m/>
    <x v="90"/>
    <s v="NOU"/>
    <x v="1"/>
    <m/>
    <s v="2.2.4. Estudi de la traçabilitat de la producció agrícola i ramadera (PRODUCT)"/>
    <m/>
    <m/>
    <m/>
    <m/>
    <x v="1"/>
    <m/>
    <m/>
    <m/>
    <m/>
    <m/>
    <m/>
    <s v="AUP"/>
    <s v="JMFR"/>
    <m/>
    <s v="PRODUCT"/>
    <s v="Diagnosi dels productors i productores locals del Parc Natural dels Ports. (6.4. Pla d’acció)"/>
    <m/>
    <m/>
    <m/>
    <m/>
    <m/>
    <m/>
    <n v="0"/>
  </r>
  <r>
    <x v="3"/>
    <x v="7"/>
    <x v="7"/>
    <x v="25"/>
    <x v="25"/>
    <x v="89"/>
    <m/>
    <m/>
    <m/>
    <x v="90"/>
    <m/>
    <x v="1"/>
    <m/>
    <s v="4.1.1. Suport a la dinamització de col·lectius de productors i/o artesans (PRODUCT)"/>
    <m/>
    <m/>
    <m/>
    <m/>
    <x v="1"/>
    <m/>
    <m/>
    <m/>
    <m/>
    <m/>
    <m/>
    <s v="AUP"/>
    <s v="JMFR"/>
    <m/>
    <s v="PRODUCT"/>
    <s v="Diagnosi dels productors i productores locals del Parc Natural dels Ports. (6.4. Pla d’acció)"/>
    <m/>
    <m/>
    <m/>
    <m/>
    <m/>
    <m/>
    <n v="0"/>
  </r>
  <r>
    <x v="3"/>
    <x v="7"/>
    <x v="7"/>
    <x v="26"/>
    <x v="26"/>
    <x v="90"/>
    <s v="Treballar amb l'autoritat competent per garantir objectius de conservació d’espècies i hàbitats en la revisió dels Plans de Gestió Cinegètica"/>
    <s v="Comú"/>
    <s v="Obligatori"/>
    <x v="91"/>
    <s v="Millora del redactat"/>
    <x v="0"/>
    <s v="MITJANA"/>
    <s v="Participar en la revisió i el desenvolupament del protocol de col·laboració entre la Direcció General d’Ecosistemes Forestals i Gestió del Medi i la Direcció General de Polítiques Ambientals i Medi Natural per la que s’estableixen els criteris de treball entre les Reserves Nacionals de Caça i els Espais Naturals Protegits"/>
    <m/>
    <m/>
    <m/>
    <m/>
    <x v="86"/>
    <s v="MAP"/>
    <m/>
    <s v="1) Nombre d'assistències a les reunions_x000a_2) Percentatge d'informes elaborats_x000a_3) Percentatge de notificacions rebudes 48h abans de l'inici de la batuda_x000a_4) Nombre de territoris de rapinyaires afectats"/>
    <s v="1) 1_x000a_2) 100%_x000a_3) 90%_x000a_4) 0"/>
    <s v="1) 4_x000a_2) 100%_x000a_3) 100%_x000a_4) 0"/>
    <m/>
    <s v="APR"/>
    <s v="JMQ"/>
    <m/>
    <m/>
    <m/>
    <m/>
    <m/>
    <m/>
    <m/>
    <m/>
    <m/>
    <n v="0"/>
  </r>
  <r>
    <x v="3"/>
    <x v="7"/>
    <x v="7"/>
    <x v="26"/>
    <x v="26"/>
    <x v="90"/>
    <s v="Treballar amb l'autoritat competent per garantir objectius de conservació d’espècies i hàbitats en la revisió dels Plans de Gestió Cinegètica"/>
    <s v="Comú"/>
    <s v="Obligatori"/>
    <x v="91"/>
    <s v="Millora del redactat"/>
    <x v="0"/>
    <s v="MITJANA"/>
    <s v="Elaborar els informes ambientals dels PTGC de les Àrees Privades de Caça"/>
    <m/>
    <m/>
    <m/>
    <m/>
    <x v="87"/>
    <m/>
    <m/>
    <m/>
    <m/>
    <m/>
    <m/>
    <s v="APR"/>
    <s v="JMQ"/>
    <m/>
    <m/>
    <m/>
    <m/>
    <m/>
    <m/>
    <m/>
    <m/>
    <m/>
    <m/>
  </r>
  <r>
    <x v="3"/>
    <x v="7"/>
    <x v="7"/>
    <x v="26"/>
    <x v="26"/>
    <x v="90"/>
    <s v="Treballar amb l'autoritat competent per garantir objectius de conservació d’espècies i hàbitats en la revisió dels Plans de Gestió Cinegètica"/>
    <s v="Comú"/>
    <s v="Obligatori"/>
    <x v="91"/>
    <s v="Millora del redactat"/>
    <x v="0"/>
    <s v="MITJANA"/>
    <s v="Regular les batudes de caça als territoris de reproducció dels rapinyaires"/>
    <m/>
    <m/>
    <m/>
    <m/>
    <x v="88"/>
    <m/>
    <m/>
    <m/>
    <m/>
    <m/>
    <m/>
    <s v="APR"/>
    <s v="JMQ"/>
    <m/>
    <m/>
    <m/>
    <m/>
    <m/>
    <m/>
    <m/>
    <m/>
    <m/>
    <m/>
  </r>
  <r>
    <x v="3"/>
    <x v="7"/>
    <x v="7"/>
    <x v="26"/>
    <x v="26"/>
    <x v="90"/>
    <s v="Treballar amb l'autoritat competent per garantir objectius de conservació d’espècies i hàbitats en la revisió dels Plans de Gestió Cinegètica"/>
    <s v="Comú"/>
    <s v="Obligatori"/>
    <x v="91"/>
    <s v="Millora del redactat"/>
    <x v="0"/>
    <s v="MITJANA"/>
    <s v="Instar a la Subdirecció General de Fauna Cinegètica, Caça i Pesca Continental a millorar la informació disponible a l'avançada i en temps real sobre les batudes de caça"/>
    <m/>
    <m/>
    <m/>
    <m/>
    <x v="89"/>
    <m/>
    <m/>
    <m/>
    <m/>
    <m/>
    <m/>
    <m/>
    <m/>
    <m/>
    <m/>
    <m/>
    <m/>
    <m/>
    <m/>
    <m/>
    <m/>
    <m/>
    <m/>
  </r>
  <r>
    <x v="3"/>
    <x v="7"/>
    <x v="7"/>
    <x v="26"/>
    <x v="26"/>
    <x v="91"/>
    <s v="Col·laborar en la regulació i ordenació de la caça i la pesca en zones sensibles o amb risc d'afectació d'elements clau objecte de conservació"/>
    <s v="Comú"/>
    <s v="Obligatori"/>
    <x v="92"/>
    <s v="Es proposa eliminar per solapament amb l'Op anterior"/>
    <x v="1"/>
    <s v="ALTA"/>
    <m/>
    <m/>
    <m/>
    <m/>
    <m/>
    <x v="1"/>
    <s v="MAP"/>
    <m/>
    <m/>
    <m/>
    <m/>
    <m/>
    <m/>
    <m/>
    <m/>
    <m/>
    <m/>
    <m/>
    <m/>
    <m/>
    <m/>
    <m/>
    <m/>
    <n v="0"/>
  </r>
  <r>
    <x v="3"/>
    <x v="7"/>
    <x v="7"/>
    <x v="26"/>
    <x v="26"/>
    <x v="92"/>
    <s v="Donar suport en la gestió de poblacions que generen danys a les activitats econòmiques de l'ENP"/>
    <s v="Comú"/>
    <s v="Obligatori"/>
    <x v="93"/>
    <s v="Millora del redactat"/>
    <x v="0"/>
    <s v="MITJANA"/>
    <s v="Elaborar els informes ambientals de les autoritzacions de les batudes excepcionals per danys agrícoles i ramaders"/>
    <m/>
    <m/>
    <m/>
    <m/>
    <x v="90"/>
    <m/>
    <m/>
    <s v="Percentatge d'informes realitzats"/>
    <n v="1"/>
    <n v="1"/>
    <m/>
    <s v="APR"/>
    <s v="JMQ"/>
    <m/>
    <m/>
    <m/>
    <m/>
    <m/>
    <m/>
    <m/>
    <m/>
    <m/>
    <n v="0"/>
  </r>
  <r>
    <x v="3"/>
    <x v="8"/>
    <x v="8"/>
    <x v="27"/>
    <x v="27"/>
    <x v="93"/>
    <s v="Desplegar la Carta Europea de Turisme Sostenible (CETS)"/>
    <s v="Comú"/>
    <s v="Optatiu"/>
    <x v="94"/>
    <m/>
    <x v="0"/>
    <s v="MÀXIMA"/>
    <s v="A.1.1.1. Formalització del Fòrum Permanent com a instrument d'informació, participació i decisió de tots els agents turístics adherits a la CETS (CETS): gestió i manteniment de les reunions del Fòrum Permanent"/>
    <m/>
    <m/>
    <m/>
    <m/>
    <x v="91"/>
    <s v="ESNATURA"/>
    <m/>
    <s v="1) Percentatge d'accions assolides_x000a_2) Nombre de reunions celebrades del FP_x000a_3) Nombre de reunions celebrades del GT_x000a_4) Percentatge assistència a les reunions de CETSCAT"/>
    <s v="1) 80%_x000a_2) 4_x000a_3) 4_x000a_4) 100%"/>
    <s v="1) 90%_x000a_2) 4_x000a_3) 4_x000a_4) 100%"/>
    <m/>
    <s v="AUP"/>
    <s v="JMFR"/>
    <m/>
    <s v="CETS"/>
    <s v="Pla d'acció 2022-2026 de la CETS."/>
    <m/>
    <m/>
    <m/>
    <m/>
    <m/>
    <m/>
    <n v="0"/>
  </r>
  <r>
    <x v="3"/>
    <x v="8"/>
    <x v="8"/>
    <x v="27"/>
    <x v="27"/>
    <x v="93"/>
    <s v="Desplegar la Carta Europea de Turisme Sostenible (CETS)"/>
    <s v="Comú"/>
    <s v="Optatiu"/>
    <x v="94"/>
    <m/>
    <x v="0"/>
    <s v="MÀXIMA"/>
    <s v="A.1.1.2. Formalització del Grup de Treball com a instrument de seguiment, coordinació i decisió immediata de tots els agents turístics adherits a la CETS (CETS): gestió i manteniment de les reunions del GT"/>
    <m/>
    <m/>
    <m/>
    <m/>
    <x v="1"/>
    <s v="ESNATURA"/>
    <m/>
    <m/>
    <m/>
    <m/>
    <m/>
    <s v="AUP"/>
    <s v="JMFR"/>
    <m/>
    <s v="CETS"/>
    <s v="Pla d'acció 2022-2026 de la CETS."/>
    <m/>
    <m/>
    <m/>
    <m/>
    <m/>
    <m/>
    <n v="0"/>
  </r>
  <r>
    <x v="3"/>
    <x v="8"/>
    <x v="8"/>
    <x v="27"/>
    <x v="27"/>
    <x v="93"/>
    <s v="Desplegar la Carta Europea de Turisme Sostenible (CETS)"/>
    <s v="Comú"/>
    <s v="Optatiu"/>
    <x v="94"/>
    <m/>
    <x v="0"/>
    <s v="MÀXIMA"/>
    <s v="A.1.1.4. Dotació de recursos humans per realitzar les tasques de coordinació de la CETS al PN (CETS): Tasques de suport a l'Àrea d'ús públic (contracte Assistència tècnica de suport a la CETS)"/>
    <m/>
    <m/>
    <m/>
    <m/>
    <x v="1"/>
    <s v="ESNATURA"/>
    <m/>
    <m/>
    <m/>
    <m/>
    <m/>
    <s v="AUP"/>
    <s v="JMFR"/>
    <m/>
    <s v="CETS"/>
    <s v="Pla d'acció 2022-2026 de la CETS."/>
    <m/>
    <m/>
    <m/>
    <m/>
    <m/>
    <m/>
    <n v="0"/>
  </r>
  <r>
    <x v="3"/>
    <x v="8"/>
    <x v="8"/>
    <x v="27"/>
    <x v="27"/>
    <x v="93"/>
    <s v="Desplegar la Carta Europea de Turisme Sostenible (CETS)"/>
    <s v="Comú"/>
    <s v="Optatiu"/>
    <x v="94"/>
    <m/>
    <x v="1"/>
    <s v="MÀXIMA"/>
    <s v="A.1.2.1. Disseny i execució d'activitats d'intercanvi de coneixement entre el sector públic i privat per a la generació de xarxes i espais de treball comú (CETS)"/>
    <m/>
    <m/>
    <m/>
    <m/>
    <x v="1"/>
    <s v="ESNATURA"/>
    <m/>
    <m/>
    <m/>
    <m/>
    <m/>
    <s v="AUP"/>
    <s v="JMFR"/>
    <m/>
    <s v="CETS"/>
    <s v="Pla d'acció 2022-2026 de la CETS."/>
    <m/>
    <m/>
    <m/>
    <m/>
    <m/>
    <m/>
    <n v="0"/>
  </r>
  <r>
    <x v="3"/>
    <x v="8"/>
    <x v="8"/>
    <x v="27"/>
    <x v="27"/>
    <x v="93"/>
    <s v="Desplegar la Carta Europea de Turisme Sostenible (CETS)"/>
    <s v="Comú"/>
    <s v="Optatiu"/>
    <x v="94"/>
    <m/>
    <x v="0"/>
    <s v="MÀXIMA"/>
    <s v="A.1.2.2. Participació activa del PN a la xarxa de parcs adherits a la CETS (CETS): participar en la CETSCAT i en el Seminari permanent de la CETS d'EUROPARC."/>
    <m/>
    <m/>
    <m/>
    <m/>
    <x v="1"/>
    <s v="ESNATURA"/>
    <m/>
    <m/>
    <m/>
    <m/>
    <m/>
    <s v="AUP"/>
    <s v="JMFR"/>
    <m/>
    <s v="CETS"/>
    <s v="Pla d'acció 2022-2026 de la CETS."/>
    <m/>
    <m/>
    <m/>
    <m/>
    <m/>
    <m/>
    <n v="0"/>
  </r>
  <r>
    <x v="3"/>
    <x v="8"/>
    <x v="8"/>
    <x v="27"/>
    <x v="27"/>
    <x v="93"/>
    <s v="Desplegar la Carta Europea de Turisme Sostenible (CETS)"/>
    <s v="Comú"/>
    <s v="Optatiu"/>
    <x v="94"/>
    <m/>
    <x v="0"/>
    <s v="MÀXIMA"/>
    <s v="A.1.3.1. Seguiment i avaluació del procés d'implantació de la CETS al PN durant el període 2022-2026 (CETS)"/>
    <m/>
    <m/>
    <m/>
    <m/>
    <x v="1"/>
    <s v="ESNATURA"/>
    <m/>
    <m/>
    <m/>
    <m/>
    <m/>
    <s v="AUP"/>
    <s v="JMFR"/>
    <m/>
    <s v="CETS"/>
    <s v="Pla d'acció 2022-2026 de la CETS."/>
    <m/>
    <m/>
    <m/>
    <m/>
    <m/>
    <m/>
    <n v="0"/>
  </r>
  <r>
    <x v="3"/>
    <x v="8"/>
    <x v="8"/>
    <x v="27"/>
    <x v="27"/>
    <x v="93"/>
    <s v="Desplegar la Carta Europea de Turisme Sostenible (CETS)"/>
    <s v="Comú"/>
    <s v="Optatiu"/>
    <x v="94"/>
    <m/>
    <x v="0"/>
    <s v="MÀXIMA"/>
    <s v="A.2.3.1. Impuls d'accions d'Educació i Voluntariat Ambiental en l'àmbit educatiu i de la població local (CETS)"/>
    <m/>
    <m/>
    <m/>
    <m/>
    <x v="1"/>
    <s v="ESNATURA"/>
    <m/>
    <m/>
    <m/>
    <m/>
    <m/>
    <s v="AUP"/>
    <s v="CFF"/>
    <m/>
    <s v="CETS"/>
    <s v="Pla d'acció 2022-2026 de la CETS."/>
    <m/>
    <m/>
    <m/>
    <m/>
    <m/>
    <m/>
    <n v="0"/>
  </r>
  <r>
    <x v="3"/>
    <x v="8"/>
    <x v="8"/>
    <x v="27"/>
    <x v="27"/>
    <x v="93"/>
    <s v="Desplegar la Carta Europea de Turisme Sostenible (CETS)"/>
    <s v="Comú"/>
    <s v="Optatiu"/>
    <x v="94"/>
    <m/>
    <x v="0"/>
    <s v="MÀXIMA"/>
    <s v="A.5.1.1. Elaborar i executar el Pla de comunicació de la CETS (CETS): Servei de realització de fotografies i vídeos d'empreses adherides a la Carta Europea de Turisme Sostenible del Parc Natural dels Ports"/>
    <m/>
    <m/>
    <m/>
    <m/>
    <x v="1"/>
    <s v="ESNATURA"/>
    <m/>
    <m/>
    <m/>
    <m/>
    <m/>
    <s v="AUP"/>
    <s v="SMM"/>
    <m/>
    <s v="CETS"/>
    <s v="Pla d'acció 2022-2026 de la CETS."/>
    <m/>
    <m/>
    <m/>
    <m/>
    <m/>
    <m/>
    <n v="0"/>
  </r>
  <r>
    <x v="3"/>
    <x v="8"/>
    <x v="8"/>
    <x v="27"/>
    <x v="27"/>
    <x v="93"/>
    <s v="Desplegar la Carta Europea de Turisme Sostenible (CETS)"/>
    <s v="Comú"/>
    <s v="Optatiu"/>
    <x v="94"/>
    <m/>
    <x v="0"/>
    <m/>
    <s v="A.3.2.1. Acreditació d'espais com a punts d'informació i acreditació de persones com a agents informadors del Parc Natural (CETS): Senyalització Espai informació CETS"/>
    <m/>
    <m/>
    <m/>
    <m/>
    <x v="1"/>
    <m/>
    <m/>
    <m/>
    <m/>
    <m/>
    <m/>
    <s v="AUP"/>
    <s v="JMFR"/>
    <m/>
    <s v="CETS"/>
    <s v="Pla d'acció 2022-2026 de la CETS."/>
    <m/>
    <m/>
    <m/>
    <m/>
    <m/>
    <m/>
    <n v="0"/>
  </r>
  <r>
    <x v="3"/>
    <x v="8"/>
    <x v="8"/>
    <x v="27"/>
    <x v="27"/>
    <x v="94"/>
    <s v="Tramitar la certificació Biosphere"/>
    <s v="Comú"/>
    <s v="Optatiu"/>
    <x v="95"/>
    <s v="Eliminar. No aplica"/>
    <x v="1"/>
    <s v="MITJANA"/>
    <m/>
    <m/>
    <m/>
    <m/>
    <m/>
    <x v="1"/>
    <m/>
    <m/>
    <m/>
    <m/>
    <m/>
    <m/>
    <m/>
    <m/>
    <m/>
    <m/>
    <m/>
    <m/>
    <m/>
    <m/>
    <m/>
    <m/>
    <m/>
    <n v="0"/>
  </r>
  <r>
    <x v="3"/>
    <x v="8"/>
    <x v="8"/>
    <x v="27"/>
    <x v="27"/>
    <x v="95"/>
    <s v="Fomentar la creació d'allotjaments i altres recursos turístics d'acord amb les necessitats i els agents turístics del territori que es vinculin als valors naturals de l'espai"/>
    <s v="Comú"/>
    <s v="Optatiu"/>
    <x v="96"/>
    <m/>
    <x v="1"/>
    <m/>
    <m/>
    <m/>
    <m/>
    <m/>
    <s v="Fomentar la creació d'allotjaments i altres recursos turístics d'acord amb les necessitats i els agents turístics del territori que es vinculin als valors naturals de l'espai"/>
    <x v="82"/>
    <m/>
    <m/>
    <m/>
    <m/>
    <m/>
    <m/>
    <s v="AUP"/>
    <s v="JMFR"/>
    <m/>
    <m/>
    <m/>
    <m/>
    <m/>
    <m/>
    <m/>
    <m/>
    <m/>
    <m/>
  </r>
  <r>
    <x v="3"/>
    <x v="8"/>
    <x v="8"/>
    <x v="28"/>
    <x v="28"/>
    <x v="96"/>
    <s v="Treballar amb les empreses turístiques per trobar eines de canvi cap a un model de turisme sostenible i de qualitat "/>
    <s v="Comú"/>
    <s v="Optatiu"/>
    <x v="97"/>
    <s v="Canviar empreses per agents (per incloure administracions)"/>
    <x v="0"/>
    <s v="MITJANA"/>
    <s v="Participar en el Consell de Marca &quot;Terres de l'Ebre&quot; de l'OA Patronat de Turisme de la Diputació de Tarragona"/>
    <m/>
    <m/>
    <m/>
    <m/>
    <x v="92"/>
    <s v="ESNATURA"/>
    <m/>
    <s v="1) Percentatge assistència a les reunions del Consell de Marca_x000a_2) Nombre de workshops celebrats"/>
    <s v="1) 75%_x000a_2) 1"/>
    <s v="1) 100%_x000a_2) 1"/>
    <m/>
    <s v="DIR"/>
    <s v="ACM"/>
    <m/>
    <m/>
    <m/>
    <m/>
    <m/>
    <m/>
    <m/>
    <m/>
    <m/>
    <n v="0"/>
  </r>
  <r>
    <x v="3"/>
    <x v="8"/>
    <x v="8"/>
    <x v="28"/>
    <x v="28"/>
    <x v="96"/>
    <s v="Treballar amb les empreses turístiques per trobar eines de canvi cap a un model de turisme sostenible i de qualitat "/>
    <s v="Comú"/>
    <s v="Optatiu"/>
    <x v="97"/>
    <s v="Canviar empreses per agents (per incloure administracions)"/>
    <x v="1"/>
    <s v="MITJANA"/>
    <s v="A.4.3.1. Realització de workshops entre centres de formació professional i empreses privades (CETS)"/>
    <m/>
    <m/>
    <m/>
    <m/>
    <x v="1"/>
    <s v="ESNATURA"/>
    <m/>
    <m/>
    <m/>
    <m/>
    <m/>
    <s v="AUP"/>
    <s v="JMFR"/>
    <m/>
    <s v="CETS"/>
    <s v="Pla d'acció 2022-2026 de la CETS."/>
    <m/>
    <m/>
    <m/>
    <m/>
    <m/>
    <m/>
    <m/>
  </r>
  <r>
    <x v="3"/>
    <x v="8"/>
    <x v="8"/>
    <x v="28"/>
    <x v="28"/>
    <x v="97"/>
    <s v="Crear productes i paquets turístics amb associacions d’empreses turístiques i operadors turístics"/>
    <s v="Comú"/>
    <s v="Optatiu"/>
    <x v="98"/>
    <m/>
    <x v="1"/>
    <s v="MITJANA"/>
    <s v="A.4.2.6. Organització i execució de viatges de familiarització amb Aragó i Castelló per a la creació de productes turístics compartits (CETS)"/>
    <m/>
    <m/>
    <m/>
    <m/>
    <x v="93"/>
    <s v="ESNATURA"/>
    <m/>
    <m/>
    <m/>
    <m/>
    <m/>
    <s v="AUP"/>
    <s v="JMFR"/>
    <m/>
    <s v="CETS"/>
    <s v="Pla d'acció 2022-2026 de la CETS."/>
    <m/>
    <m/>
    <m/>
    <m/>
    <m/>
    <m/>
    <n v="0"/>
  </r>
  <r>
    <x v="3"/>
    <x v="8"/>
    <x v="8"/>
    <x v="28"/>
    <x v="28"/>
    <x v="97"/>
    <s v="Crear productes i paquets turístics amb associacions d’empreses turístiques i operadors turístics"/>
    <s v="Comú"/>
    <s v="Optatiu"/>
    <x v="98"/>
    <m/>
    <x v="0"/>
    <s v="MITJANA"/>
    <s v="A.4.2.7. Establir col·laboracions amb el PN Delta de l’Ebre per a impulsar nous productes turístics i millorar els existents (CETS)"/>
    <m/>
    <m/>
    <m/>
    <m/>
    <x v="1"/>
    <s v="ESNATURA"/>
    <m/>
    <m/>
    <m/>
    <m/>
    <m/>
    <s v="AUP"/>
    <s v="JMFR"/>
    <m/>
    <s v="CETS"/>
    <s v="Pla d'acció 2022-2026 de la CETS."/>
    <m/>
    <m/>
    <m/>
    <m/>
    <m/>
    <m/>
    <n v="0"/>
  </r>
  <r>
    <x v="3"/>
    <x v="8"/>
    <x v="8"/>
    <x v="28"/>
    <x v="28"/>
    <x v="97"/>
    <s v="Crear productes i paquets turístics amb associacions d’empreses turístiques i operadors turístics"/>
    <s v="Comú"/>
    <s v="Optatiu"/>
    <x v="98"/>
    <m/>
    <x v="0"/>
    <s v="MITJANA"/>
    <s v="A.3.4.2. Disseny i promoció d'un catàleg d'experiències turístiques (CETS)"/>
    <m/>
    <m/>
    <m/>
    <m/>
    <x v="1"/>
    <s v="ESNATURA"/>
    <m/>
    <m/>
    <m/>
    <m/>
    <m/>
    <s v="AUP"/>
    <s v="JMFR"/>
    <m/>
    <s v="CETS"/>
    <s v="Pla d'acció 2022-2026 de la CETS."/>
    <m/>
    <m/>
    <m/>
    <m/>
    <m/>
    <m/>
    <n v="0"/>
  </r>
  <r>
    <x v="4"/>
    <x v="9"/>
    <x v="9"/>
    <x v="29"/>
    <x v="29"/>
    <x v="98"/>
    <s v="Establir un model de construcció a l'ENP en base al model de Pla de protecció"/>
    <s v="Comú"/>
    <s v="Obligatori"/>
    <x v="99"/>
    <s v="No tenim Pla"/>
    <x v="0"/>
    <s v="ALTA"/>
    <s v="Difondre la guia de bones pràctiques d'arquitectura tradicional entre propietaris, promotors i professionals de la construcció"/>
    <m/>
    <m/>
    <m/>
    <m/>
    <x v="94"/>
    <m/>
    <s v="SPEN: Elaborar model"/>
    <s v="Nombre de guies distribuïdes entre els actors"/>
    <n v="10"/>
    <n v="15"/>
    <m/>
    <s v="AIM"/>
    <s v="AAA"/>
    <m/>
    <m/>
    <m/>
    <m/>
    <m/>
    <m/>
    <m/>
    <m/>
    <m/>
    <n v="0"/>
  </r>
  <r>
    <x v="4"/>
    <x v="9"/>
    <x v="9"/>
    <x v="29"/>
    <x v="29"/>
    <x v="99"/>
    <s v="Ordenar els aprofitaments i extraccions dins l'espai"/>
    <s v="Comú"/>
    <s v="Obligatori"/>
    <x v="100"/>
    <m/>
    <x v="0"/>
    <m/>
    <m/>
    <m/>
    <m/>
    <m/>
    <s v="Ordenar els aprofitaments i extraccions dins l'espai"/>
    <x v="95"/>
    <m/>
    <m/>
    <m/>
    <m/>
    <m/>
    <m/>
    <s v="AGH"/>
    <s v="JSB"/>
    <m/>
    <m/>
    <m/>
    <m/>
    <m/>
    <m/>
    <m/>
    <m/>
    <m/>
    <m/>
  </r>
  <r>
    <x v="4"/>
    <x v="10"/>
    <x v="10"/>
    <x v="30"/>
    <x v="30"/>
    <x v="100"/>
    <s v="Ordenar l'acampada i pernoctació  en base a un model estandarditzat de Pla de protecció"/>
    <s v="Comú"/>
    <s v="Obligatori"/>
    <x v="101"/>
    <m/>
    <x v="0"/>
    <s v="ALTA"/>
    <s v="Aplicar la regulació de l'acampada i la pernoctació segons el Decret 148/1992 i els acords de la Junta Rectora del Parc"/>
    <m/>
    <m/>
    <m/>
    <m/>
    <x v="96"/>
    <m/>
    <s v="SPEN: Elaborar model"/>
    <s v="Nombre d'acampades i pernoctacions detectades"/>
    <n v="5"/>
    <n v="10"/>
    <m/>
    <s v="AUP"/>
    <s v="JMFR/JMQ"/>
    <m/>
    <m/>
    <m/>
    <m/>
    <m/>
    <m/>
    <m/>
    <m/>
    <m/>
    <n v="0"/>
  </r>
  <r>
    <x v="4"/>
    <x v="10"/>
    <x v="10"/>
    <x v="30"/>
    <x v="30"/>
    <x v="101"/>
    <s v="Ordenar la circulació rodada no motoritzada en base a un model estàndard de Pla de protecció"/>
    <s v="Comú"/>
    <s v="Obligatori"/>
    <x v="102"/>
    <s v="S'ajusta a la realitat"/>
    <x v="0"/>
    <s v="MÀXIMA"/>
    <s v="A.2.1.4. Ordenació i planificació de l'activitat ciclista al PN (CETS): creació de la comissió de Junta rectora de regulació de la circulació rodada no motoritzada"/>
    <m/>
    <m/>
    <m/>
    <m/>
    <x v="97"/>
    <m/>
    <s v="SPEN: Elaborar model"/>
    <s v="Creació de la comissió"/>
    <n v="1"/>
    <n v="1"/>
    <m/>
    <s v="AUP"/>
    <s v="JMFR"/>
    <m/>
    <s v="CETS"/>
    <s v="Pla d'acció 2022-2026 de la CETS."/>
    <m/>
    <m/>
    <m/>
    <m/>
    <m/>
    <m/>
    <n v="0"/>
  </r>
  <r>
    <x v="4"/>
    <x v="10"/>
    <x v="10"/>
    <x v="30"/>
    <x v="30"/>
    <x v="102"/>
    <s v="Ordenar l'escalada i alpinisme, barranquisme, i espeleologia  en base a un model estàndard de Pla de protecció"/>
    <s v="Específic"/>
    <s v="Obligatori"/>
    <x v="103"/>
    <m/>
    <x v="0"/>
    <s v="MÀXIMA"/>
    <s v="Seguiment de la Comissió per a la regulació de l'escalada al Parc Natural dels Ports"/>
    <m/>
    <m/>
    <m/>
    <m/>
    <x v="98"/>
    <m/>
    <s v="SPEN: Elaborar model"/>
    <s v="1) Nombre de reunions de les comissions celebrades_x000a_2) Aprovació de la regulació de les vies ferrades per Junta rectora"/>
    <s v="1) 4_x000a_2) 1"/>
    <s v="1) 8_x000a_2) 1"/>
    <m/>
    <s v="AUP"/>
    <s v="JMFR/JMQ"/>
    <m/>
    <m/>
    <m/>
    <m/>
    <m/>
    <m/>
    <m/>
    <m/>
    <m/>
    <n v="0"/>
  </r>
  <r>
    <x v="4"/>
    <x v="10"/>
    <x v="10"/>
    <x v="30"/>
    <x v="30"/>
    <x v="102"/>
    <s v="Ordenar l'escalada i alpinisme, barranquisme, i espeleologia  en base a un model estàndard de Pla de protecció"/>
    <s v="Específic"/>
    <s v="Obligatori"/>
    <x v="103"/>
    <m/>
    <x v="0"/>
    <s v="MÀXIMA"/>
    <s v="Seguiment de la Comissió per a la Regulació del Descens de Barrancs al Parc Natural dels Ports"/>
    <m/>
    <m/>
    <m/>
    <m/>
    <x v="1"/>
    <m/>
    <s v="SPEN: Elaborar model"/>
    <m/>
    <m/>
    <m/>
    <m/>
    <s v="AUP"/>
    <s v="JMFR/JMQ"/>
    <m/>
    <m/>
    <m/>
    <m/>
    <m/>
    <m/>
    <m/>
    <m/>
    <m/>
    <n v="0"/>
  </r>
  <r>
    <x v="4"/>
    <x v="10"/>
    <x v="10"/>
    <x v="30"/>
    <x v="30"/>
    <x v="102"/>
    <s v="Ordenar l'escalada i alpinisme, barranquisme, i espeleologia  en base a un model estàndard de Pla de protecció"/>
    <s v="Específic"/>
    <s v="Obligatori"/>
    <x v="103"/>
    <m/>
    <x v="0"/>
    <m/>
    <s v="Seguiment de la Comissió per a la Regulació de l'Espeleologia al Parc Natural dels Ports"/>
    <m/>
    <m/>
    <m/>
    <m/>
    <x v="1"/>
    <m/>
    <m/>
    <m/>
    <m/>
    <m/>
    <m/>
    <m/>
    <m/>
    <m/>
    <m/>
    <m/>
    <m/>
    <m/>
    <m/>
    <m/>
    <m/>
    <m/>
    <m/>
  </r>
  <r>
    <x v="4"/>
    <x v="10"/>
    <x v="10"/>
    <x v="30"/>
    <x v="30"/>
    <x v="102"/>
    <s v="Ordenar l'escalada i alpinisme, barranquisme, i espeleologia  en base a un model estàndard de Pla de protecció"/>
    <s v="Específic"/>
    <s v="Obligatori"/>
    <x v="103"/>
    <m/>
    <x v="0"/>
    <s v="MÀXIMA"/>
    <s v="Tancament de la Comissió per a la Regulació de les Vies Ferrades al Parc Natural dels Ports i presentació a la Junta rectora"/>
    <m/>
    <m/>
    <m/>
    <m/>
    <x v="1"/>
    <m/>
    <s v="SPEN: Elaborar model"/>
    <m/>
    <m/>
    <m/>
    <m/>
    <s v="AUP"/>
    <s v="JMFR/JMQ/MAC"/>
    <m/>
    <m/>
    <m/>
    <m/>
    <m/>
    <m/>
    <m/>
    <m/>
    <m/>
    <m/>
  </r>
  <r>
    <x v="4"/>
    <x v="10"/>
    <x v="10"/>
    <x v="30"/>
    <x v="30"/>
    <x v="102"/>
    <s v="Ordenar l'escalada i alpinisme, barranquisme, i espeleologia  en base a un model estàndard de Pla de protecció"/>
    <s v="Específic"/>
    <s v="Obligatori"/>
    <x v="103"/>
    <m/>
    <x v="0"/>
    <s v="MÀXIMA"/>
    <s v="Aplicar la regulació de l'escalada, el barranquisme i l'espeleologia d'acord amb el Decret 148/1992 i els acords de la Junta rectora del Parc"/>
    <m/>
    <m/>
    <m/>
    <m/>
    <x v="1"/>
    <m/>
    <s v="SPEN: Elaborar model"/>
    <m/>
    <m/>
    <m/>
    <m/>
    <s v="AUP"/>
    <s v="JMQ"/>
    <m/>
    <m/>
    <m/>
    <m/>
    <m/>
    <m/>
    <m/>
    <m/>
    <m/>
    <m/>
  </r>
  <r>
    <x v="4"/>
    <x v="10"/>
    <x v="10"/>
    <x v="30"/>
    <x v="30"/>
    <x v="103"/>
    <s v="Ordenar les curses i altres activitats esportives organitzades en base a un model estàndard de Pla de protecció"/>
    <s v="Comú"/>
    <s v="Obligatori"/>
    <x v="104"/>
    <m/>
    <x v="0"/>
    <s v="MÀXIMA"/>
    <s v="Aplicar la regulació de les curses i altres activitats esportives organitzades d'acord amb el Decret 148/1992 i els acords de la Junta rectora del Parc"/>
    <m/>
    <m/>
    <m/>
    <m/>
    <x v="99"/>
    <m/>
    <s v="SPEN: Elaborar model"/>
    <s v="Percentatge d'autoritzacions on s'implementa la normativa en relació a les activitats esportives"/>
    <n v="1"/>
    <n v="1"/>
    <m/>
    <s v="AUP"/>
    <s v="JMQ"/>
    <m/>
    <m/>
    <m/>
    <m/>
    <m/>
    <m/>
    <m/>
    <m/>
    <m/>
    <n v="0"/>
  </r>
  <r>
    <x v="4"/>
    <x v="10"/>
    <x v="10"/>
    <x v="30"/>
    <x v="30"/>
    <x v="104"/>
    <s v="Ordenar els enregistraments i l'observació de fauna i natura en base a un model estàndard de Pla de protecció"/>
    <s v="Comú"/>
    <s v="Obligatori"/>
    <x v="105"/>
    <m/>
    <x v="0"/>
    <s v="MITJANA"/>
    <s v="Aplicar la regulació dels enregistraments i l'observació de fauna i natura d'acord amb el Decret 148/1992"/>
    <m/>
    <m/>
    <m/>
    <m/>
    <x v="100"/>
    <m/>
    <s v="SPEN: Elaborar model"/>
    <s v="Percentatge d'autoritzacions on s'implementa la normativa i els acords amb el Servei de Fauna"/>
    <n v="1"/>
    <n v="1"/>
    <m/>
    <s v="AUP"/>
    <s v="JMQ"/>
    <m/>
    <m/>
    <m/>
    <m/>
    <m/>
    <m/>
    <m/>
    <m/>
    <m/>
    <n v="0"/>
  </r>
  <r>
    <x v="4"/>
    <x v="10"/>
    <x v="10"/>
    <x v="30"/>
    <x v="30"/>
    <x v="105"/>
    <s v="Ordenar les activitats científiques en base a un model estàndard de Pla de protecció"/>
    <s v="Comú"/>
    <s v="Obligatori"/>
    <x v="106"/>
    <m/>
    <x v="0"/>
    <s v="MITJANA"/>
    <s v="Aplicar la regulació de les activitats científiques en base la normativa vigent"/>
    <m/>
    <m/>
    <m/>
    <m/>
    <x v="101"/>
    <m/>
    <s v="SPEN: Elaborar model"/>
    <s v="Percentatge d'autoritzacions on s'implementa la normativa en relació a les activitats científiques."/>
    <n v="1"/>
    <n v="1"/>
    <m/>
    <s v="APR"/>
    <s v="JMQ"/>
    <m/>
    <m/>
    <m/>
    <m/>
    <m/>
    <m/>
    <m/>
    <m/>
    <m/>
    <n v="0"/>
  </r>
  <r>
    <x v="4"/>
    <x v="10"/>
    <x v="10"/>
    <x v="30"/>
    <x v="30"/>
    <x v="106"/>
    <s v="Ordenar les zones de bany"/>
    <s v="Específic"/>
    <s v="Obligatori"/>
    <x v="107"/>
    <m/>
    <x v="0"/>
    <s v="ALTA"/>
    <s v="Aplicar la regulació de les zones de bany d'acord amb el Decret 148/1992 i els acords de Junta rectora del Parc, i les ordenances municipals de regulació d'accessos a les zones de bany"/>
    <m/>
    <m/>
    <m/>
    <m/>
    <x v="102"/>
    <m/>
    <s v="SPEN: Elaborar model"/>
    <s v="1) Nombre de denúncies sobre les zones de bany_x000a_2) Nombre de reunions del grup de treball"/>
    <s v="1) 10_x000a_2) 2"/>
    <s v="1) 5_x000a_2) 4"/>
    <m/>
    <s v="AUP"/>
    <s v="JMFR"/>
    <m/>
    <m/>
    <m/>
    <m/>
    <m/>
    <m/>
    <m/>
    <m/>
    <m/>
    <n v="0"/>
  </r>
  <r>
    <x v="4"/>
    <x v="10"/>
    <x v="10"/>
    <x v="30"/>
    <x v="30"/>
    <x v="106"/>
    <s v="Ordenar les zones de bany"/>
    <s v="Específic"/>
    <s v="Obligatori"/>
    <x v="107"/>
    <m/>
    <x v="0"/>
    <s v="ALTA"/>
    <s v="A.1.1.3. Creació d'una taula de treball per a l'adequació i la concreció de mesures per controlar l'afluència de visitants en determinats punts (CETS): activació del Grup de treball de la regulació de les zones de bany en ENP a la Terra Alta"/>
    <m/>
    <m/>
    <m/>
    <m/>
    <x v="1"/>
    <m/>
    <s v="SPEN: Elaborar model"/>
    <m/>
    <m/>
    <m/>
    <m/>
    <s v="AUP"/>
    <s v="JMFR"/>
    <m/>
    <s v="CETS"/>
    <s v="Pla d'acció 2022-2026 de la CETS."/>
    <m/>
    <m/>
    <m/>
    <m/>
    <m/>
    <m/>
    <m/>
  </r>
  <r>
    <x v="4"/>
    <x v="10"/>
    <x v="10"/>
    <x v="30"/>
    <x v="30"/>
    <x v="107"/>
    <s v="Ordenar l'enlairament i aterratge sense motor"/>
    <s v="Específic"/>
    <s v="Obligatori"/>
    <x v="108"/>
    <m/>
    <x v="0"/>
    <s v="MITJANA"/>
    <s v="Promoure la regulació de l'enlairament i aterratge sense motor"/>
    <m/>
    <m/>
    <m/>
    <m/>
    <x v="103"/>
    <m/>
    <s v="SPEN: Elaborar model"/>
    <s v="Percentatge d'usuaris que demanen autorització"/>
    <n v="0.75"/>
    <n v="1"/>
    <m/>
    <s v="AUP"/>
    <s v="JMQ"/>
    <m/>
    <m/>
    <m/>
    <m/>
    <m/>
    <m/>
    <m/>
    <m/>
    <m/>
    <n v="0"/>
  </r>
  <r>
    <x v="4"/>
    <x v="10"/>
    <x v="10"/>
    <x v="30"/>
    <x v="30"/>
    <x v="108"/>
    <s v="Ordenar el submarinisme i l'snorkel"/>
    <s v="Específic"/>
    <s v="Obligatori"/>
    <x v="109"/>
    <s v="No aplica"/>
    <x v="1"/>
    <s v="ALTA"/>
    <m/>
    <m/>
    <m/>
    <m/>
    <m/>
    <x v="1"/>
    <m/>
    <s v="SPEN: Elaborar model"/>
    <m/>
    <m/>
    <m/>
    <m/>
    <m/>
    <m/>
    <m/>
    <m/>
    <m/>
    <m/>
    <m/>
    <m/>
    <m/>
    <m/>
    <m/>
    <n v="0"/>
  </r>
  <r>
    <x v="4"/>
    <x v="10"/>
    <x v="10"/>
    <x v="30"/>
    <x v="30"/>
    <x v="109"/>
    <s v="Ordenar les activitats aquàtiques i nàutiques i zones de fondeig"/>
    <s v="Específic"/>
    <s v="Obligatori"/>
    <x v="110"/>
    <s v="No aplica"/>
    <x v="1"/>
    <s v="ALTA"/>
    <m/>
    <m/>
    <m/>
    <m/>
    <m/>
    <x v="1"/>
    <m/>
    <s v="SPEN: Elaborar model"/>
    <m/>
    <m/>
    <m/>
    <m/>
    <m/>
    <m/>
    <m/>
    <m/>
    <m/>
    <m/>
    <m/>
    <m/>
    <m/>
    <m/>
    <m/>
    <n v="0"/>
  </r>
  <r>
    <x v="4"/>
    <x v="10"/>
    <x v="10"/>
    <x v="30"/>
    <x v="30"/>
    <x v="110"/>
    <s v="Ordenar la presència d'animals de companyia"/>
    <s v="Comú"/>
    <s v="Obligatori"/>
    <x v="111"/>
    <m/>
    <x v="0"/>
    <s v="ALTA"/>
    <s v="Aplicar la regulació de la presència d'animals de companyia"/>
    <m/>
    <m/>
    <m/>
    <m/>
    <x v="104"/>
    <m/>
    <s v="SPEN: Elaborar model"/>
    <s v="Nombre de campanyes realitzades"/>
    <n v="1"/>
    <n v="1"/>
    <m/>
    <s v="AUP"/>
    <s v="JMQ"/>
    <m/>
    <m/>
    <m/>
    <m/>
    <m/>
    <m/>
    <m/>
    <m/>
    <m/>
    <n v="0"/>
  </r>
  <r>
    <x v="4"/>
    <x v="10"/>
    <x v="10"/>
    <x v="30"/>
    <x v="30"/>
    <x v="110"/>
    <s v="Ordenar la presència d'animals de companyia"/>
    <s v="Comú"/>
    <s v="Obligatori"/>
    <x v="111"/>
    <m/>
    <x v="0"/>
    <s v="ALTA"/>
    <s v="Impulsar campanyes de sensibilització adreçades als visitants que accedeixen al Parc amb gossos, recordant que, en zones de protecció especial, els animals han d’anar lligats"/>
    <m/>
    <m/>
    <m/>
    <m/>
    <x v="1"/>
    <m/>
    <m/>
    <m/>
    <m/>
    <m/>
    <m/>
    <m/>
    <m/>
    <m/>
    <m/>
    <m/>
    <m/>
    <m/>
    <m/>
    <m/>
    <m/>
    <m/>
    <m/>
  </r>
  <r>
    <x v="4"/>
    <x v="10"/>
    <x v="10"/>
    <x v="30"/>
    <x v="30"/>
    <x v="111"/>
    <s v="Ordenar les activitats d'educació ambiental i el lleure educatiu"/>
    <s v="Comú"/>
    <s v="Obligatori"/>
    <x v="112"/>
    <m/>
    <x v="0"/>
    <s v="MITJANA"/>
    <s v="A.3.1.1. Establiment d‟un model per a l'ordenació de l'activitat dels guies intèrprets del Parc Natural Parc (CETS)"/>
    <m/>
    <m/>
    <m/>
    <m/>
    <x v="105"/>
    <m/>
    <s v="SPEN: Elaborar model"/>
    <s v="Disposar d'un model per a l'ordenació de l'activitat dels guies intèrprets del Parc Natural Parc"/>
    <n v="1"/>
    <n v="1"/>
    <m/>
    <s v="AUP"/>
    <s v="JMFR"/>
    <m/>
    <s v="CETS"/>
    <s v="Pla d'acció 2022-2026 de la CETS."/>
    <m/>
    <m/>
    <m/>
    <m/>
    <m/>
    <m/>
    <n v="0"/>
  </r>
  <r>
    <x v="4"/>
    <x v="10"/>
    <x v="10"/>
    <x v="30"/>
    <x v="30"/>
    <x v="111"/>
    <s v="Regular les activitats d'educació ambiental i el lleure educatiu"/>
    <s v="Comú"/>
    <s v="Obligatori"/>
    <x v="113"/>
    <s v="Ortografia"/>
    <x v="0"/>
    <s v="MITJANA"/>
    <s v="Aplicar la regulació de les activitats d'educació ambiental i el lleure educatiu d'acord amb el Decret 148/1992 i els acords de Junta rectora del Parc en l'emissió de les autoritzacions"/>
    <m/>
    <m/>
    <m/>
    <m/>
    <x v="1"/>
    <m/>
    <s v="SPEN: Elaborar model"/>
    <m/>
    <m/>
    <m/>
    <m/>
    <s v="AUP"/>
    <s v="JMFR"/>
    <m/>
    <s v="CETS"/>
    <s v="Pla d'acció 2022-2026 de la CETS."/>
    <m/>
    <m/>
    <m/>
    <m/>
    <m/>
    <m/>
    <m/>
  </r>
  <r>
    <x v="4"/>
    <x v="10"/>
    <x v="10"/>
    <x v="30"/>
    <x v="30"/>
    <x v="112"/>
    <m/>
    <s v="Comú"/>
    <s v="Obligatori"/>
    <x v="114"/>
    <s v="*NOU"/>
    <x v="0"/>
    <s v="MITJANA"/>
    <s v="Promoure la delimitació de les zones i les alçades de restricció aèria, amb o sense motor, a l'ENP"/>
    <m/>
    <m/>
    <m/>
    <m/>
    <x v="106"/>
    <m/>
    <s v="SPEN: Elaborar model"/>
    <s v="Disposar d'una proposta de delimitació"/>
    <n v="1"/>
    <n v="1"/>
    <m/>
    <s v="AUP"/>
    <s v="JMQ"/>
    <m/>
    <m/>
    <m/>
    <m/>
    <m/>
    <m/>
    <m/>
    <m/>
    <m/>
    <m/>
  </r>
  <r>
    <x v="4"/>
    <x v="10"/>
    <x v="10"/>
    <x v="30"/>
    <x v="30"/>
    <x v="113"/>
    <m/>
    <m/>
    <m/>
    <x v="115"/>
    <s v="*Nou"/>
    <x v="0"/>
    <m/>
    <s v="A.2.1.2. Elaboració del Pla d'Ús Públic del PN (CETS)"/>
    <m/>
    <m/>
    <m/>
    <m/>
    <x v="107"/>
    <m/>
    <m/>
    <m/>
    <m/>
    <m/>
    <m/>
    <s v="AUP"/>
    <s v="JMFR"/>
    <m/>
    <s v="CETS"/>
    <s v="Pla d'acció 2022-2026 de la CETS."/>
    <m/>
    <m/>
    <m/>
    <m/>
    <m/>
    <m/>
    <n v="0"/>
  </r>
  <r>
    <x v="4"/>
    <x v="10"/>
    <x v="10"/>
    <x v="30"/>
    <x v="30"/>
    <x v="114"/>
    <m/>
    <m/>
    <m/>
    <x v="115"/>
    <s v="*Nou"/>
    <x v="0"/>
    <m/>
    <s v="Participar en les reunions periòdiques del GT d'Ús públic dels ENP"/>
    <m/>
    <m/>
    <m/>
    <m/>
    <x v="108"/>
    <m/>
    <m/>
    <s v="Nombre d'assistències a reunions del GT"/>
    <n v="20"/>
    <n v="24"/>
    <m/>
    <s v="AUP"/>
    <s v="JMFR"/>
    <m/>
    <m/>
    <m/>
    <m/>
    <m/>
    <m/>
    <m/>
    <m/>
    <m/>
    <m/>
  </r>
  <r>
    <x v="4"/>
    <x v="10"/>
    <x v="10"/>
    <x v="31"/>
    <x v="31"/>
    <x v="115"/>
    <s v="Identificar i classificar la xarxa viària bàsica, secundària, senders i itineraris senyalitzats d'acord amb els ajuntaments "/>
    <s v="Comú"/>
    <s v="Obligatori"/>
    <x v="116"/>
    <s v="S'amplia a titulars privats i l'administració forestal de GenCat"/>
    <x v="0"/>
    <s v="MITJANA"/>
    <m/>
    <m/>
    <m/>
    <s v="Identificar i classificar la xarxa viària bàsica, secundària, senders i itineraris senyalitzats d'acord amb els titulars públics i privats"/>
    <m/>
    <x v="109"/>
    <m/>
    <s v="Persones i natura: concretar criteris"/>
    <m/>
    <m/>
    <m/>
    <m/>
    <m/>
    <m/>
    <m/>
    <m/>
    <m/>
    <m/>
    <m/>
    <m/>
    <m/>
    <m/>
    <m/>
    <n v="0"/>
  </r>
  <r>
    <x v="4"/>
    <x v="10"/>
    <x v="10"/>
    <x v="31"/>
    <x v="31"/>
    <x v="116"/>
    <s v="Treballar conjuntament amb els principals canals d’informació de rutes  per prioritzar itineraris oficials dins l’ENP"/>
    <s v="Comú"/>
    <s v="Obligatori"/>
    <x v="117"/>
    <s v="Millora de redactat, no és competència exclussiva nostra"/>
    <x v="0"/>
    <s v="ALTA"/>
    <s v="Identificar i promoure l'eliminació o el posicionament de les rutes de les aplicacions per a mòbils en zones sensibles o que siguin il·legals"/>
    <m/>
    <m/>
    <m/>
    <m/>
    <x v="110"/>
    <m/>
    <s v="Persones i natura: Coordinació"/>
    <s v="Nombre de revisions dels itineraris de Wikiloc"/>
    <n v="12"/>
    <n v="24"/>
    <m/>
    <s v="AUP"/>
    <s v="MAC/JMQ"/>
    <m/>
    <m/>
    <m/>
    <m/>
    <m/>
    <m/>
    <m/>
    <m/>
    <m/>
    <n v="0"/>
  </r>
  <r>
    <x v="4"/>
    <x v="10"/>
    <x v="10"/>
    <x v="32"/>
    <x v="32"/>
    <x v="117"/>
    <s v="Ordenar l'accés i la circulació"/>
    <s v="Comú"/>
    <s v="Obligatori"/>
    <x v="118"/>
    <m/>
    <x v="0"/>
    <s v="MÀXIMA"/>
    <m/>
    <m/>
    <m/>
    <s v="Ordenar l'accés i la circulació"/>
    <m/>
    <x v="111"/>
    <m/>
    <s v="SPEN: Elaborar model"/>
    <m/>
    <m/>
    <m/>
    <m/>
    <s v="AUP"/>
    <s v="AAA"/>
    <m/>
    <m/>
    <m/>
    <m/>
    <m/>
    <m/>
    <m/>
    <m/>
    <m/>
    <n v="0"/>
  </r>
  <r>
    <x v="4"/>
    <x v="10"/>
    <x v="10"/>
    <x v="32"/>
    <x v="32"/>
    <x v="118"/>
    <s v="Ordenar la xarxa viària principal, secundària i restringida"/>
    <s v="Comú"/>
    <s v="Obligatori"/>
    <x v="119"/>
    <s v="No afectaria actualment, al no disposar de Pla de protecció"/>
    <x v="1"/>
    <s v="MITJANA"/>
    <m/>
    <m/>
    <m/>
    <m/>
    <s v="Arreglar pista Tossal d' Engrilló._x0009_Restaurar la pista , fer aigueres , s' está degradant i al final no es podrá accedir a dalt del Tossal d' Engrillo"/>
    <x v="82"/>
    <m/>
    <s v="SPEN: Elaborar model"/>
    <m/>
    <m/>
    <m/>
    <m/>
    <m/>
    <m/>
    <m/>
    <m/>
    <m/>
    <m/>
    <m/>
    <m/>
    <m/>
    <m/>
    <m/>
    <n v="0"/>
  </r>
  <r>
    <x v="4"/>
    <x v="10"/>
    <x v="10"/>
    <x v="32"/>
    <x v="32"/>
    <x v="119"/>
    <s v="Ordenar l'ús de drons, l'enlairament i l'aterratge"/>
    <s v="Específic"/>
    <s v="Obligatori"/>
    <x v="120"/>
    <m/>
    <x v="0"/>
    <s v="MITJANA"/>
    <m/>
    <m/>
    <m/>
    <s v="Ordenar l'ús de drons, l'enlairament i l'aterratge"/>
    <m/>
    <x v="112"/>
    <m/>
    <s v="SPEN: Elaborar model"/>
    <s v="Nombre de denúncies d'activitats amb drones sense autorització "/>
    <n v="5"/>
    <n v="0"/>
    <m/>
    <s v="AUP"/>
    <s v="JMQ"/>
    <m/>
    <m/>
    <m/>
    <m/>
    <m/>
    <m/>
    <m/>
    <m/>
    <m/>
    <n v="0"/>
  </r>
  <r>
    <x v="4"/>
    <x v="10"/>
    <x v="10"/>
    <x v="32"/>
    <x v="32"/>
    <x v="120"/>
    <s v="Aplicar limitacions temporals d'accés o circulació"/>
    <s v="Comú"/>
    <s v="Obligatori"/>
    <x v="121"/>
    <s v="Es proposa eliminar, ja que se solapa molt amb l'Op 11.3.1"/>
    <x v="1"/>
    <s v="MITJANA"/>
    <m/>
    <m/>
    <m/>
    <m/>
    <m/>
    <x v="1"/>
    <m/>
    <s v="SPEN: Elaborar model"/>
    <m/>
    <m/>
    <m/>
    <m/>
    <m/>
    <m/>
    <m/>
    <m/>
    <m/>
    <m/>
    <m/>
    <m/>
    <m/>
    <m/>
    <m/>
    <n v="0"/>
  </r>
  <r>
    <x v="4"/>
    <x v="10"/>
    <x v="10"/>
    <x v="32"/>
    <x v="32"/>
    <x v="121"/>
    <s v="Ordenar l'aparcament de vehícles"/>
    <s v="Comú"/>
    <s v="Obligatori"/>
    <x v="122"/>
    <m/>
    <x v="0"/>
    <s v="MITJANA"/>
    <s v="Promoure i col·laborar, amb ajuntaments i propietaris particulars, la regulació de les zones d'estacionament de vehicles_x000a_"/>
    <m/>
    <m/>
    <m/>
    <m/>
    <x v="113"/>
    <m/>
    <s v="SPEN: Elaborar model"/>
    <s v="Nombre de reunions amb ajuntaments i propietaris"/>
    <n v="2"/>
    <n v="4"/>
    <m/>
    <s v="AIM"/>
    <s v="AAA"/>
    <m/>
    <m/>
    <m/>
    <m/>
    <m/>
    <m/>
    <m/>
    <m/>
    <m/>
    <n v="0"/>
  </r>
  <r>
    <x v="4"/>
    <x v="10"/>
    <x v="10"/>
    <x v="33"/>
    <x v="33"/>
    <x v="122"/>
    <s v="Implementar l'ordenació de l'ús públic en col·laboració amb els agents del territori"/>
    <s v="Comú"/>
    <s v="Obligatori"/>
    <x v="123"/>
    <s v="Eliminació: se solapen àmpliament amb altres Ops"/>
    <x v="1"/>
    <s v="MÀXIMA"/>
    <m/>
    <m/>
    <m/>
    <m/>
    <m/>
    <x v="1"/>
    <m/>
    <m/>
    <m/>
    <m/>
    <m/>
    <m/>
    <m/>
    <m/>
    <m/>
    <m/>
    <m/>
    <m/>
    <m/>
    <m/>
    <m/>
    <m/>
    <m/>
    <n v="0"/>
  </r>
  <r>
    <x v="4"/>
    <x v="10"/>
    <x v="10"/>
    <x v="33"/>
    <x v="33"/>
    <x v="123"/>
    <s v="Promoció i acompanyament en l'ordenació de l'ús públic de l'ENP des de l'àmbit municipal"/>
    <s v="Comú"/>
    <s v="Obligatori"/>
    <x v="124"/>
    <s v="Eliminació: se solapen àmpliament amb altres Ops"/>
    <x v="1"/>
    <s v="ALTA"/>
    <m/>
    <m/>
    <m/>
    <m/>
    <m/>
    <x v="1"/>
    <m/>
    <m/>
    <m/>
    <m/>
    <m/>
    <m/>
    <m/>
    <m/>
    <m/>
    <m/>
    <m/>
    <m/>
    <m/>
    <m/>
    <m/>
    <m/>
    <m/>
    <n v="0"/>
  </r>
  <r>
    <x v="4"/>
    <x v="10"/>
    <x v="10"/>
    <x v="34"/>
    <x v="34"/>
    <x v="124"/>
    <s v="Realitzar l'inventari de senyalètica de l'ENP"/>
    <s v="Comú"/>
    <s v="Obligatori"/>
    <x v="125"/>
    <s v="L'inventari ja està fet"/>
    <x v="0"/>
    <s v="ALTA"/>
    <s v="Actualitzar la base de dades de senyalètica de l'ENP"/>
    <m/>
    <m/>
    <m/>
    <m/>
    <x v="114"/>
    <m/>
    <m/>
    <s v="1) Percentatge de dades introduides _x000a_"/>
    <s v="1) 80%_x000a_"/>
    <s v="1) 100%_x000a_"/>
    <m/>
    <s v="AIM"/>
    <s v="AAA"/>
    <m/>
    <m/>
    <m/>
    <m/>
    <m/>
    <m/>
    <m/>
    <m/>
    <m/>
    <n v="0"/>
  </r>
  <r>
    <x v="4"/>
    <x v="10"/>
    <x v="10"/>
    <x v="34"/>
    <x v="34"/>
    <x v="125"/>
    <s v="Implantar el programa de senyalització i manteniment "/>
    <s v="Comú"/>
    <s v="Obligatori"/>
    <x v="126"/>
    <s v="No s'entén gaire, programa?"/>
    <x v="0"/>
    <s v="MITJANA"/>
    <s v="Treballs de manteniment, amb brigada, de la senyalització de l'ENP"/>
    <m/>
    <m/>
    <m/>
    <m/>
    <x v="115"/>
    <s v="ESNATURA_x000a_MAP"/>
    <s v="Persones i natura: Revisió del manual de senyalització"/>
    <s v="1) Percentatge d'itineraris de la xarxa del PNP revisats i mantinguts_x000a_2) Percentatge d'Itineraris amb caretelleria CAMINAT"/>
    <s v="1) 80%_x000a_2) 80%"/>
    <s v="1) 100%_x000a_2) 100%"/>
    <m/>
    <s v="AIM"/>
    <s v="AAA"/>
    <m/>
    <m/>
    <m/>
    <m/>
    <m/>
    <m/>
    <m/>
    <m/>
    <m/>
    <n v="0"/>
  </r>
  <r>
    <x v="4"/>
    <x v="10"/>
    <x v="10"/>
    <x v="34"/>
    <x v="34"/>
    <x v="125"/>
    <s v="Implantar el programa de senyalització i manteniment "/>
    <s v="Comú"/>
    <s v="Obligatori"/>
    <x v="126"/>
    <s v="No s'entén gaire, programa?"/>
    <x v="0"/>
    <s v="MITJANA"/>
    <s v="Renovació de senyals malmeses i actualització de continguts"/>
    <m/>
    <m/>
    <m/>
    <m/>
    <x v="1"/>
    <s v="ESNATURA_x000a_MAP"/>
    <s v="Persones i natura: Revisió del manual de senyalització"/>
    <m/>
    <m/>
    <m/>
    <m/>
    <s v="AIM"/>
    <s v="AAA"/>
    <m/>
    <m/>
    <m/>
    <m/>
    <m/>
    <m/>
    <m/>
    <m/>
    <m/>
    <m/>
  </r>
  <r>
    <x v="4"/>
    <x v="10"/>
    <x v="10"/>
    <x v="34"/>
    <x v="34"/>
    <x v="125"/>
    <s v="Implantar el programa de senyalització i manteniment "/>
    <s v="Comú"/>
    <s v="Obligatori"/>
    <x v="126"/>
    <s v="No s'entén gaire, programa?"/>
    <x v="0"/>
    <s v="MITJANA"/>
    <s v="Producció i instal·lació de la cartelleria dels itineraris CAMINAT "/>
    <m/>
    <m/>
    <m/>
    <m/>
    <x v="1"/>
    <s v="ESNATURA_x000a_MAP"/>
    <s v="Persones i natura: Revisió del manual de senyalització"/>
    <m/>
    <m/>
    <m/>
    <m/>
    <s v="AIM"/>
    <s v="AAA"/>
    <m/>
    <m/>
    <m/>
    <m/>
    <m/>
    <m/>
    <m/>
    <m/>
    <m/>
    <m/>
  </r>
  <r>
    <x v="4"/>
    <x v="10"/>
    <x v="10"/>
    <x v="34"/>
    <x v="34"/>
    <x v="125"/>
    <s v="Implantar el programa de senyalització i manteniment "/>
    <s v="Comú"/>
    <s v="Obligatori"/>
    <x v="126"/>
    <s v="No s'entén gaire, programa?"/>
    <x v="0"/>
    <s v="MITJANA"/>
    <s v="Estudi de la viabilitat de la senyalització des d’Alfara de Carles fins a l’Espina "/>
    <m/>
    <m/>
    <m/>
    <m/>
    <x v="1"/>
    <m/>
    <m/>
    <m/>
    <m/>
    <m/>
    <m/>
    <m/>
    <m/>
    <m/>
    <m/>
    <m/>
    <m/>
    <m/>
    <m/>
    <m/>
    <m/>
    <m/>
    <m/>
  </r>
  <r>
    <x v="4"/>
    <x v="10"/>
    <x v="10"/>
    <x v="34"/>
    <x v="34"/>
    <x v="125"/>
    <s v="Implantar el programa de senyalització i manteniment "/>
    <s v="Comú"/>
    <s v="Obligatori"/>
    <x v="126"/>
    <s v="No s'entén gaire, programa?"/>
    <x v="0"/>
    <s v="MITJANA"/>
    <s v="Estudi de la viabilitat de la senyalització des del Toscar fins a les gúbies"/>
    <m/>
    <m/>
    <m/>
    <m/>
    <x v="1"/>
    <m/>
    <m/>
    <m/>
    <m/>
    <m/>
    <m/>
    <m/>
    <m/>
    <m/>
    <m/>
    <m/>
    <m/>
    <m/>
    <m/>
    <m/>
    <m/>
    <m/>
    <m/>
  </r>
  <r>
    <x v="4"/>
    <x v="10"/>
    <x v="10"/>
    <x v="35"/>
    <x v="35"/>
    <x v="126"/>
    <s v="Potenciar la visita a espais alternatius dins de l'àmbit d'influència de l'espai natural per reduir la pressió en zones sensibles "/>
    <s v="Comú"/>
    <s v="Optatiu"/>
    <x v="127"/>
    <m/>
    <x v="0"/>
    <s v="MITJANA"/>
    <s v="Manteniment amb mitjans propis de les àrees d'ús públic i els itineraris de fora del Parc: Santa Madrona d'Arnes, Santa Bàrbara d'Horta, Vall de la Jepa, itineraris de Prat de Comte"/>
    <m/>
    <m/>
    <m/>
    <m/>
    <x v="116"/>
    <m/>
    <m/>
    <s v="1) Percentatge d'itineraris fora de l'àmbit del PNP revisats i mantinguts_x000a_2) Disposar de l'espai del Predio Montserrat senyalitzat per l'ús públic"/>
    <s v="1) 80%_x000a_2) 1"/>
    <s v="1) 100%_x000a_2) 1"/>
    <m/>
    <s v="AUP"/>
    <s v="JMFR/AAA"/>
    <m/>
    <m/>
    <m/>
    <m/>
    <m/>
    <m/>
    <m/>
    <m/>
    <m/>
    <n v="0"/>
  </r>
  <r>
    <x v="4"/>
    <x v="10"/>
    <x v="10"/>
    <x v="35"/>
    <x v="35"/>
    <x v="126"/>
    <s v="Potenciar la visita a espais alternatius dins de l'àmbit d'influència de l'espai natural per reduir la pressió en zones sensibles "/>
    <s v="Comú"/>
    <s v="Optatiu"/>
    <x v="127"/>
    <m/>
    <x v="0"/>
    <m/>
    <s v="Promure i col·laborar en la restauració i l'ús públic de l'antiga extractiva del Predio Montserrat (Prat de Comte)"/>
    <m/>
    <m/>
    <m/>
    <m/>
    <x v="1"/>
    <m/>
    <m/>
    <m/>
    <m/>
    <m/>
    <m/>
    <m/>
    <m/>
    <m/>
    <m/>
    <m/>
    <m/>
    <m/>
    <m/>
    <m/>
    <m/>
    <m/>
    <m/>
  </r>
  <r>
    <x v="4"/>
    <x v="10"/>
    <x v="10"/>
    <x v="35"/>
    <x v="35"/>
    <x v="127"/>
    <s v="Implementar les mesures extraordinàries de regulació de l'ús públic "/>
    <s v="Comú"/>
    <s v="Optatiu"/>
    <x v="128"/>
    <s v="Solapament amb 11.3.1"/>
    <x v="1"/>
    <s v="MÀXIMA"/>
    <m/>
    <m/>
    <m/>
    <m/>
    <m/>
    <x v="1"/>
    <m/>
    <m/>
    <m/>
    <m/>
    <m/>
    <m/>
    <m/>
    <m/>
    <m/>
    <m/>
    <m/>
    <m/>
    <m/>
    <m/>
    <m/>
    <m/>
    <m/>
    <n v="0"/>
  </r>
  <r>
    <x v="4"/>
    <x v="10"/>
    <x v="10"/>
    <x v="36"/>
    <x v="36"/>
    <x v="128"/>
    <s v="Adequar els principals accessos, aparcaments i centres d'interès amb un ús elevat"/>
    <s v="Comú"/>
    <s v="Obligatori"/>
    <x v="129"/>
    <m/>
    <x v="0"/>
    <s v="MÀXIMA"/>
    <s v="Redacció del Projecte &quot;Millora de les Àrees de recepció de Visitants i la millora de camins d’accés al Parc Natural als municipis d'Arnes i Roquetes&quot;, inclòs al PEA"/>
    <m/>
    <m/>
    <m/>
    <m/>
    <x v="117"/>
    <m/>
    <m/>
    <s v="1) Disposar del projecte de les àrees d'Arnes_x000a_2) Execució del projecte de les àrees d'Horta_x000a_3) Nombre de pistes associades a les àrees d'ús públic"/>
    <s v="1) 1_x000a_2) 1_x000a_3) 4"/>
    <s v="1) 1_x000a_2) 1_x000a_3) 8"/>
    <m/>
    <s v="AIM"/>
    <s v="AAA"/>
    <m/>
    <m/>
    <m/>
    <m/>
    <m/>
    <m/>
    <m/>
    <n v="474000"/>
    <m/>
    <n v="474000"/>
  </r>
  <r>
    <x v="4"/>
    <x v="10"/>
    <x v="10"/>
    <x v="36"/>
    <x v="36"/>
    <x v="128"/>
    <s v="Adequar els principals accessos, aparcaments i centres d'interès amb un ús elevat"/>
    <s v="Comú"/>
    <s v="Obligatori"/>
    <x v="129"/>
    <m/>
    <x v="0"/>
    <s v="MÀXIMA"/>
    <s v="Execucíó del projecte &quot;Millora de les Àrees de recepció de Visitants i la millora de camins d’accés al Parc Natural al municipi d’Horta de Sant Joan. PPO-23228&quot;: millora d'accessos i àrees de recepció"/>
    <m/>
    <m/>
    <m/>
    <m/>
    <x v="1"/>
    <m/>
    <m/>
    <m/>
    <m/>
    <m/>
    <m/>
    <m/>
    <m/>
    <m/>
    <m/>
    <m/>
    <m/>
    <m/>
    <m/>
    <m/>
    <m/>
    <m/>
    <m/>
  </r>
  <r>
    <x v="4"/>
    <x v="10"/>
    <x v="10"/>
    <x v="36"/>
    <x v="36"/>
    <x v="128"/>
    <s v="Adequar els principals accessos, aparcaments i centres d'interès amb un ús elevat"/>
    <s v="Comú"/>
    <s v="Obligatori"/>
    <x v="129"/>
    <m/>
    <x v="0"/>
    <s v="MÀXIMA"/>
    <s v="Estudi de la viabilitat de l’arranjament de la pista al tossal d’Engrilló"/>
    <m/>
    <m/>
    <m/>
    <m/>
    <x v="1"/>
    <m/>
    <m/>
    <m/>
    <m/>
    <m/>
    <m/>
    <m/>
    <m/>
    <m/>
    <m/>
    <m/>
    <m/>
    <m/>
    <m/>
    <m/>
    <m/>
    <m/>
    <m/>
  </r>
  <r>
    <x v="4"/>
    <x v="10"/>
    <x v="10"/>
    <x v="36"/>
    <x v="36"/>
    <x v="128"/>
    <s v="Adequar els principals accessos, aparcaments i centres d'interès amb un ús elevat"/>
    <s v="Comú"/>
    <s v="Obligatori"/>
    <x v="129"/>
    <m/>
    <x v="0"/>
    <s v="MÀXIMA"/>
    <s v="Seguiment i manteniment de l'acreditació de &quot;Turisme familiar&quot; als equipaments del Parc sota la supervisió de l'Agència Catalana de Turisme"/>
    <m/>
    <m/>
    <m/>
    <m/>
    <x v="1"/>
    <m/>
    <m/>
    <m/>
    <m/>
    <m/>
    <m/>
    <s v="AUP"/>
    <s v="JMFR"/>
    <m/>
    <m/>
    <m/>
    <m/>
    <m/>
    <m/>
    <m/>
    <m/>
    <m/>
    <m/>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Despeses d'electricitat de l'Alberg d'Alfara"/>
    <m/>
    <s v="Ítem pressupost. Canviar redactat, proposta Manteniment de l'Alberg d'Alfara"/>
    <m/>
    <m/>
    <x v="118"/>
    <m/>
    <m/>
    <s v="1) Disposar del Pla d'accessibilitat_x000a_2) Nombre d'itineraris adaptats_x000a_3) Nombre d'Àrees de lleure adaptades_x000a_4) Nombre de centres equipats per a ciclistes_x000a_5) Nombre de nous centres en funcionament"/>
    <s v="1) 1_x000a_2) 1_x000a_3) 1_x000a_4) 1"/>
    <s v="1) 1_x000a_2) 1_x000a_3) 3_x000a_4) 2"/>
    <m/>
    <s v="AIM"/>
    <s v="AAA"/>
    <m/>
    <m/>
    <m/>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Millora i manteniment del sistema de l'alarma a la Seu del Parc i els centres de visitants"/>
    <m/>
    <m/>
    <m/>
    <m/>
    <x v="1"/>
    <m/>
    <m/>
    <m/>
    <m/>
    <m/>
    <m/>
    <s v="AIM"/>
    <s v="AAA"/>
    <m/>
    <m/>
    <m/>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Revisió i millora del sistema antiincendis de l'Alberg d'Alfara"/>
    <m/>
    <m/>
    <m/>
    <m/>
    <x v="1"/>
    <m/>
    <m/>
    <m/>
    <m/>
    <m/>
    <m/>
    <s v="AIM"/>
    <s v="AAA"/>
    <m/>
    <m/>
    <m/>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Despeses de neteja de l'Alberg d'Alfara"/>
    <m/>
    <s v="unificar amb l'anterior?"/>
    <m/>
    <m/>
    <x v="1"/>
    <m/>
    <m/>
    <m/>
    <m/>
    <m/>
    <m/>
    <s v="AIM"/>
    <s v="AAA"/>
    <m/>
    <m/>
    <m/>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Tractament de tèrmits del Centre de Visitants del Montsià"/>
    <m/>
    <m/>
    <m/>
    <m/>
    <x v="1"/>
    <m/>
    <m/>
    <m/>
    <m/>
    <m/>
    <m/>
    <s v="AIM"/>
    <s v="AAA"/>
    <m/>
    <m/>
    <m/>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Renovació del sistema de calefacció/refrigeració del Centre de Visitants de la Terra Alta"/>
    <m/>
    <m/>
    <m/>
    <m/>
    <x v="1"/>
    <m/>
    <m/>
    <m/>
    <m/>
    <m/>
    <m/>
    <s v="AIM"/>
    <s v="AAA"/>
    <m/>
    <m/>
    <m/>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Redacció del Pla d'accessibilitat dels equipaments del Parc"/>
    <m/>
    <m/>
    <m/>
    <m/>
    <x v="1"/>
    <m/>
    <m/>
    <m/>
    <m/>
    <m/>
    <m/>
    <s v="AIM"/>
    <s v="AAA"/>
    <m/>
    <m/>
    <m/>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Taxes d'aigua i clavegueram ajuntament d'Alfara Alberg"/>
    <m/>
    <s v="unificar amb l'anterior?"/>
    <m/>
    <m/>
    <x v="1"/>
    <m/>
    <m/>
    <m/>
    <m/>
    <m/>
    <m/>
    <s v="AIM"/>
    <s v="AAA"/>
    <m/>
    <m/>
    <m/>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Instal·lació de línies de vida o escales de gat per a l'accés als edificis del Parc (seu, CVMO)"/>
    <m/>
    <m/>
    <m/>
    <m/>
    <x v="1"/>
    <m/>
    <m/>
    <m/>
    <m/>
    <m/>
    <m/>
    <s v="AIM"/>
    <s v="AAA"/>
    <m/>
    <m/>
    <m/>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Redacció del projecte &quot;Construcció centre de natura del Mas de Barberans&quot;"/>
    <m/>
    <m/>
    <m/>
    <m/>
    <x v="1"/>
    <m/>
    <m/>
    <m/>
    <m/>
    <m/>
    <m/>
    <s v="AIM"/>
    <s v="AAA"/>
    <m/>
    <m/>
    <m/>
    <m/>
    <m/>
    <n v="1065000"/>
    <m/>
    <m/>
    <m/>
    <n v="106500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Redacció del projecte d'adeqüació de l'interior de l'edifici del carrer Bailen"/>
    <m/>
    <m/>
    <m/>
    <m/>
    <x v="1"/>
    <m/>
    <m/>
    <m/>
    <m/>
    <m/>
    <m/>
    <s v="AIM"/>
    <s v="AAA"/>
    <m/>
    <m/>
    <m/>
    <m/>
    <m/>
    <m/>
    <m/>
    <n v="632000"/>
    <m/>
    <n v="63200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Adeqüació de l'espai interior de la casa forestal de la Vall"/>
    <m/>
    <m/>
    <m/>
    <m/>
    <x v="1"/>
    <m/>
    <m/>
    <m/>
    <m/>
    <m/>
    <m/>
    <m/>
    <m/>
    <m/>
    <m/>
    <m/>
    <m/>
    <m/>
    <m/>
    <m/>
    <m/>
    <m/>
    <m/>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Posta en funcionament de l'Alberg i Centre d'educació ambiental d'Alfara de Carles"/>
    <m/>
    <m/>
    <m/>
    <m/>
    <x v="1"/>
    <m/>
    <m/>
    <m/>
    <m/>
    <m/>
    <m/>
    <s v="AIM"/>
    <s v="AAA"/>
    <m/>
    <m/>
    <m/>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1"/>
    <m/>
    <s v="ERP1. Garantir l’ús continuat dels equipaments específics d’educació ambiental (CEA d’Alfara de Carles, Cova Avellanes, etc.) i potenciar el paper pedagògic dels centres de visitants (PEEVA)"/>
    <m/>
    <m/>
    <m/>
    <m/>
    <x v="1"/>
    <m/>
    <m/>
    <m/>
    <m/>
    <m/>
    <m/>
    <s v="AUP"/>
    <s v="JMFR"/>
    <m/>
    <s v="PEEVA"/>
    <s v="Pla estratègic 2021-2030 d'educació i voluntariat ambiental "/>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1"/>
    <m/>
    <s v="ERP2. Destinar equipaments (si cal establint acords amb altres agents) per organitzar campaments amb un component d’educació ambiental (PEEVA)"/>
    <m/>
    <m/>
    <m/>
    <m/>
    <x v="1"/>
    <m/>
    <m/>
    <m/>
    <m/>
    <m/>
    <m/>
    <s v="AUP"/>
    <s v="JMFR"/>
    <m/>
    <s v="PEEVA"/>
    <s v="Pla estratègic 2021-2030 d'educació i voluntariat ambiental "/>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1"/>
    <m/>
    <s v="A.3.9. Creació d'expositors moderns i visuals per als Punts d'informació del PNP per mostrar productes artesans del territori (ARTESAN)"/>
    <m/>
    <m/>
    <m/>
    <m/>
    <x v="1"/>
    <m/>
    <m/>
    <m/>
    <m/>
    <m/>
    <m/>
    <s v="AUP"/>
    <s v="JMFR"/>
    <m/>
    <s v="ARTESAN"/>
    <s v="Pla d'acció per al foment de l'artesania del Parc Natural dels Ports (2023-2027)"/>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m/>
    <s v="Només tenim el que hem fet colaborativament amb el patronat de turime de la DIPTA. Podriem fetr un encàrrec 2026 a Picampall o amb SEO o amb Photologístics??"/>
    <m/>
    <s v="A.4.2.2. Disseny i desenvolupament d'itineraris d'observació de fauna i creació de punts d'observació (CETS). "/>
    <m/>
    <x v="1"/>
    <m/>
    <m/>
    <m/>
    <m/>
    <m/>
    <m/>
    <s v="AUP"/>
    <s v="JMFR/JMQ"/>
    <m/>
    <s v="CETS"/>
    <s v="Pla d'acció 2022-2026 de la CETS."/>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A.3.3.1. Millora de la visibilitat i la funcionalitat dels centres de visitants i punts d'informació (CETS): projecte de reordenació exterior del CVBE"/>
    <m/>
    <m/>
    <m/>
    <m/>
    <x v="1"/>
    <m/>
    <m/>
    <m/>
    <m/>
    <m/>
    <m/>
    <s v="AIM"/>
    <s v="AAA/JMFR"/>
    <m/>
    <s v="CETS"/>
    <s v="Pla d'acció 2022-2026 de la CETS."/>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m/>
    <m/>
    <m/>
    <s v="A.2.4.1. Instal·lació de carregadors de bicicletes i vehicles elèctrics al territori CETS del PN (CETS)"/>
    <m/>
    <x v="1"/>
    <m/>
    <m/>
    <m/>
    <m/>
    <m/>
    <m/>
    <s v="AIM"/>
    <s v="AAA/JMFR"/>
    <m/>
    <s v="CETS"/>
    <s v="Pla d'acció 2022-2026 de la CETS."/>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m/>
    <m/>
    <m/>
    <s v="A.4.2.3. Disseny i desenvolupament d'elements relacionats amb el paisatge (CETS)"/>
    <m/>
    <x v="1"/>
    <m/>
    <m/>
    <m/>
    <m/>
    <m/>
    <m/>
    <s v="AIM"/>
    <s v="AAA/JMFR"/>
    <m/>
    <s v="CETS"/>
    <s v="Pla d'acció 2022-2026 de la CETS."/>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A.4.4.1. Identificació dels nodes més rellevants amb la Via Verda per determinar punts de connexió per a la creació de rutes alternatives que donin accés al PN (CETS)"/>
    <m/>
    <m/>
    <m/>
    <m/>
    <x v="1"/>
    <m/>
    <m/>
    <m/>
    <m/>
    <m/>
    <m/>
    <s v="AUP"/>
    <s v="AAA/JMFR"/>
    <m/>
    <s v="CETS"/>
    <s v="Pla d'acció 2022-2026 de la CETS."/>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m/>
    <m/>
    <m/>
    <s v="A.4.4.2. Adequació dels centres del PN per rebre ciclistes (CETS)"/>
    <m/>
    <x v="1"/>
    <m/>
    <m/>
    <m/>
    <m/>
    <m/>
    <m/>
    <s v="AIM"/>
    <s v="AAA/JMFR"/>
    <m/>
    <s v="CETS"/>
    <s v="Pla d'acció 2022-2026 de la CETS."/>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1"/>
    <m/>
    <s v="A.4.4.3. Estudi per a la creació d'una ruta cicloturística que enllaci la via verda a Roquetes amb els nuclis urbans de Mas de Barberans i La Sénia (CETS)"/>
    <m/>
    <m/>
    <m/>
    <m/>
    <x v="1"/>
    <m/>
    <m/>
    <m/>
    <m/>
    <m/>
    <m/>
    <s v="AUP"/>
    <s v="JMFR"/>
    <m/>
    <s v="CETS"/>
    <s v="Pla d'acció 2022-2026 de la CETS."/>
    <m/>
    <m/>
    <m/>
    <m/>
    <m/>
    <m/>
    <n v="0"/>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A.3.4.1. Adaptació de 2 itineraris interpretatius del PN a les necessitats d'accés universal (CETS): redacció projecte executiu de l'itinerari d'accés universal a Cova Picasso"/>
    <m/>
    <m/>
    <m/>
    <m/>
    <x v="1"/>
    <m/>
    <m/>
    <m/>
    <m/>
    <m/>
    <m/>
    <s v="AIM"/>
    <s v="AAA"/>
    <m/>
    <s v="CETS"/>
    <s v="Pla d'acció 2022-2026 de la CETS."/>
    <m/>
    <m/>
    <n v="14000"/>
    <m/>
    <m/>
    <m/>
    <m/>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A.3.4.1. Adaptació de 2 itineraris interpretatius del PN a les necessitats d'accés universal (CETS): redacció del projecte executiu de l'itinerari d'accés universal i adaptació de l'àrea de lleure de Cova Avellanes"/>
    <m/>
    <m/>
    <m/>
    <m/>
    <x v="1"/>
    <m/>
    <m/>
    <m/>
    <m/>
    <m/>
    <m/>
    <m/>
    <m/>
    <m/>
    <m/>
    <m/>
    <m/>
    <m/>
    <m/>
    <m/>
    <m/>
    <m/>
    <m/>
  </r>
  <r>
    <x v="4"/>
    <x v="10"/>
    <x v="10"/>
    <x v="36"/>
    <x v="36"/>
    <x v="129"/>
    <s v="Disposar i mantenir els serveis, equipaments i infraestructures necessàries i accessibles per acollir, informar, facilitar la visita i garantir la seguretat dels visitants i la protecció de l'entorn"/>
    <s v="Comú"/>
    <s v="Obligatori"/>
    <x v="130"/>
    <m/>
    <x v="0"/>
    <m/>
    <s v="Execucíó del projecte &quot;Millora de les Àrees de recepció de Visitants i la millora de camins d’accés al Parc Natural al municipi d’Horta de Sant Joan. PPO-23228&quot;: adaptació de l'Àrea de la Franqueta a l'accés universal"/>
    <m/>
    <m/>
    <m/>
    <m/>
    <x v="1"/>
    <m/>
    <m/>
    <m/>
    <m/>
    <m/>
    <m/>
    <s v="AIM"/>
    <s v="AAA"/>
    <m/>
    <m/>
    <m/>
    <m/>
    <m/>
    <m/>
    <m/>
    <m/>
    <m/>
    <m/>
  </r>
  <r>
    <x v="4"/>
    <x v="10"/>
    <x v="10"/>
    <x v="36"/>
    <x v="36"/>
    <x v="130"/>
    <s v="Desenvolupar el Pla d'acollida als visitants en base al model de la DG"/>
    <s v="Comú"/>
    <s v="Obligatori"/>
    <x v="131"/>
    <s v="No tenim coneixement del Pla. No sabem el què és"/>
    <x v="1"/>
    <s v="MÀXIMA"/>
    <m/>
    <m/>
    <m/>
    <m/>
    <m/>
    <x v="1"/>
    <m/>
    <s v="Persones i natura: model de protocol d'acollida"/>
    <m/>
    <m/>
    <m/>
    <m/>
    <m/>
    <m/>
    <m/>
    <m/>
    <m/>
    <m/>
    <m/>
    <m/>
    <m/>
    <m/>
    <m/>
    <n v="0"/>
  </r>
  <r>
    <x v="4"/>
    <x v="10"/>
    <x v="10"/>
    <x v="36"/>
    <x v="36"/>
    <x v="131"/>
    <s v="Adaptar els missatges a donar des d'oficines d’informació, pròpies i alienes, d'acord amb el model de la DG"/>
    <s v="Comú"/>
    <s v="Obligatori"/>
    <x v="132"/>
    <m/>
    <x v="0"/>
    <s v="ALTA"/>
    <s v="Formació continuada al personal dels centres d'informació"/>
    <m/>
    <m/>
    <m/>
    <m/>
    <x v="119"/>
    <s v="MAP"/>
    <s v="Persones i natura: Unifica missatges que s'incorporen en el model de protocol d'acollida"/>
    <s v="Nombre de cursos o jornades formatives"/>
    <n v="2"/>
    <n v="4"/>
    <m/>
    <s v="AUP"/>
    <s v="JMFR"/>
    <m/>
    <m/>
    <m/>
    <m/>
    <m/>
    <m/>
    <m/>
    <m/>
    <m/>
    <n v="0"/>
  </r>
  <r>
    <x v="4"/>
    <x v="10"/>
    <x v="10"/>
    <x v="36"/>
    <x v="36"/>
    <x v="132"/>
    <s v="Mantenir els serveis d'informació actuals de l'ENP"/>
    <m/>
    <m/>
    <x v="133"/>
    <s v="*NOU. Només diu el que es fa actualment"/>
    <x v="0"/>
    <m/>
    <s v="Serveis d'informació a l'Ecomuseu a Horta de Sant Joan"/>
    <m/>
    <m/>
    <m/>
    <m/>
    <x v="120"/>
    <m/>
    <m/>
    <s v="1) Percentatge de pobles amb serveis d'informació del PN_x000a_2) Percentatge de punts coberts amb servei d'informació in situ"/>
    <s v="1) 80%_x000a_2) 90%"/>
    <s v="1) 100%_x000a_2) 100%"/>
    <m/>
    <s v="AUP"/>
    <s v="JMFR"/>
    <m/>
    <m/>
    <m/>
    <m/>
    <m/>
    <m/>
    <m/>
    <m/>
    <m/>
    <n v="0"/>
  </r>
  <r>
    <x v="4"/>
    <x v="10"/>
    <x v="10"/>
    <x v="36"/>
    <x v="36"/>
    <x v="132"/>
    <s v="Mantenir els serveis d'informació actuals de l'ENP"/>
    <m/>
    <m/>
    <x v="133"/>
    <s v="*NOU. Només diu el que es fa actualment"/>
    <x v="0"/>
    <m/>
    <s v="Serveis d'informació a Arnes"/>
    <m/>
    <m/>
    <m/>
    <m/>
    <x v="1"/>
    <m/>
    <m/>
    <m/>
    <m/>
    <m/>
    <m/>
    <s v="AUP"/>
    <s v="JMFR"/>
    <m/>
    <m/>
    <m/>
    <m/>
    <m/>
    <m/>
    <m/>
    <m/>
    <m/>
    <n v="0"/>
  </r>
  <r>
    <x v="4"/>
    <x v="10"/>
    <x v="10"/>
    <x v="36"/>
    <x v="36"/>
    <x v="132"/>
    <s v="Mantenir els serveis d'informació actuals de l'ENP"/>
    <m/>
    <m/>
    <x v="133"/>
    <s v="*NOU. Només diu el que es fa actualment"/>
    <x v="0"/>
    <m/>
    <s v="Serveis d'informació a Paüls"/>
    <m/>
    <m/>
    <m/>
    <m/>
    <x v="1"/>
    <m/>
    <m/>
    <m/>
    <m/>
    <m/>
    <m/>
    <s v="AUP"/>
    <s v="JMFR"/>
    <m/>
    <m/>
    <m/>
    <m/>
    <m/>
    <m/>
    <m/>
    <m/>
    <m/>
    <n v="0"/>
  </r>
  <r>
    <x v="4"/>
    <x v="10"/>
    <x v="10"/>
    <x v="36"/>
    <x v="36"/>
    <x v="132"/>
    <s v="Mantenir els serveis d'informació actuals de l'ENP"/>
    <m/>
    <m/>
    <x v="133"/>
    <s v="*NOU. Només diu el que es fa actualment"/>
    <x v="0"/>
    <m/>
    <s v="Serveis d'informació al Mas de Barberans"/>
    <m/>
    <m/>
    <m/>
    <m/>
    <x v="1"/>
    <m/>
    <m/>
    <m/>
    <m/>
    <m/>
    <m/>
    <s v="AUP"/>
    <s v="JMFR"/>
    <m/>
    <m/>
    <m/>
    <m/>
    <m/>
    <m/>
    <m/>
    <m/>
    <m/>
    <n v="0"/>
  </r>
  <r>
    <x v="4"/>
    <x v="10"/>
    <x v="10"/>
    <x v="36"/>
    <x v="36"/>
    <x v="132"/>
    <s v="Mantenir els serveis d'informació actuals de l'ENP"/>
    <m/>
    <m/>
    <x v="133"/>
    <s v="*NOU. Només diu el que es fa actualment"/>
    <x v="0"/>
    <m/>
    <s v="Serveis d'informació al Centre de Visitants del Baix Ebre (Roquetes)"/>
    <m/>
    <m/>
    <m/>
    <m/>
    <x v="1"/>
    <m/>
    <m/>
    <m/>
    <m/>
    <m/>
    <m/>
    <s v="AUP"/>
    <s v="JMFR"/>
    <m/>
    <m/>
    <m/>
    <m/>
    <m/>
    <m/>
    <m/>
    <m/>
    <m/>
    <n v="0"/>
  </r>
  <r>
    <x v="4"/>
    <x v="10"/>
    <x v="10"/>
    <x v="36"/>
    <x v="36"/>
    <x v="132"/>
    <s v="Mantenir els serveis d'informació actuals de l'ENP"/>
    <m/>
    <m/>
    <x v="133"/>
    <s v="*NOU. Només diu el que es fa actualment"/>
    <x v="0"/>
    <m/>
    <s v="Serveis d'informació al Centre de Visitants del Montsià (la Sénia)"/>
    <m/>
    <m/>
    <m/>
    <m/>
    <x v="1"/>
    <m/>
    <m/>
    <m/>
    <m/>
    <m/>
    <m/>
    <s v="AUP"/>
    <s v="JMFR"/>
    <m/>
    <m/>
    <m/>
    <m/>
    <m/>
    <m/>
    <m/>
    <m/>
    <m/>
    <n v="0"/>
  </r>
  <r>
    <x v="4"/>
    <x v="10"/>
    <x v="10"/>
    <x v="36"/>
    <x v="36"/>
    <x v="132"/>
    <s v="Mantenir els serveis d'informació actuals de l'ENP"/>
    <m/>
    <m/>
    <x v="133"/>
    <s v="*NOU. Només diu el que es fa actualment"/>
    <x v="0"/>
    <m/>
    <s v="Serveis d'informació al Centre de Visitants de la Terra Alta (Prat de Comte)"/>
    <m/>
    <m/>
    <m/>
    <m/>
    <x v="1"/>
    <m/>
    <m/>
    <m/>
    <m/>
    <m/>
    <m/>
    <s v="AUP"/>
    <s v="JMFR"/>
    <m/>
    <m/>
    <m/>
    <m/>
    <m/>
    <m/>
    <m/>
    <m/>
    <m/>
    <n v="0"/>
  </r>
  <r>
    <x v="4"/>
    <x v="10"/>
    <x v="10"/>
    <x v="36"/>
    <x v="36"/>
    <x v="132"/>
    <s v="Mantenir els serveis d'informació actuals de l'ENP"/>
    <m/>
    <m/>
    <x v="133"/>
    <s v="*NOU. Només diu el que es fa actualment"/>
    <x v="0"/>
    <m/>
    <s v="Col·laboració amb l'Oficina de Turisme de Terres de l'Ebre"/>
    <m/>
    <m/>
    <m/>
    <m/>
    <x v="1"/>
    <m/>
    <m/>
    <m/>
    <m/>
    <m/>
    <m/>
    <s v="AUP"/>
    <s v="JMFR"/>
    <m/>
    <m/>
    <m/>
    <m/>
    <m/>
    <m/>
    <m/>
    <m/>
    <m/>
    <n v="0"/>
  </r>
  <r>
    <x v="4"/>
    <x v="10"/>
    <x v="10"/>
    <x v="36"/>
    <x v="36"/>
    <x v="132"/>
    <s v="Mantenir els serveis d'informació actuals de l'ENP"/>
    <m/>
    <m/>
    <x v="133"/>
    <s v="*NOU. Només diu el que es fa actualment"/>
    <x v="0"/>
    <m/>
    <s v="Serveis d'informació en punts o àrees d'informació al Baix Ebre, durant Setmana Santa i la tardor (Àrea de lleure de Cova Avellanes, Àrea recreativa de Sant Roc i al Toscar), mitjançant el contracte de serveis d'informació, educació i voluntariat a l'ENP (AG-2024-17)"/>
    <m/>
    <m/>
    <m/>
    <m/>
    <x v="1"/>
    <m/>
    <m/>
    <m/>
    <m/>
    <m/>
    <m/>
    <s v="AUP"/>
    <s v="JMFR"/>
    <m/>
    <m/>
    <m/>
    <m/>
    <m/>
    <m/>
    <m/>
    <m/>
    <m/>
    <m/>
  </r>
  <r>
    <x v="4"/>
    <x v="10"/>
    <x v="10"/>
    <x v="36"/>
    <x v="36"/>
    <x v="132"/>
    <s v="Mantenir els serveis d'informació actuals de l'ENP"/>
    <m/>
    <m/>
    <x v="133"/>
    <s v="*NOU. Només diu el que es fa actualment"/>
    <x v="0"/>
    <m/>
    <s v="Serveis d'informació en punts o àrees d'informació al Montsià, durant Setmana Santa i la tardor (Coll de la Creu – Refalgarí, Àrea de lleure de la Fou i Àrea de lleure de la Vall – Aparcament del Cocó de la Gralla), mitjançant el contracte de serveis d'informació, educació i voluntariat a l'ENP (AG-2024-17)"/>
    <m/>
    <m/>
    <m/>
    <m/>
    <x v="1"/>
    <m/>
    <m/>
    <m/>
    <m/>
    <m/>
    <m/>
    <s v="AUP"/>
    <s v="JMFR"/>
    <m/>
    <m/>
    <m/>
    <m/>
    <m/>
    <m/>
    <m/>
    <m/>
    <m/>
    <m/>
  </r>
  <r>
    <x v="4"/>
    <x v="10"/>
    <x v="10"/>
    <x v="36"/>
    <x v="36"/>
    <x v="132"/>
    <s v="Mantenir els serveis d'informació actuals de l'ENP"/>
    <m/>
    <m/>
    <x v="133"/>
    <s v="*NOU. Només diu el que es fa actualment"/>
    <x v="0"/>
    <m/>
    <s v="Serveis d'informació en punts o àrees d'informació a la Terra Alta, durant la Setmana Santa i l'estiu (els Estrets d'Arnes: aparcaments de Lliberós i de Biarnets, riu Algars: aparcament del Toll del Vidre, la Franqueta i els Ateus, i aparcament del riu Canaleta), mitjançant el contracte de serveis d'informació, educació i voluntariat a l'ENP (AG-2024-17)"/>
    <m/>
    <m/>
    <m/>
    <m/>
    <x v="1"/>
    <m/>
    <m/>
    <m/>
    <m/>
    <m/>
    <m/>
    <s v="AUP"/>
    <s v="JMFR"/>
    <m/>
    <m/>
    <m/>
    <m/>
    <m/>
    <m/>
    <m/>
    <m/>
    <m/>
    <m/>
  </r>
  <r>
    <x v="4"/>
    <x v="10"/>
    <x v="10"/>
    <x v="37"/>
    <x v="37"/>
    <x v="133"/>
    <s v="Elaborar i executar el Pla de vigilància de l’espai d'acord amb els cossos d’inspecció i seguretat"/>
    <s v="Comú"/>
    <s v="Optatiu"/>
    <x v="134"/>
    <m/>
    <x v="0"/>
    <s v="MITJANA"/>
    <s v="Coordinació dels serveis de vigilància del contracte, juntament amb ajuntaments, Mossos, CAR."/>
    <m/>
    <m/>
    <m/>
    <m/>
    <x v="121"/>
    <m/>
    <m/>
    <s v="Percentatge de jornades de vigilància realitzades anualment"/>
    <s v="_x000a_90%"/>
    <s v="_x000a_100%"/>
    <m/>
    <s v="AUP"/>
    <s v="JMFR"/>
    <m/>
    <m/>
    <m/>
    <m/>
    <m/>
    <m/>
    <m/>
    <m/>
    <m/>
    <n v="0"/>
  </r>
  <r>
    <x v="4"/>
    <x v="10"/>
    <x v="10"/>
    <x v="37"/>
    <x v="37"/>
    <x v="133"/>
    <s v="Elaborar i executar el Pla de vigilància de l’espai d'acord amb els cossos d’inspecció i seguretat"/>
    <s v="Comú"/>
    <s v="Obligatori"/>
    <x v="134"/>
    <m/>
    <x v="0"/>
    <s v="MITJANA"/>
    <s v="Coordinació i seguiment del contracte &quot;Servei de vigilància per a la minimització d’afectacions per hiperfreqüentació al Parc Natural dels Aiguamolls de l’Empordà, al Parc Natural del Delta de l’Ebre i al Parc Natural dels Ports, PTOP-2025-357&quot;"/>
    <m/>
    <m/>
    <m/>
    <m/>
    <x v="1"/>
    <m/>
    <m/>
    <m/>
    <m/>
    <m/>
    <m/>
    <s v="AUP"/>
    <s v="JMFR"/>
    <m/>
    <m/>
    <m/>
    <m/>
    <m/>
    <m/>
    <m/>
    <m/>
    <m/>
    <m/>
  </r>
  <r>
    <x v="4"/>
    <x v="10"/>
    <x v="10"/>
    <x v="37"/>
    <x v="37"/>
    <x v="134"/>
    <s v="Millorar la coordinació amb els cossos de seguretat per efectuar accions de control i vigilància"/>
    <s v="Comú"/>
    <s v="Obligatori"/>
    <x v="135"/>
    <m/>
    <x v="0"/>
    <s v="MITJANA"/>
    <s v="Coordinació, mitjançant reunions periòdiques, amb el Cos d'Agents Rurals, especialment pel que fa al control d'actuacions i activitats al medi natural"/>
    <m/>
    <m/>
    <m/>
    <m/>
    <x v="122"/>
    <m/>
    <m/>
    <s v="Nombre de reunions anuals realitzades amb els serveis de seguretat propis i forans"/>
    <n v="4"/>
    <n v="5"/>
    <m/>
    <s v="DIR"/>
    <s v="ACM"/>
    <m/>
    <m/>
    <m/>
    <m/>
    <m/>
    <m/>
    <m/>
    <m/>
    <m/>
    <m/>
  </r>
  <r>
    <x v="4"/>
    <x v="10"/>
    <x v="10"/>
    <x v="37"/>
    <x v="37"/>
    <x v="134"/>
    <s v="Millorar la coordinació amb els cossos de seguretat per efectuar accions de control i vigilància"/>
    <s v="Comú"/>
    <s v="Obligatori"/>
    <x v="135"/>
    <m/>
    <x v="0"/>
    <s v="MITJANA"/>
    <s v="Coordinació d'actuacions amb els Mossos d'Esquadra, especialment pel que fa a les plantacions de cànnabis"/>
    <m/>
    <m/>
    <m/>
    <m/>
    <x v="1"/>
    <m/>
    <m/>
    <m/>
    <m/>
    <m/>
    <m/>
    <s v="DIR"/>
    <s v="ACM"/>
    <m/>
    <m/>
    <m/>
    <m/>
    <m/>
    <m/>
    <m/>
    <m/>
    <m/>
    <m/>
  </r>
  <r>
    <x v="4"/>
    <x v="10"/>
    <x v="10"/>
    <x v="37"/>
    <x v="37"/>
    <x v="135"/>
    <s v="Vetllar pel compliment d'informes i la vigilància tècnica de l'espai"/>
    <s v="Comú"/>
    <s v="Obligatori"/>
    <x v="136"/>
    <s v="Solapament amb 03.1.2"/>
    <x v="1"/>
    <s v="MITJANA"/>
    <m/>
    <m/>
    <m/>
    <m/>
    <m/>
    <x v="1"/>
    <m/>
    <m/>
    <m/>
    <m/>
    <m/>
    <m/>
    <m/>
    <m/>
    <m/>
    <m/>
    <m/>
    <m/>
    <m/>
    <m/>
    <m/>
    <m/>
    <m/>
    <n v="0"/>
  </r>
  <r>
    <x v="4"/>
    <x v="11"/>
    <x v="11"/>
    <x v="38"/>
    <x v="38"/>
    <x v="136"/>
    <s v="Ordenar el pla d’emergències"/>
    <s v="Comú"/>
    <s v="Obligatori"/>
    <x v="137"/>
    <s v="No tenim compteències"/>
    <x v="0"/>
    <s v="ALTA"/>
    <s v="Col·laborar en la redacció i execució dels plans d’emergències amb les autoritats competents en la matèria"/>
    <m/>
    <m/>
    <m/>
    <m/>
    <x v="123"/>
    <m/>
    <m/>
    <s v="1) Percentatge de plans en els que s'ha col·laborat_x000a_2) Percentatge de tancaments en els que s'ha implicat la brigada _x000a_ "/>
    <s v="1) 100%_x000a_2) 100%"/>
    <s v="1) 100%_x000a_2) 100%"/>
    <m/>
    <s v="DIR"/>
    <s v="ACM"/>
    <m/>
    <m/>
    <m/>
    <m/>
    <m/>
    <m/>
    <m/>
    <m/>
    <m/>
    <n v="0"/>
  </r>
  <r>
    <x v="4"/>
    <x v="11"/>
    <x v="11"/>
    <x v="38"/>
    <x v="38"/>
    <x v="136"/>
    <s v="Ordenar el pla d’emergències"/>
    <s v="Comú"/>
    <s v="Obligatori"/>
    <x v="137"/>
    <s v="No tenim competències"/>
    <x v="0"/>
    <s v="ALTA"/>
    <s v="Col·laborar amb el Cos d'Agents Rurals en el tancament d'accés al Parc durant els períodes d'activació del nivell 4 del Pla Alfa"/>
    <m/>
    <m/>
    <m/>
    <m/>
    <x v="1"/>
    <m/>
    <m/>
    <m/>
    <m/>
    <m/>
    <m/>
    <s v="DIR"/>
    <s v="ACM"/>
    <m/>
    <m/>
    <m/>
    <m/>
    <m/>
    <m/>
    <m/>
    <m/>
    <m/>
    <m/>
  </r>
  <r>
    <x v="4"/>
    <x v="11"/>
    <x v="11"/>
    <x v="38"/>
    <x v="38"/>
    <x v="137"/>
    <s v="Contribuir a la protecció dels assentaments humans respecte dels riscos naturals"/>
    <s v="Comú"/>
    <s v="Obligatori"/>
    <x v="138"/>
    <s v="No tenim compteències, no hi ha riscos en assentaments humans"/>
    <x v="1"/>
    <s v="ALTA"/>
    <m/>
    <m/>
    <m/>
    <m/>
    <m/>
    <x v="1"/>
    <m/>
    <m/>
    <m/>
    <m/>
    <m/>
    <m/>
    <m/>
    <m/>
    <m/>
    <m/>
    <m/>
    <m/>
    <m/>
    <m/>
    <m/>
    <m/>
    <m/>
    <n v="0"/>
  </r>
  <r>
    <x v="5"/>
    <x v="12"/>
    <x v="12"/>
    <x v="39"/>
    <x v="39"/>
    <x v="138"/>
    <s v="Definir el model de Xarxa d'Escoles de l'Espai Natural (XEEN) a l'ENP amb els agents educatius del territori"/>
    <s v="Comú"/>
    <s v="Obligatori"/>
    <x v="139"/>
    <m/>
    <x v="0"/>
    <s v="MÀXIMA"/>
    <s v="GOV4. Configurar i posar en marxa una taula d’educació ambiental per coordinar el Parc Natural amb els diversos agents educatius (PEEVA): Definir el model de Xarxa d'Escoles de l'Espai Natural (XEEN) a l'ENP amb els agents educatius del territori, mitjançant el contracte de serveis d'informació, educació i voluntariat a l'ENP (AG-2024-17)"/>
    <m/>
    <m/>
    <m/>
    <m/>
    <x v="124"/>
    <s v="PEEVA_x000a_ESNATURA"/>
    <m/>
    <s v="Disposar del model definit"/>
    <n v="1"/>
    <n v="1"/>
    <m/>
    <s v="AUP"/>
    <s v="JMFR/CFF"/>
    <m/>
    <s v="PEEVA"/>
    <s v="Pla estratègic 2021-2030 d'educació i voluntariat ambiental "/>
    <m/>
    <m/>
    <m/>
    <m/>
    <m/>
    <m/>
    <n v="0"/>
  </r>
  <r>
    <x v="5"/>
    <x v="12"/>
    <x v="12"/>
    <x v="39"/>
    <x v="39"/>
    <x v="139"/>
    <s v="Desplegar el model de Xarxa d'Escoles de l'Espai Natural (XEEN) a l'ENP d'acord amb el model general"/>
    <s v="Comú"/>
    <s v="Obligatori"/>
    <x v="140"/>
    <m/>
    <x v="0"/>
    <s v="MÀXIMA"/>
    <s v="GOV4. Configurar i posar en marxa una taula d’educació ambiental per coordinar el Parc Natural amb els diversos agents educatius (PEEVA): Suport i dinamització a la Xarxa d’escoles de l’espai natural (13 al Baix Ebre, 12 al Montsià i 15 a la Terra Alta), mitjançant el contracte de serveis d'informació, educació i voluntariat a l'ENP (AG-2024-17)"/>
    <m/>
    <m/>
    <m/>
    <m/>
    <x v="125"/>
    <s v="PEEVA_x000a_ESNATURA"/>
    <s v="SEA: Elabora model de xarxa"/>
    <s v="1) Percentatge d'escoles que han rebut suport_x000a_2) Nombre de trobades realitzades_x000a_"/>
    <s v="1) 75%_x000a_2) 3"/>
    <s v="1) 90%_x000a_2) 4"/>
    <m/>
    <s v="AUP"/>
    <s v="JMFR/CFF"/>
    <m/>
    <s v="PEEVA"/>
    <s v="Pla estratègic 2021-2030 d'educació i voluntariat ambiental "/>
    <m/>
    <m/>
    <m/>
    <m/>
    <m/>
    <m/>
    <n v="0"/>
  </r>
  <r>
    <x v="5"/>
    <x v="12"/>
    <x v="12"/>
    <x v="39"/>
    <x v="39"/>
    <x v="139"/>
    <s v="Desplegar el model de Xarxa d'Escoles de l'Espai Natural (XEEN) a l'ENP d'acord amb el model general"/>
    <s v="Comú"/>
    <s v="Obligatori"/>
    <x v="140"/>
    <m/>
    <x v="0"/>
    <s v="MÀXIMA"/>
    <s v="GOV4. Configurar i posar en marxa una taula d’educació ambiental per coordinar el Parc Natural amb els diversos agents educatius (PEEVA): Trobades de la Xarxa d'escoles de l'espai natural, mitjançant el contracte de serveis d'informació, educació i voluntariat a l'ENP (AG-2024-17)"/>
    <m/>
    <m/>
    <m/>
    <m/>
    <x v="1"/>
    <s v="PEEVA_x000a_ESNATURA"/>
    <s v="SEA: Elabora model de xarxa"/>
    <m/>
    <m/>
    <m/>
    <m/>
    <s v="AUP"/>
    <s v="JMFR/CFF"/>
    <m/>
    <s v="PEEVA"/>
    <s v="Pla estratègic 2021-2030 d'educació i voluntariat ambiental "/>
    <m/>
    <m/>
    <m/>
    <m/>
    <m/>
    <m/>
    <m/>
  </r>
  <r>
    <x v="5"/>
    <x v="12"/>
    <x v="12"/>
    <x v="39"/>
    <x v="39"/>
    <x v="140"/>
    <s v="Formar i capacitar al professorat de la XEEN "/>
    <s v="Comú"/>
    <s v="Obligatori"/>
    <x v="141"/>
    <m/>
    <x v="0"/>
    <s v="MÀXIMA"/>
    <s v="EA3. Programar accions formatives per al professorat dels centres educatius locals amb el suport dels CRP i el Programa Escoles Verdes (PEEVA), mitjançant el contracte de serveis d'informació, educació i voluntariat a l'ENP (AG-2024-17) mitjançant el contracte de serveis d'informació, educació i voluntariat a l'ENP (AG-2024-17)"/>
    <m/>
    <m/>
    <m/>
    <m/>
    <x v="126"/>
    <m/>
    <m/>
    <s v="Nombre de formacions destinades a capacitar al professorat"/>
    <n v="3"/>
    <n v="5"/>
    <m/>
    <s v="AUP"/>
    <s v="JMFR/CFF"/>
    <m/>
    <s v="PEEVA"/>
    <s v="Pla estratègic 2021-2030 d'educació i voluntariat ambiental "/>
    <m/>
    <m/>
    <m/>
    <m/>
    <m/>
    <m/>
    <n v="0"/>
  </r>
  <r>
    <x v="5"/>
    <x v="12"/>
    <x v="12"/>
    <x v="40"/>
    <x v="40"/>
    <x v="141"/>
    <s v="Adaptar i millorar l'oferta pedagògica de l'ENP generant situacions d'aprenentatge i treballs per projecte"/>
    <s v="Comú"/>
    <s v="Obligatori"/>
    <x v="142"/>
    <m/>
    <x v="0"/>
    <s v="MÀXIMA"/>
    <s v="EA1. Elaborar i implementar un programa específic d’educació ambiental dirigit als centres educatius locals i avaluar-lo periòdicament (PEEVA): Contracte de serveis d'informació, educació i voluntariat a l'ENP (AG-2024-17)"/>
    <m/>
    <m/>
    <m/>
    <m/>
    <x v="127"/>
    <s v="PEEVA_x000a_ESNATURA"/>
    <s v="SEA: Comparteix models de situcions d'aprenentatge i de projects."/>
    <s v="Percentatge d'escoles que han rebut activitats educatives del PN"/>
    <n v="0.9"/>
    <n v="1"/>
    <m/>
    <s v="AUP"/>
    <s v="JMFR/CFF"/>
    <m/>
    <s v="PEEVA"/>
    <s v="Pla estratègic 2021-2030 d'educació i voluntariat ambiental "/>
    <m/>
    <m/>
    <m/>
    <m/>
    <m/>
    <m/>
    <n v="0"/>
  </r>
  <r>
    <x v="5"/>
    <x v="12"/>
    <x v="12"/>
    <x v="40"/>
    <x v="40"/>
    <x v="142"/>
    <s v="Dissenyar projectes d'ApS ambiental i Ciència ciutadana i projectes compartits amb entitats del territori que s'incloguin dins de l'oferta pedagògica."/>
    <s v="Comú"/>
    <s v="Optatiu"/>
    <x v="143"/>
    <m/>
    <x v="1"/>
    <s v="ALTA"/>
    <m/>
    <m/>
    <m/>
    <m/>
    <m/>
    <x v="1"/>
    <s v="PEEVA_x000a_ESNATURA"/>
    <m/>
    <m/>
    <m/>
    <m/>
    <m/>
    <m/>
    <m/>
    <m/>
    <m/>
    <m/>
    <m/>
    <m/>
    <m/>
    <m/>
    <m/>
    <m/>
    <n v="0"/>
  </r>
  <r>
    <x v="5"/>
    <x v="12"/>
    <x v="12"/>
    <x v="40"/>
    <x v="40"/>
    <x v="143"/>
    <s v="Elaborar recursos educatius sobre l’espai (que tinguin en compte les problemàtiques singulars del seu espai) i posar-los a disposició dels centres educatius"/>
    <s v="Comú"/>
    <s v="Optatiu"/>
    <x v="144"/>
    <m/>
    <x v="0"/>
    <s v="ALTA"/>
    <s v="Elaboració de tres noves Propostes Educatives. Cada comarca haurà de dissenyar una proposta per cada àmbit. Es prioritzaran les Propostes per l’Educació Bàsica (EDU): Disseny de 3 activitats noves i millora de 6 activitats, mitjançant el Contracte de serveis d'informació, educació i voluntariat a l'ENP (AG-2024-17)"/>
    <m/>
    <m/>
    <m/>
    <m/>
    <x v="128"/>
    <s v="PEEVA_x000a_ESNATURA"/>
    <m/>
    <s v="Nombre de recursos educatius nous o millorats"/>
    <n v="9"/>
    <n v="9"/>
    <m/>
    <s v="AUP"/>
    <s v="JMFR/CFF"/>
    <m/>
    <s v="EDU"/>
    <s v="Programa d'EA 2023-2027"/>
    <m/>
    <m/>
    <m/>
    <m/>
    <m/>
    <m/>
    <n v="0"/>
  </r>
  <r>
    <x v="5"/>
    <x v="12"/>
    <x v="12"/>
    <x v="40"/>
    <x v="40"/>
    <x v="143"/>
    <s v="Elaborar recursos educatius sobre l’espai (que tinguin en compte les problemàtiques singulars del seu espai) i posar-los a disposició dels centres educatius"/>
    <s v="Comú"/>
    <s v="Optatiu"/>
    <x v="144"/>
    <m/>
    <x v="0"/>
    <s v="ALTA"/>
    <s v="Redacció de l’oferta educativa seguint els criteris i directrius establerts en aquest PEA i incorporant les noves activitats en desenvolupament (EDU): Contracte de serveis d'informació, educació i voluntariat a l'ENP (AG-2024-17)"/>
    <m/>
    <m/>
    <m/>
    <m/>
    <x v="1"/>
    <s v="PEEVA_x000a_ESNATURA"/>
    <m/>
    <m/>
    <m/>
    <m/>
    <m/>
    <s v="AUP"/>
    <s v="CFF/JMFR"/>
    <m/>
    <s v="EDU"/>
    <s v="Programa d'EA 2023-2027"/>
    <m/>
    <m/>
    <m/>
    <m/>
    <m/>
    <m/>
    <n v="0"/>
  </r>
  <r>
    <x v="5"/>
    <x v="12"/>
    <x v="12"/>
    <x v="40"/>
    <x v="40"/>
    <x v="144"/>
    <s v="Oferir projectes de recerca vinculats a l'espai natural per a l'alumnat universitari i de la XEEN"/>
    <s v="Comú"/>
    <s v="Optatiu"/>
    <x v="145"/>
    <m/>
    <x v="0"/>
    <s v="ALTA"/>
    <s v="EA2. Promoure projectes en els centres educatius locals (crèdits de síntesi, treballs de recerca, servei comunitari, etc.) sobre temàtiques vinculades al Parc Natural, mitjançant el Contracte de serveis d'informació, educació i voluntariat a l'ENP (AG-2024-17) (PEEVA)"/>
    <m/>
    <m/>
    <m/>
    <m/>
    <x v="129"/>
    <s v="PEEVA_x000a_ESNATURA"/>
    <m/>
    <s v="Nombre de projectes desenvolupats"/>
    <n v="3"/>
    <n v="5"/>
    <m/>
    <s v="AUP"/>
    <s v="JMFR/CFF"/>
    <m/>
    <s v="PEEVA"/>
    <s v="Pla estratègic 2021-2030 d'educació i voluntariat ambiental "/>
    <m/>
    <m/>
    <m/>
    <m/>
    <m/>
    <m/>
    <n v="0"/>
  </r>
  <r>
    <x v="5"/>
    <x v="12"/>
    <x v="12"/>
    <x v="40"/>
    <x v="40"/>
    <x v="145"/>
    <s v="Desplegar el Pla estratègic 2021-2030 d’educació i voluntariat ambiental del Parc Natural dels Ports (PEEVA): Educació ambiental"/>
    <s v="Comú"/>
    <s v="Obligatori"/>
    <x v="146"/>
    <m/>
    <x v="0"/>
    <s v="ALTA"/>
    <s v="0. Coordinació i seguiment del Pla estratègic 2021-2030 d'educació i voluntariat ambiental: Educació ambiental (PEEVA)"/>
    <m/>
    <m/>
    <m/>
    <m/>
    <x v="130"/>
    <s v="PEEVA_x000a_ESNATURA"/>
    <m/>
    <s v="1) Percentatge d'escoles que han realitzat activitats d'EA_x000a_"/>
    <n v="0.8"/>
    <n v="1"/>
    <m/>
    <s v="AUP"/>
    <s v="JMFR/CFF"/>
    <m/>
    <s v="PEEVA"/>
    <s v="Pla estratègic 2021-2030 d'educació i voluntariat ambiental "/>
    <m/>
    <m/>
    <m/>
    <m/>
    <m/>
    <m/>
    <n v="0"/>
  </r>
  <r>
    <x v="5"/>
    <x v="12"/>
    <x v="12"/>
    <x v="40"/>
    <x v="40"/>
    <x v="145"/>
    <s v="Desplegar el Pla estratègic 2021-2030 d’educació i voluntariat ambiental del Parc Natural dels Ports (PEEVA): Educació ambiental"/>
    <s v="Comú"/>
    <s v="Obligatori"/>
    <x v="146"/>
    <m/>
    <x v="0"/>
    <s v="ALTA"/>
    <s v="GOV6. Garantir una coordinació eficaç entre el pla d’educació i voluntariat ambiental, els plans d’acció vinculats a la CETS i els programes d’ús públic (PEEVA)"/>
    <m/>
    <m/>
    <m/>
    <m/>
    <x v="1"/>
    <s v="PEEVA_x000a_ESNATURA"/>
    <m/>
    <m/>
    <m/>
    <m/>
    <m/>
    <s v="AUP"/>
    <s v="CFF"/>
    <m/>
    <s v="PEEVA"/>
    <s v="Pla estratègic 2021-2030 d'educació i voluntariat ambiental "/>
    <m/>
    <m/>
    <m/>
    <m/>
    <m/>
    <m/>
    <n v="0"/>
  </r>
  <r>
    <x v="5"/>
    <x v="12"/>
    <x v="12"/>
    <x v="40"/>
    <x v="40"/>
    <x v="145"/>
    <s v="Desplegar el Pla estratègic 2021-2030 d’educació i voluntariat ambiental del Parc Natural dels Ports (PEEVA): Educació ambiental"/>
    <s v="Comú"/>
    <s v="Obligatori"/>
    <x v="146"/>
    <m/>
    <x v="0"/>
    <s v="ALTA"/>
    <s v="Serveis d'Educació Ambiental al Baix Ebre: Contracte de serveis d'informació, educació i voluntariat a l'ENP (AG-2024-17)"/>
    <m/>
    <m/>
    <m/>
    <m/>
    <x v="1"/>
    <m/>
    <m/>
    <m/>
    <m/>
    <m/>
    <m/>
    <s v="AUP"/>
    <s v="JMFR/CFF"/>
    <m/>
    <m/>
    <m/>
    <m/>
    <m/>
    <m/>
    <m/>
    <m/>
    <m/>
    <m/>
  </r>
  <r>
    <x v="5"/>
    <x v="12"/>
    <x v="12"/>
    <x v="40"/>
    <x v="40"/>
    <x v="145"/>
    <s v="Desplegar el Pla estratègic 2021-2030 d’educació i voluntariat ambiental del Parc Natural dels Ports (PEEVA): Educació ambiental"/>
    <s v="Comú"/>
    <s v="Obligatori"/>
    <x v="146"/>
    <m/>
    <x v="0"/>
    <s v="ALTA"/>
    <s v="Serveis d'Educació Ambiental al Montsià: Contracte de serveis d'informació, educació i voluntariat a l'ENP (AG-2024-17)"/>
    <m/>
    <m/>
    <m/>
    <m/>
    <x v="1"/>
    <m/>
    <m/>
    <m/>
    <m/>
    <m/>
    <m/>
    <s v="AUP"/>
    <s v="JMFR/CFF"/>
    <m/>
    <m/>
    <m/>
    <m/>
    <m/>
    <m/>
    <m/>
    <m/>
    <m/>
    <m/>
  </r>
  <r>
    <x v="5"/>
    <x v="12"/>
    <x v="12"/>
    <x v="40"/>
    <x v="40"/>
    <x v="145"/>
    <s v="Desplegar el Pla estratègic 2021-2030 d’educació i voluntariat ambiental del Parc Natural dels Ports (PEEVA): Educació ambiental"/>
    <s v="Comú"/>
    <s v="Obligatori"/>
    <x v="146"/>
    <m/>
    <x v="0"/>
    <s v="ALTA"/>
    <s v="Serveis d'Educació Ambiental a la Terra Alta: Contracte de serveis d'informació, educació i voluntariat a l'ENP (AG-2024-17)"/>
    <m/>
    <m/>
    <m/>
    <m/>
    <x v="1"/>
    <m/>
    <m/>
    <m/>
    <m/>
    <m/>
    <m/>
    <s v="AUP"/>
    <s v="JMFR/CFF"/>
    <m/>
    <m/>
    <m/>
    <m/>
    <m/>
    <m/>
    <m/>
    <m/>
    <m/>
    <m/>
  </r>
  <r>
    <x v="5"/>
    <x v="12"/>
    <x v="12"/>
    <x v="40"/>
    <x v="40"/>
    <x v="145"/>
    <s v="Desplegar el Pla estratègic 2021-2030 d’educació i voluntariat ambiental del Parc Natural dels Ports (PEEVA): Educació ambiental"/>
    <s v="Comú"/>
    <s v="Obligatori"/>
    <x v="146"/>
    <m/>
    <x v="0"/>
    <s v="ALTA"/>
    <s v="GOV2. Acordar i introduir millores viables en el servei d’educació ambiental que externalitza el Parc Natural, si escau amb algun tipus de protocol escrit, mitjançant el contracte de serveis d'informació, educació i voluntariat a l'ENP (AG-2024-17) (PEEVA)_x000a_"/>
    <m/>
    <m/>
    <m/>
    <m/>
    <x v="1"/>
    <m/>
    <m/>
    <m/>
    <m/>
    <m/>
    <m/>
    <s v="AUP"/>
    <s v="JMFR/CFF"/>
    <m/>
    <s v="PEEVA"/>
    <s v="Pla estratègic 2021-2030 d'educació i voluntariat ambiental "/>
    <m/>
    <m/>
    <m/>
    <m/>
    <m/>
    <m/>
    <m/>
  </r>
  <r>
    <x v="5"/>
    <x v="12"/>
    <x v="12"/>
    <x v="41"/>
    <x v="41"/>
    <x v="146"/>
    <s v="Establir un model de coordinació territorial amb agents clau de l'educació ambiental"/>
    <s v="Comú"/>
    <s v="Obligatori"/>
    <x v="147"/>
    <m/>
    <x v="0"/>
    <s v="MÀXIMA"/>
    <s v="Suport i dinamització a la coordinació amb agents claus del territori, mitjançant el contracte de serveis d'informació, educació i voluntariat a l'ENP (AG-2024-17)"/>
    <m/>
    <m/>
    <m/>
    <m/>
    <x v="131"/>
    <s v="PEEVA_x000a_ESNATURA"/>
    <m/>
    <s v="Nombre de reunions realitzades"/>
    <n v="3"/>
    <n v="6"/>
    <m/>
    <s v="AUP"/>
    <s v="JMFR/CFF"/>
    <m/>
    <m/>
    <m/>
    <m/>
    <m/>
    <m/>
    <m/>
    <m/>
    <m/>
    <n v="0"/>
  </r>
  <r>
    <x v="5"/>
    <x v="12"/>
    <x v="12"/>
    <x v="41"/>
    <x v="41"/>
    <x v="146"/>
    <s v="Establir un model de coordinació territorial amb agents clau de l'educació ambiental"/>
    <s v="Comú"/>
    <s v="Obligatori"/>
    <x v="147"/>
    <m/>
    <x v="0"/>
    <s v="MÀXIMA"/>
    <s v="GOV3. Elaborar i mantenir actualitzat un inventari dels potencials agents col·laboradors en educació ambiental, mitjançant el contracte de serveis d'informació, educació i voluntariat a l'ENP (AG-2024-17) (PEEVA)"/>
    <m/>
    <m/>
    <m/>
    <m/>
    <x v="1"/>
    <s v="PEEVA_x000a_ESNATURA"/>
    <m/>
    <m/>
    <m/>
    <m/>
    <m/>
    <s v="AUP"/>
    <s v="JMFR/CFF"/>
    <m/>
    <s v="PEEVA"/>
    <s v="Pla estratègic 2021-2030 d'educació i voluntariat ambiental "/>
    <m/>
    <m/>
    <m/>
    <m/>
    <m/>
    <m/>
    <n v="0"/>
  </r>
  <r>
    <x v="5"/>
    <x v="12"/>
    <x v="12"/>
    <x v="41"/>
    <x v="41"/>
    <x v="147"/>
    <s v="Cercar i establir col·laboracions i projectes conjunts amb agents clau del territori"/>
    <s v="Comú"/>
    <s v="Obligatori"/>
    <x v="148"/>
    <m/>
    <x v="0"/>
    <s v="MÀXIMA"/>
    <s v="EA7. Dissenyar i executar un programa anual de trobades amb representants i personal tècnic de les administracions locals (PEEVA)"/>
    <m/>
    <m/>
    <m/>
    <m/>
    <x v="132"/>
    <s v="PEEVA_x000a_ESNATURA"/>
    <m/>
    <m/>
    <m/>
    <m/>
    <m/>
    <s v="AUP"/>
    <s v="JMFR"/>
    <m/>
    <s v="PEEVA"/>
    <s v="Pla estratègic 2021-2030 d'educació i voluntariat ambiental "/>
    <m/>
    <m/>
    <m/>
    <m/>
    <m/>
    <m/>
    <n v="0"/>
  </r>
  <r>
    <x v="5"/>
    <x v="12"/>
    <x v="12"/>
    <x v="41"/>
    <x v="41"/>
    <x v="147"/>
    <s v="Cercar i establir col·laboracions i projectes conjunts amb agents clau del territori"/>
    <s v="Comú"/>
    <s v="Obligatori"/>
    <x v="148"/>
    <m/>
    <x v="1"/>
    <s v="MÀXIMA"/>
    <s v="EA8. Establir aliances amb programes educatius o de lleure municipals per integrar continguts o propostes didàctiques del Parc Natural (PEEVA)"/>
    <m/>
    <m/>
    <m/>
    <m/>
    <x v="1"/>
    <s v="PEEVA_x000a_ESNATURA"/>
    <m/>
    <m/>
    <m/>
    <m/>
    <m/>
    <s v="AUP"/>
    <s v="JMFR"/>
    <m/>
    <s v="PEEVA"/>
    <s v="Pla estratègic 2021-2030 d'educació i voluntariat ambiental "/>
    <m/>
    <m/>
    <m/>
    <m/>
    <m/>
    <m/>
    <n v="0"/>
  </r>
  <r>
    <x v="5"/>
    <x v="12"/>
    <x v="12"/>
    <x v="41"/>
    <x v="41"/>
    <x v="147"/>
    <s v="Cercar i establir col·laboracions i projectes conjunts amb agents clau del territori"/>
    <s v="Comú"/>
    <s v="Obligatori"/>
    <x v="148"/>
    <m/>
    <x v="0"/>
    <s v="MÀXIMA"/>
    <s v="GOV5. Cercar i establir col·laboracions i projectes conjunts amb agents clau del territori (PEEVA), mitjançant el contracte de serveis d'informació, educació i voluntariat a l'ENP (AG-2024-17) (PEEVA)"/>
    <m/>
    <m/>
    <m/>
    <m/>
    <x v="1"/>
    <s v="PEEVA_x000a_ESNATURA"/>
    <m/>
    <m/>
    <m/>
    <m/>
    <m/>
    <s v="AUP"/>
    <s v="JMFR/CFF"/>
    <m/>
    <s v="PEEVA"/>
    <s v="Pla estratègic 2021-2030 d'educació i voluntariat ambiental "/>
    <m/>
    <m/>
    <m/>
    <m/>
    <m/>
    <m/>
    <n v="0"/>
  </r>
  <r>
    <x v="5"/>
    <x v="12"/>
    <x v="12"/>
    <x v="41"/>
    <x v="41"/>
    <x v="148"/>
    <s v="Elaborar formacions dirigides als informadors, educadors i altres prescriptors del territori"/>
    <s v="Comú"/>
    <s v="Obligatori"/>
    <x v="149"/>
    <m/>
    <x v="0"/>
    <s v="MÀXIMA"/>
    <s v="Realització d'activitats formatives, a través del contracte de serveis d'informació, educació i voluntariat a l'ENP (AG-2024-17)"/>
    <m/>
    <m/>
    <m/>
    <m/>
    <x v="133"/>
    <s v="PEEVA_x000a_ESNATURA"/>
    <s v="SEA: Elabora propostes MODEL de programes de formació"/>
    <s v="1) Nombre anual de formacions realitzades_x000a_2) Nombre de punts d'informació acreditats_x000a_3) Disposar del manual de referència"/>
    <s v="1) 5_x000a_2) 2_x000a_3) 1"/>
    <s v="1) 10_x000a_2) 5_x000a_3) 1"/>
    <m/>
    <s v="AUP"/>
    <s v="CFF/JMFR"/>
    <m/>
    <m/>
    <m/>
    <m/>
    <m/>
    <m/>
    <m/>
    <m/>
    <m/>
    <m/>
  </r>
  <r>
    <x v="5"/>
    <x v="12"/>
    <x v="12"/>
    <x v="41"/>
    <x v="41"/>
    <x v="148"/>
    <s v="Elaborar formacions dirigides als informadors, educadors i altres prescriptors del territori"/>
    <s v="Comú"/>
    <s v="Obligatori"/>
    <x v="149"/>
    <m/>
    <x v="0"/>
    <s v="MÀXIMA"/>
    <s v="A.3.2.1. Acreditació d'espais com a punts d'informació i acreditació de persones com a agents informadors del Parc Natural (CETS)"/>
    <m/>
    <m/>
    <m/>
    <m/>
    <x v="1"/>
    <s v="PEEVA_x000a_ESNATURA"/>
    <s v="SEA: Elabora propostes MODEL de programes de formació"/>
    <m/>
    <m/>
    <m/>
    <m/>
    <s v="AUP"/>
    <s v="JMFR/CFF/SMM"/>
    <m/>
    <s v="CETS"/>
    <s v="Pla d'acció 2022-2026 de la CETS."/>
    <m/>
    <m/>
    <m/>
    <m/>
    <m/>
    <m/>
    <n v="0"/>
  </r>
  <r>
    <x v="5"/>
    <x v="12"/>
    <x v="12"/>
    <x v="41"/>
    <x v="41"/>
    <x v="148"/>
    <s v="Elaborar formacions dirigides als informadors, educadors i altres prescriptors del territori"/>
    <s v="Comú"/>
    <s v="Obligatori"/>
    <x v="149"/>
    <m/>
    <x v="0"/>
    <s v="MÀXIMA"/>
    <m/>
    <s v=": Curs Mas de Burot + Curs NaturWalks d'Evarist March???"/>
    <m/>
    <s v="EA9. Articular accions formatives i generar recursos per garantir que la informació turística i els guiatges turístics vinculats al Parc Natural incloguin elements interpretatius i pedagògics (PEEVA)"/>
    <m/>
    <x v="1"/>
    <s v="PEEVA_x000a_ESNATURA"/>
    <s v="SEA: Elabora propostes MODEL de programes de formació"/>
    <m/>
    <m/>
    <m/>
    <m/>
    <s v="AUP"/>
    <s v="JMFR/CFF"/>
    <m/>
    <s v="PEEVA"/>
    <s v="Pla estratègic 2021-2030 d'educació i voluntariat ambiental "/>
    <m/>
    <m/>
    <m/>
    <m/>
    <m/>
    <m/>
    <n v="0"/>
  </r>
  <r>
    <x v="5"/>
    <x v="12"/>
    <x v="12"/>
    <x v="41"/>
    <x v="41"/>
    <x v="148"/>
    <s v="Elaborar formacions dirigides als informadors, educadors i altres prescriptors del territori"/>
    <s v="Comú"/>
    <s v="Obligatori"/>
    <x v="149"/>
    <m/>
    <x v="0"/>
    <s v="MÀXIMA"/>
    <s v="A.2.3.2. Disseny i execució d'accions de formació i divulgació sobre valors naturals i paisatgístics que aportin singularitat al PN (CETS): cursos de Picampall, odonats..."/>
    <m/>
    <m/>
    <m/>
    <m/>
    <x v="1"/>
    <s v="PEEVA_x000a_ESNATURA"/>
    <s v="SEA: Elabora propostes MODEL de programes de formació"/>
    <m/>
    <m/>
    <m/>
    <m/>
    <s v="AUP"/>
    <s v="JMFR/JMQ"/>
    <m/>
    <s v="CETS"/>
    <s v="Pla d'acció 2022-2026 de la CETS."/>
    <m/>
    <m/>
    <m/>
    <m/>
    <m/>
    <m/>
    <n v="0"/>
  </r>
  <r>
    <x v="5"/>
    <x v="12"/>
    <x v="12"/>
    <x v="41"/>
    <x v="41"/>
    <x v="148"/>
    <s v="Elaborar formacions dirigides als informadors, educadors i altres prescriptors del territori"/>
    <s v="Comú"/>
    <s v="Obligatori"/>
    <x v="149"/>
    <m/>
    <x v="0"/>
    <s v="MÀXIMA"/>
    <s v="A.3.1.2. Formació, acreditació i promoció de guies intèrprets del PN mitjançant formació reglada (CETS): col·laboració en el curs del Coneixements del Parc Natural del Delta de l’Ebre i del Parc Natural dels Ports per formar guies acreditats dels Parcs Naturals (IEPAAC - FP Dual)"/>
    <m/>
    <m/>
    <m/>
    <m/>
    <x v="1"/>
    <s v="PEEVA_x000a_ESNATURA"/>
    <s v="SEA: Elabora propostes MODEL de programes de formació"/>
    <m/>
    <m/>
    <m/>
    <m/>
    <s v="AUP"/>
    <s v="JMFR"/>
    <m/>
    <s v="CETS"/>
    <s v="Pla d'acció 2022-2026 de la CETS."/>
    <m/>
    <m/>
    <m/>
    <m/>
    <m/>
    <m/>
    <n v="0"/>
  </r>
  <r>
    <x v="5"/>
    <x v="12"/>
    <x v="12"/>
    <x v="41"/>
    <x v="41"/>
    <x v="148"/>
    <s v="Elaborar formacions dirigides als informadors, educadors i altres prescriptors del territori"/>
    <s v="Comú"/>
    <s v="Obligatori"/>
    <x v="149"/>
    <m/>
    <x v="1"/>
    <s v="MÀXIMA"/>
    <m/>
    <s v=" Llibre de Llobet?"/>
    <m/>
    <s v="ERP5. Elaborar un manual de referència per a guies i educador/es ambientals amb tots els valors principals del Parc Natural (PEEVA)."/>
    <m/>
    <x v="1"/>
    <s v="PEEVA_x000a_ESNATURA"/>
    <s v="SEA: Elabora propostes MODEL de programes de formació"/>
    <m/>
    <m/>
    <m/>
    <m/>
    <s v="AUP"/>
    <s v="JMFR/JMQ/AAA"/>
    <m/>
    <s v="PEEVA"/>
    <s v="Pla estratègic 2021-2030 d'educació i voluntariat ambiental "/>
    <m/>
    <m/>
    <m/>
    <m/>
    <m/>
    <m/>
    <n v="0"/>
  </r>
  <r>
    <x v="5"/>
    <x v="12"/>
    <x v="12"/>
    <x v="42"/>
    <x v="42"/>
    <x v="149"/>
    <s v="Desplegar en el territori les campanyes de sensibilització i bones pràctiques que s'impulsin des de la DG"/>
    <s v="Comú"/>
    <s v="Obligatori"/>
    <x v="150"/>
    <m/>
    <x v="0"/>
    <s v="MÀXIMA"/>
    <s v="Desplegar les campanyes de sensibilització i bones pràctiques que s'impulsin des de la DG (2025-2029)"/>
    <m/>
    <m/>
    <m/>
    <m/>
    <x v="134"/>
    <s v="PEEVA_x000a_ESNATURA"/>
    <s v="SEA: Elabora un document marc per unificar missatges i coordinar la difusió"/>
    <s v="Nombre anual de campanyes realitzades_x000a_"/>
    <n v="4"/>
    <n v="8"/>
    <m/>
    <s v="AUP"/>
    <s v="JMFR/CFF"/>
    <m/>
    <m/>
    <m/>
    <m/>
    <m/>
    <m/>
    <m/>
    <m/>
    <m/>
    <n v="0"/>
  </r>
  <r>
    <x v="5"/>
    <x v="12"/>
    <x v="12"/>
    <x v="42"/>
    <x v="42"/>
    <x v="149"/>
    <s v="Desplegar en el territori les campanyes de sensibilització i bones pràctiques que s'impulsin des de la DG"/>
    <s v="Comú"/>
    <s v="Obligatori"/>
    <x v="150"/>
    <m/>
    <x v="0"/>
    <m/>
    <s v="A.4.1.4. Organització i celebració del &quot;Dia Europeu dels Parcs&quot; al PN dels Ports (CETS)"/>
    <m/>
    <m/>
    <m/>
    <m/>
    <x v="1"/>
    <m/>
    <m/>
    <m/>
    <m/>
    <m/>
    <m/>
    <s v="AUP"/>
    <s v="SMM"/>
    <m/>
    <s v="CETS"/>
    <s v="Pla d'acció 2022-2026 de la CETS."/>
    <m/>
    <m/>
    <m/>
    <m/>
    <m/>
    <m/>
    <n v="0"/>
  </r>
  <r>
    <x v="5"/>
    <x v="12"/>
    <x v="12"/>
    <x v="42"/>
    <x v="42"/>
    <x v="150"/>
    <s v="Adaptar el programa de divulgació i sensibilització de l'ENP perquè incorpori una oferta d’activitats adequada per a famílies "/>
    <s v="Comú"/>
    <s v="Optatiu"/>
    <x v="151"/>
    <m/>
    <x v="0"/>
    <s v="ALTA"/>
    <s v="EA5. Dissenyar una oferta d’activitats específica per a famílies en el marc dels programes dirigits als centres educatius locals i la població local (PEEVA): Realització d'activitats guiades adreçades a grups familiars o d'adults en temps de lleure, mitjançant el contracte de serveis d'informació, educació i voluntariat a l'ENP (AG-2024-17)"/>
    <m/>
    <m/>
    <m/>
    <m/>
    <x v="135"/>
    <s v="PEEVA_x000a_ESNATURA"/>
    <m/>
    <s v="Nombre anual d'activitats guiades"/>
    <n v="2"/>
    <n v="4"/>
    <m/>
    <s v="AUP"/>
    <s v="JMFR/CFF"/>
    <m/>
    <s v="PEEVA"/>
    <s v="Pla estratègic 2021-2030 d'educació i voluntariat ambiental "/>
    <m/>
    <m/>
    <m/>
    <m/>
    <m/>
    <m/>
    <n v="0"/>
  </r>
  <r>
    <x v="5"/>
    <x v="12"/>
    <x v="12"/>
    <x v="42"/>
    <x v="42"/>
    <x v="151"/>
    <s v="Adaptar el programa de divulgació i sensibilització de l'ENP perquè incorpori una oferta d’activitats adequada per a altres perfils "/>
    <m/>
    <m/>
    <x v="152"/>
    <m/>
    <x v="0"/>
    <m/>
    <s v="Realització de xerrades, ja sigui en instal·lacions pròpies o externes, o virtuals, mitjançant el contracte de serveis d'informació, educació i voluntariat a l'ENP (AG-2024-17)"/>
    <m/>
    <m/>
    <m/>
    <m/>
    <x v="136"/>
    <m/>
    <m/>
    <s v="Nombre anual de xerrades o activitats"/>
    <n v="2"/>
    <n v="4"/>
    <m/>
    <s v="AUP"/>
    <s v="JMFR/CFF"/>
    <m/>
    <s v="CETS"/>
    <s v="Pla d'acció 2022-2026 de la CETS."/>
    <m/>
    <m/>
    <m/>
    <m/>
    <m/>
    <m/>
    <m/>
  </r>
  <r>
    <x v="5"/>
    <x v="12"/>
    <x v="12"/>
    <x v="42"/>
    <x v="42"/>
    <x v="151"/>
    <s v="Adaptar el programa de divulgació i sensibilització de l'ENP perquè incorpori una oferta d’activitats adequada per a altres perfils "/>
    <m/>
    <m/>
    <x v="152"/>
    <m/>
    <x v="1"/>
    <m/>
    <m/>
    <m/>
    <m/>
    <s v="A.4.4.4. Disseny i desenvolupament d'una jornada de cicloturisme al PN (CETS)"/>
    <m/>
    <x v="1"/>
    <m/>
    <m/>
    <m/>
    <m/>
    <m/>
    <m/>
    <s v="AUP"/>
    <s v="JMFR"/>
    <m/>
    <s v="CETS"/>
    <s v="Pla d'acció 2022-2026 de la CETS."/>
    <m/>
    <m/>
    <m/>
    <m/>
    <m/>
    <m/>
    <m/>
  </r>
  <r>
    <x v="5"/>
    <x v="12"/>
    <x v="12"/>
    <x v="42"/>
    <x v="42"/>
    <x v="151"/>
    <s v="Adaptar el programa de divulgació i sensibilització de l'ENP perquè incorpori una oferta d’activitats adequada per a altres perfils "/>
    <m/>
    <m/>
    <x v="152"/>
    <m/>
    <x v="0"/>
    <m/>
    <s v="Realitzar activitats tècniques especialitzades, mitjançant el contracte de serveis d'informació, educació i voluntariat a l'ENP (AG-2024-17)"/>
    <m/>
    <m/>
    <m/>
    <m/>
    <x v="1"/>
    <m/>
    <m/>
    <m/>
    <m/>
    <m/>
    <m/>
    <s v="AUP"/>
    <s v="JMFR/CFF"/>
    <m/>
    <m/>
    <m/>
    <m/>
    <m/>
    <m/>
    <m/>
    <m/>
    <m/>
    <m/>
  </r>
  <r>
    <x v="5"/>
    <x v="12"/>
    <x v="12"/>
    <x v="42"/>
    <x v="42"/>
    <x v="152"/>
    <s v="Adaptar el programa de divulgació i sensibilització de l'ENP perquè incorpori una oferta d’activitats dirigida al lleure educatiu "/>
    <s v="Comú"/>
    <s v="Optatiu"/>
    <x v="153"/>
    <m/>
    <x v="0"/>
    <s v="ALTA"/>
    <s v="Realització de tallers educatius, ja sigui en equipaments propis, externs o a la natura, mitjançant el contracte de serveis d'informació, educació i voluntariat a l'ENP (AG-2024-17)"/>
    <m/>
    <m/>
    <m/>
    <m/>
    <x v="137"/>
    <s v="PEEVA_x000a_ESNATURA"/>
    <m/>
    <s v="1) Nombre d'activitats destinades al lleure educatiu/educació no formal"/>
    <n v="2"/>
    <n v="4"/>
    <m/>
    <s v="AUP"/>
    <s v="JMFR/CFF"/>
    <m/>
    <m/>
    <m/>
    <m/>
    <m/>
    <m/>
    <m/>
    <m/>
    <m/>
    <m/>
  </r>
  <r>
    <x v="5"/>
    <x v="12"/>
    <x v="12"/>
    <x v="42"/>
    <x v="42"/>
    <x v="152"/>
    <s v="Adaptar el programa de divulgació i sensibilització de l'ENP perquè incorpori una oferta d’activitats dirigida al lleure educatiu "/>
    <s v="Comú"/>
    <s v="Optatiu"/>
    <x v="153"/>
    <m/>
    <x v="0"/>
    <s v="ALTA"/>
    <s v="ERP3. Actualitzar i crear nous recursos pedagògics de suport a les activitats educatives (PEEVA): Realització d'activitats guiades adreçades a grups d'infants i joves en temps de lleure, mitjançant el contracte de serveis d'informació, educació i voluntariat a l'ENP (AG-2024-17)"/>
    <m/>
    <m/>
    <m/>
    <m/>
    <x v="1"/>
    <s v="PEEVA_x000a_ESNATURA"/>
    <m/>
    <m/>
    <m/>
    <m/>
    <m/>
    <s v="AUP"/>
    <s v="JMFR/CFF"/>
    <m/>
    <s v="PEEVA"/>
    <s v="Pla estratègic 2021-2030 d'educació i voluntariat ambiental "/>
    <m/>
    <m/>
    <m/>
    <m/>
    <m/>
    <m/>
    <m/>
  </r>
  <r>
    <x v="5"/>
    <x v="12"/>
    <x v="12"/>
    <x v="43"/>
    <x v="43"/>
    <x v="153"/>
    <s v="Identificar col·lectius estratègics implicats en la gestió i l'ús del territori"/>
    <s v="Comú"/>
    <s v="Obligatori"/>
    <x v="154"/>
    <m/>
    <x v="1"/>
    <m/>
    <m/>
    <s v="Parlem-ne"/>
    <m/>
    <s v="Identificar col·lectius estratègics implicats en la gestió i l'ús del territori"/>
    <m/>
    <x v="138"/>
    <s v="PEEVA_x000a_ESNATURA"/>
    <m/>
    <m/>
    <m/>
    <m/>
    <m/>
    <s v="AUP"/>
    <s v="JMFR"/>
    <m/>
    <m/>
    <m/>
    <m/>
    <m/>
    <m/>
    <m/>
    <m/>
    <m/>
    <n v="0"/>
  </r>
  <r>
    <x v="5"/>
    <x v="12"/>
    <x v="12"/>
    <x v="43"/>
    <x v="43"/>
    <x v="154"/>
    <s v="Executar els projectes de sensibilització i formació dirigits al sector turístic, esportiu i de lleure"/>
    <s v="Comú"/>
    <s v="Optatiu"/>
    <x v="155"/>
    <s v="La resta de sectors ja estan inclosos en altres Ops"/>
    <x v="1"/>
    <s v="ALTA"/>
    <m/>
    <m/>
    <m/>
    <m/>
    <m/>
    <x v="1"/>
    <s v="PEEVA_x000a_ESNATURA"/>
    <m/>
    <m/>
    <m/>
    <m/>
    <m/>
    <s v="AUP"/>
    <s v="JMFR"/>
    <m/>
    <m/>
    <m/>
    <m/>
    <m/>
    <m/>
    <m/>
    <m/>
    <m/>
    <n v="0"/>
  </r>
  <r>
    <x v="5"/>
    <x v="12"/>
    <x v="12"/>
    <x v="43"/>
    <x v="43"/>
    <x v="155"/>
    <s v="Executar els projectes de sensibilització i formació dirigits als agents de lleure educatiu "/>
    <s v="Comú"/>
    <s v="Optatiu"/>
    <x v="156"/>
    <s v="Eliminar: se solapa amb 'Op 13.4.4"/>
    <x v="1"/>
    <s v="ALTA"/>
    <m/>
    <m/>
    <m/>
    <m/>
    <m/>
    <x v="1"/>
    <s v="PEEVA_x000a_ESNATURA"/>
    <m/>
    <m/>
    <m/>
    <m/>
    <m/>
    <m/>
    <m/>
    <m/>
    <m/>
    <m/>
    <m/>
    <m/>
    <m/>
    <m/>
    <m/>
    <m/>
    <n v="0"/>
  </r>
  <r>
    <x v="5"/>
    <x v="12"/>
    <x v="12"/>
    <x v="43"/>
    <x v="43"/>
    <x v="156"/>
    <s v="Executar els projectes de sensibilització i formació dirigits als agents del sector primari "/>
    <s v="Comú"/>
    <s v="Optatiu"/>
    <x v="157"/>
    <m/>
    <x v="1"/>
    <s v="ALTA"/>
    <m/>
    <s v="No ho hem emprés mai."/>
    <m/>
    <s v="EA6. Articular estratègies de difusió i formació adreçades als agents socioeconòmics d’àmbit local per afrontar certes problemàtiques que afecten el Parc Natural (PEEVA)"/>
    <m/>
    <x v="139"/>
    <s v="PEEVA_x000a_ESNATURA"/>
    <m/>
    <m/>
    <m/>
    <m/>
    <m/>
    <s v="AUP"/>
    <s v="JMFR"/>
    <m/>
    <s v="PEEVA"/>
    <s v="Pla estratègic 2021-2030 d'educació i voluntariat ambiental "/>
    <m/>
    <m/>
    <m/>
    <m/>
    <m/>
    <m/>
    <n v="0"/>
  </r>
  <r>
    <x v="5"/>
    <x v="12"/>
    <x v="12"/>
    <x v="43"/>
    <x v="43"/>
    <x v="157"/>
    <s v="Elaborar i renovar periòdicament un programa d’educació ambiental adreçat a la població local que contribueixi a fomentar el sentiment de pertinença i la implicació en la conservació de l'ENP"/>
    <s v="Comú"/>
    <s v="Obligatori"/>
    <x v="158"/>
    <m/>
    <x v="0"/>
    <s v="MÀXIMA"/>
    <m/>
    <m/>
    <m/>
    <s v="EA4. Elaborar i implementar un programa específic d’educació ambiental per a la població i les entitats locals amb una oferta d’activitats atractiva i vinculada a esdeveniments locals (PEEVA): Elaborar i difondre una agenda trimestral d'activitats educatives dirigides a la població i les entitats locals."/>
    <m/>
    <x v="140"/>
    <s v="PEEVA_x000a_ESNATURA"/>
    <m/>
    <s v="1) Elaboració de l'agenda_x000a_2) Nombre de cursos per a adults realitzats_x000a_3) Nombre de cicles estivals de xerrades realitzades"/>
    <s v="1) 1_x000a_2) 1_x000a_3) 2"/>
    <s v="1) 1_x000a_2) 2_x000a_3) 4"/>
    <m/>
    <s v="AUP"/>
    <s v="JMFR/SMM"/>
    <m/>
    <s v="PEEVA"/>
    <s v="Pla estratègic 2021-2030 d'educació i voluntariat ambiental "/>
    <m/>
    <m/>
    <m/>
    <m/>
    <m/>
    <m/>
    <n v="0"/>
  </r>
  <r>
    <x v="5"/>
    <x v="12"/>
    <x v="12"/>
    <x v="43"/>
    <x v="43"/>
    <x v="157"/>
    <s v="Elaborar i renovar periòdicament un programa d’educació ambiental adreçat a la població local que contribueixi a fomentar el sentiment de pertinença i la implicació en la conservació de l'ENP"/>
    <s v="Comú"/>
    <s v="Obligatori"/>
    <x v="158"/>
    <m/>
    <x v="0"/>
    <s v="MÀXIMA"/>
    <s v="Tasques de suport a l'Àrea d'ús públic"/>
    <m/>
    <s v="No acaba de quedar clar quina relació té amb el nom de l'OP"/>
    <m/>
    <m/>
    <x v="1"/>
    <s v="PEEVA_x000a_ESNATURA"/>
    <m/>
    <m/>
    <m/>
    <m/>
    <m/>
    <s v="AUP"/>
    <s v="SMM"/>
    <m/>
    <m/>
    <m/>
    <m/>
    <m/>
    <m/>
    <m/>
    <m/>
    <m/>
    <m/>
  </r>
  <r>
    <x v="5"/>
    <x v="12"/>
    <x v="12"/>
    <x v="43"/>
    <x v="43"/>
    <x v="157"/>
    <s v="Elaborar i renovar periòdicament un programa d’educació ambiental adreçat a la població local que contribueixi a fomentar el sentiment de pertinença i la implicació en la conservació de l'ENP"/>
    <s v="Comú"/>
    <s v="Obligatori"/>
    <x v="158"/>
    <m/>
    <x v="0"/>
    <s v="MÀXIMA"/>
    <s v="Planificar, gestionar i executar el cicle estival de xerrades i activitats a Cova Avellanes_x000a_"/>
    <m/>
    <m/>
    <m/>
    <m/>
    <x v="1"/>
    <s v="PEEVA_x000a_ESNATURA"/>
    <m/>
    <m/>
    <m/>
    <m/>
    <m/>
    <s v="AUP"/>
    <s v="CFF"/>
    <m/>
    <m/>
    <m/>
    <m/>
    <m/>
    <m/>
    <m/>
    <m/>
    <m/>
    <m/>
  </r>
  <r>
    <x v="5"/>
    <x v="12"/>
    <x v="12"/>
    <x v="43"/>
    <x v="43"/>
    <x v="157"/>
    <s v="Elaborar i renovar periòdicament un programa d’educació ambiental adreçat a la població local que contribueixi a fomentar el sentiment de pertinença i la implicació en la conservació de l'ENP"/>
    <s v="Comú"/>
    <s v="Obligatori"/>
    <x v="158"/>
    <m/>
    <x v="0"/>
    <s v="MÀXIMA"/>
    <s v="Participar en el curs “Ciència, projectes i investigacions amb accent ebrenc que milloren el món&quot; de la UNED, amb la xerrada &quot;La gestió dels hàbitats forestals al Parc Natural dels Ports: silvicultura de conservació de processos ecològics per adaptar els boscos en context de canvi&quot;_x000a_"/>
    <m/>
    <m/>
    <m/>
    <m/>
    <x v="1"/>
    <m/>
    <m/>
    <m/>
    <m/>
    <m/>
    <m/>
    <m/>
    <m/>
    <m/>
    <m/>
    <m/>
    <m/>
    <m/>
    <m/>
    <m/>
    <m/>
    <m/>
    <m/>
  </r>
  <r>
    <x v="5"/>
    <x v="12"/>
    <x v="12"/>
    <x v="43"/>
    <x v="43"/>
    <x v="157"/>
    <s v="Elaborar i renovar periòdicament un programa d’educació ambiental adreçat a la població local que contribueixi a fomentar el sentiment de pertinença i la implicació en la conservació de l'ENP"/>
    <s v="Comú"/>
    <s v="Obligatori"/>
    <x v="158"/>
    <m/>
    <x v="0"/>
    <s v="MÀXIMA"/>
    <m/>
    <m/>
    <m/>
    <s v="Elaboració del calendari d’activitats de lleure, 2026 (EA Informal) (EDU)"/>
    <m/>
    <x v="1"/>
    <s v="PEEVA_x000a_ESNATURA"/>
    <m/>
    <m/>
    <m/>
    <m/>
    <m/>
    <s v="AUP"/>
    <s v="SMM"/>
    <m/>
    <s v="EDU"/>
    <s v="Programa d'EA 2023-2027"/>
    <m/>
    <m/>
    <m/>
    <m/>
    <m/>
    <m/>
    <n v="0"/>
  </r>
  <r>
    <x v="5"/>
    <x v="12"/>
    <x v="12"/>
    <x v="44"/>
    <x v="44"/>
    <x v="158"/>
    <s v="Identificar els programes, projectes i accions en marxa o previstos a l’ENP que poden rebre el suport del voluntariat"/>
    <s v="Comú"/>
    <s v="Obligatori"/>
    <x v="159"/>
    <m/>
    <x v="0"/>
    <s v="MÀXIMA"/>
    <s v="VA3. Gestionar les demandes de voluntariat i d’accions d’RSC d’empreses d’acord amb els procediments establerts per a tots els parcs naturals (PEEVA)"/>
    <m/>
    <m/>
    <m/>
    <m/>
    <x v="141"/>
    <s v="PEEVA_x000a_ESNATURA"/>
    <m/>
    <m/>
    <m/>
    <m/>
    <m/>
    <s v="AUP"/>
    <s v="CFF"/>
    <m/>
    <s v="PEEVA"/>
    <s v="Pla estratègic 2021-2030 d'educació i voluntariat ambiental "/>
    <m/>
    <m/>
    <m/>
    <m/>
    <m/>
    <m/>
    <n v="0"/>
  </r>
  <r>
    <x v="5"/>
    <x v="12"/>
    <x v="12"/>
    <x v="44"/>
    <x v="44"/>
    <x v="159"/>
    <s v="Establir un model de coordinació territorial amb agents clau del voluntariat ambiental"/>
    <s v="Comú"/>
    <s v="Obligatori"/>
    <x v="160"/>
    <m/>
    <x v="1"/>
    <s v="ALTA"/>
    <s v="Cap"/>
    <m/>
    <m/>
    <m/>
    <m/>
    <x v="82"/>
    <s v="ESNATURA_x000a_PEEVA"/>
    <s v="SEA: Elabora Model de Taula de Voluntariat Ambiental "/>
    <m/>
    <m/>
    <m/>
    <m/>
    <s v="AUP"/>
    <s v="CFF"/>
    <m/>
    <s v="PEEVA"/>
    <s v="Pla estratègic 2021-2030 d'educació i voluntariat ambiental "/>
    <m/>
    <m/>
    <m/>
    <m/>
    <m/>
    <m/>
    <n v="0"/>
  </r>
  <r>
    <x v="5"/>
    <x v="12"/>
    <x v="12"/>
    <x v="44"/>
    <x v="44"/>
    <x v="160"/>
    <s v="Desplegar el Pla estratègic 2021-2030 d’educació i voluntariat ambiental del Parc Natural dels Ports (PEEVA): Voluntariat"/>
    <s v="Comú"/>
    <s v="Obligatori"/>
    <x v="161"/>
    <m/>
    <x v="0"/>
    <m/>
    <s v="0. Coordinació i seguiment del Pla estratègic 2021-2030 d'educació i voluntariat ambiental: Taula Voluntariat Ambiental (PEEVA)"/>
    <m/>
    <m/>
    <m/>
    <m/>
    <x v="142"/>
    <m/>
    <m/>
    <s v="Nombre anual d'activitats dirigides al voluntariat"/>
    <n v="2"/>
    <n v="3"/>
    <m/>
    <s v="AUP"/>
    <s v="CFF/JMFR"/>
    <m/>
    <s v="PEEVA"/>
    <s v="Pla estratègic 2021-2030 d'educació i voluntariat ambiental "/>
    <m/>
    <m/>
    <m/>
    <m/>
    <m/>
    <m/>
    <n v="0"/>
  </r>
  <r>
    <x v="5"/>
    <x v="12"/>
    <x v="12"/>
    <x v="44"/>
    <x v="44"/>
    <x v="160"/>
    <s v="Desplegar el Pla estratègic 2021-2030 d’educació i voluntariat ambiental del Parc Natural dels Ports (PEEVA): Voluntariat"/>
    <s v="Comú"/>
    <s v="Obligatori"/>
    <x v="161"/>
    <m/>
    <x v="0"/>
    <m/>
    <s v="VA2. Facilitar orientacions tècniques i suport continuat a les entitats que demanin fer voluntariat en l’àmbit del Parc Natural (PEEVA)"/>
    <m/>
    <m/>
    <m/>
    <m/>
    <x v="1"/>
    <m/>
    <m/>
    <m/>
    <m/>
    <m/>
    <m/>
    <s v="AUP"/>
    <s v="CFF"/>
    <m/>
    <s v="PEEVA"/>
    <s v="Pla estratègic 2021-2030 d'educació i voluntariat ambiental "/>
    <m/>
    <m/>
    <m/>
    <m/>
    <m/>
    <m/>
    <n v="0"/>
  </r>
  <r>
    <x v="5"/>
    <x v="12"/>
    <x v="12"/>
    <x v="44"/>
    <x v="44"/>
    <x v="160"/>
    <s v="Desplegar el Pla estratègic 2021-2030 d’educació i voluntariat ambiental del Parc Natural dels Ports (PEEVA): Voluntariat"/>
    <s v="Comú"/>
    <s v="Obligatori"/>
    <x v="161"/>
    <m/>
    <x v="0"/>
    <m/>
    <s v="Promoció del voluntariat, dins del marc de la Taula de Voluntariat dels parcs naturals de les Terres de l’Ebre, mitjançant el contracte de serveis d'informació, educació i voluntariat a l'ENP (AG-2024-17)"/>
    <m/>
    <m/>
    <m/>
    <m/>
    <x v="1"/>
    <m/>
    <m/>
    <m/>
    <m/>
    <m/>
    <m/>
    <s v="AUP"/>
    <s v="CFF"/>
    <m/>
    <s v="PEEVA"/>
    <s v="Pla estratègic 2021-2030 d'educació i voluntariat ambiental "/>
    <m/>
    <m/>
    <m/>
    <m/>
    <m/>
    <m/>
    <m/>
  </r>
  <r>
    <x v="5"/>
    <x v="12"/>
    <x v="12"/>
    <x v="45"/>
    <x v="45"/>
    <x v="161"/>
    <s v="Dissenyar i adaptar activitats inclusives per a persones amb necessitats específiques"/>
    <s v="Comú"/>
    <s v="Obligatori"/>
    <x v="162"/>
    <m/>
    <x v="0"/>
    <s v="MITJANA"/>
    <s v="Implementar el protocol d'ús de les Joëlettes, a partir dels criteris de la DG"/>
    <s v="Activitats amb Joelettes, diagnosi de l'ús dels nostres itineraris per part de Joëlette"/>
    <m/>
    <m/>
    <m/>
    <x v="143"/>
    <s v="PEEVA_x000a_ESNATURA"/>
    <m/>
    <s v="Disposar d'un protocol i d'ús de les joëlettes"/>
    <n v="1"/>
    <n v="1"/>
    <m/>
    <s v="AUP"/>
    <s v="JMFR"/>
    <m/>
    <m/>
    <m/>
    <m/>
    <m/>
    <m/>
    <m/>
    <m/>
    <m/>
    <n v="0"/>
  </r>
  <r>
    <x v="5"/>
    <x v="12"/>
    <x v="12"/>
    <x v="45"/>
    <x v="45"/>
    <x v="162"/>
    <s v="Formar el personal de l'ENP (informadors i personal que treballa de cara al públic) en accessibilitat, diversitat funcional i diversitat de gènere"/>
    <s v="Comú"/>
    <s v="Optatiu"/>
    <x v="163"/>
    <m/>
    <x v="0"/>
    <s v="ALTA"/>
    <m/>
    <s v="A valorar??? Repetir formació de SEO/BirdLife"/>
    <m/>
    <s v="Formar el personal de l'ENP (informadors i personal que treballa de cara al públic) en accessibilitat, diversitat funcional i diversitat de gènere"/>
    <m/>
    <x v="144"/>
    <s v="PEEVA_x000a_ESNATURA"/>
    <m/>
    <s v="Jornades de formació"/>
    <n v="1"/>
    <n v="2"/>
    <m/>
    <s v="AUP"/>
    <s v="JMFR"/>
    <m/>
    <m/>
    <m/>
    <m/>
    <m/>
    <m/>
    <m/>
    <m/>
    <m/>
    <n v="0"/>
  </r>
  <r>
    <x v="5"/>
    <x v="12"/>
    <x v="12"/>
    <x v="45"/>
    <x v="45"/>
    <x v="163"/>
    <s v="Incorporar la perspectiva de gènere als continguts i activitats de l'ENP"/>
    <s v="Comú"/>
    <s v="Obligatori"/>
    <x v="164"/>
    <m/>
    <x v="0"/>
    <s v="ALTA"/>
    <s v="Revisió des de la perspectiva de gènere dels nous continguts i activitats de l'ENP"/>
    <m/>
    <m/>
    <m/>
    <m/>
    <x v="145"/>
    <s v="PEEVA_x000a_ESNATURA"/>
    <m/>
    <s v="Percentatge del material editat que incorpora la perspectiva de gènere"/>
    <n v="0.8"/>
    <n v="1"/>
    <m/>
    <s v="AUP"/>
    <s v="SMM"/>
    <m/>
    <m/>
    <m/>
    <m/>
    <m/>
    <m/>
    <m/>
    <m/>
    <m/>
    <n v="0"/>
  </r>
  <r>
    <x v="5"/>
    <x v="12"/>
    <x v="12"/>
    <x v="46"/>
    <x v="46"/>
    <x v="164"/>
    <s v="Dissenyar, implementar i fomentar itineraris saludables dins dels itineraris oficials dels ENP i en la zona d'influència"/>
    <s v="Comú"/>
    <s v="Optatiu"/>
    <x v="165"/>
    <m/>
    <x v="0"/>
    <s v="ALTA"/>
    <m/>
    <s v=": Mas de Corretja? i Roca Llisa?"/>
    <m/>
    <s v="A.4.2.1. Disseny i desenvolupament d'itineraris saludables (CETS)"/>
    <m/>
    <x v="146"/>
    <s v="PEEVA_x000a_ESNATURA"/>
    <m/>
    <s v="Nombre d'tineraris implementats"/>
    <n v="2"/>
    <n v="4"/>
    <m/>
    <s v="AUP"/>
    <s v="JMFR/AAA"/>
    <m/>
    <s v="CETS"/>
    <s v="Pla d'acció 2022-2026 de la CETS."/>
    <m/>
    <m/>
    <m/>
    <m/>
    <m/>
    <m/>
    <n v="0"/>
  </r>
  <r>
    <x v="5"/>
    <x v="12"/>
    <x v="12"/>
    <x v="46"/>
    <x v="46"/>
    <x v="164"/>
    <s v="Dissenyar, implementar i fomentar itineraris saludables dins dels itineraris oficials dels ENP i en la zona d'influència"/>
    <s v="Comú"/>
    <s v="Optatiu"/>
    <x v="165"/>
    <m/>
    <x v="0"/>
    <s v="ALTA"/>
    <s v="A.4.2.1. Disseny i desenvolupament d'itineraris saludables (CETS): Creació d’itinerari terapèutic a la forest d’utilitat publica de la Mola de Catí (Projecte: Creació de paisatges agroforestals resilients i la provisió de serveis ecosistèmics a Terres de l’Ebre)"/>
    <m/>
    <m/>
    <m/>
    <m/>
    <x v="1"/>
    <s v="PEEVA_x000a_ESNATURA"/>
    <m/>
    <m/>
    <m/>
    <m/>
    <m/>
    <s v="AUP"/>
    <s v="JMFR"/>
    <m/>
    <s v="CETS"/>
    <s v="Pla d'acció 2022-2026 de la CETS."/>
    <m/>
    <m/>
    <m/>
    <m/>
    <m/>
    <n v="5983.6"/>
    <n v="5983.6"/>
  </r>
  <r>
    <x v="5"/>
    <x v="12"/>
    <x v="12"/>
    <x v="46"/>
    <x v="46"/>
    <x v="165"/>
    <s v="Identificar els agents clau i els àmbits de col·laboració per implementar el binomi salut i natura"/>
    <s v="Comú"/>
    <s v="Optatiu"/>
    <x v="166"/>
    <s v="Inclòs a l'Ops 13.8.4: Desplegar la Taula Territorial de Salut i Natura de les Terres de l'Ebre"/>
    <x v="1"/>
    <s v="ALTA"/>
    <m/>
    <m/>
    <m/>
    <m/>
    <m/>
    <x v="1"/>
    <s v="PEEVA_x000a_ESNATURA"/>
    <m/>
    <m/>
    <m/>
    <m/>
    <m/>
    <m/>
    <m/>
    <m/>
    <s v="TSN"/>
    <s v="Taula de Salut i Natura de les Terres de l'Ebre"/>
    <m/>
    <m/>
    <m/>
    <m/>
    <m/>
    <m/>
    <n v="0"/>
  </r>
  <r>
    <x v="5"/>
    <x v="12"/>
    <x v="12"/>
    <x v="46"/>
    <x v="46"/>
    <x v="166"/>
    <s v="Incloure el concepte de salut i natura en els missatges educatius i comunicatius de l'ENP "/>
    <s v="Comú"/>
    <s v="Optatiu"/>
    <x v="167"/>
    <s v="Inclòs a l'Ops 13.8.4: Desplegar la Taula Territorial de Salut i Natura de les Terres de l'Ebre"/>
    <x v="1"/>
    <s v="ALTA"/>
    <m/>
    <m/>
    <m/>
    <m/>
    <m/>
    <x v="1"/>
    <s v="PEEVA_x000a_ESNATURA"/>
    <m/>
    <m/>
    <m/>
    <m/>
    <m/>
    <m/>
    <m/>
    <m/>
    <s v="TSN"/>
    <s v="Taula de Salut i Natura de les Terres de l'Ebre"/>
    <m/>
    <m/>
    <m/>
    <m/>
    <m/>
    <m/>
    <n v="0"/>
  </r>
  <r>
    <x v="5"/>
    <x v="12"/>
    <x v="12"/>
    <x v="46"/>
    <x v="46"/>
    <x v="167"/>
    <s v="Desplegar i/o participar a les Taules territorials de Salut i Natura"/>
    <s v="Comú"/>
    <s v="Optatiu"/>
    <x v="168"/>
    <m/>
    <x v="0"/>
    <s v="ALTA"/>
    <s v="Participar en les reunions de la Taula Natura i Salut de les Terres de l'Ebre"/>
    <s v="Modificar redactat OP concret per: Desplegar i/o participar a la Taula Territorial de Salut i Natura de les Terres de l'Ebre MODIFICAT. OK"/>
    <m/>
    <m/>
    <m/>
    <x v="147"/>
    <m/>
    <m/>
    <s v="Percentatge de reunions de la Taula amb participació del Parc"/>
    <n v="0.8"/>
    <n v="1"/>
    <m/>
    <s v="AUP"/>
    <s v="JMFR"/>
    <m/>
    <s v="TSN"/>
    <s v="Taula de Salut i Natura de les Terres de l'Ebre"/>
    <m/>
    <m/>
    <m/>
    <m/>
    <m/>
    <m/>
    <n v="0"/>
  </r>
  <r>
    <x v="5"/>
    <x v="12"/>
    <x v="12"/>
    <x v="46"/>
    <x v="46"/>
    <x v="167"/>
    <s v="Desplegar i/o participar a les Taules territorials de Salut i Natura"/>
    <s v="Comú"/>
    <s v="Optatiu"/>
    <x v="168"/>
    <m/>
    <x v="0"/>
    <s v="ALTA"/>
    <s v="Participar en les reunions i els grups de treball de la Taula Natura de Catalunya"/>
    <m/>
    <m/>
    <m/>
    <m/>
    <x v="1"/>
    <m/>
    <m/>
    <m/>
    <m/>
    <m/>
    <m/>
    <s v="AUP"/>
    <s v="JMFR"/>
    <m/>
    <s v="TSN"/>
    <s v="Taula de Salut i Natura de les Terres de l'Ebre"/>
    <m/>
    <m/>
    <m/>
    <m/>
    <m/>
    <m/>
    <m/>
  </r>
  <r>
    <x v="5"/>
    <x v="12"/>
    <x v="12"/>
    <x v="46"/>
    <x v="46"/>
    <x v="167"/>
    <s v="Desplegar i/o participar a les Taules territorials de Salut i Natura"/>
    <s v="Comú"/>
    <s v="Optatiu"/>
    <x v="168"/>
    <m/>
    <x v="0"/>
    <s v="ALTA"/>
    <s v="Promoure i participar en l'elaboració d'un pla d'acció de la Taula Natura i Salut de les Terres de l'Ebre"/>
    <m/>
    <m/>
    <m/>
    <m/>
    <x v="1"/>
    <m/>
    <m/>
    <m/>
    <m/>
    <m/>
    <m/>
    <s v="AUP"/>
    <s v="JMFR"/>
    <m/>
    <s v="TSN"/>
    <s v="Taula de Salut i Natura de les Terres de l'Ebre"/>
    <m/>
    <m/>
    <m/>
    <m/>
    <m/>
    <m/>
    <m/>
  </r>
  <r>
    <x v="5"/>
    <x v="13"/>
    <x v="13"/>
    <x v="47"/>
    <x v="47"/>
    <x v="168"/>
    <s v="Informar periòdicament sobre les tasques, projectes i actuacions que duu a terme l'ENP a la població"/>
    <s v="Comú"/>
    <s v="Obligatori"/>
    <x v="169"/>
    <m/>
    <x v="0"/>
    <s v="MITJANA"/>
    <s v="Informar periòdicament als ajuntaments sobre les activitats i actuacions promogudes des del Parc"/>
    <m/>
    <m/>
    <m/>
    <m/>
    <x v="148"/>
    <s v="Pla de comunicació"/>
    <s v="SENP: Elaborar els productes comunicatius"/>
    <s v="1) Nombre anual de comunicats als ajuntaments_x000a_2) Nombre de Cingles publicats_x000a_3) Nombre de Memòries publicades_x000a_4) Nombre anual de fires amb participació del PN"/>
    <s v="1) 3_x000a_2) 3_x000a_3) 4_x000a_4) 2"/>
    <s v="1) 4_x000a_2) 4_x000a_3) 4_x000a_4) 4"/>
    <m/>
    <s v="AUP"/>
    <s v="SMM"/>
    <m/>
    <m/>
    <m/>
    <m/>
    <m/>
    <m/>
    <m/>
    <m/>
    <m/>
    <n v="0"/>
  </r>
  <r>
    <x v="5"/>
    <x v="13"/>
    <x v="13"/>
    <x v="47"/>
    <x v="47"/>
    <x v="168"/>
    <s v="Informar periòdicament sobre les tasques, projectes i actuacions que duu a terme l'ENP a la població"/>
    <s v="Comú"/>
    <s v="Obligatori"/>
    <x v="169"/>
    <m/>
    <x v="0"/>
    <m/>
    <s v="Cingles: Elaboració butlletí Cingles (disseny gràfic...)_x000a_"/>
    <m/>
    <m/>
    <m/>
    <m/>
    <x v="1"/>
    <m/>
    <m/>
    <m/>
    <m/>
    <m/>
    <m/>
    <s v="AUP"/>
    <s v="SMM"/>
    <m/>
    <m/>
    <m/>
    <m/>
    <m/>
    <m/>
    <m/>
    <m/>
    <m/>
    <n v="0"/>
  </r>
  <r>
    <x v="5"/>
    <x v="13"/>
    <x v="13"/>
    <x v="47"/>
    <x v="47"/>
    <x v="168"/>
    <s v="Informar periòdicament sobre les tasques, projectes i actuacions que duu a terme l'ENP a la població"/>
    <s v="Comú"/>
    <s v="Obligatori"/>
    <x v="169"/>
    <m/>
    <x v="0"/>
    <m/>
    <s v="A.3.7. Publicacions per posar en valor als diferents artesans/es al butlletí Cingles (ARTESAN)"/>
    <m/>
    <m/>
    <m/>
    <m/>
    <x v="1"/>
    <m/>
    <m/>
    <m/>
    <m/>
    <m/>
    <m/>
    <s v="AUP"/>
    <s v="SMM"/>
    <m/>
    <s v="ARTESAN"/>
    <s v="Pla d'acció per al foment de l'artesania del Parc Natural dels Ports (2023-2027)"/>
    <m/>
    <m/>
    <m/>
    <m/>
    <m/>
    <m/>
    <n v="0"/>
  </r>
  <r>
    <x v="5"/>
    <x v="13"/>
    <x v="13"/>
    <x v="47"/>
    <x v="47"/>
    <x v="168"/>
    <s v="Informar periòdicament sobre les tasques, projectes i actuacions que duu a terme l'ENP a la població"/>
    <s v="Comú"/>
    <s v="Obligatori"/>
    <x v="169"/>
    <m/>
    <x v="0"/>
    <m/>
    <s v="Memòria d'actuacions: coordinació elaboració dels continguts de la Maquetació Memòria 2025"/>
    <m/>
    <m/>
    <m/>
    <m/>
    <x v="1"/>
    <m/>
    <m/>
    <m/>
    <m/>
    <m/>
    <m/>
    <s v="AUP"/>
    <s v="SMM"/>
    <m/>
    <m/>
    <m/>
    <m/>
    <m/>
    <m/>
    <m/>
    <m/>
    <m/>
    <m/>
  </r>
  <r>
    <x v="5"/>
    <x v="13"/>
    <x v="13"/>
    <x v="47"/>
    <x v="47"/>
    <x v="168"/>
    <s v="Informar periòdicament sobre les tasques, projectes i actuacions que duu a terme l'ENP a la població"/>
    <s v="Comú"/>
    <s v="Obligatori"/>
    <x v="169"/>
    <m/>
    <x v="0"/>
    <m/>
    <s v="Memòria d'actuacions: Maquetació Memòria 2025"/>
    <m/>
    <m/>
    <m/>
    <m/>
    <x v="1"/>
    <m/>
    <m/>
    <m/>
    <m/>
    <m/>
    <m/>
    <s v="AUP"/>
    <s v="SMM"/>
    <m/>
    <m/>
    <m/>
    <m/>
    <m/>
    <m/>
    <m/>
    <m/>
    <m/>
    <n v="0"/>
  </r>
  <r>
    <x v="5"/>
    <x v="13"/>
    <x v="13"/>
    <x v="47"/>
    <x v="47"/>
    <x v="168"/>
    <s v="Informar periòdicament sobre les tasques, projectes i actuacions que duu a terme l'ENP a la població"/>
    <s v="Comú"/>
    <s v="Obligatori"/>
    <x v="169"/>
    <m/>
    <x v="0"/>
    <m/>
    <s v="Cingles: Edició del butlletí Cingles (coordinació)"/>
    <m/>
    <m/>
    <m/>
    <m/>
    <x v="1"/>
    <m/>
    <m/>
    <m/>
    <m/>
    <m/>
    <m/>
    <s v="AUP"/>
    <s v="SMM"/>
    <m/>
    <m/>
    <m/>
    <m/>
    <m/>
    <m/>
    <m/>
    <m/>
    <m/>
    <n v="0"/>
  </r>
  <r>
    <x v="5"/>
    <x v="13"/>
    <x v="13"/>
    <x v="47"/>
    <x v="47"/>
    <x v="168"/>
    <s v="Informar periòdicament sobre les tasques, projectes i actuacions que duu a terme l'ENP a la població"/>
    <s v="Comú"/>
    <s v="Obligatori"/>
    <x v="169"/>
    <m/>
    <x v="0"/>
    <m/>
    <s v="Cingles: Impressió Cingles"/>
    <m/>
    <m/>
    <m/>
    <m/>
    <x v="1"/>
    <m/>
    <m/>
    <m/>
    <m/>
    <m/>
    <m/>
    <s v="AUP"/>
    <s v="SMM"/>
    <m/>
    <m/>
    <m/>
    <m/>
    <m/>
    <m/>
    <m/>
    <m/>
    <m/>
    <n v="0"/>
  </r>
  <r>
    <x v="5"/>
    <x v="13"/>
    <x v="13"/>
    <x v="47"/>
    <x v="47"/>
    <x v="168"/>
    <s v="Informar periòdicament sobre les tasques, projectes i actuacions que duu a terme l'ENP a la població"/>
    <s v="Comú"/>
    <s v="Obligatori"/>
    <x v="169"/>
    <m/>
    <x v="0"/>
    <m/>
    <s v="Memòria d'actuacions: Impressió Memòria 2023"/>
    <m/>
    <m/>
    <m/>
    <m/>
    <x v="1"/>
    <m/>
    <m/>
    <m/>
    <m/>
    <m/>
    <m/>
    <s v="AUP"/>
    <s v="SMM"/>
    <m/>
    <m/>
    <m/>
    <m/>
    <m/>
    <m/>
    <m/>
    <m/>
    <m/>
    <n v="0"/>
  </r>
  <r>
    <x v="5"/>
    <x v="13"/>
    <x v="13"/>
    <x v="47"/>
    <x v="47"/>
    <x v="168"/>
    <s v="Informar periòdicament sobre les tasques, projectes i actuacions que duu a terme l'ENP a la població"/>
    <s v="Comú"/>
    <s v="Obligatori"/>
    <x v="169"/>
    <m/>
    <x v="0"/>
    <m/>
    <s v="Exposició en fires i festivals locals"/>
    <m/>
    <m/>
    <m/>
    <m/>
    <x v="1"/>
    <m/>
    <m/>
    <m/>
    <m/>
    <m/>
    <m/>
    <s v="AUP"/>
    <s v="JMFR"/>
    <m/>
    <m/>
    <m/>
    <m/>
    <m/>
    <m/>
    <m/>
    <m/>
    <m/>
    <n v="0"/>
  </r>
  <r>
    <x v="5"/>
    <x v="13"/>
    <x v="13"/>
    <x v="47"/>
    <x v="47"/>
    <x v="168"/>
    <s v="Informar periòdicament sobre les tasques, projectes i actuacions que duu a terme l'ENP a la població"/>
    <s v="Comú"/>
    <s v="Obligatori"/>
    <x v="169"/>
    <m/>
    <x v="0"/>
    <m/>
    <m/>
    <s v=" Per 2026????"/>
    <m/>
    <s v="1.2.1. Organitzar accions comunicatives amb professionals externs que puguin fer difusió dels productes locals artesans i agroalimentaris (PRODUCT)."/>
    <m/>
    <x v="1"/>
    <m/>
    <m/>
    <m/>
    <m/>
    <m/>
    <m/>
    <s v="AUP"/>
    <s v="SMM"/>
    <m/>
    <s v="PRODUCT"/>
    <s v="Diagnosi dels productors i productores locals del Parc Natural dels Ports. (6.4. Pla d’acció)"/>
    <m/>
    <m/>
    <m/>
    <m/>
    <m/>
    <m/>
    <n v="0"/>
  </r>
  <r>
    <x v="5"/>
    <x v="13"/>
    <x v="13"/>
    <x v="47"/>
    <x v="47"/>
    <x v="168"/>
    <s v="Informar periòdicament sobre les tasques, projectes i actuacions que duu a terme l'ENP a la població"/>
    <s v="Comú"/>
    <s v="Obligatori"/>
    <x v="169"/>
    <m/>
    <x v="0"/>
    <m/>
    <m/>
    <s v=". Crec que no estem alineats per fer-ho. Però en podem parlar."/>
    <m/>
    <s v="1.2.2. Campanya de comunicació conjunta amb la Reserva de la Biosfera Terres de l’Ebre (PRODUCT)"/>
    <m/>
    <x v="1"/>
    <m/>
    <m/>
    <m/>
    <m/>
    <m/>
    <m/>
    <s v="AUP"/>
    <s v="SMM"/>
    <m/>
    <s v="PRODUCT"/>
    <s v="Diagnosi dels productors i productores locals del Parc Natural dels Ports. (6.4. Pla d’acció)"/>
    <m/>
    <m/>
    <m/>
    <m/>
    <m/>
    <m/>
    <n v="0"/>
  </r>
  <r>
    <x v="5"/>
    <x v="13"/>
    <x v="13"/>
    <x v="47"/>
    <x v="47"/>
    <x v="168"/>
    <s v="Informar periòdicament sobre les tasques, projectes i actuacions que duu a terme l'ENP a la població"/>
    <s v="Comú"/>
    <s v="Obligatori"/>
    <x v="169"/>
    <m/>
    <x v="0"/>
    <m/>
    <m/>
    <s v=". Cingles? O memòria oral? Per al 2026 tenim recull de la memòria oral (ARTESANIA)"/>
    <m/>
    <s v="1.2.3. Programa d’entrevistes als productors/es i artesans/es (PRODUCT)"/>
    <m/>
    <x v="1"/>
    <m/>
    <m/>
    <m/>
    <m/>
    <m/>
    <m/>
    <s v="AUP"/>
    <s v="SMM"/>
    <m/>
    <s v="PRODUCT"/>
    <s v="Diagnosi dels productors i productores locals del Parc Natural dels Ports. (6.4. Pla d’acció)"/>
    <m/>
    <m/>
    <m/>
    <m/>
    <m/>
    <m/>
    <n v="0"/>
  </r>
  <r>
    <x v="5"/>
    <x v="13"/>
    <x v="13"/>
    <x v="48"/>
    <x v="48"/>
    <x v="169"/>
    <s v="Sensibilitzar als diferents agents sobre els valors de l'ENP"/>
    <s v="Comú"/>
    <s v="Obligatori"/>
    <x v="170"/>
    <m/>
    <x v="0"/>
    <s v="MITJANA"/>
    <s v="Cursos sobre patrimoni natural (Picampall i altres)"/>
    <m/>
    <m/>
    <m/>
    <m/>
    <x v="149"/>
    <m/>
    <s v="SEA: Crear material divulgatiu"/>
    <s v="1) Disposar de material oficial (itineraris, mapa i regulació d'activitats) en format paper_x000a_2) Nombre anual de cursos realitzats_x000a_3) Nombre anual de nius amb webcam_x000a_4) Nombre de projectes museogràfics realitzats"/>
    <s v="1) 1_x000a_2) 2_x000a_3) 0_x000a_4) 1"/>
    <s v="1) 1_x000a_2) 4_x000a_3) 1_x000a_4) 3"/>
    <m/>
    <s v="AUP"/>
    <s v="JMFR/JMQ"/>
    <m/>
    <m/>
    <m/>
    <m/>
    <m/>
    <m/>
    <m/>
    <m/>
    <m/>
    <n v="0"/>
  </r>
  <r>
    <x v="5"/>
    <x v="13"/>
    <x v="13"/>
    <x v="48"/>
    <x v="48"/>
    <x v="169"/>
    <s v="Sensibilitzar als diferents agents sobre els valors de l'ENP"/>
    <s v="Comú"/>
    <s v="Obligatori"/>
    <x v="170"/>
    <m/>
    <x v="0"/>
    <m/>
    <m/>
    <m/>
    <m/>
    <s v="Rollers marcenca: il·lustracions, disseny , suports"/>
    <m/>
    <x v="1"/>
    <m/>
    <m/>
    <m/>
    <m/>
    <m/>
    <m/>
    <s v="AUP"/>
    <s v="SMM/JMQ"/>
    <m/>
    <m/>
    <m/>
    <m/>
    <m/>
    <m/>
    <m/>
    <m/>
    <m/>
    <n v="0"/>
  </r>
  <r>
    <x v="5"/>
    <x v="13"/>
    <x v="13"/>
    <x v="48"/>
    <x v="48"/>
    <x v="169"/>
    <s v="Sensibilitzar als diferents agents sobre els valors de l'ENP"/>
    <s v="Comú"/>
    <s v="Obligatori"/>
    <x v="170"/>
    <m/>
    <x v="0"/>
    <s v="MITJANA"/>
    <s v="Webcam niu rapinyaires: Connexió internet niu rapinyaires"/>
    <m/>
    <s v="Ítem pressupost. Es podria unificar amb l'actuació de manteniment webcam niu rapinyaires?"/>
    <m/>
    <m/>
    <x v="1"/>
    <m/>
    <s v="SEA: Crear material divulgatiu"/>
    <m/>
    <m/>
    <m/>
    <m/>
    <s v="AUP"/>
    <s v="JMQ"/>
    <m/>
    <m/>
    <m/>
    <m/>
    <m/>
    <m/>
    <m/>
    <m/>
    <m/>
    <m/>
  </r>
  <r>
    <x v="5"/>
    <x v="13"/>
    <x v="13"/>
    <x v="48"/>
    <x v="48"/>
    <x v="169"/>
    <s v="Sensibilitzar als diferents agents sobre els valors de l'ENP"/>
    <s v="Comú"/>
    <s v="Obligatori"/>
    <x v="170"/>
    <m/>
    <x v="0"/>
    <s v="MITJANA"/>
    <s v="Webcam Webcam niu rapinyaires: Manteniment webcam niu rapinyaires"/>
    <m/>
    <m/>
    <m/>
    <m/>
    <x v="1"/>
    <m/>
    <s v="SEA: Crear material divulgatiu"/>
    <m/>
    <m/>
    <m/>
    <m/>
    <s v="AUP"/>
    <s v="JMQ"/>
    <m/>
    <m/>
    <m/>
    <m/>
    <m/>
    <m/>
    <m/>
    <m/>
    <m/>
    <m/>
  </r>
  <r>
    <x v="5"/>
    <x v="13"/>
    <x v="13"/>
    <x v="48"/>
    <x v="48"/>
    <x v="169"/>
    <s v="Sensibilitzar als diferents agents sobre els valors de l'ENP"/>
    <s v="Comú"/>
    <s v="Obligatori"/>
    <x v="170"/>
    <m/>
    <x v="0"/>
    <s v="MITJANA"/>
    <s v="Webcam Webcam niu rapinyaires: Connexió internet casa Cova Avellanes"/>
    <m/>
    <s v="Ítem pressupost. Es podria unificar amb l'actuació de manteniment webcam niu rapinyaires?"/>
    <m/>
    <m/>
    <x v="1"/>
    <m/>
    <s v="SEA: Crear material divulgatiu"/>
    <m/>
    <m/>
    <m/>
    <m/>
    <s v="AUP"/>
    <s v="JMQ"/>
    <m/>
    <m/>
    <m/>
    <m/>
    <m/>
    <m/>
    <m/>
    <m/>
    <m/>
    <m/>
  </r>
  <r>
    <x v="5"/>
    <x v="13"/>
    <x v="13"/>
    <x v="48"/>
    <x v="48"/>
    <x v="169"/>
    <s v="Sensibilitzar als diferents agents sobre els valors de l'ENP"/>
    <s v="Comú"/>
    <s v="Obligatori"/>
    <x v="170"/>
    <m/>
    <x v="0"/>
    <m/>
    <s v="Elaboració de material de difusió sobre el voltor negre (marxandantge)"/>
    <m/>
    <s v="Proposta canvi redactat: Elaboració de material de difusió sobre el voltor negre (marxandantge). ok"/>
    <m/>
    <m/>
    <x v="1"/>
    <m/>
    <m/>
    <m/>
    <m/>
    <m/>
    <m/>
    <s v="AUP"/>
    <s v="JMQ"/>
    <m/>
    <m/>
    <m/>
    <m/>
    <m/>
    <m/>
    <m/>
    <m/>
    <m/>
    <n v="0"/>
  </r>
  <r>
    <x v="5"/>
    <x v="13"/>
    <x v="13"/>
    <x v="48"/>
    <x v="48"/>
    <x v="169"/>
    <s v="Sensibilitzar als diferents agents sobre els valors de l'ENP"/>
    <s v="Comú"/>
    <s v="Obligatori"/>
    <x v="170"/>
    <m/>
    <x v="0"/>
    <m/>
    <s v="ERP4. Recopilar i modernitzar els recursos i materials divulgatius existents adreçats a visitants, en especial les exposicions interpretatives (PEEVA): edició o reedició, i publicació dels materials divulgatius associats a l'ús públic (mapa oficial, itineraris oficials del Parc, regulació d'activitats, etc.)"/>
    <m/>
    <m/>
    <m/>
    <m/>
    <x v="1"/>
    <m/>
    <m/>
    <m/>
    <m/>
    <m/>
    <m/>
    <s v="AUP"/>
    <s v="JMFR/SMM"/>
    <m/>
    <s v="PEEVA"/>
    <s v="Pla estratègic 2021-2030 d'educació i voluntariat ambiental "/>
    <m/>
    <m/>
    <m/>
    <m/>
    <m/>
    <m/>
    <m/>
  </r>
  <r>
    <x v="5"/>
    <x v="13"/>
    <x v="13"/>
    <x v="48"/>
    <x v="48"/>
    <x v="169"/>
    <s v="Sensibilitzar als diferents agents sobre els valors de l'ENP"/>
    <s v="Comú"/>
    <s v="Obligatori"/>
    <x v="170"/>
    <m/>
    <x v="0"/>
    <m/>
    <s v="ERP4. Recopilar i modernitzar els recursos i materials divulgatius existents adreçats a visitants, en especial les exposicions interpretatives (PEEVA): col·laborar amb la DG per a la redacció del projecte museogràfic del CVMO i de l'equipament de Bailen, en el contracte global per lots"/>
    <m/>
    <m/>
    <m/>
    <m/>
    <x v="1"/>
    <m/>
    <m/>
    <m/>
    <m/>
    <m/>
    <m/>
    <s v="AUP"/>
    <s v="JMFR/AAA"/>
    <m/>
    <s v="PEEVA"/>
    <s v="Pla estratègic 2021-2030 d'educació i voluntariat ambiental "/>
    <m/>
    <m/>
    <m/>
    <m/>
    <m/>
    <m/>
    <n v="0"/>
  </r>
  <r>
    <x v="5"/>
    <x v="13"/>
    <x v="13"/>
    <x v="48"/>
    <x v="48"/>
    <x v="169"/>
    <s v="Sensibilitzar als diferents agents sobre els valors de l'ENP"/>
    <s v="Comú"/>
    <s v="Obligatori"/>
    <x v="170"/>
    <m/>
    <x v="0"/>
    <m/>
    <s v="Realització d'una agenda d'activitats per a la celebració del 25è aniversari de la creació del Parc"/>
    <m/>
    <m/>
    <m/>
    <m/>
    <x v="1"/>
    <m/>
    <m/>
    <m/>
    <m/>
    <m/>
    <m/>
    <s v="AUP"/>
    <s v="SMM"/>
    <m/>
    <m/>
    <m/>
    <m/>
    <m/>
    <m/>
    <m/>
    <m/>
    <m/>
    <m/>
  </r>
  <r>
    <x v="5"/>
    <x v="13"/>
    <x v="13"/>
    <x v="49"/>
    <x v="49"/>
    <x v="170"/>
    <s v="Optimitzar els canals de comunicació"/>
    <s v="Comú"/>
    <s v="Obligatori"/>
    <x v="171"/>
    <m/>
    <x v="0"/>
    <s v="MITJANA"/>
    <s v="Manteniment i actualització de la pàgina web"/>
    <m/>
    <m/>
    <m/>
    <m/>
    <x v="150"/>
    <s v="Pla de comunicació"/>
    <m/>
    <s v="1) Nombre anual de revisions i d'actualitzacions de la web del PN realitzades_x000a_2) Nombre anual de publicacions en xarxes socials_x000a_3) Nombre anual de notes de premsa publicades"/>
    <s v="1) 200_x000a_2) 100_x000a_3) 2"/>
    <s v="1) 300_x000a_2) 150_x000a_3) 4"/>
    <m/>
    <s v="AUP"/>
    <s v="SMM"/>
    <m/>
    <m/>
    <m/>
    <m/>
    <m/>
    <m/>
    <m/>
    <m/>
    <m/>
    <n v="0"/>
  </r>
  <r>
    <x v="5"/>
    <x v="13"/>
    <x v="13"/>
    <x v="49"/>
    <x v="49"/>
    <x v="170"/>
    <s v="Optimitzar els canals de comunicació"/>
    <s v="Comú"/>
    <s v="Obligatori"/>
    <x v="171"/>
    <m/>
    <x v="0"/>
    <s v="MITJANA"/>
    <s v="Manteniment i actualització de les xarxes socials"/>
    <m/>
    <m/>
    <m/>
    <m/>
    <x v="1"/>
    <s v="Pla de comunicació"/>
    <m/>
    <m/>
    <m/>
    <m/>
    <m/>
    <s v="AUP"/>
    <s v="SMM"/>
    <m/>
    <m/>
    <m/>
    <m/>
    <m/>
    <m/>
    <m/>
    <m/>
    <m/>
    <m/>
  </r>
  <r>
    <x v="5"/>
    <x v="13"/>
    <x v="13"/>
    <x v="49"/>
    <x v="49"/>
    <x v="170"/>
    <s v="Optimitzar els canals de comunicació"/>
    <s v="Comú"/>
    <s v="Obligatori"/>
    <x v="171"/>
    <m/>
    <x v="0"/>
    <s v="MITJANA"/>
    <s v="Elaborar notes de premsa en col·laboració de la DG"/>
    <m/>
    <m/>
    <m/>
    <m/>
    <x v="1"/>
    <s v="Pla de comunicació"/>
    <m/>
    <m/>
    <m/>
    <m/>
    <m/>
    <s v="AUP"/>
    <s v="SMM"/>
    <m/>
    <m/>
    <m/>
    <m/>
    <m/>
    <m/>
    <m/>
    <m/>
    <m/>
    <m/>
  </r>
  <r>
    <x v="5"/>
    <x v="13"/>
    <x v="13"/>
    <x v="49"/>
    <x v="49"/>
    <x v="171"/>
    <s v="Garantir l'harmonització de la comunicació com a Parc, Xarxa i Generalitat."/>
    <s v="Comú"/>
    <s v="Obligatori"/>
    <x v="172"/>
    <s v="Inclòs en l'Op anterior"/>
    <x v="0"/>
    <s v="MITJANA"/>
    <s v="Participar en les reunions de coordinació amb la DG sobre comunicació"/>
    <m/>
    <m/>
    <m/>
    <m/>
    <x v="151"/>
    <s v="Pla de comunicació"/>
    <m/>
    <s v="Percentatge anual de reunions amb participació del PN"/>
    <n v="0.9"/>
    <n v="1"/>
    <m/>
    <s v="AUP"/>
    <s v="SMM"/>
    <m/>
    <m/>
    <m/>
    <m/>
    <m/>
    <m/>
    <m/>
    <m/>
    <m/>
    <n v="0"/>
  </r>
  <r>
    <x v="6"/>
    <x v="14"/>
    <x v="14"/>
    <x v="50"/>
    <x v="50"/>
    <x v="172"/>
    <s v="Crear una taula de treball amb els agents prioritaris per a la gestió de l'ENP i els grups de treball temàtics necessaris"/>
    <s v="Comú"/>
    <s v="Optatiu"/>
    <x v="173"/>
    <s v="Redacció més realista d'acord amb la llei"/>
    <x v="0"/>
    <s v="MITJANA"/>
    <m/>
    <m/>
    <m/>
    <s v="Crear taules de treball temàtiques amb els agents prioritaris per a la gestió de l'ENP"/>
    <m/>
    <x v="152"/>
    <m/>
    <m/>
    <s v="1) Espais de participació actius_x000a__x000a_"/>
    <s v="1) 3"/>
    <s v="1) 6"/>
    <m/>
    <s v="DIR"/>
    <s v="ACM"/>
    <m/>
    <m/>
    <m/>
    <m/>
    <m/>
    <m/>
    <m/>
    <m/>
    <m/>
    <n v="0"/>
  </r>
  <r>
    <x v="6"/>
    <x v="14"/>
    <x v="14"/>
    <x v="50"/>
    <x v="50"/>
    <x v="173"/>
    <s v="Disposar d'assessorament científic en l'ENP"/>
    <s v="Comú"/>
    <s v="Optatiu"/>
    <x v="174"/>
    <m/>
    <x v="0"/>
    <s v="MITJANA"/>
    <s v="Identificar els equips científics experts en àmbits temàtics clau en la gestió del Parc"/>
    <m/>
    <m/>
    <m/>
    <m/>
    <x v="153"/>
    <m/>
    <m/>
    <s v="Creació d'un llistat d'equips científics experts en àmbits temàtics clau"/>
    <n v="1"/>
    <n v="1"/>
    <m/>
    <s v="APR"/>
    <s v="JMQ"/>
    <m/>
    <m/>
    <m/>
    <m/>
    <m/>
    <m/>
    <m/>
    <m/>
    <m/>
    <n v="0"/>
  </r>
  <r>
    <x v="6"/>
    <x v="14"/>
    <x v="14"/>
    <x v="50"/>
    <x v="50"/>
    <x v="174"/>
    <s v="Incloure entitats i organismes científics i culturals de referència en els mecanismes de presa de decisions de l'ENP"/>
    <s v="Comú"/>
    <s v="Optatiu"/>
    <x v="175"/>
    <s v="No pertoca; en tot cas inclòs en l'Op anterior"/>
    <x v="1"/>
    <s v="MITJANA"/>
    <m/>
    <m/>
    <m/>
    <m/>
    <m/>
    <x v="1"/>
    <m/>
    <m/>
    <m/>
    <m/>
    <m/>
    <m/>
    <s v="DIR"/>
    <s v="ACM"/>
    <m/>
    <m/>
    <m/>
    <m/>
    <m/>
    <m/>
    <m/>
    <m/>
    <m/>
    <n v="0"/>
  </r>
  <r>
    <x v="6"/>
    <x v="14"/>
    <x v="14"/>
    <x v="50"/>
    <x v="50"/>
    <x v="175"/>
    <s v="Adaptar i desplegar el model de governança dels espais naturals protegits"/>
    <s v="Comú"/>
    <s v="Obligatori"/>
    <x v="176"/>
    <m/>
    <x v="0"/>
    <s v="MITJANA"/>
    <s v="Participar en la definició del model de governança dels espais naturals protegits per part de la DG"/>
    <m/>
    <m/>
    <m/>
    <m/>
    <x v="154"/>
    <m/>
    <s v="SENP: Elaborar una proposta de model de governança dels espais naturals protegits"/>
    <s v="Fer aportacions al model de governança proposat per la DG"/>
    <n v="1"/>
    <n v="1"/>
    <m/>
    <s v="DIR"/>
    <s v="ACM"/>
    <m/>
    <m/>
    <m/>
    <m/>
    <m/>
    <m/>
    <m/>
    <m/>
    <m/>
    <n v="0"/>
  </r>
  <r>
    <x v="6"/>
    <x v="14"/>
    <x v="14"/>
    <x v="50"/>
    <x v="50"/>
    <x v="176"/>
    <m/>
    <m/>
    <m/>
    <x v="177"/>
    <s v="NOU. S'incorporen les tasques que es realitzen actualment (convocatòries, actes, gestió de la documentació, manteniment Teams...)"/>
    <x v="0"/>
    <m/>
    <s v="Gestió del calendari i les convocatòries de les sessions, ordinàries i extraordinàries"/>
    <m/>
    <m/>
    <m/>
    <m/>
    <x v="155"/>
    <m/>
    <m/>
    <s v="1) Nombre de sessions de Junta rectora realitzades_x000a_2) Percentatge d'acords de Junta assolits_x000a_3) Nombre de programes anuals d'actuació aprovats per Junta "/>
    <s v="1) 2_x000a_2) 90%_x000a_3) 4"/>
    <s v="1) 3_x000a_2) 100%_x000a_3) 4"/>
    <m/>
    <s v="AAGE"/>
    <s v="EBQ"/>
    <m/>
    <m/>
    <m/>
    <m/>
    <m/>
    <m/>
    <m/>
    <m/>
    <m/>
    <n v="0"/>
  </r>
  <r>
    <x v="6"/>
    <x v="14"/>
    <x v="14"/>
    <x v="50"/>
    <x v="50"/>
    <x v="176"/>
    <m/>
    <m/>
    <m/>
    <x v="177"/>
    <s v="NOU. S'incorporen les tasques que es realitzen actualment (convocatòries, actes, gestió de la documentació, manteniment Teams...)"/>
    <x v="0"/>
    <m/>
    <s v="Preparació de l'ordre del dia de cada sessió amb la presidència, les vicepresidències, la DG i els SSTT"/>
    <m/>
    <m/>
    <m/>
    <m/>
    <x v="1"/>
    <m/>
    <m/>
    <m/>
    <m/>
    <m/>
    <m/>
    <s v="DIR"/>
    <s v="ACM"/>
    <m/>
    <m/>
    <m/>
    <m/>
    <m/>
    <m/>
    <m/>
    <m/>
    <m/>
    <n v="0"/>
  </r>
  <r>
    <x v="6"/>
    <x v="14"/>
    <x v="14"/>
    <x v="50"/>
    <x v="50"/>
    <x v="176"/>
    <m/>
    <m/>
    <m/>
    <x v="177"/>
    <s v="NOU. S'incorporen les tasques que es realitzen actualment (convocatòries, actes, gestió de la documentació, manteniment Teams...)"/>
    <x v="0"/>
    <m/>
    <s v="Gestió i seguiment dels acords de Junta rectora "/>
    <m/>
    <m/>
    <m/>
    <m/>
    <x v="1"/>
    <m/>
    <m/>
    <m/>
    <m/>
    <m/>
    <m/>
    <s v="DIR"/>
    <s v="ACM"/>
    <m/>
    <m/>
    <m/>
    <m/>
    <m/>
    <m/>
    <m/>
    <m/>
    <m/>
    <n v="0"/>
  </r>
  <r>
    <x v="6"/>
    <x v="14"/>
    <x v="14"/>
    <x v="50"/>
    <x v="50"/>
    <x v="176"/>
    <m/>
    <m/>
    <m/>
    <x v="177"/>
    <s v="NOU. S'incorporen les tasques que es realitzen actualment (convocatòries, actes, gestió de la documentació, manteniment Teams...)"/>
    <x v="0"/>
    <m/>
    <s v="Manteniment i actualització del canal TEAMS de la Junta rectora"/>
    <m/>
    <m/>
    <m/>
    <m/>
    <x v="1"/>
    <m/>
    <m/>
    <m/>
    <m/>
    <m/>
    <m/>
    <s v="DIR"/>
    <s v="ACM"/>
    <m/>
    <m/>
    <m/>
    <m/>
    <m/>
    <m/>
    <m/>
    <m/>
    <m/>
    <n v="0"/>
  </r>
  <r>
    <x v="6"/>
    <x v="14"/>
    <x v="14"/>
    <x v="50"/>
    <x v="50"/>
    <x v="176"/>
    <m/>
    <m/>
    <m/>
    <x v="177"/>
    <s v="NOU. S'incorporen les tasques que es realitzen actualment (convocatòries, actes, gestió de la documentació, manteniment Teams...)"/>
    <x v="0"/>
    <m/>
    <s v="Participació en la preparació del programa d'actuacions anual, dins del marc del Pla estratègic 2025-2029"/>
    <m/>
    <m/>
    <m/>
    <m/>
    <x v="1"/>
    <m/>
    <m/>
    <m/>
    <m/>
    <m/>
    <m/>
    <s v="DIR"/>
    <s v="ACM"/>
    <m/>
    <m/>
    <m/>
    <m/>
    <m/>
    <m/>
    <m/>
    <m/>
    <m/>
    <m/>
  </r>
  <r>
    <x v="6"/>
    <x v="14"/>
    <x v="14"/>
    <x v="50"/>
    <x v="50"/>
    <x v="176"/>
    <m/>
    <m/>
    <m/>
    <x v="177"/>
    <s v="NOU. S'incorporen les tasques que es realitzen actualment (convocatòries, actes, gestió de la documentació, manteniment Teams...)"/>
    <x v="0"/>
    <m/>
    <s v="Aprovació dels Programes i les Memòries d'actuacions anuals"/>
    <m/>
    <m/>
    <m/>
    <m/>
    <x v="1"/>
    <m/>
    <m/>
    <m/>
    <m/>
    <m/>
    <m/>
    <s v="DIR"/>
    <s v="ACM"/>
    <m/>
    <m/>
    <m/>
    <m/>
    <m/>
    <m/>
    <m/>
    <m/>
    <m/>
    <m/>
  </r>
  <r>
    <x v="6"/>
    <x v="15"/>
    <x v="15"/>
    <x v="51"/>
    <x v="51"/>
    <x v="177"/>
    <s v="Gestionar i millorar administrativament els pressupostos anuals d'entrades i despeses "/>
    <s v="Comú"/>
    <s v="Obligatori"/>
    <x v="178"/>
    <m/>
    <x v="0"/>
    <s v="MITJANA"/>
    <s v="Coordinació, d'acord amb els Serveis Centrals, el control de l'execució del pressupost"/>
    <m/>
    <m/>
    <m/>
    <m/>
    <x v="156"/>
    <m/>
    <s v="UGA: Dissenyar i desplegar el nou sistema de seguiment pressupostari conjunt per a tots els ENP._x000a_SENP:  Crear espais de coordinació entre ENP per identificar les despeses comunes"/>
    <s v="1) Percentatge de compliment del pressupost anual de RAE_x000a_2) Percentatge de compliment del pressupost anual de les aportacions de la Diputació de Tarragona_x000a_3) Concessió de l'Alberg i Centre d'Educació ambiental d'Alfara de Carles"/>
    <s v="1) 80%_x000a_2) 100%_x000a_1) 1"/>
    <s v="1) 90%_x000a_2) 100%_x000a_3) 1"/>
    <m/>
    <s v="AAGE"/>
    <s v="MRA"/>
    <m/>
    <m/>
    <m/>
    <m/>
    <m/>
    <m/>
    <m/>
    <m/>
    <m/>
    <n v="0"/>
  </r>
  <r>
    <x v="6"/>
    <x v="15"/>
    <x v="15"/>
    <x v="51"/>
    <x v="51"/>
    <x v="177"/>
    <s v="Gestionar i millorar administrativament els pressupostos anuals d'entrades i despeses "/>
    <s v="Comú"/>
    <s v="Obligatori"/>
    <x v="178"/>
    <m/>
    <x v="0"/>
    <m/>
    <s v="Despeses apartat de correus"/>
    <m/>
    <m/>
    <m/>
    <m/>
    <x v="1"/>
    <m/>
    <m/>
    <m/>
    <m/>
    <m/>
    <m/>
    <s v="AAGE"/>
    <s v="MRA"/>
    <m/>
    <m/>
    <m/>
    <m/>
    <m/>
    <m/>
    <m/>
    <m/>
    <m/>
    <n v="0"/>
  </r>
  <r>
    <x v="6"/>
    <x v="15"/>
    <x v="15"/>
    <x v="51"/>
    <x v="51"/>
    <x v="177"/>
    <s v="Gestionar i millorar administrativament els pressupostos anuals d'entrades i despeses "/>
    <s v="Comú"/>
    <s v="Obligatori"/>
    <x v="178"/>
    <m/>
    <x v="0"/>
    <m/>
    <s v="Serveis de missatgeria"/>
    <m/>
    <m/>
    <m/>
    <m/>
    <x v="1"/>
    <m/>
    <m/>
    <m/>
    <m/>
    <m/>
    <m/>
    <s v="AAGE"/>
    <s v="MRA"/>
    <m/>
    <m/>
    <m/>
    <m/>
    <m/>
    <m/>
    <m/>
    <m/>
    <m/>
    <n v="0"/>
  </r>
  <r>
    <x v="6"/>
    <x v="15"/>
    <x v="15"/>
    <x v="51"/>
    <x v="51"/>
    <x v="177"/>
    <s v="Gestionar i millorar administrativament els pressupostos anuals d'entrades i despeses "/>
    <s v="Comú"/>
    <s v="Obligatori"/>
    <x v="178"/>
    <m/>
    <x v="0"/>
    <m/>
    <s v="Organització de reunions i cursos"/>
    <m/>
    <m/>
    <m/>
    <m/>
    <x v="1"/>
    <m/>
    <m/>
    <m/>
    <m/>
    <m/>
    <m/>
    <s v="DIR"/>
    <s v="ACM"/>
    <m/>
    <m/>
    <m/>
    <m/>
    <m/>
    <m/>
    <m/>
    <m/>
    <m/>
    <n v="0"/>
  </r>
  <r>
    <x v="6"/>
    <x v="15"/>
    <x v="15"/>
    <x v="51"/>
    <x v="51"/>
    <x v="177"/>
    <s v="Gestionar i millorar administrativament els pressupostos anuals d'entrades i despeses "/>
    <s v="Comú"/>
    <s v="Obligatori"/>
    <x v="178"/>
    <m/>
    <x v="0"/>
    <m/>
    <s v="Despeses bancàries"/>
    <m/>
    <m/>
    <m/>
    <m/>
    <x v="1"/>
    <m/>
    <m/>
    <m/>
    <m/>
    <m/>
    <m/>
    <s v="AAGE"/>
    <s v="MRA"/>
    <m/>
    <m/>
    <m/>
    <m/>
    <m/>
    <m/>
    <m/>
    <m/>
    <m/>
    <n v="0"/>
  </r>
  <r>
    <x v="6"/>
    <x v="15"/>
    <x v="15"/>
    <x v="51"/>
    <x v="51"/>
    <x v="177"/>
    <s v="Gestionar i millorar administrativament els pressupostos anuals d'entrades i despeses "/>
    <s v="Comú"/>
    <s v="Obligatori"/>
    <x v="178"/>
    <m/>
    <x v="0"/>
    <m/>
    <s v="Despeses desplaçaments, reunions i aparcaments"/>
    <m/>
    <m/>
    <m/>
    <m/>
    <x v="1"/>
    <m/>
    <m/>
    <m/>
    <m/>
    <m/>
    <m/>
    <s v="AAGE"/>
    <s v="MRA"/>
    <m/>
    <m/>
    <m/>
    <m/>
    <m/>
    <m/>
    <m/>
    <m/>
    <m/>
    <n v="0"/>
  </r>
  <r>
    <x v="6"/>
    <x v="15"/>
    <x v="15"/>
    <x v="51"/>
    <x v="51"/>
    <x v="177"/>
    <s v="Gestionar i millorar administrativament els pressupostos anuals d'entrades i despeses "/>
    <s v="Comú"/>
    <s v="Obligatori"/>
    <x v="178"/>
    <m/>
    <x v="0"/>
    <m/>
    <s v="Elaboració del Programa d'actuacions anual, juntament amb les Àrees del Parc i la direcció"/>
    <m/>
    <m/>
    <m/>
    <m/>
    <x v="1"/>
    <m/>
    <m/>
    <m/>
    <m/>
    <m/>
    <m/>
    <s v="AAGE"/>
    <s v="MRA"/>
    <m/>
    <m/>
    <m/>
    <m/>
    <m/>
    <m/>
    <m/>
    <m/>
    <m/>
    <n v="0"/>
  </r>
  <r>
    <x v="6"/>
    <x v="15"/>
    <x v="15"/>
    <x v="51"/>
    <x v="51"/>
    <x v="177"/>
    <s v="Gestionar i millorar administrativament els pressupostos anuals d'entrades i despeses "/>
    <s v="Comú"/>
    <s v="Obligatori"/>
    <x v="178"/>
    <m/>
    <x v="0"/>
    <m/>
    <s v="Elaboració del pressupost anual de despesa per RAE, juntament amb les Àrees del Parc i la direcció"/>
    <m/>
    <m/>
    <m/>
    <m/>
    <x v="1"/>
    <m/>
    <m/>
    <m/>
    <m/>
    <m/>
    <m/>
    <s v="AAGE"/>
    <s v="MRA"/>
    <m/>
    <m/>
    <m/>
    <m/>
    <m/>
    <m/>
    <m/>
    <m/>
    <m/>
    <n v="0"/>
  </r>
  <r>
    <x v="6"/>
    <x v="15"/>
    <x v="15"/>
    <x v="51"/>
    <x v="51"/>
    <x v="177"/>
    <s v="Gestionar i millorar administrativament els pressupostos anuals d'entrades i despeses "/>
    <s v="Comú"/>
    <s v="Obligatori"/>
    <x v="178"/>
    <m/>
    <x v="0"/>
    <m/>
    <s v="Preparació i gestió administrativa de l'aportació anual de la Diputació de Tarragona"/>
    <m/>
    <m/>
    <m/>
    <m/>
    <x v="1"/>
    <m/>
    <m/>
    <m/>
    <m/>
    <m/>
    <m/>
    <s v="AAGE"/>
    <s v="MRA"/>
    <m/>
    <m/>
    <m/>
    <m/>
    <m/>
    <m/>
    <m/>
    <m/>
    <m/>
    <n v="0"/>
  </r>
  <r>
    <x v="6"/>
    <x v="15"/>
    <x v="15"/>
    <x v="51"/>
    <x v="51"/>
    <x v="177"/>
    <s v="Gestionar i millorar administrativament els pressupostos anuals d'entrades i despeses "/>
    <s v="Comú"/>
    <s v="Obligatori"/>
    <x v="178"/>
    <m/>
    <x v="0"/>
    <m/>
    <s v="Gestió administrativa dels contractes inclosos en el Programa d'actuacions"/>
    <m/>
    <m/>
    <m/>
    <m/>
    <x v="1"/>
    <m/>
    <m/>
    <m/>
    <m/>
    <m/>
    <m/>
    <s v="AAGE"/>
    <s v="MRA"/>
    <m/>
    <m/>
    <m/>
    <m/>
    <m/>
    <m/>
    <m/>
    <m/>
    <m/>
    <n v="0"/>
  </r>
  <r>
    <x v="6"/>
    <x v="15"/>
    <x v="15"/>
    <x v="51"/>
    <x v="51"/>
    <x v="177"/>
    <s v="Gestionar i millorar administrativament els pressupostos anuals d'entrades i despeses "/>
    <s v="Comú"/>
    <s v="Obligatori"/>
    <x v="178"/>
    <m/>
    <x v="0"/>
    <m/>
    <s v="Gestió administrativa dels ingressos per RAE"/>
    <m/>
    <m/>
    <m/>
    <m/>
    <x v="1"/>
    <m/>
    <m/>
    <m/>
    <m/>
    <m/>
    <m/>
    <s v="AAGE"/>
    <s v="MRA"/>
    <m/>
    <m/>
    <m/>
    <m/>
    <m/>
    <m/>
    <m/>
    <m/>
    <m/>
    <n v="0"/>
  </r>
  <r>
    <x v="6"/>
    <x v="15"/>
    <x v="15"/>
    <x v="51"/>
    <x v="51"/>
    <x v="177"/>
    <s v="Gestionar i millorar administrativament els pressupostos anuals d'entrades i despeses "/>
    <s v="Comú"/>
    <s v="Obligatori"/>
    <x v="178"/>
    <m/>
    <x v="0"/>
    <m/>
    <s v="Elaboració de la Memòria anual del RAE"/>
    <m/>
    <m/>
    <m/>
    <m/>
    <x v="1"/>
    <m/>
    <m/>
    <m/>
    <m/>
    <m/>
    <m/>
    <s v="AAGE"/>
    <s v="MRA"/>
    <m/>
    <m/>
    <m/>
    <m/>
    <m/>
    <m/>
    <m/>
    <m/>
    <m/>
    <n v="0"/>
  </r>
  <r>
    <x v="6"/>
    <x v="15"/>
    <x v="15"/>
    <x v="51"/>
    <x v="51"/>
    <x v="177"/>
    <s v="Gestionar i millorar administrativament els pressupostos anuals d'entrades i despeses "/>
    <s v="Comú"/>
    <s v="Obligatori"/>
    <x v="178"/>
    <m/>
    <x v="0"/>
    <m/>
    <s v="Participació en les reunions periòdiques del GT de RAE dels ENP"/>
    <m/>
    <m/>
    <m/>
    <m/>
    <x v="1"/>
    <m/>
    <m/>
    <m/>
    <m/>
    <m/>
    <m/>
    <s v="AAGE"/>
    <s v="MRA"/>
    <m/>
    <m/>
    <m/>
    <m/>
    <m/>
    <m/>
    <m/>
    <m/>
    <m/>
    <m/>
  </r>
  <r>
    <x v="6"/>
    <x v="15"/>
    <x v="15"/>
    <x v="51"/>
    <x v="51"/>
    <x v="177"/>
    <s v="Gestionar i millorar administrativament els pressupostos anuals d'entrades i despeses "/>
    <s v="Comú"/>
    <s v="Obligatori"/>
    <x v="178"/>
    <m/>
    <x v="0"/>
    <m/>
    <s v="Seguiment dels contractes i encomanes de la DG: contracte de manteniment integral d'edificis (COMSA)"/>
    <m/>
    <m/>
    <m/>
    <m/>
    <x v="1"/>
    <m/>
    <m/>
    <m/>
    <m/>
    <m/>
    <m/>
    <s v="AAGE"/>
    <s v="MRA/AAA"/>
    <m/>
    <m/>
    <m/>
    <m/>
    <m/>
    <m/>
    <m/>
    <m/>
    <m/>
    <n v="0"/>
  </r>
  <r>
    <x v="6"/>
    <x v="15"/>
    <x v="15"/>
    <x v="51"/>
    <x v="51"/>
    <x v="177"/>
    <s v="Gestionar i millorar administrativament els pressupostos anuals d'entrades i despeses "/>
    <s v="Gestionar i millorar administrativament els pressupostos anuals d'entrades i despeses "/>
    <m/>
    <x v="178"/>
    <m/>
    <x v="0"/>
    <m/>
    <s v="Seguiment dels contractes i encomanes de la DG: serveis de neteja"/>
    <m/>
    <m/>
    <m/>
    <m/>
    <x v="1"/>
    <m/>
    <m/>
    <m/>
    <m/>
    <m/>
    <m/>
    <s v="AAGE"/>
    <s v="VPP"/>
    <m/>
    <m/>
    <m/>
    <m/>
    <m/>
    <m/>
    <m/>
    <m/>
    <m/>
    <m/>
  </r>
  <r>
    <x v="6"/>
    <x v="15"/>
    <x v="15"/>
    <x v="51"/>
    <x v="51"/>
    <x v="177"/>
    <s v="Gestionar i millorar administrativament els pressupostos anuals d'entrades i despeses "/>
    <m/>
    <m/>
    <x v="178"/>
    <m/>
    <x v="0"/>
    <m/>
    <s v="Seguiment dels contractes i encomanes de la DG: contracte de vehicles"/>
    <m/>
    <m/>
    <m/>
    <m/>
    <x v="1"/>
    <m/>
    <m/>
    <m/>
    <m/>
    <m/>
    <m/>
    <s v="AAGE"/>
    <s v="EBQ"/>
    <m/>
    <m/>
    <m/>
    <m/>
    <m/>
    <m/>
    <m/>
    <m/>
    <m/>
    <m/>
  </r>
  <r>
    <x v="6"/>
    <x v="15"/>
    <x v="15"/>
    <x v="51"/>
    <x v="51"/>
    <x v="177"/>
    <s v="Gestionar i millorar administrativament els pressupostos anuals d'entrades i despeses "/>
    <s v="Comú"/>
    <s v="Obligatori"/>
    <x v="178"/>
    <m/>
    <x v="0"/>
    <m/>
    <s v="Estudi de viabilitat econòmica de l'Alberg i Centre d'educació ambiental d'Alfara de Carles"/>
    <m/>
    <m/>
    <m/>
    <m/>
    <x v="1"/>
    <m/>
    <m/>
    <m/>
    <m/>
    <m/>
    <m/>
    <s v="AAGE"/>
    <s v="ACM"/>
    <m/>
    <m/>
    <m/>
    <m/>
    <m/>
    <m/>
    <m/>
    <m/>
    <m/>
    <n v="0"/>
  </r>
  <r>
    <x v="6"/>
    <x v="15"/>
    <x v="15"/>
    <x v="51"/>
    <x v="51"/>
    <x v="177"/>
    <s v="Gestionar i millorar administrativament els pressupostos anuals d'entrades i despeses "/>
    <s v="Comú"/>
    <s v="Obligatori"/>
    <x v="178"/>
    <m/>
    <x v="0"/>
    <m/>
    <s v="Promoure l'expedient administratiu de la concessió de l'Alberg i Centre d'educació ambiental d'Alfara de Carles"/>
    <m/>
    <m/>
    <m/>
    <m/>
    <x v="1"/>
    <m/>
    <m/>
    <m/>
    <m/>
    <m/>
    <m/>
    <s v="DIR"/>
    <s v="ACM"/>
    <m/>
    <m/>
    <m/>
    <m/>
    <m/>
    <m/>
    <m/>
    <m/>
    <m/>
    <n v="0"/>
  </r>
  <r>
    <x v="6"/>
    <x v="15"/>
    <x v="15"/>
    <x v="52"/>
    <x v="52"/>
    <x v="178"/>
    <s v="Planificar, detectar les necessitats de contractació del l'ENP per a l'optimització dels contractes a nivell de Xarxa i gestionar els contractes"/>
    <s v="Comú"/>
    <s v="Obligatori"/>
    <x v="179"/>
    <m/>
    <x v="0"/>
    <s v="MITJANA"/>
    <s v="Participar i promoure les necessitats de contractació del l'ENP per a l'optimització dels contractes a nivell de Xarxa"/>
    <m/>
    <m/>
    <m/>
    <m/>
    <x v="157"/>
    <m/>
    <s v="SENP: Crear espais de coordinació entre ENP per detectar necessitats conjuntes."/>
    <s v="Nombre de nous contractes realitzats de forma coordinada amb altres espais"/>
    <n v="5"/>
    <n v="10"/>
    <m/>
    <s v="DIR"/>
    <s v="ACM"/>
    <m/>
    <m/>
    <m/>
    <m/>
    <m/>
    <m/>
    <m/>
    <m/>
    <m/>
    <n v="0"/>
  </r>
  <r>
    <x v="6"/>
    <x v="15"/>
    <x v="15"/>
    <x v="52"/>
    <x v="52"/>
    <x v="179"/>
    <s v="Planificar i gestionar els ajuts"/>
    <s v="Comú"/>
    <s v="Obligatori"/>
    <x v="180"/>
    <m/>
    <x v="0"/>
    <s v="MITJANA"/>
    <s v="Participació i revisió prèvia de les ordres de subvencions destinades als espais naturals de Catalunya, als hàbitats i espècies, en el marc del Programa de desenvolupament rural de Catalunya"/>
    <m/>
    <m/>
    <m/>
    <m/>
    <x v="158"/>
    <m/>
    <m/>
    <s v="Nombre d'aportacions realitzades"/>
    <n v="2"/>
    <n v="4"/>
    <m/>
    <s v="DIR"/>
    <s v="ACM"/>
    <m/>
    <m/>
    <m/>
    <m/>
    <m/>
    <m/>
    <m/>
    <m/>
    <m/>
    <n v="0"/>
  </r>
  <r>
    <x v="6"/>
    <x v="15"/>
    <x v="15"/>
    <x v="52"/>
    <x v="52"/>
    <x v="179"/>
    <s v="Planificar i gestionar els ajuts"/>
    <s v="Comú"/>
    <s v="Obligatori"/>
    <x v="180"/>
    <m/>
    <x v="0"/>
    <s v="MITJANA"/>
    <s v="5.1.2. Identificar actuacions subvencionables dins de l'ordre d'ajuts d'ENP de Catalunya (PRODUCT)"/>
    <m/>
    <m/>
    <m/>
    <m/>
    <x v="1"/>
    <m/>
    <m/>
    <m/>
    <m/>
    <m/>
    <m/>
    <s v="AUP"/>
    <s v="JMFR"/>
    <m/>
    <s v="PRODUCT"/>
    <s v="Diagnosi dels productors i productores locals del Parc Natural dels Ports. (6.4. Pla d’acció)"/>
    <m/>
    <m/>
    <m/>
    <m/>
    <m/>
    <m/>
    <n v="0"/>
  </r>
  <r>
    <x v="6"/>
    <x v="15"/>
    <x v="15"/>
    <x v="52"/>
    <x v="52"/>
    <x v="180"/>
    <s v="Establir i renovar en temps i forma convenis de col·laboració, convenis marc, acords, protocols i altres instruments de col·laboració."/>
    <s v="Comú"/>
    <s v="Obligatori"/>
    <x v="181"/>
    <m/>
    <x v="0"/>
    <s v="MITJANA"/>
    <s v="Identificar els convenis de col·laboració, convenis marc, acords, protocols i altres instruments de col·laboració vigents, caducats o en vies de caducar properament"/>
    <m/>
    <m/>
    <m/>
    <m/>
    <x v="159"/>
    <m/>
    <s v="UGA: Coordinar l'elaboració dels catàlegs col·lectius amb ENP, universitats i centres documentació"/>
    <s v="1) Percentatge de convenis revisats i vigents_x000a_2) Nombre de cases forestals assignades al PN"/>
    <s v="1) 50%_x000a_2) 2"/>
    <s v="1) 100%_x000a_2) 4"/>
    <m/>
    <s v="DIR"/>
    <s v="ACM"/>
    <m/>
    <m/>
    <m/>
    <m/>
    <m/>
    <m/>
    <m/>
    <m/>
    <m/>
    <n v="0"/>
  </r>
  <r>
    <x v="6"/>
    <x v="15"/>
    <x v="15"/>
    <x v="52"/>
    <x v="52"/>
    <x v="180"/>
    <s v="Establir i renovar en temps i forma convenis de col·laboració, convenis marc, acords, protocols i altres instruments de col·laboració."/>
    <s v="Comú"/>
    <s v="Obligatori"/>
    <x v="181"/>
    <m/>
    <x v="0"/>
    <m/>
    <s v="Promoure la renovació i, si escau, la modificació dels convenis caducats o en vies de caducitat"/>
    <m/>
    <m/>
    <m/>
    <m/>
    <x v="1"/>
    <m/>
    <m/>
    <m/>
    <m/>
    <m/>
    <m/>
    <s v="DIR"/>
    <s v="ACM"/>
    <m/>
    <m/>
    <m/>
    <m/>
    <m/>
    <m/>
    <m/>
    <m/>
    <m/>
    <n v="0"/>
  </r>
  <r>
    <x v="6"/>
    <x v="15"/>
    <x v="15"/>
    <x v="52"/>
    <x v="52"/>
    <x v="180"/>
    <s v="Establir i renovar en temps i forma convenis de col·laboració, convenis marc, acords, protocols i altres instruments de col·laboració."/>
    <s v="Comú"/>
    <s v="Obligatori"/>
    <x v="181"/>
    <m/>
    <x v="0"/>
    <m/>
    <s v="Promoure l'assignació d'ús al Parc Natural d'algunes cases forestals en forests públiques (casa de la Vall o del barranc de la Galera, caseta del planter de la Vall o del barranc de la Galera, casetó del Prat d’en Rubera i mas de l’Amat)"/>
    <m/>
    <m/>
    <m/>
    <m/>
    <x v="1"/>
    <m/>
    <m/>
    <m/>
    <m/>
    <m/>
    <m/>
    <s v="DIR"/>
    <s v="ACM"/>
    <m/>
    <m/>
    <m/>
    <m/>
    <m/>
    <m/>
    <m/>
    <m/>
    <m/>
    <n v="0"/>
  </r>
  <r>
    <x v="6"/>
    <x v="15"/>
    <x v="15"/>
    <x v="52"/>
    <x v="52"/>
    <x v="181"/>
    <s v="Participar en l'avaluació i el seguiment de les actuacions derivades dels ajuts (certificacions, expedients administratius, publicitat...)"/>
    <m/>
    <m/>
    <x v="182"/>
    <s v="*NOU. Seguiments de les actuacions amb ajut atorgats (certificacions, expedients administratius...)"/>
    <x v="0"/>
    <m/>
    <s v="Participació en la valoració, el seguiment i la gestió administrativa de les subvencions destinades als espais naturals de Catalunya, als hàbitats i espècies, en el marc del Programa de desenvolupament rural de Catalunya"/>
    <m/>
    <m/>
    <m/>
    <m/>
    <x v="160"/>
    <m/>
    <m/>
    <s v="1) Percentatge d'actuacions subvencionades certificades_x000a_2) Percentatge de consultes sobre subvencions ateses"/>
    <s v="1) 100%_x000a_2) 100%"/>
    <s v="1) 100%_x000a_2) 100%"/>
    <m/>
    <s v="AAGE"/>
    <s v="VPP/EBQ/JSB/AAA"/>
    <m/>
    <m/>
    <m/>
    <m/>
    <m/>
    <m/>
    <m/>
    <m/>
    <m/>
    <n v="0"/>
  </r>
  <r>
    <x v="6"/>
    <x v="15"/>
    <x v="15"/>
    <x v="52"/>
    <x v="52"/>
    <x v="181"/>
    <s v="Participar en l'avaluació i el seguiment de les actuacions derivades dels ajuts (certificacions, expedients administratius, publicitat...)"/>
    <m/>
    <m/>
    <x v="182"/>
    <s v="*NOU. Seguiments de les actuacions amb ajut atorgats (certificacions, expedients administratius...)"/>
    <x v="0"/>
    <m/>
    <s v="Participació en la valoració, el seguiment i la gestió administrativa de les subvencions a entitats ambientals sense ànim de lucre de Catalunya per al finançament de projectes que millorin l'estat de conservació del patrimoni natural i la biodiversitat en els espais naturals protegits"/>
    <m/>
    <m/>
    <m/>
    <m/>
    <x v="1"/>
    <m/>
    <m/>
    <m/>
    <m/>
    <m/>
    <m/>
    <s v="AAGE"/>
    <s v="CFF"/>
    <m/>
    <m/>
    <m/>
    <m/>
    <m/>
    <m/>
    <m/>
    <m/>
    <m/>
    <n v="0"/>
  </r>
  <r>
    <x v="6"/>
    <x v="15"/>
    <x v="15"/>
    <x v="52"/>
    <x v="52"/>
    <x v="181"/>
    <s v="Participar en l'avaluació i el seguiment de les actuacions derivades dels ajuts (certificacions, expedients administratius, publicitat...)"/>
    <m/>
    <m/>
    <x v="182"/>
    <s v="*NOU. Seguiments de les actuacions amb ajut atorgats (certificacions, expedients administratius...)"/>
    <x v="0"/>
    <m/>
    <s v="Assessorament a entitats i persones interessades en els ajuts sobre el calendari de les convocatòries, la naturalesa de les actuacions subvencionables i el procediment adiministratiu"/>
    <m/>
    <m/>
    <m/>
    <m/>
    <x v="1"/>
    <m/>
    <m/>
    <m/>
    <m/>
    <m/>
    <m/>
    <s v="AAGE"/>
    <s v="VPP/EBQ/JSB/AAA"/>
    <m/>
    <m/>
    <m/>
    <m/>
    <m/>
    <m/>
    <m/>
    <m/>
    <m/>
    <n v="0"/>
  </r>
  <r>
    <x v="6"/>
    <x v="15"/>
    <x v="15"/>
    <x v="52"/>
    <x v="52"/>
    <x v="182"/>
    <m/>
    <m/>
    <m/>
    <x v="183"/>
    <s v="*NOU."/>
    <x v="0"/>
    <m/>
    <s v="Explorar les possibles col·laboracions en l'àmbit de la conservació de la natura o del patromoni cultural, i de l'ús públic amb el Parc Natural de la Tinença de Benifassà"/>
    <m/>
    <m/>
    <m/>
    <m/>
    <x v="161"/>
    <m/>
    <m/>
    <s v="Nombre d'actuacions realitzades conjuntament"/>
    <n v="2"/>
    <n v="4"/>
    <m/>
    <s v="DIR"/>
    <s v="ACM"/>
    <m/>
    <m/>
    <m/>
    <m/>
    <m/>
    <m/>
    <m/>
    <m/>
    <m/>
    <m/>
  </r>
  <r>
    <x v="6"/>
    <x v="15"/>
    <x v="15"/>
    <x v="53"/>
    <x v="53"/>
    <x v="183"/>
    <s v="Optimitzar l'elaboració d'informes"/>
    <s v="Comú"/>
    <s v="Obligatori"/>
    <x v="184"/>
    <s v="S'afegeixen les tasques que es realitzen actualment. S'afegeixen les autoritzacions"/>
    <x v="0"/>
    <s v="MITJANA"/>
    <s v="Gestió administrativa dels informes dels vectors ambiental i cultural en l'àmbit del Parc Natural i de l'espai de la xarxa Natura 2000"/>
    <m/>
    <m/>
    <m/>
    <m/>
    <x v="162"/>
    <m/>
    <m/>
    <s v="1) Nombre mitjà de dies en atendre els informes_x000a_2) Nombre mitjà de dies en atendre autoritzacions"/>
    <s v="1) 15_x000a_2) 5"/>
    <s v="1) 30_x000a_2) 7"/>
    <m/>
    <s v="AAGE"/>
    <s v="MSSA"/>
    <m/>
    <m/>
    <m/>
    <m/>
    <m/>
    <m/>
    <m/>
    <m/>
    <m/>
    <n v="0"/>
  </r>
  <r>
    <x v="6"/>
    <x v="15"/>
    <x v="15"/>
    <x v="53"/>
    <x v="53"/>
    <x v="183"/>
    <s v="Optimitzar l'elaboració d'informes"/>
    <s v="Comú"/>
    <s v="Obligatori"/>
    <x v="184"/>
    <s v="S'afegeixen les tasques que es realitzen actualment. S'afegeixen les autoritzacions"/>
    <x v="0"/>
    <m/>
    <s v="Manteniment de la base de dades dels informes dels vectors ambiental i cultural en l'àmbit del Parc Natural i de l'espai de la xarxa Natura 2000"/>
    <m/>
    <m/>
    <m/>
    <m/>
    <x v="1"/>
    <m/>
    <m/>
    <m/>
    <m/>
    <m/>
    <m/>
    <s v="AAGE"/>
    <s v="MSSA"/>
    <m/>
    <m/>
    <m/>
    <m/>
    <m/>
    <m/>
    <m/>
    <m/>
    <m/>
    <n v="0"/>
  </r>
  <r>
    <x v="6"/>
    <x v="15"/>
    <x v="15"/>
    <x v="53"/>
    <x v="53"/>
    <x v="183"/>
    <s v="Optimitzar l'elaboració d'informes"/>
    <s v="Comú"/>
    <s v="Obligatori"/>
    <x v="184"/>
    <s v="S'afegeixen les tasques que es realitzen actualment. S'afegeixen les autoritzacions"/>
    <x v="0"/>
    <m/>
    <s v="Gestió administrativa de les autoritzacions emeses en l'àmbit del Parc Natural i de l'espai de la xarxa Natura 2000"/>
    <m/>
    <m/>
    <m/>
    <m/>
    <x v="1"/>
    <m/>
    <m/>
    <m/>
    <m/>
    <m/>
    <m/>
    <s v="AAGE"/>
    <s v="VPP"/>
    <m/>
    <m/>
    <m/>
    <m/>
    <m/>
    <m/>
    <m/>
    <m/>
    <m/>
    <m/>
  </r>
  <r>
    <x v="6"/>
    <x v="15"/>
    <x v="15"/>
    <x v="53"/>
    <x v="53"/>
    <x v="183"/>
    <s v="Optimitzar l'elaboració d'informes"/>
    <s v="Comú"/>
    <s v="Obligatori"/>
    <x v="184"/>
    <s v="S'afegeixen les tasques que es realitzen actualment. S'afegeixen les autoritzacions"/>
    <x v="0"/>
    <m/>
    <s v="Facilitar la gestió administrativa establint de manera clara i detallada, des de l’inici del tràmit, la documentació necessària per a la sol·licitud d’informes o permisos al Parc. "/>
    <m/>
    <m/>
    <m/>
    <m/>
    <x v="1"/>
    <m/>
    <m/>
    <m/>
    <m/>
    <m/>
    <m/>
    <m/>
    <m/>
    <m/>
    <m/>
    <m/>
    <m/>
    <m/>
    <m/>
    <m/>
    <m/>
    <m/>
    <m/>
  </r>
  <r>
    <x v="6"/>
    <x v="15"/>
    <x v="15"/>
    <x v="53"/>
    <x v="53"/>
    <x v="184"/>
    <s v="Adequar i actualitzar els procediments i tramitacions realitzats des de l'ENP als nous processos i eines conjuntes proposades des de Serveis Centrals"/>
    <s v="Comú"/>
    <s v="Obligatori"/>
    <x v="185"/>
    <m/>
    <x v="0"/>
    <s v="MITJANA"/>
    <s v="Participar en les reunions periòdiques de coordinació dels ENP amb la DG"/>
    <m/>
    <m/>
    <m/>
    <m/>
    <x v="163"/>
    <m/>
    <s v="UGA: Simplificació i optimització de formularis. Tipificació de peticions (tràmits específics)"/>
    <s v="1) Percentatge d'assistència a les reunions_x000a_2) Percentatge d'expedients entrats al SINATCAT"/>
    <s v="1) 100%_x000a_2) 90%"/>
    <s v="1) 100%_x000a_2) 100%"/>
    <m/>
    <s v="DIR"/>
    <s v="ACM"/>
    <m/>
    <m/>
    <m/>
    <m/>
    <m/>
    <m/>
    <m/>
    <m/>
    <m/>
    <n v="0"/>
  </r>
  <r>
    <x v="6"/>
    <x v="15"/>
    <x v="15"/>
    <x v="53"/>
    <x v="53"/>
    <x v="184"/>
    <s v="Adequar i actualitzar els procediments i tramitacions realitzats des de l'ENP als nous processos i eines conjuntes proposades des de Serveis Centrals"/>
    <s v="Comú"/>
    <s v="Obligatori"/>
    <x v="185"/>
    <m/>
    <x v="0"/>
    <s v="MITJANA"/>
    <s v="Participar en el Pla de Capacitació Digital del Departament"/>
    <m/>
    <m/>
    <m/>
    <m/>
    <x v="1"/>
    <m/>
    <s v="UGA: Simplificació i optimització de formularis. Tipificació de peticions (tràmits específics)"/>
    <m/>
    <m/>
    <m/>
    <m/>
    <m/>
    <m/>
    <m/>
    <m/>
    <m/>
    <m/>
    <m/>
    <m/>
    <m/>
    <m/>
    <m/>
    <m/>
  </r>
  <r>
    <x v="6"/>
    <x v="15"/>
    <x v="15"/>
    <x v="53"/>
    <x v="53"/>
    <x v="184"/>
    <s v="Adequar i actualitzar els procediments i tramitacions realitzats des de l'ENP als nous processos i eines conjuntes proposades des de Serveis Centrals"/>
    <s v="Comú"/>
    <s v="Obligatori"/>
    <x v="185"/>
    <m/>
    <x v="0"/>
    <s v="MITJANA"/>
    <s v="Desplegar i implementar el Sistema d'Informació de la Natura (SINATCAT)"/>
    <m/>
    <m/>
    <m/>
    <m/>
    <x v="1"/>
    <m/>
    <s v="UGA: Simplificació i optimització de formularis. Tipificació de peticions (tràmits específics)"/>
    <m/>
    <m/>
    <m/>
    <m/>
    <s v="DIR"/>
    <s v="ACM"/>
    <m/>
    <m/>
    <m/>
    <m/>
    <m/>
    <m/>
    <m/>
    <m/>
    <m/>
    <m/>
  </r>
  <r>
    <x v="6"/>
    <x v="15"/>
    <x v="15"/>
    <x v="53"/>
    <x v="53"/>
    <x v="185"/>
    <s v="Augmentar el coneixement de l'equip de treball en matèria de procediment administratiu"/>
    <s v="Comú"/>
    <s v="Obligatori"/>
    <x v="186"/>
    <m/>
    <x v="0"/>
    <s v="MITJANA"/>
    <s v="Participar en cursos de formació de procediment administratiu per part de l'equip gestor"/>
    <m/>
    <m/>
    <m/>
    <m/>
    <x v="164"/>
    <m/>
    <m/>
    <s v="Nombre cursos de procediment administratiu assistits_x000a_"/>
    <n v="1"/>
    <n v="3"/>
    <m/>
    <s v="AAGE"/>
    <s v="MSSA/MRA/VPP/EBQ"/>
    <m/>
    <m/>
    <m/>
    <m/>
    <m/>
    <m/>
    <m/>
    <m/>
    <m/>
    <n v="0"/>
  </r>
  <r>
    <x v="6"/>
    <x v="15"/>
    <x v="15"/>
    <x v="53"/>
    <x v="53"/>
    <x v="186"/>
    <s v="Garantir la transparència administrativa"/>
    <s v="Específic"/>
    <s v="Obligatori"/>
    <x v="187"/>
    <s v="S'afegeix l'accés a la informació"/>
    <x v="0"/>
    <s v="MITJANA"/>
    <s v="Redacció i actualització del Pla estratègic del Parc Natural dels Ports (2026-2029)"/>
    <m/>
    <m/>
    <m/>
    <m/>
    <x v="165"/>
    <m/>
    <m/>
    <s v="1) Percentatge de consultes ateses_x000a_2) Disposar del Pla estratègic 2030-2033"/>
    <s v="1) 100%_x000a_2) 1"/>
    <s v="1) 100%_x000a_2) 1"/>
    <m/>
    <s v="DIR"/>
    <s v="ACM"/>
    <m/>
    <m/>
    <m/>
    <m/>
    <m/>
    <m/>
    <m/>
    <m/>
    <m/>
    <n v="0"/>
  </r>
  <r>
    <x v="6"/>
    <x v="15"/>
    <x v="15"/>
    <x v="53"/>
    <x v="53"/>
    <x v="186"/>
    <s v="Garantir la transparència administrativa"/>
    <s v="Específic"/>
    <s v="Obligatori"/>
    <x v="187"/>
    <s v="S'afegeix l'accés a la informació"/>
    <x v="0"/>
    <s v="MITJANA"/>
    <s v="Atendre les consultes i les sol·licituds d'informació (presencials, telèfon, correus electrònics i peticions mitjançant les plataformes electròniques) de la ciutadania, les entitats o les administracions"/>
    <m/>
    <m/>
    <m/>
    <m/>
    <x v="1"/>
    <m/>
    <m/>
    <m/>
    <m/>
    <m/>
    <m/>
    <s v="AAGE"/>
    <s v="MSSA/MRA/VPP/EBQ"/>
    <m/>
    <m/>
    <m/>
    <m/>
    <m/>
    <m/>
    <m/>
    <m/>
    <m/>
    <m/>
  </r>
  <r>
    <x v="6"/>
    <x v="15"/>
    <x v="15"/>
    <x v="53"/>
    <x v="53"/>
    <x v="186"/>
    <s v="Garantir la transparència administrativa"/>
    <m/>
    <m/>
    <x v="187"/>
    <m/>
    <x v="0"/>
    <m/>
    <s v="Gestió i control de les comunicacions oficials (correu genèric, SARCAT, EACAT...)"/>
    <m/>
    <m/>
    <m/>
    <m/>
    <x v="1"/>
    <m/>
    <m/>
    <m/>
    <m/>
    <m/>
    <m/>
    <s v="AAGE"/>
    <s v="MSSA/MRA/VPP/EBQ"/>
    <m/>
    <m/>
    <m/>
    <m/>
    <m/>
    <m/>
    <m/>
    <m/>
    <m/>
    <m/>
  </r>
  <r>
    <x v="6"/>
    <x v="15"/>
    <x v="15"/>
    <x v="53"/>
    <x v="53"/>
    <x v="187"/>
    <s v="Millorar i mantenir el material, infraestructures i equipaments de gestió de l'espai"/>
    <s v="Comú"/>
    <s v="Optatiu"/>
    <x v="188"/>
    <s v="no és procediment administratiu (16.3). Passat a 16.4.4"/>
    <x v="1"/>
    <s v="MITJANA"/>
    <m/>
    <s v="D'acord. Eliminat camp columna J perquè quedi clar que no es contempla. Deixat com a objectiu sense mesures incorporades a la planificació anual de l'espai. OK"/>
    <m/>
    <m/>
    <m/>
    <x v="1"/>
    <m/>
    <m/>
    <m/>
    <m/>
    <m/>
    <m/>
    <m/>
    <m/>
    <m/>
    <m/>
    <m/>
    <m/>
    <m/>
    <m/>
    <m/>
    <m/>
    <m/>
    <n v="0"/>
  </r>
  <r>
    <x v="6"/>
    <x v="15"/>
    <x v="15"/>
    <x v="54"/>
    <x v="54"/>
    <x v="188"/>
    <s v="Revisar l’estat dels béns patrimonials i la situació administrativa-legal dels equipaments del parc"/>
    <s v="Comú"/>
    <s v="Obligatori"/>
    <x v="189"/>
    <m/>
    <x v="0"/>
    <s v="MÀXIMA"/>
    <s v="Tramitar la cessió de domini de l'Ecomuseu dels Ports_x000a_"/>
    <m/>
    <m/>
    <m/>
    <m/>
    <x v="166"/>
    <m/>
    <s v="UGA: tramitar els expedients de cessió de titularitat, declaracions d'obra nova, compra, lloguer, etc."/>
    <s v="Nombre de cessions de domini assolides"/>
    <n v="2"/>
    <n v="3"/>
    <m/>
    <s v="AIM"/>
    <s v="AAA"/>
    <m/>
    <m/>
    <m/>
    <m/>
    <m/>
    <m/>
    <m/>
    <m/>
    <m/>
    <n v="0"/>
  </r>
  <r>
    <x v="6"/>
    <x v="15"/>
    <x v="15"/>
    <x v="54"/>
    <x v="54"/>
    <x v="188"/>
    <s v="Revisar l’estat dels béns patrimonials i la situació administrativa-legal dels equipaments del parc"/>
    <s v="Comú"/>
    <s v="Obligatori"/>
    <x v="189"/>
    <m/>
    <x v="0"/>
    <m/>
    <s v="Tramitar la cessió de domini l'aparcament del CVTA"/>
    <m/>
    <m/>
    <m/>
    <m/>
    <x v="1"/>
    <m/>
    <m/>
    <m/>
    <m/>
    <m/>
    <m/>
    <m/>
    <m/>
    <m/>
    <m/>
    <m/>
    <m/>
    <m/>
    <m/>
    <m/>
    <m/>
    <m/>
    <m/>
  </r>
  <r>
    <x v="6"/>
    <x v="15"/>
    <x v="15"/>
    <x v="54"/>
    <x v="54"/>
    <x v="188"/>
    <s v="Revisar l’estat dels béns patrimonials i la situació administrativa-legal dels equipaments del parc"/>
    <s v="Comú"/>
    <s v="Obligatori"/>
    <x v="189"/>
    <m/>
    <x v="0"/>
    <m/>
    <s v="Tramitar la cessió de domini del terreny del centre de natura del Mas de Barberans"/>
    <m/>
    <m/>
    <m/>
    <m/>
    <x v="1"/>
    <m/>
    <m/>
    <m/>
    <m/>
    <m/>
    <m/>
    <m/>
    <m/>
    <m/>
    <m/>
    <m/>
    <m/>
    <m/>
    <m/>
    <m/>
    <m/>
    <m/>
    <m/>
  </r>
  <r>
    <x v="6"/>
    <x v="15"/>
    <x v="15"/>
    <x v="54"/>
    <x v="54"/>
    <x v="189"/>
    <s v="Tenir cobertes les pèrdues o danys materials del patrimoni de la Direcció General que hi ha a l'àmbit territorial del Parc, com a conseqüència de la materialització de qualsevol dels riscs emparats en el plec de prescripcions tècniques de la pòlissa."/>
    <s v="Comú"/>
    <s v="Obligatori"/>
    <x v="190"/>
    <s v="No depèn, en últim terme, de nosaltres. Millora del redactat"/>
    <x v="0"/>
    <s v="MÀXIMA"/>
    <s v="Col·laborar en la tramitació i la definició dels riscos de pèrdues o danys materials del patrimoni de la Generalitat de Catalunya en l'àmbit territorial del Parc per part de les pòlisses d'assegurances"/>
    <m/>
    <m/>
    <m/>
    <m/>
    <x v="167"/>
    <m/>
    <s v="UGA: Tramitar les assegurances dels béns patrimonials."/>
    <s v="Percentatge d'equipaments i béns assegurats/amb alarma"/>
    <n v="1"/>
    <n v="1"/>
    <m/>
    <s v="AIM"/>
    <s v="AAA"/>
    <m/>
    <m/>
    <m/>
    <m/>
    <m/>
    <m/>
    <m/>
    <m/>
    <m/>
    <n v="0"/>
  </r>
  <r>
    <x v="6"/>
    <x v="15"/>
    <x v="15"/>
    <x v="54"/>
    <x v="54"/>
    <x v="190"/>
    <m/>
    <s v="Comú"/>
    <s v="Obligatori"/>
    <x v="191"/>
    <s v="*NOU. Ídem a l'anterior però en responsabilibitat civil"/>
    <x v="0"/>
    <m/>
    <s v="Col·laborar en la tramitació i la definició dels riscos de les pòlisses d'assegurances de responsabilitat patrimonial i civil "/>
    <m/>
    <m/>
    <m/>
    <m/>
    <x v="168"/>
    <m/>
    <m/>
    <s v="Percentatge de protocols de riscos laborals signats"/>
    <n v="1"/>
    <n v="1"/>
    <m/>
    <s v="AIM"/>
    <s v="AAA"/>
    <m/>
    <m/>
    <m/>
    <m/>
    <m/>
    <m/>
    <m/>
    <m/>
    <m/>
    <n v="0"/>
  </r>
  <r>
    <x v="6"/>
    <x v="15"/>
    <x v="15"/>
    <x v="54"/>
    <x v="54"/>
    <x v="190"/>
    <m/>
    <m/>
    <m/>
    <x v="191"/>
    <m/>
    <x v="0"/>
    <m/>
    <s v="Control i seguiment dels protocols de riscos laborals d'empreses i entitats que treballen en equipaments del parc"/>
    <m/>
    <m/>
    <m/>
    <m/>
    <x v="1"/>
    <m/>
    <m/>
    <m/>
    <m/>
    <m/>
    <m/>
    <s v="AIM"/>
    <s v="EBQ/AAA"/>
    <m/>
    <m/>
    <m/>
    <m/>
    <m/>
    <m/>
    <m/>
    <m/>
    <m/>
    <m/>
  </r>
  <r>
    <x v="6"/>
    <x v="15"/>
    <x v="15"/>
    <x v="54"/>
    <x v="54"/>
    <x v="191"/>
    <m/>
    <m/>
    <m/>
    <x v="192"/>
    <s v="*NOU. És equivalent a l'Op Millorar i mantenir el material i infraestructures de gestió (16.3.4)"/>
    <x v="0"/>
    <m/>
    <s v="Treballs de manteniment dels equipaments de gestió per part de la brigada del Parc, fora del contracte de manteniment integral d'edificis"/>
    <m/>
    <m/>
    <m/>
    <m/>
    <x v="169"/>
    <m/>
    <m/>
    <s v="Percentatge d'incidències resoltes"/>
    <n v="1"/>
    <n v="1"/>
    <m/>
    <s v="AIM"/>
    <s v="AAA"/>
    <m/>
    <m/>
    <m/>
    <m/>
    <m/>
    <m/>
    <m/>
    <m/>
    <m/>
    <m/>
  </r>
  <r>
    <x v="6"/>
    <x v="15"/>
    <x v="15"/>
    <x v="54"/>
    <x v="54"/>
    <x v="191"/>
    <m/>
    <m/>
    <m/>
    <x v="192"/>
    <s v="*NOU. És equivalent a l'Op Millorar i mantenir el material i infraestructures de gestió (16.3.4)"/>
    <x v="0"/>
    <m/>
    <s v="Materials de ferreteria - fusta"/>
    <m/>
    <m/>
    <m/>
    <m/>
    <x v="1"/>
    <m/>
    <m/>
    <m/>
    <m/>
    <m/>
    <m/>
    <s v="AIM"/>
    <s v="AAA"/>
    <m/>
    <m/>
    <m/>
    <m/>
    <m/>
    <m/>
    <m/>
    <m/>
    <m/>
    <n v="0"/>
  </r>
  <r>
    <x v="6"/>
    <x v="15"/>
    <x v="15"/>
    <x v="54"/>
    <x v="54"/>
    <x v="191"/>
    <m/>
    <m/>
    <m/>
    <x v="192"/>
    <s v="*NOU. És equivalent a l'Op Millorar i mantenir el material i infraestructures de gestió (16.3.4)"/>
    <x v="0"/>
    <m/>
    <s v="Materials de construcció"/>
    <m/>
    <m/>
    <m/>
    <m/>
    <x v="1"/>
    <m/>
    <m/>
    <m/>
    <m/>
    <m/>
    <m/>
    <s v="AIM"/>
    <s v="AAA"/>
    <m/>
    <m/>
    <m/>
    <m/>
    <m/>
    <m/>
    <m/>
    <m/>
    <m/>
    <n v="0"/>
  </r>
  <r>
    <x v="6"/>
    <x v="15"/>
    <x v="15"/>
    <x v="54"/>
    <x v="54"/>
    <x v="191"/>
    <m/>
    <m/>
    <m/>
    <x v="192"/>
    <s v="*NOU. És equivalent a l'Op Millorar i mantenir el material i infraestructures de gestió (16.3.4)"/>
    <x v="0"/>
    <m/>
    <s v="Materials de ferreteria - instal·lacions"/>
    <m/>
    <m/>
    <m/>
    <m/>
    <x v="1"/>
    <m/>
    <m/>
    <m/>
    <m/>
    <m/>
    <m/>
    <s v="AIM"/>
    <s v="AAA"/>
    <m/>
    <m/>
    <m/>
    <m/>
    <m/>
    <m/>
    <m/>
    <m/>
    <m/>
    <n v="0"/>
  </r>
  <r>
    <x v="6"/>
    <x v="15"/>
    <x v="15"/>
    <x v="54"/>
    <x v="54"/>
    <x v="191"/>
    <m/>
    <m/>
    <m/>
    <x v="192"/>
    <s v="*NOU. És equivalent a l'Op Millorar i mantenir el material i infraestructures de gestió (16.3.4)"/>
    <x v="0"/>
    <m/>
    <s v="Materials de pintura"/>
    <m/>
    <m/>
    <m/>
    <m/>
    <x v="1"/>
    <m/>
    <m/>
    <m/>
    <m/>
    <m/>
    <m/>
    <s v="AIM"/>
    <s v="AAA"/>
    <m/>
    <m/>
    <m/>
    <m/>
    <m/>
    <m/>
    <m/>
    <m/>
    <m/>
    <n v="0"/>
  </r>
  <r>
    <x v="6"/>
    <x v="15"/>
    <x v="15"/>
    <x v="54"/>
    <x v="54"/>
    <x v="191"/>
    <m/>
    <m/>
    <m/>
    <x v="192"/>
    <s v="*NOU. És equivalent a l'Op Millorar i mantenir el material i infraestructures de gestió (16.3.4)"/>
    <x v="0"/>
    <m/>
    <s v="Manteniments diversos"/>
    <m/>
    <m/>
    <m/>
    <m/>
    <x v="1"/>
    <m/>
    <m/>
    <m/>
    <m/>
    <m/>
    <m/>
    <s v="AIM"/>
    <s v="AAA"/>
    <m/>
    <m/>
    <m/>
    <m/>
    <m/>
    <m/>
    <m/>
    <m/>
    <m/>
    <n v="0"/>
  </r>
  <r>
    <x v="6"/>
    <x v="15"/>
    <x v="15"/>
    <x v="54"/>
    <x v="54"/>
    <x v="191"/>
    <m/>
    <m/>
    <m/>
    <x v="192"/>
    <s v="*NOU. És equivalent a l'Op Millorar i mantenir el material i infraestructures de gestió (16.3.4)"/>
    <x v="0"/>
    <m/>
    <s v="Materials de fontaneria i electricitat"/>
    <m/>
    <m/>
    <m/>
    <m/>
    <x v="1"/>
    <m/>
    <m/>
    <m/>
    <m/>
    <m/>
    <m/>
    <s v="AIM"/>
    <s v="AAA"/>
    <m/>
    <m/>
    <m/>
    <m/>
    <m/>
    <m/>
    <m/>
    <m/>
    <m/>
    <n v="0"/>
  </r>
  <r>
    <x v="6"/>
    <x v="15"/>
    <x v="15"/>
    <x v="54"/>
    <x v="54"/>
    <x v="191"/>
    <m/>
    <m/>
    <m/>
    <x v="192"/>
    <s v="*NOU. És equivalent a l'Op Millorar i mantenir el material i infraestructures de gestió (16.3.4)"/>
    <x v="0"/>
    <m/>
    <s v="Manteniment de vehicles"/>
    <m/>
    <m/>
    <m/>
    <m/>
    <x v="1"/>
    <m/>
    <m/>
    <m/>
    <m/>
    <m/>
    <m/>
    <s v="AIM"/>
    <s v="AAA"/>
    <m/>
    <m/>
    <m/>
    <m/>
    <m/>
    <m/>
    <m/>
    <m/>
    <m/>
    <n v="0"/>
  </r>
  <r>
    <x v="6"/>
    <x v="15"/>
    <x v="15"/>
    <x v="54"/>
    <x v="54"/>
    <x v="191"/>
    <m/>
    <m/>
    <m/>
    <x v="192"/>
    <s v="*NOU. És equivalent a l'Op Millorar i mantenir el material i infraestructures de gestió (16.3.4)"/>
    <x v="0"/>
    <m/>
    <s v="Manteniment sistemes informàtics"/>
    <m/>
    <m/>
    <m/>
    <m/>
    <x v="1"/>
    <m/>
    <m/>
    <m/>
    <m/>
    <m/>
    <m/>
    <s v="AIM"/>
    <s v="SMM"/>
    <m/>
    <m/>
    <m/>
    <m/>
    <m/>
    <m/>
    <m/>
    <m/>
    <m/>
    <n v="0"/>
  </r>
  <r>
    <x v="6"/>
    <x v="15"/>
    <x v="15"/>
    <x v="54"/>
    <x v="54"/>
    <x v="191"/>
    <m/>
    <m/>
    <m/>
    <x v="192"/>
    <s v="*NOU. És equivalent a l'Op Millorar i mantenir el material i infraestructures de gestió (16.3.4)"/>
    <x v="0"/>
    <m/>
    <s v="Manteniment de maquinària"/>
    <m/>
    <m/>
    <m/>
    <m/>
    <x v="1"/>
    <m/>
    <m/>
    <m/>
    <m/>
    <m/>
    <m/>
    <s v="AIM"/>
    <s v="AAA"/>
    <m/>
    <m/>
    <m/>
    <m/>
    <m/>
    <m/>
    <m/>
    <m/>
    <m/>
    <n v="0"/>
  </r>
  <r>
    <x v="6"/>
    <x v="15"/>
    <x v="15"/>
    <x v="54"/>
    <x v="54"/>
    <x v="191"/>
    <m/>
    <m/>
    <m/>
    <x v="192"/>
    <s v="*NOU. És equivalent a l'Op Millorar i mantenir el material i infraestructures de gestió (16.3.4)"/>
    <x v="0"/>
    <m/>
    <s v="Combustible Baix Ebre-Montsià per a maquinària"/>
    <m/>
    <m/>
    <m/>
    <m/>
    <x v="1"/>
    <m/>
    <m/>
    <m/>
    <m/>
    <m/>
    <m/>
    <s v="AIM"/>
    <s v="AAA"/>
    <m/>
    <m/>
    <m/>
    <m/>
    <m/>
    <m/>
    <m/>
    <m/>
    <m/>
    <n v="0"/>
  </r>
  <r>
    <x v="6"/>
    <x v="15"/>
    <x v="15"/>
    <x v="54"/>
    <x v="54"/>
    <x v="191"/>
    <m/>
    <m/>
    <m/>
    <x v="192"/>
    <s v="*NOU. És equivalent a l'Op Millorar i mantenir el material i infraestructures de gestió (16.3.4)"/>
    <x v="0"/>
    <m/>
    <s v="Combustible Terra Alta per a maquinària"/>
    <m/>
    <m/>
    <m/>
    <m/>
    <x v="1"/>
    <m/>
    <m/>
    <m/>
    <m/>
    <m/>
    <m/>
    <s v="AIM"/>
    <s v="AAA"/>
    <m/>
    <m/>
    <m/>
    <m/>
    <m/>
    <m/>
    <m/>
    <m/>
    <m/>
    <n v="0"/>
  </r>
  <r>
    <x v="6"/>
    <x v="15"/>
    <x v="15"/>
    <x v="54"/>
    <x v="54"/>
    <x v="191"/>
    <m/>
    <m/>
    <m/>
    <x v="192"/>
    <s v="*NOU. És equivalent a l'Op Millorar i mantenir el material i infraestructures de gestió (16.3.4)"/>
    <x v="0"/>
    <m/>
    <s v="Altres despeses diverses"/>
    <m/>
    <m/>
    <m/>
    <m/>
    <x v="1"/>
    <m/>
    <m/>
    <m/>
    <m/>
    <m/>
    <m/>
    <s v="AIM"/>
    <s v="AAA"/>
    <m/>
    <m/>
    <m/>
    <m/>
    <m/>
    <m/>
    <m/>
    <m/>
    <m/>
    <n v="0"/>
  </r>
  <r>
    <x v="6"/>
    <x v="15"/>
    <x v="15"/>
    <x v="54"/>
    <x v="54"/>
    <x v="191"/>
    <m/>
    <m/>
    <m/>
    <x v="192"/>
    <s v="*NOU. És equivalent a l'Op Millorar i mantenir el material i infraestructures de gestió (16.3.4)"/>
    <x v="0"/>
    <m/>
    <s v="Manteniment sistemes audiovisuals"/>
    <m/>
    <m/>
    <m/>
    <m/>
    <x v="1"/>
    <m/>
    <m/>
    <m/>
    <m/>
    <m/>
    <m/>
    <s v="AIM"/>
    <s v="SMM"/>
    <m/>
    <m/>
    <m/>
    <m/>
    <m/>
    <m/>
    <m/>
    <m/>
    <m/>
    <n v="0"/>
  </r>
  <r>
    <x v="6"/>
    <x v="15"/>
    <x v="15"/>
    <x v="54"/>
    <x v="54"/>
    <x v="191"/>
    <m/>
    <m/>
    <m/>
    <x v="192"/>
    <s v="*NOU. És equivalent a l'Op Millorar i mantenir el material i infraestructures de gestió (16.3.4)"/>
    <x v="0"/>
    <m/>
    <s v="Material d'oficina"/>
    <m/>
    <m/>
    <m/>
    <m/>
    <x v="1"/>
    <m/>
    <m/>
    <m/>
    <m/>
    <m/>
    <m/>
    <s v="AAGE"/>
    <s v="MSSA"/>
    <m/>
    <m/>
    <m/>
    <m/>
    <m/>
    <m/>
    <m/>
    <m/>
    <m/>
    <n v="0"/>
  </r>
  <r>
    <x v="6"/>
    <x v="15"/>
    <x v="15"/>
    <x v="55"/>
    <x v="55"/>
    <x v="192"/>
    <s v="Millorar l'accessibilitat i de la gestió documental i digital de l'ENP"/>
    <s v="Comú"/>
    <s v="Obligatori"/>
    <x v="193"/>
    <m/>
    <x v="0"/>
    <s v="BAIXA"/>
    <s v="Gestió del Centre de Documentació (catalogació, servei de prèstec, atenció a consultes, etc.)"/>
    <m/>
    <m/>
    <m/>
    <m/>
    <x v="170"/>
    <m/>
    <s v="SENP: Disseny d'una metodologia de treball conjunta"/>
    <s v="1) Percentatge de consultes bibliogràfiques ateses_x000a_2) Nombre de publicacions incorporades al Centre de Documentació"/>
    <s v="1) 100%_x000a_2) 70"/>
    <s v="1) 100%_x000a_2) 100"/>
    <m/>
    <s v="AUP"/>
    <s v="SMM"/>
    <m/>
    <m/>
    <m/>
    <m/>
    <m/>
    <m/>
    <m/>
    <m/>
    <m/>
    <n v="0"/>
  </r>
  <r>
    <x v="6"/>
    <x v="15"/>
    <x v="15"/>
    <x v="55"/>
    <x v="55"/>
    <x v="192"/>
    <s v="Millorar l'accessibilitat i de la gestió documental i digital de l'ENP"/>
    <s v="Comú"/>
    <s v="Obligatori"/>
    <x v="193"/>
    <m/>
    <x v="0"/>
    <m/>
    <s v="Gestió del fons fotogràfic del Centre de Documentació (catalogació, cessió, identificar necessitats...)"/>
    <m/>
    <m/>
    <m/>
    <m/>
    <x v="1"/>
    <m/>
    <m/>
    <m/>
    <m/>
    <m/>
    <m/>
    <s v="AUP"/>
    <s v="SMM"/>
    <m/>
    <m/>
    <m/>
    <m/>
    <m/>
    <m/>
    <m/>
    <m/>
    <m/>
    <m/>
  </r>
  <r>
    <x v="6"/>
    <x v="15"/>
    <x v="15"/>
    <x v="55"/>
    <x v="55"/>
    <x v="192"/>
    <s v="Millorar l'accessibilitat i de la gestió documental i digital de l'ENP"/>
    <s v="Comú"/>
    <s v="Obligatori"/>
    <x v="193"/>
    <m/>
    <x v="0"/>
    <m/>
    <s v="Preparació i càrrega del material documental per al repositori del Departament (Medi Ambient)"/>
    <m/>
    <m/>
    <m/>
    <m/>
    <x v="1"/>
    <m/>
    <m/>
    <m/>
    <m/>
    <m/>
    <m/>
    <s v="AUP"/>
    <s v="SMM"/>
    <m/>
    <m/>
    <m/>
    <m/>
    <m/>
    <m/>
    <m/>
    <m/>
    <m/>
    <m/>
  </r>
  <r>
    <x v="6"/>
    <x v="15"/>
    <x v="15"/>
    <x v="55"/>
    <x v="55"/>
    <x v="192"/>
    <s v="Millorar l'accessibilitat i de la gestió documental i digital de l'ENP"/>
    <s v="Comú"/>
    <s v="Obligatori"/>
    <x v="193"/>
    <m/>
    <x v="0"/>
    <m/>
    <s v="Gestió de l'estoc de publicacions"/>
    <m/>
    <m/>
    <m/>
    <m/>
    <x v="1"/>
    <m/>
    <m/>
    <m/>
    <m/>
    <m/>
    <m/>
    <s v="AUP"/>
    <s v="MSSA"/>
    <m/>
    <m/>
    <m/>
    <m/>
    <m/>
    <m/>
    <m/>
    <m/>
    <m/>
    <m/>
  </r>
  <r>
    <x v="6"/>
    <x v="15"/>
    <x v="15"/>
    <x v="55"/>
    <x v="55"/>
    <x v="192"/>
    <s v="Millorar l'accessibilitat i de la gestió documental i digital de l'ENP"/>
    <s v="Comú"/>
    <s v="Obligatori"/>
    <x v="193"/>
    <m/>
    <x v="0"/>
    <m/>
    <s v="Subscripció revista Quercus"/>
    <m/>
    <m/>
    <m/>
    <m/>
    <x v="1"/>
    <m/>
    <m/>
    <m/>
    <m/>
    <m/>
    <m/>
    <s v="AUP"/>
    <s v="SMM"/>
    <m/>
    <m/>
    <m/>
    <m/>
    <m/>
    <m/>
    <m/>
    <m/>
    <m/>
    <n v="0"/>
  </r>
  <r>
    <x v="6"/>
    <x v="15"/>
    <x v="15"/>
    <x v="55"/>
    <x v="55"/>
    <x v="192"/>
    <s v="Millorar l'accessibilitat i de la gestió documental i digital de l'ENP"/>
    <s v="Comú"/>
    <s v="Obligatori"/>
    <x v="193"/>
    <m/>
    <x v="0"/>
    <m/>
    <s v="Subscripció revista Montes"/>
    <m/>
    <m/>
    <m/>
    <m/>
    <x v="1"/>
    <m/>
    <m/>
    <m/>
    <m/>
    <m/>
    <m/>
    <s v="AUP"/>
    <s v="SMM"/>
    <m/>
    <m/>
    <m/>
    <m/>
    <m/>
    <m/>
    <m/>
    <m/>
    <m/>
    <n v="0"/>
  </r>
  <r>
    <x v="6"/>
    <x v="15"/>
    <x v="15"/>
    <x v="55"/>
    <x v="55"/>
    <x v="192"/>
    <s v="Millorar l'accessibilitat i de la gestió documental i digital de l'ENP"/>
    <s v="Comú"/>
    <s v="Obligatori"/>
    <x v="193"/>
    <m/>
    <x v="0"/>
    <m/>
    <s v="Subscripció setmanari l'Ebre"/>
    <m/>
    <m/>
    <m/>
    <m/>
    <x v="1"/>
    <m/>
    <m/>
    <m/>
    <m/>
    <m/>
    <m/>
    <s v="AUP"/>
    <s v="SMM"/>
    <m/>
    <m/>
    <m/>
    <m/>
    <m/>
    <m/>
    <m/>
    <m/>
    <m/>
    <n v="0"/>
  </r>
  <r>
    <x v="6"/>
    <x v="15"/>
    <x v="15"/>
    <x v="55"/>
    <x v="55"/>
    <x v="192"/>
    <s v="Millorar l'accessibilitat i de la gestió documental i digital de l'ENP"/>
    <s v="Comú"/>
    <s v="Obligatori"/>
    <x v="193"/>
    <m/>
    <x v="0"/>
    <m/>
    <s v="Material promocional (llibres)"/>
    <m/>
    <m/>
    <m/>
    <m/>
    <x v="1"/>
    <m/>
    <m/>
    <m/>
    <m/>
    <m/>
    <m/>
    <s v="AUP"/>
    <s v="SMM"/>
    <m/>
    <m/>
    <m/>
    <m/>
    <m/>
    <m/>
    <m/>
    <m/>
    <m/>
    <n v="0"/>
  </r>
  <r>
    <x v="6"/>
    <x v="15"/>
    <x v="15"/>
    <x v="55"/>
    <x v="55"/>
    <x v="192"/>
    <s v="Millorar l'accessibilitat i de la gestió documental i digital de l'ENP"/>
    <s v="Comú"/>
    <s v="Obligatori"/>
    <x v="193"/>
    <m/>
    <x v="0"/>
    <m/>
    <s v="Quota Flickr"/>
    <m/>
    <m/>
    <m/>
    <m/>
    <x v="1"/>
    <m/>
    <m/>
    <m/>
    <m/>
    <m/>
    <m/>
    <s v="AUP"/>
    <s v="SMM"/>
    <m/>
    <m/>
    <m/>
    <m/>
    <m/>
    <m/>
    <m/>
    <m/>
    <m/>
    <n v="0"/>
  </r>
  <r>
    <x v="6"/>
    <x v="15"/>
    <x v="15"/>
    <x v="55"/>
    <x v="55"/>
    <x v="192"/>
    <s v="Millorar l'accessibilitat i de la gestió documental i digital de l'ENP"/>
    <s v="Comú"/>
    <s v="Obligatori"/>
    <x v="193"/>
    <m/>
    <x v="0"/>
    <m/>
    <s v="Quota ICHN"/>
    <m/>
    <m/>
    <m/>
    <m/>
    <x v="1"/>
    <m/>
    <m/>
    <m/>
    <m/>
    <m/>
    <m/>
    <s v="AUP"/>
    <s v="SMM"/>
    <m/>
    <m/>
    <m/>
    <m/>
    <m/>
    <m/>
    <m/>
    <m/>
    <m/>
    <n v="0"/>
  </r>
  <r>
    <x v="6"/>
    <x v="15"/>
    <x v="15"/>
    <x v="55"/>
    <x v="55"/>
    <x v="192"/>
    <s v="Millorar l'accessibilitat i de la gestió documental i digital de l'ENP"/>
    <s v="Comú"/>
    <s v="Obligatori"/>
    <x v="193"/>
    <m/>
    <x v="0"/>
    <m/>
    <s v="Reportatge fotogràfic d'actes i activitats"/>
    <m/>
    <m/>
    <m/>
    <m/>
    <x v="1"/>
    <m/>
    <m/>
    <m/>
    <m/>
    <m/>
    <m/>
    <s v="AUP"/>
    <s v="SMM"/>
    <m/>
    <m/>
    <m/>
    <m/>
    <m/>
    <m/>
    <m/>
    <m/>
    <m/>
    <n v="0"/>
  </r>
  <r>
    <x v="6"/>
    <x v="15"/>
    <x v="15"/>
    <x v="55"/>
    <x v="55"/>
    <x v="192"/>
    <s v="Millorar l'accessibilitat i de la gestió documental i digital de l'ENP"/>
    <s v="Comú"/>
    <s v="Obligatori"/>
    <x v="193"/>
    <m/>
    <x v="0"/>
    <m/>
    <s v="Fons documental per al Centre de Documentació"/>
    <m/>
    <m/>
    <m/>
    <m/>
    <x v="1"/>
    <m/>
    <m/>
    <m/>
    <m/>
    <m/>
    <m/>
    <s v="AUP"/>
    <s v="SMM"/>
    <m/>
    <m/>
    <m/>
    <m/>
    <m/>
    <m/>
    <m/>
    <m/>
    <m/>
    <n v="0"/>
  </r>
  <r>
    <x v="6"/>
    <x v="15"/>
    <x v="15"/>
    <x v="55"/>
    <x v="55"/>
    <x v="192"/>
    <s v="Millorar l'accessibilitat i de la gestió documental i digital de l'ENP"/>
    <s v="Comú"/>
    <s v="Obligatori"/>
    <x v="193"/>
    <m/>
    <x v="0"/>
    <m/>
    <s v="Natura i Art fotos"/>
    <m/>
    <m/>
    <m/>
    <m/>
    <x v="1"/>
    <m/>
    <m/>
    <m/>
    <m/>
    <m/>
    <m/>
    <s v="AUP"/>
    <s v="JMFR"/>
    <m/>
    <m/>
    <m/>
    <m/>
    <m/>
    <m/>
    <m/>
    <m/>
    <m/>
    <n v="0"/>
  </r>
  <r>
    <x v="6"/>
    <x v="15"/>
    <x v="15"/>
    <x v="56"/>
    <x v="56"/>
    <x v="193"/>
    <s v="Gestió de la brigada de manteniment"/>
    <s v="Específic"/>
    <s v="Obligatori"/>
    <x v="194"/>
    <s v="Millora del redactat"/>
    <x v="0"/>
    <s v="BAIXA"/>
    <s v="Planificació i seguiment de les tasques de la brigada del Parc"/>
    <m/>
    <m/>
    <m/>
    <m/>
    <x v="171"/>
    <m/>
    <m/>
    <s v="1) Nombre anual d'actuacions realitzades amb brigada_x000a_2) Percentatge d'actuacions integrades a la base de dades"/>
    <s v="1) 300_x000a_2) 100%"/>
    <s v="1) 350_x000a_2) 100%"/>
    <m/>
    <s v="AIM"/>
    <s v="AAA"/>
    <m/>
    <m/>
    <m/>
    <m/>
    <m/>
    <m/>
    <m/>
    <m/>
    <m/>
    <n v="0"/>
  </r>
  <r>
    <x v="6"/>
    <x v="15"/>
    <x v="15"/>
    <x v="56"/>
    <x v="56"/>
    <x v="193"/>
    <s v="Gestió de la brigada de manteniment"/>
    <s v="Específic"/>
    <s v="Obligatori"/>
    <x v="194"/>
    <s v="Millora del redactat"/>
    <x v="0"/>
    <m/>
    <s v="Coordinació amb Forestal Catalana de les brigades del Baix Ebre-Montsià i Terra Alta"/>
    <m/>
    <m/>
    <m/>
    <m/>
    <x v="1"/>
    <m/>
    <m/>
    <m/>
    <m/>
    <m/>
    <m/>
    <s v="AIM"/>
    <s v="AAA"/>
    <m/>
    <m/>
    <m/>
    <m/>
    <m/>
    <m/>
    <m/>
    <m/>
    <m/>
    <n v="0"/>
  </r>
  <r>
    <x v="6"/>
    <x v="15"/>
    <x v="15"/>
    <x v="56"/>
    <x v="56"/>
    <x v="193"/>
    <s v="Gestió de la brigada de manteniment"/>
    <s v="Específic"/>
    <s v="Obligatori"/>
    <x v="194"/>
    <s v="Millora del redactat"/>
    <x v="0"/>
    <m/>
    <s v="Manteniment de la base de dades de les tasques de brigada del Parc"/>
    <m/>
    <m/>
    <m/>
    <m/>
    <x v="1"/>
    <m/>
    <m/>
    <m/>
    <m/>
    <m/>
    <m/>
    <s v="AIM"/>
    <s v="EBQ"/>
    <m/>
    <m/>
    <m/>
    <m/>
    <m/>
    <m/>
    <m/>
    <m/>
    <m/>
    <n v="0"/>
  </r>
  <r>
    <x v="6"/>
    <x v="15"/>
    <x v="15"/>
    <x v="56"/>
    <x v="56"/>
    <x v="193"/>
    <s v="Gestió de la brigada de manteniment"/>
    <s v="Específic"/>
    <s v="Obligatori"/>
    <x v="194"/>
    <s v="Millora del redactat"/>
    <x v="0"/>
    <m/>
    <s v="Gestió de les sol·licituds d'actuacions amb brigada per part de les administracions locals i entitats privades"/>
    <m/>
    <m/>
    <m/>
    <m/>
    <x v="1"/>
    <m/>
    <m/>
    <m/>
    <m/>
    <m/>
    <m/>
    <s v="AIM"/>
    <s v="AAA"/>
    <m/>
    <m/>
    <m/>
    <m/>
    <m/>
    <m/>
    <m/>
    <m/>
    <m/>
    <n v="0"/>
  </r>
  <r>
    <x v="6"/>
    <x v="15"/>
    <x v="15"/>
    <x v="56"/>
    <x v="56"/>
    <x v="193"/>
    <s v="Gestió de la brigada de manteniment"/>
    <s v="Específic"/>
    <s v="Obligatori"/>
    <x v="194"/>
    <s v="Millora del redactat"/>
    <x v="0"/>
    <m/>
    <s v="Participació en les reunions periòdiques del GT de Brigades i Millora rural dels ENP"/>
    <m/>
    <m/>
    <m/>
    <m/>
    <x v="1"/>
    <m/>
    <m/>
    <m/>
    <m/>
    <m/>
    <m/>
    <s v="AIM"/>
    <s v="AAA"/>
    <m/>
    <m/>
    <m/>
    <m/>
    <m/>
    <m/>
    <m/>
    <m/>
    <m/>
    <m/>
  </r>
  <r>
    <x v="6"/>
    <x v="15"/>
    <x v="15"/>
    <x v="56"/>
    <x v="56"/>
    <x v="194"/>
    <s v="Gestionar, enfortir i consolidar l'equip de gestió del parc"/>
    <s v="Específic"/>
    <s v="Obligatori"/>
    <x v="195"/>
    <m/>
    <x v="0"/>
    <m/>
    <s v="Gestió de les sol·licituds de vehicles"/>
    <m/>
    <m/>
    <m/>
    <m/>
    <x v="172"/>
    <m/>
    <m/>
    <s v="1) Nombre anual de reunions de coordinació realitzades_x000a_2) Nombre de tècnics de conservació consolidats_x000a_3) Nombre de persones contractades per al Centre de Documentació_x000a_"/>
    <s v="1) 40_x000a_2) 2_x000a_3) 1"/>
    <s v="1) 50_x000a_2) 2_x000a_3) 1"/>
    <m/>
    <s v="AAGE"/>
    <s v="EBQ"/>
    <m/>
    <m/>
    <m/>
    <m/>
    <m/>
    <m/>
    <m/>
    <m/>
    <m/>
    <n v="0"/>
  </r>
  <r>
    <x v="6"/>
    <x v="15"/>
    <x v="15"/>
    <x v="56"/>
    <x v="56"/>
    <x v="194"/>
    <s v="Gestionar, enfortir i consolidar l'equip de gestió del parc"/>
    <s v="Específic"/>
    <s v="Obligatori"/>
    <x v="195"/>
    <m/>
    <x v="0"/>
    <m/>
    <s v="Participació en els processos selectius de les places adscrites al Parc Natural"/>
    <m/>
    <m/>
    <m/>
    <m/>
    <x v="1"/>
    <m/>
    <m/>
    <m/>
    <m/>
    <m/>
    <m/>
    <s v="DIR"/>
    <s v="ACM"/>
    <m/>
    <m/>
    <m/>
    <m/>
    <m/>
    <m/>
    <m/>
    <m/>
    <m/>
    <n v="0"/>
  </r>
  <r>
    <x v="6"/>
    <x v="15"/>
    <x v="15"/>
    <x v="56"/>
    <x v="56"/>
    <x v="194"/>
    <s v="Gestionar, enfortir i consolidar l'equip de gestió del parc"/>
    <s v="Específic"/>
    <s v="Obligatori"/>
    <x v="195"/>
    <m/>
    <x v="0"/>
    <s v="BAIXA"/>
    <s v="Gestió administrativa de les validacions per ATRI (fitxatges, plans de teletreball, validació de competències, etc.)"/>
    <m/>
    <m/>
    <m/>
    <m/>
    <x v="1"/>
    <m/>
    <m/>
    <m/>
    <m/>
    <m/>
    <m/>
    <s v="DIR"/>
    <s v="ACM"/>
    <m/>
    <m/>
    <m/>
    <m/>
    <m/>
    <m/>
    <m/>
    <m/>
    <m/>
    <n v="0"/>
  </r>
  <r>
    <x v="6"/>
    <x v="15"/>
    <x v="15"/>
    <x v="56"/>
    <x v="56"/>
    <x v="194"/>
    <s v="Gestionar, enfortir i consolidar l'equip de gestió del parc"/>
    <s v="Específic"/>
    <s v="Obligatori"/>
    <x v="195"/>
    <m/>
    <x v="0"/>
    <s v="MÀXIMA"/>
    <s v="Promoure la contractació d'una persona responsable del Centre de Documentació i de les accions de comunicació de l'ENP"/>
    <m/>
    <m/>
    <m/>
    <m/>
    <x v="1"/>
    <m/>
    <m/>
    <m/>
    <m/>
    <m/>
    <m/>
    <s v="DIR"/>
    <s v="ACM"/>
    <m/>
    <m/>
    <m/>
    <m/>
    <m/>
    <m/>
    <m/>
    <m/>
    <m/>
    <n v="0"/>
  </r>
  <r>
    <x v="6"/>
    <x v="15"/>
    <x v="15"/>
    <x v="56"/>
    <x v="56"/>
    <x v="194"/>
    <s v="Gestionar, enfortir i consolidar l'equip de gestió del parc"/>
    <s v="Específic"/>
    <s v="Obligatori"/>
    <x v="195"/>
    <m/>
    <x v="0"/>
    <s v="MÀXIMA"/>
    <s v="Consolidació laboral del personal temporal dedicat a les tasques de desplegament dels instruments de gestió de la Xarxa Natura 2000a Catalunya"/>
    <m/>
    <m/>
    <m/>
    <m/>
    <x v="1"/>
    <m/>
    <m/>
    <m/>
    <m/>
    <m/>
    <m/>
    <s v="DIR"/>
    <s v="ACM"/>
    <m/>
    <m/>
    <m/>
    <m/>
    <m/>
    <m/>
    <m/>
    <m/>
    <m/>
    <n v="0"/>
  </r>
  <r>
    <x v="6"/>
    <x v="15"/>
    <x v="15"/>
    <x v="56"/>
    <x v="56"/>
    <x v="194"/>
    <s v="Gestionar, enfortir i consolidar l'equip de gestió del parc"/>
    <s v="Específic"/>
    <s v="Obligatori"/>
    <x v="195"/>
    <m/>
    <x v="0"/>
    <s v="MÀXIMA"/>
    <s v="Coordinació de les diferents àrees de l'equip gestor del Parc mitjançant reunions setmanals"/>
    <m/>
    <m/>
    <m/>
    <m/>
    <x v="1"/>
    <m/>
    <m/>
    <m/>
    <m/>
    <m/>
    <m/>
    <s v="DIR"/>
    <s v="ACM"/>
    <m/>
    <m/>
    <m/>
    <m/>
    <m/>
    <m/>
    <m/>
    <m/>
    <m/>
    <n v="0"/>
  </r>
  <r>
    <x v="6"/>
    <x v="15"/>
    <x v="15"/>
    <x v="56"/>
    <x v="56"/>
    <x v="194"/>
    <s v="Gestionar, enfortir i consolidar l'equip de gestió del parc"/>
    <s v="Específic"/>
    <s v="Obligatori"/>
    <x v="195"/>
    <m/>
    <x v="0"/>
    <s v="MÀXIMA"/>
    <s v="Consolidació de l'equip de treball de l'òrgan gestor del Parc (nivells laborals, estabilització laboral...)"/>
    <m/>
    <m/>
    <m/>
    <m/>
    <x v="1"/>
    <m/>
    <m/>
    <m/>
    <m/>
    <m/>
    <m/>
    <s v="DIR"/>
    <s v="ACM"/>
    <m/>
    <m/>
    <m/>
    <m/>
    <m/>
    <n v="428412.57"/>
    <m/>
    <m/>
    <m/>
    <n v="428412.57"/>
  </r>
  <r>
    <x v="6"/>
    <x v="15"/>
    <x v="15"/>
    <x v="56"/>
    <x v="56"/>
    <x v="194"/>
    <s v="Gestionar, enfortir i consolidar l'equip de gestió del parc"/>
    <s v="Específic"/>
    <s v="Obligatori"/>
    <x v="195"/>
    <m/>
    <x v="0"/>
    <s v="BAIXA"/>
    <s v="GOV1. Enfortir i consolidar l’àmbit de gestió de l’educació i el voluntariat ambiental en el funcionament de l’equip gestor del Parc Natural (PEEVA): Definició i clarificació dels rols de l'equip del parc i una correcta definició de les tasques de cada membre"/>
    <m/>
    <m/>
    <m/>
    <m/>
    <x v="1"/>
    <m/>
    <m/>
    <m/>
    <m/>
    <m/>
    <m/>
    <s v="DIR"/>
    <s v="ACM"/>
    <m/>
    <s v="PEEVA"/>
    <s v="Pla estratègic 2021-2030 d'educació i voluntariat ambiental "/>
    <m/>
    <m/>
    <m/>
    <m/>
    <m/>
    <m/>
    <n v="0"/>
  </r>
  <r>
    <x v="6"/>
    <x v="15"/>
    <x v="15"/>
    <x v="56"/>
    <x v="56"/>
    <x v="195"/>
    <s v="Gestió ordinària i imprevistos no contemplats en cap dels Objectius opertatius anteriors"/>
    <s v="Comú"/>
    <s v="Optatiu"/>
    <x v="196"/>
    <m/>
    <x v="0"/>
    <s v="BAIXA"/>
    <s v="Gestió ordinària i imprevistos no contemplats en cap dels Objectius opertatius anteriors"/>
    <m/>
    <m/>
    <m/>
    <m/>
    <x v="173"/>
    <m/>
    <m/>
    <s v="Percentatge de gestió d'imprevistos"/>
    <n v="0.9"/>
    <n v="1"/>
    <m/>
    <s v="DIR"/>
    <s v="ACM"/>
    <m/>
    <m/>
    <m/>
    <m/>
    <m/>
    <m/>
    <m/>
    <m/>
    <m/>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Taula dinàmica1" cacheId="1337" applyNumberFormats="0" applyBorderFormats="0" applyFontFormats="0" applyPatternFormats="0" applyAlignmentFormats="0" applyWidthHeightFormats="1" dataCaption="Valors" updatedVersion="8" minRefreshableVersion="3" useAutoFormatting="1" itemPrintTitles="1" createdVersion="8" indent="0" outline="1" outlineData="1" multipleFieldFilters="0">
  <location ref="A3:D11" firstHeaderRow="0" firstDataRow="1" firstDataCol="1"/>
  <pivotFields count="18">
    <pivotField axis="axisRow" showAll="0">
      <items count="8">
        <item x="1"/>
        <item x="2"/>
        <item x="3"/>
        <item x="5"/>
        <item x="6"/>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91">
        <item x="268"/>
        <item x="135"/>
        <item x="133"/>
        <item x="237"/>
        <item x="264"/>
        <item x="130"/>
        <item x="117"/>
        <item x="119"/>
        <item x="120"/>
        <item x="125"/>
        <item x="110"/>
        <item x="111"/>
        <item x="107"/>
        <item x="121"/>
        <item x="108"/>
        <item x="45"/>
        <item x="136"/>
        <item x="118"/>
        <item x="113"/>
        <item x="116"/>
        <item x="126"/>
        <item x="127"/>
        <item x="137"/>
        <item x="128"/>
        <item x="129"/>
        <item x="109"/>
        <item x="323"/>
        <item x="143"/>
        <item x="144"/>
        <item x="169"/>
        <item x="145"/>
        <item x="146"/>
        <item x="147"/>
        <item x="148"/>
        <item x="176"/>
        <item x="66"/>
        <item x="159"/>
        <item x="67"/>
        <item x="24"/>
        <item x="123"/>
        <item x="149"/>
        <item x="250"/>
        <item x="114"/>
        <item x="173"/>
        <item x="251"/>
        <item x="134"/>
        <item x="249"/>
        <item x="151"/>
        <item x="37"/>
        <item x="205"/>
        <item x="209"/>
        <item x="208"/>
        <item x="156"/>
        <item x="132"/>
        <item x="101"/>
        <item x="102"/>
        <item x="276"/>
        <item x="204"/>
        <item x="48"/>
        <item x="122"/>
        <item x="253"/>
        <item x="270"/>
        <item x="46"/>
        <item x="47"/>
        <item x="154"/>
        <item x="155"/>
        <item x="124"/>
        <item x="153"/>
        <item x="115"/>
        <item x="206"/>
        <item x="207"/>
        <item x="150"/>
        <item x="96"/>
        <item x="16"/>
        <item x="15"/>
        <item x="12"/>
        <item x="69"/>
        <item x="180"/>
        <item x="93"/>
        <item x="200"/>
        <item x="360"/>
        <item x="171"/>
        <item x="158"/>
        <item x="167"/>
        <item x="174"/>
        <item x="165"/>
        <item x="168"/>
        <item x="164"/>
        <item x="166"/>
        <item x="302"/>
        <item x="81"/>
        <item x="329"/>
        <item x="71"/>
        <item x="340"/>
        <item x="42"/>
        <item x="263"/>
        <item x="80"/>
        <item x="61"/>
        <item x="279"/>
        <item x="275"/>
        <item x="280"/>
        <item x="27"/>
        <item x="63"/>
        <item x="219"/>
        <item x="56"/>
        <item x="90"/>
        <item x="228"/>
        <item x="95"/>
        <item x="23"/>
        <item x="106"/>
        <item x="105"/>
        <item x="104"/>
        <item x="227"/>
        <item x="346"/>
        <item x="345"/>
        <item x="358"/>
        <item x="359"/>
        <item x="33"/>
        <item x="35"/>
        <item x="387"/>
        <item x="385"/>
        <item x="39"/>
        <item x="347"/>
        <item x="377"/>
        <item x="226"/>
        <item x="386"/>
        <item x="223"/>
        <item x="224"/>
        <item x="303"/>
        <item x="225"/>
        <item x="283"/>
        <item x="304"/>
        <item x="307"/>
        <item x="192"/>
        <item x="189"/>
        <item x="308"/>
        <item x="18"/>
        <item x="337"/>
        <item x="252"/>
        <item x="103"/>
        <item x="65"/>
        <item x="157"/>
        <item x="233"/>
        <item x="236"/>
        <item x="232"/>
        <item x="254"/>
        <item x="245"/>
        <item x="246"/>
        <item x="314"/>
        <item x="287"/>
        <item x="234"/>
        <item x="310"/>
        <item x="309"/>
        <item x="142"/>
        <item x="139"/>
        <item x="293"/>
        <item x="19"/>
        <item x="30"/>
        <item x="202"/>
        <item x="203"/>
        <item x="258"/>
        <item x="289"/>
        <item x="288"/>
        <item x="14"/>
        <item x="319"/>
        <item x="20"/>
        <item x="84"/>
        <item x="210"/>
        <item x="187"/>
        <item x="330"/>
        <item x="282"/>
        <item x="334"/>
        <item x="54"/>
        <item x="374"/>
        <item x="211"/>
        <item x="333"/>
        <item x="383"/>
        <item x="312"/>
        <item x="331"/>
        <item x="313"/>
        <item x="379"/>
        <item x="381"/>
        <item x="366"/>
        <item x="297"/>
        <item x="363"/>
        <item x="364"/>
        <item x="341"/>
        <item x="299"/>
        <item x="389"/>
        <item x="388"/>
        <item x="242"/>
        <item x="244"/>
        <item x="229"/>
        <item x="230"/>
        <item x="231"/>
        <item x="247"/>
        <item x="238"/>
        <item x="324"/>
        <item x="38"/>
        <item x="295"/>
        <item x="178"/>
        <item x="267"/>
        <item x="172"/>
        <item x="51"/>
        <item x="274"/>
        <item x="197"/>
        <item x="141"/>
        <item x="52"/>
        <item x="13"/>
        <item x="3"/>
        <item x="43"/>
        <item x="184"/>
        <item x="378"/>
        <item x="332"/>
        <item x="36"/>
        <item x="357"/>
        <item x="355"/>
        <item x="99"/>
        <item x="291"/>
        <item x="292"/>
        <item x="300"/>
        <item x="361"/>
        <item x="356"/>
        <item x="353"/>
        <item x="76"/>
        <item x="362"/>
        <item x="370"/>
        <item x="74"/>
        <item x="350"/>
        <item x="349"/>
        <item x="351"/>
        <item x="354"/>
        <item x="352"/>
        <item x="277"/>
        <item x="281"/>
        <item x="278"/>
        <item x="57"/>
        <item x="59"/>
        <item x="58"/>
        <item x="190"/>
        <item x="375"/>
        <item x="306"/>
        <item x="40"/>
        <item x="88"/>
        <item x="21"/>
        <item x="89"/>
        <item x="382"/>
        <item x="301"/>
        <item x="25"/>
        <item x="328"/>
        <item x="327"/>
        <item x="62"/>
        <item x="380"/>
        <item x="315"/>
        <item x="322"/>
        <item x="338"/>
        <item x="152"/>
        <item x="261"/>
        <item x="94"/>
        <item x="336"/>
        <item x="73"/>
        <item x="53"/>
        <item x="296"/>
        <item x="98"/>
        <item x="29"/>
        <item x="28"/>
        <item x="138"/>
        <item x="68"/>
        <item x="1"/>
        <item x="294"/>
        <item x="271"/>
        <item x="0"/>
        <item x="2"/>
        <item x="272"/>
        <item x="335"/>
        <item x="31"/>
        <item x="177"/>
        <item x="321"/>
        <item x="11"/>
        <item x="75"/>
        <item x="376"/>
        <item x="260"/>
        <item x="97"/>
        <item x="201"/>
        <item x="298"/>
        <item x="365"/>
        <item x="311"/>
        <item x="183"/>
        <item x="10"/>
        <item x="9"/>
        <item x="79"/>
        <item x="5"/>
        <item x="6"/>
        <item x="87"/>
        <item x="7"/>
        <item x="8"/>
        <item x="266"/>
        <item x="131"/>
        <item x="179"/>
        <item x="26"/>
        <item x="273"/>
        <item x="384"/>
        <item x="175"/>
        <item x="17"/>
        <item x="170"/>
        <item x="325"/>
        <item x="326"/>
        <item x="320"/>
        <item x="185"/>
        <item x="371"/>
        <item x="372"/>
        <item x="248"/>
        <item x="257"/>
        <item x="255"/>
        <item x="290"/>
        <item x="256"/>
        <item x="60"/>
        <item x="235"/>
        <item x="195"/>
        <item x="198"/>
        <item x="186"/>
        <item x="199"/>
        <item x="339"/>
        <item x="50"/>
        <item x="140"/>
        <item x="182"/>
        <item x="194"/>
        <item x="373"/>
        <item x="22"/>
        <item x="269"/>
        <item x="191"/>
        <item x="83"/>
        <item x="85"/>
        <item x="160"/>
        <item x="162"/>
        <item x="161"/>
        <item x="91"/>
        <item x="72"/>
        <item x="55"/>
        <item x="92"/>
        <item x="70"/>
        <item x="77"/>
        <item x="86"/>
        <item x="34"/>
        <item x="316"/>
        <item x="318"/>
        <item x="317"/>
        <item x="100"/>
        <item x="64"/>
        <item x="188"/>
        <item x="82"/>
        <item x="32"/>
        <item x="305"/>
        <item x="241"/>
        <item x="239"/>
        <item x="240"/>
        <item x="213"/>
        <item x="212"/>
        <item x="214"/>
        <item x="218"/>
        <item x="216"/>
        <item x="217"/>
        <item x="215"/>
        <item x="222"/>
        <item x="220"/>
        <item x="221"/>
        <item x="78"/>
        <item x="368"/>
        <item x="367"/>
        <item x="369"/>
        <item x="243"/>
        <item x="163"/>
        <item x="259"/>
        <item x="196"/>
        <item x="49"/>
        <item x="193"/>
        <item x="342"/>
        <item x="344"/>
        <item x="343"/>
        <item x="112"/>
        <item x="348"/>
        <item x="181"/>
        <item x="44"/>
        <item x="41"/>
        <item x="265"/>
        <item x="262"/>
        <item x="284"/>
        <item x="286"/>
        <item x="285"/>
        <item x="4"/>
        <item t="default"/>
      </items>
    </pivotField>
    <pivotField showAll="0"/>
    <pivotField showAll="0"/>
    <pivotField dataField="1" showAll="0">
      <items count="29">
        <item x="23"/>
        <item x="24"/>
        <item x="25"/>
        <item x="4"/>
        <item x="11"/>
        <item x="22"/>
        <item x="10"/>
        <item x="12"/>
        <item x="13"/>
        <item x="16"/>
        <item x="3"/>
        <item x="27"/>
        <item x="19"/>
        <item x="18"/>
        <item x="14"/>
        <item x="20"/>
        <item x="6"/>
        <item x="15"/>
        <item x="21"/>
        <item x="5"/>
        <item x="17"/>
        <item x="7"/>
        <item x="1"/>
        <item x="8"/>
        <item x="9"/>
        <item x="2"/>
        <item x="26"/>
        <item x="0"/>
        <item t="default"/>
      </items>
    </pivotField>
    <pivotField dataField="1" showAll="0">
      <items count="26">
        <item x="21"/>
        <item x="19"/>
        <item x="3"/>
        <item x="17"/>
        <item x="18"/>
        <item x="9"/>
        <item x="11"/>
        <item x="12"/>
        <item x="10"/>
        <item x="4"/>
        <item x="5"/>
        <item x="22"/>
        <item x="13"/>
        <item x="8"/>
        <item x="23"/>
        <item x="24"/>
        <item x="6"/>
        <item x="1"/>
        <item x="2"/>
        <item x="16"/>
        <item x="20"/>
        <item x="15"/>
        <item x="14"/>
        <item x="7"/>
        <item x="0"/>
        <item t="default"/>
      </items>
    </pivotField>
  </pivotFields>
  <rowFields count="1">
    <field x="0"/>
  </rowFields>
  <rowItems count="8">
    <i>
      <x/>
    </i>
    <i>
      <x v="1"/>
    </i>
    <i>
      <x v="2"/>
    </i>
    <i>
      <x v="3"/>
    </i>
    <i>
      <x v="4"/>
    </i>
    <i>
      <x v="5"/>
    </i>
    <i>
      <x v="6"/>
    </i>
    <i t="grand">
      <x/>
    </i>
  </rowItems>
  <colFields count="1">
    <field x="-2"/>
  </colFields>
  <colItems count="3">
    <i>
      <x/>
    </i>
    <i i="1">
      <x v="1"/>
    </i>
    <i i="2">
      <x v="2"/>
    </i>
  </colItems>
  <dataFields count="3">
    <dataField name="Recompte de Propostes d'accions del Programa d'actuacions 2026" fld="13" subtotal="count" baseField="0" baseItem="0"/>
    <dataField name="Recompte de Propostes d'accions pel període 2027-2029" fld="16" subtotal="count" baseField="0" baseItem="0"/>
    <dataField name="Recompte de Propostes d'accions pel proper Pla estratègic 2030-34"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TablaDinámica1" cacheId="1338" applyNumberFormats="0" applyBorderFormats="0" applyFontFormats="0" applyPatternFormats="0" applyAlignmentFormats="0" applyWidthHeightFormats="1" dataCaption="Valores" updatedVersion="6" minRefreshableVersion="3" itemPrintTitles="1" createdVersion="6" indent="0" compact="0" compactData="0" multipleFieldFilters="0">
  <location ref="A3:I55" firstHeaderRow="1" firstDataRow="1" firstDataCol="8" rowPageCount="1" colPageCount="1"/>
  <pivotFields count="37">
    <pivotField axis="axisRow" compact="0" outline="0" subtotalTop="0" showAll="0" defaultSubtotal="0">
      <items count="7">
        <item x="0"/>
        <item sd="0" x="1"/>
        <item sd="0" x="2"/>
        <item sd="0" x="3"/>
        <item sd="0" x="4"/>
        <item sd="0" x="5"/>
        <item n="GESTIÓ I ADMINISTRACIÓ" x="6"/>
      </items>
    </pivotField>
    <pivotField axis="axisRow" dataField="1" compact="0" outline="0" subtotalTop="0" showAll="0" defaultSubtotal="0">
      <items count="16">
        <item x="0"/>
        <item x="1"/>
        <item x="2"/>
        <item x="3"/>
        <item x="4"/>
        <item x="5"/>
        <item x="6"/>
        <item x="7"/>
        <item x="8"/>
        <item x="9"/>
        <item x="10"/>
        <item x="11"/>
        <item x="12"/>
        <item x="13"/>
        <item x="14"/>
        <item x="15"/>
      </items>
    </pivotField>
    <pivotField axis="axisRow" compact="0" outline="0" subtotalTop="0" showAll="0" defaultSubtotal="0">
      <items count="16">
        <item x="1"/>
        <item x="7"/>
        <item x="13"/>
        <item x="3"/>
        <item x="0"/>
        <item x="14"/>
        <item x="6"/>
        <item x="8"/>
        <item x="12"/>
        <item x="11"/>
        <item x="5"/>
        <item x="15"/>
        <item x="9"/>
        <item x="10"/>
        <item x="4"/>
        <item x="2"/>
      </items>
    </pivotField>
    <pivotField axis="axisRow" compact="0" outline="0" subtotalTop="0" showAll="0" defaultSubtotal="0">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pivotField>
    <pivotField axis="axisRow" compact="0" outline="0" subtotalTop="0" showAll="0" defaultSubtotal="0">
      <items count="57">
        <item x="0"/>
        <item x="39"/>
        <item x="53"/>
        <item x="3"/>
        <item x="47"/>
        <item x="38"/>
        <item x="18"/>
        <item x="48"/>
        <item x="11"/>
        <item x="26"/>
        <item x="2"/>
        <item x="46"/>
        <item x="42"/>
        <item x="43"/>
        <item x="31"/>
        <item x="50"/>
        <item x="49"/>
        <item x="13"/>
        <item x="33"/>
        <item x="41"/>
        <item x="29"/>
        <item x="19"/>
        <item x="30"/>
        <item x="55"/>
        <item x="1"/>
        <item x="44"/>
        <item x="22"/>
        <item x="27"/>
        <item x="37"/>
        <item x="7"/>
        <item x="56"/>
        <item x="14"/>
        <item x="17"/>
        <item x="32"/>
        <item x="23"/>
        <item x="20"/>
        <item x="9"/>
        <item x="34"/>
        <item x="10"/>
        <item x="21"/>
        <item x="15"/>
        <item x="25"/>
        <item x="36"/>
        <item x="54"/>
        <item x="52"/>
        <item x="5"/>
        <item x="4"/>
        <item x="12"/>
        <item x="35"/>
        <item x="6"/>
        <item x="24"/>
        <item x="28"/>
        <item x="40"/>
        <item x="16"/>
        <item x="45"/>
        <item x="8"/>
        <item x="51"/>
      </items>
    </pivotField>
    <pivotField axis="axisRow" compact="0" outline="0" subtotalTop="0" showAll="0" defaultSubtotal="0">
      <items count="196">
        <item x="0"/>
        <item x="1"/>
        <item x="2"/>
        <item x="3"/>
        <item x="4"/>
        <item x="5"/>
        <item x="6"/>
        <item x="7"/>
        <item x="8"/>
        <item x="9"/>
        <item x="10"/>
        <item x="11"/>
        <item x="13"/>
        <item x="14"/>
        <item x="15"/>
        <item x="16"/>
        <item x="17"/>
        <item x="18"/>
        <item x="19"/>
        <item x="20"/>
        <item x="21"/>
        <item x="22"/>
        <item x="23"/>
        <item x="24"/>
        <item x="25"/>
        <item x="26"/>
        <item x="27"/>
        <item x="28"/>
        <item x="29"/>
        <item x="31"/>
        <item x="32"/>
        <item x="33"/>
        <item x="34"/>
        <item x="35"/>
        <item x="36"/>
        <item x="37"/>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90"/>
        <item x="91"/>
        <item x="92"/>
        <item x="93"/>
        <item x="94"/>
        <item x="96"/>
        <item x="97"/>
        <item x="98"/>
        <item x="100"/>
        <item x="109"/>
        <item x="110"/>
        <item x="111"/>
        <item x="112"/>
        <item x="101"/>
        <item x="102"/>
        <item x="103"/>
        <item x="104"/>
        <item x="105"/>
        <item x="106"/>
        <item x="107"/>
        <item x="108"/>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6"/>
        <item x="147"/>
        <item x="148"/>
        <item x="149"/>
        <item x="150"/>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3"/>
        <item x="184"/>
        <item x="185"/>
        <item x="186"/>
        <item x="187"/>
        <item x="188"/>
        <item x="189"/>
        <item x="190"/>
        <item x="191"/>
        <item x="192"/>
        <item x="193"/>
        <item x="194"/>
        <item x="181"/>
        <item x="145"/>
        <item x="195"/>
        <item x="113"/>
        <item x="114"/>
        <item x="151"/>
        <item x="152"/>
        <item x="182"/>
        <item x="12"/>
        <item x="30"/>
        <item x="38"/>
        <item x="95"/>
        <item x="99"/>
        <item x="89"/>
      </items>
    </pivotField>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200">
        <item x="132"/>
        <item x="142"/>
        <item x="129"/>
        <item x="185"/>
        <item x="62"/>
        <item x="7"/>
        <item x="186"/>
        <item x="28"/>
        <item x="148"/>
        <item x="91"/>
        <item x="117"/>
        <item x="137"/>
        <item x="191"/>
        <item x="190"/>
        <item x="60"/>
        <item x="56"/>
        <item x="59"/>
        <item x="57"/>
        <item x="66"/>
        <item x="68"/>
        <item x="65"/>
        <item x="173"/>
        <item x="139"/>
        <item x="54"/>
        <item x="20"/>
        <item x="48"/>
        <item x="140"/>
        <item x="90"/>
        <item x="5"/>
        <item x="150"/>
        <item x="94"/>
        <item x="174"/>
        <item x="72"/>
        <item m="1" x="198"/>
        <item x="162"/>
        <item x="134"/>
        <item x="1"/>
        <item x="35"/>
        <item x="144"/>
        <item x="47"/>
        <item x="147"/>
        <item x="155"/>
        <item x="23"/>
        <item x="13"/>
        <item x="14"/>
        <item x="10"/>
        <item x="42"/>
        <item x="39"/>
        <item x="163"/>
        <item x="141"/>
        <item x="187"/>
        <item x="194"/>
        <item x="36"/>
        <item x="76"/>
        <item x="32"/>
        <item x="43"/>
        <item x="53"/>
        <item x="6"/>
        <item x="2"/>
        <item x="37"/>
        <item x="15"/>
        <item x="164"/>
        <item x="169"/>
        <item x="133"/>
        <item x="192"/>
        <item x="63"/>
        <item x="135"/>
        <item x="50"/>
        <item x="145"/>
        <item x="171"/>
        <item x="24"/>
        <item x="61"/>
        <item x="71"/>
        <item x="181"/>
        <item x="176"/>
        <item x="182"/>
        <item x="55"/>
        <item x="25"/>
        <item x="22"/>
        <item x="21"/>
        <item x="11"/>
        <item x="9"/>
        <item x="69"/>
        <item x="67"/>
        <item x="80"/>
        <item x="51"/>
        <item x="52"/>
        <item x="17"/>
        <item x="16"/>
        <item x="19"/>
        <item x="189"/>
        <item x="170"/>
        <item x="29"/>
        <item x="26"/>
        <item m="1" x="197"/>
        <item x="41"/>
        <item x="45"/>
        <item x="46"/>
        <item x="82"/>
        <item x="83"/>
        <item x="84"/>
        <item x="85"/>
        <item x="98"/>
        <item x="127"/>
        <item x="131"/>
        <item x="149"/>
        <item x="151"/>
        <item x="153"/>
        <item x="154"/>
        <item x="157"/>
        <item x="159"/>
        <item x="160"/>
        <item x="165"/>
        <item x="44"/>
        <item x="99"/>
        <item x="88"/>
        <item x="89"/>
        <item x="146"/>
        <item x="115"/>
        <item x="18"/>
        <item x="33"/>
        <item x="75"/>
        <item x="79"/>
        <item x="86"/>
        <item x="93"/>
        <item x="97"/>
        <item x="114"/>
        <item x="116"/>
        <item x="125"/>
        <item x="126"/>
        <item x="152"/>
        <item x="158"/>
        <item x="113"/>
        <item x="177"/>
        <item x="184"/>
        <item x="183"/>
        <item x="0"/>
        <item x="3"/>
        <item x="4"/>
        <item x="8"/>
        <item x="12"/>
        <item x="30"/>
        <item x="31"/>
        <item x="38"/>
        <item x="40"/>
        <item x="64"/>
        <item x="77"/>
        <item x="87"/>
        <item x="96"/>
        <item x="100"/>
        <item x="101"/>
        <item x="102"/>
        <item x="103"/>
        <item x="104"/>
        <item x="105"/>
        <item x="106"/>
        <item x="107"/>
        <item x="108"/>
        <item x="111"/>
        <item m="1" x="199"/>
        <item x="118"/>
        <item x="119"/>
        <item x="120"/>
        <item x="122"/>
        <item x="130"/>
        <item x="161"/>
        <item x="168"/>
        <item x="178"/>
        <item x="179"/>
        <item x="180"/>
        <item x="193"/>
        <item x="195"/>
        <item x="78"/>
        <item x="196"/>
        <item x="34"/>
        <item x="70"/>
        <item x="112"/>
        <item x="121"/>
        <item x="123"/>
        <item x="124"/>
        <item x="128"/>
        <item x="136"/>
        <item x="138"/>
        <item x="143"/>
        <item x="156"/>
        <item x="166"/>
        <item x="167"/>
        <item x="172"/>
        <item x="175"/>
        <item x="188"/>
        <item x="27"/>
        <item x="49"/>
        <item x="58"/>
        <item x="73"/>
        <item x="74"/>
        <item x="81"/>
        <item x="92"/>
        <item x="95"/>
        <item x="110"/>
        <item x="109"/>
      </items>
    </pivotField>
    <pivotField compact="0" outline="0" subtotalTop="0" showAll="0" defaultSubtotal="0"/>
    <pivotField axis="axisPage" compact="0" outline="0" subtotalTop="0" multipleItemSelectionAllowed="1" showAll="0" defaultSubtotal="0">
      <items count="3">
        <item h="1" x="1"/>
        <item x="0"/>
        <item h="1" m="1" x="2"/>
      </items>
    </pivotField>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74">
        <item h="1" x="1"/>
        <item x="63"/>
        <item x="54"/>
        <item x="114"/>
        <item x="60"/>
        <item x="53"/>
        <item x="104"/>
        <item x="96"/>
        <item x="101"/>
        <item x="99"/>
        <item x="102"/>
        <item x="100"/>
        <item x="165"/>
        <item x="21"/>
        <item x="4"/>
        <item x="62"/>
        <item x="17"/>
        <item x="74"/>
        <item x="123"/>
        <item x="168"/>
        <item x="167"/>
        <item x="28"/>
        <item x="30"/>
        <item x="37"/>
        <item x="172"/>
        <item x="142"/>
        <item x="156"/>
        <item x="122"/>
        <item x="124"/>
        <item x="8"/>
        <item x="134"/>
        <item x="73"/>
        <item x="18"/>
        <item x="94"/>
        <item x="44"/>
        <item x="146"/>
        <item x="149"/>
        <item x="128"/>
        <item x="26"/>
        <item x="90"/>
        <item x="87"/>
        <item x="140"/>
        <item x="127"/>
        <item x="47"/>
        <item x="10"/>
        <item x="23"/>
        <item x="5"/>
        <item x="105"/>
        <item x="43"/>
        <item x="71"/>
        <item x="161"/>
        <item x="119"/>
        <item x="144"/>
        <item x="46"/>
        <item x="162"/>
        <item x="170"/>
        <item x="173"/>
        <item x="159"/>
        <item x="36"/>
        <item x="153"/>
        <item x="110"/>
        <item x="143"/>
        <item x="78"/>
        <item x="3"/>
        <item x="45"/>
        <item x="148"/>
        <item x="42"/>
        <item x="116"/>
        <item x="31"/>
        <item x="56"/>
        <item x="79"/>
        <item x="83"/>
        <item x="150"/>
        <item x="120"/>
        <item x="52"/>
        <item x="88"/>
        <item x="97"/>
        <item x="112"/>
        <item x="38"/>
        <item x="11"/>
        <item x="19"/>
        <item x="160"/>
        <item x="158"/>
        <item x="164"/>
        <item x="92"/>
        <item x="61"/>
        <item x="58"/>
        <item x="49"/>
        <item x="154"/>
        <item x="68"/>
        <item x="22"/>
        <item x="6"/>
        <item x="86"/>
        <item x="151"/>
        <item x="147"/>
        <item x="0"/>
        <item x="2"/>
        <item x="163"/>
        <item x="108"/>
        <item x="157"/>
        <item x="171"/>
        <item x="130"/>
        <item x="66"/>
        <item x="155"/>
        <item x="80"/>
        <item x="33"/>
        <item x="126"/>
        <item x="113"/>
        <item x="20"/>
        <item x="106"/>
        <item x="7"/>
        <item x="103"/>
        <item x="129"/>
        <item x="133"/>
        <item x="135"/>
        <item x="137"/>
        <item x="136"/>
        <item x="121"/>
        <item x="118"/>
        <item x="117"/>
        <item x="48"/>
        <item x="89"/>
        <item x="16"/>
        <item x="81"/>
        <item x="145"/>
        <item x="70"/>
        <item x="57"/>
        <item x="50"/>
        <item x="55"/>
        <item x="98"/>
        <item x="59"/>
        <item x="84"/>
        <item x="85"/>
        <item x="29"/>
        <item x="91"/>
        <item x="69"/>
        <item x="24"/>
        <item x="131"/>
        <item x="125"/>
        <item x="166"/>
        <item x="77"/>
        <item x="169"/>
        <item x="115"/>
        <item x="41"/>
        <item x="76"/>
        <item x="75"/>
        <item x="107"/>
        <item x="93"/>
        <item x="72"/>
        <item x="13"/>
        <item x="65"/>
        <item x="67"/>
        <item x="152"/>
        <item x="139"/>
        <item x="132"/>
        <item x="34"/>
        <item x="35"/>
        <item x="14"/>
        <item x="15"/>
        <item x="39"/>
        <item x="138"/>
        <item x="32"/>
        <item x="109"/>
        <item x="95"/>
        <item x="111"/>
        <item x="25"/>
        <item x="9"/>
        <item x="12"/>
        <item x="64"/>
        <item x="51"/>
        <item x="40"/>
        <item x="141"/>
        <item x="27"/>
        <item h="1" x="8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s>
  <rowFields count="8">
    <field x="0"/>
    <field x="1"/>
    <field x="2"/>
    <field x="3"/>
    <field x="4"/>
    <field x="5"/>
    <field x="9"/>
    <field x="18"/>
  </rowFields>
  <rowItems count="52">
    <i>
      <x/>
      <x/>
      <x v="4"/>
      <x/>
      <x/>
      <x/>
      <x v="136"/>
      <x v="95"/>
    </i>
    <i r="5">
      <x v="1"/>
      <x v="36"/>
      <x v="96"/>
    </i>
    <i r="3">
      <x v="1"/>
      <x v="24"/>
      <x v="2"/>
      <x v="58"/>
      <x v="63"/>
    </i>
    <i r="5">
      <x v="3"/>
      <x v="137"/>
      <x v="14"/>
    </i>
    <i r="5">
      <x v="4"/>
      <x v="138"/>
      <x v="46"/>
    </i>
    <i r="5">
      <x v="5"/>
      <x v="28"/>
      <x v="91"/>
    </i>
    <i r="3">
      <x v="2"/>
      <x v="10"/>
      <x v="6"/>
      <x v="57"/>
      <x v="110"/>
    </i>
    <i r="5">
      <x v="7"/>
      <x v="5"/>
      <x v="29"/>
    </i>
    <i r="5">
      <x v="9"/>
      <x v="81"/>
      <x v="44"/>
    </i>
    <i r="5">
      <x v="10"/>
      <x v="45"/>
      <x v="79"/>
    </i>
    <i r="3">
      <x v="3"/>
      <x v="3"/>
      <x v="14"/>
      <x v="60"/>
      <x v="122"/>
    </i>
    <i r="1">
      <x v="1"/>
      <x/>
      <x v="4"/>
      <x v="46"/>
      <x v="15"/>
      <x v="88"/>
      <x v="16"/>
    </i>
    <i r="5">
      <x v="16"/>
      <x v="87"/>
      <x v="32"/>
    </i>
    <i r="5">
      <x v="17"/>
      <x v="119"/>
      <x v="80"/>
    </i>
    <i r="3">
      <x v="5"/>
      <x v="45"/>
      <x v="18"/>
      <x v="89"/>
      <x v="108"/>
    </i>
    <i r="5">
      <x v="19"/>
      <x v="24"/>
      <x v="13"/>
    </i>
    <i r="5">
      <x v="20"/>
      <x v="79"/>
      <x v="90"/>
    </i>
    <i r="1">
      <x v="2"/>
      <x v="15"/>
      <x v="6"/>
      <x v="49"/>
      <x v="21"/>
      <x v="78"/>
      <x v="45"/>
    </i>
    <i r="5">
      <x v="22"/>
      <x v="42"/>
      <x v="136"/>
    </i>
    <i r="3">
      <x v="7"/>
      <x v="29"/>
      <x v="24"/>
      <x v="77"/>
      <x v="38"/>
    </i>
    <i r="3">
      <x v="8"/>
      <x v="55"/>
      <x v="27"/>
      <x v="7"/>
      <x v="21"/>
    </i>
    <i r="5">
      <x v="28"/>
      <x v="92"/>
      <x v="133"/>
    </i>
    <i r="5">
      <x v="191"/>
      <x v="141"/>
      <x v="22"/>
    </i>
    <i r="3">
      <x v="9"/>
      <x v="36"/>
      <x v="29"/>
      <x v="142"/>
      <x v="68"/>
    </i>
    <i>
      <x v="1"/>
    </i>
    <i>
      <x v="2"/>
    </i>
    <i>
      <x v="3"/>
    </i>
    <i>
      <x v="4"/>
    </i>
    <i>
      <x v="5"/>
    </i>
    <i>
      <x v="6"/>
      <x v="14"/>
      <x v="5"/>
      <x v="50"/>
      <x v="15"/>
      <x v="161"/>
      <x v="21"/>
      <x v="152"/>
    </i>
    <i r="5">
      <x v="162"/>
      <x v="31"/>
      <x v="59"/>
    </i>
    <i r="5">
      <x v="164"/>
      <x v="74"/>
      <x v="88"/>
    </i>
    <i r="5">
      <x v="165"/>
      <x v="133"/>
      <x v="103"/>
    </i>
    <i r="1">
      <x v="15"/>
      <x v="11"/>
      <x v="51"/>
      <x v="56"/>
      <x v="166"/>
      <x v="167"/>
      <x v="26"/>
    </i>
    <i r="3">
      <x v="52"/>
      <x v="44"/>
      <x v="167"/>
      <x v="168"/>
      <x v="99"/>
    </i>
    <i r="5">
      <x v="168"/>
      <x v="169"/>
      <x v="82"/>
    </i>
    <i r="5">
      <x v="169"/>
      <x v="73"/>
      <x v="57"/>
    </i>
    <i r="5">
      <x v="182"/>
      <x v="75"/>
      <x v="81"/>
    </i>
    <i r="5">
      <x v="189"/>
      <x v="135"/>
      <x v="50"/>
    </i>
    <i r="3">
      <x v="53"/>
      <x v="2"/>
      <x v="170"/>
      <x v="134"/>
      <x v="54"/>
    </i>
    <i r="5">
      <x v="171"/>
      <x v="3"/>
      <x v="97"/>
    </i>
    <i r="5">
      <x v="172"/>
      <x v="6"/>
      <x v="83"/>
    </i>
    <i r="5">
      <x v="173"/>
      <x v="50"/>
      <x v="12"/>
    </i>
    <i r="3">
      <x v="54"/>
      <x v="43"/>
      <x v="175"/>
      <x v="90"/>
      <x v="139"/>
    </i>
    <i r="5">
      <x v="176"/>
      <x v="13"/>
      <x v="20"/>
    </i>
    <i r="5">
      <x v="177"/>
      <x v="12"/>
      <x v="19"/>
    </i>
    <i r="5">
      <x v="178"/>
      <x v="64"/>
      <x v="141"/>
    </i>
    <i r="3">
      <x v="55"/>
      <x v="23"/>
      <x v="179"/>
      <x v="170"/>
      <x v="55"/>
    </i>
    <i r="3">
      <x v="56"/>
      <x v="30"/>
      <x v="180"/>
      <x v="51"/>
      <x v="100"/>
    </i>
    <i r="5">
      <x v="181"/>
      <x v="171"/>
      <x v="24"/>
    </i>
    <i r="5">
      <x v="184"/>
      <x v="173"/>
      <x v="56"/>
    </i>
    <i t="grand">
      <x/>
    </i>
  </rowItems>
  <colItems count="1">
    <i/>
  </colItems>
  <pageFields count="1">
    <pageField fld="11" hier="-1"/>
  </pageFields>
  <dataFields count="1">
    <dataField name="Suma de N1" fld="1" baseField="0" baseItem="0"/>
  </dataFields>
  <formats count="30">
    <format dxfId="251">
      <pivotArea type="all" dataOnly="0" outline="0" fieldPosition="0"/>
    </format>
    <format dxfId="252">
      <pivotArea outline="0" collapsedLevelsAreSubtotals="1" fieldPosition="0"/>
    </format>
    <format dxfId="253">
      <pivotArea field="0" type="button" dataOnly="0" labelOnly="1" outline="0" axis="axisRow" fieldPosition="0"/>
    </format>
    <format dxfId="254">
      <pivotArea dataOnly="0" labelOnly="1" grandRow="1" outline="0" fieldPosition="0"/>
    </format>
    <format dxfId="255">
      <pivotArea type="all" dataOnly="0" outline="0" fieldPosition="0"/>
    </format>
    <format dxfId="256">
      <pivotArea outline="0" collapsedLevelsAreSubtotals="1" fieldPosition="0"/>
    </format>
    <format dxfId="257">
      <pivotArea field="0" type="button" dataOnly="0" labelOnly="1" outline="0" axis="axisRow" fieldPosition="0"/>
    </format>
    <format dxfId="258">
      <pivotArea dataOnly="0" labelOnly="1" grandRow="1" outline="0" fieldPosition="0"/>
    </format>
    <format dxfId="259">
      <pivotArea type="all" dataOnly="0" outline="0" fieldPosition="0"/>
    </format>
    <format dxfId="260">
      <pivotArea outline="0" collapsedLevelsAreSubtotals="1" fieldPosition="0"/>
    </format>
    <format dxfId="261">
      <pivotArea field="0" type="button" dataOnly="0" labelOnly="1" outline="0" axis="axisRow" fieldPosition="0"/>
    </format>
    <format dxfId="262">
      <pivotArea dataOnly="0" labelOnly="1" grandRow="1" outline="0" fieldPosition="0"/>
    </format>
    <format dxfId="263">
      <pivotArea type="all" dataOnly="0" outline="0" fieldPosition="0"/>
    </format>
    <format dxfId="264">
      <pivotArea outline="0" collapsedLevelsAreSubtotals="1" fieldPosition="0"/>
    </format>
    <format dxfId="265">
      <pivotArea field="0" type="button" dataOnly="0" labelOnly="1" outline="0" axis="axisRow" fieldPosition="0"/>
    </format>
    <format dxfId="266">
      <pivotArea field="1" type="button" dataOnly="0" labelOnly="1" outline="0" axis="axisRow" fieldPosition="1"/>
    </format>
    <format dxfId="267">
      <pivotArea field="2" type="button" dataOnly="0" labelOnly="1" outline="0" axis="axisRow" fieldPosition="2"/>
    </format>
    <format dxfId="268">
      <pivotArea field="3" type="button" dataOnly="0" labelOnly="1" outline="0" axis="axisRow" fieldPosition="3"/>
    </format>
    <format dxfId="269">
      <pivotArea field="4" type="button" dataOnly="0" labelOnly="1" outline="0" axis="axisRow" fieldPosition="4"/>
    </format>
    <format dxfId="270">
      <pivotArea field="5" type="button" dataOnly="0" labelOnly="1" outline="0" axis="axisRow" fieldPosition="5"/>
    </format>
    <format dxfId="271">
      <pivotArea field="9" type="button" dataOnly="0" labelOnly="1" outline="0" axis="axisRow" fieldPosition="6"/>
    </format>
    <format dxfId="272">
      <pivotArea dataOnly="0" labelOnly="1" grandRow="1" outline="0" fieldPosition="0"/>
    </format>
    <format dxfId="273">
      <pivotArea outline="0" collapsedLevelsAreSubtotals="1" fieldPosition="0"/>
    </format>
    <format dxfId="274">
      <pivotArea dataOnly="0" labelOnly="1" outline="0" offset="IV86" fieldPosition="0">
        <references count="1">
          <reference field="0" count="1">
            <x v="4"/>
          </reference>
        </references>
      </pivotArea>
    </format>
    <format dxfId="275">
      <pivotArea dataOnly="0" labelOnly="1" outline="0" fieldPosition="0">
        <references count="7">
          <reference field="0" count="1" selected="0">
            <x v="4"/>
          </reference>
          <reference field="1" count="1" selected="0">
            <x v="10"/>
          </reference>
          <reference field="2" count="1" selected="0">
            <x v="13"/>
          </reference>
          <reference field="3" count="1" selected="0">
            <x v="36"/>
          </reference>
          <reference field="4" count="1" selected="0">
            <x v="42"/>
          </reference>
          <reference field="5" count="1" selected="0">
            <x v="123"/>
          </reference>
          <reference field="9" count="1">
            <x v="0"/>
          </reference>
        </references>
      </pivotArea>
    </format>
    <format dxfId="276">
      <pivotArea dataOnly="0" labelOnly="1" outline="0" offset="IV86" fieldPosition="0">
        <references count="1">
          <reference field="0" count="1">
            <x v="4"/>
          </reference>
        </references>
      </pivotArea>
    </format>
    <format dxfId="277">
      <pivotArea dataOnly="0" labelOnly="1" outline="0" fieldPosition="0">
        <references count="7">
          <reference field="0" count="1" selected="0">
            <x v="4"/>
          </reference>
          <reference field="1" count="1" selected="0">
            <x v="10"/>
          </reference>
          <reference field="2" count="1" selected="0">
            <x v="13"/>
          </reference>
          <reference field="3" count="1" selected="0">
            <x v="36"/>
          </reference>
          <reference field="4" count="1" selected="0">
            <x v="42"/>
          </reference>
          <reference field="5" count="1" selected="0">
            <x v="123"/>
          </reference>
          <reference field="9" count="1">
            <x v="0"/>
          </reference>
        </references>
      </pivotArea>
    </format>
    <format dxfId="278">
      <pivotArea outline="0" collapsedLevelsAreSubtotals="1" fieldPosition="0"/>
    </format>
    <format dxfId="279">
      <pivotArea dataOnly="0" labelOnly="1" outline="0" axis="axisValues" fieldPosition="0"/>
    </format>
    <format dxfId="280">
      <pivotArea dataOnly="0" labelOnly="1" outline="0" axis="axisValues" fieldPosition="0"/>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B00-000002000000}" name="TablaDinámica1" cacheId="1336" applyNumberFormats="0" applyBorderFormats="0" applyFontFormats="0" applyPatternFormats="0" applyAlignmentFormats="0" applyWidthHeightFormats="1" dataCaption="Valores" missingCaption="-" updatedVersion="6" minRefreshableVersion="3" itemPrintTitles="1" createdVersion="6" indent="0" compact="0" outline="1" outlineData="1" compactData="0" multipleFieldFilters="0">
  <location ref="A3:E81" firstHeaderRow="1" firstDataRow="1" firstDataCol="4" rowPageCount="1" colPageCount="1"/>
  <pivotFields count="31">
    <pivotField axis="axisRow" compact="0" showAll="0">
      <items count="9">
        <item x="0"/>
        <item x="1"/>
        <item x="2"/>
        <item x="3"/>
        <item x="5"/>
        <item x="7"/>
        <item x="4"/>
        <item x="6"/>
        <item t="default"/>
      </items>
    </pivotField>
    <pivotField compact="0" showAll="0"/>
    <pivotField axis="axisRow" compact="0" showAll="0">
      <items count="18">
        <item x="1"/>
        <item x="7"/>
        <item x="14"/>
        <item x="3"/>
        <item x="0"/>
        <item x="15"/>
        <item x="6"/>
        <item x="8"/>
        <item x="12"/>
        <item x="11"/>
        <item x="5"/>
        <item x="16"/>
        <item x="9"/>
        <item x="10"/>
        <item x="4"/>
        <item x="2"/>
        <item x="13"/>
        <item t="default"/>
      </items>
    </pivotField>
    <pivotField compact="0" showAll="0"/>
    <pivotField compact="0" showAll="0"/>
    <pivotField compact="0" showAll="0"/>
    <pivotField compact="0" showAll="0"/>
    <pivotField compact="0" showAll="0"/>
    <pivotField compact="0" showAll="0"/>
    <pivotField axis="axisRow" compact="0" showAll="0">
      <items count="206">
        <item m="1" x="202"/>
        <item x="77"/>
        <item m="1" x="199"/>
        <item x="147"/>
        <item x="148"/>
        <item x="127"/>
        <item x="74"/>
        <item x="138"/>
        <item x="124"/>
        <item x="183"/>
        <item x="61"/>
        <item x="7"/>
        <item m="1" x="204"/>
        <item x="116"/>
        <item x="184"/>
        <item x="28"/>
        <item x="144"/>
        <item x="89"/>
        <item x="112"/>
        <item x="132"/>
        <item x="90"/>
        <item x="190"/>
        <item x="189"/>
        <item x="59"/>
        <item x="55"/>
        <item x="54"/>
        <item x="58"/>
        <item x="56"/>
        <item x="65"/>
        <item x="133"/>
        <item x="194"/>
        <item m="1" x="201"/>
        <item x="67"/>
        <item x="69"/>
        <item x="95"/>
        <item x="64"/>
        <item x="171"/>
        <item x="134"/>
        <item x="52"/>
        <item x="20"/>
        <item x="126"/>
        <item x="137"/>
        <item x="46"/>
        <item x="135"/>
        <item x="88"/>
        <item x="5"/>
        <item x="146"/>
        <item x="92"/>
        <item x="165"/>
        <item x="172"/>
        <item x="71"/>
        <item x="125"/>
        <item x="158"/>
        <item x="139"/>
        <item x="161"/>
        <item x="91"/>
        <item x="110"/>
        <item x="33"/>
        <item x="145"/>
        <item x="129"/>
        <item x="1"/>
        <item x="153"/>
        <item x="34"/>
        <item x="32"/>
        <item x="0"/>
        <item x="140"/>
        <item x="45"/>
        <item x="85"/>
        <item m="1" x="197"/>
        <item m="1" x="203"/>
        <item x="143"/>
        <item x="156"/>
        <item x="80"/>
        <item x="150"/>
        <item x="152"/>
        <item x="23"/>
        <item x="12"/>
        <item x="13"/>
        <item x="10"/>
        <item x="40"/>
        <item x="37"/>
        <item x="159"/>
        <item x="44"/>
        <item x="136"/>
        <item x="185"/>
        <item x="167"/>
        <item x="170"/>
        <item x="84"/>
        <item x="177"/>
        <item x="182"/>
        <item x="175"/>
        <item x="187"/>
        <item x="192"/>
        <item x="193"/>
        <item x="47"/>
        <item x="149"/>
        <item x="162"/>
        <item x="35"/>
        <item x="75"/>
        <item x="155"/>
        <item x="73"/>
        <item x="31"/>
        <item x="111"/>
        <item x="41"/>
        <item x="51"/>
        <item x="6"/>
        <item x="30"/>
        <item x="72"/>
        <item x="121"/>
        <item x="81"/>
        <item x="2"/>
        <item x="123"/>
        <item x="118"/>
        <item x="36"/>
        <item x="14"/>
        <item x="163"/>
        <item x="173"/>
        <item x="43"/>
        <item x="160"/>
        <item x="166"/>
        <item m="1" x="200"/>
        <item x="42"/>
        <item x="82"/>
        <item x="128"/>
        <item x="120"/>
        <item x="191"/>
        <item x="62"/>
        <item x="176"/>
        <item x="186"/>
        <item x="130"/>
        <item x="48"/>
        <item m="1" x="198"/>
        <item x="78"/>
        <item x="141"/>
        <item x="169"/>
        <item x="164"/>
        <item x="57"/>
        <item x="63"/>
        <item x="24"/>
        <item x="60"/>
        <item x="70"/>
        <item x="18"/>
        <item x="17"/>
        <item x="180"/>
        <item x="174"/>
        <item x="181"/>
        <item x="53"/>
        <item x="3"/>
        <item x="25"/>
        <item x="4"/>
        <item x="22"/>
        <item x="21"/>
        <item x="178"/>
        <item x="179"/>
        <item x="11"/>
        <item x="9"/>
        <item x="8"/>
        <item x="68"/>
        <item x="66"/>
        <item x="122"/>
        <item x="119"/>
        <item x="83"/>
        <item x="114"/>
        <item x="113"/>
        <item x="115"/>
        <item x="76"/>
        <item x="117"/>
        <item x="79"/>
        <item x="49"/>
        <item x="50"/>
        <item x="16"/>
        <item x="15"/>
        <item x="38"/>
        <item x="39"/>
        <item x="151"/>
        <item x="19"/>
        <item x="105"/>
        <item x="101"/>
        <item x="98"/>
        <item x="107"/>
        <item x="97"/>
        <item x="108"/>
        <item x="104"/>
        <item x="106"/>
        <item x="102"/>
        <item x="100"/>
        <item x="103"/>
        <item x="99"/>
        <item x="188"/>
        <item x="168"/>
        <item x="93"/>
        <item x="94"/>
        <item x="131"/>
        <item x="27"/>
        <item x="29"/>
        <item x="26"/>
        <item sd="0" x="154"/>
        <item x="96"/>
        <item x="109"/>
        <item x="86"/>
        <item x="87"/>
        <item x="142"/>
        <item x="157"/>
        <item x="195"/>
        <item x="196"/>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Page" compact="0" multipleItemSelectionAllowed="1" showAll="0">
      <items count="12">
        <item x="1"/>
        <item h="1" m="1" x="10"/>
        <item h="1" m="1" x="8"/>
        <item h="1" x="6"/>
        <item h="1" x="0"/>
        <item h="1" m="1" x="7"/>
        <item h="1" m="1" x="9"/>
        <item h="1" x="3"/>
        <item h="1" x="2"/>
        <item h="1" x="5"/>
        <item h="1" x="4"/>
        <item t="default"/>
      </items>
    </pivotField>
    <pivotField compact="0" showAll="0"/>
    <pivotField axis="axisRow" dataField="1" compact="0" showAll="0" sortType="ascending">
      <items count="351">
        <item x="96"/>
        <item x="168"/>
        <item m="1" x="315"/>
        <item x="194"/>
        <item m="1" x="316"/>
        <item m="1" x="297"/>
        <item x="164"/>
        <item x="94"/>
        <item x="93"/>
        <item m="1" x="304"/>
        <item x="78"/>
        <item x="80"/>
        <item x="81"/>
        <item x="209"/>
        <item x="210"/>
        <item x="211"/>
        <item x="86"/>
        <item x="67"/>
        <item x="68"/>
        <item x="69"/>
        <item x="82"/>
        <item x="70"/>
        <item x="44"/>
        <item x="71"/>
        <item x="24"/>
        <item x="99"/>
        <item x="73"/>
        <item x="79"/>
        <item x="74"/>
        <item x="77"/>
        <item x="87"/>
        <item x="88"/>
        <item x="100"/>
        <item x="90"/>
        <item x="91"/>
        <item x="72"/>
        <item x="243"/>
        <item m="1" x="292"/>
        <item x="101"/>
        <item x="102"/>
        <item m="1" x="301"/>
        <item m="1" x="330"/>
        <item x="116"/>
        <item x="103"/>
        <item m="1" x="332"/>
        <item x="104"/>
        <item x="105"/>
        <item x="106"/>
        <item x="20"/>
        <item x="118"/>
        <item x="40"/>
        <item x="115"/>
        <item x="41"/>
        <item x="21"/>
        <item m="1" x="310"/>
        <item x="84"/>
        <item x="107"/>
        <item x="178"/>
        <item x="143"/>
        <item x="75"/>
        <item m="1" x="296"/>
        <item m="1" x="324"/>
        <item x="117"/>
        <item x="179"/>
        <item x="97"/>
        <item m="1" x="347"/>
        <item m="1" x="339"/>
        <item x="175"/>
        <item m="1" x="341"/>
        <item x="177"/>
        <item m="1" x="306"/>
        <item x="109"/>
        <item m="1" x="343"/>
        <item x="22"/>
        <item x="142"/>
        <item x="198"/>
        <item m="1" x="325"/>
        <item x="113"/>
        <item x="95"/>
        <item x="65"/>
        <item x="66"/>
        <item x="203"/>
        <item x="29"/>
        <item x="140"/>
        <item m="1" x="313"/>
        <item x="27"/>
        <item m="1" x="298"/>
        <item m="1" x="336"/>
        <item x="89"/>
        <item x="83"/>
        <item x="92"/>
        <item x="184"/>
        <item x="197"/>
        <item x="199"/>
        <item x="141"/>
        <item x="144"/>
        <item m="1" x="327"/>
        <item x="25"/>
        <item x="26"/>
        <item m="1" x="321"/>
        <item x="145"/>
        <item x="111"/>
        <item m="1" x="338"/>
        <item x="112"/>
        <item m="1" x="348"/>
        <item x="85"/>
        <item x="110"/>
        <item x="76"/>
        <item x="146"/>
        <item m="1" x="295"/>
        <item x="147"/>
        <item m="1" x="349"/>
        <item x="148"/>
        <item x="185"/>
        <item m="1" x="317"/>
        <item x="108"/>
        <item m="1" x="300"/>
        <item m="1" x="311"/>
        <item x="12"/>
        <item x="11"/>
        <item x="42"/>
        <item m="1" x="318"/>
        <item x="132"/>
        <item x="7"/>
        <item x="4"/>
        <item x="266"/>
        <item x="52"/>
        <item x="1"/>
        <item x="61"/>
        <item x="14"/>
        <item x="0"/>
        <item x="51"/>
        <item x="37"/>
        <item x="62"/>
        <item m="1" x="335"/>
        <item x="5"/>
        <item x="200"/>
        <item x="39"/>
        <item x="8"/>
        <item x="32"/>
        <item x="264"/>
        <item x="265"/>
        <item x="183"/>
        <item x="181"/>
        <item x="289"/>
        <item x="134"/>
        <item m="1" x="308"/>
        <item x="288"/>
        <item x="281"/>
        <item x="3"/>
        <item x="98"/>
        <item m="1" x="314"/>
        <item m="1" x="346"/>
        <item x="17"/>
        <item x="214"/>
        <item x="212"/>
        <item x="213"/>
        <item m="1" x="329"/>
        <item m="1" x="303"/>
        <item x="226"/>
        <item x="229"/>
        <item x="123"/>
        <item x="122"/>
        <item x="230"/>
        <item x="129"/>
        <item m="1" x="320"/>
        <item x="121"/>
        <item m="1" x="319"/>
        <item x="126"/>
        <item m="1" x="337"/>
        <item x="159"/>
        <item x="167"/>
        <item x="158"/>
        <item m="1" x="293"/>
        <item x="189"/>
        <item x="186"/>
        <item m="1" x="333"/>
        <item x="188"/>
        <item x="172"/>
        <item x="173"/>
        <item x="176"/>
        <item x="205"/>
        <item x="202"/>
        <item x="237"/>
        <item x="236"/>
        <item x="119"/>
        <item x="165"/>
        <item x="191"/>
        <item x="190"/>
        <item x="232"/>
        <item x="231"/>
        <item m="1" x="331"/>
        <item m="1" x="299"/>
        <item m="1" x="322"/>
        <item x="2"/>
        <item x="138"/>
        <item x="139"/>
        <item x="187"/>
        <item m="1" x="328"/>
        <item x="220"/>
        <item x="180"/>
        <item x="221"/>
        <item m="1" x="294"/>
        <item m="1" x="342"/>
        <item x="240"/>
        <item x="219"/>
        <item m="1" x="302"/>
        <item x="208"/>
        <item x="216"/>
        <item x="278"/>
        <item x="149"/>
        <item x="35"/>
        <item x="254"/>
        <item x="287"/>
        <item x="222"/>
        <item x="234"/>
        <item x="250"/>
        <item x="235"/>
        <item x="224"/>
        <item x="283"/>
        <item x="284"/>
        <item x="270"/>
        <item x="285"/>
        <item x="290"/>
        <item x="163"/>
        <item m="1" x="312"/>
        <item x="170"/>
        <item x="171"/>
        <item x="174"/>
        <item x="169"/>
        <item m="1" x="334"/>
        <item x="244"/>
        <item x="206"/>
        <item x="207"/>
        <item m="1" x="309"/>
        <item x="15"/>
        <item x="255"/>
        <item x="282"/>
        <item x="251"/>
        <item x="263"/>
        <item x="261"/>
        <item x="63"/>
        <item x="201"/>
        <item x="225"/>
        <item x="238"/>
        <item x="267"/>
        <item x="262"/>
        <item x="182"/>
        <item x="259"/>
        <item x="204"/>
        <item x="13"/>
        <item x="218"/>
        <item x="47"/>
        <item x="268"/>
        <item x="274"/>
        <item x="45"/>
        <item x="257"/>
        <item x="256"/>
        <item x="260"/>
        <item x="258"/>
        <item x="33"/>
        <item x="34"/>
        <item x="279"/>
        <item m="1" x="345"/>
        <item x="228"/>
        <item x="36"/>
        <item x="10"/>
        <item x="58"/>
        <item x="60"/>
        <item x="59"/>
        <item x="286"/>
        <item x="249"/>
        <item x="248"/>
        <item x="38"/>
        <item x="242"/>
        <item x="252"/>
        <item x="46"/>
        <item x="280"/>
        <item x="137"/>
        <item x="217"/>
        <item x="223"/>
        <item x="233"/>
        <item m="1" x="291"/>
        <item m="1" x="344"/>
        <item x="120"/>
        <item x="16"/>
        <item x="241"/>
        <item x="247"/>
        <item x="245"/>
        <item x="246"/>
        <item x="275"/>
        <item x="276"/>
        <item x="166"/>
        <item x="253"/>
        <item x="50"/>
        <item x="9"/>
        <item m="1" x="326"/>
        <item x="30"/>
        <item x="114"/>
        <item x="135"/>
        <item x="136"/>
        <item x="128"/>
        <item x="277"/>
        <item x="124"/>
        <item x="43"/>
        <item x="125"/>
        <item x="157"/>
        <item x="215"/>
        <item x="53"/>
        <item x="54"/>
        <item x="19"/>
        <item x="48"/>
        <item x="57"/>
        <item x="239"/>
        <item x="64"/>
        <item x="18"/>
        <item x="56"/>
        <item x="31"/>
        <item x="55"/>
        <item x="133"/>
        <item m="1" x="307"/>
        <item x="227"/>
        <item x="162"/>
        <item x="160"/>
        <item x="161"/>
        <item x="150"/>
        <item x="153"/>
        <item x="152"/>
        <item x="154"/>
        <item x="155"/>
        <item x="156"/>
        <item x="151"/>
        <item x="49"/>
        <item x="271"/>
        <item x="269"/>
        <item x="272"/>
        <item x="273"/>
        <item m="1" x="323"/>
        <item x="130"/>
        <item m="1" x="340"/>
        <item x="28"/>
        <item x="127"/>
        <item x="131"/>
        <item x="23"/>
        <item m="1" x="305"/>
        <item x="193"/>
        <item x="195"/>
        <item x="192"/>
        <item x="196"/>
        <item x="6"/>
        <item t="default"/>
      </items>
    </pivotField>
    <pivotField compact="0" showAll="0"/>
    <pivotField compact="0" showAll="0"/>
    <pivotField compact="0" showAll="0"/>
    <pivotField compact="0" showAll="0"/>
    <pivotField compact="0" showAll="0"/>
  </pivotFields>
  <rowFields count="4">
    <field x="0"/>
    <field x="2"/>
    <field x="9"/>
    <field x="25"/>
  </rowFields>
  <rowItems count="78">
    <i>
      <x/>
    </i>
    <i r="1">
      <x v="15"/>
    </i>
    <i r="2">
      <x v="148"/>
    </i>
    <i r="3">
      <x v="48"/>
    </i>
    <i r="2">
      <x v="195"/>
    </i>
    <i r="3">
      <x v="53"/>
    </i>
    <i>
      <x v="1"/>
    </i>
    <i r="1">
      <x v="3"/>
    </i>
    <i r="2">
      <x v="121"/>
    </i>
    <i r="3">
      <x v="97"/>
    </i>
    <i r="3">
      <x v="98"/>
    </i>
    <i>
      <x v="2"/>
    </i>
    <i r="1">
      <x v="10"/>
    </i>
    <i r="2">
      <x v="38"/>
    </i>
    <i r="3">
      <x v="50"/>
    </i>
    <i r="3">
      <x v="52"/>
    </i>
    <i r="2">
      <x v="50"/>
    </i>
    <i r="3">
      <x v="79"/>
    </i>
    <i r="3">
      <x v="80"/>
    </i>
    <i>
      <x v="3"/>
    </i>
    <i r="1">
      <x v="1"/>
    </i>
    <i r="2">
      <x v="67"/>
    </i>
    <i r="3">
      <x v="90"/>
    </i>
    <i r="2">
      <x v="87"/>
    </i>
    <i r="3">
      <x v="88"/>
    </i>
    <i r="2">
      <x v="161"/>
    </i>
    <i r="3">
      <x v="89"/>
    </i>
    <i r="1">
      <x v="7"/>
    </i>
    <i r="2">
      <x v="34"/>
    </i>
    <i r="3">
      <x v="77"/>
    </i>
    <i r="3">
      <x v="101"/>
    </i>
    <i r="3">
      <x v="103"/>
    </i>
    <i r="2">
      <x v="47"/>
    </i>
    <i r="3">
      <x v="38"/>
    </i>
    <i r="3">
      <x v="39"/>
    </i>
    <i r="3">
      <x v="43"/>
    </i>
    <i r="3">
      <x v="45"/>
    </i>
    <i r="3">
      <x v="46"/>
    </i>
    <i r="3">
      <x v="47"/>
    </i>
    <i r="3">
      <x v="56"/>
    </i>
    <i r="3">
      <x v="71"/>
    </i>
    <i r="3">
      <x v="115"/>
    </i>
    <i r="2">
      <x v="191"/>
    </i>
    <i r="3">
      <x v="106"/>
    </i>
    <i>
      <x v="4"/>
    </i>
    <i r="1">
      <x v="8"/>
    </i>
    <i r="2">
      <x v="46"/>
    </i>
    <i r="3">
      <x v="91"/>
    </i>
    <i r="3">
      <x v="113"/>
    </i>
    <i r="2">
      <x v="54"/>
    </i>
    <i r="3">
      <x v="75"/>
    </i>
    <i r="3">
      <x v="92"/>
    </i>
    <i r="3">
      <x v="93"/>
    </i>
    <i r="2">
      <x v="58"/>
    </i>
    <i r="3">
      <x v="57"/>
    </i>
    <i r="3">
      <x v="63"/>
    </i>
    <i r="3">
      <x v="67"/>
    </i>
    <i r="3">
      <x v="69"/>
    </i>
    <i>
      <x v="6"/>
    </i>
    <i r="1">
      <x v="13"/>
    </i>
    <i r="2">
      <x v="51"/>
    </i>
    <i r="3">
      <x v="58"/>
    </i>
    <i r="3">
      <x v="74"/>
    </i>
    <i r="3">
      <x v="94"/>
    </i>
    <i r="3">
      <x v="95"/>
    </i>
    <i r="3">
      <x v="100"/>
    </i>
    <i r="3">
      <x v="108"/>
    </i>
    <i r="3">
      <x v="110"/>
    </i>
    <i r="3">
      <x v="112"/>
    </i>
    <i r="2">
      <x v="56"/>
    </i>
    <i r="3">
      <x v="49"/>
    </i>
    <i r="2">
      <x v="178"/>
    </i>
    <i r="3">
      <x v="51"/>
    </i>
    <i r="2">
      <x v="186"/>
    </i>
    <i r="3">
      <x v="42"/>
    </i>
    <i r="2">
      <x v="198"/>
    </i>
    <i r="3">
      <x v="62"/>
    </i>
    <i t="grand">
      <x/>
    </i>
  </rowItems>
  <colItems count="1">
    <i/>
  </colItems>
  <pageFields count="1">
    <pageField fld="23" hier="-1"/>
  </pageFields>
  <dataFields count="1">
    <dataField name="Cuenta de Acció concreta dins del Pla" fld="25" subtotal="count" baseField="0" baseItem="0"/>
  </dataFields>
  <formats count="120">
    <format dxfId="131">
      <pivotArea field="23" type="button" dataOnly="0" labelOnly="1" outline="0" axis="axisPage" fieldPosition="0"/>
    </format>
    <format dxfId="132">
      <pivotArea field="0" type="button" dataOnly="0" labelOnly="1" outline="0" axis="axisRow" fieldPosition="0"/>
    </format>
    <format dxfId="133">
      <pivotArea dataOnly="0" labelOnly="1" grandRow="1" outline="0" fieldPosition="0"/>
    </format>
    <format dxfId="134">
      <pivotArea field="23" type="button" dataOnly="0" labelOnly="1" outline="0" axis="axisPage" fieldPosition="0"/>
    </format>
    <format dxfId="135">
      <pivotArea field="25" type="button" dataOnly="0" labelOnly="1" outline="0" axis="axisRow" fieldPosition="3"/>
    </format>
    <format dxfId="136">
      <pivotArea dataOnly="0" labelOnly="1" grandRow="1" outline="0" fieldPosition="0"/>
    </format>
    <format dxfId="137">
      <pivotArea field="23" type="button" dataOnly="0" labelOnly="1" outline="0" axis="axisPage" fieldPosition="0"/>
    </format>
    <format dxfId="138">
      <pivotArea field="25" type="button" dataOnly="0" labelOnly="1" outline="0" axis="axisRow" fieldPosition="3"/>
    </format>
    <format dxfId="139">
      <pivotArea dataOnly="0" labelOnly="1" grandRow="1" outline="0" fieldPosition="0"/>
    </format>
    <format dxfId="140">
      <pivotArea field="23" type="button" dataOnly="0" labelOnly="1" outline="0" axis="axisPage" fieldPosition="0"/>
    </format>
    <format dxfId="141">
      <pivotArea field="25" type="button" dataOnly="0" labelOnly="1" outline="0" axis="axisRow" fieldPosition="3"/>
    </format>
    <format dxfId="142">
      <pivotArea dataOnly="0" labelOnly="1" grandRow="1" outline="0" fieldPosition="0"/>
    </format>
    <format dxfId="143">
      <pivotArea field="23" type="button" dataOnly="0" labelOnly="1" outline="0" axis="axisPage" fieldPosition="0"/>
    </format>
    <format dxfId="144">
      <pivotArea field="0" type="button" dataOnly="0" labelOnly="1" outline="0" axis="axisRow" fieldPosition="0"/>
    </format>
    <format dxfId="145">
      <pivotArea dataOnly="0" labelOnly="1" fieldPosition="0">
        <references count="1">
          <reference field="0" count="6">
            <x v="0"/>
            <x v="1"/>
            <x v="2"/>
            <x v="3"/>
            <x v="4"/>
            <x v="6"/>
          </reference>
        </references>
      </pivotArea>
    </format>
    <format dxfId="146">
      <pivotArea dataOnly="0" labelOnly="1" grandRow="1" outline="0" fieldPosition="0"/>
    </format>
    <format dxfId="147">
      <pivotArea dataOnly="0" labelOnly="1" fieldPosition="0">
        <references count="2">
          <reference field="0" count="1" selected="0">
            <x v="1"/>
          </reference>
          <reference field="2" count="1">
            <x v="3"/>
          </reference>
        </references>
      </pivotArea>
    </format>
    <format dxfId="148">
      <pivotArea dataOnly="0" labelOnly="1" fieldPosition="0">
        <references count="2">
          <reference field="0" count="1" selected="0">
            <x v="2"/>
          </reference>
          <reference field="2" count="1">
            <x v="10"/>
          </reference>
        </references>
      </pivotArea>
    </format>
    <format dxfId="149">
      <pivotArea dataOnly="0" labelOnly="1" fieldPosition="0">
        <references count="2">
          <reference field="0" count="1" selected="0">
            <x v="3"/>
          </reference>
          <reference field="2" count="2">
            <x v="1"/>
            <x v="7"/>
          </reference>
        </references>
      </pivotArea>
    </format>
    <format dxfId="150">
      <pivotArea dataOnly="0" labelOnly="1" fieldPosition="0">
        <references count="2">
          <reference field="0" count="1" selected="0">
            <x v="4"/>
          </reference>
          <reference field="2" count="1">
            <x v="8"/>
          </reference>
        </references>
      </pivotArea>
    </format>
    <format dxfId="151">
      <pivotArea dataOnly="0" labelOnly="1" fieldPosition="0">
        <references count="2">
          <reference field="0" count="1" selected="0">
            <x v="0"/>
          </reference>
          <reference field="2" count="1">
            <x v="15"/>
          </reference>
        </references>
      </pivotArea>
    </format>
    <format dxfId="152">
      <pivotArea dataOnly="0" labelOnly="1" fieldPosition="0">
        <references count="2">
          <reference field="0" count="1" selected="0">
            <x v="6"/>
          </reference>
          <reference field="2" count="1">
            <x v="13"/>
          </reference>
        </references>
      </pivotArea>
    </format>
    <format dxfId="153">
      <pivotArea dataOnly="0" labelOnly="1" fieldPosition="0">
        <references count="3">
          <reference field="0" count="1" selected="0">
            <x v="1"/>
          </reference>
          <reference field="2" count="1" selected="0">
            <x v="3"/>
          </reference>
          <reference field="9" count="2">
            <x v="121"/>
            <x v="196"/>
          </reference>
        </references>
      </pivotArea>
    </format>
    <format dxfId="154">
      <pivotArea dataOnly="0" labelOnly="1" fieldPosition="0">
        <references count="3">
          <reference field="0" count="1" selected="0">
            <x v="2"/>
          </reference>
          <reference field="2" count="1" selected="0">
            <x v="10"/>
          </reference>
          <reference field="9" count="2">
            <x v="38"/>
            <x v="50"/>
          </reference>
        </references>
      </pivotArea>
    </format>
    <format dxfId="155">
      <pivotArea dataOnly="0" labelOnly="1" fieldPosition="0">
        <references count="3">
          <reference field="0" count="1" selected="0">
            <x v="3"/>
          </reference>
          <reference field="2" count="1" selected="0">
            <x v="1"/>
          </reference>
          <reference field="9" count="2">
            <x v="87"/>
            <x v="161"/>
          </reference>
        </references>
      </pivotArea>
    </format>
    <format dxfId="156">
      <pivotArea dataOnly="0" labelOnly="1" fieldPosition="0">
        <references count="3">
          <reference field="0" count="1" selected="0">
            <x v="3"/>
          </reference>
          <reference field="2" count="1" selected="0">
            <x v="7"/>
          </reference>
          <reference field="9" count="3">
            <x v="34"/>
            <x v="47"/>
            <x v="191"/>
          </reference>
        </references>
      </pivotArea>
    </format>
    <format dxfId="157">
      <pivotArea dataOnly="0" labelOnly="1" fieldPosition="0">
        <references count="3">
          <reference field="0" count="1" selected="0">
            <x v="4"/>
          </reference>
          <reference field="2" count="1" selected="0">
            <x v="8"/>
          </reference>
          <reference field="9" count="3">
            <x v="46"/>
            <x v="54"/>
            <x v="58"/>
          </reference>
        </references>
      </pivotArea>
    </format>
    <format dxfId="158">
      <pivotArea dataOnly="0" labelOnly="1" fieldPosition="0">
        <references count="3">
          <reference field="0" count="1" selected="0">
            <x v="0"/>
          </reference>
          <reference field="2" count="1" selected="0">
            <x v="15"/>
          </reference>
          <reference field="9" count="2">
            <x v="148"/>
            <x v="195"/>
          </reference>
        </references>
      </pivotArea>
    </format>
    <format dxfId="159">
      <pivotArea dataOnly="0" labelOnly="1" fieldPosition="0">
        <references count="3">
          <reference field="0" count="1" selected="0">
            <x v="6"/>
          </reference>
          <reference field="2" count="1" selected="0">
            <x v="13"/>
          </reference>
          <reference field="9" count="6">
            <x v="12"/>
            <x v="51"/>
            <x v="56"/>
            <x v="178"/>
            <x v="181"/>
            <x v="186"/>
          </reference>
        </references>
      </pivotArea>
    </format>
    <format dxfId="160">
      <pivotArea dataOnly="0" labelOnly="1" fieldPosition="0">
        <references count="4">
          <reference field="0" count="1" selected="0">
            <x v="1"/>
          </reference>
          <reference field="2" count="1" selected="0">
            <x v="3"/>
          </reference>
          <reference field="9" count="1" selected="0">
            <x v="121"/>
          </reference>
          <reference field="25" count="3">
            <x v="97"/>
            <x v="98"/>
            <x v="99"/>
          </reference>
        </references>
      </pivotArea>
    </format>
    <format dxfId="161">
      <pivotArea dataOnly="0" labelOnly="1" fieldPosition="0">
        <references count="4">
          <reference field="0" count="1" selected="0">
            <x v="1"/>
          </reference>
          <reference field="2" count="1" selected="0">
            <x v="3"/>
          </reference>
          <reference field="9" count="1" selected="0">
            <x v="196"/>
          </reference>
          <reference field="25" count="1">
            <x v="349"/>
          </reference>
        </references>
      </pivotArea>
    </format>
    <format dxfId="162">
      <pivotArea dataOnly="0" labelOnly="1" fieldPosition="0">
        <references count="4">
          <reference field="0" count="1" selected="0">
            <x v="2"/>
          </reference>
          <reference field="2" count="1" selected="0">
            <x v="10"/>
          </reference>
          <reference field="9" count="1" selected="0">
            <x v="38"/>
          </reference>
          <reference field="25" count="2">
            <x v="50"/>
            <x v="52"/>
          </reference>
        </references>
      </pivotArea>
    </format>
    <format dxfId="163">
      <pivotArea dataOnly="0" labelOnly="1" fieldPosition="0">
        <references count="4">
          <reference field="0" count="1" selected="0">
            <x v="2"/>
          </reference>
          <reference field="2" count="1" selected="0">
            <x v="10"/>
          </reference>
          <reference field="9" count="1" selected="0">
            <x v="50"/>
          </reference>
          <reference field="25" count="2">
            <x v="79"/>
            <x v="80"/>
          </reference>
        </references>
      </pivotArea>
    </format>
    <format dxfId="164">
      <pivotArea dataOnly="0" labelOnly="1" fieldPosition="0">
        <references count="4">
          <reference field="0" count="1" selected="0">
            <x v="3"/>
          </reference>
          <reference field="2" count="1" selected="0">
            <x v="1"/>
          </reference>
          <reference field="9" count="1" selected="0">
            <x v="87"/>
          </reference>
          <reference field="25" count="1">
            <x v="88"/>
          </reference>
        </references>
      </pivotArea>
    </format>
    <format dxfId="165">
      <pivotArea dataOnly="0" labelOnly="1" fieldPosition="0">
        <references count="4">
          <reference field="0" count="1" selected="0">
            <x v="3"/>
          </reference>
          <reference field="2" count="1" selected="0">
            <x v="1"/>
          </reference>
          <reference field="9" count="1" selected="0">
            <x v="161"/>
          </reference>
          <reference field="25" count="1">
            <x v="89"/>
          </reference>
        </references>
      </pivotArea>
    </format>
    <format dxfId="166">
      <pivotArea dataOnly="0" labelOnly="1" fieldPosition="0">
        <references count="4">
          <reference field="0" count="1" selected="0">
            <x v="3"/>
          </reference>
          <reference field="2" count="1" selected="0">
            <x v="7"/>
          </reference>
          <reference field="9" count="1" selected="0">
            <x v="34"/>
          </reference>
          <reference field="25" count="3">
            <x v="77"/>
            <x v="101"/>
            <x v="103"/>
          </reference>
        </references>
      </pivotArea>
    </format>
    <format dxfId="167">
      <pivotArea dataOnly="0" labelOnly="1" fieldPosition="0">
        <references count="4">
          <reference field="0" count="1" selected="0">
            <x v="3"/>
          </reference>
          <reference field="2" count="1" selected="0">
            <x v="7"/>
          </reference>
          <reference field="9" count="1" selected="0">
            <x v="47"/>
          </reference>
          <reference field="25" count="9">
            <x v="38"/>
            <x v="39"/>
            <x v="43"/>
            <x v="45"/>
            <x v="46"/>
            <x v="47"/>
            <x v="56"/>
            <x v="71"/>
            <x v="115"/>
          </reference>
        </references>
      </pivotArea>
    </format>
    <format dxfId="168">
      <pivotArea dataOnly="0" labelOnly="1" fieldPosition="0">
        <references count="4">
          <reference field="0" count="1" selected="0">
            <x v="3"/>
          </reference>
          <reference field="2" count="1" selected="0">
            <x v="7"/>
          </reference>
          <reference field="9" count="1" selected="0">
            <x v="191"/>
          </reference>
          <reference field="25" count="1">
            <x v="106"/>
          </reference>
        </references>
      </pivotArea>
    </format>
    <format dxfId="169">
      <pivotArea dataOnly="0" labelOnly="1" fieldPosition="0">
        <references count="4">
          <reference field="0" count="1" selected="0">
            <x v="4"/>
          </reference>
          <reference field="2" count="1" selected="0">
            <x v="8"/>
          </reference>
          <reference field="9" count="1" selected="0">
            <x v="46"/>
          </reference>
          <reference field="25" count="2">
            <x v="91"/>
            <x v="113"/>
          </reference>
        </references>
      </pivotArea>
    </format>
    <format dxfId="170">
      <pivotArea dataOnly="0" labelOnly="1" fieldPosition="0">
        <references count="4">
          <reference field="0" count="1" selected="0">
            <x v="4"/>
          </reference>
          <reference field="2" count="1" selected="0">
            <x v="8"/>
          </reference>
          <reference field="9" count="1" selected="0">
            <x v="54"/>
          </reference>
          <reference field="25" count="4">
            <x v="75"/>
            <x v="76"/>
            <x v="92"/>
            <x v="349"/>
          </reference>
        </references>
      </pivotArea>
    </format>
    <format dxfId="171">
      <pivotArea dataOnly="0" labelOnly="1" fieldPosition="0">
        <references count="4">
          <reference field="0" count="1" selected="0">
            <x v="4"/>
          </reference>
          <reference field="2" count="1" selected="0">
            <x v="8"/>
          </reference>
          <reference field="9" count="1" selected="0">
            <x v="58"/>
          </reference>
          <reference field="25" count="4">
            <x v="57"/>
            <x v="63"/>
            <x v="67"/>
            <x v="69"/>
          </reference>
        </references>
      </pivotArea>
    </format>
    <format dxfId="172">
      <pivotArea dataOnly="0" labelOnly="1" fieldPosition="0">
        <references count="4">
          <reference field="0" count="1" selected="0">
            <x v="0"/>
          </reference>
          <reference field="2" count="1" selected="0">
            <x v="15"/>
          </reference>
          <reference field="9" count="1" selected="0">
            <x v="148"/>
          </reference>
          <reference field="25" count="1">
            <x v="48"/>
          </reference>
        </references>
      </pivotArea>
    </format>
    <format dxfId="173">
      <pivotArea dataOnly="0" labelOnly="1" fieldPosition="0">
        <references count="4">
          <reference field="0" count="1" selected="0">
            <x v="0"/>
          </reference>
          <reference field="2" count="1" selected="0">
            <x v="15"/>
          </reference>
          <reference field="9" count="1" selected="0">
            <x v="195"/>
          </reference>
          <reference field="25" count="1">
            <x v="53"/>
          </reference>
        </references>
      </pivotArea>
    </format>
    <format dxfId="174">
      <pivotArea dataOnly="0" labelOnly="1" fieldPosition="0">
        <references count="4">
          <reference field="0" count="1" selected="0">
            <x v="6"/>
          </reference>
          <reference field="2" count="1" selected="0">
            <x v="13"/>
          </reference>
          <reference field="9" count="1" selected="0">
            <x v="12"/>
          </reference>
          <reference field="25" count="1">
            <x v="349"/>
          </reference>
        </references>
      </pivotArea>
    </format>
    <format dxfId="175">
      <pivotArea dataOnly="0" labelOnly="1" fieldPosition="0">
        <references count="4">
          <reference field="0" count="1" selected="0">
            <x v="6"/>
          </reference>
          <reference field="2" count="1" selected="0">
            <x v="13"/>
          </reference>
          <reference field="9" count="1" selected="0">
            <x v="51"/>
          </reference>
          <reference field="25" count="8">
            <x v="58"/>
            <x v="74"/>
            <x v="94"/>
            <x v="95"/>
            <x v="100"/>
            <x v="108"/>
            <x v="110"/>
            <x v="112"/>
          </reference>
        </references>
      </pivotArea>
    </format>
    <format dxfId="176">
      <pivotArea dataOnly="0" labelOnly="1" fieldPosition="0">
        <references count="4">
          <reference field="0" count="1" selected="0">
            <x v="6"/>
          </reference>
          <reference field="2" count="1" selected="0">
            <x v="13"/>
          </reference>
          <reference field="9" count="1" selected="0">
            <x v="56"/>
          </reference>
          <reference field="25" count="1">
            <x v="49"/>
          </reference>
        </references>
      </pivotArea>
    </format>
    <format dxfId="177">
      <pivotArea dataOnly="0" labelOnly="1" fieldPosition="0">
        <references count="4">
          <reference field="0" count="1" selected="0">
            <x v="6"/>
          </reference>
          <reference field="2" count="1" selected="0">
            <x v="13"/>
          </reference>
          <reference field="9" count="1" selected="0">
            <x v="178"/>
          </reference>
          <reference field="25" count="1">
            <x v="51"/>
          </reference>
        </references>
      </pivotArea>
    </format>
    <format dxfId="178">
      <pivotArea dataOnly="0" labelOnly="1" fieldPosition="0">
        <references count="4">
          <reference field="0" count="1" selected="0">
            <x v="6"/>
          </reference>
          <reference field="2" count="1" selected="0">
            <x v="13"/>
          </reference>
          <reference field="9" count="1" selected="0">
            <x v="181"/>
          </reference>
          <reference field="25" count="1">
            <x v="62"/>
          </reference>
        </references>
      </pivotArea>
    </format>
    <format dxfId="179">
      <pivotArea dataOnly="0" labelOnly="1" fieldPosition="0">
        <references count="4">
          <reference field="0" count="1" selected="0">
            <x v="6"/>
          </reference>
          <reference field="2" count="1" selected="0">
            <x v="13"/>
          </reference>
          <reference field="9" count="1" selected="0">
            <x v="186"/>
          </reference>
          <reference field="25" count="1">
            <x v="42"/>
          </reference>
        </references>
      </pivotArea>
    </format>
    <format dxfId="180">
      <pivotArea field="23" type="button" dataOnly="0" labelOnly="1" outline="0" axis="axisPage" fieldPosition="0"/>
    </format>
    <format dxfId="181">
      <pivotArea field="0" type="button" dataOnly="0" labelOnly="1" outline="0" axis="axisRow" fieldPosition="0"/>
    </format>
    <format dxfId="182">
      <pivotArea dataOnly="0" labelOnly="1" fieldPosition="0">
        <references count="1">
          <reference field="0" count="6">
            <x v="0"/>
            <x v="1"/>
            <x v="2"/>
            <x v="3"/>
            <x v="4"/>
            <x v="6"/>
          </reference>
        </references>
      </pivotArea>
    </format>
    <format dxfId="183">
      <pivotArea dataOnly="0" labelOnly="1" grandRow="1" outline="0" fieldPosition="0"/>
    </format>
    <format dxfId="184">
      <pivotArea dataOnly="0" labelOnly="1" fieldPosition="0">
        <references count="2">
          <reference field="0" count="1" selected="0">
            <x v="1"/>
          </reference>
          <reference field="2" count="1">
            <x v="3"/>
          </reference>
        </references>
      </pivotArea>
    </format>
    <format dxfId="185">
      <pivotArea dataOnly="0" labelOnly="1" fieldPosition="0">
        <references count="2">
          <reference field="0" count="1" selected="0">
            <x v="2"/>
          </reference>
          <reference field="2" count="1">
            <x v="10"/>
          </reference>
        </references>
      </pivotArea>
    </format>
    <format dxfId="186">
      <pivotArea dataOnly="0" labelOnly="1" fieldPosition="0">
        <references count="2">
          <reference field="0" count="1" selected="0">
            <x v="3"/>
          </reference>
          <reference field="2" count="2">
            <x v="1"/>
            <x v="7"/>
          </reference>
        </references>
      </pivotArea>
    </format>
    <format dxfId="187">
      <pivotArea dataOnly="0" labelOnly="1" fieldPosition="0">
        <references count="2">
          <reference field="0" count="1" selected="0">
            <x v="4"/>
          </reference>
          <reference field="2" count="1">
            <x v="8"/>
          </reference>
        </references>
      </pivotArea>
    </format>
    <format dxfId="188">
      <pivotArea dataOnly="0" labelOnly="1" fieldPosition="0">
        <references count="2">
          <reference field="0" count="1" selected="0">
            <x v="0"/>
          </reference>
          <reference field="2" count="1">
            <x v="15"/>
          </reference>
        </references>
      </pivotArea>
    </format>
    <format dxfId="189">
      <pivotArea dataOnly="0" labelOnly="1" fieldPosition="0">
        <references count="2">
          <reference field="0" count="1" selected="0">
            <x v="6"/>
          </reference>
          <reference field="2" count="1">
            <x v="13"/>
          </reference>
        </references>
      </pivotArea>
    </format>
    <format dxfId="190">
      <pivotArea dataOnly="0" labelOnly="1" fieldPosition="0">
        <references count="3">
          <reference field="0" count="1" selected="0">
            <x v="1"/>
          </reference>
          <reference field="2" count="1" selected="0">
            <x v="3"/>
          </reference>
          <reference field="9" count="2">
            <x v="121"/>
            <x v="196"/>
          </reference>
        </references>
      </pivotArea>
    </format>
    <format dxfId="191">
      <pivotArea dataOnly="0" labelOnly="1" fieldPosition="0">
        <references count="3">
          <reference field="0" count="1" selected="0">
            <x v="2"/>
          </reference>
          <reference field="2" count="1" selected="0">
            <x v="10"/>
          </reference>
          <reference field="9" count="2">
            <x v="38"/>
            <x v="50"/>
          </reference>
        </references>
      </pivotArea>
    </format>
    <format dxfId="192">
      <pivotArea dataOnly="0" labelOnly="1" fieldPosition="0">
        <references count="3">
          <reference field="0" count="1" selected="0">
            <x v="3"/>
          </reference>
          <reference field="2" count="1" selected="0">
            <x v="1"/>
          </reference>
          <reference field="9" count="2">
            <x v="87"/>
            <x v="161"/>
          </reference>
        </references>
      </pivotArea>
    </format>
    <format dxfId="193">
      <pivotArea dataOnly="0" labelOnly="1" fieldPosition="0">
        <references count="3">
          <reference field="0" count="1" selected="0">
            <x v="3"/>
          </reference>
          <reference field="2" count="1" selected="0">
            <x v="7"/>
          </reference>
          <reference field="9" count="3">
            <x v="34"/>
            <x v="47"/>
            <x v="191"/>
          </reference>
        </references>
      </pivotArea>
    </format>
    <format dxfId="194">
      <pivotArea dataOnly="0" labelOnly="1" fieldPosition="0">
        <references count="3">
          <reference field="0" count="1" selected="0">
            <x v="4"/>
          </reference>
          <reference field="2" count="1" selected="0">
            <x v="8"/>
          </reference>
          <reference field="9" count="3">
            <x v="46"/>
            <x v="54"/>
            <x v="58"/>
          </reference>
        </references>
      </pivotArea>
    </format>
    <format dxfId="195">
      <pivotArea dataOnly="0" labelOnly="1" fieldPosition="0">
        <references count="3">
          <reference field="0" count="1" selected="0">
            <x v="0"/>
          </reference>
          <reference field="2" count="1" selected="0">
            <x v="15"/>
          </reference>
          <reference field="9" count="2">
            <x v="148"/>
            <x v="195"/>
          </reference>
        </references>
      </pivotArea>
    </format>
    <format dxfId="196">
      <pivotArea dataOnly="0" labelOnly="1" fieldPosition="0">
        <references count="3">
          <reference field="0" count="1" selected="0">
            <x v="6"/>
          </reference>
          <reference field="2" count="1" selected="0">
            <x v="13"/>
          </reference>
          <reference field="9" count="6">
            <x v="12"/>
            <x v="51"/>
            <x v="56"/>
            <x v="178"/>
            <x v="181"/>
            <x v="186"/>
          </reference>
        </references>
      </pivotArea>
    </format>
    <format dxfId="197">
      <pivotArea dataOnly="0" labelOnly="1" fieldPosition="0">
        <references count="4">
          <reference field="0" count="1" selected="0">
            <x v="1"/>
          </reference>
          <reference field="2" count="1" selected="0">
            <x v="3"/>
          </reference>
          <reference field="9" count="1" selected="0">
            <x v="121"/>
          </reference>
          <reference field="25" count="3">
            <x v="97"/>
            <x v="98"/>
            <x v="99"/>
          </reference>
        </references>
      </pivotArea>
    </format>
    <format dxfId="198">
      <pivotArea dataOnly="0" labelOnly="1" fieldPosition="0">
        <references count="4">
          <reference field="0" count="1" selected="0">
            <x v="1"/>
          </reference>
          <reference field="2" count="1" selected="0">
            <x v="3"/>
          </reference>
          <reference field="9" count="1" selected="0">
            <x v="196"/>
          </reference>
          <reference field="25" count="1">
            <x v="349"/>
          </reference>
        </references>
      </pivotArea>
    </format>
    <format dxfId="199">
      <pivotArea dataOnly="0" labelOnly="1" fieldPosition="0">
        <references count="4">
          <reference field="0" count="1" selected="0">
            <x v="2"/>
          </reference>
          <reference field="2" count="1" selected="0">
            <x v="10"/>
          </reference>
          <reference field="9" count="1" selected="0">
            <x v="38"/>
          </reference>
          <reference field="25" count="2">
            <x v="50"/>
            <x v="52"/>
          </reference>
        </references>
      </pivotArea>
    </format>
    <format dxfId="200">
      <pivotArea dataOnly="0" labelOnly="1" fieldPosition="0">
        <references count="4">
          <reference field="0" count="1" selected="0">
            <x v="2"/>
          </reference>
          <reference field="2" count="1" selected="0">
            <x v="10"/>
          </reference>
          <reference field="9" count="1" selected="0">
            <x v="50"/>
          </reference>
          <reference field="25" count="2">
            <x v="79"/>
            <x v="80"/>
          </reference>
        </references>
      </pivotArea>
    </format>
    <format dxfId="201">
      <pivotArea dataOnly="0" labelOnly="1" fieldPosition="0">
        <references count="4">
          <reference field="0" count="1" selected="0">
            <x v="3"/>
          </reference>
          <reference field="2" count="1" selected="0">
            <x v="1"/>
          </reference>
          <reference field="9" count="1" selected="0">
            <x v="87"/>
          </reference>
          <reference field="25" count="1">
            <x v="88"/>
          </reference>
        </references>
      </pivotArea>
    </format>
    <format dxfId="202">
      <pivotArea dataOnly="0" labelOnly="1" fieldPosition="0">
        <references count="4">
          <reference field="0" count="1" selected="0">
            <x v="3"/>
          </reference>
          <reference field="2" count="1" selected="0">
            <x v="1"/>
          </reference>
          <reference field="9" count="1" selected="0">
            <x v="161"/>
          </reference>
          <reference field="25" count="1">
            <x v="89"/>
          </reference>
        </references>
      </pivotArea>
    </format>
    <format dxfId="203">
      <pivotArea dataOnly="0" labelOnly="1" fieldPosition="0">
        <references count="4">
          <reference field="0" count="1" selected="0">
            <x v="3"/>
          </reference>
          <reference field="2" count="1" selected="0">
            <x v="7"/>
          </reference>
          <reference field="9" count="1" selected="0">
            <x v="34"/>
          </reference>
          <reference field="25" count="3">
            <x v="77"/>
            <x v="101"/>
            <x v="103"/>
          </reference>
        </references>
      </pivotArea>
    </format>
    <format dxfId="204">
      <pivotArea dataOnly="0" labelOnly="1" fieldPosition="0">
        <references count="4">
          <reference field="0" count="1" selected="0">
            <x v="3"/>
          </reference>
          <reference field="2" count="1" selected="0">
            <x v="7"/>
          </reference>
          <reference field="9" count="1" selected="0">
            <x v="47"/>
          </reference>
          <reference field="25" count="9">
            <x v="38"/>
            <x v="39"/>
            <x v="43"/>
            <x v="45"/>
            <x v="46"/>
            <x v="47"/>
            <x v="56"/>
            <x v="71"/>
            <x v="115"/>
          </reference>
        </references>
      </pivotArea>
    </format>
    <format dxfId="205">
      <pivotArea dataOnly="0" labelOnly="1" fieldPosition="0">
        <references count="4">
          <reference field="0" count="1" selected="0">
            <x v="3"/>
          </reference>
          <reference field="2" count="1" selected="0">
            <x v="7"/>
          </reference>
          <reference field="9" count="1" selected="0">
            <x v="191"/>
          </reference>
          <reference field="25" count="1">
            <x v="106"/>
          </reference>
        </references>
      </pivotArea>
    </format>
    <format dxfId="206">
      <pivotArea dataOnly="0" labelOnly="1" fieldPosition="0">
        <references count="4">
          <reference field="0" count="1" selected="0">
            <x v="4"/>
          </reference>
          <reference field="2" count="1" selected="0">
            <x v="8"/>
          </reference>
          <reference field="9" count="1" selected="0">
            <x v="46"/>
          </reference>
          <reference field="25" count="2">
            <x v="91"/>
            <x v="113"/>
          </reference>
        </references>
      </pivotArea>
    </format>
    <format dxfId="207">
      <pivotArea dataOnly="0" labelOnly="1" fieldPosition="0">
        <references count="4">
          <reference field="0" count="1" selected="0">
            <x v="4"/>
          </reference>
          <reference field="2" count="1" selected="0">
            <x v="8"/>
          </reference>
          <reference field="9" count="1" selected="0">
            <x v="54"/>
          </reference>
          <reference field="25" count="4">
            <x v="75"/>
            <x v="76"/>
            <x v="92"/>
            <x v="349"/>
          </reference>
        </references>
      </pivotArea>
    </format>
    <format dxfId="208">
      <pivotArea dataOnly="0" labelOnly="1" fieldPosition="0">
        <references count="4">
          <reference field="0" count="1" selected="0">
            <x v="4"/>
          </reference>
          <reference field="2" count="1" selected="0">
            <x v="8"/>
          </reference>
          <reference field="9" count="1" selected="0">
            <x v="58"/>
          </reference>
          <reference field="25" count="4">
            <x v="57"/>
            <x v="63"/>
            <x v="67"/>
            <x v="69"/>
          </reference>
        </references>
      </pivotArea>
    </format>
    <format dxfId="209">
      <pivotArea dataOnly="0" labelOnly="1" fieldPosition="0">
        <references count="4">
          <reference field="0" count="1" selected="0">
            <x v="0"/>
          </reference>
          <reference field="2" count="1" selected="0">
            <x v="15"/>
          </reference>
          <reference field="9" count="1" selected="0">
            <x v="148"/>
          </reference>
          <reference field="25" count="1">
            <x v="48"/>
          </reference>
        </references>
      </pivotArea>
    </format>
    <format dxfId="210">
      <pivotArea dataOnly="0" labelOnly="1" fieldPosition="0">
        <references count="4">
          <reference field="0" count="1" selected="0">
            <x v="0"/>
          </reference>
          <reference field="2" count="1" selected="0">
            <x v="15"/>
          </reference>
          <reference field="9" count="1" selected="0">
            <x v="195"/>
          </reference>
          <reference field="25" count="1">
            <x v="53"/>
          </reference>
        </references>
      </pivotArea>
    </format>
    <format dxfId="211">
      <pivotArea dataOnly="0" labelOnly="1" fieldPosition="0">
        <references count="4">
          <reference field="0" count="1" selected="0">
            <x v="6"/>
          </reference>
          <reference field="2" count="1" selected="0">
            <x v="13"/>
          </reference>
          <reference field="9" count="1" selected="0">
            <x v="12"/>
          </reference>
          <reference field="25" count="1">
            <x v="349"/>
          </reference>
        </references>
      </pivotArea>
    </format>
    <format dxfId="212">
      <pivotArea dataOnly="0" labelOnly="1" fieldPosition="0">
        <references count="4">
          <reference field="0" count="1" selected="0">
            <x v="6"/>
          </reference>
          <reference field="2" count="1" selected="0">
            <x v="13"/>
          </reference>
          <reference field="9" count="1" selected="0">
            <x v="51"/>
          </reference>
          <reference field="25" count="8">
            <x v="58"/>
            <x v="74"/>
            <x v="94"/>
            <x v="95"/>
            <x v="100"/>
            <x v="108"/>
            <x v="110"/>
            <x v="112"/>
          </reference>
        </references>
      </pivotArea>
    </format>
    <format dxfId="213">
      <pivotArea dataOnly="0" labelOnly="1" fieldPosition="0">
        <references count="4">
          <reference field="0" count="1" selected="0">
            <x v="6"/>
          </reference>
          <reference field="2" count="1" selected="0">
            <x v="13"/>
          </reference>
          <reference field="9" count="1" selected="0">
            <x v="56"/>
          </reference>
          <reference field="25" count="1">
            <x v="49"/>
          </reference>
        </references>
      </pivotArea>
    </format>
    <format dxfId="214">
      <pivotArea dataOnly="0" labelOnly="1" fieldPosition="0">
        <references count="4">
          <reference field="0" count="1" selected="0">
            <x v="6"/>
          </reference>
          <reference field="2" count="1" selected="0">
            <x v="13"/>
          </reference>
          <reference field="9" count="1" selected="0">
            <x v="178"/>
          </reference>
          <reference field="25" count="1">
            <x v="51"/>
          </reference>
        </references>
      </pivotArea>
    </format>
    <format dxfId="215">
      <pivotArea dataOnly="0" labelOnly="1" fieldPosition="0">
        <references count="4">
          <reference field="0" count="1" selected="0">
            <x v="6"/>
          </reference>
          <reference field="2" count="1" selected="0">
            <x v="13"/>
          </reference>
          <reference field="9" count="1" selected="0">
            <x v="181"/>
          </reference>
          <reference field="25" count="1">
            <x v="62"/>
          </reference>
        </references>
      </pivotArea>
    </format>
    <format dxfId="216">
      <pivotArea dataOnly="0" labelOnly="1" fieldPosition="0">
        <references count="4">
          <reference field="0" count="1" selected="0">
            <x v="6"/>
          </reference>
          <reference field="2" count="1" selected="0">
            <x v="13"/>
          </reference>
          <reference field="9" count="1" selected="0">
            <x v="186"/>
          </reference>
          <reference field="25" count="1">
            <x v="42"/>
          </reference>
        </references>
      </pivotArea>
    </format>
    <format dxfId="217">
      <pivotArea type="all" dataOnly="0" outline="0" fieldPosition="0"/>
    </format>
    <format dxfId="218">
      <pivotArea outline="0" collapsedLevelsAreSubtotals="1" fieldPosition="0"/>
    </format>
    <format dxfId="219">
      <pivotArea field="0" type="button" dataOnly="0" labelOnly="1" outline="0" axis="axisRow" fieldPosition="0"/>
    </format>
    <format dxfId="220">
      <pivotArea field="2" type="button" dataOnly="0" labelOnly="1" outline="0" axis="axisRow" fieldPosition="1"/>
    </format>
    <format dxfId="221">
      <pivotArea field="9" type="button" dataOnly="0" labelOnly="1" outline="0" axis="axisRow" fieldPosition="2"/>
    </format>
    <format dxfId="222">
      <pivotArea field="25" type="button" dataOnly="0" labelOnly="1" outline="0" axis="axisRow" fieldPosition="3"/>
    </format>
    <format dxfId="223">
      <pivotArea dataOnly="0" labelOnly="1" outline="0" axis="axisValues" fieldPosition="0"/>
    </format>
    <format dxfId="224">
      <pivotArea dataOnly="0" labelOnly="1" outline="0" fieldPosition="0">
        <references count="1">
          <reference field="0" count="6">
            <x v="0"/>
            <x v="1"/>
            <x v="2"/>
            <x v="3"/>
            <x v="4"/>
            <x v="6"/>
          </reference>
        </references>
      </pivotArea>
    </format>
    <format dxfId="225">
      <pivotArea dataOnly="0" labelOnly="1" grandRow="1" outline="0" fieldPosition="0"/>
    </format>
    <format dxfId="226">
      <pivotArea dataOnly="0" labelOnly="1" outline="0" fieldPosition="0">
        <references count="2">
          <reference field="0" count="1" selected="0">
            <x v="1"/>
          </reference>
          <reference field="2" count="1">
            <x v="3"/>
          </reference>
        </references>
      </pivotArea>
    </format>
    <format dxfId="227">
      <pivotArea dataOnly="0" labelOnly="1" outline="0" fieldPosition="0">
        <references count="3">
          <reference field="0" count="1" selected="0">
            <x v="1"/>
          </reference>
          <reference field="2" count="1" selected="0">
            <x v="3"/>
          </reference>
          <reference field="9" count="2">
            <x v="121"/>
            <x v="196"/>
          </reference>
        </references>
      </pivotArea>
    </format>
    <format dxfId="228">
      <pivotArea dataOnly="0" labelOnly="1" outline="0" fieldPosition="0">
        <references count="4">
          <reference field="0" count="1" selected="0">
            <x v="1"/>
          </reference>
          <reference field="2" count="1" selected="0">
            <x v="3"/>
          </reference>
          <reference field="9" count="1" selected="0">
            <x v="121"/>
          </reference>
          <reference field="25" count="3">
            <x v="97"/>
            <x v="98"/>
            <x v="99"/>
          </reference>
        </references>
      </pivotArea>
    </format>
    <format dxfId="229">
      <pivotArea dataOnly="0" labelOnly="1" outline="0" fieldPosition="0">
        <references count="4">
          <reference field="0" count="1" selected="0">
            <x v="1"/>
          </reference>
          <reference field="2" count="1" selected="0">
            <x v="3"/>
          </reference>
          <reference field="9" count="1" selected="0">
            <x v="196"/>
          </reference>
          <reference field="25" count="1">
            <x v="349"/>
          </reference>
        </references>
      </pivotArea>
    </format>
    <format dxfId="230">
      <pivotArea dataOnly="0" labelOnly="1" outline="0" axis="axisValues" fieldPosition="0"/>
    </format>
    <format dxfId="231">
      <pivotArea dataOnly="0" labelOnly="1" outline="0" fieldPosition="0">
        <references count="4">
          <reference field="0" count="1" selected="0">
            <x v="1"/>
          </reference>
          <reference field="2" count="1" selected="0">
            <x v="3"/>
          </reference>
          <reference field="9" count="1" selected="0">
            <x v="121"/>
          </reference>
          <reference field="25" count="1">
            <x v="97"/>
          </reference>
        </references>
      </pivotArea>
    </format>
    <format dxfId="232">
      <pivotArea type="all" dataOnly="0" outline="0" fieldPosition="0"/>
    </format>
    <format dxfId="233">
      <pivotArea outline="0" collapsedLevelsAreSubtotals="1" fieldPosition="0"/>
    </format>
    <format dxfId="234">
      <pivotArea field="0" type="button" dataOnly="0" labelOnly="1" outline="0" axis="axisRow" fieldPosition="0"/>
    </format>
    <format dxfId="235">
      <pivotArea field="2" type="button" dataOnly="0" labelOnly="1" outline="0" axis="axisRow" fieldPosition="1"/>
    </format>
    <format dxfId="236">
      <pivotArea field="9" type="button" dataOnly="0" labelOnly="1" outline="0" axis="axisRow" fieldPosition="2"/>
    </format>
    <format dxfId="237">
      <pivotArea field="25" type="button" dataOnly="0" labelOnly="1" outline="0" axis="axisRow" fieldPosition="3"/>
    </format>
    <format dxfId="238">
      <pivotArea dataOnly="0" labelOnly="1" outline="0" axis="axisValues" fieldPosition="0"/>
    </format>
    <format dxfId="239">
      <pivotArea dataOnly="0" labelOnly="1" outline="0" fieldPosition="0">
        <references count="1">
          <reference field="0" count="6">
            <x v="0"/>
            <x v="1"/>
            <x v="2"/>
            <x v="3"/>
            <x v="4"/>
            <x v="6"/>
          </reference>
        </references>
      </pivotArea>
    </format>
    <format dxfId="240">
      <pivotArea dataOnly="0" labelOnly="1" grandRow="1" outline="0" fieldPosition="0"/>
    </format>
    <format dxfId="241">
      <pivotArea dataOnly="0" labelOnly="1" outline="0" fieldPosition="0">
        <references count="2">
          <reference field="0" count="1" selected="0">
            <x v="1"/>
          </reference>
          <reference field="2" count="1">
            <x v="3"/>
          </reference>
        </references>
      </pivotArea>
    </format>
    <format dxfId="242">
      <pivotArea dataOnly="0" labelOnly="1" outline="0" fieldPosition="0">
        <references count="3">
          <reference field="0" count="1" selected="0">
            <x v="1"/>
          </reference>
          <reference field="2" count="1" selected="0">
            <x v="3"/>
          </reference>
          <reference field="9" count="2">
            <x v="121"/>
            <x v="196"/>
          </reference>
        </references>
      </pivotArea>
    </format>
    <format dxfId="243">
      <pivotArea dataOnly="0" labelOnly="1" outline="0" fieldPosition="0">
        <references count="4">
          <reference field="0" count="1" selected="0">
            <x v="1"/>
          </reference>
          <reference field="2" count="1" selected="0">
            <x v="3"/>
          </reference>
          <reference field="9" count="1" selected="0">
            <x v="121"/>
          </reference>
          <reference field="25" count="3">
            <x v="97"/>
            <x v="98"/>
            <x v="99"/>
          </reference>
        </references>
      </pivotArea>
    </format>
    <format dxfId="244">
      <pivotArea dataOnly="0" labelOnly="1" outline="0" axis="axisValues" fieldPosition="0"/>
    </format>
    <format dxfId="245">
      <pivotArea dataOnly="0" labelOnly="1" outline="0" fieldPosition="0">
        <references count="1">
          <reference field="23" count="0"/>
        </references>
      </pivotArea>
    </format>
    <format dxfId="246">
      <pivotArea field="2" type="button" dataOnly="0" labelOnly="1" outline="0" axis="axisRow" fieldPosition="1"/>
    </format>
    <format dxfId="247">
      <pivotArea dataOnly="0" labelOnly="1" outline="0" fieldPosition="0">
        <references count="1">
          <reference field="23" count="0"/>
        </references>
      </pivotArea>
    </format>
    <format dxfId="248">
      <pivotArea field="2" type="button" dataOnly="0" labelOnly="1" outline="0" axis="axisRow" fieldPosition="1"/>
    </format>
    <format dxfId="249">
      <pivotArea dataOnly="0" labelOnly="1" fieldPosition="0">
        <references count="1">
          <reference field="9" count="0"/>
        </references>
      </pivotArea>
    </format>
    <format dxfId="250">
      <pivotArea dataOnly="0" labelOnly="1" fieldPosition="0">
        <references count="1">
          <reference field="2" count="0"/>
        </references>
      </pivotArea>
    </format>
  </formats>
  <pivotTableStyleInfo name="PivotStyleMedium7"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D00-000003000000}" name="TablaDinámica1" cacheId="1336" applyNumberFormats="0" applyBorderFormats="0" applyFontFormats="0" applyPatternFormats="0" applyAlignmentFormats="0" applyWidthHeightFormats="1" dataCaption="Valores" updatedVersion="6" minRefreshableVersion="3" itemPrintTitles="1" createdVersion="6" indent="0" compact="0" outline="1" outlineData="1" compactData="0" multipleFieldFilters="0">
  <location ref="A3:D4" firstHeaderRow="1" firstDataRow="1" firstDataCol="3" rowPageCount="1" colPageCount="1"/>
  <pivotFields count="31">
    <pivotField compact="0" showAll="0" defaultSubtotal="0"/>
    <pivotField compact="0" showAll="0" defaultSubtotal="0"/>
    <pivotField compact="0" showAll="0" defaultSubtotal="0"/>
    <pivotField compact="0" showAll="0" defaultSubtotal="0"/>
    <pivotField compact="0" showAll="0" defaultSubtotal="0"/>
    <pivotField axis="axisRow" compact="0" showAll="0" defaultSubtotal="0">
      <items count="1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m="1" x="193"/>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105"/>
        <item x="106"/>
        <item x="107"/>
        <item x="108"/>
        <item x="97"/>
        <item x="98"/>
        <item x="99"/>
        <item x="100"/>
        <item x="101"/>
        <item x="102"/>
        <item x="103"/>
        <item x="104"/>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1"/>
        <item x="142"/>
        <item x="143"/>
        <item x="144"/>
        <item x="145"/>
        <item x="146"/>
        <item x="147"/>
        <item x="148"/>
        <item x="149"/>
        <item x="150"/>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40"/>
        <item x="192"/>
        <item x="151"/>
      </items>
    </pivotField>
    <pivotField compact="0" showAll="0" defaultSubtotal="0"/>
    <pivotField compact="0" showAll="0" defaultSubtotal="0"/>
    <pivotField compact="0" showAll="0" defaultSubtotal="0"/>
    <pivotField axis="axisRow" compact="0" showAll="0" defaultSubtotal="0">
      <items count="205">
        <item m="1" x="202"/>
        <item x="77"/>
        <item m="1" x="199"/>
        <item x="147"/>
        <item x="148"/>
        <item x="127"/>
        <item x="74"/>
        <item x="138"/>
        <item x="124"/>
        <item x="183"/>
        <item x="61"/>
        <item x="7"/>
        <item m="1" x="204"/>
        <item x="109"/>
        <item x="116"/>
        <item x="184"/>
        <item x="28"/>
        <item x="144"/>
        <item x="89"/>
        <item x="112"/>
        <item x="132"/>
        <item x="90"/>
        <item x="190"/>
        <item x="189"/>
        <item x="59"/>
        <item x="55"/>
        <item x="54"/>
        <item x="58"/>
        <item x="56"/>
        <item x="65"/>
        <item x="133"/>
        <item x="194"/>
        <item m="1" x="201"/>
        <item x="67"/>
        <item x="69"/>
        <item x="95"/>
        <item x="64"/>
        <item x="171"/>
        <item x="134"/>
        <item x="52"/>
        <item x="20"/>
        <item x="126"/>
        <item x="137"/>
        <item x="46"/>
        <item x="135"/>
        <item x="88"/>
        <item x="87"/>
        <item x="5"/>
        <item x="146"/>
        <item x="92"/>
        <item x="165"/>
        <item x="172"/>
        <item x="71"/>
        <item x="125"/>
        <item x="158"/>
        <item x="139"/>
        <item x="161"/>
        <item x="91"/>
        <item x="110"/>
        <item x="33"/>
        <item x="145"/>
        <item x="129"/>
        <item x="1"/>
        <item x="153"/>
        <item x="34"/>
        <item x="32"/>
        <item x="0"/>
        <item x="140"/>
        <item x="45"/>
        <item x="85"/>
        <item m="1" x="197"/>
        <item x="86"/>
        <item x="96"/>
        <item m="1" x="203"/>
        <item x="143"/>
        <item x="156"/>
        <item x="80"/>
        <item x="150"/>
        <item x="152"/>
        <item x="23"/>
        <item x="12"/>
        <item x="13"/>
        <item x="10"/>
        <item x="40"/>
        <item x="37"/>
        <item x="159"/>
        <item x="44"/>
        <item x="136"/>
        <item x="185"/>
        <item x="167"/>
        <item x="170"/>
        <item x="84"/>
        <item x="177"/>
        <item x="182"/>
        <item x="175"/>
        <item x="187"/>
        <item x="192"/>
        <item x="193"/>
        <item x="47"/>
        <item x="149"/>
        <item x="162"/>
        <item x="35"/>
        <item x="75"/>
        <item x="155"/>
        <item x="73"/>
        <item x="31"/>
        <item x="111"/>
        <item x="41"/>
        <item x="51"/>
        <item x="6"/>
        <item x="30"/>
        <item x="72"/>
        <item x="121"/>
        <item x="81"/>
        <item x="2"/>
        <item x="123"/>
        <item x="118"/>
        <item x="36"/>
        <item x="14"/>
        <item x="163"/>
        <item x="173"/>
        <item x="43"/>
        <item x="160"/>
        <item x="166"/>
        <item m="1" x="200"/>
        <item x="42"/>
        <item x="82"/>
        <item x="128"/>
        <item x="120"/>
        <item x="191"/>
        <item x="62"/>
        <item x="176"/>
        <item x="186"/>
        <item x="130"/>
        <item x="48"/>
        <item m="1" x="198"/>
        <item x="78"/>
        <item x="141"/>
        <item x="169"/>
        <item x="164"/>
        <item x="57"/>
        <item x="63"/>
        <item x="24"/>
        <item x="60"/>
        <item x="70"/>
        <item x="18"/>
        <item x="17"/>
        <item x="180"/>
        <item x="174"/>
        <item x="181"/>
        <item x="53"/>
        <item x="3"/>
        <item x="25"/>
        <item x="4"/>
        <item x="22"/>
        <item x="21"/>
        <item x="178"/>
        <item x="179"/>
        <item x="11"/>
        <item x="9"/>
        <item x="8"/>
        <item x="68"/>
        <item x="66"/>
        <item x="122"/>
        <item x="119"/>
        <item x="83"/>
        <item x="114"/>
        <item x="113"/>
        <item x="115"/>
        <item x="76"/>
        <item x="117"/>
        <item x="79"/>
        <item x="49"/>
        <item x="50"/>
        <item x="16"/>
        <item x="15"/>
        <item x="38"/>
        <item x="39"/>
        <item x="151"/>
        <item x="19"/>
        <item x="105"/>
        <item x="101"/>
        <item x="98"/>
        <item x="107"/>
        <item x="97"/>
        <item x="108"/>
        <item x="104"/>
        <item x="106"/>
        <item x="102"/>
        <item x="100"/>
        <item x="103"/>
        <item x="99"/>
        <item x="188"/>
        <item x="168"/>
        <item x="93"/>
        <item x="94"/>
        <item x="131"/>
        <item x="27"/>
        <item x="29"/>
        <item x="26"/>
        <item x="154"/>
        <item x="142"/>
        <item x="157"/>
        <item x="195"/>
        <item x="196"/>
      </items>
    </pivotField>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compact="0" showAll="0" defaultSubtotal="0"/>
    <pivotField axis="axisPage" compact="0" multipleItemSelectionAllowed="1" showAll="0" defaultSubtotal="0">
      <items count="11">
        <item m="1" x="9"/>
        <item h="1" x="1"/>
        <item h="1" m="1" x="7"/>
        <item h="1" m="1" x="10"/>
        <item h="1" x="3"/>
        <item h="1" m="1" x="8"/>
        <item h="1" x="6"/>
        <item h="1" x="0"/>
        <item h="1" x="2"/>
        <item h="1" x="5"/>
        <item h="1" x="4"/>
      </items>
    </pivotField>
    <pivotField compact="0" showAll="0" defaultSubtotal="0"/>
    <pivotField axis="axisRow" dataField="1" compact="0" showAll="0" sortType="ascending" defaultSubtotal="0">
      <items count="350">
        <item x="96"/>
        <item x="168"/>
        <item m="1" x="315"/>
        <item x="194"/>
        <item m="1" x="316"/>
        <item m="1" x="297"/>
        <item x="164"/>
        <item x="94"/>
        <item x="93"/>
        <item m="1" x="304"/>
        <item x="78"/>
        <item x="80"/>
        <item x="81"/>
        <item x="209"/>
        <item x="210"/>
        <item x="211"/>
        <item x="86"/>
        <item x="67"/>
        <item x="68"/>
        <item x="69"/>
        <item x="82"/>
        <item x="70"/>
        <item x="44"/>
        <item x="71"/>
        <item x="24"/>
        <item x="99"/>
        <item x="73"/>
        <item x="79"/>
        <item x="74"/>
        <item x="77"/>
        <item x="87"/>
        <item x="88"/>
        <item x="100"/>
        <item x="90"/>
        <item x="91"/>
        <item x="72"/>
        <item x="243"/>
        <item m="1" x="292"/>
        <item x="101"/>
        <item x="102"/>
        <item m="1" x="301"/>
        <item m="1" x="330"/>
        <item x="116"/>
        <item x="103"/>
        <item m="1" x="332"/>
        <item x="104"/>
        <item x="105"/>
        <item x="106"/>
        <item x="20"/>
        <item x="118"/>
        <item x="40"/>
        <item x="115"/>
        <item x="41"/>
        <item x="21"/>
        <item m="1" x="310"/>
        <item x="84"/>
        <item x="107"/>
        <item x="178"/>
        <item x="143"/>
        <item x="75"/>
        <item m="1" x="296"/>
        <item m="1" x="324"/>
        <item x="117"/>
        <item x="179"/>
        <item x="97"/>
        <item m="1" x="347"/>
        <item m="1" x="339"/>
        <item x="175"/>
        <item m="1" x="341"/>
        <item x="177"/>
        <item m="1" x="306"/>
        <item x="109"/>
        <item m="1" x="343"/>
        <item x="22"/>
        <item x="142"/>
        <item x="198"/>
        <item m="1" x="325"/>
        <item x="113"/>
        <item x="95"/>
        <item x="65"/>
        <item x="66"/>
        <item x="203"/>
        <item x="29"/>
        <item x="140"/>
        <item m="1" x="313"/>
        <item x="27"/>
        <item m="1" x="298"/>
        <item m="1" x="336"/>
        <item x="89"/>
        <item x="83"/>
        <item x="92"/>
        <item x="184"/>
        <item x="197"/>
        <item x="199"/>
        <item x="141"/>
        <item x="144"/>
        <item m="1" x="327"/>
        <item x="25"/>
        <item x="26"/>
        <item m="1" x="321"/>
        <item x="145"/>
        <item x="111"/>
        <item m="1" x="338"/>
        <item x="112"/>
        <item m="1" x="348"/>
        <item x="85"/>
        <item x="110"/>
        <item x="76"/>
        <item x="146"/>
        <item m="1" x="295"/>
        <item x="147"/>
        <item m="1" x="349"/>
        <item x="148"/>
        <item x="185"/>
        <item m="1" x="317"/>
        <item x="108"/>
        <item m="1" x="300"/>
        <item m="1" x="311"/>
        <item x="12"/>
        <item x="11"/>
        <item x="42"/>
        <item m="1" x="318"/>
        <item x="132"/>
        <item x="7"/>
        <item x="4"/>
        <item x="266"/>
        <item x="52"/>
        <item x="1"/>
        <item x="61"/>
        <item x="14"/>
        <item x="0"/>
        <item x="51"/>
        <item x="37"/>
        <item x="62"/>
        <item m="1" x="335"/>
        <item x="5"/>
        <item x="200"/>
        <item x="39"/>
        <item x="8"/>
        <item x="32"/>
        <item x="264"/>
        <item x="265"/>
        <item x="183"/>
        <item x="181"/>
        <item x="289"/>
        <item x="134"/>
        <item m="1" x="308"/>
        <item x="288"/>
        <item x="281"/>
        <item x="3"/>
        <item x="98"/>
        <item m="1" x="314"/>
        <item m="1" x="346"/>
        <item x="17"/>
        <item x="214"/>
        <item x="212"/>
        <item x="213"/>
        <item m="1" x="329"/>
        <item m="1" x="303"/>
        <item x="226"/>
        <item x="229"/>
        <item x="123"/>
        <item x="122"/>
        <item x="230"/>
        <item x="129"/>
        <item m="1" x="320"/>
        <item x="121"/>
        <item m="1" x="319"/>
        <item x="126"/>
        <item m="1" x="337"/>
        <item x="159"/>
        <item x="167"/>
        <item x="158"/>
        <item m="1" x="293"/>
        <item x="189"/>
        <item x="186"/>
        <item m="1" x="333"/>
        <item x="188"/>
        <item x="172"/>
        <item x="173"/>
        <item x="176"/>
        <item x="205"/>
        <item x="202"/>
        <item x="237"/>
        <item x="236"/>
        <item x="119"/>
        <item x="165"/>
        <item x="191"/>
        <item x="190"/>
        <item x="232"/>
        <item x="231"/>
        <item m="1" x="331"/>
        <item m="1" x="299"/>
        <item m="1" x="322"/>
        <item x="2"/>
        <item x="138"/>
        <item x="139"/>
        <item x="187"/>
        <item m="1" x="328"/>
        <item x="220"/>
        <item x="180"/>
        <item x="221"/>
        <item m="1" x="294"/>
        <item m="1" x="342"/>
        <item x="240"/>
        <item x="219"/>
        <item m="1" x="302"/>
        <item x="208"/>
        <item x="216"/>
        <item x="278"/>
        <item x="149"/>
        <item x="35"/>
        <item x="254"/>
        <item x="287"/>
        <item x="222"/>
        <item x="234"/>
        <item x="250"/>
        <item x="235"/>
        <item x="224"/>
        <item x="283"/>
        <item x="284"/>
        <item x="270"/>
        <item x="285"/>
        <item x="290"/>
        <item x="163"/>
        <item m="1" x="312"/>
        <item x="170"/>
        <item x="171"/>
        <item x="174"/>
        <item x="169"/>
        <item m="1" x="334"/>
        <item x="244"/>
        <item x="206"/>
        <item x="207"/>
        <item m="1" x="309"/>
        <item x="15"/>
        <item x="255"/>
        <item x="282"/>
        <item x="251"/>
        <item x="263"/>
        <item x="261"/>
        <item x="63"/>
        <item x="201"/>
        <item x="225"/>
        <item x="238"/>
        <item x="267"/>
        <item x="262"/>
        <item x="182"/>
        <item x="259"/>
        <item x="204"/>
        <item x="13"/>
        <item x="218"/>
        <item x="47"/>
        <item x="268"/>
        <item x="274"/>
        <item x="45"/>
        <item x="257"/>
        <item x="256"/>
        <item x="260"/>
        <item x="258"/>
        <item x="33"/>
        <item x="34"/>
        <item x="279"/>
        <item m="1" x="345"/>
        <item x="228"/>
        <item x="36"/>
        <item x="10"/>
        <item x="58"/>
        <item x="60"/>
        <item x="59"/>
        <item x="286"/>
        <item x="249"/>
        <item x="248"/>
        <item x="38"/>
        <item x="242"/>
        <item x="252"/>
        <item x="46"/>
        <item x="280"/>
        <item x="137"/>
        <item x="217"/>
        <item x="223"/>
        <item x="233"/>
        <item m="1" x="291"/>
        <item m="1" x="344"/>
        <item x="120"/>
        <item x="16"/>
        <item x="241"/>
        <item x="247"/>
        <item x="245"/>
        <item x="246"/>
        <item x="275"/>
        <item x="276"/>
        <item x="166"/>
        <item x="253"/>
        <item x="50"/>
        <item x="9"/>
        <item m="1" x="326"/>
        <item x="30"/>
        <item x="114"/>
        <item x="135"/>
        <item x="136"/>
        <item x="128"/>
        <item x="277"/>
        <item x="124"/>
        <item x="43"/>
        <item x="125"/>
        <item x="157"/>
        <item x="215"/>
        <item x="53"/>
        <item x="54"/>
        <item x="19"/>
        <item x="48"/>
        <item x="57"/>
        <item x="239"/>
        <item x="64"/>
        <item x="18"/>
        <item x="56"/>
        <item x="31"/>
        <item x="55"/>
        <item x="133"/>
        <item m="1" x="307"/>
        <item x="227"/>
        <item x="162"/>
        <item x="160"/>
        <item x="161"/>
        <item x="150"/>
        <item x="153"/>
        <item x="152"/>
        <item x="154"/>
        <item x="155"/>
        <item x="156"/>
        <item x="151"/>
        <item x="49"/>
        <item x="271"/>
        <item x="269"/>
        <item x="272"/>
        <item x="273"/>
        <item m="1" x="323"/>
        <item x="130"/>
        <item m="1" x="340"/>
        <item x="28"/>
        <item x="127"/>
        <item x="131"/>
        <item x="23"/>
        <item m="1" x="305"/>
        <item x="193"/>
        <item x="195"/>
        <item x="192"/>
        <item x="196"/>
        <item x="6"/>
      </items>
    </pivotField>
    <pivotField compact="0" showAll="0" defaultSubtotal="0"/>
    <pivotField compact="0" showAll="0" defaultSubtotal="0"/>
    <pivotField compact="0" showAll="0" defaultSubtotal="0"/>
    <pivotField compact="0" showAll="0" defaultSubtotal="0"/>
    <pivotField compact="0" showAll="0" defaultSubtotal="0"/>
  </pivotFields>
  <rowFields count="3">
    <field x="5"/>
    <field x="9"/>
    <field x="25"/>
  </rowFields>
  <rowItems count="1">
    <i t="grand">
      <x/>
    </i>
  </rowItems>
  <colItems count="1">
    <i/>
  </colItems>
  <pageFields count="1">
    <pageField fld="23" hier="-1"/>
  </pageFields>
  <dataFields count="1">
    <dataField name="Cuenta de Acció concreta dins del Pla" fld="25" subtotal="count" baseField="0" baseItem="0"/>
  </dataFields>
  <formats count="14">
    <format dxfId="117">
      <pivotArea dataOnly="0" labelOnly="1" fieldPosition="0">
        <references count="1">
          <reference field="25" count="1">
            <x v="55"/>
          </reference>
        </references>
      </pivotArea>
    </format>
    <format dxfId="118">
      <pivotArea dataOnly="0" labelOnly="1" fieldPosition="0">
        <references count="1">
          <reference field="25" count="1">
            <x v="59"/>
          </reference>
        </references>
      </pivotArea>
    </format>
    <format dxfId="119">
      <pivotArea dataOnly="0" labelOnly="1" fieldPosition="0">
        <references count="1">
          <reference field="25" count="1">
            <x v="73"/>
          </reference>
        </references>
      </pivotArea>
    </format>
    <format dxfId="120">
      <pivotArea dataOnly="0" labelOnly="1" fieldPosition="0">
        <references count="1">
          <reference field="25" count="1">
            <x v="78"/>
          </reference>
        </references>
      </pivotArea>
    </format>
    <format dxfId="121">
      <pivotArea dataOnly="0" labelOnly="1" fieldPosition="0">
        <references count="1">
          <reference field="25" count="1">
            <x v="81"/>
          </reference>
        </references>
      </pivotArea>
    </format>
    <format dxfId="122">
      <pivotArea dataOnly="0" labelOnly="1" fieldPosition="0">
        <references count="1">
          <reference field="25" count="1">
            <x v="83"/>
          </reference>
        </references>
      </pivotArea>
    </format>
    <format dxfId="123">
      <pivotArea dataOnly="0" labelOnly="1" fieldPosition="0">
        <references count="1">
          <reference field="25" count="1">
            <x v="64"/>
          </reference>
        </references>
      </pivotArea>
    </format>
    <format dxfId="124">
      <pivotArea dataOnly="0" labelOnly="1" fieldPosition="0">
        <references count="1">
          <reference field="25" count="1">
            <x v="84"/>
          </reference>
        </references>
      </pivotArea>
    </format>
    <format dxfId="125">
      <pivotArea dataOnly="0" labelOnly="1" fieldPosition="0">
        <references count="1">
          <reference field="25" count="1">
            <x v="107"/>
          </reference>
        </references>
      </pivotArea>
    </format>
    <format dxfId="126">
      <pivotArea dataOnly="0" labelOnly="1" fieldPosition="0">
        <references count="1">
          <reference field="25" count="1">
            <x v="82"/>
          </reference>
        </references>
      </pivotArea>
    </format>
    <format dxfId="127">
      <pivotArea dataOnly="0" labelOnly="1" fieldPosition="0">
        <references count="1">
          <reference field="25" count="11">
            <x v="55"/>
            <x v="59"/>
            <x v="64"/>
            <x v="73"/>
            <x v="78"/>
            <x v="81"/>
            <x v="82"/>
            <x v="83"/>
            <x v="84"/>
            <x v="105"/>
            <x v="107"/>
          </reference>
        </references>
      </pivotArea>
    </format>
    <format dxfId="128">
      <pivotArea dataOnly="0" labelOnly="1" fieldPosition="0">
        <references count="1">
          <reference field="9" count="1">
            <x v="53"/>
          </reference>
        </references>
      </pivotArea>
    </format>
    <format dxfId="129">
      <pivotArea dataOnly="0" labelOnly="1" fieldPosition="0">
        <references count="1">
          <reference field="9" count="1">
            <x v="46"/>
          </reference>
        </references>
      </pivotArea>
    </format>
    <format dxfId="130">
      <pivotArea dataOnly="0" labelOnly="1"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F00-000004000000}" name="TablaDinámica1" cacheId="1336" applyNumberFormats="0" applyBorderFormats="0" applyFontFormats="0" applyPatternFormats="0" applyAlignmentFormats="0" applyWidthHeightFormats="1" dataCaption="Valores" updatedVersion="6" minRefreshableVersion="3" itemPrintTitles="1" createdVersion="6" indent="0" compact="0" compactData="0" multipleFieldFilters="0">
  <location ref="A3:E61" firstHeaderRow="1" firstDataRow="1" firstDataCol="4" rowPageCount="1" colPageCount="1"/>
  <pivotFields count="31">
    <pivotField axis="axisRow" compact="0" outline="0" showAll="0">
      <items count="9">
        <item x="1"/>
        <item x="2"/>
        <item x="3"/>
        <item x="5"/>
        <item x="7"/>
        <item x="0"/>
        <item x="4"/>
        <item x="6"/>
        <item t="default"/>
      </items>
    </pivotField>
    <pivotField compact="0" outline="0" showAll="0"/>
    <pivotField compact="0" outline="0" showAll="0"/>
    <pivotField compact="0" outline="0" showAll="0"/>
    <pivotField compact="0" outline="0" showAll="0"/>
    <pivotField axis="axisRow" compact="0" outline="0" showAll="0">
      <items count="1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m="1" x="193"/>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105"/>
        <item x="106"/>
        <item x="107"/>
        <item x="108"/>
        <item x="97"/>
        <item x="98"/>
        <item x="99"/>
        <item x="100"/>
        <item x="101"/>
        <item x="102"/>
        <item x="103"/>
        <item x="104"/>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1"/>
        <item x="142"/>
        <item x="143"/>
        <item x="144"/>
        <item x="145"/>
        <item x="146"/>
        <item x="147"/>
        <item x="148"/>
        <item x="149"/>
        <item x="150"/>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40"/>
        <item x="192"/>
        <item x="151"/>
        <item t="default"/>
      </items>
    </pivotField>
    <pivotField compact="0" outline="0" showAll="0"/>
    <pivotField compact="0" outline="0" showAll="0"/>
    <pivotField compact="0" outline="0" showAll="0"/>
    <pivotField axis="axisRow" compact="0" outline="0" showAll="0">
      <items count="206">
        <item m="1" x="202"/>
        <item x="77"/>
        <item m="1" x="199"/>
        <item x="147"/>
        <item x="148"/>
        <item x="127"/>
        <item x="74"/>
        <item x="138"/>
        <item x="124"/>
        <item x="183"/>
        <item x="61"/>
        <item x="7"/>
        <item m="1" x="204"/>
        <item x="109"/>
        <item x="116"/>
        <item x="184"/>
        <item x="28"/>
        <item x="144"/>
        <item x="89"/>
        <item x="112"/>
        <item x="132"/>
        <item x="90"/>
        <item x="190"/>
        <item x="189"/>
        <item x="59"/>
        <item x="55"/>
        <item x="54"/>
        <item x="58"/>
        <item x="56"/>
        <item x="65"/>
        <item x="133"/>
        <item x="194"/>
        <item m="1" x="201"/>
        <item x="67"/>
        <item x="69"/>
        <item x="95"/>
        <item x="64"/>
        <item x="171"/>
        <item x="134"/>
        <item x="52"/>
        <item x="20"/>
        <item x="126"/>
        <item x="137"/>
        <item x="46"/>
        <item x="135"/>
        <item x="88"/>
        <item x="87"/>
        <item x="5"/>
        <item x="146"/>
        <item x="92"/>
        <item x="165"/>
        <item x="172"/>
        <item x="71"/>
        <item x="125"/>
        <item x="158"/>
        <item x="139"/>
        <item x="161"/>
        <item x="91"/>
        <item x="110"/>
        <item x="33"/>
        <item x="145"/>
        <item x="129"/>
        <item x="1"/>
        <item x="153"/>
        <item x="34"/>
        <item x="32"/>
        <item x="0"/>
        <item x="140"/>
        <item x="45"/>
        <item x="85"/>
        <item m="1" x="197"/>
        <item x="86"/>
        <item x="96"/>
        <item m="1" x="203"/>
        <item x="143"/>
        <item x="156"/>
        <item x="80"/>
        <item x="150"/>
        <item x="152"/>
        <item x="23"/>
        <item x="12"/>
        <item x="13"/>
        <item x="10"/>
        <item x="40"/>
        <item x="37"/>
        <item x="159"/>
        <item x="44"/>
        <item x="136"/>
        <item x="185"/>
        <item x="167"/>
        <item x="170"/>
        <item x="84"/>
        <item x="177"/>
        <item x="182"/>
        <item x="175"/>
        <item x="187"/>
        <item x="192"/>
        <item x="193"/>
        <item x="47"/>
        <item x="149"/>
        <item x="162"/>
        <item x="35"/>
        <item x="75"/>
        <item x="155"/>
        <item x="73"/>
        <item x="31"/>
        <item x="111"/>
        <item x="41"/>
        <item x="51"/>
        <item x="6"/>
        <item x="30"/>
        <item x="72"/>
        <item x="121"/>
        <item x="81"/>
        <item x="2"/>
        <item x="123"/>
        <item x="118"/>
        <item x="36"/>
        <item x="14"/>
        <item x="163"/>
        <item x="173"/>
        <item x="43"/>
        <item x="160"/>
        <item x="166"/>
        <item m="1" x="200"/>
        <item x="42"/>
        <item x="82"/>
        <item x="128"/>
        <item x="120"/>
        <item x="191"/>
        <item x="62"/>
        <item x="176"/>
        <item x="186"/>
        <item x="130"/>
        <item x="48"/>
        <item m="1" x="198"/>
        <item x="78"/>
        <item x="141"/>
        <item x="169"/>
        <item x="164"/>
        <item x="57"/>
        <item x="63"/>
        <item x="24"/>
        <item x="60"/>
        <item x="70"/>
        <item x="18"/>
        <item x="17"/>
        <item x="180"/>
        <item x="174"/>
        <item x="181"/>
        <item x="53"/>
        <item x="3"/>
        <item x="25"/>
        <item x="4"/>
        <item x="22"/>
        <item x="21"/>
        <item x="178"/>
        <item x="179"/>
        <item x="11"/>
        <item x="9"/>
        <item x="8"/>
        <item x="68"/>
        <item x="66"/>
        <item x="122"/>
        <item x="119"/>
        <item x="83"/>
        <item x="114"/>
        <item x="113"/>
        <item x="115"/>
        <item x="76"/>
        <item x="117"/>
        <item x="79"/>
        <item x="49"/>
        <item x="50"/>
        <item x="16"/>
        <item x="15"/>
        <item x="38"/>
        <item x="39"/>
        <item x="151"/>
        <item x="19"/>
        <item x="105"/>
        <item x="101"/>
        <item x="98"/>
        <item x="107"/>
        <item x="97"/>
        <item x="108"/>
        <item x="104"/>
        <item x="106"/>
        <item x="102"/>
        <item x="100"/>
        <item x="103"/>
        <item x="99"/>
        <item x="188"/>
        <item x="168"/>
        <item x="93"/>
        <item x="94"/>
        <item x="131"/>
        <item x="27"/>
        <item x="29"/>
        <item x="26"/>
        <item x="154"/>
        <item x="142"/>
        <item x="157"/>
        <item x="195"/>
        <item x="19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12">
        <item h="1" m="1" x="9"/>
        <item h="1" x="1"/>
        <item h="1" m="1" x="7"/>
        <item h="1" m="1" x="10"/>
        <item x="3"/>
        <item m="1" x="8"/>
        <item h="1" x="6"/>
        <item h="1" x="0"/>
        <item h="1" x="2"/>
        <item h="1" x="5"/>
        <item h="1" x="4"/>
        <item t="default"/>
      </items>
    </pivotField>
    <pivotField compact="0" outline="0" showAll="0"/>
    <pivotField axis="axisRow" dataField="1" compact="0" outline="0" showAll="0" sortType="ascending">
      <items count="351">
        <item x="96"/>
        <item x="168"/>
        <item m="1" x="315"/>
        <item x="194"/>
        <item m="1" x="316"/>
        <item m="1" x="297"/>
        <item x="164"/>
        <item x="94"/>
        <item x="93"/>
        <item m="1" x="304"/>
        <item x="78"/>
        <item x="80"/>
        <item x="81"/>
        <item x="209"/>
        <item x="210"/>
        <item x="211"/>
        <item x="86"/>
        <item x="67"/>
        <item x="68"/>
        <item x="69"/>
        <item x="82"/>
        <item x="70"/>
        <item x="44"/>
        <item x="71"/>
        <item x="24"/>
        <item x="99"/>
        <item x="73"/>
        <item x="79"/>
        <item x="74"/>
        <item x="77"/>
        <item x="87"/>
        <item x="88"/>
        <item x="100"/>
        <item x="90"/>
        <item x="91"/>
        <item x="72"/>
        <item x="243"/>
        <item m="1" x="292"/>
        <item x="101"/>
        <item x="102"/>
        <item m="1" x="301"/>
        <item m="1" x="330"/>
        <item x="116"/>
        <item x="103"/>
        <item m="1" x="332"/>
        <item x="104"/>
        <item x="105"/>
        <item x="106"/>
        <item x="20"/>
        <item x="118"/>
        <item x="40"/>
        <item x="115"/>
        <item x="41"/>
        <item x="21"/>
        <item m="1" x="310"/>
        <item x="84"/>
        <item x="107"/>
        <item x="178"/>
        <item x="143"/>
        <item x="75"/>
        <item m="1" x="296"/>
        <item m="1" x="324"/>
        <item x="117"/>
        <item x="179"/>
        <item x="97"/>
        <item m="1" x="347"/>
        <item m="1" x="339"/>
        <item x="175"/>
        <item m="1" x="341"/>
        <item x="177"/>
        <item m="1" x="306"/>
        <item x="109"/>
        <item m="1" x="343"/>
        <item x="22"/>
        <item x="142"/>
        <item x="198"/>
        <item m="1" x="325"/>
        <item x="113"/>
        <item x="95"/>
        <item x="65"/>
        <item x="66"/>
        <item x="203"/>
        <item x="29"/>
        <item x="140"/>
        <item m="1" x="313"/>
        <item x="27"/>
        <item m="1" x="298"/>
        <item m="1" x="336"/>
        <item x="89"/>
        <item x="83"/>
        <item x="92"/>
        <item x="184"/>
        <item x="197"/>
        <item x="199"/>
        <item x="141"/>
        <item x="144"/>
        <item m="1" x="327"/>
        <item x="25"/>
        <item x="26"/>
        <item m="1" x="321"/>
        <item x="145"/>
        <item x="111"/>
        <item m="1" x="338"/>
        <item x="112"/>
        <item m="1" x="348"/>
        <item x="85"/>
        <item x="110"/>
        <item x="76"/>
        <item x="146"/>
        <item m="1" x="295"/>
        <item x="147"/>
        <item m="1" x="349"/>
        <item x="148"/>
        <item x="185"/>
        <item m="1" x="317"/>
        <item x="108"/>
        <item m="1" x="300"/>
        <item m="1" x="311"/>
        <item x="12"/>
        <item x="11"/>
        <item x="42"/>
        <item m="1" x="318"/>
        <item x="132"/>
        <item x="7"/>
        <item x="4"/>
        <item x="266"/>
        <item x="52"/>
        <item x="1"/>
        <item x="61"/>
        <item x="14"/>
        <item x="0"/>
        <item x="51"/>
        <item x="37"/>
        <item x="62"/>
        <item m="1" x="335"/>
        <item x="5"/>
        <item x="200"/>
        <item x="39"/>
        <item x="8"/>
        <item x="32"/>
        <item x="264"/>
        <item x="265"/>
        <item x="183"/>
        <item x="181"/>
        <item x="289"/>
        <item x="134"/>
        <item m="1" x="308"/>
        <item x="288"/>
        <item x="281"/>
        <item x="3"/>
        <item x="98"/>
        <item m="1" x="314"/>
        <item m="1" x="346"/>
        <item x="17"/>
        <item x="214"/>
        <item x="212"/>
        <item x="213"/>
        <item m="1" x="329"/>
        <item m="1" x="303"/>
        <item x="226"/>
        <item x="229"/>
        <item x="123"/>
        <item x="122"/>
        <item x="230"/>
        <item x="129"/>
        <item m="1" x="320"/>
        <item x="121"/>
        <item m="1" x="319"/>
        <item x="126"/>
        <item m="1" x="337"/>
        <item x="159"/>
        <item x="167"/>
        <item x="158"/>
        <item m="1" x="293"/>
        <item x="189"/>
        <item x="186"/>
        <item m="1" x="333"/>
        <item x="188"/>
        <item x="172"/>
        <item x="173"/>
        <item x="176"/>
        <item x="205"/>
        <item x="202"/>
        <item x="237"/>
        <item x="236"/>
        <item x="119"/>
        <item x="165"/>
        <item x="191"/>
        <item x="190"/>
        <item x="232"/>
        <item x="231"/>
        <item m="1" x="331"/>
        <item m="1" x="299"/>
        <item m="1" x="322"/>
        <item x="2"/>
        <item x="138"/>
        <item x="139"/>
        <item x="187"/>
        <item m="1" x="328"/>
        <item x="220"/>
        <item x="180"/>
        <item x="221"/>
        <item m="1" x="294"/>
        <item m="1" x="342"/>
        <item x="240"/>
        <item x="219"/>
        <item m="1" x="302"/>
        <item x="208"/>
        <item x="216"/>
        <item x="278"/>
        <item x="149"/>
        <item x="35"/>
        <item x="254"/>
        <item x="287"/>
        <item x="222"/>
        <item x="234"/>
        <item x="250"/>
        <item x="235"/>
        <item x="224"/>
        <item x="283"/>
        <item x="284"/>
        <item x="270"/>
        <item x="285"/>
        <item x="290"/>
        <item x="163"/>
        <item m="1" x="312"/>
        <item x="170"/>
        <item x="171"/>
        <item x="174"/>
        <item x="169"/>
        <item m="1" x="334"/>
        <item x="244"/>
        <item x="206"/>
        <item x="207"/>
        <item m="1" x="309"/>
        <item x="15"/>
        <item x="255"/>
        <item x="282"/>
        <item x="251"/>
        <item x="263"/>
        <item x="261"/>
        <item x="63"/>
        <item x="201"/>
        <item x="225"/>
        <item x="238"/>
        <item x="267"/>
        <item x="262"/>
        <item x="182"/>
        <item x="259"/>
        <item x="204"/>
        <item x="13"/>
        <item x="218"/>
        <item x="47"/>
        <item x="268"/>
        <item x="274"/>
        <item x="45"/>
        <item x="257"/>
        <item x="256"/>
        <item x="260"/>
        <item x="258"/>
        <item x="33"/>
        <item x="34"/>
        <item x="279"/>
        <item m="1" x="345"/>
        <item x="228"/>
        <item x="36"/>
        <item x="10"/>
        <item x="58"/>
        <item x="60"/>
        <item x="59"/>
        <item x="286"/>
        <item x="249"/>
        <item x="248"/>
        <item x="38"/>
        <item x="242"/>
        <item x="252"/>
        <item x="46"/>
        <item x="280"/>
        <item x="137"/>
        <item x="217"/>
        <item x="223"/>
        <item x="233"/>
        <item m="1" x="291"/>
        <item m="1" x="344"/>
        <item x="120"/>
        <item x="16"/>
        <item x="241"/>
        <item x="247"/>
        <item x="245"/>
        <item x="246"/>
        <item x="275"/>
        <item x="276"/>
        <item x="166"/>
        <item x="253"/>
        <item x="50"/>
        <item x="9"/>
        <item m="1" x="326"/>
        <item x="30"/>
        <item x="114"/>
        <item x="135"/>
        <item x="136"/>
        <item x="128"/>
        <item x="277"/>
        <item x="124"/>
        <item x="43"/>
        <item x="125"/>
        <item x="157"/>
        <item x="215"/>
        <item x="53"/>
        <item x="54"/>
        <item x="19"/>
        <item x="48"/>
        <item x="57"/>
        <item x="239"/>
        <item x="64"/>
        <item x="18"/>
        <item x="56"/>
        <item x="31"/>
        <item x="55"/>
        <item x="133"/>
        <item m="1" x="307"/>
        <item x="227"/>
        <item x="162"/>
        <item x="160"/>
        <item x="161"/>
        <item x="150"/>
        <item x="153"/>
        <item x="152"/>
        <item x="154"/>
        <item x="155"/>
        <item x="156"/>
        <item x="151"/>
        <item x="49"/>
        <item x="271"/>
        <item x="269"/>
        <item x="272"/>
        <item x="273"/>
        <item m="1" x="323"/>
        <item x="130"/>
        <item m="1" x="340"/>
        <item x="28"/>
        <item x="127"/>
        <item x="131"/>
        <item x="23"/>
        <item m="1" x="305"/>
        <item x="193"/>
        <item x="195"/>
        <item x="192"/>
        <item x="196"/>
        <item x="6"/>
        <item t="default"/>
      </items>
    </pivotField>
    <pivotField compact="0" outline="0" showAll="0"/>
    <pivotField compact="0" outline="0" showAll="0"/>
    <pivotField compact="0" outline="0" showAll="0"/>
    <pivotField compact="0" outline="0" showAll="0"/>
    <pivotField compact="0" outline="0" showAll="0"/>
  </pivotFields>
  <rowFields count="4">
    <field x="0"/>
    <field x="5"/>
    <field x="9"/>
    <field x="25"/>
  </rowFields>
  <rowItems count="58">
    <i>
      <x/>
      <x v="42"/>
      <x v="107"/>
      <x v="24"/>
    </i>
    <i t="default" r="2">
      <x v="107"/>
    </i>
    <i t="default" r="1">
      <x v="42"/>
    </i>
    <i t="default">
      <x/>
    </i>
    <i>
      <x v="1"/>
      <x v="56"/>
      <x v="25"/>
      <x v="22"/>
    </i>
    <i t="default" r="2">
      <x v="25"/>
    </i>
    <i t="default" r="1">
      <x v="56"/>
    </i>
    <i t="default">
      <x v="1"/>
    </i>
    <i>
      <x v="2"/>
      <x v="79"/>
      <x v="136"/>
      <x v="17"/>
    </i>
    <i r="3">
      <x v="18"/>
    </i>
    <i r="3">
      <x v="19"/>
    </i>
    <i r="3">
      <x v="21"/>
    </i>
    <i r="3">
      <x v="23"/>
    </i>
    <i r="3">
      <x v="35"/>
    </i>
    <i t="default" r="2">
      <x v="136"/>
    </i>
    <i t="default" r="1">
      <x v="79"/>
    </i>
    <i r="1">
      <x v="82"/>
      <x v="113"/>
      <x v="26"/>
    </i>
    <i r="3">
      <x v="28"/>
    </i>
    <i t="default" r="2">
      <x v="113"/>
    </i>
    <i t="default" r="1">
      <x v="82"/>
    </i>
    <i r="1">
      <x v="83"/>
      <x v="126"/>
      <x v="10"/>
    </i>
    <i r="3">
      <x v="11"/>
    </i>
    <i r="3">
      <x v="12"/>
    </i>
    <i r="3">
      <x v="20"/>
    </i>
    <i r="3">
      <x v="27"/>
    </i>
    <i r="3">
      <x v="29"/>
    </i>
    <i t="default" r="2">
      <x v="126"/>
    </i>
    <i t="default" r="1">
      <x v="83"/>
    </i>
    <i r="1">
      <x v="84"/>
      <x v="165"/>
      <x v="16"/>
    </i>
    <i r="3">
      <x v="30"/>
    </i>
    <i r="3">
      <x v="31"/>
    </i>
    <i t="default" r="2">
      <x v="165"/>
    </i>
    <i t="default" r="1">
      <x v="84"/>
    </i>
    <i r="1">
      <x v="85"/>
      <x v="91"/>
      <x v="33"/>
    </i>
    <i r="3">
      <x v="34"/>
    </i>
    <i t="default" r="2">
      <x v="91"/>
    </i>
    <i t="default" r="1">
      <x v="85"/>
    </i>
    <i r="1">
      <x v="87"/>
      <x v="71"/>
      <x v="7"/>
    </i>
    <i r="3">
      <x v="8"/>
    </i>
    <i t="default" r="2">
      <x v="71"/>
    </i>
    <i t="default" r="1">
      <x v="87"/>
    </i>
    <i r="1">
      <x v="88"/>
      <x v="45"/>
      <x v="25"/>
    </i>
    <i r="3">
      <x v="32"/>
    </i>
    <i r="3">
      <x v="150"/>
    </i>
    <i t="default" r="2">
      <x v="45"/>
    </i>
    <i t="default" r="1">
      <x v="88"/>
    </i>
    <i t="default">
      <x v="2"/>
    </i>
    <i>
      <x v="3"/>
      <x v="162"/>
      <x v="123"/>
      <x v="13"/>
    </i>
    <i r="3">
      <x v="14"/>
    </i>
    <i r="3">
      <x v="15"/>
    </i>
    <i t="default" r="2">
      <x v="123"/>
    </i>
    <i t="default" r="1">
      <x v="162"/>
    </i>
    <i t="default">
      <x v="3"/>
    </i>
    <i>
      <x v="4"/>
      <x v="175"/>
      <x v="157"/>
      <x v="36"/>
    </i>
    <i t="default" r="2">
      <x v="157"/>
    </i>
    <i t="default" r="1">
      <x v="175"/>
    </i>
    <i t="default">
      <x v="4"/>
    </i>
    <i t="grand">
      <x/>
    </i>
  </rowItems>
  <colItems count="1">
    <i/>
  </colItems>
  <pageFields count="1">
    <pageField fld="23" hier="-1"/>
  </pageFields>
  <dataFields count="1">
    <dataField name="Cuenta de Acció concreta dins del Pla" fld="25" subtotal="count" baseField="0" baseItem="0"/>
  </dataFields>
  <formats count="97">
    <format dxfId="20">
      <pivotArea type="all" dataOnly="0" outline="0" fieldPosition="0"/>
    </format>
    <format dxfId="21">
      <pivotArea outline="0" collapsedLevelsAreSubtotals="1" fieldPosition="0"/>
    </format>
    <format dxfId="22">
      <pivotArea field="25" type="button" dataOnly="0" labelOnly="1" outline="0" axis="axisRow" fieldPosition="3"/>
    </format>
    <format dxfId="23">
      <pivotArea dataOnly="0" labelOnly="1" outline="0" axis="axisValues" fieldPosition="0"/>
    </format>
    <format dxfId="24">
      <pivotArea dataOnly="0" labelOnly="1" fieldPosition="0">
        <references count="1">
          <reference field="25" count="31">
            <x v="7"/>
            <x v="8"/>
            <x v="10"/>
            <x v="11"/>
            <x v="12"/>
            <x v="13"/>
            <x v="14"/>
            <x v="15"/>
            <x v="16"/>
            <x v="17"/>
            <x v="18"/>
            <x v="19"/>
            <x v="20"/>
            <x v="21"/>
            <x v="22"/>
            <x v="23"/>
            <x v="24"/>
            <x v="25"/>
            <x v="26"/>
            <x v="27"/>
            <x v="28"/>
            <x v="29"/>
            <x v="30"/>
            <x v="31"/>
            <x v="32"/>
            <x v="33"/>
            <x v="34"/>
            <x v="35"/>
            <x v="36"/>
            <x v="150"/>
            <x v="349"/>
          </reference>
        </references>
      </pivotArea>
    </format>
    <format dxfId="25">
      <pivotArea dataOnly="0" labelOnly="1" grandRow="1" outline="0" fieldPosition="0"/>
    </format>
    <format dxfId="26">
      <pivotArea dataOnly="0" labelOnly="1" outline="0" axis="axisValues" fieldPosition="0"/>
    </format>
    <format dxfId="27">
      <pivotArea type="all" dataOnly="0" outline="0" fieldPosition="0"/>
    </format>
    <format dxfId="28">
      <pivotArea outline="0" collapsedLevelsAreSubtotals="1" fieldPosition="0"/>
    </format>
    <format dxfId="29">
      <pivotArea field="25" type="button" dataOnly="0" labelOnly="1" outline="0" axis="axisRow" fieldPosition="3"/>
    </format>
    <format dxfId="30">
      <pivotArea dataOnly="0" labelOnly="1" outline="0" axis="axisValues" fieldPosition="0"/>
    </format>
    <format dxfId="31">
      <pivotArea dataOnly="0" labelOnly="1" fieldPosition="0">
        <references count="1">
          <reference field="25" count="31">
            <x v="7"/>
            <x v="8"/>
            <x v="10"/>
            <x v="11"/>
            <x v="12"/>
            <x v="13"/>
            <x v="14"/>
            <x v="15"/>
            <x v="16"/>
            <x v="17"/>
            <x v="18"/>
            <x v="19"/>
            <x v="20"/>
            <x v="21"/>
            <x v="22"/>
            <x v="23"/>
            <x v="24"/>
            <x v="25"/>
            <x v="26"/>
            <x v="27"/>
            <x v="28"/>
            <x v="29"/>
            <x v="30"/>
            <x v="31"/>
            <x v="32"/>
            <x v="33"/>
            <x v="34"/>
            <x v="35"/>
            <x v="36"/>
            <x v="150"/>
            <x v="349"/>
          </reference>
        </references>
      </pivotArea>
    </format>
    <format dxfId="32">
      <pivotArea dataOnly="0" labelOnly="1" grandRow="1" outline="0" fieldPosition="0"/>
    </format>
    <format dxfId="33">
      <pivotArea dataOnly="0" labelOnly="1" outline="0" axis="axisValues" fieldPosition="0"/>
    </format>
    <format dxfId="34">
      <pivotArea type="all" dataOnly="0" outline="0" fieldPosition="0"/>
    </format>
    <format dxfId="35">
      <pivotArea outline="0" collapsedLevelsAreSubtotals="1" fieldPosition="0"/>
    </format>
    <format dxfId="36">
      <pivotArea field="25" type="button" dataOnly="0" labelOnly="1" outline="0" axis="axisRow" fieldPosition="3"/>
    </format>
    <format dxfId="37">
      <pivotArea dataOnly="0" labelOnly="1" outline="0" axis="axisValues" fieldPosition="0"/>
    </format>
    <format dxfId="38">
      <pivotArea dataOnly="0" labelOnly="1" fieldPosition="0">
        <references count="1">
          <reference field="25" count="31">
            <x v="7"/>
            <x v="8"/>
            <x v="10"/>
            <x v="11"/>
            <x v="12"/>
            <x v="13"/>
            <x v="14"/>
            <x v="15"/>
            <x v="16"/>
            <x v="17"/>
            <x v="18"/>
            <x v="19"/>
            <x v="20"/>
            <x v="21"/>
            <x v="22"/>
            <x v="23"/>
            <x v="24"/>
            <x v="25"/>
            <x v="26"/>
            <x v="27"/>
            <x v="28"/>
            <x v="29"/>
            <x v="30"/>
            <x v="31"/>
            <x v="32"/>
            <x v="33"/>
            <x v="34"/>
            <x v="35"/>
            <x v="36"/>
            <x v="150"/>
            <x v="349"/>
          </reference>
        </references>
      </pivotArea>
    </format>
    <format dxfId="39">
      <pivotArea dataOnly="0" labelOnly="1" grandRow="1" outline="0" fieldPosition="0"/>
    </format>
    <format dxfId="40">
      <pivotArea dataOnly="0" labelOnly="1" outline="0" axis="axisValues" fieldPosition="0"/>
    </format>
    <format dxfId="41">
      <pivotArea field="23" type="button" dataOnly="0" labelOnly="1" outline="0" axis="axisPage" fieldPosition="0"/>
    </format>
    <format dxfId="42">
      <pivotArea field="25" type="button" dataOnly="0" labelOnly="1" outline="0" axis="axisRow" fieldPosition="3"/>
    </format>
    <format dxfId="43">
      <pivotArea dataOnly="0" labelOnly="1" fieldPosition="0">
        <references count="1">
          <reference field="25" count="31">
            <x v="7"/>
            <x v="8"/>
            <x v="10"/>
            <x v="11"/>
            <x v="12"/>
            <x v="13"/>
            <x v="14"/>
            <x v="15"/>
            <x v="16"/>
            <x v="17"/>
            <x v="18"/>
            <x v="19"/>
            <x v="20"/>
            <x v="21"/>
            <x v="22"/>
            <x v="23"/>
            <x v="24"/>
            <x v="25"/>
            <x v="26"/>
            <x v="27"/>
            <x v="28"/>
            <x v="29"/>
            <x v="30"/>
            <x v="31"/>
            <x v="32"/>
            <x v="33"/>
            <x v="34"/>
            <x v="35"/>
            <x v="36"/>
            <x v="150"/>
            <x v="349"/>
          </reference>
        </references>
      </pivotArea>
    </format>
    <format dxfId="44">
      <pivotArea dataOnly="0" labelOnly="1" grandRow="1" outline="0" fieldPosition="0"/>
    </format>
    <format dxfId="45">
      <pivotArea field="23" type="button" dataOnly="0" labelOnly="1" outline="0" axis="axisPage" fieldPosition="0"/>
    </format>
    <format dxfId="46">
      <pivotArea field="0" type="button" dataOnly="0" labelOnly="1" outline="0" axis="axisRow" fieldPosition="0"/>
    </format>
    <format dxfId="47">
      <pivotArea dataOnly="0" labelOnly="1" fieldPosition="0">
        <references count="1">
          <reference field="0" count="5">
            <x v="0"/>
            <x v="1"/>
            <x v="2"/>
            <x v="3"/>
            <x v="4"/>
          </reference>
        </references>
      </pivotArea>
    </format>
    <format dxfId="48">
      <pivotArea dataOnly="0" labelOnly="1" grandRow="1" outline="0" fieldPosition="0"/>
    </format>
    <format dxfId="49">
      <pivotArea dataOnly="0" labelOnly="1" fieldPosition="0">
        <references count="2">
          <reference field="0" count="1" selected="0">
            <x v="0"/>
          </reference>
          <reference field="5" count="2">
            <x v="42"/>
            <x v="43"/>
          </reference>
        </references>
      </pivotArea>
    </format>
    <format dxfId="50">
      <pivotArea dataOnly="0" labelOnly="1" fieldPosition="0">
        <references count="2">
          <reference field="0" count="1" selected="0">
            <x v="1"/>
          </reference>
          <reference field="5" count="1">
            <x v="56"/>
          </reference>
        </references>
      </pivotArea>
    </format>
    <format dxfId="51">
      <pivotArea dataOnly="0" labelOnly="1" fieldPosition="0">
        <references count="2">
          <reference field="0" count="1" selected="0">
            <x v="2"/>
          </reference>
          <reference field="5" count="7">
            <x v="79"/>
            <x v="82"/>
            <x v="83"/>
            <x v="84"/>
            <x v="85"/>
            <x v="87"/>
            <x v="88"/>
          </reference>
        </references>
      </pivotArea>
    </format>
    <format dxfId="52">
      <pivotArea dataOnly="0" labelOnly="1" fieldPosition="0">
        <references count="2">
          <reference field="0" count="1" selected="0">
            <x v="3"/>
          </reference>
          <reference field="5" count="1">
            <x v="162"/>
          </reference>
        </references>
      </pivotArea>
    </format>
    <format dxfId="53">
      <pivotArea dataOnly="0" labelOnly="1" fieldPosition="0">
        <references count="2">
          <reference field="0" count="1" selected="0">
            <x v="4"/>
          </reference>
          <reference field="5" count="1">
            <x v="175"/>
          </reference>
        </references>
      </pivotArea>
    </format>
    <format dxfId="54">
      <pivotArea dataOnly="0" labelOnly="1" fieldPosition="0">
        <references count="3">
          <reference field="0" count="1" selected="0">
            <x v="0"/>
          </reference>
          <reference field="5" count="1" selected="0">
            <x v="42"/>
          </reference>
          <reference field="9" count="1">
            <x v="107"/>
          </reference>
        </references>
      </pivotArea>
    </format>
    <format dxfId="55">
      <pivotArea dataOnly="0" labelOnly="1" fieldPosition="0">
        <references count="3">
          <reference field="0" count="1" selected="0">
            <x v="0"/>
          </reference>
          <reference field="5" count="1" selected="0">
            <x v="43"/>
          </reference>
          <reference field="9" count="1">
            <x v="125"/>
          </reference>
        </references>
      </pivotArea>
    </format>
    <format dxfId="56">
      <pivotArea dataOnly="0" labelOnly="1" fieldPosition="0">
        <references count="3">
          <reference field="0" count="1" selected="0">
            <x v="1"/>
          </reference>
          <reference field="5" count="1" selected="0">
            <x v="56"/>
          </reference>
          <reference field="9" count="1">
            <x v="25"/>
          </reference>
        </references>
      </pivotArea>
    </format>
    <format dxfId="57">
      <pivotArea dataOnly="0" labelOnly="1" fieldPosition="0">
        <references count="3">
          <reference field="0" count="1" selected="0">
            <x v="2"/>
          </reference>
          <reference field="5" count="1" selected="0">
            <x v="79"/>
          </reference>
          <reference field="9" count="1">
            <x v="136"/>
          </reference>
        </references>
      </pivotArea>
    </format>
    <format dxfId="58">
      <pivotArea dataOnly="0" labelOnly="1" fieldPosition="0">
        <references count="3">
          <reference field="0" count="1" selected="0">
            <x v="2"/>
          </reference>
          <reference field="5" count="1" selected="0">
            <x v="82"/>
          </reference>
          <reference field="9" count="1">
            <x v="113"/>
          </reference>
        </references>
      </pivotArea>
    </format>
    <format dxfId="59">
      <pivotArea dataOnly="0" labelOnly="1" fieldPosition="0">
        <references count="3">
          <reference field="0" count="1" selected="0">
            <x v="2"/>
          </reference>
          <reference field="5" count="1" selected="0">
            <x v="83"/>
          </reference>
          <reference field="9" count="1">
            <x v="126"/>
          </reference>
        </references>
      </pivotArea>
    </format>
    <format dxfId="60">
      <pivotArea dataOnly="0" labelOnly="1" fieldPosition="0">
        <references count="3">
          <reference field="0" count="1" selected="0">
            <x v="2"/>
          </reference>
          <reference field="5" count="1" selected="0">
            <x v="84"/>
          </reference>
          <reference field="9" count="1">
            <x v="165"/>
          </reference>
        </references>
      </pivotArea>
    </format>
    <format dxfId="61">
      <pivotArea dataOnly="0" labelOnly="1" fieldPosition="0">
        <references count="3">
          <reference field="0" count="1" selected="0">
            <x v="2"/>
          </reference>
          <reference field="5" count="1" selected="0">
            <x v="85"/>
          </reference>
          <reference field="9" count="1">
            <x v="91"/>
          </reference>
        </references>
      </pivotArea>
    </format>
    <format dxfId="62">
      <pivotArea dataOnly="0" labelOnly="1" fieldPosition="0">
        <references count="3">
          <reference field="0" count="1" selected="0">
            <x v="2"/>
          </reference>
          <reference field="5" count="1" selected="0">
            <x v="87"/>
          </reference>
          <reference field="9" count="1">
            <x v="71"/>
          </reference>
        </references>
      </pivotArea>
    </format>
    <format dxfId="63">
      <pivotArea dataOnly="0" labelOnly="1" fieldPosition="0">
        <references count="3">
          <reference field="0" count="1" selected="0">
            <x v="2"/>
          </reference>
          <reference field="5" count="1" selected="0">
            <x v="88"/>
          </reference>
          <reference field="9" count="1">
            <x v="45"/>
          </reference>
        </references>
      </pivotArea>
    </format>
    <format dxfId="64">
      <pivotArea dataOnly="0" labelOnly="1" fieldPosition="0">
        <references count="3">
          <reference field="0" count="1" selected="0">
            <x v="3"/>
          </reference>
          <reference field="5" count="1" selected="0">
            <x v="162"/>
          </reference>
          <reference field="9" count="1">
            <x v="123"/>
          </reference>
        </references>
      </pivotArea>
    </format>
    <format dxfId="65">
      <pivotArea dataOnly="0" labelOnly="1" fieldPosition="0">
        <references count="3">
          <reference field="0" count="1" selected="0">
            <x v="4"/>
          </reference>
          <reference field="5" count="1" selected="0">
            <x v="175"/>
          </reference>
          <reference field="9" count="1">
            <x v="157"/>
          </reference>
        </references>
      </pivotArea>
    </format>
    <format dxfId="66">
      <pivotArea dataOnly="0" labelOnly="1" fieldPosition="0">
        <references count="4">
          <reference field="0" count="1" selected="0">
            <x v="0"/>
          </reference>
          <reference field="5" count="1" selected="0">
            <x v="42"/>
          </reference>
          <reference field="9" count="1" selected="0">
            <x v="107"/>
          </reference>
          <reference field="25" count="1">
            <x v="24"/>
          </reference>
        </references>
      </pivotArea>
    </format>
    <format dxfId="67">
      <pivotArea dataOnly="0" labelOnly="1" fieldPosition="0">
        <references count="4">
          <reference field="0" count="1" selected="0">
            <x v="0"/>
          </reference>
          <reference field="5" count="1" selected="0">
            <x v="43"/>
          </reference>
          <reference field="9" count="1" selected="0">
            <x v="125"/>
          </reference>
          <reference field="25" count="3">
            <x v="12"/>
            <x v="20"/>
            <x v="349"/>
          </reference>
        </references>
      </pivotArea>
    </format>
    <format dxfId="68">
      <pivotArea dataOnly="0" labelOnly="1" fieldPosition="0">
        <references count="4">
          <reference field="0" count="1" selected="0">
            <x v="1"/>
          </reference>
          <reference field="5" count="1" selected="0">
            <x v="56"/>
          </reference>
          <reference field="9" count="1" selected="0">
            <x v="25"/>
          </reference>
          <reference field="25" count="1">
            <x v="22"/>
          </reference>
        </references>
      </pivotArea>
    </format>
    <format dxfId="69">
      <pivotArea dataOnly="0" labelOnly="1" fieldPosition="0">
        <references count="4">
          <reference field="0" count="1" selected="0">
            <x v="2"/>
          </reference>
          <reference field="5" count="1" selected="0">
            <x v="79"/>
          </reference>
          <reference field="9" count="1" selected="0">
            <x v="136"/>
          </reference>
          <reference field="25" count="6">
            <x v="17"/>
            <x v="18"/>
            <x v="19"/>
            <x v="21"/>
            <x v="23"/>
            <x v="35"/>
          </reference>
        </references>
      </pivotArea>
    </format>
    <format dxfId="70">
      <pivotArea dataOnly="0" labelOnly="1" fieldPosition="0">
        <references count="4">
          <reference field="0" count="1" selected="0">
            <x v="2"/>
          </reference>
          <reference field="5" count="1" selected="0">
            <x v="82"/>
          </reference>
          <reference field="9" count="1" selected="0">
            <x v="113"/>
          </reference>
          <reference field="25" count="2">
            <x v="26"/>
            <x v="28"/>
          </reference>
        </references>
      </pivotArea>
    </format>
    <format dxfId="71">
      <pivotArea dataOnly="0" labelOnly="1" fieldPosition="0">
        <references count="4">
          <reference field="0" count="1" selected="0">
            <x v="2"/>
          </reference>
          <reference field="5" count="1" selected="0">
            <x v="83"/>
          </reference>
          <reference field="9" count="1" selected="0">
            <x v="126"/>
          </reference>
          <reference field="25" count="4">
            <x v="10"/>
            <x v="11"/>
            <x v="27"/>
            <x v="29"/>
          </reference>
        </references>
      </pivotArea>
    </format>
    <format dxfId="72">
      <pivotArea dataOnly="0" labelOnly="1" fieldPosition="0">
        <references count="4">
          <reference field="0" count="1" selected="0">
            <x v="2"/>
          </reference>
          <reference field="5" count="1" selected="0">
            <x v="84"/>
          </reference>
          <reference field="9" count="1" selected="0">
            <x v="165"/>
          </reference>
          <reference field="25" count="3">
            <x v="16"/>
            <x v="30"/>
            <x v="31"/>
          </reference>
        </references>
      </pivotArea>
    </format>
    <format dxfId="73">
      <pivotArea dataOnly="0" labelOnly="1" fieldPosition="0">
        <references count="4">
          <reference field="0" count="1" selected="0">
            <x v="2"/>
          </reference>
          <reference field="5" count="1" selected="0">
            <x v="85"/>
          </reference>
          <reference field="9" count="1" selected="0">
            <x v="91"/>
          </reference>
          <reference field="25" count="2">
            <x v="33"/>
            <x v="34"/>
          </reference>
        </references>
      </pivotArea>
    </format>
    <format dxfId="74">
      <pivotArea dataOnly="0" labelOnly="1" fieldPosition="0">
        <references count="4">
          <reference field="0" count="1" selected="0">
            <x v="2"/>
          </reference>
          <reference field="5" count="1" selected="0">
            <x v="87"/>
          </reference>
          <reference field="9" count="1" selected="0">
            <x v="71"/>
          </reference>
          <reference field="25" count="2">
            <x v="7"/>
            <x v="8"/>
          </reference>
        </references>
      </pivotArea>
    </format>
    <format dxfId="75">
      <pivotArea dataOnly="0" labelOnly="1" fieldPosition="0">
        <references count="4">
          <reference field="0" count="1" selected="0">
            <x v="2"/>
          </reference>
          <reference field="5" count="1" selected="0">
            <x v="88"/>
          </reference>
          <reference field="9" count="1" selected="0">
            <x v="45"/>
          </reference>
          <reference field="25" count="3">
            <x v="25"/>
            <x v="32"/>
            <x v="150"/>
          </reference>
        </references>
      </pivotArea>
    </format>
    <format dxfId="76">
      <pivotArea dataOnly="0" labelOnly="1" fieldPosition="0">
        <references count="4">
          <reference field="0" count="1" selected="0">
            <x v="3"/>
          </reference>
          <reference field="5" count="1" selected="0">
            <x v="162"/>
          </reference>
          <reference field="9" count="1" selected="0">
            <x v="123"/>
          </reference>
          <reference field="25" count="3">
            <x v="13"/>
            <x v="14"/>
            <x v="15"/>
          </reference>
        </references>
      </pivotArea>
    </format>
    <format dxfId="77">
      <pivotArea dataOnly="0" labelOnly="1" fieldPosition="0">
        <references count="4">
          <reference field="0" count="1" selected="0">
            <x v="4"/>
          </reference>
          <reference field="5" count="1" selected="0">
            <x v="175"/>
          </reference>
          <reference field="9" count="1" selected="0">
            <x v="157"/>
          </reference>
          <reference field="25" count="1">
            <x v="36"/>
          </reference>
        </references>
      </pivotArea>
    </format>
    <format dxfId="78">
      <pivotArea type="all" dataOnly="0" outline="0" fieldPosition="0"/>
    </format>
    <format dxfId="79">
      <pivotArea outline="0" collapsedLevelsAreSubtotals="1" fieldPosition="0"/>
    </format>
    <format dxfId="80">
      <pivotArea field="0" type="button" dataOnly="0" labelOnly="1" outline="0" axis="axisRow" fieldPosition="0"/>
    </format>
    <format dxfId="81">
      <pivotArea field="5" type="button" dataOnly="0" labelOnly="1" outline="0" axis="axisRow" fieldPosition="1"/>
    </format>
    <format dxfId="82">
      <pivotArea field="9" type="button" dataOnly="0" labelOnly="1" outline="0" axis="axisRow" fieldPosition="2"/>
    </format>
    <format dxfId="83">
      <pivotArea field="25" type="button" dataOnly="0" labelOnly="1" outline="0" axis="axisRow" fieldPosition="3"/>
    </format>
    <format dxfId="84">
      <pivotArea dataOnly="0" labelOnly="1" outline="0" axis="axisValues" fieldPosition="0"/>
    </format>
    <format dxfId="85">
      <pivotArea dataOnly="0" labelOnly="1" outline="0" fieldPosition="0">
        <references count="1">
          <reference field="0" count="5">
            <x v="0"/>
            <x v="1"/>
            <x v="2"/>
            <x v="3"/>
            <x v="4"/>
          </reference>
        </references>
      </pivotArea>
    </format>
    <format dxfId="86">
      <pivotArea dataOnly="0" labelOnly="1" grandRow="1" outline="0" fieldPosition="0"/>
    </format>
    <format dxfId="87">
      <pivotArea dataOnly="0" labelOnly="1" outline="0" fieldPosition="0">
        <references count="2">
          <reference field="0" count="1" selected="0">
            <x v="0"/>
          </reference>
          <reference field="5" count="2">
            <x v="42"/>
            <x v="43"/>
          </reference>
        </references>
      </pivotArea>
    </format>
    <format dxfId="88">
      <pivotArea dataOnly="0" labelOnly="1" outline="0" fieldPosition="0">
        <references count="2">
          <reference field="0" count="1" selected="0">
            <x v="1"/>
          </reference>
          <reference field="5" count="1">
            <x v="56"/>
          </reference>
        </references>
      </pivotArea>
    </format>
    <format dxfId="89">
      <pivotArea dataOnly="0" labelOnly="1" outline="0" fieldPosition="0">
        <references count="2">
          <reference field="0" count="1" selected="0">
            <x v="2"/>
          </reference>
          <reference field="5" count="7">
            <x v="79"/>
            <x v="82"/>
            <x v="83"/>
            <x v="84"/>
            <x v="85"/>
            <x v="87"/>
            <x v="88"/>
          </reference>
        </references>
      </pivotArea>
    </format>
    <format dxfId="90">
      <pivotArea dataOnly="0" labelOnly="1" outline="0" fieldPosition="0">
        <references count="2">
          <reference field="0" count="1" selected="0">
            <x v="3"/>
          </reference>
          <reference field="5" count="1">
            <x v="162"/>
          </reference>
        </references>
      </pivotArea>
    </format>
    <format dxfId="91">
      <pivotArea dataOnly="0" labelOnly="1" outline="0" fieldPosition="0">
        <references count="2">
          <reference field="0" count="1" selected="0">
            <x v="4"/>
          </reference>
          <reference field="5" count="1">
            <x v="175"/>
          </reference>
        </references>
      </pivotArea>
    </format>
    <format dxfId="92">
      <pivotArea dataOnly="0" labelOnly="1" outline="0" fieldPosition="0">
        <references count="3">
          <reference field="0" count="1" selected="0">
            <x v="0"/>
          </reference>
          <reference field="5" count="1" selected="0">
            <x v="42"/>
          </reference>
          <reference field="9" count="1">
            <x v="107"/>
          </reference>
        </references>
      </pivotArea>
    </format>
    <format dxfId="93">
      <pivotArea dataOnly="0" labelOnly="1" outline="0" fieldPosition="0">
        <references count="3">
          <reference field="0" count="1" selected="0">
            <x v="0"/>
          </reference>
          <reference field="5" count="1" selected="0">
            <x v="43"/>
          </reference>
          <reference field="9" count="1">
            <x v="125"/>
          </reference>
        </references>
      </pivotArea>
    </format>
    <format dxfId="94">
      <pivotArea dataOnly="0" labelOnly="1" outline="0" fieldPosition="0">
        <references count="3">
          <reference field="0" count="1" selected="0">
            <x v="1"/>
          </reference>
          <reference field="5" count="1" selected="0">
            <x v="56"/>
          </reference>
          <reference field="9" count="1">
            <x v="25"/>
          </reference>
        </references>
      </pivotArea>
    </format>
    <format dxfId="95">
      <pivotArea dataOnly="0" labelOnly="1" outline="0" fieldPosition="0">
        <references count="3">
          <reference field="0" count="1" selected="0">
            <x v="2"/>
          </reference>
          <reference field="5" count="1" selected="0">
            <x v="79"/>
          </reference>
          <reference field="9" count="1">
            <x v="136"/>
          </reference>
        </references>
      </pivotArea>
    </format>
    <format dxfId="96">
      <pivotArea dataOnly="0" labelOnly="1" outline="0" fieldPosition="0">
        <references count="3">
          <reference field="0" count="1" selected="0">
            <x v="2"/>
          </reference>
          <reference field="5" count="1" selected="0">
            <x v="82"/>
          </reference>
          <reference field="9" count="1">
            <x v="113"/>
          </reference>
        </references>
      </pivotArea>
    </format>
    <format dxfId="97">
      <pivotArea dataOnly="0" labelOnly="1" outline="0" fieldPosition="0">
        <references count="3">
          <reference field="0" count="1" selected="0">
            <x v="2"/>
          </reference>
          <reference field="5" count="1" selected="0">
            <x v="83"/>
          </reference>
          <reference field="9" count="1">
            <x v="126"/>
          </reference>
        </references>
      </pivotArea>
    </format>
    <format dxfId="98">
      <pivotArea dataOnly="0" labelOnly="1" outline="0" fieldPosition="0">
        <references count="3">
          <reference field="0" count="1" selected="0">
            <x v="2"/>
          </reference>
          <reference field="5" count="1" selected="0">
            <x v="84"/>
          </reference>
          <reference field="9" count="1">
            <x v="165"/>
          </reference>
        </references>
      </pivotArea>
    </format>
    <format dxfId="99">
      <pivotArea dataOnly="0" labelOnly="1" outline="0" fieldPosition="0">
        <references count="3">
          <reference field="0" count="1" selected="0">
            <x v="2"/>
          </reference>
          <reference field="5" count="1" selected="0">
            <x v="85"/>
          </reference>
          <reference field="9" count="1">
            <x v="91"/>
          </reference>
        </references>
      </pivotArea>
    </format>
    <format dxfId="100">
      <pivotArea dataOnly="0" labelOnly="1" outline="0" fieldPosition="0">
        <references count="3">
          <reference field="0" count="1" selected="0">
            <x v="2"/>
          </reference>
          <reference field="5" count="1" selected="0">
            <x v="87"/>
          </reference>
          <reference field="9" count="1">
            <x v="71"/>
          </reference>
        </references>
      </pivotArea>
    </format>
    <format dxfId="101">
      <pivotArea dataOnly="0" labelOnly="1" outline="0" fieldPosition="0">
        <references count="3">
          <reference field="0" count="1" selected="0">
            <x v="2"/>
          </reference>
          <reference field="5" count="1" selected="0">
            <x v="88"/>
          </reference>
          <reference field="9" count="1">
            <x v="45"/>
          </reference>
        </references>
      </pivotArea>
    </format>
    <format dxfId="102">
      <pivotArea dataOnly="0" labelOnly="1" outline="0" fieldPosition="0">
        <references count="3">
          <reference field="0" count="1" selected="0">
            <x v="3"/>
          </reference>
          <reference field="5" count="1" selected="0">
            <x v="162"/>
          </reference>
          <reference field="9" count="1">
            <x v="123"/>
          </reference>
        </references>
      </pivotArea>
    </format>
    <format dxfId="103">
      <pivotArea dataOnly="0" labelOnly="1" outline="0" fieldPosition="0">
        <references count="3">
          <reference field="0" count="1" selected="0">
            <x v="4"/>
          </reference>
          <reference field="5" count="1" selected="0">
            <x v="175"/>
          </reference>
          <reference field="9" count="1">
            <x v="157"/>
          </reference>
        </references>
      </pivotArea>
    </format>
    <format dxfId="104">
      <pivotArea dataOnly="0" labelOnly="1" outline="0" fieldPosition="0">
        <references count="4">
          <reference field="0" count="1" selected="0">
            <x v="0"/>
          </reference>
          <reference field="5" count="1" selected="0">
            <x v="42"/>
          </reference>
          <reference field="9" count="1" selected="0">
            <x v="107"/>
          </reference>
          <reference field="25" count="1">
            <x v="24"/>
          </reference>
        </references>
      </pivotArea>
    </format>
    <format dxfId="105">
      <pivotArea dataOnly="0" labelOnly="1" outline="0" fieldPosition="0">
        <references count="4">
          <reference field="0" count="1" selected="0">
            <x v="0"/>
          </reference>
          <reference field="5" count="1" selected="0">
            <x v="43"/>
          </reference>
          <reference field="9" count="1" selected="0">
            <x v="125"/>
          </reference>
          <reference field="25" count="3">
            <x v="12"/>
            <x v="20"/>
            <x v="349"/>
          </reference>
        </references>
      </pivotArea>
    </format>
    <format dxfId="106">
      <pivotArea dataOnly="0" labelOnly="1" outline="0" fieldPosition="0">
        <references count="4">
          <reference field="0" count="1" selected="0">
            <x v="1"/>
          </reference>
          <reference field="5" count="1" selected="0">
            <x v="56"/>
          </reference>
          <reference field="9" count="1" selected="0">
            <x v="25"/>
          </reference>
          <reference field="25" count="1">
            <x v="22"/>
          </reference>
        </references>
      </pivotArea>
    </format>
    <format dxfId="107">
      <pivotArea dataOnly="0" labelOnly="1" outline="0" fieldPosition="0">
        <references count="4">
          <reference field="0" count="1" selected="0">
            <x v="2"/>
          </reference>
          <reference field="5" count="1" selected="0">
            <x v="79"/>
          </reference>
          <reference field="9" count="1" selected="0">
            <x v="136"/>
          </reference>
          <reference field="25" count="6">
            <x v="17"/>
            <x v="18"/>
            <x v="19"/>
            <x v="21"/>
            <x v="23"/>
            <x v="35"/>
          </reference>
        </references>
      </pivotArea>
    </format>
    <format dxfId="108">
      <pivotArea dataOnly="0" labelOnly="1" outline="0" fieldPosition="0">
        <references count="4">
          <reference field="0" count="1" selected="0">
            <x v="2"/>
          </reference>
          <reference field="5" count="1" selected="0">
            <x v="82"/>
          </reference>
          <reference field="9" count="1" selected="0">
            <x v="113"/>
          </reference>
          <reference field="25" count="2">
            <x v="26"/>
            <x v="28"/>
          </reference>
        </references>
      </pivotArea>
    </format>
    <format dxfId="109">
      <pivotArea dataOnly="0" labelOnly="1" outline="0" fieldPosition="0">
        <references count="4">
          <reference field="0" count="1" selected="0">
            <x v="2"/>
          </reference>
          <reference field="5" count="1" selected="0">
            <x v="83"/>
          </reference>
          <reference field="9" count="1" selected="0">
            <x v="126"/>
          </reference>
          <reference field="25" count="4">
            <x v="10"/>
            <x v="11"/>
            <x v="27"/>
            <x v="29"/>
          </reference>
        </references>
      </pivotArea>
    </format>
    <format dxfId="110">
      <pivotArea dataOnly="0" labelOnly="1" outline="0" fieldPosition="0">
        <references count="4">
          <reference field="0" count="1" selected="0">
            <x v="2"/>
          </reference>
          <reference field="5" count="1" selected="0">
            <x v="84"/>
          </reference>
          <reference field="9" count="1" selected="0">
            <x v="165"/>
          </reference>
          <reference field="25" count="3">
            <x v="16"/>
            <x v="30"/>
            <x v="31"/>
          </reference>
        </references>
      </pivotArea>
    </format>
    <format dxfId="111">
      <pivotArea dataOnly="0" labelOnly="1" outline="0" fieldPosition="0">
        <references count="4">
          <reference field="0" count="1" selected="0">
            <x v="2"/>
          </reference>
          <reference field="5" count="1" selected="0">
            <x v="85"/>
          </reference>
          <reference field="9" count="1" selected="0">
            <x v="91"/>
          </reference>
          <reference field="25" count="2">
            <x v="33"/>
            <x v="34"/>
          </reference>
        </references>
      </pivotArea>
    </format>
    <format dxfId="112">
      <pivotArea dataOnly="0" labelOnly="1" outline="0" fieldPosition="0">
        <references count="4">
          <reference field="0" count="1" selected="0">
            <x v="2"/>
          </reference>
          <reference field="5" count="1" selected="0">
            <x v="87"/>
          </reference>
          <reference field="9" count="1" selected="0">
            <x v="71"/>
          </reference>
          <reference field="25" count="2">
            <x v="7"/>
            <x v="8"/>
          </reference>
        </references>
      </pivotArea>
    </format>
    <format dxfId="113">
      <pivotArea dataOnly="0" labelOnly="1" outline="0" fieldPosition="0">
        <references count="4">
          <reference field="0" count="1" selected="0">
            <x v="2"/>
          </reference>
          <reference field="5" count="1" selected="0">
            <x v="88"/>
          </reference>
          <reference field="9" count="1" selected="0">
            <x v="45"/>
          </reference>
          <reference field="25" count="3">
            <x v="25"/>
            <x v="32"/>
            <x v="150"/>
          </reference>
        </references>
      </pivotArea>
    </format>
    <format dxfId="114">
      <pivotArea dataOnly="0" labelOnly="1" outline="0" fieldPosition="0">
        <references count="4">
          <reference field="0" count="1" selected="0">
            <x v="3"/>
          </reference>
          <reference field="5" count="1" selected="0">
            <x v="162"/>
          </reference>
          <reference field="9" count="1" selected="0">
            <x v="123"/>
          </reference>
          <reference field="25" count="3">
            <x v="13"/>
            <x v="14"/>
            <x v="15"/>
          </reference>
        </references>
      </pivotArea>
    </format>
    <format dxfId="115">
      <pivotArea dataOnly="0" labelOnly="1" outline="0" fieldPosition="0">
        <references count="4">
          <reference field="0" count="1" selected="0">
            <x v="4"/>
          </reference>
          <reference field="5" count="1" selected="0">
            <x v="175"/>
          </reference>
          <reference field="9" count="1" selected="0">
            <x v="157"/>
          </reference>
          <reference field="25" count="1">
            <x v="36"/>
          </reference>
        </references>
      </pivotArea>
    </format>
    <format dxfId="116">
      <pivotArea dataOnly="0" labelOnly="1" outline="0" axis="axisValues" fieldPosition="0"/>
    </format>
  </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1200-000005000000}" name="TablaDinámica1" cacheId="1336" applyNumberFormats="0" applyBorderFormats="0" applyFontFormats="0" applyPatternFormats="0" applyAlignmentFormats="0" applyWidthHeightFormats="1" dataCaption="Valores" updatedVersion="6" minRefreshableVersion="3" itemPrintTitles="1" createdVersion="6" indent="0" compact="0" outline="1" outlineData="1" compactData="0" multipleFieldFilters="0">
  <location ref="A3:E69" firstHeaderRow="1" firstDataRow="1" firstDataCol="4" rowPageCount="1" colPageCount="1"/>
  <pivotFields count="31">
    <pivotField axis="axisRow" compact="0" showAll="0">
      <items count="9">
        <item x="4"/>
        <item x="1"/>
        <item x="2"/>
        <item x="3"/>
        <item x="5"/>
        <item x="7"/>
        <item x="0"/>
        <item x="6"/>
        <item t="default"/>
      </items>
    </pivotField>
    <pivotField compact="0" showAll="0"/>
    <pivotField compact="0" showAll="0"/>
    <pivotField compact="0" showAll="0"/>
    <pivotField compact="0" showAll="0"/>
    <pivotField axis="axisRow" compact="0" showAll="0">
      <items count="19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m="1" x="193"/>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105"/>
        <item x="106"/>
        <item x="107"/>
        <item x="108"/>
        <item x="97"/>
        <item x="98"/>
        <item x="99"/>
        <item x="100"/>
        <item x="101"/>
        <item x="102"/>
        <item x="103"/>
        <item x="104"/>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51"/>
        <item t="default"/>
      </items>
    </pivotField>
    <pivotField compact="0" showAll="0"/>
    <pivotField compact="0" showAll="0"/>
    <pivotField compact="0" showAll="0"/>
    <pivotField axis="axisRow" compact="0" showAll="0">
      <items count="206">
        <item m="1" x="202"/>
        <item x="77"/>
        <item m="1" x="199"/>
        <item x="147"/>
        <item x="148"/>
        <item x="127"/>
        <item x="74"/>
        <item x="138"/>
        <item x="124"/>
        <item x="183"/>
        <item x="61"/>
        <item x="7"/>
        <item m="1" x="204"/>
        <item x="109"/>
        <item x="116"/>
        <item x="184"/>
        <item x="28"/>
        <item x="144"/>
        <item x="89"/>
        <item x="112"/>
        <item x="132"/>
        <item x="90"/>
        <item x="190"/>
        <item x="189"/>
        <item x="59"/>
        <item x="55"/>
        <item x="54"/>
        <item x="58"/>
        <item x="56"/>
        <item x="65"/>
        <item x="133"/>
        <item x="194"/>
        <item m="1" x="201"/>
        <item x="67"/>
        <item x="69"/>
        <item x="95"/>
        <item x="64"/>
        <item x="171"/>
        <item x="196"/>
        <item x="134"/>
        <item x="52"/>
        <item x="20"/>
        <item x="126"/>
        <item x="137"/>
        <item x="46"/>
        <item x="135"/>
        <item x="88"/>
        <item x="87"/>
        <item x="142"/>
        <item x="157"/>
        <item x="5"/>
        <item x="146"/>
        <item x="92"/>
        <item x="165"/>
        <item x="172"/>
        <item x="71"/>
        <item x="125"/>
        <item x="158"/>
        <item x="139"/>
        <item x="161"/>
        <item x="91"/>
        <item x="110"/>
        <item x="33"/>
        <item x="145"/>
        <item x="129"/>
        <item x="1"/>
        <item x="153"/>
        <item x="34"/>
        <item x="32"/>
        <item x="0"/>
        <item x="140"/>
        <item x="45"/>
        <item x="85"/>
        <item m="1" x="197"/>
        <item x="86"/>
        <item x="195"/>
        <item x="96"/>
        <item m="1" x="203"/>
        <item x="143"/>
        <item x="156"/>
        <item x="80"/>
        <item x="150"/>
        <item x="152"/>
        <item x="23"/>
        <item x="12"/>
        <item x="13"/>
        <item x="10"/>
        <item x="40"/>
        <item x="37"/>
        <item x="159"/>
        <item x="44"/>
        <item x="136"/>
        <item x="185"/>
        <item x="167"/>
        <item x="170"/>
        <item x="84"/>
        <item x="177"/>
        <item x="182"/>
        <item x="175"/>
        <item x="187"/>
        <item x="192"/>
        <item x="193"/>
        <item x="47"/>
        <item x="149"/>
        <item x="162"/>
        <item x="35"/>
        <item x="75"/>
        <item x="155"/>
        <item x="73"/>
        <item x="31"/>
        <item x="111"/>
        <item x="41"/>
        <item x="51"/>
        <item x="6"/>
        <item x="30"/>
        <item x="72"/>
        <item x="121"/>
        <item x="81"/>
        <item x="2"/>
        <item x="123"/>
        <item x="118"/>
        <item x="36"/>
        <item x="14"/>
        <item x="163"/>
        <item x="173"/>
        <item x="43"/>
        <item x="160"/>
        <item x="166"/>
        <item m="1" x="200"/>
        <item x="42"/>
        <item x="82"/>
        <item x="128"/>
        <item x="120"/>
        <item x="191"/>
        <item x="62"/>
        <item x="176"/>
        <item x="186"/>
        <item x="130"/>
        <item x="48"/>
        <item m="1" x="198"/>
        <item x="78"/>
        <item x="141"/>
        <item x="169"/>
        <item x="164"/>
        <item x="57"/>
        <item x="63"/>
        <item x="24"/>
        <item x="60"/>
        <item x="70"/>
        <item x="18"/>
        <item x="17"/>
        <item x="180"/>
        <item x="174"/>
        <item x="181"/>
        <item x="53"/>
        <item x="3"/>
        <item x="25"/>
        <item x="4"/>
        <item x="22"/>
        <item x="21"/>
        <item x="178"/>
        <item x="179"/>
        <item x="11"/>
        <item x="9"/>
        <item x="8"/>
        <item x="68"/>
        <item x="66"/>
        <item x="122"/>
        <item x="119"/>
        <item x="83"/>
        <item x="114"/>
        <item x="113"/>
        <item x="115"/>
        <item x="76"/>
        <item x="117"/>
        <item x="79"/>
        <item x="49"/>
        <item x="50"/>
        <item x="16"/>
        <item x="15"/>
        <item x="38"/>
        <item x="39"/>
        <item x="151"/>
        <item x="19"/>
        <item x="105"/>
        <item x="101"/>
        <item x="98"/>
        <item x="107"/>
        <item x="97"/>
        <item x="108"/>
        <item x="104"/>
        <item x="106"/>
        <item x="102"/>
        <item x="100"/>
        <item x="103"/>
        <item x="99"/>
        <item x="188"/>
        <item x="168"/>
        <item x="93"/>
        <item x="94"/>
        <item x="131"/>
        <item x="27"/>
        <item x="29"/>
        <item x="26"/>
        <item x="154"/>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Page" compact="0" multipleItemSelectionAllowed="1" showAll="0">
      <items count="12">
        <item h="1" m="1" x="9"/>
        <item h="1" x="1"/>
        <item h="1" m="1" x="7"/>
        <item h="1" m="1" x="10"/>
        <item h="1" x="3"/>
        <item m="1" x="8"/>
        <item h="1" x="6"/>
        <item h="1" x="0"/>
        <item h="1" x="2"/>
        <item x="5"/>
        <item h="1" x="4"/>
        <item t="default"/>
      </items>
    </pivotField>
    <pivotField compact="0" showAll="0"/>
    <pivotField axis="axisRow" dataField="1" compact="0" showAll="0" sortType="ascending">
      <items count="351">
        <item x="96"/>
        <item x="168"/>
        <item m="1" x="315"/>
        <item x="194"/>
        <item m="1" x="316"/>
        <item m="1" x="297"/>
        <item x="164"/>
        <item x="94"/>
        <item x="93"/>
        <item m="1" x="304"/>
        <item x="78"/>
        <item x="80"/>
        <item x="81"/>
        <item x="209"/>
        <item x="210"/>
        <item x="211"/>
        <item x="86"/>
        <item x="67"/>
        <item x="68"/>
        <item x="69"/>
        <item x="82"/>
        <item x="70"/>
        <item x="44"/>
        <item x="71"/>
        <item x="24"/>
        <item x="99"/>
        <item x="73"/>
        <item x="79"/>
        <item x="74"/>
        <item x="77"/>
        <item x="87"/>
        <item x="88"/>
        <item x="100"/>
        <item x="90"/>
        <item x="91"/>
        <item x="72"/>
        <item x="243"/>
        <item m="1" x="292"/>
        <item x="101"/>
        <item x="102"/>
        <item m="1" x="301"/>
        <item m="1" x="330"/>
        <item x="116"/>
        <item x="103"/>
        <item m="1" x="332"/>
        <item x="104"/>
        <item x="105"/>
        <item x="106"/>
        <item x="20"/>
        <item x="118"/>
        <item x="40"/>
        <item x="115"/>
        <item x="41"/>
        <item x="21"/>
        <item m="1" x="310"/>
        <item x="84"/>
        <item x="107"/>
        <item x="178"/>
        <item x="143"/>
        <item x="75"/>
        <item m="1" x="296"/>
        <item m="1" x="324"/>
        <item x="117"/>
        <item x="179"/>
        <item x="97"/>
        <item m="1" x="347"/>
        <item m="1" x="339"/>
        <item x="175"/>
        <item m="1" x="341"/>
        <item x="177"/>
        <item m="1" x="306"/>
        <item x="109"/>
        <item m="1" x="343"/>
        <item x="22"/>
        <item x="142"/>
        <item x="198"/>
        <item m="1" x="325"/>
        <item x="113"/>
        <item x="95"/>
        <item x="65"/>
        <item x="66"/>
        <item x="203"/>
        <item x="29"/>
        <item x="140"/>
        <item m="1" x="313"/>
        <item x="27"/>
        <item m="1" x="298"/>
        <item m="1" x="336"/>
        <item x="89"/>
        <item x="83"/>
        <item x="92"/>
        <item x="184"/>
        <item x="197"/>
        <item x="199"/>
        <item x="141"/>
        <item x="144"/>
        <item m="1" x="327"/>
        <item x="25"/>
        <item x="26"/>
        <item m="1" x="321"/>
        <item x="145"/>
        <item x="111"/>
        <item m="1" x="338"/>
        <item x="112"/>
        <item m="1" x="348"/>
        <item x="85"/>
        <item x="110"/>
        <item x="76"/>
        <item x="146"/>
        <item m="1" x="295"/>
        <item x="147"/>
        <item m="1" x="349"/>
        <item x="148"/>
        <item x="185"/>
        <item m="1" x="317"/>
        <item x="108"/>
        <item m="1" x="300"/>
        <item m="1" x="311"/>
        <item x="12"/>
        <item x="11"/>
        <item x="42"/>
        <item m="1" x="318"/>
        <item x="132"/>
        <item x="7"/>
        <item x="4"/>
        <item x="266"/>
        <item x="52"/>
        <item x="1"/>
        <item x="61"/>
        <item x="14"/>
        <item x="0"/>
        <item x="51"/>
        <item x="37"/>
        <item x="62"/>
        <item m="1" x="335"/>
        <item x="5"/>
        <item x="200"/>
        <item x="39"/>
        <item x="8"/>
        <item x="32"/>
        <item x="264"/>
        <item x="265"/>
        <item x="183"/>
        <item x="181"/>
        <item x="289"/>
        <item x="134"/>
        <item m="1" x="308"/>
        <item x="288"/>
        <item x="281"/>
        <item x="3"/>
        <item x="98"/>
        <item m="1" x="314"/>
        <item m="1" x="346"/>
        <item x="17"/>
        <item x="214"/>
        <item x="212"/>
        <item x="213"/>
        <item m="1" x="329"/>
        <item m="1" x="303"/>
        <item x="226"/>
        <item x="229"/>
        <item x="123"/>
        <item x="122"/>
        <item x="230"/>
        <item x="129"/>
        <item m="1" x="320"/>
        <item x="121"/>
        <item m="1" x="319"/>
        <item x="126"/>
        <item m="1" x="337"/>
        <item x="159"/>
        <item x="167"/>
        <item x="158"/>
        <item m="1" x="293"/>
        <item x="189"/>
        <item x="186"/>
        <item m="1" x="333"/>
        <item x="188"/>
        <item x="172"/>
        <item x="173"/>
        <item x="176"/>
        <item x="205"/>
        <item x="202"/>
        <item x="237"/>
        <item x="236"/>
        <item x="119"/>
        <item x="165"/>
        <item x="191"/>
        <item x="190"/>
        <item x="232"/>
        <item x="231"/>
        <item m="1" x="331"/>
        <item m="1" x="299"/>
        <item m="1" x="322"/>
        <item x="2"/>
        <item x="138"/>
        <item x="139"/>
        <item x="187"/>
        <item m="1" x="328"/>
        <item x="220"/>
        <item x="180"/>
        <item x="221"/>
        <item m="1" x="294"/>
        <item m="1" x="342"/>
        <item x="240"/>
        <item x="219"/>
        <item m="1" x="302"/>
        <item x="208"/>
        <item x="216"/>
        <item x="278"/>
        <item x="149"/>
        <item x="35"/>
        <item x="254"/>
        <item x="287"/>
        <item x="222"/>
        <item x="234"/>
        <item x="250"/>
        <item x="235"/>
        <item x="224"/>
        <item x="283"/>
        <item x="284"/>
        <item x="270"/>
        <item x="285"/>
        <item x="290"/>
        <item n="GOV2. Acordar i introduir millores viables en el servei d’educació ambiental que externalitza el Parc Natural, si escau amb algun tipus de protocol escrit " x="163"/>
        <item m="1" x="312"/>
        <item x="170"/>
        <item x="171"/>
        <item x="174"/>
        <item x="169"/>
        <item m="1" x="334"/>
        <item x="244"/>
        <item x="206"/>
        <item x="207"/>
        <item m="1" x="309"/>
        <item x="15"/>
        <item x="255"/>
        <item x="282"/>
        <item x="251"/>
        <item x="263"/>
        <item x="261"/>
        <item x="63"/>
        <item x="201"/>
        <item x="225"/>
        <item x="238"/>
        <item x="267"/>
        <item x="262"/>
        <item x="182"/>
        <item x="259"/>
        <item x="204"/>
        <item x="13"/>
        <item x="218"/>
        <item x="47"/>
        <item x="268"/>
        <item x="274"/>
        <item x="45"/>
        <item x="257"/>
        <item x="256"/>
        <item x="260"/>
        <item x="258"/>
        <item x="33"/>
        <item x="34"/>
        <item x="279"/>
        <item m="1" x="345"/>
        <item x="228"/>
        <item x="36"/>
        <item x="10"/>
        <item x="58"/>
        <item x="60"/>
        <item x="59"/>
        <item x="286"/>
        <item x="249"/>
        <item x="248"/>
        <item x="38"/>
        <item x="242"/>
        <item x="252"/>
        <item x="46"/>
        <item x="280"/>
        <item x="137"/>
        <item x="217"/>
        <item x="223"/>
        <item x="233"/>
        <item m="1" x="291"/>
        <item m="1" x="344"/>
        <item x="120"/>
        <item x="16"/>
        <item x="241"/>
        <item x="247"/>
        <item x="245"/>
        <item x="246"/>
        <item x="275"/>
        <item x="276"/>
        <item x="166"/>
        <item x="253"/>
        <item x="50"/>
        <item x="9"/>
        <item m="1" x="326"/>
        <item x="30"/>
        <item x="114"/>
        <item x="135"/>
        <item x="136"/>
        <item x="128"/>
        <item x="277"/>
        <item x="124"/>
        <item x="43"/>
        <item x="125"/>
        <item x="157"/>
        <item x="215"/>
        <item x="53"/>
        <item x="54"/>
        <item x="19"/>
        <item x="48"/>
        <item x="57"/>
        <item x="239"/>
        <item x="64"/>
        <item x="18"/>
        <item x="56"/>
        <item x="31"/>
        <item x="55"/>
        <item x="133"/>
        <item m="1" x="307"/>
        <item x="227"/>
        <item x="162"/>
        <item x="160"/>
        <item x="161"/>
        <item x="150"/>
        <item x="153"/>
        <item x="152"/>
        <item x="154"/>
        <item x="155"/>
        <item x="156"/>
        <item x="151"/>
        <item x="49"/>
        <item x="271"/>
        <item x="269"/>
        <item x="272"/>
        <item x="273"/>
        <item m="1" x="323"/>
        <item x="130"/>
        <item m="1" x="340"/>
        <item x="28"/>
        <item x="127"/>
        <item x="131"/>
        <item x="23"/>
        <item m="1" x="305"/>
        <item x="193"/>
        <item x="195"/>
        <item x="192"/>
        <item x="196"/>
        <item x="6"/>
        <item t="default"/>
      </items>
    </pivotField>
    <pivotField compact="0" showAll="0"/>
    <pivotField compact="0" showAll="0"/>
    <pivotField compact="0" showAll="0"/>
    <pivotField compact="0" showAll="0"/>
    <pivotField compact="0" showAll="0"/>
  </pivotFields>
  <rowFields count="4">
    <field x="0"/>
    <field x="5"/>
    <field x="9"/>
    <field x="25"/>
  </rowFields>
  <rowItems count="66">
    <i>
      <x/>
    </i>
    <i r="1">
      <x v="124"/>
    </i>
    <i r="2">
      <x v="56"/>
    </i>
    <i r="3">
      <x v="195"/>
    </i>
    <i r="3">
      <x v="196"/>
    </i>
    <i>
      <x v="4"/>
    </i>
    <i r="1">
      <x v="135"/>
    </i>
    <i r="2">
      <x v="91"/>
    </i>
    <i r="3">
      <x v="172"/>
    </i>
    <i r="1">
      <x v="136"/>
    </i>
    <i r="2">
      <x v="43"/>
    </i>
    <i r="3">
      <x v="170"/>
    </i>
    <i r="3">
      <x v="224"/>
    </i>
    <i r="1">
      <x v="140"/>
    </i>
    <i r="2">
      <x v="141"/>
    </i>
    <i r="3">
      <x v="171"/>
    </i>
    <i r="1">
      <x v="141"/>
    </i>
    <i r="2">
      <x v="48"/>
    </i>
    <i r="3">
      <x v="1"/>
    </i>
    <i r="3">
      <x v="229"/>
    </i>
    <i r="1">
      <x v="142"/>
    </i>
    <i r="2">
      <x v="78"/>
    </i>
    <i r="3">
      <x v="226"/>
    </i>
    <i r="3">
      <x v="227"/>
    </i>
    <i r="1">
      <x v="143"/>
    </i>
    <i r="2">
      <x v="17"/>
    </i>
    <i r="3">
      <x v="178"/>
    </i>
    <i r="3">
      <x v="179"/>
    </i>
    <i r="3">
      <x v="228"/>
    </i>
    <i r="1">
      <x v="144"/>
    </i>
    <i r="2">
      <x v="63"/>
    </i>
    <i r="3">
      <x v="180"/>
    </i>
    <i r="3">
      <x v="200"/>
    </i>
    <i r="1">
      <x v="146"/>
    </i>
    <i r="2">
      <x v="3"/>
    </i>
    <i r="3">
      <x v="175"/>
    </i>
    <i r="2">
      <x v="4"/>
    </i>
    <i r="3">
      <x v="197"/>
    </i>
    <i r="1">
      <x v="150"/>
    </i>
    <i r="2">
      <x v="82"/>
    </i>
    <i r="3">
      <x v="177"/>
    </i>
    <i r="1">
      <x v="151"/>
    </i>
    <i r="2">
      <x v="66"/>
    </i>
    <i r="3">
      <x v="174"/>
    </i>
    <i r="1">
      <x v="152"/>
    </i>
    <i r="2">
      <x v="107"/>
    </i>
    <i r="3">
      <x v="347"/>
    </i>
    <i r="1">
      <x v="153"/>
    </i>
    <i r="2">
      <x v="79"/>
    </i>
    <i r="3">
      <x v="345"/>
    </i>
    <i r="1">
      <x v="154"/>
    </i>
    <i r="2">
      <x v="49"/>
    </i>
    <i r="3">
      <x v="3"/>
    </i>
    <i r="3">
      <x v="346"/>
    </i>
    <i r="3">
      <x v="348"/>
    </i>
    <i r="1">
      <x v="165"/>
    </i>
    <i r="2">
      <x v="197"/>
    </i>
    <i r="3">
      <x v="199"/>
    </i>
    <i r="1">
      <x v="166"/>
    </i>
    <i r="2">
      <x v="142"/>
    </i>
    <i r="3">
      <x v="201"/>
    </i>
    <i>
      <x v="5"/>
    </i>
    <i r="1">
      <x v="192"/>
    </i>
    <i r="2">
      <x v="38"/>
    </i>
    <i r="3">
      <x v="223"/>
    </i>
    <i t="grand">
      <x/>
    </i>
  </rowItems>
  <colItems count="1">
    <i/>
  </colItems>
  <pageFields count="1">
    <pageField fld="23" hier="-1"/>
  </pageFields>
  <dataFields count="1">
    <dataField name="Cuenta de Acció concreta dins del Pla" fld="25" subtotal="count" baseField="0" baseItem="0"/>
  </dataFields>
  <formats count="7">
    <format dxfId="13">
      <pivotArea type="all" dataOnly="0" outline="0" fieldPosition="0"/>
    </format>
    <format dxfId="14">
      <pivotArea field="25" type="button" dataOnly="0" labelOnly="1" outline="0" axis="axisRow" fieldPosition="3"/>
    </format>
    <format dxfId="15">
      <pivotArea dataOnly="0" labelOnly="1" fieldPosition="0">
        <references count="1">
          <reference field="25" count="27">
            <x v="1"/>
            <x v="2"/>
            <x v="5"/>
            <x v="171"/>
            <x v="172"/>
            <x v="173"/>
            <x v="176"/>
            <x v="177"/>
            <x v="178"/>
            <x v="179"/>
            <x v="180"/>
            <x v="193"/>
            <x v="195"/>
            <x v="196"/>
            <x v="197"/>
            <x v="199"/>
            <x v="200"/>
            <x v="201"/>
            <x v="223"/>
            <x v="225"/>
            <x v="226"/>
            <x v="227"/>
            <x v="228"/>
            <x v="345"/>
            <x v="346"/>
            <x v="347"/>
            <x v="348"/>
          </reference>
        </references>
      </pivotArea>
    </format>
    <format dxfId="16">
      <pivotArea dataOnly="0" labelOnly="1" grandRow="1" outline="0" fieldPosition="0"/>
    </format>
    <format dxfId="17">
      <pivotArea dataOnly="0" labelOnly="1" fieldPosition="0">
        <references count="1">
          <reference field="25" count="0"/>
        </references>
      </pivotArea>
    </format>
    <format dxfId="18">
      <pivotArea collapsedLevelsAreSubtotals="1" fieldPosition="0">
        <references count="1">
          <reference field="25" count="26">
            <x v="170"/>
            <x v="171"/>
            <x v="172"/>
            <x v="173"/>
            <x v="174"/>
            <x v="176"/>
            <x v="177"/>
            <x v="178"/>
            <x v="179"/>
            <x v="180"/>
            <x v="195"/>
            <x v="196"/>
            <x v="197"/>
            <x v="199"/>
            <x v="200"/>
            <x v="201"/>
            <x v="223"/>
            <x v="224"/>
            <x v="226"/>
            <x v="227"/>
            <x v="228"/>
            <x v="229"/>
            <x v="345"/>
            <x v="346"/>
            <x v="347"/>
            <x v="348"/>
          </reference>
        </references>
      </pivotArea>
    </format>
    <format dxfId="19">
      <pivotArea dataOnly="0" labelOnly="1" fieldPosition="0">
        <references count="1">
          <reference field="25" count="26">
            <x v="170"/>
            <x v="171"/>
            <x v="172"/>
            <x v="173"/>
            <x v="174"/>
            <x v="176"/>
            <x v="177"/>
            <x v="178"/>
            <x v="179"/>
            <x v="180"/>
            <x v="195"/>
            <x v="196"/>
            <x v="197"/>
            <x v="199"/>
            <x v="200"/>
            <x v="201"/>
            <x v="223"/>
            <x v="224"/>
            <x v="226"/>
            <x v="227"/>
            <x v="228"/>
            <x v="229"/>
            <x v="345"/>
            <x v="346"/>
            <x v="347"/>
            <x v="348"/>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A1:C31" totalsRowShown="0" headerRowDxfId="4" dataDxfId="3">
  <autoFilter ref="A1:C31" xr:uid="{00000000-0009-0000-0100-000001000000}"/>
  <tableColumns count="3">
    <tableColumn id="1" xr3:uid="{00000000-0010-0000-0000-000001000000}" name="Columna1" dataDxfId="2"/>
    <tableColumn id="2" xr3:uid="{00000000-0010-0000-0000-000002000000}" name="Columna2" dataDxfId="1"/>
    <tableColumn id="3" xr3:uid="{00000000-0010-0000-0000-000003000000}" name="Columna3" dataDxfId="0"/>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Generalitat">
      <a:dk1>
        <a:sysClr val="windowText" lastClr="000000"/>
      </a:dk1>
      <a:lt1>
        <a:sysClr val="window" lastClr="FFFFFF"/>
      </a:lt1>
      <a:dk2>
        <a:srgbClr val="44546A"/>
      </a:dk2>
      <a:lt2>
        <a:srgbClr val="E7E6E6"/>
      </a:lt2>
      <a:accent1>
        <a:srgbClr val="A8CB33"/>
      </a:accent1>
      <a:accent2>
        <a:srgbClr val="3D9B35"/>
      </a:accent2>
      <a:accent3>
        <a:srgbClr val="BCBF00"/>
      </a:accent3>
      <a:accent4>
        <a:srgbClr val="60A9D1"/>
      </a:accent4>
      <a:accent5>
        <a:srgbClr val="F85C26"/>
      </a:accent5>
      <a:accent6>
        <a:srgbClr val="FABC20"/>
      </a:accent6>
      <a:hlink>
        <a:srgbClr val="AE8055"/>
      </a:hlink>
      <a:folHlink>
        <a:srgbClr val="C0CECE"/>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encat.sharepoint.com/sites/Informaciiconeixementpatrimoninatural2/Documents%20compartits/Forms/AllItems.aspx?csf=1&amp;web=1&amp;e=3x4ZkK&amp;ovuser=3b9427dc%2Dd30e%2D43bc%2D8c06%2Dff7253676fec%2Cjordiparpal%40gencat%2Ecat&amp;OR=Teams%2DHL&amp;CT=1713942253212&amp;clic" TargetMode="Externa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conservationstandards.org/library-item/threats-and-actions-taxonomies/" TargetMode="External"/><Relationship Id="rId1" Type="http://schemas.openxmlformats.org/officeDocument/2006/relationships/hyperlink" Target="https://cdr.eionet.europa.eu/help/habitats_art17/Reporting2025/List%20of%20pressures%20and%20threats%20for%20reporting%202019-2024%20v1.1.xlsx"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ivotTable" Target="../pivotTables/pivotTable3.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ivotTable" Target="../pivotTables/pivotTable4.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ivotTable" Target="../pivotTables/pivotTable5.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C4"/>
  <sheetViews>
    <sheetView topLeftCell="A10" workbookViewId="0">
      <selection activeCell="A4" sqref="A4"/>
    </sheetView>
  </sheetViews>
  <sheetFormatPr defaultColWidth="8.85546875" defaultRowHeight="14.45"/>
  <sheetData>
    <row r="3" spans="3:3" ht="26.1">
      <c r="C3" s="31" t="s">
        <v>0</v>
      </c>
    </row>
    <row r="4" spans="3:3" ht="26.1">
      <c r="C4" s="31" t="s">
        <v>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33"/>
  <sheetViews>
    <sheetView topLeftCell="A6" workbookViewId="0">
      <selection activeCell="B4" sqref="B4"/>
    </sheetView>
  </sheetViews>
  <sheetFormatPr defaultColWidth="8.85546875" defaultRowHeight="14.45"/>
  <cols>
    <col min="1" max="1" width="23.42578125" style="19" customWidth="1"/>
    <col min="2" max="2" width="95.140625" style="19" customWidth="1"/>
  </cols>
  <sheetData>
    <row r="1" spans="1:2">
      <c r="A1" s="30" t="s">
        <v>2</v>
      </c>
      <c r="B1" s="29"/>
    </row>
    <row r="2" spans="1:2" ht="29.1">
      <c r="A2" s="63" t="s">
        <v>3</v>
      </c>
      <c r="B2" s="62" t="s">
        <v>4</v>
      </c>
    </row>
    <row r="3" spans="1:2">
      <c r="A3" s="62"/>
      <c r="B3" s="62"/>
    </row>
    <row r="4" spans="1:2" ht="43.5">
      <c r="A4" s="63" t="s">
        <v>5</v>
      </c>
      <c r="B4" s="62" t="s">
        <v>6</v>
      </c>
    </row>
    <row r="5" spans="1:2">
      <c r="A5" s="62"/>
      <c r="B5" s="62"/>
    </row>
    <row r="6" spans="1:2">
      <c r="A6" s="28" t="s">
        <v>7</v>
      </c>
      <c r="B6" s="29"/>
    </row>
    <row r="7" spans="1:2" ht="15.6">
      <c r="A7" s="21" t="s">
        <v>8</v>
      </c>
    </row>
    <row r="8" spans="1:2">
      <c r="B8" s="19" t="s">
        <v>9</v>
      </c>
    </row>
    <row r="9" spans="1:2" ht="29.1">
      <c r="B9" s="19" t="s">
        <v>10</v>
      </c>
    </row>
    <row r="10" spans="1:2" ht="29.1">
      <c r="B10" s="19" t="s">
        <v>11</v>
      </c>
    </row>
    <row r="11" spans="1:2">
      <c r="B11" s="19" t="s">
        <v>12</v>
      </c>
    </row>
    <row r="14" spans="1:2" ht="15.6">
      <c r="A14" s="21" t="s">
        <v>13</v>
      </c>
    </row>
    <row r="15" spans="1:2" ht="29.1">
      <c r="A15" s="22" t="s">
        <v>14</v>
      </c>
      <c r="B15" s="19" t="s">
        <v>15</v>
      </c>
    </row>
    <row r="16" spans="1:2">
      <c r="B16" s="19" t="s">
        <v>16</v>
      </c>
    </row>
    <row r="17" spans="1:2" ht="29.1">
      <c r="B17" s="19" t="s">
        <v>17</v>
      </c>
    </row>
    <row r="18" spans="1:2" ht="43.5">
      <c r="B18" s="19" t="s">
        <v>18</v>
      </c>
    </row>
    <row r="19" spans="1:2" ht="43.5">
      <c r="B19" s="19" t="s">
        <v>19</v>
      </c>
    </row>
    <row r="20" spans="1:2" ht="43.5">
      <c r="B20" s="19" t="s">
        <v>20</v>
      </c>
    </row>
    <row r="21" spans="1:2" ht="29.1">
      <c r="B21" s="19" t="s">
        <v>21</v>
      </c>
    </row>
    <row r="22" spans="1:2" ht="57.95">
      <c r="A22" s="22" t="s">
        <v>22</v>
      </c>
      <c r="B22" s="19" t="s">
        <v>23</v>
      </c>
    </row>
    <row r="23" spans="1:2" ht="43.5">
      <c r="B23" s="19" t="s">
        <v>24</v>
      </c>
    </row>
    <row r="24" spans="1:2" ht="47.45" customHeight="1">
      <c r="A24" s="22" t="s">
        <v>25</v>
      </c>
      <c r="B24" s="19" t="s">
        <v>26</v>
      </c>
    </row>
    <row r="25" spans="1:2">
      <c r="A25" s="22" t="s">
        <v>27</v>
      </c>
      <c r="B25" s="19" t="s">
        <v>28</v>
      </c>
    </row>
    <row r="26" spans="1:2" ht="29.1">
      <c r="A26" s="22" t="s">
        <v>29</v>
      </c>
      <c r="B26" s="19" t="s">
        <v>30</v>
      </c>
    </row>
    <row r="27" spans="1:2">
      <c r="A27" s="22" t="s">
        <v>31</v>
      </c>
      <c r="B27" s="19" t="s">
        <v>32</v>
      </c>
    </row>
    <row r="28" spans="1:2">
      <c r="A28" s="22" t="s">
        <v>33</v>
      </c>
      <c r="B28" s="19" t="s">
        <v>34</v>
      </c>
    </row>
    <row r="30" spans="1:2">
      <c r="A30" s="28" t="s">
        <v>35</v>
      </c>
      <c r="B30" s="29"/>
    </row>
    <row r="31" spans="1:2" ht="43.5">
      <c r="A31" s="19" t="s">
        <v>36</v>
      </c>
      <c r="B31" s="19" t="s">
        <v>37</v>
      </c>
    </row>
    <row r="32" spans="1:2" ht="29.1">
      <c r="B32" s="19" t="s">
        <v>38</v>
      </c>
    </row>
    <row r="33" spans="2:2" ht="29.1">
      <c r="B33" s="19" t="s">
        <v>39</v>
      </c>
    </row>
  </sheetData>
  <pageMargins left="0.27" right="0.27" top="0.74803149606299213" bottom="0.74803149606299213" header="0.31496062992125984" footer="0.31496062992125984"/>
  <pageSetup paperSize="9" scale="8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53"/>
  <sheetViews>
    <sheetView topLeftCell="B1" zoomScale="80" zoomScaleNormal="80" workbookViewId="0">
      <selection activeCell="K5" sqref="K5"/>
    </sheetView>
  </sheetViews>
  <sheetFormatPr defaultColWidth="8.85546875" defaultRowHeight="14.45"/>
  <cols>
    <col min="1" max="1" width="8.85546875" style="339"/>
    <col min="2" max="2" width="51.85546875" style="1" customWidth="1"/>
    <col min="3" max="3" width="8.85546875" style="292" customWidth="1"/>
    <col min="4" max="4" width="23.85546875" style="292" bestFit="1" customWidth="1"/>
    <col min="5" max="5" width="50.42578125" style="1" customWidth="1"/>
    <col min="6" max="6" width="21" style="292" customWidth="1"/>
    <col min="7" max="7" width="19.5703125" style="292" customWidth="1"/>
    <col min="8" max="8" width="28.5703125" style="292" customWidth="1"/>
    <col min="9" max="9" width="18.85546875" style="292" customWidth="1"/>
    <col min="10" max="16384" width="8.85546875" style="292"/>
  </cols>
  <sheetData>
    <row r="1" spans="1:11">
      <c r="B1" s="340"/>
    </row>
    <row r="2" spans="1:11" ht="15" thickBot="1">
      <c r="B2" s="292" t="s">
        <v>40</v>
      </c>
    </row>
    <row r="3" spans="1:11" ht="15" thickBot="1">
      <c r="B3" s="341" t="s">
        <v>41</v>
      </c>
      <c r="C3" s="342"/>
      <c r="D3" s="342"/>
      <c r="E3" s="360"/>
      <c r="F3" s="448" t="s">
        <v>42</v>
      </c>
      <c r="G3" s="449"/>
      <c r="H3" s="449"/>
      <c r="I3" s="450"/>
    </row>
    <row r="4" spans="1:11">
      <c r="B4" s="343" t="s">
        <v>43</v>
      </c>
      <c r="C4" s="344" t="s">
        <v>44</v>
      </c>
      <c r="D4" s="344" t="s">
        <v>45</v>
      </c>
      <c r="E4" s="361" t="s">
        <v>46</v>
      </c>
      <c r="F4" s="344" t="s">
        <v>47</v>
      </c>
      <c r="G4" s="344" t="s">
        <v>48</v>
      </c>
      <c r="H4" s="344" t="s">
        <v>49</v>
      </c>
      <c r="I4" s="345" t="s">
        <v>50</v>
      </c>
      <c r="J4" s="292" t="s">
        <v>51</v>
      </c>
    </row>
    <row r="5" spans="1:11">
      <c r="A5" s="339" t="s">
        <v>52</v>
      </c>
      <c r="B5" s="346" t="s">
        <v>53</v>
      </c>
      <c r="C5" s="347" t="s">
        <v>54</v>
      </c>
      <c r="D5" s="348">
        <v>6.75</v>
      </c>
      <c r="E5" s="27" t="s">
        <v>55</v>
      </c>
      <c r="F5" s="347" t="s">
        <v>56</v>
      </c>
      <c r="G5" s="347"/>
      <c r="H5" s="347"/>
      <c r="I5" s="349"/>
      <c r="K5" s="292" t="s">
        <v>57</v>
      </c>
    </row>
    <row r="6" spans="1:11" ht="29.1">
      <c r="A6" s="339" t="s">
        <v>52</v>
      </c>
      <c r="B6" s="346" t="s">
        <v>58</v>
      </c>
      <c r="C6" s="347" t="s">
        <v>54</v>
      </c>
      <c r="D6" s="348">
        <v>5</v>
      </c>
      <c r="E6" s="27" t="s">
        <v>55</v>
      </c>
      <c r="F6" s="376" t="s">
        <v>59</v>
      </c>
      <c r="G6" s="370"/>
      <c r="H6" s="347"/>
      <c r="I6" s="349"/>
      <c r="K6" s="292" t="s">
        <v>60</v>
      </c>
    </row>
    <row r="7" spans="1:11" ht="29.1">
      <c r="A7" s="339" t="s">
        <v>52</v>
      </c>
      <c r="B7" s="346" t="s">
        <v>61</v>
      </c>
      <c r="C7" s="347" t="s">
        <v>54</v>
      </c>
      <c r="D7" s="348">
        <v>4.625</v>
      </c>
      <c r="E7" s="27" t="s">
        <v>55</v>
      </c>
      <c r="F7" s="347" t="s">
        <v>59</v>
      </c>
      <c r="G7" s="376" t="s">
        <v>62</v>
      </c>
      <c r="H7" s="347"/>
      <c r="I7" s="349"/>
      <c r="K7" s="292" t="s">
        <v>63</v>
      </c>
    </row>
    <row r="8" spans="1:11">
      <c r="A8" s="339" t="s">
        <v>52</v>
      </c>
      <c r="B8" s="346" t="s">
        <v>64</v>
      </c>
      <c r="C8" s="347" t="s">
        <v>54</v>
      </c>
      <c r="D8" s="348">
        <v>4.375</v>
      </c>
      <c r="E8" s="27" t="s">
        <v>55</v>
      </c>
      <c r="F8" s="347" t="s">
        <v>65</v>
      </c>
      <c r="G8" s="376" t="s">
        <v>56</v>
      </c>
      <c r="H8" s="347"/>
      <c r="I8" s="349"/>
      <c r="K8" s="292" t="s">
        <v>66</v>
      </c>
    </row>
    <row r="9" spans="1:11">
      <c r="A9" s="339" t="s">
        <v>52</v>
      </c>
      <c r="B9" s="346" t="s">
        <v>67</v>
      </c>
      <c r="C9" s="347" t="s">
        <v>54</v>
      </c>
      <c r="D9" s="348">
        <v>3.875</v>
      </c>
      <c r="E9" s="27" t="s">
        <v>55</v>
      </c>
      <c r="F9" s="347" t="s">
        <v>68</v>
      </c>
      <c r="G9" s="376" t="s">
        <v>69</v>
      </c>
      <c r="H9" s="376" t="s">
        <v>62</v>
      </c>
      <c r="I9" s="349"/>
      <c r="K9" s="350" t="s">
        <v>70</v>
      </c>
    </row>
    <row r="10" spans="1:11">
      <c r="A10" s="339" t="s">
        <v>52</v>
      </c>
      <c r="B10" s="346" t="s">
        <v>71</v>
      </c>
      <c r="C10" s="347" t="s">
        <v>54</v>
      </c>
      <c r="D10" s="348">
        <v>6.375</v>
      </c>
      <c r="E10" s="27" t="s">
        <v>55</v>
      </c>
      <c r="F10" s="347" t="s">
        <v>56</v>
      </c>
      <c r="G10" s="347"/>
      <c r="H10" s="347"/>
      <c r="I10" s="349"/>
      <c r="K10" s="292" t="s">
        <v>72</v>
      </c>
    </row>
    <row r="11" spans="1:11">
      <c r="A11" s="339" t="s">
        <v>52</v>
      </c>
      <c r="B11" s="346" t="s">
        <v>73</v>
      </c>
      <c r="C11" s="347" t="s">
        <v>54</v>
      </c>
      <c r="D11" s="348">
        <v>5.125</v>
      </c>
      <c r="E11" s="27" t="s">
        <v>55</v>
      </c>
      <c r="F11" s="376" t="s">
        <v>74</v>
      </c>
      <c r="G11" s="347"/>
      <c r="H11" s="347"/>
      <c r="I11" s="349"/>
    </row>
    <row r="12" spans="1:11" ht="29.1">
      <c r="A12" s="339" t="s">
        <v>52</v>
      </c>
      <c r="B12" s="346" t="s">
        <v>75</v>
      </c>
      <c r="C12" s="347" t="s">
        <v>54</v>
      </c>
      <c r="D12" s="348">
        <v>4.375</v>
      </c>
      <c r="E12" s="27" t="s">
        <v>55</v>
      </c>
      <c r="F12" s="347" t="s">
        <v>56</v>
      </c>
      <c r="G12" s="376" t="s">
        <v>69</v>
      </c>
      <c r="H12" s="376" t="s">
        <v>76</v>
      </c>
      <c r="I12" s="371"/>
    </row>
    <row r="13" spans="1:11" ht="29.1">
      <c r="A13" s="339" t="s">
        <v>52</v>
      </c>
      <c r="B13" s="346" t="s">
        <v>77</v>
      </c>
      <c r="C13" s="347" t="s">
        <v>54</v>
      </c>
      <c r="D13" s="348">
        <v>3.875</v>
      </c>
      <c r="E13" s="27" t="s">
        <v>55</v>
      </c>
      <c r="F13" s="347" t="s">
        <v>69</v>
      </c>
      <c r="G13" s="377" t="s">
        <v>78</v>
      </c>
      <c r="H13" s="347"/>
      <c r="I13" s="349"/>
    </row>
    <row r="14" spans="1:11" ht="29.1">
      <c r="A14" s="339" t="s">
        <v>52</v>
      </c>
      <c r="B14" s="346" t="s">
        <v>79</v>
      </c>
      <c r="C14" s="347" t="s">
        <v>54</v>
      </c>
      <c r="D14" s="348"/>
      <c r="E14" s="27" t="s">
        <v>55</v>
      </c>
      <c r="F14" s="347" t="s">
        <v>74</v>
      </c>
      <c r="G14" s="347"/>
      <c r="H14" s="347"/>
      <c r="I14" s="349"/>
    </row>
    <row r="15" spans="1:11">
      <c r="A15" s="339" t="s">
        <v>52</v>
      </c>
      <c r="B15" s="346" t="s">
        <v>80</v>
      </c>
      <c r="C15" s="347" t="s">
        <v>54</v>
      </c>
      <c r="D15" s="348"/>
      <c r="E15" s="27" t="s">
        <v>55</v>
      </c>
      <c r="F15" s="347" t="s">
        <v>74</v>
      </c>
      <c r="G15" s="347"/>
      <c r="H15" s="347"/>
      <c r="I15" s="349"/>
    </row>
    <row r="16" spans="1:11" ht="29.1">
      <c r="A16" s="339" t="s">
        <v>52</v>
      </c>
      <c r="B16" s="346" t="s">
        <v>81</v>
      </c>
      <c r="C16" s="347" t="s">
        <v>54</v>
      </c>
      <c r="D16" s="348"/>
      <c r="E16" s="27" t="s">
        <v>55</v>
      </c>
      <c r="F16" s="376" t="s">
        <v>69</v>
      </c>
      <c r="G16" s="376" t="s">
        <v>56</v>
      </c>
      <c r="H16" s="347"/>
      <c r="I16" s="349"/>
    </row>
    <row r="17" spans="1:9" ht="29.1">
      <c r="A17" s="339" t="s">
        <v>52</v>
      </c>
      <c r="B17" s="346" t="s">
        <v>82</v>
      </c>
      <c r="C17" s="347" t="s">
        <v>54</v>
      </c>
      <c r="D17" s="348"/>
      <c r="E17" s="27" t="s">
        <v>55</v>
      </c>
      <c r="F17" s="347" t="s">
        <v>56</v>
      </c>
      <c r="G17" s="347"/>
      <c r="H17" s="347"/>
      <c r="I17" s="349"/>
    </row>
    <row r="18" spans="1:9">
      <c r="A18" s="339" t="s">
        <v>52</v>
      </c>
      <c r="B18" s="346" t="s">
        <v>83</v>
      </c>
      <c r="C18" s="347" t="s">
        <v>54</v>
      </c>
      <c r="D18" s="348">
        <v>4</v>
      </c>
      <c r="E18" s="27" t="s">
        <v>55</v>
      </c>
      <c r="F18" s="347"/>
      <c r="G18" s="347"/>
      <c r="I18" s="349"/>
    </row>
    <row r="19" spans="1:9">
      <c r="A19" s="339" t="s">
        <v>52</v>
      </c>
      <c r="B19" s="346" t="s">
        <v>84</v>
      </c>
      <c r="C19" s="347" t="s">
        <v>54</v>
      </c>
      <c r="D19" s="348">
        <v>3.875</v>
      </c>
      <c r="E19" s="27" t="s">
        <v>55</v>
      </c>
      <c r="F19" s="347" t="s">
        <v>78</v>
      </c>
      <c r="G19" s="347" t="s">
        <v>69</v>
      </c>
      <c r="H19" s="347" t="s">
        <v>68</v>
      </c>
      <c r="I19" s="349"/>
    </row>
    <row r="20" spans="1:9" ht="29.1">
      <c r="A20" s="339" t="s">
        <v>52</v>
      </c>
      <c r="B20" s="346" t="s">
        <v>85</v>
      </c>
      <c r="C20" s="347" t="s">
        <v>54</v>
      </c>
      <c r="D20" s="348">
        <v>3.875</v>
      </c>
      <c r="E20" s="27" t="s">
        <v>55</v>
      </c>
      <c r="F20" s="347" t="s">
        <v>56</v>
      </c>
      <c r="G20" s="347"/>
      <c r="H20" s="347"/>
      <c r="I20" s="349"/>
    </row>
    <row r="21" spans="1:9" ht="29.1">
      <c r="A21" s="339" t="s">
        <v>52</v>
      </c>
      <c r="B21" s="346" t="s">
        <v>86</v>
      </c>
      <c r="C21" s="352" t="s">
        <v>54</v>
      </c>
      <c r="D21" s="348"/>
      <c r="E21" s="338" t="s">
        <v>87</v>
      </c>
      <c r="F21" s="347" t="s">
        <v>69</v>
      </c>
      <c r="G21" s="377" t="s">
        <v>78</v>
      </c>
      <c r="H21" s="347"/>
      <c r="I21" s="349"/>
    </row>
    <row r="22" spans="1:9" ht="29.1">
      <c r="A22" s="339" t="s">
        <v>52</v>
      </c>
      <c r="B22" s="346" t="s">
        <v>88</v>
      </c>
      <c r="C22" s="352" t="s">
        <v>54</v>
      </c>
      <c r="D22" s="348"/>
      <c r="E22" s="338" t="s">
        <v>87</v>
      </c>
      <c r="F22" s="347" t="s">
        <v>69</v>
      </c>
      <c r="G22" s="377" t="s">
        <v>78</v>
      </c>
      <c r="H22" s="347"/>
      <c r="I22" s="349"/>
    </row>
    <row r="23" spans="1:9" ht="29.1">
      <c r="A23" s="339" t="s">
        <v>52</v>
      </c>
      <c r="B23" s="346" t="s">
        <v>89</v>
      </c>
      <c r="C23" s="352" t="s">
        <v>54</v>
      </c>
      <c r="D23" s="348"/>
      <c r="E23" s="338" t="s">
        <v>90</v>
      </c>
      <c r="F23" s="376" t="s">
        <v>91</v>
      </c>
      <c r="G23" s="347" t="s">
        <v>69</v>
      </c>
      <c r="H23" s="347" t="s">
        <v>92</v>
      </c>
    </row>
    <row r="24" spans="1:9" ht="29.1">
      <c r="A24" s="339" t="s">
        <v>52</v>
      </c>
      <c r="B24" s="346" t="s">
        <v>93</v>
      </c>
      <c r="C24" s="352" t="s">
        <v>54</v>
      </c>
      <c r="D24" s="348"/>
      <c r="E24" s="338" t="s">
        <v>94</v>
      </c>
      <c r="F24" s="347" t="s">
        <v>78</v>
      </c>
      <c r="G24" s="347" t="s">
        <v>69</v>
      </c>
      <c r="H24" s="347" t="s">
        <v>59</v>
      </c>
      <c r="I24" s="349"/>
    </row>
    <row r="25" spans="1:9">
      <c r="A25" s="339" t="s">
        <v>52</v>
      </c>
      <c r="B25" s="346" t="s">
        <v>95</v>
      </c>
      <c r="C25" s="352" t="s">
        <v>54</v>
      </c>
      <c r="D25" s="348"/>
      <c r="E25" s="338" t="s">
        <v>96</v>
      </c>
      <c r="F25" s="347" t="s">
        <v>97</v>
      </c>
      <c r="G25" s="347"/>
      <c r="H25" s="347"/>
      <c r="I25" s="349"/>
    </row>
    <row r="26" spans="1:9" ht="29.1">
      <c r="A26" s="339" t="s">
        <v>52</v>
      </c>
      <c r="B26" s="346" t="s">
        <v>98</v>
      </c>
      <c r="C26" s="352" t="s">
        <v>54</v>
      </c>
      <c r="D26" s="348"/>
      <c r="E26" s="338" t="s">
        <v>90</v>
      </c>
      <c r="F26" s="376" t="s">
        <v>91</v>
      </c>
      <c r="G26" s="347" t="s">
        <v>69</v>
      </c>
      <c r="H26" s="347" t="s">
        <v>97</v>
      </c>
      <c r="I26" s="347" t="s">
        <v>92</v>
      </c>
    </row>
    <row r="27" spans="1:9" ht="29.1">
      <c r="A27" s="339" t="s">
        <v>52</v>
      </c>
      <c r="B27" s="346" t="s">
        <v>99</v>
      </c>
      <c r="C27" s="352" t="s">
        <v>54</v>
      </c>
      <c r="D27" s="348"/>
      <c r="E27" s="338" t="s">
        <v>100</v>
      </c>
      <c r="F27" s="376" t="s">
        <v>91</v>
      </c>
      <c r="G27" s="347" t="s">
        <v>97</v>
      </c>
      <c r="H27" s="347" t="s">
        <v>92</v>
      </c>
      <c r="I27" s="349"/>
    </row>
    <row r="28" spans="1:9" ht="29.1">
      <c r="A28" s="339" t="s">
        <v>52</v>
      </c>
      <c r="B28" s="346" t="s">
        <v>101</v>
      </c>
      <c r="C28" s="352" t="s">
        <v>54</v>
      </c>
      <c r="D28" s="348"/>
      <c r="E28" s="338" t="s">
        <v>90</v>
      </c>
      <c r="F28" s="376" t="s">
        <v>91</v>
      </c>
      <c r="G28" s="347" t="s">
        <v>69</v>
      </c>
      <c r="H28" s="347"/>
      <c r="I28" s="349"/>
    </row>
    <row r="29" spans="1:9" ht="26.1" customHeight="1">
      <c r="A29" s="339" t="s">
        <v>52</v>
      </c>
      <c r="B29" s="346" t="s">
        <v>102</v>
      </c>
      <c r="C29" s="352" t="s">
        <v>54</v>
      </c>
      <c r="D29" s="348"/>
      <c r="E29" s="338" t="s">
        <v>103</v>
      </c>
      <c r="F29" s="347" t="s">
        <v>69</v>
      </c>
      <c r="G29" s="347"/>
      <c r="H29" s="347"/>
      <c r="I29" s="349"/>
    </row>
    <row r="30" spans="1:9">
      <c r="A30" s="339" t="s">
        <v>52</v>
      </c>
      <c r="B30" s="346" t="s">
        <v>104</v>
      </c>
      <c r="C30" s="352" t="s">
        <v>54</v>
      </c>
      <c r="D30" s="348"/>
      <c r="E30" s="338" t="s">
        <v>105</v>
      </c>
      <c r="F30" s="347" t="s">
        <v>78</v>
      </c>
      <c r="G30" s="347" t="s">
        <v>97</v>
      </c>
      <c r="H30" s="347" t="s">
        <v>56</v>
      </c>
      <c r="I30" s="349"/>
    </row>
    <row r="31" spans="1:9">
      <c r="A31" s="339" t="s">
        <v>52</v>
      </c>
      <c r="B31" s="346" t="s">
        <v>106</v>
      </c>
      <c r="C31" s="351" t="s">
        <v>107</v>
      </c>
      <c r="D31" s="348">
        <v>4.375</v>
      </c>
      <c r="E31" s="337" t="s">
        <v>108</v>
      </c>
      <c r="F31" s="347" t="s">
        <v>56</v>
      </c>
      <c r="G31" s="376" t="s">
        <v>76</v>
      </c>
      <c r="H31" s="347"/>
      <c r="I31" s="349"/>
    </row>
    <row r="32" spans="1:9">
      <c r="A32" s="339" t="s">
        <v>52</v>
      </c>
      <c r="B32" s="346" t="s">
        <v>109</v>
      </c>
      <c r="C32" s="351" t="s">
        <v>107</v>
      </c>
      <c r="D32" s="348">
        <v>4.25</v>
      </c>
      <c r="E32" s="337" t="s">
        <v>108</v>
      </c>
      <c r="F32" s="347" t="s">
        <v>56</v>
      </c>
      <c r="G32" s="376" t="s">
        <v>76</v>
      </c>
      <c r="H32" s="347"/>
      <c r="I32" s="349"/>
    </row>
    <row r="33" spans="1:10">
      <c r="A33" s="339" t="s">
        <v>52</v>
      </c>
      <c r="B33" s="346" t="s">
        <v>110</v>
      </c>
      <c r="C33" s="351" t="s">
        <v>107</v>
      </c>
      <c r="D33" s="348">
        <v>4.25</v>
      </c>
      <c r="E33" s="337" t="s">
        <v>108</v>
      </c>
      <c r="F33" s="347" t="s">
        <v>56</v>
      </c>
      <c r="G33" s="347" t="s">
        <v>69</v>
      </c>
      <c r="H33" s="347" t="s">
        <v>76</v>
      </c>
      <c r="I33" s="349"/>
    </row>
    <row r="34" spans="1:10" ht="29.1">
      <c r="A34" s="339" t="s">
        <v>52</v>
      </c>
      <c r="B34" s="346" t="s">
        <v>111</v>
      </c>
      <c r="C34" s="351" t="s">
        <v>107</v>
      </c>
      <c r="D34" s="348"/>
      <c r="E34" s="337" t="s">
        <v>112</v>
      </c>
      <c r="F34" s="347"/>
      <c r="G34" s="347"/>
      <c r="H34" s="347"/>
      <c r="I34" s="349"/>
    </row>
    <row r="35" spans="1:10" ht="29.1">
      <c r="A35" s="339" t="s">
        <v>52</v>
      </c>
      <c r="B35" s="346" t="s">
        <v>113</v>
      </c>
      <c r="C35" s="347" t="s">
        <v>107</v>
      </c>
      <c r="D35" s="348"/>
      <c r="E35" s="27" t="s">
        <v>55</v>
      </c>
      <c r="F35" s="347" t="s">
        <v>114</v>
      </c>
      <c r="G35" s="347" t="s">
        <v>56</v>
      </c>
      <c r="H35" s="347"/>
      <c r="I35" s="349"/>
    </row>
    <row r="36" spans="1:10" ht="15" thickBot="1">
      <c r="B36" s="353"/>
      <c r="C36" s="354"/>
      <c r="D36" s="354"/>
      <c r="E36" s="362"/>
      <c r="F36" s="354"/>
      <c r="G36" s="354"/>
      <c r="H36" s="354"/>
      <c r="I36" s="355"/>
    </row>
    <row r="37" spans="1:10">
      <c r="A37" s="339" t="s">
        <v>115</v>
      </c>
      <c r="B37" s="343" t="s">
        <v>116</v>
      </c>
      <c r="C37" s="344" t="s">
        <v>44</v>
      </c>
      <c r="D37" s="344" t="s">
        <v>45</v>
      </c>
      <c r="E37" s="361" t="s">
        <v>46</v>
      </c>
      <c r="F37" s="344" t="s">
        <v>47</v>
      </c>
      <c r="G37" s="344" t="s">
        <v>48</v>
      </c>
      <c r="H37" s="344" t="s">
        <v>49</v>
      </c>
      <c r="I37" s="345" t="s">
        <v>50</v>
      </c>
    </row>
    <row r="38" spans="1:10">
      <c r="A38" s="339" t="s">
        <v>117</v>
      </c>
      <c r="B38" s="356" t="s">
        <v>118</v>
      </c>
      <c r="C38" s="347" t="s">
        <v>54</v>
      </c>
      <c r="D38" s="348">
        <v>2.278</v>
      </c>
      <c r="E38" s="27" t="s">
        <v>55</v>
      </c>
      <c r="F38" s="347" t="s">
        <v>76</v>
      </c>
      <c r="G38" s="370"/>
      <c r="H38" s="347"/>
      <c r="I38" s="349"/>
    </row>
    <row r="39" spans="1:10">
      <c r="A39" s="339" t="s">
        <v>117</v>
      </c>
      <c r="B39" s="356" t="s">
        <v>119</v>
      </c>
      <c r="C39" s="347" t="s">
        <v>54</v>
      </c>
      <c r="D39" s="348">
        <v>2.1110000000000002</v>
      </c>
      <c r="E39" s="27" t="s">
        <v>55</v>
      </c>
      <c r="F39" s="347" t="s">
        <v>120</v>
      </c>
      <c r="G39" s="347" t="s">
        <v>121</v>
      </c>
      <c r="H39" s="347" t="s">
        <v>74</v>
      </c>
      <c r="I39" s="349"/>
      <c r="J39" s="292" t="s">
        <v>122</v>
      </c>
    </row>
    <row r="40" spans="1:10">
      <c r="A40" s="339" t="s">
        <v>117</v>
      </c>
      <c r="B40" s="356" t="s">
        <v>123</v>
      </c>
      <c r="C40" s="347" t="s">
        <v>54</v>
      </c>
      <c r="D40" s="348">
        <v>1.833</v>
      </c>
      <c r="E40" s="27" t="s">
        <v>55</v>
      </c>
      <c r="F40" s="376" t="s">
        <v>91</v>
      </c>
      <c r="G40" s="347"/>
      <c r="H40" s="347"/>
      <c r="I40" s="349"/>
    </row>
    <row r="41" spans="1:10" ht="41.45" customHeight="1">
      <c r="A41" s="339" t="s">
        <v>117</v>
      </c>
      <c r="B41" s="357" t="s">
        <v>124</v>
      </c>
      <c r="C41" s="352" t="s">
        <v>54</v>
      </c>
      <c r="D41" s="348"/>
      <c r="E41" s="338" t="s">
        <v>125</v>
      </c>
      <c r="F41" s="347" t="s">
        <v>120</v>
      </c>
      <c r="G41" s="347" t="s">
        <v>121</v>
      </c>
      <c r="H41" s="376" t="s">
        <v>91</v>
      </c>
      <c r="I41" s="349"/>
      <c r="J41" s="292" t="s">
        <v>122</v>
      </c>
    </row>
    <row r="42" spans="1:10" ht="57.95">
      <c r="A42" s="339" t="s">
        <v>117</v>
      </c>
      <c r="B42" s="358" t="s">
        <v>126</v>
      </c>
      <c r="C42" s="352" t="s">
        <v>54</v>
      </c>
      <c r="D42" s="348"/>
      <c r="E42" s="338" t="s">
        <v>127</v>
      </c>
      <c r="F42" s="347" t="s">
        <v>121</v>
      </c>
      <c r="G42" s="376" t="s">
        <v>91</v>
      </c>
      <c r="H42" s="347"/>
      <c r="I42" s="349"/>
      <c r="J42" s="292" t="s">
        <v>128</v>
      </c>
    </row>
    <row r="43" spans="1:10" ht="29.1">
      <c r="A43" s="339" t="s">
        <v>117</v>
      </c>
      <c r="B43" s="356" t="s">
        <v>129</v>
      </c>
      <c r="C43" s="352" t="s">
        <v>54</v>
      </c>
      <c r="D43" s="348"/>
      <c r="E43" s="338" t="s">
        <v>130</v>
      </c>
      <c r="F43" s="347" t="s">
        <v>121</v>
      </c>
      <c r="G43" s="347"/>
      <c r="H43" s="347"/>
      <c r="I43" s="349"/>
      <c r="J43" s="292" t="s">
        <v>128</v>
      </c>
    </row>
    <row r="44" spans="1:10" ht="29.1">
      <c r="A44" s="339" t="s">
        <v>117</v>
      </c>
      <c r="B44" s="356" t="s">
        <v>131</v>
      </c>
      <c r="C44" s="352" t="s">
        <v>54</v>
      </c>
      <c r="D44" s="348"/>
      <c r="E44" s="338" t="s">
        <v>132</v>
      </c>
      <c r="F44" s="347" t="s">
        <v>91</v>
      </c>
      <c r="G44" s="347" t="s">
        <v>76</v>
      </c>
      <c r="H44" s="347"/>
      <c r="I44" s="349"/>
    </row>
    <row r="45" spans="1:10" ht="23.45" customHeight="1">
      <c r="A45" s="339" t="s">
        <v>117</v>
      </c>
      <c r="B45" s="356" t="s">
        <v>133</v>
      </c>
      <c r="C45" s="352" t="s">
        <v>54</v>
      </c>
      <c r="D45" s="348"/>
      <c r="E45" s="338" t="s">
        <v>134</v>
      </c>
      <c r="F45" s="347" t="s">
        <v>91</v>
      </c>
      <c r="G45" s="347" t="s">
        <v>76</v>
      </c>
      <c r="H45" s="347"/>
      <c r="I45" s="349"/>
    </row>
    <row r="46" spans="1:10" ht="39.6" customHeight="1">
      <c r="A46" s="339" t="s">
        <v>117</v>
      </c>
      <c r="B46" s="356" t="s">
        <v>135</v>
      </c>
      <c r="C46" s="352" t="s">
        <v>54</v>
      </c>
      <c r="D46" s="348"/>
      <c r="E46" s="338" t="s">
        <v>136</v>
      </c>
      <c r="F46" s="347" t="s">
        <v>91</v>
      </c>
      <c r="G46" s="347" t="s">
        <v>62</v>
      </c>
      <c r="H46" s="347"/>
      <c r="I46" s="349"/>
    </row>
    <row r="47" spans="1:10" ht="39.6" customHeight="1">
      <c r="A47" s="339" t="s">
        <v>117</v>
      </c>
      <c r="B47" s="356" t="s">
        <v>137</v>
      </c>
      <c r="C47" s="352" t="s">
        <v>54</v>
      </c>
      <c r="D47" s="348"/>
      <c r="E47" s="338" t="s">
        <v>138</v>
      </c>
      <c r="F47" s="347" t="s">
        <v>78</v>
      </c>
      <c r="G47" s="376" t="s">
        <v>69</v>
      </c>
      <c r="H47" s="347" t="s">
        <v>139</v>
      </c>
      <c r="I47" s="349"/>
    </row>
    <row r="48" spans="1:10" ht="29.1">
      <c r="A48" s="339" t="s">
        <v>117</v>
      </c>
      <c r="B48" s="356" t="s">
        <v>140</v>
      </c>
      <c r="C48" s="352" t="s">
        <v>54</v>
      </c>
      <c r="D48" s="348"/>
      <c r="E48" s="27" t="s">
        <v>141</v>
      </c>
      <c r="F48" s="347" t="s">
        <v>56</v>
      </c>
      <c r="G48" s="347"/>
      <c r="H48" s="347"/>
      <c r="I48" s="349"/>
    </row>
    <row r="49" spans="1:9">
      <c r="A49" s="339" t="s">
        <v>117</v>
      </c>
      <c r="B49" s="356" t="s">
        <v>142</v>
      </c>
      <c r="C49" s="352" t="s">
        <v>54</v>
      </c>
      <c r="D49" s="348"/>
      <c r="E49" s="27" t="s">
        <v>143</v>
      </c>
      <c r="F49" s="347" t="s">
        <v>56</v>
      </c>
      <c r="G49" s="347"/>
      <c r="H49" s="347"/>
      <c r="I49" s="349"/>
    </row>
    <row r="50" spans="1:9" ht="29.1">
      <c r="A50" s="339" t="s">
        <v>117</v>
      </c>
      <c r="B50" s="356" t="s">
        <v>144</v>
      </c>
      <c r="C50" s="351" t="s">
        <v>107</v>
      </c>
      <c r="D50" s="348">
        <v>2.1669999999999998</v>
      </c>
      <c r="E50" s="337" t="s">
        <v>145</v>
      </c>
      <c r="F50" s="347"/>
      <c r="G50" s="347"/>
      <c r="H50" s="347"/>
      <c r="I50" s="349"/>
    </row>
    <row r="51" spans="1:9" ht="29.1">
      <c r="A51" s="339" t="s">
        <v>117</v>
      </c>
      <c r="B51" s="356" t="s">
        <v>146</v>
      </c>
      <c r="C51" s="378" t="s">
        <v>54</v>
      </c>
      <c r="D51" s="348">
        <v>2.1110000000000002</v>
      </c>
      <c r="E51" s="379" t="s">
        <v>147</v>
      </c>
      <c r="F51" s="347"/>
      <c r="G51" s="347"/>
      <c r="H51" s="347"/>
      <c r="I51" s="349"/>
    </row>
    <row r="52" spans="1:9" ht="29.1">
      <c r="A52" s="339" t="s">
        <v>117</v>
      </c>
      <c r="B52" s="356" t="s">
        <v>148</v>
      </c>
      <c r="C52" s="378" t="s">
        <v>54</v>
      </c>
      <c r="D52" s="348">
        <v>2</v>
      </c>
      <c r="E52" s="379" t="s">
        <v>145</v>
      </c>
      <c r="F52" s="347"/>
      <c r="G52" s="347"/>
      <c r="H52" s="347"/>
      <c r="I52" s="349"/>
    </row>
    <row r="53" spans="1:9" ht="29.1">
      <c r="A53" s="339" t="s">
        <v>117</v>
      </c>
      <c r="B53" s="356" t="s">
        <v>149</v>
      </c>
      <c r="C53" s="351" t="s">
        <v>107</v>
      </c>
      <c r="D53" s="348">
        <v>2</v>
      </c>
      <c r="E53" s="337" t="s">
        <v>145</v>
      </c>
      <c r="F53" s="347"/>
      <c r="G53" s="347"/>
      <c r="H53" s="347"/>
      <c r="I53" s="349"/>
    </row>
    <row r="54" spans="1:9" ht="29.1">
      <c r="A54" s="339" t="s">
        <v>117</v>
      </c>
      <c r="B54" s="356" t="s">
        <v>150</v>
      </c>
      <c r="C54" s="378" t="s">
        <v>54</v>
      </c>
      <c r="D54" s="348">
        <v>2</v>
      </c>
      <c r="E54" s="379" t="s">
        <v>151</v>
      </c>
      <c r="F54" s="347"/>
      <c r="G54" s="347"/>
      <c r="H54" s="347"/>
      <c r="I54" s="349"/>
    </row>
    <row r="55" spans="1:9" ht="29.1">
      <c r="A55" s="339" t="s">
        <v>117</v>
      </c>
      <c r="B55" s="356" t="s">
        <v>152</v>
      </c>
      <c r="C55" s="378" t="s">
        <v>54</v>
      </c>
      <c r="D55" s="348">
        <v>2</v>
      </c>
      <c r="E55" s="379" t="s">
        <v>153</v>
      </c>
      <c r="F55" s="347"/>
      <c r="G55" s="347"/>
      <c r="H55" s="347"/>
      <c r="I55" s="349"/>
    </row>
    <row r="56" spans="1:9" ht="29.1">
      <c r="A56" s="339" t="s">
        <v>117</v>
      </c>
      <c r="B56" s="356" t="s">
        <v>154</v>
      </c>
      <c r="C56" s="351" t="s">
        <v>107</v>
      </c>
      <c r="D56" s="348">
        <v>2</v>
      </c>
      <c r="E56" s="337" t="s">
        <v>153</v>
      </c>
      <c r="F56" s="347"/>
      <c r="G56" s="347"/>
      <c r="H56" s="347"/>
      <c r="I56" s="349"/>
    </row>
    <row r="57" spans="1:9" ht="29.1">
      <c r="A57" s="339" t="s">
        <v>117</v>
      </c>
      <c r="B57" s="356" t="s">
        <v>155</v>
      </c>
      <c r="C57" s="351" t="s">
        <v>107</v>
      </c>
      <c r="D57" s="348">
        <v>2</v>
      </c>
      <c r="E57" s="337" t="s">
        <v>153</v>
      </c>
      <c r="F57" s="347"/>
      <c r="G57" s="347"/>
      <c r="H57" s="347"/>
      <c r="I57" s="349"/>
    </row>
    <row r="58" spans="1:9" ht="29.1">
      <c r="A58" s="339" t="s">
        <v>117</v>
      </c>
      <c r="B58" s="356" t="s">
        <v>156</v>
      </c>
      <c r="C58" s="351" t="s">
        <v>107</v>
      </c>
      <c r="D58" s="348">
        <v>1.833</v>
      </c>
      <c r="E58" s="337" t="s">
        <v>157</v>
      </c>
      <c r="F58" s="347"/>
      <c r="G58" s="347"/>
      <c r="H58" s="347"/>
      <c r="I58" s="349"/>
    </row>
    <row r="59" spans="1:9" ht="29.1">
      <c r="A59" s="339" t="s">
        <v>117</v>
      </c>
      <c r="B59" s="356" t="s">
        <v>158</v>
      </c>
      <c r="C59" s="351" t="s">
        <v>107</v>
      </c>
      <c r="D59" s="348">
        <v>1.833</v>
      </c>
      <c r="E59" s="337" t="s">
        <v>153</v>
      </c>
      <c r="F59" s="347"/>
      <c r="G59" s="347"/>
      <c r="H59" s="347"/>
      <c r="I59" s="349"/>
    </row>
    <row r="60" spans="1:9" ht="29.1">
      <c r="A60" s="339" t="s">
        <v>117</v>
      </c>
      <c r="B60" s="356" t="s">
        <v>159</v>
      </c>
      <c r="C60" s="351" t="s">
        <v>107</v>
      </c>
      <c r="D60" s="348">
        <v>1.833</v>
      </c>
      <c r="E60" s="337" t="s">
        <v>153</v>
      </c>
      <c r="F60" s="347"/>
      <c r="G60" s="347"/>
      <c r="H60" s="347"/>
      <c r="I60" s="349"/>
    </row>
    <row r="61" spans="1:9">
      <c r="A61" s="339" t="s">
        <v>117</v>
      </c>
      <c r="B61" s="356" t="s">
        <v>160</v>
      </c>
      <c r="C61" s="351" t="s">
        <v>107</v>
      </c>
      <c r="D61" s="348"/>
      <c r="E61" s="363" t="s">
        <v>161</v>
      </c>
      <c r="F61" s="347"/>
      <c r="G61" s="347"/>
      <c r="H61" s="347"/>
      <c r="I61" s="349"/>
    </row>
    <row r="62" spans="1:9">
      <c r="A62" s="339" t="s">
        <v>117</v>
      </c>
      <c r="B62" s="356" t="s">
        <v>162</v>
      </c>
      <c r="C62" s="351" t="s">
        <v>107</v>
      </c>
      <c r="D62" s="348"/>
      <c r="E62" s="363" t="s">
        <v>161</v>
      </c>
      <c r="F62" s="347"/>
      <c r="G62" s="347"/>
      <c r="H62" s="347"/>
      <c r="I62" s="349"/>
    </row>
    <row r="63" spans="1:9">
      <c r="A63" s="339" t="s">
        <v>117</v>
      </c>
      <c r="B63" s="356" t="s">
        <v>163</v>
      </c>
      <c r="C63" s="351" t="s">
        <v>107</v>
      </c>
      <c r="D63" s="348"/>
      <c r="E63" s="363" t="s">
        <v>161</v>
      </c>
      <c r="F63" s="347"/>
      <c r="G63" s="347"/>
      <c r="H63" s="347"/>
      <c r="I63" s="349"/>
    </row>
    <row r="64" spans="1:9">
      <c r="A64" s="339" t="s">
        <v>117</v>
      </c>
      <c r="B64" s="356" t="s">
        <v>164</v>
      </c>
      <c r="C64" s="347"/>
      <c r="D64" s="348"/>
      <c r="E64" s="27" t="s">
        <v>55</v>
      </c>
      <c r="F64" s="347" t="s">
        <v>91</v>
      </c>
      <c r="G64" s="347" t="s">
        <v>76</v>
      </c>
      <c r="H64" s="347"/>
      <c r="I64" s="349"/>
    </row>
    <row r="65" spans="1:9">
      <c r="A65" s="339" t="s">
        <v>117</v>
      </c>
      <c r="B65" s="356" t="s">
        <v>165</v>
      </c>
      <c r="C65" s="347"/>
      <c r="D65" s="348"/>
      <c r="E65" s="27" t="s">
        <v>55</v>
      </c>
      <c r="F65" s="347" t="s">
        <v>56</v>
      </c>
      <c r="G65" s="347"/>
      <c r="H65" s="347"/>
      <c r="I65" s="349"/>
    </row>
    <row r="66" spans="1:9">
      <c r="A66" s="339" t="s">
        <v>117</v>
      </c>
      <c r="B66" s="356" t="s">
        <v>166</v>
      </c>
      <c r="C66" s="347"/>
      <c r="D66" s="348"/>
      <c r="E66" s="27" t="s">
        <v>55</v>
      </c>
      <c r="F66" s="347" t="s">
        <v>78</v>
      </c>
      <c r="G66" s="376" t="s">
        <v>69</v>
      </c>
      <c r="H66" s="347"/>
      <c r="I66" s="349"/>
    </row>
    <row r="67" spans="1:9">
      <c r="A67" s="339" t="s">
        <v>117</v>
      </c>
      <c r="B67" s="356" t="s">
        <v>167</v>
      </c>
      <c r="C67" s="347"/>
      <c r="D67" s="348"/>
      <c r="E67" s="27" t="s">
        <v>55</v>
      </c>
      <c r="F67" s="347" t="s">
        <v>78</v>
      </c>
      <c r="G67" s="376" t="s">
        <v>69</v>
      </c>
      <c r="H67" s="347"/>
      <c r="I67" s="349"/>
    </row>
    <row r="68" spans="1:9">
      <c r="A68" s="339" t="s">
        <v>117</v>
      </c>
      <c r="B68" s="356" t="s">
        <v>168</v>
      </c>
      <c r="C68" s="347"/>
      <c r="D68" s="348"/>
      <c r="E68" s="27" t="s">
        <v>55</v>
      </c>
      <c r="F68" s="347" t="s">
        <v>74</v>
      </c>
      <c r="G68" s="347"/>
      <c r="H68" s="347"/>
      <c r="I68" s="349"/>
    </row>
    <row r="69" spans="1:9">
      <c r="A69" s="339" t="s">
        <v>117</v>
      </c>
      <c r="B69" s="356" t="s">
        <v>169</v>
      </c>
      <c r="C69" s="347"/>
      <c r="D69" s="348"/>
      <c r="E69" s="27" t="s">
        <v>55</v>
      </c>
      <c r="F69" s="347"/>
      <c r="G69" s="347"/>
      <c r="H69" s="347"/>
      <c r="I69" s="349"/>
    </row>
    <row r="70" spans="1:9">
      <c r="A70" s="339" t="s">
        <v>117</v>
      </c>
      <c r="B70" s="356" t="s">
        <v>170</v>
      </c>
      <c r="C70" s="347"/>
      <c r="D70" s="348"/>
      <c r="E70" s="27" t="s">
        <v>55</v>
      </c>
      <c r="F70" s="347"/>
      <c r="G70" s="347"/>
      <c r="H70" s="347"/>
      <c r="I70" s="349"/>
    </row>
    <row r="71" spans="1:9">
      <c r="A71" s="339" t="s">
        <v>117</v>
      </c>
      <c r="B71" s="1" t="s">
        <v>171</v>
      </c>
      <c r="C71" s="347"/>
      <c r="D71" s="348"/>
      <c r="E71" s="27" t="s">
        <v>55</v>
      </c>
      <c r="F71" s="347" t="s">
        <v>74</v>
      </c>
      <c r="G71" s="347"/>
      <c r="H71" s="347"/>
      <c r="I71" s="349"/>
    </row>
    <row r="72" spans="1:9">
      <c r="A72" s="339" t="s">
        <v>117</v>
      </c>
      <c r="B72" s="356" t="s">
        <v>172</v>
      </c>
      <c r="C72" s="347"/>
      <c r="D72" s="348"/>
      <c r="E72" s="27" t="s">
        <v>55</v>
      </c>
      <c r="F72" s="347" t="s">
        <v>121</v>
      </c>
      <c r="G72" s="347" t="s">
        <v>74</v>
      </c>
      <c r="H72" s="347"/>
      <c r="I72" s="349"/>
    </row>
    <row r="73" spans="1:9">
      <c r="A73" s="339" t="s">
        <v>117</v>
      </c>
      <c r="B73" s="356" t="s">
        <v>173</v>
      </c>
      <c r="C73" s="347"/>
      <c r="D73" s="348"/>
      <c r="E73" s="27" t="s">
        <v>55</v>
      </c>
      <c r="F73" s="347" t="s">
        <v>174</v>
      </c>
      <c r="G73" s="347"/>
      <c r="H73" s="347"/>
      <c r="I73" s="349"/>
    </row>
    <row r="74" spans="1:9">
      <c r="A74" s="339" t="s">
        <v>117</v>
      </c>
      <c r="B74" s="356" t="s">
        <v>175</v>
      </c>
      <c r="C74" s="347"/>
      <c r="D74" s="348"/>
      <c r="E74" s="27" t="s">
        <v>55</v>
      </c>
      <c r="F74" s="347"/>
      <c r="G74" s="347"/>
      <c r="H74" s="347"/>
      <c r="I74" s="349"/>
    </row>
    <row r="75" spans="1:9">
      <c r="A75" s="339" t="s">
        <v>117</v>
      </c>
      <c r="B75" s="356" t="s">
        <v>176</v>
      </c>
      <c r="C75" s="347"/>
      <c r="D75" s="348"/>
      <c r="E75" s="27" t="s">
        <v>55</v>
      </c>
      <c r="F75" s="347"/>
      <c r="G75" s="347"/>
      <c r="H75" s="347"/>
      <c r="I75" s="349"/>
    </row>
    <row r="76" spans="1:9">
      <c r="A76" s="339" t="s">
        <v>117</v>
      </c>
      <c r="B76" s="356" t="s">
        <v>177</v>
      </c>
      <c r="C76" s="347"/>
      <c r="D76" s="348"/>
      <c r="E76" s="27" t="s">
        <v>55</v>
      </c>
      <c r="F76" s="347" t="s">
        <v>76</v>
      </c>
      <c r="G76" s="347"/>
      <c r="H76" s="347"/>
      <c r="I76" s="349"/>
    </row>
    <row r="77" spans="1:9">
      <c r="A77" s="339" t="s">
        <v>117</v>
      </c>
      <c r="B77" s="356" t="s">
        <v>178</v>
      </c>
      <c r="C77" s="347"/>
      <c r="D77" s="348"/>
      <c r="E77" s="27" t="s">
        <v>55</v>
      </c>
      <c r="F77" s="347"/>
      <c r="G77" s="347"/>
      <c r="H77" s="347"/>
      <c r="I77" s="349"/>
    </row>
    <row r="78" spans="1:9">
      <c r="A78" s="339" t="s">
        <v>117</v>
      </c>
      <c r="B78" s="356" t="s">
        <v>179</v>
      </c>
      <c r="C78" s="347"/>
      <c r="D78" s="348"/>
      <c r="E78" s="27" t="s">
        <v>55</v>
      </c>
      <c r="F78" s="347"/>
      <c r="G78" s="347"/>
      <c r="H78" s="347"/>
      <c r="I78" s="349"/>
    </row>
    <row r="79" spans="1:9">
      <c r="A79" s="339" t="s">
        <v>117</v>
      </c>
      <c r="B79" s="356" t="s">
        <v>180</v>
      </c>
      <c r="C79" s="347"/>
      <c r="D79" s="348"/>
      <c r="E79" s="27" t="s">
        <v>55</v>
      </c>
      <c r="F79" s="347"/>
      <c r="G79" s="347"/>
      <c r="H79" s="347"/>
      <c r="I79" s="349"/>
    </row>
    <row r="80" spans="1:9">
      <c r="A80" s="339" t="s">
        <v>117</v>
      </c>
      <c r="B80" s="356" t="s">
        <v>181</v>
      </c>
      <c r="C80" s="347"/>
      <c r="D80" s="348"/>
      <c r="E80" s="27" t="s">
        <v>55</v>
      </c>
      <c r="F80" s="347"/>
      <c r="G80" s="347"/>
      <c r="H80" s="347"/>
      <c r="I80" s="349"/>
    </row>
    <row r="81" spans="1:9">
      <c r="A81" s="339" t="s">
        <v>117</v>
      </c>
      <c r="B81" s="356" t="s">
        <v>182</v>
      </c>
      <c r="C81" s="347"/>
      <c r="D81" s="348"/>
      <c r="E81" s="27" t="s">
        <v>55</v>
      </c>
      <c r="F81" s="347"/>
      <c r="G81" s="347"/>
      <c r="H81" s="347"/>
      <c r="I81" s="349"/>
    </row>
    <row r="82" spans="1:9">
      <c r="A82" s="339" t="s">
        <v>117</v>
      </c>
      <c r="B82" s="1" t="s">
        <v>183</v>
      </c>
      <c r="C82" s="347"/>
      <c r="D82" s="348"/>
      <c r="E82" s="27" t="s">
        <v>55</v>
      </c>
      <c r="F82" s="347"/>
      <c r="G82" s="347"/>
      <c r="H82" s="347"/>
      <c r="I82" s="349"/>
    </row>
    <row r="83" spans="1:9">
      <c r="A83" s="339" t="s">
        <v>117</v>
      </c>
      <c r="B83" s="356" t="s">
        <v>184</v>
      </c>
      <c r="C83" s="347"/>
      <c r="D83" s="348"/>
      <c r="E83" s="27" t="s">
        <v>55</v>
      </c>
      <c r="F83" s="347"/>
      <c r="G83" s="347"/>
      <c r="H83" s="347"/>
      <c r="I83" s="349"/>
    </row>
    <row r="84" spans="1:9">
      <c r="A84" s="339" t="s">
        <v>117</v>
      </c>
      <c r="B84" s="356" t="s">
        <v>185</v>
      </c>
      <c r="C84" s="347"/>
      <c r="D84" s="348"/>
      <c r="E84" s="27" t="s">
        <v>55</v>
      </c>
      <c r="F84" s="347"/>
      <c r="G84" s="347"/>
      <c r="H84" s="347"/>
      <c r="I84" s="349"/>
    </row>
    <row r="85" spans="1:9">
      <c r="A85" s="339" t="s">
        <v>117</v>
      </c>
      <c r="B85" s="1" t="s">
        <v>186</v>
      </c>
      <c r="C85" s="347"/>
      <c r="D85" s="348"/>
      <c r="E85" s="27" t="s">
        <v>55</v>
      </c>
      <c r="F85" s="347"/>
      <c r="G85" s="347"/>
      <c r="H85" s="347"/>
      <c r="I85" s="349"/>
    </row>
    <row r="86" spans="1:9">
      <c r="A86" s="339" t="s">
        <v>117</v>
      </c>
      <c r="B86" s="356" t="s">
        <v>187</v>
      </c>
      <c r="C86" s="347"/>
      <c r="D86" s="348"/>
      <c r="E86" s="27" t="s">
        <v>55</v>
      </c>
      <c r="F86" s="347"/>
      <c r="G86" s="347"/>
      <c r="H86" s="347"/>
      <c r="I86" s="349"/>
    </row>
    <row r="87" spans="1:9">
      <c r="A87" s="339" t="s">
        <v>117</v>
      </c>
      <c r="B87" s="356" t="s">
        <v>188</v>
      </c>
      <c r="C87" s="347"/>
      <c r="D87" s="348"/>
      <c r="E87" s="27" t="s">
        <v>55</v>
      </c>
      <c r="F87" s="347"/>
      <c r="G87" s="347"/>
      <c r="H87" s="347"/>
      <c r="I87" s="349"/>
    </row>
    <row r="88" spans="1:9">
      <c r="A88" s="339" t="s">
        <v>117</v>
      </c>
      <c r="B88" s="356" t="s">
        <v>189</v>
      </c>
      <c r="C88" s="347"/>
      <c r="D88" s="348"/>
      <c r="E88" s="27" t="s">
        <v>55</v>
      </c>
      <c r="F88" s="347"/>
      <c r="G88" s="347"/>
      <c r="H88" s="347"/>
      <c r="I88" s="349"/>
    </row>
    <row r="89" spans="1:9">
      <c r="A89" s="339" t="s">
        <v>117</v>
      </c>
      <c r="B89" s="356" t="s">
        <v>190</v>
      </c>
      <c r="C89" s="347"/>
      <c r="D89" s="348"/>
      <c r="E89" s="27" t="s">
        <v>55</v>
      </c>
      <c r="F89" s="347" t="s">
        <v>65</v>
      </c>
      <c r="G89" s="347"/>
      <c r="H89" s="347"/>
      <c r="I89" s="349"/>
    </row>
    <row r="90" spans="1:9">
      <c r="A90" s="339" t="s">
        <v>117</v>
      </c>
      <c r="B90" s="356" t="s">
        <v>191</v>
      </c>
      <c r="C90" s="347"/>
      <c r="D90" s="348"/>
      <c r="E90" s="27" t="s">
        <v>55</v>
      </c>
      <c r="H90" s="347"/>
      <c r="I90" s="349"/>
    </row>
    <row r="91" spans="1:9">
      <c r="A91" s="339" t="s">
        <v>117</v>
      </c>
      <c r="B91" s="356" t="s">
        <v>192</v>
      </c>
      <c r="C91" s="347"/>
      <c r="D91" s="348"/>
      <c r="E91" s="27" t="s">
        <v>55</v>
      </c>
      <c r="F91" s="347" t="s">
        <v>78</v>
      </c>
      <c r="G91" s="347" t="s">
        <v>193</v>
      </c>
      <c r="H91" s="347"/>
      <c r="I91" s="349"/>
    </row>
    <row r="92" spans="1:9">
      <c r="A92" s="339" t="s">
        <v>117</v>
      </c>
      <c r="B92" s="356" t="s">
        <v>194</v>
      </c>
      <c r="C92" s="347"/>
      <c r="D92" s="348"/>
      <c r="E92" s="27" t="s">
        <v>55</v>
      </c>
      <c r="F92" s="347" t="s">
        <v>174</v>
      </c>
      <c r="G92" s="347"/>
      <c r="H92" s="347"/>
      <c r="I92" s="349"/>
    </row>
    <row r="93" spans="1:9">
      <c r="A93" s="339" t="s">
        <v>117</v>
      </c>
      <c r="B93" s="356" t="s">
        <v>195</v>
      </c>
      <c r="C93" s="347"/>
      <c r="D93" s="348"/>
      <c r="E93" s="27" t="s">
        <v>55</v>
      </c>
      <c r="F93" s="347"/>
      <c r="G93" s="347"/>
      <c r="H93" s="347"/>
      <c r="I93" s="349"/>
    </row>
    <row r="94" spans="1:9">
      <c r="A94" s="339" t="s">
        <v>117</v>
      </c>
      <c r="B94" s="356" t="s">
        <v>196</v>
      </c>
      <c r="C94" s="347"/>
      <c r="D94" s="348"/>
      <c r="E94" s="27" t="s">
        <v>55</v>
      </c>
      <c r="F94" s="347"/>
      <c r="G94" s="347"/>
      <c r="H94" s="347"/>
      <c r="I94" s="349"/>
    </row>
    <row r="95" spans="1:9">
      <c r="A95" s="339" t="s">
        <v>117</v>
      </c>
      <c r="B95" s="356" t="s">
        <v>197</v>
      </c>
      <c r="C95" s="347"/>
      <c r="D95" s="348"/>
      <c r="E95" s="27" t="s">
        <v>55</v>
      </c>
      <c r="F95" s="347"/>
      <c r="G95" s="347"/>
      <c r="H95" s="347"/>
      <c r="I95" s="349"/>
    </row>
    <row r="96" spans="1:9">
      <c r="A96" s="339" t="s">
        <v>198</v>
      </c>
      <c r="B96" s="356" t="s">
        <v>199</v>
      </c>
      <c r="C96" s="347" t="s">
        <v>54</v>
      </c>
      <c r="D96" s="348">
        <v>2.3330000000000002</v>
      </c>
      <c r="E96" s="27" t="s">
        <v>55</v>
      </c>
      <c r="F96" s="347" t="s">
        <v>200</v>
      </c>
      <c r="G96" s="347"/>
      <c r="H96" s="347"/>
      <c r="I96" s="349" t="s">
        <v>201</v>
      </c>
    </row>
    <row r="97" spans="1:9">
      <c r="A97" s="339" t="s">
        <v>198</v>
      </c>
      <c r="B97" s="356" t="s">
        <v>202</v>
      </c>
      <c r="C97" s="347" t="s">
        <v>54</v>
      </c>
      <c r="D97" s="348">
        <v>2.1669999999999998</v>
      </c>
      <c r="E97" s="27" t="s">
        <v>55</v>
      </c>
      <c r="F97" s="347" t="s">
        <v>68</v>
      </c>
      <c r="G97" s="347" t="s">
        <v>78</v>
      </c>
      <c r="H97" s="347" t="s">
        <v>69</v>
      </c>
      <c r="I97" s="349" t="s">
        <v>203</v>
      </c>
    </row>
    <row r="98" spans="1:9">
      <c r="A98" s="339" t="s">
        <v>198</v>
      </c>
      <c r="B98" s="356" t="s">
        <v>204</v>
      </c>
      <c r="C98" s="347" t="s">
        <v>54</v>
      </c>
      <c r="D98" s="348"/>
      <c r="E98" s="27" t="s">
        <v>55</v>
      </c>
      <c r="F98" s="347" t="s">
        <v>74</v>
      </c>
      <c r="G98" s="347" t="s">
        <v>205</v>
      </c>
      <c r="H98" s="347"/>
      <c r="I98" s="349" t="s">
        <v>206</v>
      </c>
    </row>
    <row r="99" spans="1:9">
      <c r="A99" s="339" t="s">
        <v>198</v>
      </c>
      <c r="B99" s="356" t="s">
        <v>207</v>
      </c>
      <c r="C99" s="347" t="s">
        <v>54</v>
      </c>
      <c r="D99" s="348"/>
      <c r="E99" s="27" t="s">
        <v>55</v>
      </c>
      <c r="F99" s="347" t="s">
        <v>200</v>
      </c>
      <c r="G99" s="347" t="s">
        <v>92</v>
      </c>
      <c r="H99" s="376" t="s">
        <v>91</v>
      </c>
      <c r="I99" s="349" t="s">
        <v>208</v>
      </c>
    </row>
    <row r="100" spans="1:9">
      <c r="A100" s="339" t="s">
        <v>198</v>
      </c>
      <c r="B100" s="356" t="s">
        <v>209</v>
      </c>
      <c r="C100" s="347" t="s">
        <v>54</v>
      </c>
      <c r="D100" s="348"/>
      <c r="E100" s="27" t="s">
        <v>55</v>
      </c>
      <c r="F100" s="347" t="s">
        <v>56</v>
      </c>
      <c r="G100" s="347" t="s">
        <v>92</v>
      </c>
      <c r="H100" s="347" t="s">
        <v>69</v>
      </c>
      <c r="I100" s="349" t="s">
        <v>210</v>
      </c>
    </row>
    <row r="101" spans="1:9">
      <c r="A101" s="339" t="s">
        <v>198</v>
      </c>
      <c r="B101" s="359" t="s">
        <v>211</v>
      </c>
      <c r="C101" s="352" t="s">
        <v>54</v>
      </c>
      <c r="D101" s="348"/>
      <c r="E101" s="338" t="s">
        <v>212</v>
      </c>
      <c r="F101" s="347" t="s">
        <v>205</v>
      </c>
      <c r="G101" s="347"/>
      <c r="H101" s="347"/>
      <c r="I101" s="349" t="s">
        <v>210</v>
      </c>
    </row>
    <row r="102" spans="1:9">
      <c r="A102" s="339" t="s">
        <v>198</v>
      </c>
      <c r="B102" s="359" t="s">
        <v>213</v>
      </c>
      <c r="C102" s="352" t="s">
        <v>54</v>
      </c>
      <c r="D102" s="348"/>
      <c r="E102" s="338" t="s">
        <v>212</v>
      </c>
      <c r="F102" s="347" t="s">
        <v>74</v>
      </c>
      <c r="G102" s="347" t="s">
        <v>205</v>
      </c>
      <c r="H102" s="347"/>
      <c r="I102" s="349" t="s">
        <v>214</v>
      </c>
    </row>
    <row r="103" spans="1:9">
      <c r="A103" s="339" t="s">
        <v>198</v>
      </c>
      <c r="B103" s="359" t="s">
        <v>215</v>
      </c>
      <c r="C103" s="352" t="s">
        <v>54</v>
      </c>
      <c r="D103" s="348"/>
      <c r="E103" s="338" t="s">
        <v>212</v>
      </c>
      <c r="F103" s="347" t="s">
        <v>56</v>
      </c>
      <c r="G103" s="347" t="s">
        <v>92</v>
      </c>
      <c r="H103" s="347"/>
      <c r="I103" s="349" t="s">
        <v>208</v>
      </c>
    </row>
    <row r="104" spans="1:9">
      <c r="A104" s="339" t="s">
        <v>198</v>
      </c>
      <c r="B104" s="359" t="s">
        <v>216</v>
      </c>
      <c r="C104" s="352" t="s">
        <v>54</v>
      </c>
      <c r="D104" s="348"/>
      <c r="E104" s="338" t="s">
        <v>217</v>
      </c>
      <c r="F104" s="347" t="s">
        <v>56</v>
      </c>
      <c r="G104" s="347" t="s">
        <v>92</v>
      </c>
      <c r="H104" s="347"/>
      <c r="I104" s="349" t="s">
        <v>218</v>
      </c>
    </row>
    <row r="105" spans="1:9">
      <c r="A105" s="339" t="s">
        <v>198</v>
      </c>
      <c r="B105" s="359" t="s">
        <v>219</v>
      </c>
      <c r="C105" s="352" t="s">
        <v>54</v>
      </c>
      <c r="D105" s="348"/>
      <c r="E105" s="338" t="s">
        <v>220</v>
      </c>
      <c r="F105" s="347" t="s">
        <v>205</v>
      </c>
      <c r="G105" s="347" t="s">
        <v>65</v>
      </c>
      <c r="H105" s="347" t="s">
        <v>69</v>
      </c>
      <c r="I105" s="349" t="s">
        <v>221</v>
      </c>
    </row>
    <row r="106" spans="1:9">
      <c r="A106" s="339" t="s">
        <v>198</v>
      </c>
      <c r="B106" s="359" t="s">
        <v>222</v>
      </c>
      <c r="C106" s="352" t="s">
        <v>54</v>
      </c>
      <c r="D106" s="348"/>
      <c r="E106" s="367" t="s">
        <v>223</v>
      </c>
      <c r="F106" s="347" t="s">
        <v>224</v>
      </c>
      <c r="G106" s="347" t="s">
        <v>56</v>
      </c>
      <c r="H106" s="347"/>
      <c r="I106" s="349" t="s">
        <v>225</v>
      </c>
    </row>
    <row r="107" spans="1:9">
      <c r="A107" s="339" t="s">
        <v>198</v>
      </c>
      <c r="B107" s="359" t="s">
        <v>226</v>
      </c>
      <c r="C107" s="352" t="s">
        <v>54</v>
      </c>
      <c r="D107" s="348"/>
      <c r="E107" s="338" t="s">
        <v>227</v>
      </c>
      <c r="F107" s="347" t="s">
        <v>65</v>
      </c>
      <c r="G107" s="347" t="s">
        <v>69</v>
      </c>
      <c r="H107" s="347" t="s">
        <v>92</v>
      </c>
      <c r="I107" s="349" t="s">
        <v>228</v>
      </c>
    </row>
    <row r="108" spans="1:9">
      <c r="A108" s="339" t="s">
        <v>198</v>
      </c>
      <c r="B108" s="359" t="s">
        <v>229</v>
      </c>
      <c r="C108" s="352" t="s">
        <v>54</v>
      </c>
      <c r="D108" s="348"/>
      <c r="E108" s="338" t="s">
        <v>230</v>
      </c>
      <c r="F108" s="347" t="s">
        <v>74</v>
      </c>
      <c r="G108" s="347" t="s">
        <v>69</v>
      </c>
      <c r="H108" s="347"/>
      <c r="I108" s="349" t="s">
        <v>231</v>
      </c>
    </row>
    <row r="109" spans="1:9" ht="29.1">
      <c r="A109" s="339" t="s">
        <v>198</v>
      </c>
      <c r="B109" s="359" t="s">
        <v>232</v>
      </c>
      <c r="C109" s="352" t="s">
        <v>54</v>
      </c>
      <c r="D109" s="348"/>
      <c r="E109" s="338" t="s">
        <v>233</v>
      </c>
      <c r="F109" s="347" t="s">
        <v>65</v>
      </c>
      <c r="G109" s="347" t="s">
        <v>69</v>
      </c>
      <c r="H109" s="347"/>
      <c r="I109" s="349"/>
    </row>
    <row r="110" spans="1:9" ht="29.1">
      <c r="A110" s="339" t="s">
        <v>198</v>
      </c>
      <c r="B110" s="359" t="s">
        <v>234</v>
      </c>
      <c r="C110" s="352" t="s">
        <v>54</v>
      </c>
      <c r="D110" s="348"/>
      <c r="E110" s="338" t="s">
        <v>235</v>
      </c>
      <c r="F110" s="347" t="s">
        <v>205</v>
      </c>
      <c r="G110" s="347" t="s">
        <v>65</v>
      </c>
      <c r="H110" s="347" t="s">
        <v>69</v>
      </c>
      <c r="I110" s="349" t="s">
        <v>231</v>
      </c>
    </row>
    <row r="111" spans="1:9">
      <c r="A111" s="339" t="s">
        <v>236</v>
      </c>
      <c r="B111" s="356" t="s">
        <v>237</v>
      </c>
      <c r="C111" s="347" t="s">
        <v>54</v>
      </c>
      <c r="D111" s="348">
        <v>2</v>
      </c>
      <c r="E111" s="27" t="s">
        <v>55</v>
      </c>
      <c r="F111" s="347" t="s">
        <v>92</v>
      </c>
      <c r="G111" s="347"/>
      <c r="H111" s="347"/>
      <c r="I111" s="349"/>
    </row>
    <row r="112" spans="1:9">
      <c r="A112" s="339" t="s">
        <v>236</v>
      </c>
      <c r="B112" s="356" t="s">
        <v>238</v>
      </c>
      <c r="C112" s="347" t="s">
        <v>54</v>
      </c>
      <c r="D112" s="348">
        <v>2</v>
      </c>
      <c r="E112" s="27" t="s">
        <v>55</v>
      </c>
      <c r="F112" s="347" t="s">
        <v>239</v>
      </c>
      <c r="G112" s="376" t="s">
        <v>69</v>
      </c>
      <c r="H112" s="347"/>
      <c r="I112" s="349"/>
    </row>
    <row r="113" spans="1:9">
      <c r="A113" s="339" t="s">
        <v>236</v>
      </c>
      <c r="B113" s="356" t="s">
        <v>240</v>
      </c>
      <c r="C113" s="347" t="s">
        <v>54</v>
      </c>
      <c r="D113" s="348">
        <v>1.833</v>
      </c>
      <c r="E113" s="27" t="s">
        <v>55</v>
      </c>
      <c r="F113" s="347" t="s">
        <v>241</v>
      </c>
      <c r="G113" s="347"/>
      <c r="H113" s="347"/>
      <c r="I113" s="349"/>
    </row>
    <row r="114" spans="1:9" ht="29.1">
      <c r="A114" s="339" t="s">
        <v>236</v>
      </c>
      <c r="B114" s="357" t="s">
        <v>242</v>
      </c>
      <c r="C114" s="352" t="s">
        <v>54</v>
      </c>
      <c r="D114" s="348"/>
      <c r="E114" s="338" t="s">
        <v>243</v>
      </c>
      <c r="F114" s="347" t="s">
        <v>174</v>
      </c>
      <c r="G114" s="376" t="s">
        <v>76</v>
      </c>
      <c r="H114" s="347" t="s">
        <v>56</v>
      </c>
      <c r="I114" s="349"/>
    </row>
    <row r="115" spans="1:9">
      <c r="A115" s="339" t="s">
        <v>236</v>
      </c>
      <c r="B115" s="359" t="s">
        <v>244</v>
      </c>
      <c r="C115" s="352" t="s">
        <v>54</v>
      </c>
      <c r="D115" s="347"/>
      <c r="E115" s="338" t="s">
        <v>245</v>
      </c>
      <c r="F115" s="347" t="s">
        <v>174</v>
      </c>
      <c r="G115" s="376" t="s">
        <v>76</v>
      </c>
      <c r="H115" s="347"/>
      <c r="I115" s="349"/>
    </row>
    <row r="116" spans="1:9">
      <c r="A116" s="339" t="s">
        <v>236</v>
      </c>
      <c r="B116" s="357" t="s">
        <v>246</v>
      </c>
      <c r="C116" s="352" t="s">
        <v>54</v>
      </c>
      <c r="D116" s="347"/>
      <c r="E116" s="338" t="s">
        <v>247</v>
      </c>
      <c r="F116" s="347" t="s">
        <v>78</v>
      </c>
      <c r="G116" s="347" t="s">
        <v>69</v>
      </c>
      <c r="H116" s="347" t="s">
        <v>239</v>
      </c>
      <c r="I116" s="349"/>
    </row>
    <row r="117" spans="1:9">
      <c r="A117" s="339" t="s">
        <v>236</v>
      </c>
      <c r="B117" s="356" t="s">
        <v>248</v>
      </c>
      <c r="C117" s="347"/>
      <c r="D117" s="348"/>
      <c r="E117" s="27" t="s">
        <v>55</v>
      </c>
      <c r="F117" s="347" t="s">
        <v>78</v>
      </c>
      <c r="G117" s="347" t="s">
        <v>193</v>
      </c>
      <c r="H117" s="376" t="s">
        <v>69</v>
      </c>
      <c r="I117" s="349"/>
    </row>
    <row r="118" spans="1:9">
      <c r="A118" s="339" t="s">
        <v>236</v>
      </c>
      <c r="B118" s="356" t="s">
        <v>249</v>
      </c>
      <c r="C118" s="347"/>
      <c r="D118" s="348"/>
      <c r="E118" s="368" t="s">
        <v>55</v>
      </c>
      <c r="F118" s="347" t="s">
        <v>241</v>
      </c>
      <c r="G118" s="347"/>
      <c r="H118" s="347"/>
      <c r="I118" s="349"/>
    </row>
    <row r="119" spans="1:9">
      <c r="A119" s="339" t="s">
        <v>250</v>
      </c>
      <c r="B119" s="356" t="s">
        <v>251</v>
      </c>
      <c r="C119" s="347" t="s">
        <v>54</v>
      </c>
      <c r="D119" s="348">
        <v>2.5</v>
      </c>
      <c r="E119" s="27" t="s">
        <v>55</v>
      </c>
      <c r="F119" s="347" t="s">
        <v>78</v>
      </c>
      <c r="G119" s="347" t="s">
        <v>69</v>
      </c>
      <c r="H119" s="347" t="s">
        <v>193</v>
      </c>
      <c r="I119" s="349"/>
    </row>
    <row r="120" spans="1:9">
      <c r="A120" s="339" t="s">
        <v>250</v>
      </c>
      <c r="B120" s="356" t="s">
        <v>252</v>
      </c>
      <c r="C120" s="347" t="s">
        <v>54</v>
      </c>
      <c r="D120" s="348">
        <v>2.3330000000000002</v>
      </c>
      <c r="E120" s="27" t="s">
        <v>55</v>
      </c>
      <c r="F120" s="347" t="s">
        <v>78</v>
      </c>
      <c r="G120" s="347" t="s">
        <v>69</v>
      </c>
      <c r="H120" s="347" t="s">
        <v>193</v>
      </c>
      <c r="I120" s="349"/>
    </row>
    <row r="121" spans="1:9">
      <c r="A121" s="339" t="s">
        <v>250</v>
      </c>
      <c r="B121" s="356" t="s">
        <v>253</v>
      </c>
      <c r="C121" s="347" t="s">
        <v>54</v>
      </c>
      <c r="D121" s="348">
        <v>2.1669999999999998</v>
      </c>
      <c r="E121" s="27" t="s">
        <v>55</v>
      </c>
      <c r="F121" s="347" t="s">
        <v>78</v>
      </c>
      <c r="G121" s="347" t="s">
        <v>65</v>
      </c>
      <c r="H121" s="347" t="s">
        <v>239</v>
      </c>
      <c r="I121" s="376" t="s">
        <v>69</v>
      </c>
    </row>
    <row r="122" spans="1:9">
      <c r="A122" s="339" t="s">
        <v>250</v>
      </c>
      <c r="B122" s="356" t="s">
        <v>254</v>
      </c>
      <c r="C122" s="347" t="s">
        <v>54</v>
      </c>
      <c r="D122" s="348">
        <v>2.1669999999999998</v>
      </c>
      <c r="E122" s="27" t="s">
        <v>55</v>
      </c>
      <c r="F122" s="347" t="s">
        <v>59</v>
      </c>
      <c r="G122" s="347" t="s">
        <v>97</v>
      </c>
      <c r="H122" s="376" t="s">
        <v>91</v>
      </c>
      <c r="I122" s="349"/>
    </row>
    <row r="123" spans="1:9">
      <c r="A123" s="339" t="s">
        <v>250</v>
      </c>
      <c r="B123" s="356" t="s">
        <v>255</v>
      </c>
      <c r="C123" s="347" t="s">
        <v>54</v>
      </c>
      <c r="D123" s="348">
        <v>2</v>
      </c>
      <c r="E123" s="27" t="s">
        <v>55</v>
      </c>
      <c r="F123" s="347" t="s">
        <v>78</v>
      </c>
      <c r="G123" s="347" t="s">
        <v>193</v>
      </c>
      <c r="H123" s="376" t="s">
        <v>69</v>
      </c>
      <c r="I123" s="349"/>
    </row>
    <row r="124" spans="1:9">
      <c r="A124" s="339" t="s">
        <v>250</v>
      </c>
      <c r="B124" s="356" t="s">
        <v>256</v>
      </c>
      <c r="C124" s="347" t="s">
        <v>54</v>
      </c>
      <c r="D124" s="348"/>
      <c r="E124" s="27" t="s">
        <v>55</v>
      </c>
      <c r="F124" s="347" t="s">
        <v>241</v>
      </c>
      <c r="G124" s="347"/>
      <c r="H124" s="347"/>
      <c r="I124" s="349"/>
    </row>
    <row r="125" spans="1:9">
      <c r="A125" s="339" t="s">
        <v>250</v>
      </c>
      <c r="B125" s="1" t="s">
        <v>257</v>
      </c>
      <c r="C125" s="347" t="s">
        <v>54</v>
      </c>
      <c r="D125" s="348"/>
      <c r="E125" s="27" t="s">
        <v>55</v>
      </c>
      <c r="F125" s="347" t="s">
        <v>92</v>
      </c>
      <c r="G125" s="376" t="s">
        <v>91</v>
      </c>
      <c r="H125" s="347"/>
      <c r="I125" s="349"/>
    </row>
    <row r="126" spans="1:9">
      <c r="A126" s="339" t="s">
        <v>250</v>
      </c>
      <c r="B126" s="356" t="s">
        <v>258</v>
      </c>
      <c r="C126" s="352" t="s">
        <v>54</v>
      </c>
      <c r="D126" s="348"/>
      <c r="E126" s="338" t="s">
        <v>259</v>
      </c>
      <c r="F126" s="347" t="s">
        <v>78</v>
      </c>
      <c r="G126" s="347" t="s">
        <v>193</v>
      </c>
      <c r="H126" s="347" t="s">
        <v>139</v>
      </c>
      <c r="I126" s="370" t="s">
        <v>69</v>
      </c>
    </row>
    <row r="127" spans="1:9">
      <c r="A127" s="339" t="s">
        <v>250</v>
      </c>
      <c r="B127" s="356" t="s">
        <v>260</v>
      </c>
      <c r="C127" s="352" t="s">
        <v>54</v>
      </c>
      <c r="D127" s="348"/>
      <c r="E127" s="338" t="s">
        <v>261</v>
      </c>
      <c r="F127" s="347" t="s">
        <v>92</v>
      </c>
      <c r="G127" s="347" t="s">
        <v>97</v>
      </c>
      <c r="H127" s="347"/>
      <c r="I127" s="349"/>
    </row>
    <row r="128" spans="1:9" ht="29.1">
      <c r="A128" s="339" t="s">
        <v>250</v>
      </c>
      <c r="B128" s="358" t="s">
        <v>262</v>
      </c>
      <c r="C128" s="352" t="s">
        <v>54</v>
      </c>
      <c r="D128" s="347"/>
      <c r="E128" s="338" t="s">
        <v>263</v>
      </c>
      <c r="F128" s="347" t="s">
        <v>92</v>
      </c>
      <c r="G128" s="347"/>
      <c r="H128" s="347"/>
      <c r="I128" s="349"/>
    </row>
    <row r="129" spans="1:9" ht="15" thickBot="1">
      <c r="A129" s="339" t="s">
        <v>250</v>
      </c>
      <c r="B129" s="358" t="s">
        <v>264</v>
      </c>
      <c r="C129" s="365" t="s">
        <v>54</v>
      </c>
      <c r="D129" s="354"/>
      <c r="E129" s="366" t="s">
        <v>265</v>
      </c>
      <c r="F129" s="354" t="s">
        <v>91</v>
      </c>
      <c r="G129" s="354" t="s">
        <v>62</v>
      </c>
      <c r="H129" s="347" t="s">
        <v>59</v>
      </c>
      <c r="I129" s="355"/>
    </row>
    <row r="130" spans="1:9">
      <c r="A130" s="339" t="s">
        <v>250</v>
      </c>
      <c r="B130" s="358" t="s">
        <v>266</v>
      </c>
      <c r="C130" s="352" t="s">
        <v>54</v>
      </c>
      <c r="D130" s="347"/>
      <c r="E130" s="338" t="s">
        <v>267</v>
      </c>
      <c r="F130" s="347" t="s">
        <v>193</v>
      </c>
      <c r="G130" s="376" t="s">
        <v>69</v>
      </c>
      <c r="H130" s="347"/>
      <c r="I130" s="349"/>
    </row>
    <row r="131" spans="1:9">
      <c r="A131" s="339" t="s">
        <v>250</v>
      </c>
      <c r="B131" s="358" t="s">
        <v>268</v>
      </c>
      <c r="C131" s="352" t="s">
        <v>54</v>
      </c>
      <c r="D131" s="348"/>
      <c r="E131" s="338" t="s">
        <v>269</v>
      </c>
      <c r="F131" s="347" t="s">
        <v>241</v>
      </c>
      <c r="G131" s="347"/>
      <c r="H131" s="347"/>
      <c r="I131" s="349"/>
    </row>
    <row r="132" spans="1:9">
      <c r="A132" s="339" t="s">
        <v>250</v>
      </c>
      <c r="B132" s="359" t="s">
        <v>270</v>
      </c>
      <c r="C132" s="352" t="s">
        <v>54</v>
      </c>
      <c r="D132" s="348"/>
      <c r="E132" s="338" t="s">
        <v>271</v>
      </c>
      <c r="F132" s="347" t="s">
        <v>92</v>
      </c>
      <c r="G132" s="347" t="s">
        <v>91</v>
      </c>
      <c r="H132" s="347"/>
      <c r="I132" s="349"/>
    </row>
    <row r="133" spans="1:9" ht="29.1">
      <c r="A133" s="339" t="s">
        <v>250</v>
      </c>
      <c r="B133" s="356" t="s">
        <v>272</v>
      </c>
      <c r="C133" s="347" t="s">
        <v>54</v>
      </c>
      <c r="D133" s="348">
        <v>2.8330000000000002</v>
      </c>
      <c r="E133" s="368" t="s">
        <v>273</v>
      </c>
      <c r="F133" s="347" t="s">
        <v>241</v>
      </c>
      <c r="G133" s="347"/>
      <c r="H133" s="347"/>
      <c r="I133" s="349"/>
    </row>
    <row r="134" spans="1:9">
      <c r="A134" s="339" t="s">
        <v>250</v>
      </c>
      <c r="B134" s="356" t="s">
        <v>274</v>
      </c>
      <c r="C134" s="351" t="s">
        <v>107</v>
      </c>
      <c r="D134" s="348">
        <v>2.1669999999999998</v>
      </c>
      <c r="E134" s="364" t="s">
        <v>161</v>
      </c>
      <c r="F134" s="347"/>
      <c r="G134" s="347"/>
      <c r="H134" s="347"/>
      <c r="I134" s="349"/>
    </row>
    <row r="135" spans="1:9">
      <c r="A135" s="339" t="s">
        <v>250</v>
      </c>
      <c r="B135" s="356" t="s">
        <v>275</v>
      </c>
      <c r="C135" s="351" t="s">
        <v>107</v>
      </c>
      <c r="D135" s="348"/>
      <c r="E135" s="337" t="s">
        <v>276</v>
      </c>
      <c r="F135" s="347"/>
      <c r="G135" s="347"/>
      <c r="H135" s="347"/>
      <c r="I135" s="349"/>
    </row>
    <row r="136" spans="1:9">
      <c r="A136" s="339" t="s">
        <v>250</v>
      </c>
      <c r="B136" s="356" t="s">
        <v>277</v>
      </c>
      <c r="C136" s="347"/>
      <c r="D136" s="348"/>
      <c r="E136" s="27" t="s">
        <v>55</v>
      </c>
      <c r="F136" s="347" t="s">
        <v>241</v>
      </c>
      <c r="G136" s="347"/>
      <c r="H136" s="347"/>
      <c r="I136" s="349"/>
    </row>
    <row r="137" spans="1:9">
      <c r="A137" s="339" t="s">
        <v>278</v>
      </c>
      <c r="B137" s="358" t="s">
        <v>279</v>
      </c>
      <c r="C137" s="352" t="s">
        <v>54</v>
      </c>
      <c r="D137" s="347"/>
      <c r="E137" s="338" t="s">
        <v>280</v>
      </c>
      <c r="F137" s="376" t="s">
        <v>78</v>
      </c>
      <c r="G137" s="376" t="s">
        <v>193</v>
      </c>
      <c r="H137" s="376" t="s">
        <v>139</v>
      </c>
      <c r="I137" s="376" t="s">
        <v>69</v>
      </c>
    </row>
    <row r="138" spans="1:9">
      <c r="A138" s="339" t="s">
        <v>278</v>
      </c>
      <c r="B138" s="356" t="s">
        <v>281</v>
      </c>
      <c r="C138" s="347" t="s">
        <v>54</v>
      </c>
      <c r="D138" s="348">
        <v>2.1669999999999998</v>
      </c>
      <c r="E138" s="27" t="s">
        <v>55</v>
      </c>
      <c r="F138" s="347" t="s">
        <v>59</v>
      </c>
      <c r="G138" s="376" t="s">
        <v>56</v>
      </c>
      <c r="H138" s="347"/>
      <c r="I138" s="349"/>
    </row>
    <row r="139" spans="1:9">
      <c r="A139" s="339" t="s">
        <v>278</v>
      </c>
      <c r="B139" s="356" t="s">
        <v>282</v>
      </c>
      <c r="C139" s="347" t="s">
        <v>54</v>
      </c>
      <c r="D139" s="348">
        <v>1.889</v>
      </c>
      <c r="E139" s="27" t="s">
        <v>55</v>
      </c>
      <c r="F139" s="347" t="s">
        <v>59</v>
      </c>
      <c r="G139" s="376" t="s">
        <v>56</v>
      </c>
      <c r="H139" s="347"/>
      <c r="I139" s="349"/>
    </row>
    <row r="140" spans="1:9">
      <c r="A140" s="339" t="s">
        <v>278</v>
      </c>
      <c r="B140" s="356" t="s">
        <v>283</v>
      </c>
      <c r="C140" s="347" t="s">
        <v>54</v>
      </c>
      <c r="D140" s="348">
        <v>1.833</v>
      </c>
      <c r="E140" s="27" t="s">
        <v>55</v>
      </c>
      <c r="F140" s="347" t="s">
        <v>74</v>
      </c>
      <c r="G140" s="347"/>
      <c r="H140" s="347"/>
      <c r="I140" s="349"/>
    </row>
    <row r="141" spans="1:9">
      <c r="A141" s="339" t="s">
        <v>278</v>
      </c>
      <c r="B141" s="356" t="s">
        <v>284</v>
      </c>
      <c r="C141" s="347" t="s">
        <v>54</v>
      </c>
      <c r="D141" s="348">
        <v>1.833</v>
      </c>
      <c r="E141" s="27" t="s">
        <v>55</v>
      </c>
      <c r="F141" s="376" t="s">
        <v>74</v>
      </c>
      <c r="G141" s="376" t="s">
        <v>285</v>
      </c>
      <c r="H141" s="347"/>
      <c r="I141" s="349"/>
    </row>
    <row r="142" spans="1:9">
      <c r="A142" s="339" t="s">
        <v>278</v>
      </c>
      <c r="B142" s="356" t="s">
        <v>286</v>
      </c>
      <c r="C142" s="347" t="s">
        <v>54</v>
      </c>
      <c r="D142" s="348">
        <v>1.833</v>
      </c>
      <c r="E142" s="27" t="s">
        <v>55</v>
      </c>
      <c r="F142" s="376" t="s">
        <v>74</v>
      </c>
      <c r="G142" s="376" t="s">
        <v>285</v>
      </c>
      <c r="H142" s="347"/>
      <c r="I142" s="349"/>
    </row>
    <row r="143" spans="1:9" ht="15" thickBot="1">
      <c r="A143" s="339" t="s">
        <v>278</v>
      </c>
      <c r="B143" s="356" t="s">
        <v>287</v>
      </c>
      <c r="C143" s="347" t="s">
        <v>54</v>
      </c>
      <c r="D143" s="348"/>
      <c r="E143" s="27" t="s">
        <v>55</v>
      </c>
      <c r="F143" s="354" t="s">
        <v>241</v>
      </c>
      <c r="G143" s="347"/>
      <c r="H143" s="347"/>
      <c r="I143" s="349"/>
    </row>
    <row r="144" spans="1:9">
      <c r="A144" s="339" t="s">
        <v>278</v>
      </c>
      <c r="B144" s="356" t="s">
        <v>288</v>
      </c>
      <c r="C144" s="347" t="s">
        <v>54</v>
      </c>
      <c r="D144" s="348"/>
      <c r="E144" s="27" t="s">
        <v>55</v>
      </c>
      <c r="F144" s="376" t="s">
        <v>74</v>
      </c>
      <c r="G144" s="376" t="s">
        <v>285</v>
      </c>
      <c r="H144" s="347"/>
      <c r="I144" s="349"/>
    </row>
    <row r="145" spans="1:9">
      <c r="A145" s="339" t="s">
        <v>278</v>
      </c>
      <c r="B145" s="356" t="s">
        <v>289</v>
      </c>
      <c r="C145" s="347" t="s">
        <v>54</v>
      </c>
      <c r="D145" s="348"/>
      <c r="E145" s="27" t="s">
        <v>55</v>
      </c>
      <c r="F145" s="376" t="s">
        <v>74</v>
      </c>
      <c r="G145" s="376" t="s">
        <v>285</v>
      </c>
      <c r="H145" s="347"/>
      <c r="I145" s="349"/>
    </row>
    <row r="146" spans="1:9">
      <c r="A146" s="339" t="s">
        <v>278</v>
      </c>
      <c r="B146" s="356" t="s">
        <v>290</v>
      </c>
      <c r="C146" s="347" t="s">
        <v>54</v>
      </c>
      <c r="D146" s="348"/>
      <c r="E146" s="27" t="s">
        <v>55</v>
      </c>
      <c r="F146" s="376" t="s">
        <v>74</v>
      </c>
      <c r="G146" s="376" t="s">
        <v>285</v>
      </c>
      <c r="H146" s="347"/>
      <c r="I146" s="349"/>
    </row>
    <row r="147" spans="1:9">
      <c r="A147" s="339" t="s">
        <v>278</v>
      </c>
      <c r="B147" s="356" t="s">
        <v>291</v>
      </c>
      <c r="C147" s="347" t="s">
        <v>54</v>
      </c>
      <c r="D147" s="348"/>
      <c r="E147" s="27" t="s">
        <v>55</v>
      </c>
      <c r="F147" s="376" t="s">
        <v>74</v>
      </c>
      <c r="G147" s="347"/>
      <c r="H147" s="347"/>
      <c r="I147" s="349"/>
    </row>
    <row r="148" spans="1:9" ht="29.1">
      <c r="A148" s="339" t="s">
        <v>278</v>
      </c>
      <c r="B148" s="356" t="s">
        <v>292</v>
      </c>
      <c r="C148" s="347" t="s">
        <v>54</v>
      </c>
      <c r="D148" s="348"/>
      <c r="E148" s="368" t="s">
        <v>273</v>
      </c>
      <c r="F148" s="347"/>
      <c r="G148" s="347"/>
      <c r="H148" s="370"/>
      <c r="I148" s="349"/>
    </row>
    <row r="149" spans="1:9" ht="29.1">
      <c r="A149" s="339" t="s">
        <v>278</v>
      </c>
      <c r="B149" s="356" t="s">
        <v>293</v>
      </c>
      <c r="C149" s="347" t="s">
        <v>54</v>
      </c>
      <c r="D149" s="348"/>
      <c r="E149" s="368" t="s">
        <v>273</v>
      </c>
      <c r="F149" s="370"/>
      <c r="G149" s="347"/>
      <c r="H149" s="347"/>
      <c r="I149" s="349"/>
    </row>
    <row r="150" spans="1:9">
      <c r="A150" s="339" t="s">
        <v>278</v>
      </c>
      <c r="B150" s="356" t="s">
        <v>294</v>
      </c>
      <c r="C150" s="347"/>
      <c r="D150" s="348"/>
      <c r="E150" s="27" t="s">
        <v>55</v>
      </c>
      <c r="F150" s="347" t="s">
        <v>78</v>
      </c>
      <c r="G150" s="347" t="s">
        <v>193</v>
      </c>
      <c r="H150" s="376" t="s">
        <v>69</v>
      </c>
      <c r="I150" s="349"/>
    </row>
    <row r="151" spans="1:9">
      <c r="A151" s="339" t="s">
        <v>295</v>
      </c>
      <c r="B151" s="356" t="s">
        <v>296</v>
      </c>
      <c r="C151" s="347" t="s">
        <v>54</v>
      </c>
      <c r="D151" s="348">
        <v>2.5</v>
      </c>
      <c r="E151" s="27" t="s">
        <v>55</v>
      </c>
      <c r="F151" s="347" t="s">
        <v>78</v>
      </c>
      <c r="G151" s="347" t="s">
        <v>193</v>
      </c>
      <c r="H151" s="376" t="s">
        <v>69</v>
      </c>
      <c r="I151" s="349"/>
    </row>
    <row r="152" spans="1:9">
      <c r="A152" s="339" t="s">
        <v>295</v>
      </c>
      <c r="B152" s="356" t="s">
        <v>297</v>
      </c>
      <c r="C152" s="347" t="s">
        <v>54</v>
      </c>
      <c r="D152" s="348"/>
      <c r="E152" s="27" t="s">
        <v>55</v>
      </c>
      <c r="F152" s="347" t="s">
        <v>78</v>
      </c>
      <c r="G152" s="347" t="s">
        <v>193</v>
      </c>
      <c r="H152" s="376" t="s">
        <v>69</v>
      </c>
      <c r="I152" s="349"/>
    </row>
    <row r="153" spans="1:9" ht="29.1">
      <c r="A153" s="339" t="s">
        <v>295</v>
      </c>
      <c r="B153" s="356" t="s">
        <v>298</v>
      </c>
      <c r="C153" s="347" t="s">
        <v>54</v>
      </c>
      <c r="D153" s="348"/>
      <c r="E153" s="368" t="s">
        <v>273</v>
      </c>
      <c r="F153" s="347"/>
      <c r="G153" s="347"/>
      <c r="H153" s="376"/>
      <c r="I153" s="349"/>
    </row>
  </sheetData>
  <autoFilter ref="A37:K153" xr:uid="{00000000-0009-0000-0000-000002000000}"/>
  <sortState xmlns:xlrd2="http://schemas.microsoft.com/office/spreadsheetml/2017/richdata2" ref="A38:E153">
    <sortCondition ref="A38:A153"/>
    <sortCondition descending="1" ref="C38:C153"/>
  </sortState>
  <mergeCells count="1">
    <mergeCell ref="F3:I3"/>
  </mergeCells>
  <dataValidations count="1">
    <dataValidation type="list" allowBlank="1" showInputMessage="1" showErrorMessage="1" sqref="F5 F10 G21:G22 G13 F14:F15 F17 H19 F20 F25 G30:H30 F12 G16 H23 F31:F33 H31:H33 G112 F96:G110 H96:H98 H100:H110 H117 H150:H153 I121 H123 I126 G130 I137" xr:uid="{00000000-0002-0000-0200-000000000000}"/>
  </dataValidations>
  <hyperlinks>
    <hyperlink ref="K9" r:id="rId1" xr:uid="{00000000-0004-0000-0200-000000000000}"/>
  </hyperlinks>
  <pageMargins left="0.7" right="0.7" top="0.75" bottom="0.75" header="0.3" footer="0.3"/>
  <pageSetup paperSize="9" orientation="portrait" horizontalDpi="200" verticalDpi="200"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1000000}">
          <x14:formula1>
            <xm:f>Llistes!$D$2:$D$4</xm:f>
          </x14:formula1>
          <xm:sqref>C5:C35 C38:C129</xm:sqref>
        </x14:dataValidation>
        <x14:dataValidation type="list" allowBlank="1" showInputMessage="1" showErrorMessage="1" xr:uid="{00000000-0002-0000-0200-000002000000}">
          <x14:formula1>
            <xm:f>Llistes!$H$2:$H$43</xm:f>
          </x14:formula1>
          <xm:sqref>F133 G31:G33 F150:G153 F34:H36 F132:G132 F136:F139 G137:H137 F148:G148 F143 F131 F6:F9 F11 G5:G12 F13 H5:H17 F38:G89 F18:F19 F16 F21:F24 G17:G20 F91:G95 H38:H95 G14:G15 G23 H20:H22 G24:H25 F26:I26 G27:H29 F27:F30 F111:F129 H99 G111 H124:H129 H111:H116 H118:H122 G113:G129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D11"/>
  <sheetViews>
    <sheetView workbookViewId="0">
      <selection activeCell="A3" sqref="A3"/>
    </sheetView>
  </sheetViews>
  <sheetFormatPr defaultColWidth="8.7109375" defaultRowHeight="14.45"/>
  <cols>
    <col min="1" max="1" width="37.85546875" bestFit="1" customWidth="1"/>
    <col min="2" max="2" width="57.5703125" bestFit="1" customWidth="1"/>
    <col min="3" max="3" width="49.42578125" bestFit="1" customWidth="1"/>
    <col min="4" max="4" width="58.5703125" bestFit="1" customWidth="1"/>
    <col min="5" max="5" width="103.85546875" bestFit="1" customWidth="1"/>
    <col min="6" max="6" width="111.5703125" bestFit="1" customWidth="1"/>
    <col min="7" max="7" width="103.140625" bestFit="1" customWidth="1"/>
    <col min="8" max="8" width="149.28515625" bestFit="1" customWidth="1"/>
    <col min="9" max="9" width="195.5703125" bestFit="1" customWidth="1"/>
    <col min="10" max="10" width="86.140625" bestFit="1" customWidth="1"/>
    <col min="11" max="11" width="179" bestFit="1" customWidth="1"/>
    <col min="12" max="12" width="142.42578125" bestFit="1" customWidth="1"/>
    <col min="13" max="13" width="56.5703125" bestFit="1" customWidth="1"/>
    <col min="14" max="14" width="58.140625" bestFit="1" customWidth="1"/>
    <col min="15" max="15" width="158.42578125" bestFit="1" customWidth="1"/>
    <col min="16" max="16" width="114.28515625" bestFit="1" customWidth="1"/>
    <col min="17" max="17" width="74.7109375" bestFit="1" customWidth="1"/>
    <col min="18" max="18" width="66.5703125" bestFit="1" customWidth="1"/>
    <col min="19" max="19" width="71" bestFit="1" customWidth="1"/>
    <col min="20" max="20" width="69.5703125" bestFit="1" customWidth="1"/>
    <col min="21" max="21" width="180.5703125" bestFit="1" customWidth="1"/>
    <col min="22" max="22" width="137.28515625" bestFit="1" customWidth="1"/>
    <col min="23" max="23" width="82.7109375" bestFit="1" customWidth="1"/>
    <col min="24" max="24" width="72.140625" bestFit="1" customWidth="1"/>
    <col min="25" max="25" width="228.85546875" bestFit="1" customWidth="1"/>
    <col min="26" max="26" width="239.85546875" bestFit="1" customWidth="1"/>
    <col min="27" max="27" width="49.140625" bestFit="1" customWidth="1"/>
    <col min="28" max="28" width="86.5703125" bestFit="1" customWidth="1"/>
    <col min="29" max="29" width="182.28515625" bestFit="1" customWidth="1"/>
    <col min="30" max="30" width="177.42578125" bestFit="1" customWidth="1"/>
    <col min="31" max="31" width="203.85546875" bestFit="1" customWidth="1"/>
    <col min="32" max="32" width="163.7109375" bestFit="1" customWidth="1"/>
    <col min="33" max="33" width="136.140625" bestFit="1" customWidth="1"/>
    <col min="34" max="34" width="134.42578125" bestFit="1" customWidth="1"/>
    <col min="35" max="35" width="93.28515625" bestFit="1" customWidth="1"/>
    <col min="36" max="36" width="45.28515625" bestFit="1" customWidth="1"/>
    <col min="37" max="37" width="97.42578125" bestFit="1" customWidth="1"/>
    <col min="38" max="38" width="135.5703125" bestFit="1" customWidth="1"/>
    <col min="39" max="39" width="151.85546875" bestFit="1" customWidth="1"/>
    <col min="40" max="40" width="172.7109375" bestFit="1" customWidth="1"/>
    <col min="41" max="41" width="152" bestFit="1" customWidth="1"/>
    <col min="42" max="42" width="93.85546875" bestFit="1" customWidth="1"/>
    <col min="43" max="43" width="143.28515625" bestFit="1" customWidth="1"/>
    <col min="44" max="44" width="94.42578125" bestFit="1" customWidth="1"/>
    <col min="45" max="45" width="97.85546875" bestFit="1" customWidth="1"/>
    <col min="46" max="46" width="239.140625" bestFit="1" customWidth="1"/>
    <col min="47" max="47" width="130.140625" bestFit="1" customWidth="1"/>
    <col min="48" max="48" width="112.7109375" bestFit="1" customWidth="1"/>
    <col min="49" max="49" width="144.5703125" bestFit="1" customWidth="1"/>
    <col min="50" max="50" width="58.42578125" bestFit="1" customWidth="1"/>
    <col min="51" max="51" width="124.7109375" bestFit="1" customWidth="1"/>
    <col min="52" max="52" width="179.85546875" bestFit="1" customWidth="1"/>
    <col min="53" max="53" width="146.7109375" bestFit="1" customWidth="1"/>
    <col min="54" max="54" width="64.42578125" bestFit="1" customWidth="1"/>
    <col min="55" max="55" width="87.5703125" bestFit="1" customWidth="1"/>
    <col min="56" max="56" width="152.85546875" bestFit="1" customWidth="1"/>
    <col min="57" max="57" width="97.42578125" bestFit="1" customWidth="1"/>
    <col min="58" max="58" width="80.42578125" bestFit="1" customWidth="1"/>
    <col min="59" max="59" width="117.85546875" bestFit="1" customWidth="1"/>
    <col min="60" max="60" width="78.42578125" bestFit="1" customWidth="1"/>
    <col min="61" max="61" width="96.140625" bestFit="1" customWidth="1"/>
    <col min="62" max="62" width="74" bestFit="1" customWidth="1"/>
    <col min="63" max="63" width="218.85546875" bestFit="1" customWidth="1"/>
    <col min="64" max="64" width="102" bestFit="1" customWidth="1"/>
    <col min="65" max="65" width="96.5703125" bestFit="1" customWidth="1"/>
    <col min="66" max="66" width="118.85546875" bestFit="1" customWidth="1"/>
    <col min="67" max="67" width="109.85546875" bestFit="1" customWidth="1"/>
    <col min="68" max="68" width="149.7109375" bestFit="1" customWidth="1"/>
    <col min="69" max="69" width="87.85546875" bestFit="1" customWidth="1"/>
    <col min="70" max="70" width="95.28515625" bestFit="1" customWidth="1"/>
    <col min="71" max="71" width="144.140625" bestFit="1" customWidth="1"/>
    <col min="72" max="72" width="129.5703125" bestFit="1" customWidth="1"/>
    <col min="73" max="73" width="175.7109375" bestFit="1" customWidth="1"/>
    <col min="74" max="74" width="81.42578125" bestFit="1" customWidth="1"/>
    <col min="75" max="75" width="49.85546875" bestFit="1" customWidth="1"/>
    <col min="76" max="76" width="71" bestFit="1" customWidth="1"/>
    <col min="77" max="77" width="109.42578125" bestFit="1" customWidth="1"/>
    <col min="78" max="78" width="47.85546875" bestFit="1" customWidth="1"/>
    <col min="79" max="79" width="45.5703125" bestFit="1" customWidth="1"/>
    <col min="80" max="80" width="58.140625" bestFit="1" customWidth="1"/>
    <col min="81" max="81" width="50.28515625" bestFit="1" customWidth="1"/>
    <col min="82" max="82" width="22.140625" bestFit="1" customWidth="1"/>
    <col min="83" max="83" width="52.140625" bestFit="1" customWidth="1"/>
    <col min="84" max="84" width="101" bestFit="1" customWidth="1"/>
    <col min="85" max="85" width="66.42578125" bestFit="1" customWidth="1"/>
    <col min="86" max="86" width="156" bestFit="1" customWidth="1"/>
    <col min="87" max="87" width="126" bestFit="1" customWidth="1"/>
    <col min="88" max="88" width="158" bestFit="1" customWidth="1"/>
    <col min="89" max="89" width="119.42578125" bestFit="1" customWidth="1"/>
    <col min="90" max="90" width="90.85546875" bestFit="1" customWidth="1"/>
    <col min="91" max="91" width="54" bestFit="1" customWidth="1"/>
    <col min="92" max="92" width="15.85546875" bestFit="1" customWidth="1"/>
    <col min="93" max="93" width="158" bestFit="1" customWidth="1"/>
    <col min="94" max="94" width="119.42578125" bestFit="1" customWidth="1"/>
    <col min="95" max="95" width="171.140625" bestFit="1" customWidth="1"/>
    <col min="96" max="96" width="69.5703125" bestFit="1" customWidth="1"/>
    <col min="97" max="97" width="4.140625" bestFit="1" customWidth="1"/>
    <col min="98" max="98" width="36.42578125" bestFit="1" customWidth="1"/>
    <col min="99" max="99" width="52.140625" bestFit="1" customWidth="1"/>
    <col min="100" max="100" width="42.140625" bestFit="1" customWidth="1"/>
    <col min="101" max="101" width="45.85546875" bestFit="1" customWidth="1"/>
    <col min="102" max="102" width="23.28515625" bestFit="1" customWidth="1"/>
    <col min="103" max="103" width="157.42578125" bestFit="1" customWidth="1"/>
    <col min="104" max="104" width="38.42578125" bestFit="1" customWidth="1"/>
    <col min="105" max="105" width="51" bestFit="1" customWidth="1"/>
    <col min="106" max="106" width="148.140625" bestFit="1" customWidth="1"/>
    <col min="107" max="107" width="89.42578125" bestFit="1" customWidth="1"/>
    <col min="108" max="108" width="108.85546875" bestFit="1" customWidth="1"/>
    <col min="109" max="109" width="143.42578125" bestFit="1" customWidth="1"/>
    <col min="110" max="110" width="82.42578125" bestFit="1" customWidth="1"/>
    <col min="111" max="111" width="114.85546875" bestFit="1" customWidth="1"/>
    <col min="112" max="112" width="91.7109375" bestFit="1" customWidth="1"/>
    <col min="113" max="113" width="90.85546875" bestFit="1" customWidth="1"/>
    <col min="114" max="114" width="93.28515625" bestFit="1" customWidth="1"/>
    <col min="115" max="115" width="103.85546875" bestFit="1" customWidth="1"/>
    <col min="116" max="116" width="169.5703125" bestFit="1" customWidth="1"/>
    <col min="117" max="117" width="43.140625" bestFit="1" customWidth="1"/>
    <col min="118" max="118" width="35.7109375" bestFit="1" customWidth="1"/>
    <col min="119" max="119" width="92" bestFit="1" customWidth="1"/>
    <col min="120" max="120" width="97.140625" bestFit="1" customWidth="1"/>
    <col min="121" max="121" width="88.140625" bestFit="1" customWidth="1"/>
    <col min="122" max="122" width="126.42578125" bestFit="1" customWidth="1"/>
    <col min="123" max="123" width="98.85546875" bestFit="1" customWidth="1"/>
    <col min="124" max="124" width="99.140625" bestFit="1" customWidth="1"/>
    <col min="125" max="125" width="73.7109375" bestFit="1" customWidth="1"/>
    <col min="126" max="126" width="94.140625" bestFit="1" customWidth="1"/>
    <col min="127" max="127" width="80.28515625" bestFit="1" customWidth="1"/>
    <col min="128" max="128" width="83.42578125" bestFit="1" customWidth="1"/>
    <col min="129" max="129" width="209.42578125" bestFit="1" customWidth="1"/>
    <col min="130" max="130" width="74.7109375" bestFit="1" customWidth="1"/>
    <col min="131" max="131" width="129.85546875" bestFit="1" customWidth="1"/>
    <col min="132" max="132" width="44.140625" bestFit="1" customWidth="1"/>
    <col min="133" max="133" width="25.140625" bestFit="1" customWidth="1"/>
    <col min="134" max="134" width="17.7109375" bestFit="1" customWidth="1"/>
    <col min="135" max="135" width="35" bestFit="1" customWidth="1"/>
    <col min="136" max="136" width="37.85546875" bestFit="1" customWidth="1"/>
    <col min="137" max="137" width="43.7109375" bestFit="1" customWidth="1"/>
    <col min="138" max="138" width="178.7109375" bestFit="1" customWidth="1"/>
    <col min="139" max="139" width="64.7109375" bestFit="1" customWidth="1"/>
    <col min="140" max="140" width="89.42578125" bestFit="1" customWidth="1"/>
    <col min="141" max="141" width="96.140625" bestFit="1" customWidth="1"/>
    <col min="142" max="142" width="170" bestFit="1" customWidth="1"/>
    <col min="143" max="143" width="108.5703125" bestFit="1" customWidth="1"/>
    <col min="144" max="144" width="192.85546875" bestFit="1" customWidth="1"/>
    <col min="145" max="145" width="229.5703125" bestFit="1" customWidth="1"/>
    <col min="146" max="147" width="255.5703125" bestFit="1" customWidth="1"/>
    <col min="148" max="148" width="114.28515625" bestFit="1" customWidth="1"/>
    <col min="149" max="149" width="124.85546875" bestFit="1" customWidth="1"/>
    <col min="150" max="150" width="35" bestFit="1" customWidth="1"/>
    <col min="151" max="151" width="62.28515625" bestFit="1" customWidth="1"/>
    <col min="152" max="152" width="255.5703125" bestFit="1" customWidth="1"/>
    <col min="153" max="153" width="86.140625" bestFit="1" customWidth="1"/>
    <col min="154" max="154" width="78.5703125" bestFit="1" customWidth="1"/>
    <col min="155" max="155" width="99.140625" bestFit="1" customWidth="1"/>
    <col min="156" max="156" width="64.5703125" bestFit="1" customWidth="1"/>
    <col min="157" max="157" width="44.85546875" bestFit="1" customWidth="1"/>
    <col min="158" max="158" width="41.5703125" bestFit="1" customWidth="1"/>
    <col min="159" max="159" width="145.85546875" bestFit="1" customWidth="1"/>
    <col min="160" max="160" width="164.85546875" bestFit="1" customWidth="1"/>
    <col min="161" max="161" width="129.5703125" bestFit="1" customWidth="1"/>
    <col min="162" max="162" width="237.28515625" bestFit="1" customWidth="1"/>
    <col min="163" max="163" width="244.5703125" bestFit="1" customWidth="1"/>
    <col min="164" max="164" width="254.28515625" bestFit="1" customWidth="1"/>
    <col min="165" max="165" width="35.28515625" bestFit="1" customWidth="1"/>
    <col min="166" max="166" width="79.140625" bestFit="1" customWidth="1"/>
    <col min="167" max="167" width="75.85546875" bestFit="1" customWidth="1"/>
    <col min="168" max="168" width="29.140625" bestFit="1" customWidth="1"/>
    <col min="169" max="169" width="185.42578125" bestFit="1" customWidth="1"/>
    <col min="170" max="170" width="171.28515625" bestFit="1" customWidth="1"/>
    <col min="171" max="171" width="144.140625" bestFit="1" customWidth="1"/>
    <col min="172" max="172" width="30" bestFit="1" customWidth="1"/>
    <col min="173" max="173" width="150" bestFit="1" customWidth="1"/>
    <col min="174" max="174" width="82.42578125" bestFit="1" customWidth="1"/>
    <col min="175" max="175" width="42.85546875" bestFit="1" customWidth="1"/>
    <col min="176" max="176" width="51.42578125" bestFit="1" customWidth="1"/>
    <col min="177" max="178" width="98.85546875" bestFit="1" customWidth="1"/>
    <col min="179" max="179" width="65.28515625" bestFit="1" customWidth="1"/>
    <col min="180" max="180" width="114" bestFit="1" customWidth="1"/>
    <col min="181" max="181" width="39.28515625" bestFit="1" customWidth="1"/>
    <col min="182" max="182" width="93.140625" bestFit="1" customWidth="1"/>
    <col min="183" max="183" width="32.28515625" bestFit="1" customWidth="1"/>
    <col min="184" max="184" width="29.28515625" bestFit="1" customWidth="1"/>
    <col min="185" max="185" width="72.85546875" bestFit="1" customWidth="1"/>
    <col min="186" max="186" width="81.140625" bestFit="1" customWidth="1"/>
    <col min="187" max="187" width="87.85546875" bestFit="1" customWidth="1"/>
    <col min="188" max="188" width="70.140625" bestFit="1" customWidth="1"/>
    <col min="189" max="189" width="42.140625" bestFit="1" customWidth="1"/>
    <col min="190" max="190" width="77.140625" bestFit="1" customWidth="1"/>
    <col min="191" max="191" width="220.140625" bestFit="1" customWidth="1"/>
    <col min="192" max="192" width="219.5703125" bestFit="1" customWidth="1"/>
    <col min="193" max="193" width="184.140625" bestFit="1" customWidth="1"/>
    <col min="194" max="195" width="255.5703125" bestFit="1" customWidth="1"/>
    <col min="196" max="196" width="244.140625" bestFit="1" customWidth="1"/>
    <col min="197" max="197" width="171.42578125" bestFit="1" customWidth="1"/>
    <col min="198" max="198" width="136.5703125" bestFit="1" customWidth="1"/>
    <col min="199" max="199" width="141.140625" bestFit="1" customWidth="1"/>
    <col min="200" max="200" width="146.42578125" bestFit="1" customWidth="1"/>
    <col min="201" max="201" width="73.140625" bestFit="1" customWidth="1"/>
    <col min="202" max="202" width="120.140625" bestFit="1" customWidth="1"/>
    <col min="203" max="203" width="65.7109375" bestFit="1" customWidth="1"/>
    <col min="204" max="204" width="151.42578125" bestFit="1" customWidth="1"/>
    <col min="205" max="205" width="89.140625" bestFit="1" customWidth="1"/>
    <col min="206" max="206" width="85.42578125" bestFit="1" customWidth="1"/>
    <col min="207" max="207" width="78.42578125" bestFit="1" customWidth="1"/>
    <col min="208" max="208" width="144.42578125" bestFit="1" customWidth="1"/>
    <col min="209" max="209" width="99.28515625" bestFit="1" customWidth="1"/>
    <col min="210" max="210" width="147.42578125" bestFit="1" customWidth="1"/>
    <col min="211" max="211" width="93.5703125" bestFit="1" customWidth="1"/>
    <col min="212" max="212" width="112.42578125" bestFit="1" customWidth="1"/>
    <col min="213" max="213" width="155.85546875" bestFit="1" customWidth="1"/>
    <col min="214" max="214" width="60.140625" bestFit="1" customWidth="1"/>
    <col min="215" max="215" width="124.85546875" bestFit="1" customWidth="1"/>
    <col min="216" max="216" width="75.28515625" bestFit="1" customWidth="1"/>
    <col min="217" max="217" width="25.7109375" bestFit="1" customWidth="1"/>
    <col min="218" max="218" width="23" bestFit="1" customWidth="1"/>
    <col min="219" max="219" width="37.85546875" bestFit="1" customWidth="1"/>
    <col min="220" max="220" width="40.140625" bestFit="1" customWidth="1"/>
    <col min="221" max="221" width="42.85546875" bestFit="1" customWidth="1"/>
    <col min="222" max="222" width="56.140625" bestFit="1" customWidth="1"/>
    <col min="223" max="223" width="32.28515625" bestFit="1" customWidth="1"/>
    <col min="224" max="224" width="31.140625" bestFit="1" customWidth="1"/>
    <col min="225" max="225" width="21.42578125" bestFit="1" customWidth="1"/>
    <col min="226" max="226" width="36.5703125" bestFit="1" customWidth="1"/>
    <col min="227" max="227" width="16.140625" bestFit="1" customWidth="1"/>
    <col min="228" max="228" width="26.85546875" bestFit="1" customWidth="1"/>
    <col min="229" max="229" width="23.140625" bestFit="1" customWidth="1"/>
    <col min="230" max="230" width="21.85546875" bestFit="1" customWidth="1"/>
    <col min="231" max="231" width="26.42578125" bestFit="1" customWidth="1"/>
    <col min="232" max="232" width="33.5703125" bestFit="1" customWidth="1"/>
    <col min="233" max="233" width="32" bestFit="1" customWidth="1"/>
    <col min="234" max="234" width="18.42578125" bestFit="1" customWidth="1"/>
    <col min="235" max="235" width="82.7109375" bestFit="1" customWidth="1"/>
    <col min="236" max="236" width="42.42578125" bestFit="1" customWidth="1"/>
    <col min="237" max="237" width="44.28515625" bestFit="1" customWidth="1"/>
    <col min="238" max="238" width="52.140625" bestFit="1" customWidth="1"/>
    <col min="239" max="239" width="31.42578125" bestFit="1" customWidth="1"/>
    <col min="240" max="240" width="52.42578125" bestFit="1" customWidth="1"/>
    <col min="241" max="241" width="76.7109375" bestFit="1" customWidth="1"/>
    <col min="242" max="242" width="15.5703125" bestFit="1" customWidth="1"/>
    <col min="243" max="243" width="29.28515625" bestFit="1" customWidth="1"/>
    <col min="244" max="244" width="88.42578125" bestFit="1" customWidth="1"/>
    <col min="245" max="245" width="70.85546875" bestFit="1" customWidth="1"/>
    <col min="246" max="246" width="173" bestFit="1" customWidth="1"/>
    <col min="247" max="247" width="57.42578125" bestFit="1" customWidth="1"/>
    <col min="248" max="248" width="66.42578125" bestFit="1" customWidth="1"/>
    <col min="249" max="249" width="90.5703125" bestFit="1" customWidth="1"/>
    <col min="250" max="250" width="120.42578125" bestFit="1" customWidth="1"/>
    <col min="251" max="251" width="242.7109375" bestFit="1" customWidth="1"/>
    <col min="252" max="252" width="190.140625" bestFit="1" customWidth="1"/>
    <col min="253" max="253" width="55.42578125" bestFit="1" customWidth="1"/>
    <col min="254" max="254" width="72.5703125" bestFit="1" customWidth="1"/>
    <col min="255" max="255" width="56.28515625" bestFit="1" customWidth="1"/>
    <col min="256" max="256" width="165" bestFit="1" customWidth="1"/>
    <col min="257" max="257" width="77.5703125" bestFit="1" customWidth="1"/>
    <col min="258" max="258" width="95.28515625" bestFit="1" customWidth="1"/>
    <col min="259" max="259" width="241.42578125" bestFit="1" customWidth="1"/>
    <col min="260" max="260" width="67.140625" bestFit="1" customWidth="1"/>
    <col min="261" max="261" width="51.140625" bestFit="1" customWidth="1"/>
    <col min="262" max="262" width="103.7109375" bestFit="1" customWidth="1"/>
    <col min="263" max="263" width="86.5703125" bestFit="1" customWidth="1"/>
    <col min="264" max="264" width="85.140625" bestFit="1" customWidth="1"/>
    <col min="265" max="265" width="77.140625" bestFit="1" customWidth="1"/>
    <col min="266" max="266" width="70.140625" bestFit="1" customWidth="1"/>
    <col min="267" max="267" width="97.140625" bestFit="1" customWidth="1"/>
    <col min="268" max="268" width="255.5703125" bestFit="1" customWidth="1"/>
    <col min="269" max="269" width="64.42578125" bestFit="1" customWidth="1"/>
    <col min="270" max="270" width="99.28515625" bestFit="1" customWidth="1"/>
    <col min="271" max="271" width="62" bestFit="1" customWidth="1"/>
    <col min="272" max="272" width="64.42578125" bestFit="1" customWidth="1"/>
    <col min="273" max="273" width="122.5703125" bestFit="1" customWidth="1"/>
    <col min="274" max="274" width="151.85546875" bestFit="1" customWidth="1"/>
    <col min="275" max="275" width="68.7109375" bestFit="1" customWidth="1"/>
    <col min="276" max="276" width="64.42578125" bestFit="1" customWidth="1"/>
    <col min="277" max="277" width="100.140625" bestFit="1" customWidth="1"/>
    <col min="278" max="278" width="58.140625" bestFit="1" customWidth="1"/>
    <col min="279" max="279" width="99.85546875" bestFit="1" customWidth="1"/>
    <col min="280" max="280" width="114" bestFit="1" customWidth="1"/>
    <col min="281" max="281" width="26.140625" bestFit="1" customWidth="1"/>
    <col min="282" max="282" width="53.140625" bestFit="1" customWidth="1"/>
    <col min="283" max="283" width="76.140625" bestFit="1" customWidth="1"/>
    <col min="284" max="284" width="71.85546875" bestFit="1" customWidth="1"/>
    <col min="285" max="285" width="73.140625" bestFit="1" customWidth="1"/>
    <col min="286" max="286" width="87.5703125" bestFit="1" customWidth="1"/>
    <col min="287" max="287" width="83.85546875" bestFit="1" customWidth="1"/>
    <col min="288" max="288" width="72.5703125" bestFit="1" customWidth="1"/>
    <col min="289" max="289" width="55.7109375" bestFit="1" customWidth="1"/>
    <col min="290" max="290" width="118.42578125" bestFit="1" customWidth="1"/>
    <col min="291" max="291" width="109.42578125" bestFit="1" customWidth="1"/>
    <col min="292" max="292" width="106.7109375" bestFit="1" customWidth="1"/>
    <col min="293" max="293" width="77.5703125" bestFit="1" customWidth="1"/>
    <col min="294" max="294" width="187.5703125" bestFit="1" customWidth="1"/>
    <col min="295" max="295" width="129" bestFit="1" customWidth="1"/>
    <col min="296" max="296" width="64.5703125" bestFit="1" customWidth="1"/>
    <col min="297" max="297" width="132.28515625" bestFit="1" customWidth="1"/>
    <col min="298" max="298" width="173.85546875" bestFit="1" customWidth="1"/>
    <col min="299" max="299" width="56" bestFit="1" customWidth="1"/>
    <col min="300" max="300" width="104.42578125" bestFit="1" customWidth="1"/>
    <col min="301" max="301" width="71.28515625" bestFit="1" customWidth="1"/>
    <col min="302" max="302" width="88.140625" bestFit="1" customWidth="1"/>
    <col min="303" max="303" width="106.7109375" bestFit="1" customWidth="1"/>
    <col min="304" max="304" width="84.42578125" bestFit="1" customWidth="1"/>
    <col min="305" max="305" width="112.7109375" bestFit="1" customWidth="1"/>
    <col min="306" max="306" width="55.42578125" bestFit="1" customWidth="1"/>
    <col min="307" max="307" width="81.5703125" bestFit="1" customWidth="1"/>
    <col min="308" max="308" width="200.140625" bestFit="1" customWidth="1"/>
    <col min="309" max="309" width="98" bestFit="1" customWidth="1"/>
    <col min="310" max="310" width="96.85546875" bestFit="1" customWidth="1"/>
    <col min="311" max="311" width="11" bestFit="1" customWidth="1"/>
    <col min="312" max="312" width="10.7109375" bestFit="1" customWidth="1"/>
    <col min="313" max="313" width="108.5703125" bestFit="1" customWidth="1"/>
    <col min="314" max="314" width="153.85546875" bestFit="1" customWidth="1"/>
    <col min="315" max="315" width="148.42578125" bestFit="1" customWidth="1"/>
    <col min="316" max="316" width="82.85546875" bestFit="1" customWidth="1"/>
    <col min="317" max="317" width="119.5703125" bestFit="1" customWidth="1"/>
    <col min="318" max="318" width="63" bestFit="1" customWidth="1"/>
    <col min="319" max="319" width="196.5703125" bestFit="1" customWidth="1"/>
    <col min="320" max="320" width="51.5703125" bestFit="1" customWidth="1"/>
    <col min="321" max="321" width="66" bestFit="1" customWidth="1"/>
    <col min="322" max="322" width="139.7109375" bestFit="1" customWidth="1"/>
    <col min="323" max="323" width="65.85546875" bestFit="1" customWidth="1"/>
    <col min="324" max="324" width="69.85546875" bestFit="1" customWidth="1"/>
    <col min="325" max="325" width="41.85546875" bestFit="1" customWidth="1"/>
    <col min="326" max="326" width="63.28515625" bestFit="1" customWidth="1"/>
    <col min="327" max="327" width="53.140625" bestFit="1" customWidth="1"/>
    <col min="328" max="328" width="76.7109375" bestFit="1" customWidth="1"/>
    <col min="329" max="329" width="35.140625" bestFit="1" customWidth="1"/>
    <col min="330" max="330" width="97.5703125" bestFit="1" customWidth="1"/>
    <col min="331" max="331" width="70.42578125" bestFit="1" customWidth="1"/>
    <col min="332" max="332" width="53.5703125" bestFit="1" customWidth="1"/>
    <col min="333" max="333" width="153.28515625" bestFit="1" customWidth="1"/>
    <col min="334" max="334" width="199.5703125" bestFit="1" customWidth="1"/>
    <col min="335" max="335" width="72.140625" bestFit="1" customWidth="1"/>
    <col min="336" max="336" width="76.140625" bestFit="1" customWidth="1"/>
    <col min="337" max="337" width="82.140625" bestFit="1" customWidth="1"/>
    <col min="338" max="338" width="44.7109375" bestFit="1" customWidth="1"/>
    <col min="339" max="339" width="50.7109375" bestFit="1" customWidth="1"/>
    <col min="340" max="340" width="86.85546875" bestFit="1" customWidth="1"/>
    <col min="341" max="341" width="69.5703125" bestFit="1" customWidth="1"/>
    <col min="342" max="342" width="116.140625" bestFit="1" customWidth="1"/>
    <col min="343" max="343" width="57.42578125" bestFit="1" customWidth="1"/>
    <col min="344" max="344" width="63.85546875" bestFit="1" customWidth="1"/>
    <col min="345" max="345" width="47.42578125" bestFit="1" customWidth="1"/>
    <col min="346" max="346" width="91.140625" bestFit="1" customWidth="1"/>
    <col min="347" max="347" width="62.28515625" bestFit="1" customWidth="1"/>
    <col min="348" max="348" width="58.7109375" bestFit="1" customWidth="1"/>
    <col min="349" max="349" width="50.85546875" bestFit="1" customWidth="1"/>
    <col min="350" max="350" width="111.85546875" bestFit="1" customWidth="1"/>
    <col min="351" max="351" width="123.5703125" bestFit="1" customWidth="1"/>
    <col min="352" max="352" width="227.28515625" bestFit="1" customWidth="1"/>
    <col min="353" max="353" width="182.7109375" bestFit="1" customWidth="1"/>
    <col min="354" max="354" width="20" bestFit="1" customWidth="1"/>
    <col min="355" max="355" width="107" bestFit="1" customWidth="1"/>
    <col min="356" max="356" width="105.28515625" bestFit="1" customWidth="1"/>
    <col min="357" max="357" width="104.42578125" bestFit="1" customWidth="1"/>
    <col min="358" max="358" width="25.42578125" bestFit="1" customWidth="1"/>
    <col min="359" max="359" width="48.42578125" bestFit="1" customWidth="1"/>
    <col min="360" max="360" width="25.140625" bestFit="1" customWidth="1"/>
    <col min="361" max="361" width="65.42578125" bestFit="1" customWidth="1"/>
    <col min="362" max="362" width="59.42578125" bestFit="1" customWidth="1"/>
    <col min="363" max="363" width="57.140625" bestFit="1" customWidth="1"/>
    <col min="364" max="364" width="36.5703125" bestFit="1" customWidth="1"/>
    <col min="365" max="365" width="255.5703125" bestFit="1" customWidth="1"/>
    <col min="366" max="366" width="228.5703125" bestFit="1" customWidth="1"/>
    <col min="367" max="367" width="255.5703125" bestFit="1" customWidth="1"/>
    <col min="368" max="368" width="10.42578125" bestFit="1" customWidth="1"/>
    <col min="369" max="369" width="24" bestFit="1" customWidth="1"/>
    <col min="370" max="370" width="24.5703125" bestFit="1" customWidth="1"/>
    <col min="371" max="371" width="25.140625" bestFit="1" customWidth="1"/>
    <col min="372" max="372" width="138.85546875" bestFit="1" customWidth="1"/>
    <col min="373" max="373" width="105.5703125" bestFit="1" customWidth="1"/>
    <col min="374" max="374" width="33.42578125" bestFit="1" customWidth="1"/>
    <col min="375" max="375" width="49.140625" bestFit="1" customWidth="1"/>
    <col min="376" max="376" width="102.5703125" bestFit="1" customWidth="1"/>
    <col min="377" max="377" width="51.140625" bestFit="1" customWidth="1"/>
    <col min="378" max="378" width="47" bestFit="1" customWidth="1"/>
    <col min="379" max="379" width="72.5703125" bestFit="1" customWidth="1"/>
    <col min="380" max="380" width="45.28515625" bestFit="1" customWidth="1"/>
    <col min="381" max="381" width="117.85546875" bestFit="1" customWidth="1"/>
    <col min="382" max="382" width="120.5703125" bestFit="1" customWidth="1"/>
    <col min="383" max="383" width="59" bestFit="1" customWidth="1"/>
    <col min="384" max="384" width="41.7109375" bestFit="1" customWidth="1"/>
    <col min="385" max="385" width="80.42578125" bestFit="1" customWidth="1"/>
    <col min="386" max="386" width="115.85546875" bestFit="1" customWidth="1"/>
    <col min="387" max="387" width="132" bestFit="1" customWidth="1"/>
    <col min="388" max="388" width="52.140625" bestFit="1" customWidth="1"/>
    <col min="389" max="389" width="64.7109375" bestFit="1" customWidth="1"/>
    <col min="390" max="390" width="64.42578125" bestFit="1" customWidth="1"/>
    <col min="391" max="391" width="9.42578125" bestFit="1" customWidth="1"/>
    <col min="392" max="392" width="12" bestFit="1" customWidth="1"/>
  </cols>
  <sheetData>
    <row r="3" spans="1:4">
      <c r="A3" s="290" t="s">
        <v>299</v>
      </c>
      <c r="B3" t="s">
        <v>300</v>
      </c>
      <c r="C3" t="s">
        <v>301</v>
      </c>
      <c r="D3" t="s">
        <v>302</v>
      </c>
    </row>
    <row r="4" spans="1:4">
      <c r="A4" s="404" t="s">
        <v>303</v>
      </c>
      <c r="B4">
        <v>20</v>
      </c>
      <c r="C4">
        <v>2</v>
      </c>
      <c r="D4">
        <v>7</v>
      </c>
    </row>
    <row r="5" spans="1:4">
      <c r="A5" s="404" t="s">
        <v>304</v>
      </c>
      <c r="B5">
        <v>47</v>
      </c>
      <c r="D5">
        <v>4</v>
      </c>
    </row>
    <row r="6" spans="1:4">
      <c r="A6" s="404" t="s">
        <v>305</v>
      </c>
      <c r="B6">
        <v>53</v>
      </c>
      <c r="D6">
        <v>3</v>
      </c>
    </row>
    <row r="7" spans="1:4">
      <c r="A7" s="404" t="s">
        <v>306</v>
      </c>
      <c r="B7">
        <v>66</v>
      </c>
      <c r="C7">
        <v>13</v>
      </c>
    </row>
    <row r="8" spans="1:4">
      <c r="A8" s="404" t="s">
        <v>307</v>
      </c>
      <c r="B8">
        <v>95</v>
      </c>
      <c r="C8">
        <v>1</v>
      </c>
    </row>
    <row r="9" spans="1:4">
      <c r="A9" s="404" t="s">
        <v>308</v>
      </c>
      <c r="B9">
        <v>36</v>
      </c>
      <c r="C9">
        <v>4</v>
      </c>
      <c r="D9">
        <v>8</v>
      </c>
    </row>
    <row r="10" spans="1:4">
      <c r="A10" s="404" t="s">
        <v>309</v>
      </c>
      <c r="B10">
        <v>72</v>
      </c>
      <c r="C10">
        <v>7</v>
      </c>
      <c r="D10">
        <v>2</v>
      </c>
    </row>
    <row r="11" spans="1:4">
      <c r="A11" s="404" t="s">
        <v>310</v>
      </c>
      <c r="B11">
        <v>389</v>
      </c>
      <c r="C11">
        <v>27</v>
      </c>
      <c r="D11">
        <v>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outlinePr summaryBelow="0"/>
  </sheetPr>
  <dimension ref="A1:Z473"/>
  <sheetViews>
    <sheetView showGridLines="0" tabSelected="1" topLeftCell="F1" zoomScale="70" zoomScaleNormal="70" workbookViewId="0">
      <pane ySplit="4" topLeftCell="A25" activePane="bottomLeft" state="frozen"/>
      <selection pane="bottomLeft" activeCell="Q26" sqref="Q26"/>
    </sheetView>
  </sheetViews>
  <sheetFormatPr defaultColWidth="8.5703125" defaultRowHeight="14.45"/>
  <cols>
    <col min="1" max="1" width="10.5703125" style="73" customWidth="1"/>
    <col min="2" max="2" width="4" style="74" customWidth="1"/>
    <col min="3" max="3" width="29.42578125" style="4" customWidth="1"/>
    <col min="4" max="4" width="7.42578125" style="75" customWidth="1"/>
    <col min="5" max="5" width="40.85546875" style="5" customWidth="1"/>
    <col min="6" max="6" width="7.85546875" style="6" customWidth="1"/>
    <col min="7" max="7" width="38.42578125" style="5" customWidth="1"/>
    <col min="8" max="8" width="9.28515625" style="7" hidden="1" customWidth="1"/>
    <col min="9" max="9" width="11.140625" style="7" hidden="1" customWidth="1"/>
    <col min="10" max="10" width="39.140625" style="5" customWidth="1"/>
    <col min="11" max="11" width="30.85546875" style="7" customWidth="1"/>
    <col min="12" max="12" width="6.140625" style="67" customWidth="1"/>
    <col min="13" max="13" width="10.5703125" style="8" customWidth="1"/>
    <col min="14" max="14" width="56" style="4" hidden="1" customWidth="1"/>
    <col min="15" max="15" width="28.140625" style="380" hidden="1" customWidth="1"/>
    <col min="16" max="16" width="30.85546875" style="380" hidden="1" customWidth="1"/>
    <col min="17" max="17" width="47.5703125" style="9" customWidth="1"/>
    <col min="18" max="18" width="24.5703125" style="8" hidden="1" customWidth="1"/>
    <col min="19" max="19" width="47.5703125" style="9" hidden="1" customWidth="1"/>
    <col min="20" max="20" width="17.85546875" style="67" customWidth="1"/>
    <col min="21" max="21" width="9.5703125" style="7" customWidth="1"/>
    <col min="22" max="22" width="11.42578125" style="7" customWidth="1"/>
    <col min="23" max="23" width="9.42578125" style="68" customWidth="1"/>
    <col min="24" max="24" width="12.42578125" style="68" customWidth="1"/>
    <col min="25" max="25" width="16.85546875" style="68" bestFit="1" customWidth="1"/>
    <col min="26" max="26" width="8.5703125" style="68" customWidth="1"/>
    <col min="27" max="16384" width="8.5703125" style="68"/>
  </cols>
  <sheetData>
    <row r="1" spans="1:26" ht="18.600000000000001">
      <c r="A1" s="64" t="s">
        <v>311</v>
      </c>
      <c r="B1" s="65"/>
      <c r="C1" s="66"/>
      <c r="G1" s="5" t="s">
        <v>312</v>
      </c>
    </row>
    <row r="2" spans="1:26" ht="18.600000000000001">
      <c r="A2" s="69"/>
      <c r="B2" s="70" t="s">
        <v>313</v>
      </c>
      <c r="C2" s="71" t="s">
        <v>314</v>
      </c>
    </row>
    <row r="3" spans="1:26" ht="18.600000000000001">
      <c r="A3" s="69"/>
      <c r="B3" s="70"/>
      <c r="C3" s="72"/>
      <c r="U3" s="451" t="s">
        <v>315</v>
      </c>
      <c r="V3" s="452"/>
      <c r="W3" s="453" t="s">
        <v>316</v>
      </c>
      <c r="X3" s="454"/>
      <c r="Y3" s="455"/>
    </row>
    <row r="4" spans="1:26" s="83" customFormat="1" ht="42.75" customHeight="1">
      <c r="A4" s="76" t="s">
        <v>317</v>
      </c>
      <c r="B4" s="77" t="s">
        <v>318</v>
      </c>
      <c r="C4" s="77" t="s">
        <v>319</v>
      </c>
      <c r="D4" s="78" t="s">
        <v>320</v>
      </c>
      <c r="E4" s="77" t="s">
        <v>321</v>
      </c>
      <c r="F4" s="79" t="s">
        <v>322</v>
      </c>
      <c r="G4" s="79" t="s">
        <v>323</v>
      </c>
      <c r="H4" s="79" t="s">
        <v>324</v>
      </c>
      <c r="I4" s="79" t="s">
        <v>325</v>
      </c>
      <c r="J4" s="80" t="s">
        <v>326</v>
      </c>
      <c r="K4" s="80" t="s">
        <v>327</v>
      </c>
      <c r="L4" s="80" t="s">
        <v>328</v>
      </c>
      <c r="M4" s="81" t="s">
        <v>329</v>
      </c>
      <c r="N4" s="80" t="s">
        <v>330</v>
      </c>
      <c r="O4" s="80" t="s">
        <v>331</v>
      </c>
      <c r="P4" s="80" t="s">
        <v>332</v>
      </c>
      <c r="Q4" s="407" t="s">
        <v>333</v>
      </c>
      <c r="R4" s="82" t="s">
        <v>334</v>
      </c>
      <c r="S4" s="82" t="s">
        <v>335</v>
      </c>
      <c r="T4" s="433" t="s">
        <v>336</v>
      </c>
      <c r="U4" s="434" t="s">
        <v>337</v>
      </c>
      <c r="V4" s="434" t="s">
        <v>338</v>
      </c>
      <c r="W4" s="81" t="s">
        <v>339</v>
      </c>
      <c r="X4" s="81" t="s">
        <v>340</v>
      </c>
      <c r="Y4" s="81" t="s">
        <v>341</v>
      </c>
      <c r="Z4" s="81" t="s">
        <v>342</v>
      </c>
    </row>
    <row r="5" spans="1:26" s="1" customFormat="1" ht="130.5">
      <c r="A5" s="84" t="s">
        <v>308</v>
      </c>
      <c r="B5" s="85">
        <v>1</v>
      </c>
      <c r="C5" s="10" t="s">
        <v>343</v>
      </c>
      <c r="D5" s="86" t="s">
        <v>344</v>
      </c>
      <c r="E5" s="87" t="s">
        <v>345</v>
      </c>
      <c r="F5" s="88" t="s">
        <v>346</v>
      </c>
      <c r="G5" s="88" t="s">
        <v>347</v>
      </c>
      <c r="H5" s="88" t="s">
        <v>348</v>
      </c>
      <c r="I5" s="88" t="s">
        <v>349</v>
      </c>
      <c r="J5" s="205" t="s">
        <v>350</v>
      </c>
      <c r="K5" s="20" t="s">
        <v>351</v>
      </c>
      <c r="L5" s="20" t="s">
        <v>54</v>
      </c>
      <c r="M5" s="27" t="s">
        <v>352</v>
      </c>
      <c r="N5" s="390" t="s">
        <v>353</v>
      </c>
      <c r="O5" s="25"/>
      <c r="P5" s="25"/>
      <c r="Q5" s="20" t="s">
        <v>354</v>
      </c>
      <c r="R5" s="89" t="s">
        <v>355</v>
      </c>
      <c r="S5" s="89" t="s">
        <v>356</v>
      </c>
      <c r="T5" s="20" t="s">
        <v>357</v>
      </c>
      <c r="U5" s="435" t="s">
        <v>358</v>
      </c>
      <c r="V5" s="435" t="s">
        <v>359</v>
      </c>
      <c r="W5" s="27"/>
      <c r="X5" s="338" t="s">
        <v>360</v>
      </c>
      <c r="Y5" s="338" t="s">
        <v>361</v>
      </c>
      <c r="Z5" s="27"/>
    </row>
    <row r="6" spans="1:26" s="1" customFormat="1" ht="72.599999999999994" hidden="1">
      <c r="A6" s="84" t="s">
        <v>308</v>
      </c>
      <c r="B6" s="90">
        <v>1</v>
      </c>
      <c r="C6" s="91" t="s">
        <v>343</v>
      </c>
      <c r="D6" s="396" t="s">
        <v>344</v>
      </c>
      <c r="E6" s="397" t="s">
        <v>345</v>
      </c>
      <c r="F6" s="88" t="s">
        <v>346</v>
      </c>
      <c r="G6" s="88" t="s">
        <v>347</v>
      </c>
      <c r="H6" s="88" t="s">
        <v>348</v>
      </c>
      <c r="I6" s="88" t="s">
        <v>349</v>
      </c>
      <c r="J6" s="205" t="s">
        <v>350</v>
      </c>
      <c r="K6" s="20" t="s">
        <v>351</v>
      </c>
      <c r="L6" s="20" t="s">
        <v>54</v>
      </c>
      <c r="M6" s="27" t="s">
        <v>352</v>
      </c>
      <c r="N6" s="390" t="s">
        <v>362</v>
      </c>
      <c r="O6" s="25"/>
      <c r="P6" s="25"/>
      <c r="Q6" s="27" t="s">
        <v>363</v>
      </c>
      <c r="R6" s="89"/>
      <c r="S6" s="89"/>
      <c r="T6" s="25"/>
      <c r="U6" s="25"/>
      <c r="V6" s="25"/>
      <c r="W6" s="27"/>
      <c r="X6" s="338" t="s">
        <v>360</v>
      </c>
      <c r="Y6" s="338" t="s">
        <v>364</v>
      </c>
      <c r="Z6" s="27"/>
    </row>
    <row r="7" spans="1:26" s="1" customFormat="1" ht="101.45">
      <c r="A7" s="84" t="s">
        <v>308</v>
      </c>
      <c r="B7" s="90">
        <v>1</v>
      </c>
      <c r="C7" s="91" t="s">
        <v>343</v>
      </c>
      <c r="D7" s="92" t="s">
        <v>344</v>
      </c>
      <c r="E7" s="192" t="s">
        <v>345</v>
      </c>
      <c r="F7" s="88" t="s">
        <v>365</v>
      </c>
      <c r="G7" s="88" t="s">
        <v>366</v>
      </c>
      <c r="H7" s="88" t="s">
        <v>348</v>
      </c>
      <c r="I7" s="88" t="s">
        <v>349</v>
      </c>
      <c r="J7" s="205" t="s">
        <v>367</v>
      </c>
      <c r="K7" s="20" t="s">
        <v>351</v>
      </c>
      <c r="L7" s="20" t="s">
        <v>54</v>
      </c>
      <c r="M7" s="27" t="s">
        <v>368</v>
      </c>
      <c r="N7" s="390" t="s">
        <v>369</v>
      </c>
      <c r="O7" s="25"/>
      <c r="P7" s="25"/>
      <c r="Q7" s="20" t="s">
        <v>370</v>
      </c>
      <c r="R7" s="89"/>
      <c r="S7" s="93"/>
      <c r="T7" s="20" t="s">
        <v>371</v>
      </c>
      <c r="U7" s="435">
        <v>1</v>
      </c>
      <c r="V7" s="435">
        <v>4</v>
      </c>
      <c r="W7" s="27"/>
      <c r="X7" s="338" t="s">
        <v>360</v>
      </c>
      <c r="Y7" s="338" t="s">
        <v>361</v>
      </c>
      <c r="Z7" s="27"/>
    </row>
    <row r="8" spans="1:26" s="1" customFormat="1" ht="72.599999999999994" hidden="1">
      <c r="A8" s="84" t="s">
        <v>308</v>
      </c>
      <c r="B8" s="90">
        <v>1</v>
      </c>
      <c r="C8" s="91" t="s">
        <v>343</v>
      </c>
      <c r="D8" s="92" t="s">
        <v>344</v>
      </c>
      <c r="E8" s="192" t="s">
        <v>345</v>
      </c>
      <c r="F8" s="88" t="s">
        <v>365</v>
      </c>
      <c r="G8" s="88" t="s">
        <v>366</v>
      </c>
      <c r="H8" s="88" t="s">
        <v>348</v>
      </c>
      <c r="I8" s="88" t="s">
        <v>349</v>
      </c>
      <c r="J8" s="205" t="s">
        <v>367</v>
      </c>
      <c r="K8" s="20" t="s">
        <v>351</v>
      </c>
      <c r="L8" s="20" t="s">
        <v>54</v>
      </c>
      <c r="M8" s="27" t="s">
        <v>368</v>
      </c>
      <c r="N8" s="390" t="s">
        <v>372</v>
      </c>
      <c r="O8" s="25"/>
      <c r="P8" s="25"/>
      <c r="Q8" s="27" t="s">
        <v>363</v>
      </c>
      <c r="R8" s="89"/>
      <c r="S8" s="93"/>
      <c r="T8" s="25"/>
      <c r="U8" s="25"/>
      <c r="V8" s="25"/>
      <c r="W8" s="27"/>
      <c r="X8" s="338" t="s">
        <v>360</v>
      </c>
      <c r="Y8" s="338" t="s">
        <v>361</v>
      </c>
      <c r="Z8" s="27"/>
    </row>
    <row r="9" spans="1:26" s="1" customFormat="1" ht="72.599999999999994">
      <c r="A9" s="84" t="s">
        <v>308</v>
      </c>
      <c r="B9" s="90">
        <v>1</v>
      </c>
      <c r="C9" s="91" t="s">
        <v>343</v>
      </c>
      <c r="D9" s="86" t="s">
        <v>373</v>
      </c>
      <c r="E9" s="87" t="s">
        <v>374</v>
      </c>
      <c r="F9" s="88" t="s">
        <v>375</v>
      </c>
      <c r="G9" s="88" t="s">
        <v>376</v>
      </c>
      <c r="H9" s="88" t="s">
        <v>348</v>
      </c>
      <c r="I9" s="88" t="s">
        <v>377</v>
      </c>
      <c r="J9" s="20" t="str">
        <f>G9</f>
        <v>Implementar la metodologia de gestió adaptativa (Estàndards Oberts de Gestió Adaptativa a Catalunya) en tots els processos de l'ENP</v>
      </c>
      <c r="K9" s="20"/>
      <c r="L9" s="20" t="s">
        <v>54</v>
      </c>
      <c r="M9" s="27" t="s">
        <v>378</v>
      </c>
      <c r="N9" s="329"/>
      <c r="O9" s="381" t="s">
        <v>376</v>
      </c>
      <c r="P9" s="381"/>
      <c r="Q9" s="20" t="s">
        <v>379</v>
      </c>
      <c r="R9" s="89" t="s">
        <v>380</v>
      </c>
      <c r="S9" s="89" t="s">
        <v>381</v>
      </c>
      <c r="T9" s="20" t="s">
        <v>382</v>
      </c>
      <c r="U9" s="435">
        <v>1</v>
      </c>
      <c r="V9" s="435">
        <v>1</v>
      </c>
      <c r="W9" s="27"/>
      <c r="X9" s="27" t="s">
        <v>360</v>
      </c>
      <c r="Y9" s="27" t="s">
        <v>364</v>
      </c>
      <c r="Z9" s="27"/>
    </row>
    <row r="10" spans="1:26" s="1" customFormat="1" ht="261">
      <c r="A10" s="84" t="s">
        <v>308</v>
      </c>
      <c r="B10" s="90">
        <v>1</v>
      </c>
      <c r="C10" s="91" t="s">
        <v>343</v>
      </c>
      <c r="D10" s="94" t="s">
        <v>373</v>
      </c>
      <c r="E10" s="193" t="s">
        <v>374</v>
      </c>
      <c r="F10" s="88" t="s">
        <v>383</v>
      </c>
      <c r="G10" s="88" t="s">
        <v>384</v>
      </c>
      <c r="H10" s="88" t="s">
        <v>348</v>
      </c>
      <c r="I10" s="88" t="s">
        <v>349</v>
      </c>
      <c r="J10" s="20" t="str">
        <f t="shared" ref="J10:J18" si="0">+G10</f>
        <v>Executar les mesures previstes en els plans de conservació o recuperació d'espècies amenaçades de forma coordinada amb el Servei de Flora i Fauna en l'àmbit de l'ENP</v>
      </c>
      <c r="K10" s="20" t="s">
        <v>385</v>
      </c>
      <c r="L10" s="20" t="s">
        <v>54</v>
      </c>
      <c r="M10" s="27" t="s">
        <v>378</v>
      </c>
      <c r="N10" s="390" t="s">
        <v>386</v>
      </c>
      <c r="O10" s="25"/>
      <c r="P10" s="25"/>
      <c r="Q10" s="20" t="s">
        <v>387</v>
      </c>
      <c r="R10" s="89" t="s">
        <v>388</v>
      </c>
      <c r="S10" s="89" t="s">
        <v>389</v>
      </c>
      <c r="T10" s="20" t="s">
        <v>390</v>
      </c>
      <c r="U10" s="436" t="s">
        <v>391</v>
      </c>
      <c r="V10" s="437" t="s">
        <v>392</v>
      </c>
      <c r="W10" s="27"/>
      <c r="X10" s="338" t="s">
        <v>360</v>
      </c>
      <c r="Y10" s="338" t="s">
        <v>361</v>
      </c>
      <c r="Z10" s="27"/>
    </row>
    <row r="11" spans="1:26" s="1" customFormat="1" ht="72.599999999999994" hidden="1">
      <c r="A11" s="84" t="s">
        <v>308</v>
      </c>
      <c r="B11" s="90">
        <v>1</v>
      </c>
      <c r="C11" s="91" t="s">
        <v>343</v>
      </c>
      <c r="D11" s="94" t="s">
        <v>373</v>
      </c>
      <c r="E11" s="193" t="s">
        <v>374</v>
      </c>
      <c r="F11" s="88" t="s">
        <v>383</v>
      </c>
      <c r="G11" s="88" t="s">
        <v>384</v>
      </c>
      <c r="H11" s="88" t="s">
        <v>348</v>
      </c>
      <c r="I11" s="88" t="s">
        <v>349</v>
      </c>
      <c r="J11" s="20" t="str">
        <f t="shared" si="0"/>
        <v>Executar les mesures previstes en els plans de conservació o recuperació d'espècies amenaçades de forma coordinada amb el Servei de Flora i Fauna en l'àmbit de l'ENP</v>
      </c>
      <c r="K11" s="20" t="s">
        <v>393</v>
      </c>
      <c r="L11" s="20" t="s">
        <v>54</v>
      </c>
      <c r="M11" s="27"/>
      <c r="N11" s="390" t="s">
        <v>394</v>
      </c>
      <c r="O11" s="25"/>
      <c r="P11" s="25"/>
      <c r="Q11" s="27" t="s">
        <v>363</v>
      </c>
      <c r="R11" s="89"/>
      <c r="S11" s="89"/>
      <c r="T11" s="25"/>
      <c r="U11" s="25"/>
      <c r="V11" s="25"/>
      <c r="W11" s="27"/>
      <c r="X11" s="338" t="s">
        <v>360</v>
      </c>
      <c r="Y11" s="338" t="s">
        <v>361</v>
      </c>
      <c r="Z11" s="27"/>
    </row>
    <row r="12" spans="1:26" s="1" customFormat="1" ht="72.599999999999994" hidden="1">
      <c r="A12" s="84" t="s">
        <v>308</v>
      </c>
      <c r="B12" s="90">
        <v>1</v>
      </c>
      <c r="C12" s="91" t="s">
        <v>343</v>
      </c>
      <c r="D12" s="94" t="s">
        <v>373</v>
      </c>
      <c r="E12" s="193" t="s">
        <v>374</v>
      </c>
      <c r="F12" s="88" t="s">
        <v>383</v>
      </c>
      <c r="G12" s="88" t="s">
        <v>384</v>
      </c>
      <c r="H12" s="88" t="s">
        <v>348</v>
      </c>
      <c r="I12" s="88" t="s">
        <v>349</v>
      </c>
      <c r="J12" s="20" t="str">
        <f t="shared" si="0"/>
        <v>Executar les mesures previstes en els plans de conservació o recuperació d'espècies amenaçades de forma coordinada amb el Servei de Flora i Fauna en l'àmbit de l'ENP</v>
      </c>
      <c r="K12" s="20" t="s">
        <v>393</v>
      </c>
      <c r="L12" s="20" t="s">
        <v>54</v>
      </c>
      <c r="M12" s="27"/>
      <c r="N12" s="390" t="s">
        <v>395</v>
      </c>
      <c r="O12" s="25"/>
      <c r="P12" s="25"/>
      <c r="Q12" s="27" t="s">
        <v>363</v>
      </c>
      <c r="R12" s="89"/>
      <c r="S12" s="89"/>
      <c r="T12" s="25"/>
      <c r="U12" s="25"/>
      <c r="V12" s="25"/>
      <c r="W12" s="27"/>
      <c r="X12" s="338" t="s">
        <v>360</v>
      </c>
      <c r="Y12" s="338" t="s">
        <v>361</v>
      </c>
      <c r="Z12" s="27"/>
    </row>
    <row r="13" spans="1:26" s="1" customFormat="1" ht="72.599999999999994" hidden="1">
      <c r="A13" s="84" t="s">
        <v>308</v>
      </c>
      <c r="B13" s="90">
        <v>1</v>
      </c>
      <c r="C13" s="91" t="s">
        <v>343</v>
      </c>
      <c r="D13" s="94" t="s">
        <v>373</v>
      </c>
      <c r="E13" s="193" t="s">
        <v>374</v>
      </c>
      <c r="F13" s="88" t="s">
        <v>383</v>
      </c>
      <c r="G13" s="88" t="s">
        <v>384</v>
      </c>
      <c r="H13" s="88" t="s">
        <v>348</v>
      </c>
      <c r="I13" s="88" t="s">
        <v>349</v>
      </c>
      <c r="J13" s="20" t="str">
        <f t="shared" si="0"/>
        <v>Executar les mesures previstes en els plans de conservació o recuperació d'espècies amenaçades de forma coordinada amb el Servei de Flora i Fauna en l'àmbit de l'ENP</v>
      </c>
      <c r="K13" s="20" t="s">
        <v>393</v>
      </c>
      <c r="L13" s="20" t="s">
        <v>54</v>
      </c>
      <c r="M13" s="27"/>
      <c r="N13" s="390" t="s">
        <v>396</v>
      </c>
      <c r="O13" s="25"/>
      <c r="P13" s="25"/>
      <c r="Q13" s="27" t="s">
        <v>363</v>
      </c>
      <c r="R13" s="89"/>
      <c r="S13" s="89"/>
      <c r="T13" s="25"/>
      <c r="U13" s="25"/>
      <c r="V13" s="25"/>
      <c r="W13" s="27"/>
      <c r="X13" s="338" t="s">
        <v>360</v>
      </c>
      <c r="Y13" s="338" t="s">
        <v>361</v>
      </c>
      <c r="Z13" s="27"/>
    </row>
    <row r="14" spans="1:26" s="1" customFormat="1" ht="72.599999999999994" hidden="1">
      <c r="A14" s="84" t="s">
        <v>308</v>
      </c>
      <c r="B14" s="90">
        <v>1</v>
      </c>
      <c r="C14" s="91" t="s">
        <v>343</v>
      </c>
      <c r="D14" s="94" t="s">
        <v>373</v>
      </c>
      <c r="E14" s="193" t="s">
        <v>374</v>
      </c>
      <c r="F14" s="88" t="s">
        <v>383</v>
      </c>
      <c r="G14" s="88" t="s">
        <v>384</v>
      </c>
      <c r="H14" s="88" t="s">
        <v>348</v>
      </c>
      <c r="I14" s="88" t="s">
        <v>349</v>
      </c>
      <c r="J14" s="20" t="str">
        <f t="shared" si="0"/>
        <v>Executar les mesures previstes en els plans de conservació o recuperació d'espècies amenaçades de forma coordinada amb el Servei de Flora i Fauna en l'àmbit de l'ENP</v>
      </c>
      <c r="K14" s="20" t="s">
        <v>393</v>
      </c>
      <c r="L14" s="20" t="s">
        <v>54</v>
      </c>
      <c r="M14" s="27"/>
      <c r="N14" s="390" t="s">
        <v>397</v>
      </c>
      <c r="O14" s="25"/>
      <c r="P14" s="25"/>
      <c r="Q14" s="27" t="s">
        <v>363</v>
      </c>
      <c r="R14" s="89"/>
      <c r="S14" s="89"/>
      <c r="T14" s="25"/>
      <c r="U14" s="25"/>
      <c r="V14" s="25"/>
      <c r="W14" s="27"/>
      <c r="X14" s="338" t="s">
        <v>360</v>
      </c>
      <c r="Y14" s="338" t="s">
        <v>361</v>
      </c>
      <c r="Z14" s="27"/>
    </row>
    <row r="15" spans="1:26" s="1" customFormat="1" ht="72.599999999999994" hidden="1">
      <c r="A15" s="84" t="s">
        <v>308</v>
      </c>
      <c r="B15" s="90">
        <v>1</v>
      </c>
      <c r="C15" s="91" t="s">
        <v>343</v>
      </c>
      <c r="D15" s="94" t="s">
        <v>373</v>
      </c>
      <c r="E15" s="193" t="s">
        <v>374</v>
      </c>
      <c r="F15" s="88" t="s">
        <v>383</v>
      </c>
      <c r="G15" s="88" t="s">
        <v>384</v>
      </c>
      <c r="H15" s="88" t="s">
        <v>348</v>
      </c>
      <c r="I15" s="88" t="s">
        <v>349</v>
      </c>
      <c r="J15" s="20" t="str">
        <f t="shared" si="0"/>
        <v>Executar les mesures previstes en els plans de conservació o recuperació d'espècies amenaçades de forma coordinada amb el Servei de Flora i Fauna en l'àmbit de l'ENP</v>
      </c>
      <c r="K15" s="20" t="s">
        <v>393</v>
      </c>
      <c r="L15" s="20" t="s">
        <v>54</v>
      </c>
      <c r="M15" s="27"/>
      <c r="N15" s="390" t="s">
        <v>398</v>
      </c>
      <c r="O15" s="25"/>
      <c r="P15" s="25"/>
      <c r="Q15" s="27" t="s">
        <v>363</v>
      </c>
      <c r="R15" s="89"/>
      <c r="S15" s="89"/>
      <c r="T15" s="25"/>
      <c r="U15" s="25"/>
      <c r="V15" s="25"/>
      <c r="W15" s="27"/>
      <c r="X15" s="338" t="s">
        <v>360</v>
      </c>
      <c r="Y15" s="338" t="s">
        <v>361</v>
      </c>
      <c r="Z15" s="27"/>
    </row>
    <row r="16" spans="1:26" s="1" customFormat="1" ht="72.599999999999994" hidden="1">
      <c r="A16" s="84" t="s">
        <v>308</v>
      </c>
      <c r="B16" s="90">
        <v>1</v>
      </c>
      <c r="C16" s="91" t="s">
        <v>343</v>
      </c>
      <c r="D16" s="94" t="s">
        <v>373</v>
      </c>
      <c r="E16" s="193" t="s">
        <v>374</v>
      </c>
      <c r="F16" s="88" t="s">
        <v>383</v>
      </c>
      <c r="G16" s="88" t="s">
        <v>384</v>
      </c>
      <c r="H16" s="88" t="s">
        <v>348</v>
      </c>
      <c r="I16" s="88" t="s">
        <v>349</v>
      </c>
      <c r="J16" s="20" t="str">
        <f t="shared" si="0"/>
        <v>Executar les mesures previstes en els plans de conservació o recuperació d'espècies amenaçades de forma coordinada amb el Servei de Flora i Fauna en l'àmbit de l'ENP</v>
      </c>
      <c r="K16" s="20" t="s">
        <v>393</v>
      </c>
      <c r="L16" s="20" t="s">
        <v>54</v>
      </c>
      <c r="M16" s="27"/>
      <c r="N16" s="390" t="s">
        <v>399</v>
      </c>
      <c r="O16" s="25"/>
      <c r="P16" s="25"/>
      <c r="Q16" s="27" t="s">
        <v>363</v>
      </c>
      <c r="R16" s="89"/>
      <c r="S16" s="89"/>
      <c r="T16" s="25"/>
      <c r="U16" s="25"/>
      <c r="V16" s="25"/>
      <c r="W16" s="27"/>
      <c r="X16" s="338" t="s">
        <v>360</v>
      </c>
      <c r="Y16" s="338" t="s">
        <v>400</v>
      </c>
      <c r="Z16" s="27"/>
    </row>
    <row r="17" spans="1:26" s="1" customFormat="1" ht="72.599999999999994" hidden="1">
      <c r="A17" s="84" t="s">
        <v>308</v>
      </c>
      <c r="B17" s="90">
        <v>1</v>
      </c>
      <c r="C17" s="91" t="s">
        <v>343</v>
      </c>
      <c r="D17" s="94" t="s">
        <v>373</v>
      </c>
      <c r="E17" s="193" t="s">
        <v>374</v>
      </c>
      <c r="F17" s="88" t="s">
        <v>383</v>
      </c>
      <c r="G17" s="88" t="s">
        <v>384</v>
      </c>
      <c r="H17" s="88" t="s">
        <v>348</v>
      </c>
      <c r="I17" s="88" t="s">
        <v>349</v>
      </c>
      <c r="J17" s="20" t="str">
        <f t="shared" si="0"/>
        <v>Executar les mesures previstes en els plans de conservació o recuperació d'espècies amenaçades de forma coordinada amb el Servei de Flora i Fauna en l'àmbit de l'ENP</v>
      </c>
      <c r="K17" s="20" t="s">
        <v>393</v>
      </c>
      <c r="L17" s="20" t="s">
        <v>54</v>
      </c>
      <c r="M17" s="27"/>
      <c r="N17" s="390" t="s">
        <v>401</v>
      </c>
      <c r="O17" s="25"/>
      <c r="P17" s="25"/>
      <c r="Q17" s="27" t="s">
        <v>363</v>
      </c>
      <c r="R17" s="89"/>
      <c r="S17" s="89"/>
      <c r="T17" s="25"/>
      <c r="U17" s="25"/>
      <c r="V17" s="25"/>
      <c r="W17" s="27"/>
      <c r="X17" s="338" t="s">
        <v>360</v>
      </c>
      <c r="Y17" s="338" t="s">
        <v>400</v>
      </c>
      <c r="Z17" s="27"/>
    </row>
    <row r="18" spans="1:26" s="1" customFormat="1" ht="72.599999999999994" hidden="1">
      <c r="A18" s="84" t="s">
        <v>308</v>
      </c>
      <c r="B18" s="90">
        <v>1</v>
      </c>
      <c r="C18" s="91" t="s">
        <v>343</v>
      </c>
      <c r="D18" s="94" t="s">
        <v>373</v>
      </c>
      <c r="E18" s="193" t="s">
        <v>374</v>
      </c>
      <c r="F18" s="88" t="s">
        <v>383</v>
      </c>
      <c r="G18" s="88" t="s">
        <v>384</v>
      </c>
      <c r="H18" s="88" t="s">
        <v>348</v>
      </c>
      <c r="I18" s="88" t="s">
        <v>349</v>
      </c>
      <c r="J18" s="20" t="str">
        <f t="shared" si="0"/>
        <v>Executar les mesures previstes en els plans de conservació o recuperació d'espècies amenaçades de forma coordinada amb el Servei de Flora i Fauna en l'àmbit de l'ENP</v>
      </c>
      <c r="K18" s="20"/>
      <c r="L18" s="20" t="s">
        <v>54</v>
      </c>
      <c r="M18" s="27"/>
      <c r="N18" s="390" t="s">
        <v>402</v>
      </c>
      <c r="O18" s="25"/>
      <c r="P18" s="25"/>
      <c r="Q18" s="27" t="s">
        <v>363</v>
      </c>
      <c r="R18" s="89"/>
      <c r="S18" s="89"/>
      <c r="T18" s="25"/>
      <c r="U18" s="25"/>
      <c r="V18" s="25"/>
      <c r="W18" s="27"/>
      <c r="X18" s="338" t="s">
        <v>360</v>
      </c>
      <c r="Y18" s="338" t="s">
        <v>403</v>
      </c>
      <c r="Z18" s="27"/>
    </row>
    <row r="19" spans="1:26" s="1" customFormat="1" ht="72.599999999999994">
      <c r="A19" s="84" t="s">
        <v>308</v>
      </c>
      <c r="B19" s="90">
        <v>1</v>
      </c>
      <c r="C19" s="91" t="s">
        <v>343</v>
      </c>
      <c r="D19" s="94" t="s">
        <v>373</v>
      </c>
      <c r="E19" s="193" t="s">
        <v>374</v>
      </c>
      <c r="F19" s="88" t="s">
        <v>404</v>
      </c>
      <c r="G19" s="88" t="s">
        <v>405</v>
      </c>
      <c r="H19" s="88" t="s">
        <v>348</v>
      </c>
      <c r="I19" s="88" t="s">
        <v>349</v>
      </c>
      <c r="J19" s="205" t="s">
        <v>406</v>
      </c>
      <c r="K19" s="20" t="s">
        <v>385</v>
      </c>
      <c r="L19" s="20" t="s">
        <v>54</v>
      </c>
      <c r="M19" s="27" t="s">
        <v>378</v>
      </c>
      <c r="N19" s="390" t="s">
        <v>407</v>
      </c>
      <c r="O19" s="25"/>
      <c r="P19" s="25"/>
      <c r="Q19" s="20" t="s">
        <v>408</v>
      </c>
      <c r="R19" s="89" t="s">
        <v>409</v>
      </c>
      <c r="S19" s="89" t="s">
        <v>410</v>
      </c>
      <c r="T19" s="20" t="s">
        <v>411</v>
      </c>
      <c r="U19" s="435">
        <v>5</v>
      </c>
      <c r="V19" s="435">
        <v>10</v>
      </c>
      <c r="W19" s="27"/>
      <c r="X19" s="338" t="s">
        <v>360</v>
      </c>
      <c r="Y19" s="338" t="s">
        <v>361</v>
      </c>
      <c r="Z19" s="27"/>
    </row>
    <row r="20" spans="1:26" s="1" customFormat="1" ht="72.599999999999994" hidden="1">
      <c r="A20" s="84" t="s">
        <v>308</v>
      </c>
      <c r="B20" s="90">
        <v>1</v>
      </c>
      <c r="C20" s="91" t="s">
        <v>343</v>
      </c>
      <c r="D20" s="94" t="s">
        <v>373</v>
      </c>
      <c r="E20" s="193" t="s">
        <v>374</v>
      </c>
      <c r="F20" s="88" t="s">
        <v>404</v>
      </c>
      <c r="G20" s="88" t="s">
        <v>405</v>
      </c>
      <c r="H20" s="88" t="s">
        <v>348</v>
      </c>
      <c r="I20" s="88" t="s">
        <v>349</v>
      </c>
      <c r="J20" s="205" t="s">
        <v>406</v>
      </c>
      <c r="K20" s="20" t="s">
        <v>385</v>
      </c>
      <c r="L20" s="20" t="s">
        <v>54</v>
      </c>
      <c r="M20" s="27"/>
      <c r="N20" s="390" t="s">
        <v>412</v>
      </c>
      <c r="O20" s="25"/>
      <c r="P20" s="25"/>
      <c r="Q20" s="27" t="s">
        <v>363</v>
      </c>
      <c r="R20" s="89"/>
      <c r="S20" s="89"/>
      <c r="T20" s="25"/>
      <c r="U20" s="25"/>
      <c r="V20" s="25"/>
      <c r="W20" s="27"/>
      <c r="X20" s="338" t="s">
        <v>360</v>
      </c>
      <c r="Y20" s="338" t="s">
        <v>400</v>
      </c>
      <c r="Z20" s="27"/>
    </row>
    <row r="21" spans="1:26" s="1" customFormat="1" ht="72.599999999999994" hidden="1">
      <c r="A21" s="84" t="s">
        <v>308</v>
      </c>
      <c r="B21" s="90">
        <v>1</v>
      </c>
      <c r="C21" s="91" t="s">
        <v>343</v>
      </c>
      <c r="D21" s="94" t="s">
        <v>373</v>
      </c>
      <c r="E21" s="193" t="s">
        <v>374</v>
      </c>
      <c r="F21" s="88" t="s">
        <v>404</v>
      </c>
      <c r="G21" s="88" t="s">
        <v>405</v>
      </c>
      <c r="H21" s="88" t="s">
        <v>348</v>
      </c>
      <c r="I21" s="88" t="s">
        <v>349</v>
      </c>
      <c r="J21" s="205" t="s">
        <v>406</v>
      </c>
      <c r="K21" s="20" t="s">
        <v>385</v>
      </c>
      <c r="L21" s="20" t="s">
        <v>54</v>
      </c>
      <c r="M21" s="27"/>
      <c r="N21" s="390" t="s">
        <v>413</v>
      </c>
      <c r="O21" s="25"/>
      <c r="P21" s="25"/>
      <c r="Q21" s="27" t="s">
        <v>363</v>
      </c>
      <c r="R21" s="89"/>
      <c r="S21" s="89"/>
      <c r="T21" s="25"/>
      <c r="U21" s="25"/>
      <c r="V21" s="25"/>
      <c r="W21" s="27"/>
      <c r="X21" s="338" t="s">
        <v>360</v>
      </c>
      <c r="Y21" s="338" t="s">
        <v>361</v>
      </c>
      <c r="Z21" s="27"/>
    </row>
    <row r="22" spans="1:26" s="1" customFormat="1" ht="72.599999999999994">
      <c r="A22" s="84" t="s">
        <v>308</v>
      </c>
      <c r="B22" s="90">
        <v>1</v>
      </c>
      <c r="C22" s="91" t="s">
        <v>343</v>
      </c>
      <c r="D22" s="94" t="s">
        <v>373</v>
      </c>
      <c r="E22" s="193" t="s">
        <v>374</v>
      </c>
      <c r="F22" s="88" t="s">
        <v>414</v>
      </c>
      <c r="G22" s="88" t="s">
        <v>415</v>
      </c>
      <c r="H22" s="88" t="s">
        <v>416</v>
      </c>
      <c r="I22" s="88" t="s">
        <v>417</v>
      </c>
      <c r="J22" s="20" t="str">
        <f>G22</f>
        <v xml:space="preserve">Desplegar els objectius i tasques recollits en els instruments de referència i compromisos internacionals  </v>
      </c>
      <c r="K22" s="20" t="s">
        <v>418</v>
      </c>
      <c r="L22" s="20" t="s">
        <v>54</v>
      </c>
      <c r="M22" s="27" t="s">
        <v>352</v>
      </c>
      <c r="N22" s="329"/>
      <c r="O22" s="25" t="s">
        <v>419</v>
      </c>
      <c r="P22" s="25"/>
      <c r="Q22" s="20" t="s">
        <v>420</v>
      </c>
      <c r="R22" s="89"/>
      <c r="S22" s="89"/>
      <c r="T22" s="20" t="s">
        <v>421</v>
      </c>
      <c r="U22" s="435">
        <v>1</v>
      </c>
      <c r="V22" s="435">
        <v>4</v>
      </c>
      <c r="W22" s="27"/>
      <c r="X22" s="27"/>
      <c r="Y22" s="27"/>
      <c r="Z22" s="27"/>
    </row>
    <row r="23" spans="1:26" s="1" customFormat="1" ht="72.599999999999994">
      <c r="A23" s="84" t="s">
        <v>308</v>
      </c>
      <c r="B23" s="90">
        <v>1</v>
      </c>
      <c r="C23" s="91" t="s">
        <v>343</v>
      </c>
      <c r="D23" s="86" t="s">
        <v>422</v>
      </c>
      <c r="E23" s="87" t="s">
        <v>423</v>
      </c>
      <c r="F23" s="88" t="s">
        <v>424</v>
      </c>
      <c r="G23" s="88" t="s">
        <v>425</v>
      </c>
      <c r="H23" s="88" t="s">
        <v>348</v>
      </c>
      <c r="I23" s="88" t="s">
        <v>349</v>
      </c>
      <c r="J23" s="205" t="s">
        <v>426</v>
      </c>
      <c r="K23" s="20" t="s">
        <v>427</v>
      </c>
      <c r="L23" s="20" t="s">
        <v>54</v>
      </c>
      <c r="M23" s="27" t="s">
        <v>352</v>
      </c>
      <c r="N23" s="390" t="s">
        <v>428</v>
      </c>
      <c r="O23" s="25"/>
      <c r="P23" s="25"/>
      <c r="Q23" s="20" t="s">
        <v>429</v>
      </c>
      <c r="R23" s="89" t="s">
        <v>380</v>
      </c>
      <c r="S23" s="89" t="s">
        <v>430</v>
      </c>
      <c r="T23" s="20" t="s">
        <v>431</v>
      </c>
      <c r="U23" s="435">
        <v>1</v>
      </c>
      <c r="V23" s="435">
        <v>1</v>
      </c>
      <c r="W23" s="27"/>
      <c r="X23" s="27" t="s">
        <v>432</v>
      </c>
      <c r="Y23" s="27" t="s">
        <v>433</v>
      </c>
      <c r="Z23" s="27"/>
    </row>
    <row r="24" spans="1:26" s="1" customFormat="1" ht="87">
      <c r="A24" s="84" t="s">
        <v>308</v>
      </c>
      <c r="B24" s="90">
        <v>1</v>
      </c>
      <c r="C24" s="91" t="s">
        <v>343</v>
      </c>
      <c r="D24" s="94" t="s">
        <v>422</v>
      </c>
      <c r="E24" s="193" t="s">
        <v>423</v>
      </c>
      <c r="F24" s="88" t="s">
        <v>434</v>
      </c>
      <c r="G24" s="88" t="s">
        <v>435</v>
      </c>
      <c r="H24" s="88" t="s">
        <v>416</v>
      </c>
      <c r="I24" s="88" t="s">
        <v>417</v>
      </c>
      <c r="J24" s="205" t="str">
        <f>G24</f>
        <v>Afavorir la maduresa dels sistemes forestals</v>
      </c>
      <c r="K24" s="25" t="s">
        <v>436</v>
      </c>
      <c r="L24" s="20" t="s">
        <v>54</v>
      </c>
      <c r="M24" s="27" t="s">
        <v>352</v>
      </c>
      <c r="N24" s="390" t="s">
        <v>437</v>
      </c>
      <c r="O24" s="25"/>
      <c r="P24" s="25"/>
      <c r="Q24" s="20" t="s">
        <v>438</v>
      </c>
      <c r="R24" s="89" t="s">
        <v>355</v>
      </c>
      <c r="S24" s="89" t="s">
        <v>430</v>
      </c>
      <c r="T24" s="20" t="s">
        <v>411</v>
      </c>
      <c r="U24" s="435">
        <v>2</v>
      </c>
      <c r="V24" s="435">
        <v>4</v>
      </c>
      <c r="W24" s="27"/>
      <c r="X24" s="27" t="s">
        <v>432</v>
      </c>
      <c r="Y24" s="27" t="s">
        <v>433</v>
      </c>
      <c r="Z24" s="27"/>
    </row>
    <row r="25" spans="1:26" s="1" customFormat="1" ht="72.599999999999994">
      <c r="A25" s="84" t="s">
        <v>308</v>
      </c>
      <c r="B25" s="90">
        <v>1</v>
      </c>
      <c r="C25" s="91" t="s">
        <v>343</v>
      </c>
      <c r="D25" s="94" t="s">
        <v>422</v>
      </c>
      <c r="E25" s="193" t="s">
        <v>423</v>
      </c>
      <c r="F25" s="88" t="s">
        <v>439</v>
      </c>
      <c r="G25" s="88" t="s">
        <v>440</v>
      </c>
      <c r="H25" s="88" t="s">
        <v>416</v>
      </c>
      <c r="I25" s="88" t="s">
        <v>417</v>
      </c>
      <c r="J25" s="205" t="s">
        <v>441</v>
      </c>
      <c r="K25" s="20" t="s">
        <v>442</v>
      </c>
      <c r="L25" s="224" t="s">
        <v>107</v>
      </c>
      <c r="M25" s="27" t="s">
        <v>368</v>
      </c>
      <c r="N25" s="331"/>
      <c r="O25" s="25"/>
      <c r="P25" s="25" t="s">
        <v>441</v>
      </c>
      <c r="Q25" s="27" t="s">
        <v>441</v>
      </c>
      <c r="R25" s="89" t="s">
        <v>355</v>
      </c>
      <c r="S25" s="89" t="s">
        <v>430</v>
      </c>
      <c r="T25" s="25"/>
      <c r="U25" s="409"/>
      <c r="V25" s="409"/>
      <c r="W25" s="27"/>
      <c r="X25" s="27" t="s">
        <v>432</v>
      </c>
      <c r="Y25" s="27" t="s">
        <v>433</v>
      </c>
      <c r="Z25" s="27"/>
    </row>
    <row r="26" spans="1:26" s="1" customFormat="1" ht="87">
      <c r="A26" s="84" t="s">
        <v>308</v>
      </c>
      <c r="B26" s="90">
        <v>1</v>
      </c>
      <c r="C26" s="91" t="s">
        <v>343</v>
      </c>
      <c r="D26" s="94" t="s">
        <v>422</v>
      </c>
      <c r="E26" s="193" t="s">
        <v>423</v>
      </c>
      <c r="F26" s="88" t="s">
        <v>443</v>
      </c>
      <c r="G26" s="88" t="s">
        <v>444</v>
      </c>
      <c r="H26" s="88" t="s">
        <v>416</v>
      </c>
      <c r="I26" s="88" t="s">
        <v>417</v>
      </c>
      <c r="J26" s="205" t="s">
        <v>445</v>
      </c>
      <c r="K26" s="20"/>
      <c r="L26" s="20" t="s">
        <v>54</v>
      </c>
      <c r="M26" s="27" t="s">
        <v>368</v>
      </c>
      <c r="N26" s="393" t="s">
        <v>446</v>
      </c>
      <c r="O26" s="25"/>
      <c r="P26" s="25"/>
      <c r="Q26" s="20" t="s">
        <v>447</v>
      </c>
      <c r="R26" s="89" t="s">
        <v>355</v>
      </c>
      <c r="S26" s="89" t="s">
        <v>430</v>
      </c>
      <c r="T26" s="20" t="s">
        <v>411</v>
      </c>
      <c r="U26" s="435">
        <v>2</v>
      </c>
      <c r="V26" s="435">
        <v>4</v>
      </c>
      <c r="W26" s="27"/>
      <c r="X26" s="27" t="s">
        <v>432</v>
      </c>
      <c r="Y26" s="27" t="s">
        <v>433</v>
      </c>
      <c r="Z26" s="27"/>
    </row>
    <row r="27" spans="1:26" s="1" customFormat="1" ht="72.599999999999994" hidden="1">
      <c r="A27" s="84" t="s">
        <v>308</v>
      </c>
      <c r="B27" s="90">
        <v>1</v>
      </c>
      <c r="C27" s="91" t="s">
        <v>343</v>
      </c>
      <c r="D27" s="94" t="s">
        <v>422</v>
      </c>
      <c r="E27" s="193" t="s">
        <v>423</v>
      </c>
      <c r="F27" s="88" t="s">
        <v>443</v>
      </c>
      <c r="G27" s="88" t="s">
        <v>444</v>
      </c>
      <c r="H27" s="88" t="s">
        <v>416</v>
      </c>
      <c r="I27" s="88" t="s">
        <v>417</v>
      </c>
      <c r="J27" s="205" t="s">
        <v>445</v>
      </c>
      <c r="K27" s="20"/>
      <c r="L27" s="20" t="s">
        <v>54</v>
      </c>
      <c r="M27" s="27" t="s">
        <v>368</v>
      </c>
      <c r="N27" s="332"/>
      <c r="O27" s="25" t="s">
        <v>448</v>
      </c>
      <c r="P27" s="25"/>
      <c r="Q27" s="27" t="s">
        <v>363</v>
      </c>
      <c r="R27" s="89"/>
      <c r="S27" s="89"/>
      <c r="T27" s="25"/>
      <c r="U27" s="25"/>
      <c r="V27" s="25"/>
      <c r="W27" s="27"/>
      <c r="X27" s="27"/>
      <c r="Y27" s="27"/>
      <c r="Z27" s="27"/>
    </row>
    <row r="28" spans="1:26" s="1" customFormat="1" ht="72.599999999999994" hidden="1">
      <c r="A28" s="84" t="s">
        <v>308</v>
      </c>
      <c r="B28" s="90">
        <v>1</v>
      </c>
      <c r="C28" s="91" t="s">
        <v>343</v>
      </c>
      <c r="D28" s="94" t="s">
        <v>422</v>
      </c>
      <c r="E28" s="193" t="s">
        <v>423</v>
      </c>
      <c r="F28" s="88" t="s">
        <v>443</v>
      </c>
      <c r="G28" s="88" t="s">
        <v>444</v>
      </c>
      <c r="H28" s="88" t="s">
        <v>416</v>
      </c>
      <c r="I28" s="88" t="s">
        <v>417</v>
      </c>
      <c r="J28" s="205" t="s">
        <v>445</v>
      </c>
      <c r="K28" s="20"/>
      <c r="L28" s="20" t="s">
        <v>54</v>
      </c>
      <c r="M28" s="27" t="s">
        <v>368</v>
      </c>
      <c r="N28" s="393" t="s">
        <v>449</v>
      </c>
      <c r="O28" s="25"/>
      <c r="P28" s="25"/>
      <c r="Q28" s="27" t="s">
        <v>363</v>
      </c>
      <c r="R28" s="89"/>
      <c r="S28" s="89"/>
      <c r="T28" s="25"/>
      <c r="U28" s="25"/>
      <c r="V28" s="25"/>
      <c r="W28" s="27"/>
      <c r="X28" s="27"/>
      <c r="Y28" s="27"/>
      <c r="Z28" s="27"/>
    </row>
    <row r="29" spans="1:26" s="1" customFormat="1" ht="116.1">
      <c r="A29" s="84" t="s">
        <v>308</v>
      </c>
      <c r="B29" s="90">
        <v>1</v>
      </c>
      <c r="C29" s="91" t="s">
        <v>343</v>
      </c>
      <c r="D29" s="94" t="s">
        <v>422</v>
      </c>
      <c r="E29" s="193" t="s">
        <v>423</v>
      </c>
      <c r="F29" s="88" t="s">
        <v>450</v>
      </c>
      <c r="G29" s="88" t="s">
        <v>451</v>
      </c>
      <c r="H29" s="88" t="s">
        <v>416</v>
      </c>
      <c r="I29" s="88" t="s">
        <v>417</v>
      </c>
      <c r="J29" s="205" t="s">
        <v>452</v>
      </c>
      <c r="K29" s="206" t="s">
        <v>453</v>
      </c>
      <c r="L29" s="20" t="s">
        <v>54</v>
      </c>
      <c r="M29" s="27"/>
      <c r="N29" s="390" t="s">
        <v>454</v>
      </c>
      <c r="O29" s="25"/>
      <c r="P29" s="25"/>
      <c r="Q29" s="20" t="s">
        <v>455</v>
      </c>
      <c r="R29" s="89"/>
      <c r="S29" s="89"/>
      <c r="T29" s="20" t="s">
        <v>456</v>
      </c>
      <c r="U29" s="435">
        <v>5</v>
      </c>
      <c r="V29" s="435">
        <v>10</v>
      </c>
      <c r="W29" s="27"/>
      <c r="X29" s="27" t="s">
        <v>432</v>
      </c>
      <c r="Y29" s="27" t="s">
        <v>457</v>
      </c>
      <c r="Z29" s="27"/>
    </row>
    <row r="30" spans="1:26" s="1" customFormat="1" ht="72.599999999999994">
      <c r="A30" s="84" t="s">
        <v>308</v>
      </c>
      <c r="B30" s="90">
        <v>1</v>
      </c>
      <c r="C30" s="91" t="s">
        <v>343</v>
      </c>
      <c r="D30" s="94" t="s">
        <v>422</v>
      </c>
      <c r="E30" s="193" t="s">
        <v>423</v>
      </c>
      <c r="F30" s="88" t="s">
        <v>458</v>
      </c>
      <c r="G30" s="88" t="s">
        <v>459</v>
      </c>
      <c r="H30" s="88" t="s">
        <v>416</v>
      </c>
      <c r="I30" s="88" t="s">
        <v>417</v>
      </c>
      <c r="J30" s="205" t="s">
        <v>460</v>
      </c>
      <c r="K30" s="20" t="s">
        <v>461</v>
      </c>
      <c r="L30" s="224" t="s">
        <v>107</v>
      </c>
      <c r="M30" s="27" t="s">
        <v>368</v>
      </c>
      <c r="N30" s="329"/>
      <c r="P30" s="25" t="s">
        <v>460</v>
      </c>
      <c r="Q30" s="27" t="s">
        <v>460</v>
      </c>
      <c r="R30" s="89"/>
      <c r="S30" s="89" t="s">
        <v>430</v>
      </c>
      <c r="T30" s="25"/>
      <c r="U30" s="25"/>
      <c r="V30" s="25"/>
      <c r="W30" s="27"/>
      <c r="X30" s="338" t="s">
        <v>360</v>
      </c>
      <c r="Y30" s="338" t="s">
        <v>361</v>
      </c>
      <c r="Z30" s="27"/>
    </row>
    <row r="31" spans="1:26" s="1" customFormat="1" ht="72.599999999999994">
      <c r="A31" s="84" t="s">
        <v>308</v>
      </c>
      <c r="B31" s="90">
        <v>1</v>
      </c>
      <c r="C31" s="91" t="s">
        <v>343</v>
      </c>
      <c r="D31" s="94" t="s">
        <v>422</v>
      </c>
      <c r="E31" s="193" t="s">
        <v>423</v>
      </c>
      <c r="F31" s="88" t="s">
        <v>462</v>
      </c>
      <c r="G31" s="88" t="s">
        <v>463</v>
      </c>
      <c r="H31" s="372" t="s">
        <v>348</v>
      </c>
      <c r="I31" s="372" t="s">
        <v>377</v>
      </c>
      <c r="J31" s="373" t="str">
        <f>G31</f>
        <v>Afavorir la connectivitat ecològica del territori</v>
      </c>
      <c r="K31" s="20"/>
      <c r="L31" s="224" t="s">
        <v>107</v>
      </c>
      <c r="M31" s="27"/>
      <c r="N31" s="329"/>
      <c r="O31" s="25"/>
      <c r="P31" s="25" t="s">
        <v>463</v>
      </c>
      <c r="Q31" s="27" t="s">
        <v>463</v>
      </c>
      <c r="R31" s="89"/>
      <c r="S31" s="89"/>
      <c r="T31" s="25"/>
      <c r="U31" s="25"/>
      <c r="V31" s="25"/>
      <c r="W31" s="27"/>
      <c r="X31" s="27" t="s">
        <v>432</v>
      </c>
      <c r="Y31" s="27" t="s">
        <v>433</v>
      </c>
      <c r="Z31" s="27"/>
    </row>
    <row r="32" spans="1:26" s="1" customFormat="1" ht="72.599999999999994">
      <c r="A32" s="84" t="s">
        <v>308</v>
      </c>
      <c r="B32" s="90">
        <v>1</v>
      </c>
      <c r="C32" s="91" t="s">
        <v>343</v>
      </c>
      <c r="D32" s="86" t="s">
        <v>464</v>
      </c>
      <c r="E32" s="87" t="s">
        <v>465</v>
      </c>
      <c r="F32" s="88" t="s">
        <v>466</v>
      </c>
      <c r="G32" s="88" t="s">
        <v>467</v>
      </c>
      <c r="H32" s="88" t="s">
        <v>348</v>
      </c>
      <c r="I32" s="88" t="s">
        <v>417</v>
      </c>
      <c r="J32" s="20" t="str">
        <f>G32</f>
        <v>Fomentar acords de custòdia en espais d'alt valor dins l'ENP per a la gestió dels elements prioritaris</v>
      </c>
      <c r="K32" s="20"/>
      <c r="L32" s="20" t="s">
        <v>54</v>
      </c>
      <c r="M32" s="27" t="s">
        <v>352</v>
      </c>
      <c r="N32" s="329"/>
      <c r="O32" s="25"/>
      <c r="P32" s="25" t="s">
        <v>467</v>
      </c>
      <c r="Q32" s="27" t="s">
        <v>468</v>
      </c>
      <c r="R32" s="89" t="s">
        <v>355</v>
      </c>
      <c r="S32" s="89" t="s">
        <v>469</v>
      </c>
      <c r="T32" s="20" t="s">
        <v>470</v>
      </c>
      <c r="U32" s="20">
        <v>1</v>
      </c>
      <c r="V32" s="20">
        <v>2</v>
      </c>
      <c r="W32" s="27"/>
      <c r="X32" s="338" t="s">
        <v>471</v>
      </c>
      <c r="Y32" s="338" t="s">
        <v>472</v>
      </c>
      <c r="Z32" s="27"/>
    </row>
    <row r="33" spans="1:26" s="1" customFormat="1" ht="72.599999999999994">
      <c r="A33" s="84" t="s">
        <v>308</v>
      </c>
      <c r="B33" s="90">
        <v>1</v>
      </c>
      <c r="C33" s="91" t="s">
        <v>343</v>
      </c>
      <c r="D33" s="94" t="s">
        <v>464</v>
      </c>
      <c r="E33" s="193" t="s">
        <v>465</v>
      </c>
      <c r="F33" s="88" t="s">
        <v>473</v>
      </c>
      <c r="G33" s="88" t="s">
        <v>474</v>
      </c>
      <c r="H33" s="88" t="s">
        <v>348</v>
      </c>
      <c r="I33" s="88" t="s">
        <v>417</v>
      </c>
      <c r="J33" s="20" t="str">
        <f>G33</f>
        <v>Fomentar bones pràctiques entre els col·lectius de propietaris i gestors del territori</v>
      </c>
      <c r="K33" s="20"/>
      <c r="L33" s="224" t="s">
        <v>107</v>
      </c>
      <c r="M33" s="27" t="s">
        <v>352</v>
      </c>
      <c r="N33" s="329"/>
      <c r="O33" s="25"/>
      <c r="P33" s="25" t="s">
        <v>474</v>
      </c>
      <c r="Q33" s="27" t="s">
        <v>474</v>
      </c>
      <c r="R33" s="89"/>
      <c r="S33" s="89"/>
      <c r="T33" s="25"/>
      <c r="U33" s="25"/>
      <c r="V33" s="25"/>
      <c r="W33" s="27"/>
      <c r="X33" s="338" t="s">
        <v>471</v>
      </c>
      <c r="Y33" s="338" t="s">
        <v>472</v>
      </c>
      <c r="Z33" s="27"/>
    </row>
    <row r="34" spans="1:26" s="1" customFormat="1" ht="72.599999999999994">
      <c r="A34" s="84" t="s">
        <v>308</v>
      </c>
      <c r="B34" s="90">
        <v>1</v>
      </c>
      <c r="C34" s="91" t="s">
        <v>343</v>
      </c>
      <c r="D34" s="94" t="s">
        <v>464</v>
      </c>
      <c r="E34" s="193" t="s">
        <v>465</v>
      </c>
      <c r="F34" s="88" t="s">
        <v>475</v>
      </c>
      <c r="G34" s="88" t="s">
        <v>476</v>
      </c>
      <c r="H34" s="88" t="s">
        <v>416</v>
      </c>
      <c r="I34" s="88" t="s">
        <v>417</v>
      </c>
      <c r="J34" s="205" t="s">
        <v>477</v>
      </c>
      <c r="K34" s="20" t="s">
        <v>478</v>
      </c>
      <c r="L34" s="20" t="s">
        <v>54</v>
      </c>
      <c r="M34" s="27" t="s">
        <v>378</v>
      </c>
      <c r="N34" s="390" t="s">
        <v>479</v>
      </c>
      <c r="O34" s="25"/>
      <c r="P34" s="25"/>
      <c r="Q34" s="20" t="s">
        <v>480</v>
      </c>
      <c r="R34" s="89" t="s">
        <v>380</v>
      </c>
      <c r="S34" s="89"/>
      <c r="T34" s="20" t="s">
        <v>481</v>
      </c>
      <c r="U34" s="435">
        <v>1</v>
      </c>
      <c r="V34" s="435">
        <v>4</v>
      </c>
      <c r="W34" s="27"/>
      <c r="X34" s="27" t="s">
        <v>432</v>
      </c>
      <c r="Y34" s="27" t="s">
        <v>433</v>
      </c>
      <c r="Z34" s="27"/>
    </row>
    <row r="35" spans="1:26" s="1" customFormat="1" ht="57.95">
      <c r="A35" s="84" t="s">
        <v>308</v>
      </c>
      <c r="B35" s="85">
        <v>2</v>
      </c>
      <c r="C35" s="10" t="s">
        <v>482</v>
      </c>
      <c r="D35" s="86" t="s">
        <v>483</v>
      </c>
      <c r="E35" s="87" t="s">
        <v>484</v>
      </c>
      <c r="F35" s="88" t="s">
        <v>485</v>
      </c>
      <c r="G35" s="88" t="s">
        <v>486</v>
      </c>
      <c r="H35" s="88" t="s">
        <v>348</v>
      </c>
      <c r="I35" s="88" t="s">
        <v>349</v>
      </c>
      <c r="J35" s="205" t="s">
        <v>487</v>
      </c>
      <c r="K35" s="20" t="s">
        <v>488</v>
      </c>
      <c r="L35" s="20" t="s">
        <v>54</v>
      </c>
      <c r="M35" s="27" t="s">
        <v>352</v>
      </c>
      <c r="N35" s="390" t="s">
        <v>489</v>
      </c>
      <c r="O35" s="25"/>
      <c r="P35" s="25"/>
      <c r="Q35" s="20" t="s">
        <v>490</v>
      </c>
      <c r="R35" s="89"/>
      <c r="S35" s="89" t="s">
        <v>491</v>
      </c>
      <c r="T35" s="20" t="s">
        <v>492</v>
      </c>
      <c r="U35" s="438">
        <v>0.5</v>
      </c>
      <c r="V35" s="438">
        <v>1</v>
      </c>
      <c r="W35" s="27"/>
      <c r="X35" s="27" t="s">
        <v>432</v>
      </c>
      <c r="Y35" s="27" t="s">
        <v>433</v>
      </c>
      <c r="Z35" s="27"/>
    </row>
    <row r="36" spans="1:26" s="1" customFormat="1" ht="57.95">
      <c r="A36" s="84" t="s">
        <v>308</v>
      </c>
      <c r="B36" s="90">
        <v>2</v>
      </c>
      <c r="C36" s="91" t="s">
        <v>482</v>
      </c>
      <c r="D36" s="95" t="s">
        <v>483</v>
      </c>
      <c r="E36" s="194" t="s">
        <v>484</v>
      </c>
      <c r="F36" s="88" t="s">
        <v>493</v>
      </c>
      <c r="G36" s="88" t="s">
        <v>494</v>
      </c>
      <c r="H36" s="88" t="s">
        <v>348</v>
      </c>
      <c r="I36" s="88" t="s">
        <v>377</v>
      </c>
      <c r="J36" s="205" t="s">
        <v>495</v>
      </c>
      <c r="K36" s="20" t="s">
        <v>496</v>
      </c>
      <c r="L36" s="20" t="s">
        <v>54</v>
      </c>
      <c r="M36" s="27" t="s">
        <v>352</v>
      </c>
      <c r="N36" s="390" t="s">
        <v>497</v>
      </c>
      <c r="O36" s="25"/>
      <c r="P36" s="25"/>
      <c r="Q36" s="20" t="s">
        <v>498</v>
      </c>
      <c r="R36" s="89"/>
      <c r="S36" s="89"/>
      <c r="T36" s="20" t="s">
        <v>499</v>
      </c>
      <c r="U36" s="435">
        <v>1</v>
      </c>
      <c r="V36" s="435">
        <v>3</v>
      </c>
      <c r="W36" s="27"/>
      <c r="X36" s="27" t="s">
        <v>432</v>
      </c>
      <c r="Y36" s="27" t="s">
        <v>433</v>
      </c>
      <c r="Z36" s="261" t="s">
        <v>500</v>
      </c>
    </row>
    <row r="37" spans="1:26" s="1" customFormat="1" ht="57.95">
      <c r="A37" s="84" t="s">
        <v>308</v>
      </c>
      <c r="B37" s="90">
        <v>2</v>
      </c>
      <c r="C37" s="91" t="s">
        <v>482</v>
      </c>
      <c r="D37" s="95" t="s">
        <v>483</v>
      </c>
      <c r="E37" s="194" t="s">
        <v>484</v>
      </c>
      <c r="F37" s="88" t="s">
        <v>501</v>
      </c>
      <c r="G37" s="88" t="s">
        <v>502</v>
      </c>
      <c r="H37" s="88" t="s">
        <v>416</v>
      </c>
      <c r="I37" s="88" t="s">
        <v>417</v>
      </c>
      <c r="J37" s="205" t="s">
        <v>503</v>
      </c>
      <c r="K37" s="20" t="s">
        <v>504</v>
      </c>
      <c r="L37" s="20" t="s">
        <v>54</v>
      </c>
      <c r="M37" s="27" t="s">
        <v>352</v>
      </c>
      <c r="N37" s="393" t="s">
        <v>505</v>
      </c>
      <c r="O37" s="25"/>
      <c r="P37" s="25"/>
      <c r="Q37" s="20" t="s">
        <v>506</v>
      </c>
      <c r="R37" s="89"/>
      <c r="S37" s="89" t="s">
        <v>507</v>
      </c>
      <c r="T37" s="20" t="s">
        <v>508</v>
      </c>
      <c r="U37" s="435">
        <v>1</v>
      </c>
      <c r="V37" s="435">
        <v>3</v>
      </c>
      <c r="W37" s="27"/>
      <c r="X37" s="27" t="s">
        <v>432</v>
      </c>
      <c r="Y37" s="27" t="s">
        <v>433</v>
      </c>
      <c r="Z37" s="27"/>
    </row>
    <row r="38" spans="1:26" s="1" customFormat="1" ht="57.95">
      <c r="A38" s="84" t="s">
        <v>308</v>
      </c>
      <c r="B38" s="90">
        <v>2</v>
      </c>
      <c r="C38" s="91" t="s">
        <v>482</v>
      </c>
      <c r="D38" s="86" t="s">
        <v>509</v>
      </c>
      <c r="E38" s="87" t="s">
        <v>510</v>
      </c>
      <c r="F38" s="88" t="s">
        <v>511</v>
      </c>
      <c r="G38" s="88" t="s">
        <v>512</v>
      </c>
      <c r="H38" s="88" t="s">
        <v>348</v>
      </c>
      <c r="I38" s="88" t="s">
        <v>349</v>
      </c>
      <c r="J38" s="205" t="s">
        <v>513</v>
      </c>
      <c r="K38" s="20" t="s">
        <v>514</v>
      </c>
      <c r="L38" s="20" t="s">
        <v>54</v>
      </c>
      <c r="M38" s="27" t="s">
        <v>352</v>
      </c>
      <c r="N38" s="390" t="s">
        <v>515</v>
      </c>
      <c r="O38" s="25"/>
      <c r="P38" s="25"/>
      <c r="Q38" s="20" t="s">
        <v>516</v>
      </c>
      <c r="R38" s="89" t="s">
        <v>380</v>
      </c>
      <c r="S38" s="89" t="s">
        <v>517</v>
      </c>
      <c r="T38" s="20" t="s">
        <v>518</v>
      </c>
      <c r="U38" s="438">
        <v>0.75</v>
      </c>
      <c r="V38" s="439">
        <v>1</v>
      </c>
      <c r="W38" s="27"/>
      <c r="X38" s="338" t="s">
        <v>471</v>
      </c>
      <c r="Y38" s="338" t="s">
        <v>472</v>
      </c>
      <c r="Z38" s="27"/>
    </row>
    <row r="39" spans="1:26" s="1" customFormat="1" ht="87">
      <c r="A39" s="84" t="s">
        <v>308</v>
      </c>
      <c r="B39" s="90">
        <v>2</v>
      </c>
      <c r="C39" s="91" t="s">
        <v>482</v>
      </c>
      <c r="D39" s="95" t="s">
        <v>509</v>
      </c>
      <c r="E39" s="194" t="s">
        <v>510</v>
      </c>
      <c r="F39" s="88" t="s">
        <v>519</v>
      </c>
      <c r="G39" s="88" t="s">
        <v>520</v>
      </c>
      <c r="H39" s="88" t="s">
        <v>416</v>
      </c>
      <c r="I39" s="88" t="s">
        <v>417</v>
      </c>
      <c r="J39" s="20" t="str">
        <f>G39</f>
        <v>Definir i planificar la gestió del foc per a la millora de l'ENP</v>
      </c>
      <c r="K39" s="20"/>
      <c r="L39" s="20" t="s">
        <v>54</v>
      </c>
      <c r="M39" s="27" t="s">
        <v>352</v>
      </c>
      <c r="N39" s="390" t="s">
        <v>521</v>
      </c>
      <c r="O39" s="25"/>
      <c r="P39" s="25"/>
      <c r="Q39" s="20" t="s">
        <v>522</v>
      </c>
      <c r="R39" s="89"/>
      <c r="S39" s="89" t="s">
        <v>523</v>
      </c>
      <c r="T39" s="20" t="s">
        <v>524</v>
      </c>
      <c r="U39" s="435" t="s">
        <v>525</v>
      </c>
      <c r="V39" s="435" t="s">
        <v>526</v>
      </c>
      <c r="W39" s="27"/>
      <c r="X39" s="27" t="s">
        <v>432</v>
      </c>
      <c r="Y39" s="27" t="s">
        <v>433</v>
      </c>
      <c r="Z39" s="27"/>
    </row>
    <row r="40" spans="1:26" s="1" customFormat="1" ht="87">
      <c r="A40" s="84" t="s">
        <v>308</v>
      </c>
      <c r="B40" s="90">
        <v>2</v>
      </c>
      <c r="C40" s="91" t="s">
        <v>482</v>
      </c>
      <c r="D40" s="92" t="s">
        <v>509</v>
      </c>
      <c r="E40" s="192" t="s">
        <v>510</v>
      </c>
      <c r="F40" s="88" t="s">
        <v>527</v>
      </c>
      <c r="G40" s="88" t="s">
        <v>528</v>
      </c>
      <c r="H40" s="88" t="s">
        <v>348</v>
      </c>
      <c r="I40" s="88" t="s">
        <v>349</v>
      </c>
      <c r="J40" s="205" t="s">
        <v>529</v>
      </c>
      <c r="K40" s="330" t="s">
        <v>504</v>
      </c>
      <c r="L40" s="20" t="s">
        <v>54</v>
      </c>
      <c r="M40" s="27" t="s">
        <v>368</v>
      </c>
      <c r="N40" s="393" t="s">
        <v>530</v>
      </c>
      <c r="O40" s="25"/>
      <c r="P40" s="25"/>
      <c r="Q40" s="20" t="s">
        <v>531</v>
      </c>
      <c r="R40" s="89"/>
      <c r="S40" s="89"/>
      <c r="T40" s="20" t="s">
        <v>532</v>
      </c>
      <c r="U40" s="435" t="s">
        <v>533</v>
      </c>
      <c r="V40" s="440" t="s">
        <v>534</v>
      </c>
      <c r="W40" s="27"/>
      <c r="X40" s="27" t="s">
        <v>432</v>
      </c>
      <c r="Y40" s="27" t="s">
        <v>433</v>
      </c>
      <c r="Z40" s="27"/>
    </row>
    <row r="41" spans="1:26" s="1" customFormat="1" ht="57.95" hidden="1">
      <c r="A41" s="84" t="s">
        <v>308</v>
      </c>
      <c r="B41" s="90">
        <v>2</v>
      </c>
      <c r="C41" s="91" t="s">
        <v>482</v>
      </c>
      <c r="D41" s="92" t="s">
        <v>509</v>
      </c>
      <c r="E41" s="192" t="s">
        <v>510</v>
      </c>
      <c r="F41" s="88" t="s">
        <v>527</v>
      </c>
      <c r="G41" s="88" t="s">
        <v>528</v>
      </c>
      <c r="H41" s="88" t="s">
        <v>348</v>
      </c>
      <c r="I41" s="88" t="s">
        <v>349</v>
      </c>
      <c r="J41" s="205" t="s">
        <v>529</v>
      </c>
      <c r="K41" s="330" t="s">
        <v>504</v>
      </c>
      <c r="L41" s="20" t="s">
        <v>54</v>
      </c>
      <c r="M41" s="27" t="s">
        <v>368</v>
      </c>
      <c r="N41" s="393" t="s">
        <v>535</v>
      </c>
      <c r="O41" s="25"/>
      <c r="P41" s="25"/>
      <c r="Q41" s="27" t="s">
        <v>363</v>
      </c>
      <c r="R41" s="89"/>
      <c r="S41" s="89"/>
      <c r="T41" s="25"/>
      <c r="U41" s="25"/>
      <c r="V41" s="25"/>
      <c r="W41" s="27"/>
      <c r="X41" s="27"/>
      <c r="Y41" s="27"/>
      <c r="Z41" s="27"/>
    </row>
    <row r="42" spans="1:26" s="1" customFormat="1" ht="101.45">
      <c r="A42" s="84" t="s">
        <v>308</v>
      </c>
      <c r="B42" s="85">
        <v>3</v>
      </c>
      <c r="C42" s="96" t="s">
        <v>536</v>
      </c>
      <c r="D42" s="86" t="s">
        <v>537</v>
      </c>
      <c r="E42" s="87" t="s">
        <v>538</v>
      </c>
      <c r="F42" s="88" t="s">
        <v>539</v>
      </c>
      <c r="G42" s="88" t="s">
        <v>540</v>
      </c>
      <c r="H42" s="88" t="s">
        <v>348</v>
      </c>
      <c r="I42" s="88" t="s">
        <v>377</v>
      </c>
      <c r="J42" s="205" t="s">
        <v>541</v>
      </c>
      <c r="K42" s="20" t="s">
        <v>542</v>
      </c>
      <c r="L42" s="20" t="s">
        <v>54</v>
      </c>
      <c r="M42" s="27" t="s">
        <v>368</v>
      </c>
      <c r="N42" s="390" t="s">
        <v>543</v>
      </c>
      <c r="O42" s="25"/>
      <c r="P42" s="25"/>
      <c r="Q42" s="20" t="s">
        <v>544</v>
      </c>
      <c r="R42" s="89"/>
      <c r="S42" s="89"/>
      <c r="T42" s="20" t="s">
        <v>545</v>
      </c>
      <c r="U42" s="438">
        <v>0.9</v>
      </c>
      <c r="V42" s="438">
        <v>1</v>
      </c>
      <c r="W42" s="27"/>
      <c r="X42" s="338" t="s">
        <v>360</v>
      </c>
      <c r="Y42" s="338" t="s">
        <v>546</v>
      </c>
      <c r="Z42" s="27"/>
    </row>
    <row r="43" spans="1:26" s="1" customFormat="1" ht="57.95" hidden="1">
      <c r="A43" s="84" t="s">
        <v>308</v>
      </c>
      <c r="B43" s="90">
        <v>3</v>
      </c>
      <c r="C43" s="97" t="s">
        <v>536</v>
      </c>
      <c r="D43" s="94" t="s">
        <v>537</v>
      </c>
      <c r="E43" s="193" t="s">
        <v>538</v>
      </c>
      <c r="F43" s="88" t="s">
        <v>539</v>
      </c>
      <c r="G43" s="88" t="s">
        <v>540</v>
      </c>
      <c r="H43" s="88" t="s">
        <v>348</v>
      </c>
      <c r="I43" s="88" t="s">
        <v>377</v>
      </c>
      <c r="J43" s="205" t="s">
        <v>541</v>
      </c>
      <c r="K43" s="20" t="s">
        <v>542</v>
      </c>
      <c r="L43" s="20" t="s">
        <v>54</v>
      </c>
      <c r="M43" s="27" t="s">
        <v>368</v>
      </c>
      <c r="N43" s="390" t="s">
        <v>547</v>
      </c>
      <c r="O43" s="25"/>
      <c r="P43" s="25"/>
      <c r="Q43" s="27" t="s">
        <v>363</v>
      </c>
      <c r="R43" s="89"/>
      <c r="S43" s="89"/>
      <c r="T43" s="25"/>
      <c r="U43" s="25"/>
      <c r="V43" s="25"/>
      <c r="W43" s="27"/>
      <c r="X43" s="27" t="s">
        <v>432</v>
      </c>
      <c r="Y43" s="27" t="s">
        <v>433</v>
      </c>
      <c r="Z43" s="27"/>
    </row>
    <row r="44" spans="1:26" s="1" customFormat="1" ht="87">
      <c r="A44" s="84" t="s">
        <v>308</v>
      </c>
      <c r="B44" s="90">
        <v>3</v>
      </c>
      <c r="C44" s="97" t="s">
        <v>536</v>
      </c>
      <c r="D44" s="94" t="s">
        <v>537</v>
      </c>
      <c r="E44" s="193" t="s">
        <v>538</v>
      </c>
      <c r="F44" s="88" t="s">
        <v>548</v>
      </c>
      <c r="G44" s="88" t="s">
        <v>549</v>
      </c>
      <c r="H44" s="88" t="s">
        <v>348</v>
      </c>
      <c r="I44" s="88" t="s">
        <v>377</v>
      </c>
      <c r="J44" s="205" t="s">
        <v>550</v>
      </c>
      <c r="K44" s="20" t="s">
        <v>551</v>
      </c>
      <c r="L44" s="20" t="s">
        <v>54</v>
      </c>
      <c r="M44" s="27" t="s">
        <v>368</v>
      </c>
      <c r="N44" s="390" t="s">
        <v>552</v>
      </c>
      <c r="O44" s="25"/>
      <c r="P44" s="25"/>
      <c r="Q44" s="20" t="s">
        <v>553</v>
      </c>
      <c r="R44" s="89"/>
      <c r="S44" s="89"/>
      <c r="T44" s="20" t="s">
        <v>554</v>
      </c>
      <c r="U44" s="435">
        <v>375</v>
      </c>
      <c r="V44" s="435">
        <v>408</v>
      </c>
      <c r="W44" s="27"/>
      <c r="X44" s="338" t="s">
        <v>471</v>
      </c>
      <c r="Y44" s="338" t="s">
        <v>472</v>
      </c>
      <c r="Z44" s="27"/>
    </row>
    <row r="45" spans="1:26" s="1" customFormat="1" ht="87">
      <c r="A45" s="84" t="s">
        <v>308</v>
      </c>
      <c r="B45" s="90">
        <v>3</v>
      </c>
      <c r="C45" s="97" t="s">
        <v>536</v>
      </c>
      <c r="D45" s="94" t="s">
        <v>537</v>
      </c>
      <c r="E45" s="193" t="s">
        <v>538</v>
      </c>
      <c r="F45" s="88" t="s">
        <v>555</v>
      </c>
      <c r="G45" s="88" t="s">
        <v>556</v>
      </c>
      <c r="H45" s="88" t="s">
        <v>348</v>
      </c>
      <c r="I45" s="88" t="s">
        <v>417</v>
      </c>
      <c r="J45" s="20" t="str">
        <f>G45</f>
        <v>Participar en la compensació d'impactes residuals durant els processos d'avaluació ambiental mitjançant la identificació de necessitats d'actuació prioritària dins i fora dels límits de l’ENP</v>
      </c>
      <c r="K45" s="20"/>
      <c r="L45" s="224" t="s">
        <v>107</v>
      </c>
      <c r="M45" s="27" t="s">
        <v>368</v>
      </c>
      <c r="N45" s="331"/>
      <c r="O45" s="25"/>
      <c r="P45" s="25" t="s">
        <v>556</v>
      </c>
      <c r="Q45" s="27" t="s">
        <v>556</v>
      </c>
      <c r="R45" s="89"/>
      <c r="S45" s="89"/>
      <c r="T45" s="25"/>
      <c r="U45" s="25"/>
      <c r="V45" s="25"/>
      <c r="W45" s="27"/>
      <c r="X45" s="338" t="s">
        <v>471</v>
      </c>
      <c r="Y45" s="338" t="s">
        <v>472</v>
      </c>
      <c r="Z45" s="27"/>
    </row>
    <row r="46" spans="1:26" s="1" customFormat="1" ht="57.95">
      <c r="A46" s="84" t="s">
        <v>308</v>
      </c>
      <c r="B46" s="90">
        <v>3</v>
      </c>
      <c r="C46" s="97" t="s">
        <v>536</v>
      </c>
      <c r="D46" s="98" t="s">
        <v>557</v>
      </c>
      <c r="E46" s="99" t="s">
        <v>558</v>
      </c>
      <c r="F46" s="88" t="s">
        <v>559</v>
      </c>
      <c r="G46" s="88" t="s">
        <v>560</v>
      </c>
      <c r="H46" s="88" t="s">
        <v>348</v>
      </c>
      <c r="I46" s="88" t="s">
        <v>377</v>
      </c>
      <c r="J46" s="20" t="str">
        <f>G46</f>
        <v>Participar en l'elaboració dels instruments de planificació de l'ENP</v>
      </c>
      <c r="K46" s="20" t="s">
        <v>561</v>
      </c>
      <c r="L46" s="20" t="s">
        <v>54</v>
      </c>
      <c r="M46" s="27" t="s">
        <v>378</v>
      </c>
      <c r="N46" s="332"/>
      <c r="O46" s="25" t="s">
        <v>562</v>
      </c>
      <c r="P46" s="25"/>
      <c r="Q46" s="20" t="s">
        <v>563</v>
      </c>
      <c r="R46" s="89"/>
      <c r="S46" s="89" t="s">
        <v>564</v>
      </c>
      <c r="T46" s="20" t="s">
        <v>565</v>
      </c>
      <c r="U46" s="435">
        <v>1</v>
      </c>
      <c r="V46" s="435">
        <v>1</v>
      </c>
      <c r="W46" s="27"/>
      <c r="X46" s="338" t="s">
        <v>471</v>
      </c>
      <c r="Y46" s="338" t="s">
        <v>472</v>
      </c>
      <c r="Z46" s="27"/>
    </row>
    <row r="47" spans="1:26" s="1" customFormat="1" ht="57.95">
      <c r="A47" s="84" t="s">
        <v>308</v>
      </c>
      <c r="B47" s="90">
        <v>3</v>
      </c>
      <c r="C47" s="97" t="s">
        <v>536</v>
      </c>
      <c r="D47" s="86" t="s">
        <v>566</v>
      </c>
      <c r="E47" s="87" t="s">
        <v>567</v>
      </c>
      <c r="F47" s="88" t="s">
        <v>568</v>
      </c>
      <c r="G47" s="88" t="s">
        <v>569</v>
      </c>
      <c r="H47" s="88" t="s">
        <v>416</v>
      </c>
      <c r="I47" s="88" t="s">
        <v>570</v>
      </c>
      <c r="J47" s="205" t="s">
        <v>571</v>
      </c>
      <c r="K47" s="20"/>
      <c r="L47" s="224" t="s">
        <v>107</v>
      </c>
      <c r="M47" s="27" t="s">
        <v>352</v>
      </c>
      <c r="N47" s="332"/>
      <c r="O47" s="25"/>
      <c r="P47" s="25" t="s">
        <v>571</v>
      </c>
      <c r="Q47" s="27" t="s">
        <v>571</v>
      </c>
      <c r="R47" s="89" t="s">
        <v>380</v>
      </c>
      <c r="S47" s="89" t="s">
        <v>572</v>
      </c>
      <c r="T47" s="25"/>
      <c r="U47" s="25"/>
      <c r="V47" s="25"/>
      <c r="W47" s="27"/>
      <c r="X47" s="27" t="s">
        <v>432</v>
      </c>
      <c r="Y47" s="27" t="s">
        <v>433</v>
      </c>
      <c r="Z47" s="27"/>
    </row>
    <row r="48" spans="1:26" s="1" customFormat="1" ht="57.95" hidden="1">
      <c r="A48" s="84" t="s">
        <v>308</v>
      </c>
      <c r="B48" s="90">
        <v>3</v>
      </c>
      <c r="C48" s="97" t="s">
        <v>536</v>
      </c>
      <c r="D48" s="94" t="s">
        <v>566</v>
      </c>
      <c r="E48" s="193" t="s">
        <v>567</v>
      </c>
      <c r="F48" s="88" t="s">
        <v>573</v>
      </c>
      <c r="G48" s="88" t="s">
        <v>574</v>
      </c>
      <c r="H48" s="88" t="s">
        <v>416</v>
      </c>
      <c r="I48" s="88" t="s">
        <v>417</v>
      </c>
      <c r="J48" s="20" t="s">
        <v>574</v>
      </c>
      <c r="K48" s="20" t="s">
        <v>575</v>
      </c>
      <c r="L48" s="224" t="s">
        <v>107</v>
      </c>
      <c r="M48" s="27" t="s">
        <v>352</v>
      </c>
      <c r="N48" s="27"/>
      <c r="O48" s="25"/>
      <c r="P48" s="25"/>
      <c r="Q48" s="27" t="s">
        <v>363</v>
      </c>
      <c r="R48" s="89"/>
      <c r="S48" s="89"/>
      <c r="T48" s="25"/>
      <c r="U48" s="25"/>
      <c r="V48" s="25"/>
      <c r="W48" s="27"/>
      <c r="X48" s="27"/>
      <c r="Y48" s="27"/>
      <c r="Z48" s="27"/>
    </row>
    <row r="49" spans="1:26" s="1" customFormat="1" ht="57.95">
      <c r="A49" s="84" t="s">
        <v>308</v>
      </c>
      <c r="B49" s="90">
        <v>3</v>
      </c>
      <c r="C49" s="97" t="s">
        <v>536</v>
      </c>
      <c r="D49" s="94" t="s">
        <v>566</v>
      </c>
      <c r="E49" s="193" t="s">
        <v>567</v>
      </c>
      <c r="F49" s="88" t="s">
        <v>576</v>
      </c>
      <c r="G49" s="88" t="s">
        <v>577</v>
      </c>
      <c r="H49" s="88" t="s">
        <v>416</v>
      </c>
      <c r="I49" s="88" t="s">
        <v>417</v>
      </c>
      <c r="J49" s="20" t="str">
        <f>G49</f>
        <v>Avaluar i controlar les actuacions que produeixin drenatges, captacions o que puguin impedir l’arribada d’aigua tant superficial com freàtica</v>
      </c>
      <c r="K49" s="20"/>
      <c r="L49" s="20" t="s">
        <v>54</v>
      </c>
      <c r="M49" s="27" t="s">
        <v>352</v>
      </c>
      <c r="N49" s="390" t="s">
        <v>578</v>
      </c>
      <c r="O49" s="25"/>
      <c r="P49" s="25"/>
      <c r="Q49" s="20" t="s">
        <v>579</v>
      </c>
      <c r="R49" s="89"/>
      <c r="S49" s="89"/>
      <c r="T49" s="20" t="s">
        <v>580</v>
      </c>
      <c r="U49" s="438">
        <v>1</v>
      </c>
      <c r="V49" s="438">
        <v>1</v>
      </c>
      <c r="W49" s="27"/>
      <c r="X49" s="27" t="s">
        <v>432</v>
      </c>
      <c r="Y49" s="27" t="s">
        <v>433</v>
      </c>
      <c r="Z49" s="27"/>
    </row>
    <row r="50" spans="1:26" s="1" customFormat="1" ht="72.599999999999994">
      <c r="A50" s="84" t="s">
        <v>308</v>
      </c>
      <c r="B50" s="90">
        <v>3</v>
      </c>
      <c r="C50" s="97" t="s">
        <v>536</v>
      </c>
      <c r="D50" s="94" t="s">
        <v>566</v>
      </c>
      <c r="E50" s="193" t="s">
        <v>567</v>
      </c>
      <c r="F50" s="88" t="s">
        <v>581</v>
      </c>
      <c r="G50" s="88" t="s">
        <v>582</v>
      </c>
      <c r="H50" s="88" t="s">
        <v>416</v>
      </c>
      <c r="I50" s="88" t="s">
        <v>417</v>
      </c>
      <c r="J50" s="205" t="s">
        <v>583</v>
      </c>
      <c r="K50" s="20" t="s">
        <v>504</v>
      </c>
      <c r="L50" s="20" t="s">
        <v>54</v>
      </c>
      <c r="M50" s="27" t="s">
        <v>352</v>
      </c>
      <c r="N50" s="390" t="s">
        <v>584</v>
      </c>
      <c r="O50" s="25"/>
      <c r="P50" s="25"/>
      <c r="Q50" s="20" t="s">
        <v>585</v>
      </c>
      <c r="R50" s="89"/>
      <c r="S50" s="89"/>
      <c r="T50" s="20" t="s">
        <v>586</v>
      </c>
      <c r="U50" s="435">
        <v>3</v>
      </c>
      <c r="V50" s="435">
        <v>4</v>
      </c>
      <c r="W50" s="27"/>
      <c r="X50" s="27" t="s">
        <v>432</v>
      </c>
      <c r="Y50" s="27" t="s">
        <v>433</v>
      </c>
      <c r="Z50" s="27"/>
    </row>
    <row r="51" spans="1:26" s="1" customFormat="1" ht="57.95">
      <c r="A51" s="84" t="s">
        <v>308</v>
      </c>
      <c r="B51" s="90">
        <v>3</v>
      </c>
      <c r="C51" s="97" t="s">
        <v>536</v>
      </c>
      <c r="D51" s="94" t="s">
        <v>566</v>
      </c>
      <c r="E51" s="193" t="s">
        <v>567</v>
      </c>
      <c r="F51" s="88" t="s">
        <v>587</v>
      </c>
      <c r="G51" s="88" t="s">
        <v>588</v>
      </c>
      <c r="H51" s="372" t="s">
        <v>348</v>
      </c>
      <c r="I51" s="372" t="s">
        <v>570</v>
      </c>
      <c r="J51" s="373" t="str">
        <f>G51</f>
        <v>Colaborar amb l'òrgan competent per la conservació del domini públic d'acord amb les delimitacions i la normativa d'usos vigent</v>
      </c>
      <c r="K51" s="20"/>
      <c r="L51" s="20" t="s">
        <v>54</v>
      </c>
      <c r="M51" s="27"/>
      <c r="N51" s="390" t="s">
        <v>589</v>
      </c>
      <c r="O51" s="25"/>
      <c r="P51" s="25"/>
      <c r="Q51" s="20" t="s">
        <v>590</v>
      </c>
      <c r="R51" s="89"/>
      <c r="S51" s="89"/>
      <c r="T51" s="20" t="s">
        <v>580</v>
      </c>
      <c r="U51" s="438">
        <v>1</v>
      </c>
      <c r="V51" s="438">
        <v>1</v>
      </c>
      <c r="W51" s="27"/>
      <c r="X51" s="27" t="s">
        <v>432</v>
      </c>
      <c r="Y51" s="27" t="s">
        <v>433</v>
      </c>
      <c r="Z51" s="27"/>
    </row>
    <row r="52" spans="1:26" s="1" customFormat="1" ht="57.95">
      <c r="A52" s="84" t="s">
        <v>308</v>
      </c>
      <c r="B52" s="90">
        <v>3</v>
      </c>
      <c r="C52" s="97" t="s">
        <v>536</v>
      </c>
      <c r="D52" s="86" t="s">
        <v>591</v>
      </c>
      <c r="E52" s="87" t="s">
        <v>592</v>
      </c>
      <c r="F52" s="88" t="s">
        <v>593</v>
      </c>
      <c r="G52" s="88" t="s">
        <v>594</v>
      </c>
      <c r="H52" s="88" t="s">
        <v>348</v>
      </c>
      <c r="I52" s="88" t="s">
        <v>417</v>
      </c>
      <c r="J52" s="205" t="s">
        <v>595</v>
      </c>
      <c r="K52" s="25" t="s">
        <v>596</v>
      </c>
      <c r="L52" s="20" t="s">
        <v>54</v>
      </c>
      <c r="M52" s="27" t="s">
        <v>352</v>
      </c>
      <c r="N52" s="390" t="s">
        <v>597</v>
      </c>
      <c r="O52" s="25"/>
      <c r="P52" s="25"/>
      <c r="Q52" s="20" t="s">
        <v>598</v>
      </c>
      <c r="R52" s="89"/>
      <c r="S52" s="89" t="s">
        <v>599</v>
      </c>
      <c r="T52" s="20" t="s">
        <v>600</v>
      </c>
      <c r="U52" s="435">
        <v>1</v>
      </c>
      <c r="V52" s="435">
        <v>3</v>
      </c>
      <c r="W52" s="27"/>
      <c r="X52" s="338" t="s">
        <v>471</v>
      </c>
      <c r="Y52" s="338" t="s">
        <v>472</v>
      </c>
      <c r="Z52" s="27"/>
    </row>
    <row r="53" spans="1:26" s="1" customFormat="1" ht="57.95">
      <c r="A53" s="84" t="s">
        <v>308</v>
      </c>
      <c r="B53" s="90">
        <v>3</v>
      </c>
      <c r="C53" s="97" t="s">
        <v>536</v>
      </c>
      <c r="D53" s="92" t="s">
        <v>591</v>
      </c>
      <c r="E53" s="192" t="s">
        <v>592</v>
      </c>
      <c r="F53" s="88" t="s">
        <v>601</v>
      </c>
      <c r="G53" s="88" t="s">
        <v>602</v>
      </c>
      <c r="H53" s="88" t="s">
        <v>348</v>
      </c>
      <c r="I53" s="88" t="s">
        <v>570</v>
      </c>
      <c r="J53" s="205" t="s">
        <v>603</v>
      </c>
      <c r="K53" s="20" t="s">
        <v>604</v>
      </c>
      <c r="L53" s="224" t="s">
        <v>107</v>
      </c>
      <c r="M53" s="27" t="s">
        <v>352</v>
      </c>
      <c r="N53" s="331"/>
      <c r="O53" s="25"/>
      <c r="P53" s="25" t="s">
        <v>603</v>
      </c>
      <c r="Q53" s="27" t="s">
        <v>605</v>
      </c>
      <c r="R53" s="89"/>
      <c r="S53" s="89" t="s">
        <v>599</v>
      </c>
      <c r="T53" s="25"/>
      <c r="U53" s="25"/>
      <c r="V53" s="25"/>
      <c r="W53" s="27"/>
      <c r="X53" s="338" t="s">
        <v>471</v>
      </c>
      <c r="Y53" s="338" t="s">
        <v>472</v>
      </c>
      <c r="Z53" s="27"/>
    </row>
    <row r="54" spans="1:26" s="1" customFormat="1" ht="72.599999999999994">
      <c r="A54" s="100" t="s">
        <v>303</v>
      </c>
      <c r="B54" s="101">
        <v>4</v>
      </c>
      <c r="C54" s="16" t="s">
        <v>606</v>
      </c>
      <c r="D54" s="102" t="s">
        <v>607</v>
      </c>
      <c r="E54" s="103" t="s">
        <v>608</v>
      </c>
      <c r="F54" s="88" t="s">
        <v>609</v>
      </c>
      <c r="G54" s="88" t="s">
        <v>610</v>
      </c>
      <c r="H54" s="88" t="s">
        <v>348</v>
      </c>
      <c r="I54" s="88" t="s">
        <v>570</v>
      </c>
      <c r="J54" s="205" t="s">
        <v>611</v>
      </c>
      <c r="K54" s="20" t="s">
        <v>504</v>
      </c>
      <c r="L54" s="20" t="s">
        <v>54</v>
      </c>
      <c r="M54" s="27" t="s">
        <v>368</v>
      </c>
      <c r="N54" s="393" t="s">
        <v>612</v>
      </c>
      <c r="O54" s="25"/>
      <c r="P54" s="25"/>
      <c r="Q54" s="20" t="s">
        <v>613</v>
      </c>
      <c r="R54" s="89"/>
      <c r="S54" s="89"/>
      <c r="T54" s="20" t="s">
        <v>614</v>
      </c>
      <c r="U54" s="435">
        <v>3</v>
      </c>
      <c r="V54" s="435">
        <v>4</v>
      </c>
      <c r="W54" s="27"/>
      <c r="X54" s="27" t="s">
        <v>615</v>
      </c>
      <c r="Y54" s="27" t="s">
        <v>616</v>
      </c>
      <c r="Z54" s="27"/>
    </row>
    <row r="55" spans="1:26" s="1" customFormat="1" ht="72.599999999999994" hidden="1">
      <c r="A55" s="100" t="s">
        <v>303</v>
      </c>
      <c r="B55" s="101">
        <v>4</v>
      </c>
      <c r="C55" s="16" t="s">
        <v>606</v>
      </c>
      <c r="D55" s="102" t="s">
        <v>607</v>
      </c>
      <c r="E55" s="103" t="s">
        <v>608</v>
      </c>
      <c r="F55" s="88" t="s">
        <v>609</v>
      </c>
      <c r="G55" s="88" t="s">
        <v>610</v>
      </c>
      <c r="H55" s="88" t="s">
        <v>348</v>
      </c>
      <c r="I55" s="88" t="s">
        <v>570</v>
      </c>
      <c r="J55" s="205" t="s">
        <v>611</v>
      </c>
      <c r="K55" s="20" t="s">
        <v>504</v>
      </c>
      <c r="L55" s="224" t="s">
        <v>107</v>
      </c>
      <c r="M55" s="27" t="s">
        <v>368</v>
      </c>
      <c r="N55" s="332"/>
      <c r="O55" s="25"/>
      <c r="P55" s="25" t="s">
        <v>617</v>
      </c>
      <c r="Q55" s="27" t="s">
        <v>363</v>
      </c>
      <c r="R55" s="89"/>
      <c r="S55" s="89"/>
      <c r="T55" s="25"/>
      <c r="U55" s="25"/>
      <c r="V55" s="25"/>
      <c r="W55" s="27"/>
      <c r="X55" s="27"/>
      <c r="Y55" s="27"/>
      <c r="Z55" s="27"/>
    </row>
    <row r="56" spans="1:26" s="1" customFormat="1" ht="72.599999999999994" hidden="1">
      <c r="A56" s="100" t="s">
        <v>303</v>
      </c>
      <c r="B56" s="101">
        <v>4</v>
      </c>
      <c r="C56" s="16" t="s">
        <v>606</v>
      </c>
      <c r="D56" s="102" t="s">
        <v>607</v>
      </c>
      <c r="E56" s="107" t="s">
        <v>608</v>
      </c>
      <c r="F56" s="88" t="s">
        <v>609</v>
      </c>
      <c r="G56" s="88" t="s">
        <v>610</v>
      </c>
      <c r="H56" s="88" t="s">
        <v>348</v>
      </c>
      <c r="I56" s="88" t="s">
        <v>570</v>
      </c>
      <c r="J56" s="205" t="s">
        <v>611</v>
      </c>
      <c r="K56" s="20" t="s">
        <v>504</v>
      </c>
      <c r="L56" s="224" t="s">
        <v>107</v>
      </c>
      <c r="M56" s="27" t="s">
        <v>368</v>
      </c>
      <c r="N56" s="332"/>
      <c r="O56" s="25"/>
      <c r="P56" s="25" t="s">
        <v>618</v>
      </c>
      <c r="Q56" s="27" t="s">
        <v>363</v>
      </c>
      <c r="R56" s="89"/>
      <c r="S56" s="89"/>
      <c r="T56" s="25"/>
      <c r="U56" s="25"/>
      <c r="V56" s="25"/>
      <c r="W56" s="27"/>
      <c r="X56" s="27"/>
      <c r="Y56" s="27"/>
      <c r="Z56" s="27"/>
    </row>
    <row r="57" spans="1:26" s="1" customFormat="1" ht="72.599999999999994">
      <c r="A57" s="100" t="s">
        <v>303</v>
      </c>
      <c r="B57" s="104">
        <v>4</v>
      </c>
      <c r="C57" s="105" t="s">
        <v>606</v>
      </c>
      <c r="D57" s="106" t="s">
        <v>607</v>
      </c>
      <c r="E57" s="107" t="s">
        <v>608</v>
      </c>
      <c r="F57" s="88" t="s">
        <v>619</v>
      </c>
      <c r="G57" s="88" t="s">
        <v>620</v>
      </c>
      <c r="H57" s="88" t="s">
        <v>348</v>
      </c>
      <c r="I57" s="88" t="s">
        <v>570</v>
      </c>
      <c r="J57" s="20" t="str">
        <f>+G57</f>
        <v>Elaborar el catàleg lingüístic (localismes) de patrimoni natural, geografia popular, festes i activitats tradicionals de l'ENP</v>
      </c>
      <c r="K57" s="20" t="s">
        <v>621</v>
      </c>
      <c r="L57" s="224" t="s">
        <v>107</v>
      </c>
      <c r="M57" s="27" t="s">
        <v>368</v>
      </c>
      <c r="N57" s="331"/>
      <c r="O57" s="25"/>
      <c r="P57" s="25" t="s">
        <v>620</v>
      </c>
      <c r="Q57" s="27" t="s">
        <v>620</v>
      </c>
      <c r="R57" s="89"/>
      <c r="S57" s="89"/>
      <c r="T57" s="25"/>
      <c r="U57" s="25"/>
      <c r="V57" s="25"/>
      <c r="W57" s="27"/>
      <c r="X57" s="27"/>
      <c r="Y57" s="27"/>
      <c r="Z57" s="27"/>
    </row>
    <row r="58" spans="1:26" s="1" customFormat="1" ht="72.599999999999994">
      <c r="A58" s="100" t="s">
        <v>303</v>
      </c>
      <c r="B58" s="104">
        <v>4</v>
      </c>
      <c r="C58" s="105" t="s">
        <v>606</v>
      </c>
      <c r="D58" s="108" t="s">
        <v>607</v>
      </c>
      <c r="E58" s="109" t="s">
        <v>608</v>
      </c>
      <c r="F58" s="88" t="s">
        <v>622</v>
      </c>
      <c r="G58" s="88" t="s">
        <v>623</v>
      </c>
      <c r="H58" s="88" t="s">
        <v>348</v>
      </c>
      <c r="I58" s="88" t="s">
        <v>570</v>
      </c>
      <c r="J58" s="20" t="str">
        <f>G58</f>
        <v>Elaborar la cartografia de la xarxa de camins ramaders i senders tradicionals de l'ENP</v>
      </c>
      <c r="K58" s="20"/>
      <c r="L58" s="224" t="s">
        <v>107</v>
      </c>
      <c r="M58" s="27" t="s">
        <v>368</v>
      </c>
      <c r="N58" s="331"/>
      <c r="O58" s="25"/>
      <c r="P58" s="25" t="s">
        <v>623</v>
      </c>
      <c r="Q58" s="27" t="s">
        <v>623</v>
      </c>
      <c r="R58" s="89"/>
      <c r="S58" s="89"/>
      <c r="T58" s="25"/>
      <c r="U58" s="25"/>
      <c r="V58" s="25"/>
      <c r="W58" s="27"/>
      <c r="X58" s="27" t="s">
        <v>615</v>
      </c>
      <c r="Y58" s="27" t="s">
        <v>624</v>
      </c>
      <c r="Z58" s="27"/>
    </row>
    <row r="59" spans="1:26" s="1" customFormat="1" ht="57.95">
      <c r="A59" s="100" t="s">
        <v>303</v>
      </c>
      <c r="B59" s="104">
        <v>4</v>
      </c>
      <c r="C59" s="105" t="s">
        <v>606</v>
      </c>
      <c r="D59" s="110" t="s">
        <v>625</v>
      </c>
      <c r="E59" s="111" t="s">
        <v>626</v>
      </c>
      <c r="F59" s="88" t="s">
        <v>627</v>
      </c>
      <c r="G59" s="88" t="s">
        <v>628</v>
      </c>
      <c r="H59" s="88" t="s">
        <v>348</v>
      </c>
      <c r="I59" s="88" t="s">
        <v>377</v>
      </c>
      <c r="J59" s="20" t="str">
        <f>G59</f>
        <v>Identificar els ens de referència en patrimoni cultural (entitats, associacions, museus i ecomuseus, etc.) en l'àmbit de l'ENP</v>
      </c>
      <c r="K59" s="20"/>
      <c r="L59" s="20" t="s">
        <v>54</v>
      </c>
      <c r="M59" s="27" t="s">
        <v>368</v>
      </c>
      <c r="N59" s="390" t="s">
        <v>629</v>
      </c>
      <c r="O59" s="25"/>
      <c r="P59" s="25"/>
      <c r="Q59" s="20" t="s">
        <v>630</v>
      </c>
      <c r="R59" s="89"/>
      <c r="S59" s="89"/>
      <c r="T59" s="20" t="s">
        <v>631</v>
      </c>
      <c r="U59" s="435">
        <v>1</v>
      </c>
      <c r="V59" s="435">
        <v>1</v>
      </c>
      <c r="W59" s="27"/>
      <c r="X59" s="27" t="s">
        <v>632</v>
      </c>
      <c r="Y59" s="27" t="s">
        <v>616</v>
      </c>
      <c r="Z59" s="27"/>
    </row>
    <row r="60" spans="1:26" s="1" customFormat="1" ht="72.599999999999994">
      <c r="A60" s="100" t="s">
        <v>303</v>
      </c>
      <c r="B60" s="104">
        <v>4</v>
      </c>
      <c r="C60" s="105" t="s">
        <v>606</v>
      </c>
      <c r="D60" s="112" t="s">
        <v>625</v>
      </c>
      <c r="E60" s="107" t="s">
        <v>626</v>
      </c>
      <c r="F60" s="88" t="s">
        <v>633</v>
      </c>
      <c r="G60" s="88" t="s">
        <v>634</v>
      </c>
      <c r="H60" s="88" t="s">
        <v>348</v>
      </c>
      <c r="I60" s="88" t="s">
        <v>570</v>
      </c>
      <c r="J60" s="205" t="s">
        <v>635</v>
      </c>
      <c r="K60" s="20" t="s">
        <v>504</v>
      </c>
      <c r="L60" s="20" t="s">
        <v>54</v>
      </c>
      <c r="M60" s="27" t="s">
        <v>368</v>
      </c>
      <c r="N60" s="390" t="s">
        <v>636</v>
      </c>
      <c r="O60" s="25"/>
      <c r="P60" s="25"/>
      <c r="Q60" s="20" t="s">
        <v>637</v>
      </c>
      <c r="R60" s="89"/>
      <c r="S60" s="89"/>
      <c r="T60" s="20" t="s">
        <v>638</v>
      </c>
      <c r="U60" s="435">
        <v>1</v>
      </c>
      <c r="V60" s="435">
        <v>2</v>
      </c>
      <c r="W60" s="27"/>
      <c r="X60" s="27" t="s">
        <v>632</v>
      </c>
      <c r="Y60" s="27" t="s">
        <v>616</v>
      </c>
      <c r="Z60" s="27"/>
    </row>
    <row r="61" spans="1:26" s="1" customFormat="1" ht="43.5">
      <c r="A61" s="100" t="s">
        <v>303</v>
      </c>
      <c r="B61" s="104">
        <v>4</v>
      </c>
      <c r="C61" s="105" t="s">
        <v>606</v>
      </c>
      <c r="D61" s="112" t="s">
        <v>625</v>
      </c>
      <c r="E61" s="107" t="s">
        <v>626</v>
      </c>
      <c r="F61" s="88" t="s">
        <v>639</v>
      </c>
      <c r="G61" s="88" t="s">
        <v>640</v>
      </c>
      <c r="H61" s="372" t="s">
        <v>348</v>
      </c>
      <c r="I61" s="372" t="s">
        <v>570</v>
      </c>
      <c r="J61" s="373" t="str">
        <f>G61</f>
        <v>Impulsar i/o participar dels treballs de restauració arquitectònica, arqueològica i del patrimoni cultural</v>
      </c>
      <c r="K61" s="20"/>
      <c r="L61" s="20" t="s">
        <v>54</v>
      </c>
      <c r="M61" s="27"/>
      <c r="N61" s="390" t="s">
        <v>641</v>
      </c>
      <c r="O61" s="25"/>
      <c r="P61" s="25"/>
      <c r="Q61" s="20" t="s">
        <v>642</v>
      </c>
      <c r="R61" s="89"/>
      <c r="S61" s="89"/>
      <c r="T61" s="20" t="s">
        <v>643</v>
      </c>
      <c r="U61" s="435">
        <v>1</v>
      </c>
      <c r="V61" s="435">
        <v>1</v>
      </c>
      <c r="W61" s="27"/>
      <c r="X61" s="27" t="s">
        <v>615</v>
      </c>
      <c r="Y61" s="27" t="s">
        <v>624</v>
      </c>
      <c r="Z61" s="27"/>
    </row>
    <row r="62" spans="1:26" s="1" customFormat="1" ht="43.5">
      <c r="A62" s="100" t="s">
        <v>303</v>
      </c>
      <c r="B62" s="104">
        <v>4</v>
      </c>
      <c r="C62" s="105" t="s">
        <v>606</v>
      </c>
      <c r="D62" s="113" t="s">
        <v>625</v>
      </c>
      <c r="E62" s="109" t="s">
        <v>626</v>
      </c>
      <c r="F62" s="88" t="s">
        <v>644</v>
      </c>
      <c r="G62" s="88" t="s">
        <v>645</v>
      </c>
      <c r="H62" s="88" t="s">
        <v>348</v>
      </c>
      <c r="I62" s="88" t="s">
        <v>349</v>
      </c>
      <c r="J62" s="205" t="s">
        <v>646</v>
      </c>
      <c r="K62" s="20" t="s">
        <v>647</v>
      </c>
      <c r="L62" s="224" t="s">
        <v>107</v>
      </c>
      <c r="M62" s="27" t="s">
        <v>368</v>
      </c>
      <c r="N62" s="331"/>
      <c r="O62" s="25"/>
      <c r="P62" s="25" t="s">
        <v>646</v>
      </c>
      <c r="Q62" s="27" t="s">
        <v>646</v>
      </c>
      <c r="R62" s="89"/>
      <c r="S62" s="89"/>
      <c r="T62" s="25"/>
      <c r="U62" s="25"/>
      <c r="V62" s="25"/>
      <c r="W62" s="27"/>
      <c r="X62" s="27" t="s">
        <v>632</v>
      </c>
      <c r="Y62" s="27" t="s">
        <v>616</v>
      </c>
      <c r="Z62" s="27"/>
    </row>
    <row r="63" spans="1:26" s="1" customFormat="1" ht="57.95">
      <c r="A63" s="100" t="s">
        <v>303</v>
      </c>
      <c r="B63" s="104">
        <v>4</v>
      </c>
      <c r="C63" s="105" t="s">
        <v>606</v>
      </c>
      <c r="D63" s="114" t="s">
        <v>648</v>
      </c>
      <c r="E63" s="111" t="s">
        <v>649</v>
      </c>
      <c r="F63" s="88" t="s">
        <v>650</v>
      </c>
      <c r="G63" s="88" t="s">
        <v>651</v>
      </c>
      <c r="H63" s="372" t="s">
        <v>348</v>
      </c>
      <c r="I63" s="372" t="s">
        <v>349</v>
      </c>
      <c r="J63" s="373" t="str">
        <f>G63</f>
        <v>Recuperar i conservar el patrimoni cultural immaterial (associat a les activitats i aprofitaments rurals tradicionals) i els valors espirituals</v>
      </c>
      <c r="K63" s="20"/>
      <c r="L63" s="411" t="s">
        <v>107</v>
      </c>
      <c r="M63" s="27" t="s">
        <v>368</v>
      </c>
      <c r="N63" s="331"/>
      <c r="O63" s="25"/>
      <c r="P63" s="25" t="s">
        <v>651</v>
      </c>
      <c r="Q63" s="27" t="s">
        <v>651</v>
      </c>
      <c r="R63" s="89" t="s">
        <v>355</v>
      </c>
      <c r="S63" s="89"/>
      <c r="T63" s="408"/>
      <c r="U63" s="408"/>
      <c r="V63" s="408"/>
      <c r="W63" s="27"/>
      <c r="X63" s="27" t="s">
        <v>615</v>
      </c>
      <c r="Y63" s="27" t="s">
        <v>624</v>
      </c>
      <c r="Z63" s="27"/>
    </row>
    <row r="64" spans="1:26" s="1" customFormat="1" ht="87">
      <c r="A64" s="100" t="s">
        <v>303</v>
      </c>
      <c r="B64" s="104">
        <v>4</v>
      </c>
      <c r="C64" s="105" t="s">
        <v>606</v>
      </c>
      <c r="D64" s="106" t="s">
        <v>648</v>
      </c>
      <c r="E64" s="107" t="s">
        <v>649</v>
      </c>
      <c r="F64" s="88" t="s">
        <v>652</v>
      </c>
      <c r="G64" s="88" t="s">
        <v>653</v>
      </c>
      <c r="H64" s="88" t="s">
        <v>416</v>
      </c>
      <c r="I64" s="88" t="s">
        <v>349</v>
      </c>
      <c r="J64" s="20" t="str">
        <f>+G64</f>
        <v>Recuperar i conservar el patrimoni cultural rural vinculat específicament a construccions de pedra en sec</v>
      </c>
      <c r="K64" s="20"/>
      <c r="L64" s="20" t="s">
        <v>54</v>
      </c>
      <c r="M64" s="27" t="s">
        <v>368</v>
      </c>
      <c r="N64" s="390" t="s">
        <v>654</v>
      </c>
      <c r="O64" s="25"/>
      <c r="P64" s="25"/>
      <c r="Q64" s="20" t="s">
        <v>655</v>
      </c>
      <c r="R64" s="89" t="s">
        <v>355</v>
      </c>
      <c r="S64" s="89"/>
      <c r="T64" s="20" t="s">
        <v>656</v>
      </c>
      <c r="U64" s="435" t="s">
        <v>657</v>
      </c>
      <c r="V64" s="435" t="s">
        <v>658</v>
      </c>
      <c r="W64" s="27"/>
      <c r="X64" s="27" t="s">
        <v>615</v>
      </c>
      <c r="Y64" s="27" t="s">
        <v>624</v>
      </c>
      <c r="Z64" s="27"/>
    </row>
    <row r="65" spans="1:26" s="1" customFormat="1" ht="43.5" hidden="1">
      <c r="A65" s="100" t="s">
        <v>303</v>
      </c>
      <c r="B65" s="104">
        <v>4</v>
      </c>
      <c r="C65" s="105" t="s">
        <v>606</v>
      </c>
      <c r="D65" s="106" t="s">
        <v>648</v>
      </c>
      <c r="E65" s="107" t="s">
        <v>649</v>
      </c>
      <c r="F65" s="88" t="s">
        <v>652</v>
      </c>
      <c r="G65" s="88" t="s">
        <v>653</v>
      </c>
      <c r="H65" s="88" t="s">
        <v>416</v>
      </c>
      <c r="I65" s="88" t="s">
        <v>349</v>
      </c>
      <c r="J65" s="20" t="s">
        <v>653</v>
      </c>
      <c r="K65" s="20"/>
      <c r="L65" s="20" t="s">
        <v>54</v>
      </c>
      <c r="M65" s="27" t="s">
        <v>368</v>
      </c>
      <c r="N65" s="390" t="s">
        <v>659</v>
      </c>
      <c r="O65" s="25"/>
      <c r="P65" s="25"/>
      <c r="Q65" s="27" t="s">
        <v>363</v>
      </c>
      <c r="R65" s="89"/>
      <c r="S65" s="89"/>
      <c r="T65" s="25"/>
      <c r="U65" s="25"/>
      <c r="V65" s="25"/>
      <c r="W65" s="27"/>
      <c r="X65" s="27"/>
      <c r="Y65" s="27"/>
      <c r="Z65" s="27"/>
    </row>
    <row r="66" spans="1:26" s="1" customFormat="1" ht="130.5">
      <c r="A66" s="100" t="s">
        <v>303</v>
      </c>
      <c r="B66" s="104">
        <v>4</v>
      </c>
      <c r="C66" s="105" t="s">
        <v>606</v>
      </c>
      <c r="D66" s="106" t="s">
        <v>648</v>
      </c>
      <c r="E66" s="107" t="s">
        <v>649</v>
      </c>
      <c r="F66" s="88" t="s">
        <v>660</v>
      </c>
      <c r="G66" s="88" t="s">
        <v>661</v>
      </c>
      <c r="H66" s="88" t="s">
        <v>348</v>
      </c>
      <c r="I66" s="88" t="s">
        <v>417</v>
      </c>
      <c r="J66" s="205" t="s">
        <v>662</v>
      </c>
      <c r="K66" s="20" t="s">
        <v>663</v>
      </c>
      <c r="L66" s="20" t="s">
        <v>54</v>
      </c>
      <c r="M66" s="27" t="s">
        <v>368</v>
      </c>
      <c r="N66" s="390" t="s">
        <v>664</v>
      </c>
      <c r="O66" s="25"/>
      <c r="P66" s="25"/>
      <c r="Q66" s="20" t="s">
        <v>665</v>
      </c>
      <c r="R66" s="89"/>
      <c r="S66" s="89"/>
      <c r="T66" s="20" t="s">
        <v>666</v>
      </c>
      <c r="U66" s="435" t="s">
        <v>667</v>
      </c>
      <c r="V66" s="435" t="s">
        <v>668</v>
      </c>
      <c r="W66" s="27"/>
      <c r="X66" s="27" t="s">
        <v>615</v>
      </c>
      <c r="Y66" s="27" t="s">
        <v>624</v>
      </c>
      <c r="Z66" s="27"/>
    </row>
    <row r="67" spans="1:26" s="1" customFormat="1" ht="57.95" hidden="1">
      <c r="A67" s="100" t="s">
        <v>303</v>
      </c>
      <c r="B67" s="104">
        <v>4</v>
      </c>
      <c r="C67" s="105" t="s">
        <v>606</v>
      </c>
      <c r="D67" s="106" t="s">
        <v>648</v>
      </c>
      <c r="E67" s="107" t="s">
        <v>649</v>
      </c>
      <c r="F67" s="88" t="s">
        <v>660</v>
      </c>
      <c r="G67" s="88" t="s">
        <v>669</v>
      </c>
      <c r="H67" s="88" t="s">
        <v>348</v>
      </c>
      <c r="I67" s="88" t="s">
        <v>417</v>
      </c>
      <c r="J67" s="205" t="s">
        <v>662</v>
      </c>
      <c r="K67" s="20" t="s">
        <v>663</v>
      </c>
      <c r="L67" s="20" t="s">
        <v>54</v>
      </c>
      <c r="M67" s="27" t="s">
        <v>368</v>
      </c>
      <c r="N67" s="393" t="s">
        <v>670</v>
      </c>
      <c r="O67" s="25"/>
      <c r="P67" s="25"/>
      <c r="Q67" s="27" t="s">
        <v>363</v>
      </c>
      <c r="R67" s="89"/>
      <c r="S67" s="89"/>
      <c r="T67" s="25"/>
      <c r="U67" s="25"/>
      <c r="V67" s="25"/>
      <c r="W67" s="27"/>
      <c r="X67" s="27"/>
      <c r="Y67" s="27"/>
      <c r="Z67" s="27"/>
    </row>
    <row r="68" spans="1:26" s="1" customFormat="1" ht="43.5">
      <c r="A68" s="100" t="s">
        <v>303</v>
      </c>
      <c r="B68" s="104">
        <v>4</v>
      </c>
      <c r="C68" s="105" t="s">
        <v>606</v>
      </c>
      <c r="D68" s="108" t="s">
        <v>648</v>
      </c>
      <c r="E68" s="109" t="s">
        <v>649</v>
      </c>
      <c r="F68" s="88" t="s">
        <v>671</v>
      </c>
      <c r="G68" s="88" t="s">
        <v>672</v>
      </c>
      <c r="H68" s="88" t="s">
        <v>348</v>
      </c>
      <c r="I68" s="88" t="s">
        <v>377</v>
      </c>
      <c r="J68" s="20" t="str">
        <f>G68</f>
        <v>Identificar i conservar la diversitat domesticada de varietats agrícoles i ramaderes locals</v>
      </c>
      <c r="K68" s="20"/>
      <c r="L68" s="20" t="s">
        <v>54</v>
      </c>
      <c r="M68" s="27" t="s">
        <v>368</v>
      </c>
      <c r="N68" s="390" t="s">
        <v>673</v>
      </c>
      <c r="O68" s="25"/>
      <c r="P68" s="25"/>
      <c r="Q68" s="20" t="s">
        <v>674</v>
      </c>
      <c r="R68" s="89" t="s">
        <v>380</v>
      </c>
      <c r="S68" s="89"/>
      <c r="T68" s="20" t="s">
        <v>675</v>
      </c>
      <c r="U68" s="435">
        <v>1</v>
      </c>
      <c r="V68" s="435">
        <v>1</v>
      </c>
      <c r="W68" s="27"/>
      <c r="X68" s="27" t="s">
        <v>615</v>
      </c>
      <c r="Y68" s="27" t="s">
        <v>624</v>
      </c>
      <c r="Z68" s="27"/>
    </row>
    <row r="69" spans="1:26" s="1" customFormat="1" ht="101.45">
      <c r="A69" s="100" t="s">
        <v>303</v>
      </c>
      <c r="B69" s="104">
        <v>4</v>
      </c>
      <c r="C69" s="105" t="s">
        <v>606</v>
      </c>
      <c r="D69" s="114" t="s">
        <v>676</v>
      </c>
      <c r="E69" s="111" t="s">
        <v>677</v>
      </c>
      <c r="F69" s="88" t="s">
        <v>678</v>
      </c>
      <c r="G69" s="88" t="s">
        <v>679</v>
      </c>
      <c r="H69" s="88" t="s">
        <v>348</v>
      </c>
      <c r="I69" s="88" t="s">
        <v>349</v>
      </c>
      <c r="J69" s="205" t="s">
        <v>680</v>
      </c>
      <c r="K69" s="20" t="s">
        <v>681</v>
      </c>
      <c r="L69" s="20" t="s">
        <v>54</v>
      </c>
      <c r="M69" s="27" t="s">
        <v>368</v>
      </c>
      <c r="N69" s="393" t="s">
        <v>682</v>
      </c>
      <c r="O69" s="25"/>
      <c r="P69" s="25"/>
      <c r="Q69" s="20" t="s">
        <v>683</v>
      </c>
      <c r="R69" s="89"/>
      <c r="S69" s="89"/>
      <c r="T69" s="20" t="s">
        <v>684</v>
      </c>
      <c r="U69" s="435" t="s">
        <v>685</v>
      </c>
      <c r="V69" s="435" t="s">
        <v>686</v>
      </c>
      <c r="W69" s="27"/>
      <c r="X69" s="27" t="s">
        <v>615</v>
      </c>
      <c r="Y69" s="27" t="s">
        <v>624</v>
      </c>
      <c r="Z69" s="27"/>
    </row>
    <row r="70" spans="1:26" s="1" customFormat="1" ht="43.5" hidden="1">
      <c r="A70" s="100" t="s">
        <v>303</v>
      </c>
      <c r="B70" s="104">
        <v>4</v>
      </c>
      <c r="C70" s="105" t="s">
        <v>606</v>
      </c>
      <c r="D70" s="114" t="s">
        <v>676</v>
      </c>
      <c r="E70" s="111" t="s">
        <v>677</v>
      </c>
      <c r="F70" s="88" t="s">
        <v>678</v>
      </c>
      <c r="G70" s="88" t="s">
        <v>679</v>
      </c>
      <c r="H70" s="88" t="s">
        <v>348</v>
      </c>
      <c r="I70" s="88" t="s">
        <v>349</v>
      </c>
      <c r="J70" s="205" t="s">
        <v>680</v>
      </c>
      <c r="K70" s="20" t="s">
        <v>681</v>
      </c>
      <c r="L70" s="20" t="s">
        <v>54</v>
      </c>
      <c r="M70" s="27" t="s">
        <v>368</v>
      </c>
      <c r="N70" s="393" t="s">
        <v>687</v>
      </c>
      <c r="O70" s="25"/>
      <c r="P70" s="25"/>
      <c r="Q70" s="27" t="s">
        <v>363</v>
      </c>
      <c r="R70" s="89"/>
      <c r="S70" s="89"/>
      <c r="T70" s="25"/>
      <c r="U70" s="25"/>
      <c r="V70" s="25"/>
      <c r="W70" s="27"/>
      <c r="X70" s="27"/>
      <c r="Y70" s="27"/>
      <c r="Z70" s="27"/>
    </row>
    <row r="71" spans="1:26" s="1" customFormat="1" ht="43.5" hidden="1">
      <c r="A71" s="100" t="s">
        <v>303</v>
      </c>
      <c r="B71" s="104">
        <v>4</v>
      </c>
      <c r="C71" s="105" t="s">
        <v>606</v>
      </c>
      <c r="D71" s="115" t="s">
        <v>676</v>
      </c>
      <c r="E71" s="116" t="s">
        <v>677</v>
      </c>
      <c r="F71" s="88" t="s">
        <v>678</v>
      </c>
      <c r="G71" s="88" t="s">
        <v>679</v>
      </c>
      <c r="H71" s="88" t="s">
        <v>348</v>
      </c>
      <c r="I71" s="88" t="s">
        <v>349</v>
      </c>
      <c r="J71" s="205" t="s">
        <v>680</v>
      </c>
      <c r="K71" s="20" t="s">
        <v>681</v>
      </c>
      <c r="L71" s="20" t="s">
        <v>54</v>
      </c>
      <c r="M71" s="27"/>
      <c r="N71" s="390" t="s">
        <v>688</v>
      </c>
      <c r="O71" s="25"/>
      <c r="P71" s="25"/>
      <c r="Q71" s="27" t="s">
        <v>363</v>
      </c>
      <c r="R71" s="89"/>
      <c r="S71" s="89"/>
      <c r="T71" s="25"/>
      <c r="U71" s="25"/>
      <c r="V71" s="25"/>
      <c r="W71" s="27"/>
      <c r="X71" s="27" t="s">
        <v>615</v>
      </c>
      <c r="Y71" s="27" t="s">
        <v>624</v>
      </c>
      <c r="Z71" s="27"/>
    </row>
    <row r="72" spans="1:26" s="1" customFormat="1" ht="43.5" hidden="1">
      <c r="A72" s="100" t="s">
        <v>303</v>
      </c>
      <c r="B72" s="104">
        <v>4</v>
      </c>
      <c r="C72" s="105" t="s">
        <v>606</v>
      </c>
      <c r="D72" s="115" t="s">
        <v>676</v>
      </c>
      <c r="E72" s="116" t="s">
        <v>677</v>
      </c>
      <c r="F72" s="88" t="s">
        <v>678</v>
      </c>
      <c r="G72" s="88" t="s">
        <v>679</v>
      </c>
      <c r="H72" s="88" t="s">
        <v>348</v>
      </c>
      <c r="I72" s="88" t="s">
        <v>349</v>
      </c>
      <c r="J72" s="205" t="s">
        <v>680</v>
      </c>
      <c r="K72" s="20" t="s">
        <v>681</v>
      </c>
      <c r="L72" s="20" t="s">
        <v>54</v>
      </c>
      <c r="M72" s="27"/>
      <c r="N72" s="390" t="s">
        <v>689</v>
      </c>
      <c r="O72" s="25"/>
      <c r="P72" s="25"/>
      <c r="Q72" s="27" t="s">
        <v>363</v>
      </c>
      <c r="R72" s="89"/>
      <c r="S72" s="89"/>
      <c r="T72" s="25"/>
      <c r="U72" s="25"/>
      <c r="V72" s="25"/>
      <c r="W72" s="27"/>
      <c r="X72" s="27" t="s">
        <v>632</v>
      </c>
      <c r="Y72" s="27" t="s">
        <v>616</v>
      </c>
      <c r="Z72" s="27"/>
    </row>
    <row r="73" spans="1:26" s="1" customFormat="1" ht="43.5">
      <c r="A73" s="100" t="s">
        <v>303</v>
      </c>
      <c r="B73" s="104">
        <v>4</v>
      </c>
      <c r="C73" s="105" t="s">
        <v>606</v>
      </c>
      <c r="D73" s="115" t="s">
        <v>676</v>
      </c>
      <c r="E73" s="116" t="s">
        <v>677</v>
      </c>
      <c r="F73" s="88" t="s">
        <v>690</v>
      </c>
      <c r="G73" s="88" t="s">
        <v>691</v>
      </c>
      <c r="H73" s="88" t="s">
        <v>348</v>
      </c>
      <c r="I73" s="88" t="s">
        <v>349</v>
      </c>
      <c r="J73" s="20" t="str">
        <f>+G73</f>
        <v>Incorporar el patrimoni cultural en els plans d’ús públic i educació ambiental per fomentar-ne la seva conservació i divulgació.</v>
      </c>
      <c r="K73" s="20"/>
      <c r="L73" s="20" t="s">
        <v>54</v>
      </c>
      <c r="M73" s="27" t="s">
        <v>368</v>
      </c>
      <c r="N73" s="393" t="s">
        <v>692</v>
      </c>
      <c r="O73" s="25"/>
      <c r="P73" s="25"/>
      <c r="Q73" s="20" t="s">
        <v>693</v>
      </c>
      <c r="R73" s="89"/>
      <c r="S73" s="89"/>
      <c r="T73" s="20" t="s">
        <v>694</v>
      </c>
      <c r="U73" s="435">
        <v>1</v>
      </c>
      <c r="V73" s="435">
        <v>1</v>
      </c>
      <c r="W73" s="27"/>
      <c r="X73" s="27" t="s">
        <v>615</v>
      </c>
      <c r="Y73" s="27" t="s">
        <v>624</v>
      </c>
      <c r="Z73" s="27"/>
    </row>
    <row r="74" spans="1:26" s="1" customFormat="1" ht="57.95">
      <c r="A74" s="100" t="s">
        <v>303</v>
      </c>
      <c r="B74" s="104">
        <v>4</v>
      </c>
      <c r="C74" s="105" t="s">
        <v>606</v>
      </c>
      <c r="D74" s="115" t="s">
        <v>676</v>
      </c>
      <c r="E74" s="116" t="s">
        <v>677</v>
      </c>
      <c r="F74" s="88" t="s">
        <v>695</v>
      </c>
      <c r="G74" s="88" t="s">
        <v>696</v>
      </c>
      <c r="H74" s="88" t="s">
        <v>348</v>
      </c>
      <c r="I74" s="88" t="s">
        <v>349</v>
      </c>
      <c r="J74" s="20" t="str">
        <f>+G74</f>
        <v>Formar el personal dels punts d’informació en els valors culturals de l'ENP</v>
      </c>
      <c r="K74" s="20"/>
      <c r="L74" s="20" t="s">
        <v>54</v>
      </c>
      <c r="M74" s="27" t="s">
        <v>368</v>
      </c>
      <c r="N74" s="332"/>
      <c r="O74" s="25" t="s">
        <v>696</v>
      </c>
      <c r="P74" s="25"/>
      <c r="Q74" s="20" t="s">
        <v>697</v>
      </c>
      <c r="R74" s="89"/>
      <c r="S74" s="89"/>
      <c r="T74" s="20" t="s">
        <v>698</v>
      </c>
      <c r="U74" s="413">
        <v>15</v>
      </c>
      <c r="V74" s="413">
        <v>30</v>
      </c>
      <c r="W74" s="27"/>
      <c r="X74" s="27" t="s">
        <v>632</v>
      </c>
      <c r="Y74" s="27" t="s">
        <v>616</v>
      </c>
      <c r="Z74" s="27"/>
    </row>
    <row r="75" spans="1:26" s="1" customFormat="1" ht="57.95">
      <c r="A75" s="100" t="s">
        <v>303</v>
      </c>
      <c r="B75" s="117">
        <v>5</v>
      </c>
      <c r="C75" s="118" t="s">
        <v>699</v>
      </c>
      <c r="D75" s="119" t="s">
        <v>700</v>
      </c>
      <c r="E75" s="120" t="s">
        <v>701</v>
      </c>
      <c r="F75" s="88" t="s">
        <v>702</v>
      </c>
      <c r="G75" s="88" t="s">
        <v>703</v>
      </c>
      <c r="H75" s="88" t="s">
        <v>348</v>
      </c>
      <c r="I75" s="88" t="s">
        <v>570</v>
      </c>
      <c r="J75" s="20" t="str">
        <f>G75</f>
        <v xml:space="preserve">Elaborar un inventari d'elements d'interès paisatgístic de l'ENP d'acord amb el Catàleg de paisatge de la zona </v>
      </c>
      <c r="K75" s="20"/>
      <c r="L75" s="20" t="s">
        <v>54</v>
      </c>
      <c r="M75" s="27" t="s">
        <v>368</v>
      </c>
      <c r="N75" s="331"/>
      <c r="O75" s="25" t="s">
        <v>703</v>
      </c>
      <c r="P75" s="25"/>
      <c r="Q75" s="20" t="s">
        <v>704</v>
      </c>
      <c r="R75" s="89"/>
      <c r="S75" s="89"/>
      <c r="T75" s="20" t="s">
        <v>705</v>
      </c>
      <c r="U75" s="435">
        <v>1</v>
      </c>
      <c r="V75" s="435">
        <v>1</v>
      </c>
      <c r="W75" s="27"/>
      <c r="X75" s="27" t="s">
        <v>615</v>
      </c>
      <c r="Y75" s="27" t="s">
        <v>624</v>
      </c>
      <c r="Z75" s="27"/>
    </row>
    <row r="76" spans="1:26" s="1" customFormat="1" ht="87">
      <c r="A76" s="100" t="s">
        <v>303</v>
      </c>
      <c r="B76" s="121">
        <v>5</v>
      </c>
      <c r="C76" s="122" t="s">
        <v>699</v>
      </c>
      <c r="D76" s="110" t="s">
        <v>706</v>
      </c>
      <c r="E76" s="111" t="s">
        <v>707</v>
      </c>
      <c r="F76" s="88" t="s">
        <v>708</v>
      </c>
      <c r="G76" s="88" t="s">
        <v>709</v>
      </c>
      <c r="H76" s="88" t="s">
        <v>348</v>
      </c>
      <c r="I76" s="88" t="s">
        <v>570</v>
      </c>
      <c r="J76" s="205" t="s">
        <v>710</v>
      </c>
      <c r="K76" s="20" t="s">
        <v>711</v>
      </c>
      <c r="L76" s="20" t="s">
        <v>54</v>
      </c>
      <c r="M76" s="27" t="s">
        <v>712</v>
      </c>
      <c r="N76" s="390" t="s">
        <v>713</v>
      </c>
      <c r="O76" s="25"/>
      <c r="P76" s="25"/>
      <c r="Q76" s="20" t="s">
        <v>714</v>
      </c>
      <c r="R76" s="89"/>
      <c r="S76" s="89"/>
      <c r="T76" s="20" t="s">
        <v>715</v>
      </c>
      <c r="U76" s="435" t="s">
        <v>716</v>
      </c>
      <c r="V76" s="435" t="s">
        <v>716</v>
      </c>
      <c r="W76" s="27"/>
      <c r="X76" s="27" t="s">
        <v>615</v>
      </c>
      <c r="Y76" s="27" t="s">
        <v>624</v>
      </c>
      <c r="Z76" s="27"/>
    </row>
    <row r="77" spans="1:26" s="1" customFormat="1" ht="43.5" hidden="1">
      <c r="A77" s="100" t="s">
        <v>303</v>
      </c>
      <c r="B77" s="121">
        <v>5</v>
      </c>
      <c r="C77" s="122" t="s">
        <v>699</v>
      </c>
      <c r="D77" s="110" t="s">
        <v>706</v>
      </c>
      <c r="E77" s="116" t="s">
        <v>707</v>
      </c>
      <c r="F77" s="88" t="s">
        <v>708</v>
      </c>
      <c r="G77" s="88" t="s">
        <v>709</v>
      </c>
      <c r="H77" s="88" t="s">
        <v>348</v>
      </c>
      <c r="I77" s="88" t="s">
        <v>570</v>
      </c>
      <c r="J77" s="205" t="s">
        <v>710</v>
      </c>
      <c r="K77" s="20"/>
      <c r="L77" s="20" t="s">
        <v>54</v>
      </c>
      <c r="M77" s="27"/>
      <c r="N77" s="393" t="s">
        <v>717</v>
      </c>
      <c r="O77" s="25"/>
      <c r="P77" s="25"/>
      <c r="Q77" s="27" t="s">
        <v>363</v>
      </c>
      <c r="R77" s="89"/>
      <c r="S77" s="89"/>
      <c r="T77" s="25"/>
      <c r="U77" s="25"/>
      <c r="V77" s="25"/>
      <c r="W77" s="27"/>
      <c r="X77" s="27"/>
      <c r="Y77" s="27"/>
      <c r="Z77" s="27"/>
    </row>
    <row r="78" spans="1:26" s="1" customFormat="1" ht="43.5" hidden="1">
      <c r="A78" s="100" t="s">
        <v>303</v>
      </c>
      <c r="B78" s="121">
        <v>5</v>
      </c>
      <c r="C78" s="122" t="s">
        <v>699</v>
      </c>
      <c r="D78" s="110" t="s">
        <v>706</v>
      </c>
      <c r="E78" s="116" t="s">
        <v>707</v>
      </c>
      <c r="F78" s="88" t="s">
        <v>708</v>
      </c>
      <c r="G78" s="88" t="s">
        <v>709</v>
      </c>
      <c r="H78" s="88" t="s">
        <v>348</v>
      </c>
      <c r="I78" s="88" t="s">
        <v>570</v>
      </c>
      <c r="J78" s="205" t="s">
        <v>710</v>
      </c>
      <c r="K78" s="20" t="s">
        <v>711</v>
      </c>
      <c r="L78" s="20" t="s">
        <v>54</v>
      </c>
      <c r="M78" s="27" t="s">
        <v>712</v>
      </c>
      <c r="N78" s="390" t="s">
        <v>718</v>
      </c>
      <c r="O78" s="25"/>
      <c r="P78" s="25"/>
      <c r="Q78" s="27" t="s">
        <v>363</v>
      </c>
      <c r="R78" s="89"/>
      <c r="S78" s="89"/>
      <c r="T78" s="25"/>
      <c r="U78" s="25"/>
      <c r="V78" s="25"/>
      <c r="W78" s="27"/>
      <c r="X78" s="27" t="s">
        <v>615</v>
      </c>
      <c r="Y78" s="27" t="s">
        <v>624</v>
      </c>
      <c r="Z78" s="27"/>
    </row>
    <row r="79" spans="1:26" s="1" customFormat="1" ht="43.5" hidden="1">
      <c r="A79" s="100" t="s">
        <v>303</v>
      </c>
      <c r="B79" s="121">
        <v>5</v>
      </c>
      <c r="C79" s="122" t="s">
        <v>699</v>
      </c>
      <c r="D79" s="123" t="s">
        <v>706</v>
      </c>
      <c r="E79" s="116" t="s">
        <v>707</v>
      </c>
      <c r="F79" s="88" t="s">
        <v>719</v>
      </c>
      <c r="G79" s="88" t="s">
        <v>720</v>
      </c>
      <c r="H79" s="88"/>
      <c r="I79" s="88"/>
      <c r="J79" s="20" t="s">
        <v>720</v>
      </c>
      <c r="K79" s="20" t="s">
        <v>721</v>
      </c>
      <c r="L79" s="214" t="s">
        <v>107</v>
      </c>
      <c r="M79" s="27" t="s">
        <v>368</v>
      </c>
      <c r="N79" s="27"/>
      <c r="O79" s="25"/>
      <c r="P79" s="25"/>
      <c r="Q79" s="27" t="s">
        <v>363</v>
      </c>
      <c r="R79" s="89"/>
      <c r="S79" s="89"/>
      <c r="T79" s="25"/>
      <c r="U79" s="25"/>
      <c r="V79" s="25"/>
      <c r="W79" s="27"/>
      <c r="X79" s="27"/>
      <c r="Y79" s="27"/>
      <c r="Z79" s="27"/>
    </row>
    <row r="80" spans="1:26" s="1" customFormat="1" ht="57.95">
      <c r="A80" s="100" t="s">
        <v>303</v>
      </c>
      <c r="B80" s="121">
        <v>5</v>
      </c>
      <c r="C80" s="122" t="s">
        <v>699</v>
      </c>
      <c r="D80" s="123" t="s">
        <v>706</v>
      </c>
      <c r="E80" s="116" t="s">
        <v>707</v>
      </c>
      <c r="F80" s="88" t="s">
        <v>722</v>
      </c>
      <c r="G80" s="88" t="s">
        <v>723</v>
      </c>
      <c r="H80" s="88" t="s">
        <v>348</v>
      </c>
      <c r="I80" s="88" t="s">
        <v>377</v>
      </c>
      <c r="J80" s="20" t="str">
        <f>G80</f>
        <v>Minimitzar la brutícia, deixalles, vandalisme i males praxis dins l'ENP</v>
      </c>
      <c r="K80" s="20"/>
      <c r="L80" s="20" t="s">
        <v>54</v>
      </c>
      <c r="M80" s="27" t="s">
        <v>368</v>
      </c>
      <c r="N80" s="390" t="s">
        <v>724</v>
      </c>
      <c r="O80" s="25"/>
      <c r="P80" s="25"/>
      <c r="Q80" s="20" t="s">
        <v>725</v>
      </c>
      <c r="R80" s="89"/>
      <c r="S80" s="89"/>
      <c r="T80" s="20" t="s">
        <v>726</v>
      </c>
      <c r="U80" s="435">
        <v>3</v>
      </c>
      <c r="V80" s="435">
        <v>4</v>
      </c>
      <c r="W80" s="27"/>
      <c r="X80" s="27" t="s">
        <v>632</v>
      </c>
      <c r="Y80" s="27" t="s">
        <v>727</v>
      </c>
      <c r="Z80" s="27"/>
    </row>
    <row r="81" spans="1:26" s="1" customFormat="1" ht="43.5" hidden="1">
      <c r="A81" s="100" t="s">
        <v>303</v>
      </c>
      <c r="B81" s="121">
        <v>5</v>
      </c>
      <c r="C81" s="122" t="s">
        <v>699</v>
      </c>
      <c r="D81" s="123" t="s">
        <v>706</v>
      </c>
      <c r="E81" s="116" t="s">
        <v>707</v>
      </c>
      <c r="F81" s="88" t="s">
        <v>722</v>
      </c>
      <c r="G81" s="88" t="s">
        <v>723</v>
      </c>
      <c r="H81" s="88" t="s">
        <v>348</v>
      </c>
      <c r="I81" s="88" t="s">
        <v>377</v>
      </c>
      <c r="J81" s="20" t="str">
        <f>G81</f>
        <v>Minimitzar la brutícia, deixalles, vandalisme i males praxis dins l'ENP</v>
      </c>
      <c r="K81" s="20"/>
      <c r="L81" s="20" t="s">
        <v>54</v>
      </c>
      <c r="M81" s="27" t="s">
        <v>368</v>
      </c>
      <c r="N81" s="401" t="s">
        <v>728</v>
      </c>
      <c r="O81" s="25"/>
      <c r="P81" s="25"/>
      <c r="Q81" s="27" t="s">
        <v>363</v>
      </c>
      <c r="R81" s="89"/>
      <c r="S81" s="89"/>
      <c r="T81" s="25"/>
      <c r="U81" s="25"/>
      <c r="V81" s="25"/>
      <c r="W81" s="27"/>
      <c r="X81" s="27"/>
      <c r="Y81" s="27"/>
      <c r="Z81" s="27"/>
    </row>
    <row r="82" spans="1:26" s="1" customFormat="1" ht="87">
      <c r="A82" s="100" t="s">
        <v>303</v>
      </c>
      <c r="B82" s="121">
        <v>5</v>
      </c>
      <c r="C82" s="122" t="s">
        <v>699</v>
      </c>
      <c r="D82" s="124" t="s">
        <v>729</v>
      </c>
      <c r="E82" s="125" t="s">
        <v>730</v>
      </c>
      <c r="F82" s="88" t="s">
        <v>731</v>
      </c>
      <c r="G82" s="88" t="s">
        <v>732</v>
      </c>
      <c r="H82" s="88" t="s">
        <v>416</v>
      </c>
      <c r="I82" s="88" t="s">
        <v>570</v>
      </c>
      <c r="J82" s="20" t="str">
        <f>G82</f>
        <v>Promoure la certificació de qualitat del cel nocturn</v>
      </c>
      <c r="K82" s="20"/>
      <c r="L82" s="20" t="s">
        <v>54</v>
      </c>
      <c r="M82" s="27" t="s">
        <v>368</v>
      </c>
      <c r="N82" s="390" t="s">
        <v>733</v>
      </c>
      <c r="O82" s="25"/>
      <c r="P82" s="25"/>
      <c r="Q82" s="20" t="s">
        <v>734</v>
      </c>
      <c r="R82" s="89" t="s">
        <v>380</v>
      </c>
      <c r="S82" s="89"/>
      <c r="T82" s="20" t="s">
        <v>735</v>
      </c>
      <c r="U82" s="435">
        <v>1</v>
      </c>
      <c r="V82" s="435">
        <v>1</v>
      </c>
      <c r="W82" s="27"/>
      <c r="X82" s="338" t="s">
        <v>360</v>
      </c>
      <c r="Y82" s="338" t="s">
        <v>361</v>
      </c>
      <c r="Z82" s="27"/>
    </row>
    <row r="83" spans="1:26" s="1" customFormat="1" ht="43.5" hidden="1">
      <c r="A83" s="100" t="s">
        <v>303</v>
      </c>
      <c r="B83" s="121">
        <v>5</v>
      </c>
      <c r="C83" s="122" t="s">
        <v>699</v>
      </c>
      <c r="D83" s="124" t="s">
        <v>729</v>
      </c>
      <c r="E83" s="125" t="s">
        <v>730</v>
      </c>
      <c r="F83" s="88" t="s">
        <v>731</v>
      </c>
      <c r="G83" s="88" t="s">
        <v>732</v>
      </c>
      <c r="H83" s="88" t="s">
        <v>416</v>
      </c>
      <c r="I83" s="88" t="s">
        <v>570</v>
      </c>
      <c r="J83" s="20" t="str">
        <f>G83</f>
        <v>Promoure la certificació de qualitat del cel nocturn</v>
      </c>
      <c r="K83" s="20"/>
      <c r="L83" s="20" t="s">
        <v>54</v>
      </c>
      <c r="M83" s="27"/>
      <c r="N83" s="390" t="s">
        <v>736</v>
      </c>
      <c r="O83" s="25"/>
      <c r="P83" s="25"/>
      <c r="Q83" s="27" t="s">
        <v>363</v>
      </c>
      <c r="R83" s="89"/>
      <c r="S83" s="89"/>
      <c r="T83" s="25"/>
      <c r="U83" s="25"/>
      <c r="V83" s="25"/>
      <c r="W83" s="27"/>
      <c r="X83" s="338" t="s">
        <v>360</v>
      </c>
      <c r="Y83" s="338" t="s">
        <v>361</v>
      </c>
      <c r="Z83" s="27"/>
    </row>
    <row r="84" spans="1:26" s="1" customFormat="1" ht="43.5">
      <c r="A84" s="100" t="s">
        <v>303</v>
      </c>
      <c r="B84" s="121">
        <v>5</v>
      </c>
      <c r="C84" s="122" t="s">
        <v>699</v>
      </c>
      <c r="D84" s="126" t="s">
        <v>729</v>
      </c>
      <c r="E84" s="127" t="s">
        <v>730</v>
      </c>
      <c r="F84" s="88" t="s">
        <v>737</v>
      </c>
      <c r="G84" s="88" t="s">
        <v>738</v>
      </c>
      <c r="H84" s="88" t="s">
        <v>416</v>
      </c>
      <c r="I84" s="88" t="s">
        <v>570</v>
      </c>
      <c r="J84" s="20" t="str">
        <f>G84</f>
        <v>Promoure la certificació de zones d'especial protecció de la qualitat acústica</v>
      </c>
      <c r="K84" s="20" t="s">
        <v>739</v>
      </c>
      <c r="L84" s="411" t="s">
        <v>107</v>
      </c>
      <c r="M84" s="27" t="s">
        <v>368</v>
      </c>
      <c r="N84" s="331"/>
      <c r="O84" s="25"/>
      <c r="P84" s="25" t="s">
        <v>738</v>
      </c>
      <c r="Q84" s="27" t="s">
        <v>738</v>
      </c>
      <c r="R84" s="89" t="s">
        <v>380</v>
      </c>
      <c r="S84" s="89"/>
      <c r="T84" s="408"/>
      <c r="U84" s="408"/>
      <c r="V84" s="408"/>
      <c r="W84" s="27"/>
      <c r="X84" s="27" t="s">
        <v>360</v>
      </c>
      <c r="Y84" s="27" t="s">
        <v>361</v>
      </c>
      <c r="Z84" s="27"/>
    </row>
    <row r="85" spans="1:26" s="1" customFormat="1" ht="188.45">
      <c r="A85" s="14" t="s">
        <v>304</v>
      </c>
      <c r="B85" s="128">
        <v>6</v>
      </c>
      <c r="C85" s="13" t="s">
        <v>740</v>
      </c>
      <c r="D85" s="129" t="s">
        <v>741</v>
      </c>
      <c r="E85" s="130" t="s">
        <v>742</v>
      </c>
      <c r="F85" s="88" t="s">
        <v>743</v>
      </c>
      <c r="G85" s="131" t="s">
        <v>744</v>
      </c>
      <c r="H85" s="88" t="s">
        <v>348</v>
      </c>
      <c r="I85" s="88" t="s">
        <v>377</v>
      </c>
      <c r="J85" s="213" t="s">
        <v>745</v>
      </c>
      <c r="K85" s="20" t="s">
        <v>746</v>
      </c>
      <c r="L85" s="20" t="s">
        <v>54</v>
      </c>
      <c r="M85" s="27" t="s">
        <v>378</v>
      </c>
      <c r="N85" s="390" t="s">
        <v>747</v>
      </c>
      <c r="O85" s="25"/>
      <c r="P85" s="25"/>
      <c r="Q85" s="20" t="s">
        <v>748</v>
      </c>
      <c r="R85" s="89" t="s">
        <v>749</v>
      </c>
      <c r="S85" s="89" t="s">
        <v>750</v>
      </c>
      <c r="T85" s="20" t="s">
        <v>751</v>
      </c>
      <c r="U85" s="435" t="s">
        <v>752</v>
      </c>
      <c r="V85" s="435" t="s">
        <v>753</v>
      </c>
      <c r="W85" s="27"/>
      <c r="X85" s="338" t="s">
        <v>360</v>
      </c>
      <c r="Y85" s="338" t="s">
        <v>400</v>
      </c>
      <c r="Z85" s="27"/>
    </row>
    <row r="86" spans="1:26" s="1" customFormat="1" ht="72.599999999999994" hidden="1">
      <c r="A86" s="14" t="s">
        <v>304</v>
      </c>
      <c r="B86" s="132">
        <v>6</v>
      </c>
      <c r="C86" s="195" t="s">
        <v>740</v>
      </c>
      <c r="D86" s="133" t="s">
        <v>741</v>
      </c>
      <c r="E86" s="196" t="s">
        <v>742</v>
      </c>
      <c r="F86" s="88" t="s">
        <v>743</v>
      </c>
      <c r="G86" s="131" t="s">
        <v>744</v>
      </c>
      <c r="H86" s="88" t="s">
        <v>348</v>
      </c>
      <c r="I86" s="88" t="s">
        <v>377</v>
      </c>
      <c r="J86" s="213" t="s">
        <v>745</v>
      </c>
      <c r="K86" s="20"/>
      <c r="L86" s="20" t="s">
        <v>54</v>
      </c>
      <c r="M86" s="27"/>
      <c r="N86" s="390" t="s">
        <v>754</v>
      </c>
      <c r="O86" s="25"/>
      <c r="P86" s="25"/>
      <c r="Q86" s="27" t="s">
        <v>363</v>
      </c>
      <c r="R86" s="89"/>
      <c r="S86" s="89"/>
      <c r="T86" s="25"/>
      <c r="U86" s="25"/>
      <c r="V86" s="25"/>
      <c r="W86" s="27"/>
      <c r="X86" s="338" t="s">
        <v>360</v>
      </c>
      <c r="Y86" s="338" t="s">
        <v>400</v>
      </c>
      <c r="Z86" s="27"/>
    </row>
    <row r="87" spans="1:26" s="1" customFormat="1" ht="72.599999999999994" hidden="1">
      <c r="A87" s="14" t="s">
        <v>304</v>
      </c>
      <c r="B87" s="132">
        <v>6</v>
      </c>
      <c r="C87" s="195" t="s">
        <v>740</v>
      </c>
      <c r="D87" s="133" t="s">
        <v>741</v>
      </c>
      <c r="E87" s="196" t="s">
        <v>742</v>
      </c>
      <c r="F87" s="88" t="s">
        <v>743</v>
      </c>
      <c r="G87" s="131" t="s">
        <v>744</v>
      </c>
      <c r="H87" s="88" t="s">
        <v>348</v>
      </c>
      <c r="I87" s="88" t="s">
        <v>377</v>
      </c>
      <c r="J87" s="213" t="s">
        <v>745</v>
      </c>
      <c r="K87" s="20"/>
      <c r="L87" s="20" t="s">
        <v>54</v>
      </c>
      <c r="M87" s="27"/>
      <c r="N87" s="390" t="s">
        <v>755</v>
      </c>
      <c r="O87" s="25"/>
      <c r="P87" s="25"/>
      <c r="Q87" s="27" t="s">
        <v>363</v>
      </c>
      <c r="R87" s="89"/>
      <c r="S87" s="89"/>
      <c r="T87" s="25"/>
      <c r="U87" s="25"/>
      <c r="V87" s="25"/>
      <c r="W87" s="27"/>
      <c r="X87" s="338" t="s">
        <v>360</v>
      </c>
      <c r="Y87" s="338" t="s">
        <v>400</v>
      </c>
      <c r="Z87" s="27"/>
    </row>
    <row r="88" spans="1:26" s="1" customFormat="1" ht="72.599999999999994" hidden="1">
      <c r="A88" s="14" t="s">
        <v>304</v>
      </c>
      <c r="B88" s="132">
        <v>6</v>
      </c>
      <c r="C88" s="195" t="s">
        <v>740</v>
      </c>
      <c r="D88" s="133" t="s">
        <v>741</v>
      </c>
      <c r="E88" s="196" t="s">
        <v>742</v>
      </c>
      <c r="F88" s="88" t="s">
        <v>743</v>
      </c>
      <c r="G88" s="131" t="s">
        <v>744</v>
      </c>
      <c r="H88" s="88" t="s">
        <v>348</v>
      </c>
      <c r="I88" s="88" t="s">
        <v>377</v>
      </c>
      <c r="J88" s="213" t="s">
        <v>745</v>
      </c>
      <c r="K88" s="20"/>
      <c r="L88" s="20" t="s">
        <v>54</v>
      </c>
      <c r="M88" s="27"/>
      <c r="N88" s="390" t="s">
        <v>756</v>
      </c>
      <c r="O88" s="25"/>
      <c r="P88" s="25"/>
      <c r="Q88" s="27" t="s">
        <v>363</v>
      </c>
      <c r="R88" s="89"/>
      <c r="S88" s="89"/>
      <c r="T88" s="25"/>
      <c r="U88" s="25"/>
      <c r="V88" s="25"/>
      <c r="W88" s="27"/>
      <c r="X88" s="338" t="s">
        <v>360</v>
      </c>
      <c r="Y88" s="338" t="s">
        <v>361</v>
      </c>
      <c r="Z88" s="27"/>
    </row>
    <row r="89" spans="1:26" s="1" customFormat="1" ht="72.599999999999994" hidden="1">
      <c r="A89" s="14" t="s">
        <v>304</v>
      </c>
      <c r="B89" s="132">
        <v>6</v>
      </c>
      <c r="C89" s="195" t="s">
        <v>740</v>
      </c>
      <c r="D89" s="133" t="s">
        <v>741</v>
      </c>
      <c r="E89" s="196" t="s">
        <v>742</v>
      </c>
      <c r="F89" s="88" t="s">
        <v>743</v>
      </c>
      <c r="G89" s="131" t="s">
        <v>744</v>
      </c>
      <c r="H89" s="88" t="s">
        <v>348</v>
      </c>
      <c r="I89" s="88" t="s">
        <v>377</v>
      </c>
      <c r="J89" s="213" t="s">
        <v>745</v>
      </c>
      <c r="K89" s="20"/>
      <c r="L89" s="20" t="s">
        <v>54</v>
      </c>
      <c r="M89" s="27"/>
      <c r="N89" s="390" t="s">
        <v>757</v>
      </c>
      <c r="O89" s="25"/>
      <c r="P89" s="25"/>
      <c r="Q89" s="27" t="s">
        <v>363</v>
      </c>
      <c r="R89" s="89"/>
      <c r="S89" s="89"/>
      <c r="T89" s="25"/>
      <c r="U89" s="25"/>
      <c r="V89" s="25"/>
      <c r="W89" s="27"/>
      <c r="X89" s="338" t="s">
        <v>360</v>
      </c>
      <c r="Y89" s="89" t="s">
        <v>361</v>
      </c>
      <c r="Z89" s="27"/>
    </row>
    <row r="90" spans="1:26" s="1" customFormat="1" ht="72.599999999999994" hidden="1">
      <c r="A90" s="14" t="s">
        <v>304</v>
      </c>
      <c r="B90" s="132">
        <v>6</v>
      </c>
      <c r="C90" s="195" t="s">
        <v>740</v>
      </c>
      <c r="D90" s="133" t="s">
        <v>741</v>
      </c>
      <c r="E90" s="196" t="s">
        <v>742</v>
      </c>
      <c r="F90" s="88" t="s">
        <v>743</v>
      </c>
      <c r="G90" s="131" t="s">
        <v>744</v>
      </c>
      <c r="H90" s="88" t="s">
        <v>348</v>
      </c>
      <c r="I90" s="88" t="s">
        <v>377</v>
      </c>
      <c r="J90" s="213" t="s">
        <v>745</v>
      </c>
      <c r="K90" s="20"/>
      <c r="L90" s="20" t="s">
        <v>54</v>
      </c>
      <c r="M90" s="27"/>
      <c r="N90" s="390" t="s">
        <v>758</v>
      </c>
      <c r="O90" s="25"/>
      <c r="P90" s="25"/>
      <c r="Q90" s="27" t="s">
        <v>363</v>
      </c>
      <c r="R90" s="89"/>
      <c r="S90" s="89"/>
      <c r="T90" s="25"/>
      <c r="U90" s="25"/>
      <c r="V90" s="25"/>
      <c r="W90" s="27"/>
      <c r="X90" s="338" t="s">
        <v>360</v>
      </c>
      <c r="Y90" s="338" t="s">
        <v>364</v>
      </c>
      <c r="Z90" s="27"/>
    </row>
    <row r="91" spans="1:26" s="1" customFormat="1" ht="72.599999999999994" hidden="1">
      <c r="A91" s="14" t="s">
        <v>304</v>
      </c>
      <c r="B91" s="132">
        <v>6</v>
      </c>
      <c r="C91" s="195" t="s">
        <v>740</v>
      </c>
      <c r="D91" s="133" t="s">
        <v>741</v>
      </c>
      <c r="E91" s="196" t="s">
        <v>742</v>
      </c>
      <c r="F91" s="88" t="s">
        <v>743</v>
      </c>
      <c r="G91" s="131" t="s">
        <v>744</v>
      </c>
      <c r="H91" s="88" t="s">
        <v>348</v>
      </c>
      <c r="I91" s="88" t="s">
        <v>377</v>
      </c>
      <c r="J91" s="213" t="s">
        <v>745</v>
      </c>
      <c r="K91" s="20"/>
      <c r="L91" s="20" t="s">
        <v>54</v>
      </c>
      <c r="M91" s="27"/>
      <c r="N91" s="390" t="s">
        <v>759</v>
      </c>
      <c r="O91" s="25"/>
      <c r="P91" s="25"/>
      <c r="Q91" s="27" t="s">
        <v>363</v>
      </c>
      <c r="R91" s="89"/>
      <c r="S91" s="89"/>
      <c r="T91" s="25"/>
      <c r="U91" s="25"/>
      <c r="V91" s="25"/>
      <c r="W91" s="27"/>
      <c r="X91" s="338" t="s">
        <v>360</v>
      </c>
      <c r="Y91" s="338" t="s">
        <v>364</v>
      </c>
      <c r="Z91" s="27"/>
    </row>
    <row r="92" spans="1:26" s="1" customFormat="1" ht="72.599999999999994" hidden="1">
      <c r="A92" s="14" t="s">
        <v>304</v>
      </c>
      <c r="B92" s="132">
        <v>6</v>
      </c>
      <c r="C92" s="195" t="s">
        <v>740</v>
      </c>
      <c r="D92" s="133" t="s">
        <v>741</v>
      </c>
      <c r="E92" s="196" t="s">
        <v>742</v>
      </c>
      <c r="F92" s="88" t="s">
        <v>743</v>
      </c>
      <c r="G92" s="131" t="s">
        <v>744</v>
      </c>
      <c r="H92" s="88" t="s">
        <v>348</v>
      </c>
      <c r="I92" s="88" t="s">
        <v>377</v>
      </c>
      <c r="J92" s="213" t="s">
        <v>745</v>
      </c>
      <c r="K92" s="20"/>
      <c r="L92" s="20" t="s">
        <v>54</v>
      </c>
      <c r="M92" s="27"/>
      <c r="N92" s="390" t="s">
        <v>760</v>
      </c>
      <c r="O92" s="25"/>
      <c r="P92" s="25"/>
      <c r="Q92" s="27" t="s">
        <v>363</v>
      </c>
      <c r="R92" s="89"/>
      <c r="S92" s="89"/>
      <c r="T92" s="25"/>
      <c r="U92" s="25"/>
      <c r="V92" s="25"/>
      <c r="W92" s="27"/>
      <c r="X92" s="338" t="s">
        <v>360</v>
      </c>
      <c r="Y92" s="338" t="s">
        <v>400</v>
      </c>
      <c r="Z92" s="27"/>
    </row>
    <row r="93" spans="1:26" s="1" customFormat="1" ht="72.599999999999994" hidden="1">
      <c r="A93" s="14" t="s">
        <v>304</v>
      </c>
      <c r="B93" s="132">
        <v>6</v>
      </c>
      <c r="C93" s="195" t="s">
        <v>740</v>
      </c>
      <c r="D93" s="133" t="s">
        <v>741</v>
      </c>
      <c r="E93" s="196" t="s">
        <v>742</v>
      </c>
      <c r="F93" s="88" t="s">
        <v>743</v>
      </c>
      <c r="G93" s="131" t="s">
        <v>744</v>
      </c>
      <c r="H93" s="88" t="s">
        <v>348</v>
      </c>
      <c r="I93" s="88" t="s">
        <v>377</v>
      </c>
      <c r="J93" s="213" t="s">
        <v>745</v>
      </c>
      <c r="K93" s="20"/>
      <c r="L93" s="20" t="s">
        <v>54</v>
      </c>
      <c r="M93" s="27"/>
      <c r="N93" s="390" t="s">
        <v>761</v>
      </c>
      <c r="O93" s="25"/>
      <c r="P93" s="25"/>
      <c r="Q93" s="27" t="s">
        <v>363</v>
      </c>
      <c r="R93" s="89"/>
      <c r="S93" s="89"/>
      <c r="T93" s="25"/>
      <c r="U93" s="25"/>
      <c r="V93" s="25"/>
      <c r="W93" s="27"/>
      <c r="X93" s="338"/>
      <c r="Y93" s="338"/>
      <c r="Z93" s="27"/>
    </row>
    <row r="94" spans="1:26" s="1" customFormat="1" ht="87">
      <c r="A94" s="14" t="s">
        <v>304</v>
      </c>
      <c r="B94" s="132">
        <v>6</v>
      </c>
      <c r="C94" s="195" t="s">
        <v>740</v>
      </c>
      <c r="D94" s="133" t="s">
        <v>741</v>
      </c>
      <c r="E94" s="196" t="s">
        <v>742</v>
      </c>
      <c r="F94" s="88" t="s">
        <v>762</v>
      </c>
      <c r="G94" s="88" t="s">
        <v>763</v>
      </c>
      <c r="H94" s="88" t="s">
        <v>348</v>
      </c>
      <c r="I94" s="88" t="s">
        <v>377</v>
      </c>
      <c r="J94" s="20" t="str">
        <f>G94</f>
        <v>Definir espais fràgils i zones d'especial atenció</v>
      </c>
      <c r="K94" s="20" t="s">
        <v>764</v>
      </c>
      <c r="L94" s="20" t="s">
        <v>54</v>
      </c>
      <c r="M94" s="27" t="s">
        <v>378</v>
      </c>
      <c r="N94" s="393" t="s">
        <v>765</v>
      </c>
      <c r="O94" s="25"/>
      <c r="P94" s="25"/>
      <c r="Q94" s="20" t="s">
        <v>766</v>
      </c>
      <c r="R94" s="89"/>
      <c r="S94" s="89" t="s">
        <v>767</v>
      </c>
      <c r="T94" s="20" t="s">
        <v>768</v>
      </c>
      <c r="U94" s="435" t="s">
        <v>716</v>
      </c>
      <c r="V94" s="435" t="s">
        <v>769</v>
      </c>
      <c r="W94" s="27"/>
      <c r="X94" s="338" t="s">
        <v>632</v>
      </c>
      <c r="Y94" s="338" t="s">
        <v>770</v>
      </c>
      <c r="Z94" s="27"/>
    </row>
    <row r="95" spans="1:26" s="1" customFormat="1" ht="43.5" hidden="1">
      <c r="A95" s="14" t="s">
        <v>304</v>
      </c>
      <c r="B95" s="132">
        <v>6</v>
      </c>
      <c r="C95" s="195" t="s">
        <v>740</v>
      </c>
      <c r="D95" s="133" t="s">
        <v>741</v>
      </c>
      <c r="E95" s="196" t="s">
        <v>742</v>
      </c>
      <c r="F95" s="88" t="s">
        <v>762</v>
      </c>
      <c r="G95" s="88" t="s">
        <v>763</v>
      </c>
      <c r="H95" s="88" t="s">
        <v>348</v>
      </c>
      <c r="I95" s="88" t="s">
        <v>377</v>
      </c>
      <c r="J95" s="20" t="str">
        <f>G95</f>
        <v>Definir espais fràgils i zones d'especial atenció</v>
      </c>
      <c r="K95" s="20" t="s">
        <v>764</v>
      </c>
      <c r="L95" s="20" t="s">
        <v>54</v>
      </c>
      <c r="M95" s="27" t="s">
        <v>378</v>
      </c>
      <c r="N95" s="393" t="s">
        <v>771</v>
      </c>
      <c r="O95" s="25"/>
      <c r="P95" s="25"/>
      <c r="Q95" s="27" t="s">
        <v>363</v>
      </c>
      <c r="R95" s="89"/>
      <c r="S95" s="89" t="s">
        <v>767</v>
      </c>
      <c r="T95" s="25"/>
      <c r="U95" s="25"/>
      <c r="V95" s="25"/>
      <c r="W95" s="27"/>
      <c r="X95" s="338" t="s">
        <v>632</v>
      </c>
      <c r="Y95" s="338" t="s">
        <v>616</v>
      </c>
      <c r="Z95" s="27"/>
    </row>
    <row r="96" spans="1:26" s="1" customFormat="1" ht="43.5" hidden="1">
      <c r="A96" s="14" t="s">
        <v>304</v>
      </c>
      <c r="B96" s="132">
        <v>6</v>
      </c>
      <c r="C96" s="195" t="s">
        <v>740</v>
      </c>
      <c r="D96" s="133" t="s">
        <v>741</v>
      </c>
      <c r="E96" s="196" t="s">
        <v>742</v>
      </c>
      <c r="F96" s="88" t="s">
        <v>762</v>
      </c>
      <c r="G96" s="88" t="s">
        <v>763</v>
      </c>
      <c r="H96" s="88" t="s">
        <v>348</v>
      </c>
      <c r="I96" s="88" t="s">
        <v>377</v>
      </c>
      <c r="J96" s="20" t="str">
        <f>G96</f>
        <v>Definir espais fràgils i zones d'especial atenció</v>
      </c>
      <c r="K96" s="20" t="s">
        <v>764</v>
      </c>
      <c r="L96" s="20" t="s">
        <v>54</v>
      </c>
      <c r="M96" s="27" t="s">
        <v>378</v>
      </c>
      <c r="N96" s="390" t="s">
        <v>772</v>
      </c>
      <c r="O96" s="25"/>
      <c r="P96" s="25"/>
      <c r="Q96" s="27" t="s">
        <v>363</v>
      </c>
      <c r="R96" s="338" t="s">
        <v>360</v>
      </c>
      <c r="S96" s="338" t="s">
        <v>364</v>
      </c>
      <c r="T96" s="25"/>
      <c r="U96" s="25"/>
      <c r="V96" s="25"/>
      <c r="W96" s="27"/>
      <c r="X96" s="338" t="s">
        <v>360</v>
      </c>
      <c r="Y96" s="338" t="s">
        <v>773</v>
      </c>
      <c r="Z96" s="27"/>
    </row>
    <row r="97" spans="1:26" s="1" customFormat="1" ht="87">
      <c r="A97" s="14" t="s">
        <v>304</v>
      </c>
      <c r="B97" s="132">
        <v>6</v>
      </c>
      <c r="C97" s="195" t="s">
        <v>740</v>
      </c>
      <c r="D97" s="129" t="s">
        <v>774</v>
      </c>
      <c r="E97" s="130" t="s">
        <v>775</v>
      </c>
      <c r="F97" s="88" t="s">
        <v>776</v>
      </c>
      <c r="G97" s="88" t="s">
        <v>777</v>
      </c>
      <c r="H97" s="88" t="s">
        <v>348</v>
      </c>
      <c r="I97" s="88" t="s">
        <v>377</v>
      </c>
      <c r="J97" s="20" t="str">
        <f>G97</f>
        <v>Participar en l'elaboració de la cartografia que elabora la UIC</v>
      </c>
      <c r="K97" s="20"/>
      <c r="L97" s="20" t="s">
        <v>54</v>
      </c>
      <c r="M97" s="27" t="s">
        <v>352</v>
      </c>
      <c r="N97" s="393" t="s">
        <v>778</v>
      </c>
      <c r="O97" s="25"/>
      <c r="P97" s="25"/>
      <c r="Q97" s="20" t="s">
        <v>779</v>
      </c>
      <c r="R97" s="89" t="s">
        <v>380</v>
      </c>
      <c r="S97" s="89" t="s">
        <v>780</v>
      </c>
      <c r="T97" s="20" t="s">
        <v>781</v>
      </c>
      <c r="U97" s="413">
        <v>1</v>
      </c>
      <c r="V97" s="413">
        <v>5</v>
      </c>
      <c r="W97" s="27"/>
      <c r="X97" s="338" t="s">
        <v>632</v>
      </c>
      <c r="Y97" s="338" t="s">
        <v>400</v>
      </c>
      <c r="Z97" s="27"/>
    </row>
    <row r="98" spans="1:26" s="1" customFormat="1" ht="57.95">
      <c r="A98" s="14" t="s">
        <v>304</v>
      </c>
      <c r="B98" s="132">
        <v>6</v>
      </c>
      <c r="C98" s="195" t="s">
        <v>740</v>
      </c>
      <c r="D98" s="133" t="s">
        <v>774</v>
      </c>
      <c r="E98" s="196" t="s">
        <v>775</v>
      </c>
      <c r="F98" s="88" t="s">
        <v>782</v>
      </c>
      <c r="G98" s="88" t="s">
        <v>783</v>
      </c>
      <c r="H98" s="88" t="s">
        <v>348</v>
      </c>
      <c r="I98" s="88" t="s">
        <v>377</v>
      </c>
      <c r="J98" s="20" t="str">
        <f>G98</f>
        <v>Conèixer els usos i factors de canvi rellevants en l'evolució dels elements de conservació, i avaluar els efectes que generen en l’espai (pressions i amenaces)</v>
      </c>
      <c r="K98" s="20"/>
      <c r="L98" s="20" t="s">
        <v>54</v>
      </c>
      <c r="M98" s="27" t="s">
        <v>352</v>
      </c>
      <c r="N98" s="390" t="s">
        <v>784</v>
      </c>
      <c r="O98" s="25"/>
      <c r="P98" s="25"/>
      <c r="Q98" s="20" t="s">
        <v>785</v>
      </c>
      <c r="R98" s="89" t="s">
        <v>380</v>
      </c>
      <c r="S98" s="89" t="s">
        <v>786</v>
      </c>
      <c r="T98" s="20" t="s">
        <v>787</v>
      </c>
      <c r="U98" s="435">
        <v>1</v>
      </c>
      <c r="V98" s="435">
        <v>2</v>
      </c>
      <c r="W98" s="27"/>
      <c r="X98" s="27" t="s">
        <v>360</v>
      </c>
      <c r="Y98" s="27" t="s">
        <v>361</v>
      </c>
      <c r="Z98" s="27"/>
    </row>
    <row r="99" spans="1:26" s="1" customFormat="1" ht="57.95">
      <c r="A99" s="14" t="s">
        <v>304</v>
      </c>
      <c r="B99" s="132">
        <v>6</v>
      </c>
      <c r="C99" s="195" t="s">
        <v>740</v>
      </c>
      <c r="D99" s="133" t="s">
        <v>774</v>
      </c>
      <c r="E99" s="196" t="s">
        <v>775</v>
      </c>
      <c r="F99" s="88" t="s">
        <v>788</v>
      </c>
      <c r="G99" s="88" t="s">
        <v>789</v>
      </c>
      <c r="H99" s="88" t="s">
        <v>348</v>
      </c>
      <c r="I99" s="88" t="s">
        <v>570</v>
      </c>
      <c r="J99" s="205" t="s">
        <v>790</v>
      </c>
      <c r="K99" s="20" t="s">
        <v>746</v>
      </c>
      <c r="L99" s="20" t="s">
        <v>54</v>
      </c>
      <c r="M99" s="27" t="s">
        <v>368</v>
      </c>
      <c r="N99" s="390" t="s">
        <v>791</v>
      </c>
      <c r="O99" s="25"/>
      <c r="P99" s="25"/>
      <c r="Q99" s="20" t="s">
        <v>792</v>
      </c>
      <c r="R99" s="89"/>
      <c r="S99" s="89"/>
      <c r="T99" s="20" t="s">
        <v>793</v>
      </c>
      <c r="U99" s="435">
        <v>1</v>
      </c>
      <c r="V99" s="435">
        <v>2</v>
      </c>
      <c r="W99" s="27"/>
      <c r="X99" s="89" t="s">
        <v>360</v>
      </c>
      <c r="Y99" s="89" t="s">
        <v>361</v>
      </c>
      <c r="Z99" s="27"/>
    </row>
    <row r="100" spans="1:26" s="1" customFormat="1" ht="57.95" hidden="1">
      <c r="A100" s="14" t="s">
        <v>304</v>
      </c>
      <c r="B100" s="132">
        <v>6</v>
      </c>
      <c r="C100" s="195" t="s">
        <v>740</v>
      </c>
      <c r="D100" s="133" t="s">
        <v>774</v>
      </c>
      <c r="E100" s="196" t="s">
        <v>775</v>
      </c>
      <c r="F100" s="88" t="s">
        <v>794</v>
      </c>
      <c r="G100" s="88" t="s">
        <v>795</v>
      </c>
      <c r="H100" s="88" t="s">
        <v>348</v>
      </c>
      <c r="I100" s="88" t="s">
        <v>570</v>
      </c>
      <c r="J100" s="20" t="s">
        <v>795</v>
      </c>
      <c r="K100" s="20" t="s">
        <v>796</v>
      </c>
      <c r="L100" s="214" t="s">
        <v>107</v>
      </c>
      <c r="M100" s="27" t="s">
        <v>368</v>
      </c>
      <c r="N100" s="27"/>
      <c r="O100" s="25"/>
      <c r="P100" s="25"/>
      <c r="Q100" s="27" t="s">
        <v>363</v>
      </c>
      <c r="R100" s="89"/>
      <c r="S100" s="89"/>
      <c r="T100" s="25"/>
      <c r="U100" s="25"/>
      <c r="V100" s="25"/>
      <c r="W100" s="27"/>
      <c r="X100" s="27"/>
      <c r="Y100" s="27"/>
      <c r="Z100" s="27"/>
    </row>
    <row r="101" spans="1:26" s="1" customFormat="1" ht="57.95">
      <c r="A101" s="14" t="s">
        <v>304</v>
      </c>
      <c r="B101" s="132">
        <v>6</v>
      </c>
      <c r="C101" s="195" t="s">
        <v>740</v>
      </c>
      <c r="D101" s="133" t="s">
        <v>774</v>
      </c>
      <c r="E101" s="196" t="s">
        <v>775</v>
      </c>
      <c r="F101" s="88" t="s">
        <v>797</v>
      </c>
      <c r="G101" s="88" t="s">
        <v>798</v>
      </c>
      <c r="H101" s="88" t="s">
        <v>348</v>
      </c>
      <c r="I101" s="88" t="s">
        <v>377</v>
      </c>
      <c r="J101" s="20" t="str">
        <f>G101</f>
        <v>Conèixer la tendència d'espècies exòtiques invasores amb afectacions sobre ecosistemes o activitats econòmiques dins l'ENP</v>
      </c>
      <c r="K101" s="20"/>
      <c r="L101" s="20" t="s">
        <v>54</v>
      </c>
      <c r="M101" s="27" t="s">
        <v>352</v>
      </c>
      <c r="N101" s="390" t="s">
        <v>799</v>
      </c>
      <c r="O101" s="25"/>
      <c r="P101" s="25"/>
      <c r="Q101" s="20" t="s">
        <v>800</v>
      </c>
      <c r="R101" s="89" t="s">
        <v>380</v>
      </c>
      <c r="S101" s="89"/>
      <c r="T101" s="20" t="s">
        <v>801</v>
      </c>
      <c r="U101" s="435">
        <v>4</v>
      </c>
      <c r="V101" s="435">
        <v>4</v>
      </c>
      <c r="W101" s="27"/>
      <c r="X101" s="89" t="s">
        <v>360</v>
      </c>
      <c r="Y101" s="89" t="s">
        <v>361</v>
      </c>
      <c r="Z101" s="27"/>
    </row>
    <row r="102" spans="1:26" s="1" customFormat="1" ht="57.95" hidden="1">
      <c r="A102" s="14" t="s">
        <v>304</v>
      </c>
      <c r="B102" s="132">
        <v>6</v>
      </c>
      <c r="C102" s="195" t="s">
        <v>740</v>
      </c>
      <c r="D102" s="133" t="s">
        <v>774</v>
      </c>
      <c r="E102" s="196" t="s">
        <v>775</v>
      </c>
      <c r="F102" s="88" t="s">
        <v>802</v>
      </c>
      <c r="G102" s="88" t="s">
        <v>803</v>
      </c>
      <c r="H102" s="88" t="s">
        <v>348</v>
      </c>
      <c r="I102" s="88" t="s">
        <v>570</v>
      </c>
      <c r="J102" s="205" t="s">
        <v>804</v>
      </c>
      <c r="K102" s="20" t="s">
        <v>746</v>
      </c>
      <c r="L102" s="224" t="s">
        <v>107</v>
      </c>
      <c r="M102" s="27" t="s">
        <v>352</v>
      </c>
      <c r="N102" s="331"/>
      <c r="O102" s="25"/>
      <c r="P102" s="25"/>
      <c r="Q102" s="27" t="s">
        <v>363</v>
      </c>
      <c r="R102" s="89" t="s">
        <v>380</v>
      </c>
      <c r="S102" s="89"/>
      <c r="T102" s="25"/>
      <c r="U102" s="25"/>
      <c r="V102" s="25"/>
      <c r="W102" s="27"/>
      <c r="X102" s="27" t="s">
        <v>432</v>
      </c>
      <c r="Y102" s="27" t="s">
        <v>433</v>
      </c>
      <c r="Z102" s="27"/>
    </row>
    <row r="103" spans="1:26" s="1" customFormat="1" ht="87">
      <c r="A103" s="14" t="s">
        <v>304</v>
      </c>
      <c r="B103" s="132">
        <v>6</v>
      </c>
      <c r="C103" s="195" t="s">
        <v>740</v>
      </c>
      <c r="D103" s="129" t="s">
        <v>805</v>
      </c>
      <c r="E103" s="130" t="s">
        <v>806</v>
      </c>
      <c r="F103" s="88" t="s">
        <v>807</v>
      </c>
      <c r="G103" s="88" t="s">
        <v>808</v>
      </c>
      <c r="H103" s="88" t="s">
        <v>348</v>
      </c>
      <c r="I103" s="88" t="s">
        <v>377</v>
      </c>
      <c r="J103" s="20" t="str">
        <f t="shared" ref="J103:J109" si="1">G103</f>
        <v>Participar en la definició del sistema estàndard de seguiment de flora, fauna i hàbitats de la DG</v>
      </c>
      <c r="K103" s="20"/>
      <c r="L103" s="20" t="s">
        <v>54</v>
      </c>
      <c r="M103" s="27" t="s">
        <v>352</v>
      </c>
      <c r="N103" s="390" t="s">
        <v>809</v>
      </c>
      <c r="O103" s="25"/>
      <c r="P103" s="25"/>
      <c r="Q103" s="20" t="s">
        <v>810</v>
      </c>
      <c r="R103" s="89" t="s">
        <v>380</v>
      </c>
      <c r="S103" s="89" t="s">
        <v>811</v>
      </c>
      <c r="T103" s="20" t="s">
        <v>812</v>
      </c>
      <c r="U103" s="435">
        <v>4</v>
      </c>
      <c r="V103" s="435">
        <v>8</v>
      </c>
      <c r="W103" s="27"/>
      <c r="X103" s="338" t="s">
        <v>360</v>
      </c>
      <c r="Y103" s="338" t="s">
        <v>364</v>
      </c>
      <c r="Z103" s="27"/>
    </row>
    <row r="104" spans="1:26" s="1" customFormat="1" ht="275.45">
      <c r="A104" s="14" t="s">
        <v>304</v>
      </c>
      <c r="B104" s="132">
        <v>6</v>
      </c>
      <c r="C104" s="195" t="s">
        <v>740</v>
      </c>
      <c r="D104" s="133" t="s">
        <v>805</v>
      </c>
      <c r="E104" s="196" t="s">
        <v>806</v>
      </c>
      <c r="F104" s="88" t="s">
        <v>813</v>
      </c>
      <c r="G104" s="88" t="s">
        <v>814</v>
      </c>
      <c r="H104" s="88" t="s">
        <v>348</v>
      </c>
      <c r="I104" s="88" t="s">
        <v>377</v>
      </c>
      <c r="J104" s="20" t="str">
        <f t="shared" si="1"/>
        <v>Adequar i executar el sistema de seguiment periòdic dels grups clau de l'ENP al sistema estàndard de seguiment</v>
      </c>
      <c r="K104" s="20"/>
      <c r="L104" s="20" t="s">
        <v>54</v>
      </c>
      <c r="M104" s="27" t="s">
        <v>352</v>
      </c>
      <c r="N104" s="390" t="s">
        <v>815</v>
      </c>
      <c r="O104" s="399"/>
      <c r="P104" s="399"/>
      <c r="Q104" s="20" t="s">
        <v>816</v>
      </c>
      <c r="R104" s="89" t="s">
        <v>380</v>
      </c>
      <c r="S104" s="89" t="s">
        <v>817</v>
      </c>
      <c r="T104" s="20" t="s">
        <v>818</v>
      </c>
      <c r="U104" s="435">
        <v>10</v>
      </c>
      <c r="V104" s="435">
        <v>15</v>
      </c>
      <c r="W104" s="27"/>
      <c r="X104" s="338" t="s">
        <v>360</v>
      </c>
      <c r="Y104" s="338" t="s">
        <v>361</v>
      </c>
      <c r="Z104" s="27"/>
    </row>
    <row r="105" spans="1:26" s="1" customFormat="1" ht="43.5" hidden="1" customHeight="1">
      <c r="A105" s="14" t="s">
        <v>304</v>
      </c>
      <c r="B105" s="132">
        <v>6</v>
      </c>
      <c r="C105" s="195" t="s">
        <v>740</v>
      </c>
      <c r="D105" s="133" t="s">
        <v>805</v>
      </c>
      <c r="E105" s="196" t="s">
        <v>806</v>
      </c>
      <c r="F105" s="88" t="s">
        <v>813</v>
      </c>
      <c r="G105" s="88" t="s">
        <v>814</v>
      </c>
      <c r="H105" s="88" t="s">
        <v>348</v>
      </c>
      <c r="I105" s="88" t="s">
        <v>377</v>
      </c>
      <c r="J105" s="20" t="str">
        <f t="shared" si="1"/>
        <v>Adequar i executar el sistema de seguiment periòdic dels grups clau de l'ENP al sistema estàndard de seguiment</v>
      </c>
      <c r="K105" s="20"/>
      <c r="L105" s="20" t="s">
        <v>54</v>
      </c>
      <c r="M105" s="27"/>
      <c r="N105" s="390" t="s">
        <v>819</v>
      </c>
      <c r="O105" s="399"/>
      <c r="P105" s="399"/>
      <c r="Q105" s="27" t="s">
        <v>363</v>
      </c>
      <c r="R105" s="89"/>
      <c r="S105" s="89"/>
      <c r="T105" s="25"/>
      <c r="U105" s="25"/>
      <c r="V105" s="25"/>
      <c r="W105" s="27"/>
      <c r="X105" s="338" t="s">
        <v>360</v>
      </c>
      <c r="Y105" s="338" t="s">
        <v>361</v>
      </c>
      <c r="Z105" s="27"/>
    </row>
    <row r="106" spans="1:26" s="1" customFormat="1" ht="43.5" hidden="1" customHeight="1">
      <c r="A106" s="14" t="s">
        <v>304</v>
      </c>
      <c r="B106" s="132">
        <v>6</v>
      </c>
      <c r="C106" s="195" t="s">
        <v>740</v>
      </c>
      <c r="D106" s="133" t="s">
        <v>805</v>
      </c>
      <c r="E106" s="196" t="s">
        <v>806</v>
      </c>
      <c r="F106" s="88" t="s">
        <v>813</v>
      </c>
      <c r="G106" s="88" t="s">
        <v>814</v>
      </c>
      <c r="H106" s="88" t="s">
        <v>348</v>
      </c>
      <c r="I106" s="88" t="s">
        <v>377</v>
      </c>
      <c r="J106" s="20" t="str">
        <f t="shared" si="1"/>
        <v>Adequar i executar el sistema de seguiment periòdic dels grups clau de l'ENP al sistema estàndard de seguiment</v>
      </c>
      <c r="K106" s="20"/>
      <c r="L106" s="20" t="s">
        <v>54</v>
      </c>
      <c r="M106" s="27"/>
      <c r="N106" s="390" t="s">
        <v>820</v>
      </c>
      <c r="O106" s="399"/>
      <c r="P106" s="399"/>
      <c r="Q106" s="27" t="s">
        <v>363</v>
      </c>
      <c r="R106" s="89"/>
      <c r="S106" s="89"/>
      <c r="T106" s="25"/>
      <c r="U106" s="25"/>
      <c r="V106" s="25"/>
      <c r="W106" s="27"/>
      <c r="X106" s="338" t="s">
        <v>360</v>
      </c>
      <c r="Y106" s="338" t="s">
        <v>361</v>
      </c>
      <c r="Z106" s="27"/>
    </row>
    <row r="107" spans="1:26" s="1" customFormat="1" ht="43.5" hidden="1" customHeight="1">
      <c r="A107" s="14" t="s">
        <v>304</v>
      </c>
      <c r="B107" s="132">
        <v>6</v>
      </c>
      <c r="C107" s="195" t="s">
        <v>740</v>
      </c>
      <c r="D107" s="133" t="s">
        <v>805</v>
      </c>
      <c r="E107" s="196" t="s">
        <v>806</v>
      </c>
      <c r="F107" s="88" t="s">
        <v>813</v>
      </c>
      <c r="G107" s="88" t="s">
        <v>814</v>
      </c>
      <c r="H107" s="88" t="s">
        <v>348</v>
      </c>
      <c r="I107" s="88" t="s">
        <v>377</v>
      </c>
      <c r="J107" s="20" t="str">
        <f t="shared" si="1"/>
        <v>Adequar i executar el sistema de seguiment periòdic dels grups clau de l'ENP al sistema estàndard de seguiment</v>
      </c>
      <c r="K107" s="20"/>
      <c r="L107" s="20" t="s">
        <v>54</v>
      </c>
      <c r="M107" s="27"/>
      <c r="N107" s="390" t="s">
        <v>821</v>
      </c>
      <c r="O107" s="25"/>
      <c r="P107" s="25"/>
      <c r="Q107" s="27" t="s">
        <v>363</v>
      </c>
      <c r="R107" s="89"/>
      <c r="S107" s="89"/>
      <c r="T107" s="25"/>
      <c r="U107" s="25"/>
      <c r="V107" s="25"/>
      <c r="W107" s="27"/>
      <c r="X107" s="338" t="s">
        <v>360</v>
      </c>
      <c r="Y107" s="338" t="s">
        <v>361</v>
      </c>
      <c r="Z107" s="27"/>
    </row>
    <row r="108" spans="1:26" s="1" customFormat="1" ht="43.5" hidden="1" customHeight="1">
      <c r="A108" s="14" t="s">
        <v>304</v>
      </c>
      <c r="B108" s="132">
        <v>6</v>
      </c>
      <c r="C108" s="195" t="s">
        <v>740</v>
      </c>
      <c r="D108" s="133" t="s">
        <v>805</v>
      </c>
      <c r="E108" s="196" t="s">
        <v>806</v>
      </c>
      <c r="F108" s="88" t="s">
        <v>813</v>
      </c>
      <c r="G108" s="88" t="s">
        <v>814</v>
      </c>
      <c r="H108" s="88" t="s">
        <v>348</v>
      </c>
      <c r="I108" s="88" t="s">
        <v>377</v>
      </c>
      <c r="J108" s="20" t="str">
        <f t="shared" si="1"/>
        <v>Adequar i executar el sistema de seguiment periòdic dels grups clau de l'ENP al sistema estàndard de seguiment</v>
      </c>
      <c r="K108" s="20"/>
      <c r="L108" s="20" t="s">
        <v>54</v>
      </c>
      <c r="M108" s="27"/>
      <c r="N108" s="390" t="s">
        <v>822</v>
      </c>
      <c r="O108" s="25"/>
      <c r="P108" s="25"/>
      <c r="Q108" s="27" t="s">
        <v>363</v>
      </c>
      <c r="R108" s="89"/>
      <c r="S108" s="89"/>
      <c r="T108" s="25"/>
      <c r="U108" s="25"/>
      <c r="V108" s="25"/>
      <c r="W108" s="27"/>
      <c r="X108" s="338" t="s">
        <v>360</v>
      </c>
      <c r="Y108" s="338" t="s">
        <v>361</v>
      </c>
      <c r="Z108" s="27"/>
    </row>
    <row r="109" spans="1:26" s="1" customFormat="1" ht="101.45" hidden="1" customHeight="1">
      <c r="A109" s="14" t="s">
        <v>304</v>
      </c>
      <c r="B109" s="132">
        <v>6</v>
      </c>
      <c r="C109" s="195" t="s">
        <v>740</v>
      </c>
      <c r="D109" s="133" t="s">
        <v>805</v>
      </c>
      <c r="E109" s="196" t="s">
        <v>806</v>
      </c>
      <c r="F109" s="88" t="s">
        <v>813</v>
      </c>
      <c r="G109" s="88" t="s">
        <v>814</v>
      </c>
      <c r="H109" s="88" t="s">
        <v>348</v>
      </c>
      <c r="I109" s="88" t="s">
        <v>377</v>
      </c>
      <c r="J109" s="20" t="str">
        <f t="shared" si="1"/>
        <v>Adequar i executar el sistema de seguiment periòdic dels grups clau de l'ENP al sistema estàndard de seguiment</v>
      </c>
      <c r="K109" s="20"/>
      <c r="L109" s="20" t="s">
        <v>54</v>
      </c>
      <c r="M109" s="27"/>
      <c r="N109" s="390" t="s">
        <v>823</v>
      </c>
      <c r="O109" s="25"/>
      <c r="P109" s="25"/>
      <c r="Q109" s="27" t="s">
        <v>363</v>
      </c>
      <c r="R109" s="89"/>
      <c r="S109" s="89"/>
      <c r="T109" s="25"/>
      <c r="U109" s="25"/>
      <c r="V109" s="25"/>
      <c r="W109" s="27"/>
      <c r="X109" s="338" t="s">
        <v>360</v>
      </c>
      <c r="Y109" s="89" t="s">
        <v>361</v>
      </c>
      <c r="Z109" s="27"/>
    </row>
    <row r="110" spans="1:26" s="1" customFormat="1" ht="43.5" hidden="1" customHeight="1">
      <c r="A110" s="14" t="s">
        <v>304</v>
      </c>
      <c r="B110" s="132">
        <v>6</v>
      </c>
      <c r="C110" s="195" t="s">
        <v>740</v>
      </c>
      <c r="D110" s="133" t="s">
        <v>805</v>
      </c>
      <c r="E110" s="196" t="s">
        <v>806</v>
      </c>
      <c r="F110" s="88" t="s">
        <v>813</v>
      </c>
      <c r="G110" s="88" t="s">
        <v>814</v>
      </c>
      <c r="H110" s="88" t="s">
        <v>348</v>
      </c>
      <c r="I110" s="88" t="s">
        <v>377</v>
      </c>
      <c r="J110" s="20" t="s">
        <v>814</v>
      </c>
      <c r="K110" s="20"/>
      <c r="L110" s="20" t="s">
        <v>54</v>
      </c>
      <c r="M110" s="27"/>
      <c r="N110" s="390" t="s">
        <v>824</v>
      </c>
      <c r="O110" s="25"/>
      <c r="P110" s="25"/>
      <c r="Q110" s="27" t="s">
        <v>363</v>
      </c>
      <c r="R110" s="89"/>
      <c r="S110" s="89"/>
      <c r="T110" s="25"/>
      <c r="U110" s="25"/>
      <c r="V110" s="25"/>
      <c r="W110" s="27"/>
      <c r="X110" s="338" t="s">
        <v>360</v>
      </c>
      <c r="Y110" s="89" t="s">
        <v>361</v>
      </c>
      <c r="Z110" s="27"/>
    </row>
    <row r="111" spans="1:26" s="1" customFormat="1" ht="43.5" hidden="1" customHeight="1">
      <c r="A111" s="14" t="s">
        <v>304</v>
      </c>
      <c r="B111" s="132">
        <v>6</v>
      </c>
      <c r="C111" s="195" t="s">
        <v>740</v>
      </c>
      <c r="D111" s="133" t="s">
        <v>805</v>
      </c>
      <c r="E111" s="196" t="s">
        <v>806</v>
      </c>
      <c r="F111" s="88" t="s">
        <v>813</v>
      </c>
      <c r="G111" s="88" t="s">
        <v>814</v>
      </c>
      <c r="H111" s="88" t="s">
        <v>348</v>
      </c>
      <c r="I111" s="88" t="s">
        <v>377</v>
      </c>
      <c r="J111" s="20" t="s">
        <v>814</v>
      </c>
      <c r="K111" s="20"/>
      <c r="L111" s="20" t="s">
        <v>54</v>
      </c>
      <c r="M111" s="27"/>
      <c r="N111" s="390" t="s">
        <v>825</v>
      </c>
      <c r="O111" s="399"/>
      <c r="P111" s="399"/>
      <c r="Q111" s="27" t="s">
        <v>363</v>
      </c>
      <c r="R111" s="89"/>
      <c r="S111" s="89"/>
      <c r="T111" s="25"/>
      <c r="U111" s="25"/>
      <c r="V111" s="25"/>
      <c r="W111" s="27"/>
      <c r="X111" s="27" t="s">
        <v>432</v>
      </c>
      <c r="Y111" s="27" t="s">
        <v>433</v>
      </c>
      <c r="Z111" s="27"/>
    </row>
    <row r="112" spans="1:26" s="1" customFormat="1" ht="72.599999999999994" hidden="1" customHeight="1">
      <c r="A112" s="14" t="s">
        <v>304</v>
      </c>
      <c r="B112" s="132">
        <v>6</v>
      </c>
      <c r="C112" s="195" t="s">
        <v>740</v>
      </c>
      <c r="D112" s="133" t="s">
        <v>805</v>
      </c>
      <c r="E112" s="196" t="s">
        <v>806</v>
      </c>
      <c r="F112" s="88" t="s">
        <v>813</v>
      </c>
      <c r="G112" s="88" t="s">
        <v>814</v>
      </c>
      <c r="H112" s="88" t="s">
        <v>348</v>
      </c>
      <c r="I112" s="88" t="s">
        <v>377</v>
      </c>
      <c r="J112" s="20" t="s">
        <v>814</v>
      </c>
      <c r="K112" s="20"/>
      <c r="L112" s="20" t="s">
        <v>54</v>
      </c>
      <c r="M112" s="27"/>
      <c r="N112" s="390" t="s">
        <v>826</v>
      </c>
      <c r="O112" s="25"/>
      <c r="P112" s="25"/>
      <c r="Q112" s="27" t="s">
        <v>363</v>
      </c>
      <c r="R112" s="89"/>
      <c r="S112" s="89"/>
      <c r="T112" s="25"/>
      <c r="U112" s="25"/>
      <c r="V112" s="25"/>
      <c r="W112" s="27"/>
      <c r="X112" s="338" t="s">
        <v>360</v>
      </c>
      <c r="Y112" s="338" t="s">
        <v>400</v>
      </c>
      <c r="Z112" s="27"/>
    </row>
    <row r="113" spans="1:26" s="1" customFormat="1" ht="43.5" hidden="1" customHeight="1">
      <c r="A113" s="14" t="s">
        <v>304</v>
      </c>
      <c r="B113" s="132">
        <v>6</v>
      </c>
      <c r="C113" s="195" t="s">
        <v>740</v>
      </c>
      <c r="D113" s="133" t="s">
        <v>805</v>
      </c>
      <c r="E113" s="196" t="s">
        <v>806</v>
      </c>
      <c r="F113" s="88" t="s">
        <v>813</v>
      </c>
      <c r="G113" s="88" t="s">
        <v>814</v>
      </c>
      <c r="H113" s="88" t="s">
        <v>348</v>
      </c>
      <c r="I113" s="88" t="s">
        <v>377</v>
      </c>
      <c r="J113" s="20" t="s">
        <v>814</v>
      </c>
      <c r="K113" s="20"/>
      <c r="L113" s="20" t="s">
        <v>54</v>
      </c>
      <c r="M113" s="27"/>
      <c r="N113" s="390" t="s">
        <v>827</v>
      </c>
      <c r="O113" s="25"/>
      <c r="P113" s="25"/>
      <c r="Q113" s="27" t="s">
        <v>363</v>
      </c>
      <c r="R113" s="89"/>
      <c r="S113" s="89"/>
      <c r="T113" s="25"/>
      <c r="U113" s="25"/>
      <c r="V113" s="25"/>
      <c r="W113" s="27"/>
      <c r="X113" s="338" t="s">
        <v>360</v>
      </c>
      <c r="Y113" s="338" t="s">
        <v>828</v>
      </c>
      <c r="Z113" s="27"/>
    </row>
    <row r="114" spans="1:26" s="1" customFormat="1" ht="43.5" hidden="1" customHeight="1">
      <c r="A114" s="14" t="s">
        <v>304</v>
      </c>
      <c r="B114" s="132">
        <v>6</v>
      </c>
      <c r="C114" s="195" t="s">
        <v>740</v>
      </c>
      <c r="D114" s="133" t="s">
        <v>805</v>
      </c>
      <c r="E114" s="196" t="s">
        <v>806</v>
      </c>
      <c r="F114" s="88" t="s">
        <v>813</v>
      </c>
      <c r="G114" s="88" t="s">
        <v>814</v>
      </c>
      <c r="H114" s="88" t="s">
        <v>348</v>
      </c>
      <c r="I114" s="88" t="s">
        <v>377</v>
      </c>
      <c r="J114" s="20" t="s">
        <v>814</v>
      </c>
      <c r="K114" s="20"/>
      <c r="L114" s="20" t="s">
        <v>54</v>
      </c>
      <c r="M114" s="27"/>
      <c r="N114" s="393" t="s">
        <v>829</v>
      </c>
      <c r="O114" s="25"/>
      <c r="P114" s="25"/>
      <c r="Q114" s="27" t="s">
        <v>363</v>
      </c>
      <c r="R114" s="89"/>
      <c r="S114" s="89"/>
      <c r="T114" s="25"/>
      <c r="U114" s="25"/>
      <c r="V114" s="25"/>
      <c r="W114" s="27"/>
      <c r="X114" s="338" t="s">
        <v>360</v>
      </c>
      <c r="Y114" s="338" t="s">
        <v>828</v>
      </c>
      <c r="Z114" s="27"/>
    </row>
    <row r="115" spans="1:26" s="1" customFormat="1" ht="57.95" hidden="1" customHeight="1">
      <c r="A115" s="14" t="s">
        <v>304</v>
      </c>
      <c r="B115" s="132">
        <v>6</v>
      </c>
      <c r="C115" s="195" t="s">
        <v>740</v>
      </c>
      <c r="D115" s="133" t="s">
        <v>805</v>
      </c>
      <c r="E115" s="196" t="s">
        <v>806</v>
      </c>
      <c r="F115" s="88" t="s">
        <v>813</v>
      </c>
      <c r="G115" s="88" t="s">
        <v>814</v>
      </c>
      <c r="H115" s="88" t="s">
        <v>348</v>
      </c>
      <c r="I115" s="88" t="s">
        <v>377</v>
      </c>
      <c r="J115" s="20" t="s">
        <v>814</v>
      </c>
      <c r="K115" s="20"/>
      <c r="L115" s="20" t="s">
        <v>54</v>
      </c>
      <c r="M115" s="27"/>
      <c r="N115" s="390" t="s">
        <v>830</v>
      </c>
      <c r="O115" s="25"/>
      <c r="P115" s="25"/>
      <c r="Q115" s="27" t="s">
        <v>363</v>
      </c>
      <c r="R115" s="89"/>
      <c r="S115" s="89"/>
      <c r="T115" s="25"/>
      <c r="U115" s="25"/>
      <c r="V115" s="25"/>
      <c r="W115" s="27"/>
      <c r="X115" s="338" t="s">
        <v>360</v>
      </c>
      <c r="Y115" s="89" t="s">
        <v>361</v>
      </c>
      <c r="Z115" s="27"/>
    </row>
    <row r="116" spans="1:26" s="1" customFormat="1" ht="43.5" hidden="1">
      <c r="A116" s="14" t="s">
        <v>304</v>
      </c>
      <c r="B116" s="132">
        <v>6</v>
      </c>
      <c r="C116" s="195" t="s">
        <v>740</v>
      </c>
      <c r="D116" s="133" t="s">
        <v>805</v>
      </c>
      <c r="E116" s="196" t="s">
        <v>806</v>
      </c>
      <c r="F116" s="88" t="s">
        <v>813</v>
      </c>
      <c r="G116" s="88" t="s">
        <v>814</v>
      </c>
      <c r="H116" s="88" t="s">
        <v>348</v>
      </c>
      <c r="I116" s="88" t="s">
        <v>377</v>
      </c>
      <c r="J116" s="20" t="s">
        <v>814</v>
      </c>
      <c r="K116" s="20"/>
      <c r="L116" s="20" t="s">
        <v>54</v>
      </c>
      <c r="M116" s="27"/>
      <c r="N116" s="393" t="s">
        <v>831</v>
      </c>
      <c r="O116" s="25"/>
      <c r="P116" s="25"/>
      <c r="Q116" s="27" t="s">
        <v>363</v>
      </c>
      <c r="R116" s="89"/>
      <c r="S116" s="89"/>
      <c r="T116" s="25"/>
      <c r="U116" s="25"/>
      <c r="V116" s="25"/>
      <c r="W116" s="27"/>
      <c r="X116" s="338" t="s">
        <v>360</v>
      </c>
      <c r="Y116" s="89" t="s">
        <v>361</v>
      </c>
      <c r="Z116" s="27"/>
    </row>
    <row r="117" spans="1:26" s="1" customFormat="1" ht="43.5" hidden="1">
      <c r="A117" s="14" t="s">
        <v>304</v>
      </c>
      <c r="B117" s="132">
        <v>6</v>
      </c>
      <c r="C117" s="195" t="s">
        <v>740</v>
      </c>
      <c r="D117" s="133" t="s">
        <v>805</v>
      </c>
      <c r="E117" s="196" t="s">
        <v>806</v>
      </c>
      <c r="F117" s="88" t="s">
        <v>813</v>
      </c>
      <c r="G117" s="88" t="s">
        <v>814</v>
      </c>
      <c r="H117" s="88" t="s">
        <v>348</v>
      </c>
      <c r="I117" s="88" t="s">
        <v>377</v>
      </c>
      <c r="J117" s="20" t="s">
        <v>814</v>
      </c>
      <c r="K117" s="20"/>
      <c r="L117" s="20" t="s">
        <v>54</v>
      </c>
      <c r="M117" s="27"/>
      <c r="N117" s="390" t="s">
        <v>832</v>
      </c>
      <c r="O117" s="25"/>
      <c r="P117" s="25"/>
      <c r="Q117" s="27" t="s">
        <v>363</v>
      </c>
      <c r="R117" s="89"/>
      <c r="S117" s="89"/>
      <c r="T117" s="25"/>
      <c r="U117" s="25"/>
      <c r="V117" s="25"/>
      <c r="W117" s="27"/>
      <c r="X117" s="338" t="s">
        <v>360</v>
      </c>
      <c r="Y117" s="89" t="s">
        <v>361</v>
      </c>
      <c r="Z117" s="27"/>
    </row>
    <row r="118" spans="1:26" s="1" customFormat="1" ht="43.5" hidden="1">
      <c r="A118" s="14" t="s">
        <v>304</v>
      </c>
      <c r="B118" s="132">
        <v>6</v>
      </c>
      <c r="C118" s="195" t="s">
        <v>740</v>
      </c>
      <c r="D118" s="133" t="s">
        <v>805</v>
      </c>
      <c r="E118" s="196" t="s">
        <v>806</v>
      </c>
      <c r="F118" s="88" t="s">
        <v>813</v>
      </c>
      <c r="G118" s="88" t="s">
        <v>814</v>
      </c>
      <c r="H118" s="88" t="s">
        <v>348</v>
      </c>
      <c r="I118" s="88" t="s">
        <v>377</v>
      </c>
      <c r="J118" s="20" t="s">
        <v>814</v>
      </c>
      <c r="K118" s="20"/>
      <c r="L118" s="20" t="s">
        <v>54</v>
      </c>
      <c r="M118" s="27"/>
      <c r="N118" s="390" t="s">
        <v>833</v>
      </c>
      <c r="O118" s="25"/>
      <c r="P118" s="25"/>
      <c r="Q118" s="27" t="s">
        <v>363</v>
      </c>
      <c r="R118" s="89"/>
      <c r="S118" s="89"/>
      <c r="T118" s="25"/>
      <c r="U118" s="25"/>
      <c r="V118" s="25"/>
      <c r="W118" s="27"/>
      <c r="X118" s="338" t="s">
        <v>360</v>
      </c>
      <c r="Y118" s="89" t="s">
        <v>361</v>
      </c>
      <c r="Z118" s="27"/>
    </row>
    <row r="119" spans="1:26" s="1" customFormat="1" ht="43.5" hidden="1">
      <c r="A119" s="14" t="s">
        <v>304</v>
      </c>
      <c r="B119" s="132">
        <v>6</v>
      </c>
      <c r="C119" s="195" t="s">
        <v>740</v>
      </c>
      <c r="D119" s="133" t="s">
        <v>805</v>
      </c>
      <c r="E119" s="196" t="s">
        <v>806</v>
      </c>
      <c r="F119" s="88" t="s">
        <v>813</v>
      </c>
      <c r="G119" s="88" t="s">
        <v>814</v>
      </c>
      <c r="H119" s="88" t="s">
        <v>348</v>
      </c>
      <c r="I119" s="88" t="s">
        <v>377</v>
      </c>
      <c r="J119" s="20" t="s">
        <v>814</v>
      </c>
      <c r="K119" s="20"/>
      <c r="L119" s="20" t="s">
        <v>54</v>
      </c>
      <c r="M119" s="27"/>
      <c r="N119" s="390" t="s">
        <v>834</v>
      </c>
      <c r="O119" s="25"/>
      <c r="P119" s="25"/>
      <c r="Q119" s="27" t="s">
        <v>363</v>
      </c>
      <c r="R119" s="89"/>
      <c r="S119" s="89"/>
      <c r="T119" s="25"/>
      <c r="U119" s="25"/>
      <c r="V119" s="25"/>
      <c r="W119" s="27"/>
      <c r="X119" s="338" t="s">
        <v>360</v>
      </c>
      <c r="Y119" s="89" t="s">
        <v>361</v>
      </c>
      <c r="Z119" s="27"/>
    </row>
    <row r="120" spans="1:26" s="1" customFormat="1" ht="43.5" hidden="1">
      <c r="A120" s="14" t="s">
        <v>304</v>
      </c>
      <c r="B120" s="132">
        <v>6</v>
      </c>
      <c r="C120" s="195" t="s">
        <v>740</v>
      </c>
      <c r="D120" s="133" t="s">
        <v>805</v>
      </c>
      <c r="E120" s="196" t="s">
        <v>806</v>
      </c>
      <c r="F120" s="88" t="s">
        <v>813</v>
      </c>
      <c r="G120" s="88" t="s">
        <v>814</v>
      </c>
      <c r="H120" s="88" t="s">
        <v>348</v>
      </c>
      <c r="I120" s="88" t="s">
        <v>377</v>
      </c>
      <c r="J120" s="20" t="s">
        <v>814</v>
      </c>
      <c r="K120" s="20"/>
      <c r="L120" s="20" t="s">
        <v>54</v>
      </c>
      <c r="M120" s="27"/>
      <c r="N120" s="390" t="s">
        <v>835</v>
      </c>
      <c r="O120" s="25"/>
      <c r="P120" s="25"/>
      <c r="Q120" s="27" t="s">
        <v>363</v>
      </c>
      <c r="R120" s="89"/>
      <c r="S120" s="89"/>
      <c r="T120" s="25"/>
      <c r="U120" s="25"/>
      <c r="V120" s="25"/>
      <c r="W120" s="27"/>
      <c r="X120" s="338" t="s">
        <v>360</v>
      </c>
      <c r="Y120" s="89" t="s">
        <v>361</v>
      </c>
      <c r="Z120" s="27"/>
    </row>
    <row r="121" spans="1:26" s="1" customFormat="1" ht="43.5" hidden="1">
      <c r="A121" s="14" t="s">
        <v>304</v>
      </c>
      <c r="B121" s="132">
        <v>6</v>
      </c>
      <c r="C121" s="195" t="s">
        <v>740</v>
      </c>
      <c r="D121" s="133" t="s">
        <v>805</v>
      </c>
      <c r="E121" s="196" t="s">
        <v>806</v>
      </c>
      <c r="F121" s="88" t="s">
        <v>813</v>
      </c>
      <c r="G121" s="88" t="s">
        <v>814</v>
      </c>
      <c r="H121" s="88" t="s">
        <v>348</v>
      </c>
      <c r="I121" s="88" t="s">
        <v>377</v>
      </c>
      <c r="J121" s="20" t="s">
        <v>814</v>
      </c>
      <c r="K121" s="20"/>
      <c r="L121" s="20" t="s">
        <v>54</v>
      </c>
      <c r="M121" s="27"/>
      <c r="N121" s="390" t="s">
        <v>836</v>
      </c>
      <c r="O121" s="25"/>
      <c r="P121" s="25"/>
      <c r="Q121" s="27" t="s">
        <v>363</v>
      </c>
      <c r="R121" s="89"/>
      <c r="S121" s="89"/>
      <c r="T121" s="25"/>
      <c r="U121" s="25"/>
      <c r="V121" s="25"/>
      <c r="W121" s="27"/>
      <c r="X121" s="338"/>
      <c r="Y121" s="89"/>
      <c r="Z121" s="27"/>
    </row>
    <row r="122" spans="1:26" s="1" customFormat="1" ht="43.5" hidden="1">
      <c r="A122" s="14" t="s">
        <v>304</v>
      </c>
      <c r="B122" s="132">
        <v>6</v>
      </c>
      <c r="C122" s="195" t="s">
        <v>740</v>
      </c>
      <c r="D122" s="133" t="s">
        <v>805</v>
      </c>
      <c r="E122" s="196" t="s">
        <v>806</v>
      </c>
      <c r="F122" s="88" t="s">
        <v>813</v>
      </c>
      <c r="G122" s="88" t="s">
        <v>814</v>
      </c>
      <c r="H122" s="88" t="s">
        <v>348</v>
      </c>
      <c r="I122" s="88" t="s">
        <v>377</v>
      </c>
      <c r="J122" s="20" t="s">
        <v>814</v>
      </c>
      <c r="K122" s="20"/>
      <c r="L122" s="20" t="s">
        <v>54</v>
      </c>
      <c r="M122" s="27"/>
      <c r="N122" s="390" t="s">
        <v>837</v>
      </c>
      <c r="O122" s="25"/>
      <c r="P122" s="25"/>
      <c r="Q122" s="27" t="s">
        <v>363</v>
      </c>
      <c r="R122" s="89"/>
      <c r="S122" s="89"/>
      <c r="T122" s="25"/>
      <c r="U122" s="25"/>
      <c r="V122" s="25"/>
      <c r="W122" s="27"/>
      <c r="X122" s="338" t="s">
        <v>360</v>
      </c>
      <c r="Y122" s="89" t="s">
        <v>361</v>
      </c>
      <c r="Z122" s="27"/>
    </row>
    <row r="123" spans="1:26" s="1" customFormat="1" ht="43.5">
      <c r="A123" s="14" t="s">
        <v>304</v>
      </c>
      <c r="B123" s="132">
        <v>6</v>
      </c>
      <c r="C123" s="195" t="s">
        <v>740</v>
      </c>
      <c r="D123" s="133" t="s">
        <v>805</v>
      </c>
      <c r="E123" s="196" t="s">
        <v>806</v>
      </c>
      <c r="F123" s="88" t="s">
        <v>838</v>
      </c>
      <c r="G123" s="88" t="s">
        <v>839</v>
      </c>
      <c r="H123" s="88" t="s">
        <v>348</v>
      </c>
      <c r="I123" s="88" t="s">
        <v>377</v>
      </c>
      <c r="J123" s="20" t="str">
        <f>G123</f>
        <v xml:space="preserve">Mantenir una base de dades de seguiment de patrimoni natural de l'ENP actualitzada i ordenada </v>
      </c>
      <c r="K123" s="204" t="s">
        <v>840</v>
      </c>
      <c r="L123" s="20" t="s">
        <v>54</v>
      </c>
      <c r="M123" s="27" t="s">
        <v>368</v>
      </c>
      <c r="N123" s="390" t="s">
        <v>841</v>
      </c>
      <c r="O123" s="25"/>
      <c r="P123" s="25"/>
      <c r="Q123" s="20" t="s">
        <v>842</v>
      </c>
      <c r="R123" s="89"/>
      <c r="S123" s="89"/>
      <c r="T123" s="20" t="s">
        <v>843</v>
      </c>
      <c r="U123" s="435">
        <v>1</v>
      </c>
      <c r="V123" s="435">
        <v>1</v>
      </c>
      <c r="W123" s="27"/>
      <c r="X123" s="338" t="s">
        <v>360</v>
      </c>
      <c r="Y123" s="338" t="s">
        <v>361</v>
      </c>
      <c r="Z123" s="27"/>
    </row>
    <row r="124" spans="1:26" s="1" customFormat="1" ht="43.5">
      <c r="A124" s="14" t="s">
        <v>304</v>
      </c>
      <c r="B124" s="132">
        <v>6</v>
      </c>
      <c r="C124" s="195" t="s">
        <v>740</v>
      </c>
      <c r="D124" s="133" t="s">
        <v>805</v>
      </c>
      <c r="E124" s="196" t="s">
        <v>806</v>
      </c>
      <c r="F124" s="88" t="s">
        <v>844</v>
      </c>
      <c r="G124" s="88" t="s">
        <v>845</v>
      </c>
      <c r="H124" s="372" t="s">
        <v>348</v>
      </c>
      <c r="I124" s="372" t="s">
        <v>377</v>
      </c>
      <c r="J124" s="373" t="str">
        <f>G124</f>
        <v>Participar en la definició, organització i bolcatge de dades del SINATCAT</v>
      </c>
      <c r="K124" s="20"/>
      <c r="L124" s="20" t="s">
        <v>54</v>
      </c>
      <c r="M124" s="27" t="s">
        <v>368</v>
      </c>
      <c r="N124" s="390" t="s">
        <v>846</v>
      </c>
      <c r="O124" s="25"/>
      <c r="P124" s="25"/>
      <c r="Q124" s="20" t="s">
        <v>847</v>
      </c>
      <c r="R124" s="89"/>
      <c r="S124" s="89" t="s">
        <v>848</v>
      </c>
      <c r="T124" s="376" t="s">
        <v>849</v>
      </c>
      <c r="U124" s="441">
        <v>0.75</v>
      </c>
      <c r="V124" s="441">
        <v>1</v>
      </c>
      <c r="W124" s="27"/>
      <c r="X124" s="338" t="s">
        <v>471</v>
      </c>
      <c r="Y124" s="338" t="s">
        <v>472</v>
      </c>
      <c r="Z124" s="27"/>
    </row>
    <row r="125" spans="1:26" s="1" customFormat="1" ht="87">
      <c r="A125" s="14" t="s">
        <v>304</v>
      </c>
      <c r="B125" s="132">
        <v>6</v>
      </c>
      <c r="C125" s="195" t="s">
        <v>740</v>
      </c>
      <c r="D125" s="129" t="s">
        <v>850</v>
      </c>
      <c r="E125" s="130" t="s">
        <v>851</v>
      </c>
      <c r="F125" s="88" t="s">
        <v>852</v>
      </c>
      <c r="G125" s="88" t="s">
        <v>853</v>
      </c>
      <c r="H125" s="88" t="s">
        <v>348</v>
      </c>
      <c r="I125" s="88" t="s">
        <v>570</v>
      </c>
      <c r="J125" s="20" t="str">
        <f>G125</f>
        <v>Crear sinèrgies i col·laborar amb museus i equipaments de referència per definir línies d'actuació conjunta entre patrimoni cultural i natural</v>
      </c>
      <c r="K125" s="20"/>
      <c r="L125" s="20" t="s">
        <v>54</v>
      </c>
      <c r="M125" s="27" t="s">
        <v>368</v>
      </c>
      <c r="N125" s="390" t="s">
        <v>854</v>
      </c>
      <c r="O125" s="25"/>
      <c r="P125" s="25"/>
      <c r="Q125" s="20" t="s">
        <v>855</v>
      </c>
      <c r="R125" s="89"/>
      <c r="S125" s="89" t="s">
        <v>856</v>
      </c>
      <c r="T125" s="20" t="s">
        <v>857</v>
      </c>
      <c r="U125" s="435">
        <v>1</v>
      </c>
      <c r="V125" s="435">
        <v>2</v>
      </c>
      <c r="W125" s="27"/>
      <c r="X125" s="338" t="s">
        <v>471</v>
      </c>
      <c r="Y125" s="338" t="s">
        <v>472</v>
      </c>
      <c r="Z125" s="27"/>
    </row>
    <row r="126" spans="1:26" s="1" customFormat="1" ht="87">
      <c r="A126" s="14" t="s">
        <v>304</v>
      </c>
      <c r="B126" s="132">
        <v>6</v>
      </c>
      <c r="C126" s="195" t="s">
        <v>740</v>
      </c>
      <c r="D126" s="133" t="s">
        <v>850</v>
      </c>
      <c r="E126" s="196" t="s">
        <v>851</v>
      </c>
      <c r="F126" s="88" t="s">
        <v>858</v>
      </c>
      <c r="G126" s="88" t="s">
        <v>859</v>
      </c>
      <c r="H126" s="88" t="s">
        <v>348</v>
      </c>
      <c r="I126" s="88" t="s">
        <v>570</v>
      </c>
      <c r="J126" s="205" t="s">
        <v>860</v>
      </c>
      <c r="K126" s="20" t="s">
        <v>861</v>
      </c>
      <c r="L126" s="20" t="s">
        <v>54</v>
      </c>
      <c r="M126" s="27" t="s">
        <v>368</v>
      </c>
      <c r="N126" s="390" t="s">
        <v>862</v>
      </c>
      <c r="O126" s="25"/>
      <c r="P126" s="25"/>
      <c r="Q126" s="20" t="s">
        <v>863</v>
      </c>
      <c r="R126" s="89"/>
      <c r="S126" s="89" t="s">
        <v>864</v>
      </c>
      <c r="T126" s="20" t="s">
        <v>865</v>
      </c>
      <c r="U126" s="435">
        <v>4</v>
      </c>
      <c r="V126" s="435">
        <v>8</v>
      </c>
      <c r="W126" s="27"/>
      <c r="X126" s="338" t="s">
        <v>360</v>
      </c>
      <c r="Y126" s="338" t="s">
        <v>361</v>
      </c>
      <c r="Z126" s="27"/>
    </row>
    <row r="127" spans="1:26" s="1" customFormat="1" ht="87">
      <c r="A127" s="14" t="s">
        <v>304</v>
      </c>
      <c r="B127" s="132">
        <v>6</v>
      </c>
      <c r="C127" s="195" t="s">
        <v>740</v>
      </c>
      <c r="D127" s="133" t="s">
        <v>850</v>
      </c>
      <c r="E127" s="196" t="s">
        <v>851</v>
      </c>
      <c r="F127" s="88" t="s">
        <v>866</v>
      </c>
      <c r="G127" s="88" t="s">
        <v>867</v>
      </c>
      <c r="H127" s="88" t="s">
        <v>348</v>
      </c>
      <c r="I127" s="88" t="s">
        <v>570</v>
      </c>
      <c r="J127" s="20" t="str">
        <f>G127</f>
        <v xml:space="preserve">Potenciar la ciència ciutadana en l’ENP com a eina per generar coneixement </v>
      </c>
      <c r="K127" s="20"/>
      <c r="L127" s="411" t="s">
        <v>107</v>
      </c>
      <c r="M127" s="27" t="s">
        <v>368</v>
      </c>
      <c r="N127" s="331"/>
      <c r="O127" s="25"/>
      <c r="P127" s="25" t="s">
        <v>867</v>
      </c>
      <c r="Q127" s="27" t="s">
        <v>867</v>
      </c>
      <c r="R127" s="89"/>
      <c r="S127" s="89"/>
      <c r="T127" s="408"/>
      <c r="U127" s="408"/>
      <c r="V127" s="408"/>
      <c r="W127" s="27"/>
      <c r="X127" s="27" t="s">
        <v>360</v>
      </c>
      <c r="Y127" s="27" t="s">
        <v>364</v>
      </c>
      <c r="Z127" s="27"/>
    </row>
    <row r="128" spans="1:26" s="1" customFormat="1" ht="87">
      <c r="A128" s="14" t="s">
        <v>304</v>
      </c>
      <c r="B128" s="132">
        <v>6</v>
      </c>
      <c r="C128" s="195" t="s">
        <v>740</v>
      </c>
      <c r="D128" s="133" t="s">
        <v>850</v>
      </c>
      <c r="E128" s="196" t="s">
        <v>851</v>
      </c>
      <c r="F128" s="88" t="s">
        <v>868</v>
      </c>
      <c r="G128" s="88" t="s">
        <v>869</v>
      </c>
      <c r="H128" s="88" t="s">
        <v>348</v>
      </c>
      <c r="I128" s="88" t="s">
        <v>570</v>
      </c>
      <c r="J128" s="205" t="s">
        <v>870</v>
      </c>
      <c r="K128" s="20" t="s">
        <v>871</v>
      </c>
      <c r="L128" s="411" t="s">
        <v>107</v>
      </c>
      <c r="M128" s="27" t="s">
        <v>368</v>
      </c>
      <c r="N128" s="331"/>
      <c r="O128" s="25"/>
      <c r="P128" s="25" t="s">
        <v>870</v>
      </c>
      <c r="Q128" s="27" t="s">
        <v>870</v>
      </c>
      <c r="R128" s="89"/>
      <c r="S128" s="89" t="s">
        <v>872</v>
      </c>
      <c r="T128" s="410" t="s">
        <v>873</v>
      </c>
      <c r="U128" s="410" t="s">
        <v>874</v>
      </c>
      <c r="V128" s="410" t="s">
        <v>875</v>
      </c>
      <c r="W128" s="27"/>
      <c r="X128" s="27" t="s">
        <v>432</v>
      </c>
      <c r="Y128" s="27" t="s">
        <v>433</v>
      </c>
      <c r="Z128" s="27"/>
    </row>
    <row r="129" spans="1:26" s="1" customFormat="1" ht="87">
      <c r="A129" s="14" t="s">
        <v>304</v>
      </c>
      <c r="B129" s="132">
        <v>6</v>
      </c>
      <c r="C129" s="195" t="s">
        <v>740</v>
      </c>
      <c r="D129" s="133" t="s">
        <v>850</v>
      </c>
      <c r="E129" s="196" t="s">
        <v>851</v>
      </c>
      <c r="F129" s="88" t="s">
        <v>876</v>
      </c>
      <c r="G129" s="88" t="s">
        <v>877</v>
      </c>
      <c r="H129" s="88" t="s">
        <v>348</v>
      </c>
      <c r="I129" s="88" t="s">
        <v>570</v>
      </c>
      <c r="J129" s="20" t="str">
        <f t="shared" ref="J129:J135" si="2">G129</f>
        <v>Posar a disposició de la recerca, equipaments i serveis de l'ENP</v>
      </c>
      <c r="K129" s="20"/>
      <c r="L129" s="20" t="s">
        <v>54</v>
      </c>
      <c r="M129" s="27" t="s">
        <v>368</v>
      </c>
      <c r="N129" s="390" t="s">
        <v>878</v>
      </c>
      <c r="O129" s="25"/>
      <c r="P129" s="25"/>
      <c r="Q129" s="20" t="s">
        <v>879</v>
      </c>
      <c r="R129" s="89" t="s">
        <v>380</v>
      </c>
      <c r="S129" s="89"/>
      <c r="T129" s="20" t="s">
        <v>880</v>
      </c>
      <c r="U129" s="438">
        <v>0.5</v>
      </c>
      <c r="V129" s="438">
        <v>0.75</v>
      </c>
      <c r="W129" s="27"/>
      <c r="X129" s="27" t="s">
        <v>615</v>
      </c>
      <c r="Y129" s="27" t="s">
        <v>624</v>
      </c>
      <c r="Z129" s="27"/>
    </row>
    <row r="130" spans="1:26" s="1" customFormat="1" ht="87">
      <c r="A130" s="14" t="s">
        <v>304</v>
      </c>
      <c r="B130" s="132">
        <v>6</v>
      </c>
      <c r="C130" s="195" t="s">
        <v>740</v>
      </c>
      <c r="D130" s="133" t="s">
        <v>850</v>
      </c>
      <c r="E130" s="196" t="s">
        <v>851</v>
      </c>
      <c r="F130" s="88" t="s">
        <v>881</v>
      </c>
      <c r="G130" s="88" t="s">
        <v>882</v>
      </c>
      <c r="H130" s="88" t="s">
        <v>348</v>
      </c>
      <c r="I130" s="88" t="s">
        <v>570</v>
      </c>
      <c r="J130" s="20" t="s">
        <v>882</v>
      </c>
      <c r="K130" s="20" t="s">
        <v>883</v>
      </c>
      <c r="L130" s="214" t="s">
        <v>107</v>
      </c>
      <c r="M130" s="27" t="s">
        <v>368</v>
      </c>
      <c r="N130" s="331"/>
      <c r="O130" s="25"/>
      <c r="P130" s="25" t="s">
        <v>882</v>
      </c>
      <c r="Q130" s="27" t="s">
        <v>882</v>
      </c>
      <c r="R130" s="89"/>
      <c r="S130" s="89" t="s">
        <v>884</v>
      </c>
      <c r="T130" s="25"/>
      <c r="U130" s="25"/>
      <c r="V130" s="25"/>
      <c r="W130" s="27"/>
      <c r="X130" s="27"/>
      <c r="Y130" s="27"/>
      <c r="Z130" s="27"/>
    </row>
    <row r="131" spans="1:26" s="1" customFormat="1" ht="43.5">
      <c r="A131" s="14" t="s">
        <v>304</v>
      </c>
      <c r="B131" s="132">
        <v>6</v>
      </c>
      <c r="C131" s="195" t="s">
        <v>740</v>
      </c>
      <c r="D131" s="129" t="s">
        <v>885</v>
      </c>
      <c r="E131" s="130" t="s">
        <v>886</v>
      </c>
      <c r="F131" s="88" t="s">
        <v>887</v>
      </c>
      <c r="G131" s="88" t="s">
        <v>888</v>
      </c>
      <c r="H131" s="88" t="s">
        <v>348</v>
      </c>
      <c r="I131" s="88" t="s">
        <v>377</v>
      </c>
      <c r="J131" s="20" t="str">
        <f t="shared" si="2"/>
        <v>Participar en la definició del sistema estándard de seguiment de l'ús públic amb el SENP</v>
      </c>
      <c r="K131" s="20"/>
      <c r="L131" s="20" t="s">
        <v>54</v>
      </c>
      <c r="M131" s="27" t="s">
        <v>368</v>
      </c>
      <c r="N131" s="393" t="s">
        <v>888</v>
      </c>
      <c r="O131" s="25"/>
      <c r="P131" s="25"/>
      <c r="Q131" s="20" t="s">
        <v>889</v>
      </c>
      <c r="R131" s="89"/>
      <c r="S131" s="89" t="s">
        <v>890</v>
      </c>
      <c r="T131" s="20" t="s">
        <v>891</v>
      </c>
      <c r="U131" s="441">
        <v>0.8</v>
      </c>
      <c r="V131" s="441">
        <v>1</v>
      </c>
      <c r="W131" s="27"/>
      <c r="X131" s="27" t="s">
        <v>632</v>
      </c>
      <c r="Y131" s="27" t="s">
        <v>616</v>
      </c>
      <c r="Z131" s="27"/>
    </row>
    <row r="132" spans="1:26" s="1" customFormat="1" ht="144.94999999999999">
      <c r="A132" s="14" t="s">
        <v>304</v>
      </c>
      <c r="B132" s="132">
        <v>6</v>
      </c>
      <c r="C132" s="195" t="s">
        <v>740</v>
      </c>
      <c r="D132" s="133" t="s">
        <v>885</v>
      </c>
      <c r="E132" s="196" t="s">
        <v>886</v>
      </c>
      <c r="F132" s="88" t="s">
        <v>892</v>
      </c>
      <c r="G132" s="88" t="s">
        <v>893</v>
      </c>
      <c r="H132" s="88" t="s">
        <v>348</v>
      </c>
      <c r="I132" s="88" t="s">
        <v>377</v>
      </c>
      <c r="J132" s="20" t="str">
        <f t="shared" si="2"/>
        <v xml:space="preserve">Disposar de dades de freqüentació i perfil d'usuari en l'ENP i en especial en equipaments i en zones d'alta freqüentació segons el model de DG </v>
      </c>
      <c r="K132" s="20"/>
      <c r="L132" s="20" t="s">
        <v>54</v>
      </c>
      <c r="M132" s="27" t="s">
        <v>378</v>
      </c>
      <c r="N132" s="390" t="s">
        <v>894</v>
      </c>
      <c r="O132" s="25"/>
      <c r="P132" s="25"/>
      <c r="Q132" s="20" t="s">
        <v>895</v>
      </c>
      <c r="R132" s="89"/>
      <c r="S132" s="89" t="s">
        <v>896</v>
      </c>
      <c r="T132" s="20" t="s">
        <v>897</v>
      </c>
      <c r="U132" s="435" t="s">
        <v>716</v>
      </c>
      <c r="V132" s="435" t="s">
        <v>716</v>
      </c>
      <c r="W132" s="27"/>
      <c r="X132" s="27" t="s">
        <v>615</v>
      </c>
      <c r="Y132" s="27" t="s">
        <v>624</v>
      </c>
      <c r="Z132" s="27"/>
    </row>
    <row r="133" spans="1:26" s="1" customFormat="1" ht="71.099999999999994" customHeight="1">
      <c r="A133" s="14" t="s">
        <v>304</v>
      </c>
      <c r="B133" s="132">
        <v>6</v>
      </c>
      <c r="C133" s="195" t="s">
        <v>740</v>
      </c>
      <c r="D133" s="133" t="s">
        <v>885</v>
      </c>
      <c r="E133" s="196" t="s">
        <v>886</v>
      </c>
      <c r="F133" s="88" t="s">
        <v>892</v>
      </c>
      <c r="G133" s="88" t="s">
        <v>893</v>
      </c>
      <c r="H133" s="88" t="s">
        <v>348</v>
      </c>
      <c r="I133" s="88" t="s">
        <v>377</v>
      </c>
      <c r="J133" s="20" t="str">
        <f t="shared" si="2"/>
        <v xml:space="preserve">Disposar de dades de freqüentació i perfil d'usuari en l'ENP i en especial en equipaments i en zones d'alta freqüentació segons el model de DG </v>
      </c>
      <c r="K133" s="20"/>
      <c r="L133" s="20" t="s">
        <v>54</v>
      </c>
      <c r="M133" s="27" t="s">
        <v>378</v>
      </c>
      <c r="N133" s="390" t="s">
        <v>898</v>
      </c>
      <c r="O133" s="25"/>
      <c r="P133" s="25"/>
      <c r="Q133" s="27" t="s">
        <v>899</v>
      </c>
      <c r="R133" s="89"/>
      <c r="S133" s="89" t="s">
        <v>896</v>
      </c>
      <c r="T133" s="20" t="s">
        <v>900</v>
      </c>
      <c r="U133" s="438">
        <v>0.8</v>
      </c>
      <c r="V133" s="438">
        <v>1</v>
      </c>
      <c r="W133" s="27"/>
      <c r="X133" s="27" t="s">
        <v>632</v>
      </c>
      <c r="Y133" s="27" t="s">
        <v>901</v>
      </c>
      <c r="Z133" s="27"/>
    </row>
    <row r="134" spans="1:26" s="1" customFormat="1" ht="57.95" customHeight="1">
      <c r="A134" s="14" t="s">
        <v>304</v>
      </c>
      <c r="B134" s="132">
        <v>6</v>
      </c>
      <c r="C134" s="195" t="s">
        <v>740</v>
      </c>
      <c r="D134" s="133" t="s">
        <v>885</v>
      </c>
      <c r="E134" s="196" t="s">
        <v>886</v>
      </c>
      <c r="F134" s="88" t="s">
        <v>892</v>
      </c>
      <c r="G134" s="88" t="s">
        <v>893</v>
      </c>
      <c r="H134" s="88" t="s">
        <v>348</v>
      </c>
      <c r="I134" s="88" t="s">
        <v>377</v>
      </c>
      <c r="J134" s="20" t="str">
        <f t="shared" si="2"/>
        <v xml:space="preserve">Disposar de dades de freqüentació i perfil d'usuari en l'ENP i en especial en equipaments i en zones d'alta freqüentació segons el model de DG </v>
      </c>
      <c r="K134" s="20"/>
      <c r="L134" s="20" t="s">
        <v>54</v>
      </c>
      <c r="M134" s="27" t="s">
        <v>378</v>
      </c>
      <c r="N134" s="390" t="s">
        <v>902</v>
      </c>
      <c r="O134" s="25"/>
      <c r="P134" s="25"/>
      <c r="Q134" s="27" t="s">
        <v>903</v>
      </c>
      <c r="R134" s="89"/>
      <c r="S134" s="89" t="s">
        <v>896</v>
      </c>
      <c r="T134" s="20" t="s">
        <v>904</v>
      </c>
      <c r="U134" s="435">
        <v>1</v>
      </c>
      <c r="V134" s="435">
        <v>1</v>
      </c>
      <c r="W134" s="27"/>
      <c r="X134" s="27" t="s">
        <v>632</v>
      </c>
      <c r="Y134" s="27" t="s">
        <v>616</v>
      </c>
      <c r="Z134" s="27"/>
    </row>
    <row r="135" spans="1:26" s="1" customFormat="1" ht="57.95" hidden="1">
      <c r="A135" s="14" t="s">
        <v>304</v>
      </c>
      <c r="B135" s="132">
        <v>6</v>
      </c>
      <c r="C135" s="195" t="s">
        <v>740</v>
      </c>
      <c r="D135" s="133" t="s">
        <v>885</v>
      </c>
      <c r="E135" s="196" t="s">
        <v>886</v>
      </c>
      <c r="F135" s="88" t="s">
        <v>892</v>
      </c>
      <c r="G135" s="88" t="s">
        <v>893</v>
      </c>
      <c r="H135" s="88" t="s">
        <v>348</v>
      </c>
      <c r="I135" s="88" t="s">
        <v>377</v>
      </c>
      <c r="J135" s="20" t="str">
        <f t="shared" si="2"/>
        <v xml:space="preserve">Disposar de dades de freqüentació i perfil d'usuari en l'ENP i en especial en equipaments i en zones d'alta freqüentació segons el model de DG </v>
      </c>
      <c r="K135" s="20"/>
      <c r="L135" s="20" t="s">
        <v>54</v>
      </c>
      <c r="M135" s="27" t="s">
        <v>378</v>
      </c>
      <c r="N135" s="390" t="s">
        <v>905</v>
      </c>
      <c r="O135" s="25"/>
      <c r="P135" s="25"/>
      <c r="Q135" s="27" t="s">
        <v>363</v>
      </c>
      <c r="R135" s="89"/>
      <c r="S135" s="89" t="s">
        <v>896</v>
      </c>
      <c r="T135" s="25"/>
      <c r="U135" s="25"/>
      <c r="V135" s="25"/>
      <c r="W135" s="27"/>
      <c r="X135" s="27" t="s">
        <v>632</v>
      </c>
      <c r="Y135" s="27" t="s">
        <v>616</v>
      </c>
      <c r="Z135" s="27"/>
    </row>
    <row r="136" spans="1:26" s="1" customFormat="1" ht="43.5" hidden="1">
      <c r="A136" s="14" t="s">
        <v>304</v>
      </c>
      <c r="B136" s="132">
        <v>6</v>
      </c>
      <c r="C136" s="195" t="s">
        <v>740</v>
      </c>
      <c r="D136" s="133" t="s">
        <v>885</v>
      </c>
      <c r="E136" s="196" t="s">
        <v>886</v>
      </c>
      <c r="F136" s="88" t="s">
        <v>906</v>
      </c>
      <c r="G136" s="88" t="s">
        <v>907</v>
      </c>
      <c r="H136" s="88" t="s">
        <v>348</v>
      </c>
      <c r="I136" s="88" t="s">
        <v>377</v>
      </c>
      <c r="J136" s="20" t="s">
        <v>907</v>
      </c>
      <c r="K136" s="20" t="s">
        <v>908</v>
      </c>
      <c r="L136" s="214" t="s">
        <v>107</v>
      </c>
      <c r="M136" s="27" t="s">
        <v>368</v>
      </c>
      <c r="N136" s="27"/>
      <c r="O136" s="25"/>
      <c r="P136" s="25"/>
      <c r="Q136" s="27" t="s">
        <v>363</v>
      </c>
      <c r="R136" s="89"/>
      <c r="S136" s="89"/>
      <c r="T136" s="25"/>
      <c r="U136" s="25"/>
      <c r="V136" s="25"/>
      <c r="W136" s="27"/>
      <c r="X136" s="27"/>
      <c r="Y136" s="27"/>
      <c r="Z136" s="27"/>
    </row>
    <row r="137" spans="1:26" s="1" customFormat="1" ht="43.5" hidden="1">
      <c r="A137" s="14" t="s">
        <v>304</v>
      </c>
      <c r="B137" s="132">
        <v>6</v>
      </c>
      <c r="C137" s="195" t="s">
        <v>740</v>
      </c>
      <c r="D137" s="133" t="s">
        <v>885</v>
      </c>
      <c r="E137" s="196" t="s">
        <v>886</v>
      </c>
      <c r="F137" s="88" t="s">
        <v>909</v>
      </c>
      <c r="G137" s="88" t="s">
        <v>910</v>
      </c>
      <c r="H137" s="88"/>
      <c r="I137" s="88"/>
      <c r="J137" s="20" t="s">
        <v>910</v>
      </c>
      <c r="K137" s="20" t="s">
        <v>908</v>
      </c>
      <c r="L137" s="214" t="s">
        <v>107</v>
      </c>
      <c r="M137" s="27" t="s">
        <v>368</v>
      </c>
      <c r="N137" s="27"/>
      <c r="O137" s="25"/>
      <c r="P137" s="25"/>
      <c r="Q137" s="27" t="s">
        <v>363</v>
      </c>
      <c r="R137" s="89"/>
      <c r="S137" s="89"/>
      <c r="T137" s="25"/>
      <c r="U137" s="25"/>
      <c r="V137" s="25"/>
      <c r="W137" s="27"/>
      <c r="X137" s="27"/>
      <c r="Y137" s="27"/>
      <c r="Z137" s="27"/>
    </row>
    <row r="138" spans="1:26" s="1" customFormat="1" ht="57.95">
      <c r="A138" s="14" t="s">
        <v>304</v>
      </c>
      <c r="B138" s="132">
        <v>6</v>
      </c>
      <c r="C138" s="195" t="s">
        <v>740</v>
      </c>
      <c r="D138" s="133" t="s">
        <v>885</v>
      </c>
      <c r="E138" s="196" t="s">
        <v>886</v>
      </c>
      <c r="F138" s="88" t="s">
        <v>911</v>
      </c>
      <c r="G138" s="88" t="s">
        <v>912</v>
      </c>
      <c r="H138" s="88" t="s">
        <v>348</v>
      </c>
      <c r="I138" s="88" t="s">
        <v>377</v>
      </c>
      <c r="J138" s="20" t="s">
        <v>913</v>
      </c>
      <c r="K138" s="20" t="s">
        <v>914</v>
      </c>
      <c r="L138" s="411" t="s">
        <v>107</v>
      </c>
      <c r="M138" s="27" t="s">
        <v>368</v>
      </c>
      <c r="N138" s="329"/>
      <c r="O138" s="25"/>
      <c r="P138" s="25" t="s">
        <v>913</v>
      </c>
      <c r="Q138" s="27" t="s">
        <v>913</v>
      </c>
      <c r="R138" s="89"/>
      <c r="S138" s="89" t="s">
        <v>915</v>
      </c>
      <c r="T138" s="408"/>
      <c r="U138" s="408"/>
      <c r="V138" s="408"/>
      <c r="W138" s="27"/>
      <c r="X138" s="27" t="s">
        <v>632</v>
      </c>
      <c r="Y138" s="27" t="s">
        <v>616</v>
      </c>
      <c r="Z138" s="27"/>
    </row>
    <row r="139" spans="1:26" s="1" customFormat="1" ht="43.5">
      <c r="A139" s="14" t="s">
        <v>304</v>
      </c>
      <c r="B139" s="132">
        <v>6</v>
      </c>
      <c r="C139" s="195" t="s">
        <v>740</v>
      </c>
      <c r="D139" s="133" t="s">
        <v>885</v>
      </c>
      <c r="E139" s="196" t="s">
        <v>886</v>
      </c>
      <c r="F139" s="88" t="s">
        <v>916</v>
      </c>
      <c r="G139" s="88" t="s">
        <v>917</v>
      </c>
      <c r="H139" s="88" t="s">
        <v>348</v>
      </c>
      <c r="I139" s="88" t="s">
        <v>377</v>
      </c>
      <c r="J139" s="20" t="str">
        <f>G139</f>
        <v>Identificar els impactes (positius i negatius) que generen les activitats d'ús públic dins l'ENP</v>
      </c>
      <c r="K139" s="20"/>
      <c r="L139" s="20" t="s">
        <v>54</v>
      </c>
      <c r="M139" s="27" t="s">
        <v>352</v>
      </c>
      <c r="N139" s="390" t="s">
        <v>918</v>
      </c>
      <c r="O139" s="25"/>
      <c r="P139" s="25"/>
      <c r="Q139" s="20" t="s">
        <v>919</v>
      </c>
      <c r="R139" s="89" t="s">
        <v>380</v>
      </c>
      <c r="S139" s="89"/>
      <c r="T139" s="20" t="s">
        <v>920</v>
      </c>
      <c r="U139" s="435">
        <v>1</v>
      </c>
      <c r="V139" s="435">
        <v>1</v>
      </c>
      <c r="W139" s="27"/>
      <c r="X139" s="27" t="s">
        <v>632</v>
      </c>
      <c r="Y139" s="27" t="s">
        <v>616</v>
      </c>
      <c r="Z139" s="27"/>
    </row>
    <row r="140" spans="1:26" s="1" customFormat="1" ht="43.5">
      <c r="A140" s="11" t="s">
        <v>305</v>
      </c>
      <c r="B140" s="134">
        <v>7</v>
      </c>
      <c r="C140" s="12" t="s">
        <v>921</v>
      </c>
      <c r="D140" s="135" t="s">
        <v>922</v>
      </c>
      <c r="E140" s="136" t="s">
        <v>923</v>
      </c>
      <c r="F140" s="88" t="s">
        <v>924</v>
      </c>
      <c r="G140" s="374" t="s">
        <v>925</v>
      </c>
      <c r="H140" s="372" t="s">
        <v>348</v>
      </c>
      <c r="I140" s="372" t="s">
        <v>349</v>
      </c>
      <c r="J140" s="375" t="s">
        <v>926</v>
      </c>
      <c r="K140" s="20"/>
      <c r="L140" s="20" t="s">
        <v>54</v>
      </c>
      <c r="M140" s="27" t="s">
        <v>368</v>
      </c>
      <c r="N140" s="390" t="s">
        <v>927</v>
      </c>
      <c r="O140" s="25"/>
      <c r="P140" s="25"/>
      <c r="Q140" s="20" t="s">
        <v>928</v>
      </c>
      <c r="R140" s="89"/>
      <c r="S140" s="89"/>
      <c r="T140" s="20" t="s">
        <v>929</v>
      </c>
      <c r="U140" s="435">
        <v>12</v>
      </c>
      <c r="V140" s="435">
        <v>12</v>
      </c>
      <c r="W140" s="27"/>
      <c r="X140" s="338" t="s">
        <v>471</v>
      </c>
      <c r="Y140" s="338" t="s">
        <v>472</v>
      </c>
      <c r="Z140" s="27"/>
    </row>
    <row r="141" spans="1:26" s="1" customFormat="1" ht="43.5" hidden="1">
      <c r="A141" s="11" t="s">
        <v>305</v>
      </c>
      <c r="B141" s="139">
        <v>7</v>
      </c>
      <c r="C141" s="333" t="s">
        <v>921</v>
      </c>
      <c r="D141" s="334" t="s">
        <v>922</v>
      </c>
      <c r="E141" s="335" t="s">
        <v>923</v>
      </c>
      <c r="F141" s="88" t="s">
        <v>924</v>
      </c>
      <c r="G141" s="374" t="s">
        <v>925</v>
      </c>
      <c r="H141" s="372" t="s">
        <v>348</v>
      </c>
      <c r="I141" s="372" t="s">
        <v>349</v>
      </c>
      <c r="J141" s="375" t="s">
        <v>926</v>
      </c>
      <c r="K141" s="20"/>
      <c r="L141" s="20" t="s">
        <v>54</v>
      </c>
      <c r="M141" s="27" t="s">
        <v>368</v>
      </c>
      <c r="N141" s="390" t="s">
        <v>930</v>
      </c>
      <c r="O141" s="25"/>
      <c r="P141" s="25"/>
      <c r="Q141" s="27" t="s">
        <v>363</v>
      </c>
      <c r="R141" s="89"/>
      <c r="S141" s="89"/>
      <c r="T141" s="25"/>
      <c r="U141" s="25"/>
      <c r="V141" s="25"/>
      <c r="W141" s="27"/>
      <c r="X141" s="338" t="s">
        <v>471</v>
      </c>
      <c r="Y141" s="338" t="s">
        <v>472</v>
      </c>
      <c r="Z141" s="27"/>
    </row>
    <row r="142" spans="1:26" s="1" customFormat="1" ht="43.5" hidden="1">
      <c r="A142" s="11" t="s">
        <v>305</v>
      </c>
      <c r="B142" s="139">
        <v>7</v>
      </c>
      <c r="C142" s="140" t="s">
        <v>921</v>
      </c>
      <c r="D142" s="334" t="s">
        <v>922</v>
      </c>
      <c r="E142" s="335" t="s">
        <v>923</v>
      </c>
      <c r="F142" s="88" t="s">
        <v>924</v>
      </c>
      <c r="G142" s="374" t="s">
        <v>925</v>
      </c>
      <c r="H142" s="372" t="s">
        <v>348</v>
      </c>
      <c r="I142" s="372" t="s">
        <v>349</v>
      </c>
      <c r="J142" s="375" t="s">
        <v>926</v>
      </c>
      <c r="K142" s="20"/>
      <c r="L142" s="20" t="s">
        <v>54</v>
      </c>
      <c r="M142" s="27" t="s">
        <v>368</v>
      </c>
      <c r="N142" s="390" t="s">
        <v>931</v>
      </c>
      <c r="O142" s="25"/>
      <c r="P142" s="25"/>
      <c r="Q142" s="27" t="s">
        <v>363</v>
      </c>
      <c r="R142" s="89"/>
      <c r="S142" s="89"/>
      <c r="T142" s="25"/>
      <c r="U142" s="25"/>
      <c r="V142" s="25"/>
      <c r="W142" s="27"/>
      <c r="X142" s="338" t="s">
        <v>471</v>
      </c>
      <c r="Y142" s="338" t="s">
        <v>472</v>
      </c>
      <c r="Z142" s="27"/>
    </row>
    <row r="143" spans="1:26" s="1" customFormat="1" ht="43.5" hidden="1">
      <c r="A143" s="11" t="s">
        <v>305</v>
      </c>
      <c r="B143" s="139">
        <v>7</v>
      </c>
      <c r="C143" s="140" t="s">
        <v>921</v>
      </c>
      <c r="D143" s="334" t="s">
        <v>922</v>
      </c>
      <c r="E143" s="335" t="s">
        <v>923</v>
      </c>
      <c r="F143" s="88" t="s">
        <v>924</v>
      </c>
      <c r="G143" s="374" t="s">
        <v>925</v>
      </c>
      <c r="H143" s="372" t="s">
        <v>348</v>
      </c>
      <c r="I143" s="372" t="s">
        <v>349</v>
      </c>
      <c r="J143" s="375" t="s">
        <v>926</v>
      </c>
      <c r="K143" s="20"/>
      <c r="L143" s="20" t="s">
        <v>54</v>
      </c>
      <c r="M143" s="27" t="s">
        <v>368</v>
      </c>
      <c r="N143" s="331"/>
      <c r="O143" s="25"/>
      <c r="P143" s="25" t="s">
        <v>926</v>
      </c>
      <c r="Q143" s="27" t="s">
        <v>363</v>
      </c>
      <c r="R143" s="89"/>
      <c r="S143" s="89"/>
      <c r="T143" s="25"/>
      <c r="U143" s="25"/>
      <c r="V143" s="25"/>
      <c r="W143" s="27"/>
      <c r="X143" s="27" t="s">
        <v>632</v>
      </c>
      <c r="Y143" s="27" t="s">
        <v>616</v>
      </c>
      <c r="Z143" s="27"/>
    </row>
    <row r="144" spans="1:26" s="1" customFormat="1" ht="101.45">
      <c r="A144" s="11" t="s">
        <v>305</v>
      </c>
      <c r="B144" s="134">
        <v>8</v>
      </c>
      <c r="C144" s="12" t="s">
        <v>932</v>
      </c>
      <c r="D144" s="137" t="s">
        <v>933</v>
      </c>
      <c r="E144" s="138" t="s">
        <v>934</v>
      </c>
      <c r="F144" s="88" t="s">
        <v>935</v>
      </c>
      <c r="G144" s="88" t="s">
        <v>936</v>
      </c>
      <c r="H144" s="88" t="s">
        <v>348</v>
      </c>
      <c r="I144" s="88" t="s">
        <v>349</v>
      </c>
      <c r="J144" s="205" t="s">
        <v>937</v>
      </c>
      <c r="K144" s="20" t="s">
        <v>938</v>
      </c>
      <c r="L144" s="20" t="s">
        <v>107</v>
      </c>
      <c r="M144" s="27"/>
      <c r="N144" s="390" t="s">
        <v>939</v>
      </c>
      <c r="O144" s="25"/>
      <c r="P144" s="25"/>
      <c r="Q144" s="27" t="s">
        <v>940</v>
      </c>
      <c r="R144" s="89"/>
      <c r="S144" s="89"/>
      <c r="T144" s="25"/>
      <c r="U144" s="25"/>
      <c r="V144" s="25"/>
      <c r="W144" s="27"/>
      <c r="X144" s="27" t="s">
        <v>632</v>
      </c>
      <c r="Y144" s="27" t="s">
        <v>616</v>
      </c>
      <c r="Z144" s="27"/>
    </row>
    <row r="145" spans="1:26" s="1" customFormat="1" ht="101.45" hidden="1">
      <c r="A145" s="11" t="s">
        <v>305</v>
      </c>
      <c r="B145" s="134">
        <v>8</v>
      </c>
      <c r="C145" s="12" t="s">
        <v>932</v>
      </c>
      <c r="D145" s="137" t="s">
        <v>933</v>
      </c>
      <c r="E145" s="138" t="s">
        <v>934</v>
      </c>
      <c r="F145" s="88" t="s">
        <v>935</v>
      </c>
      <c r="G145" s="88" t="s">
        <v>936</v>
      </c>
      <c r="H145" s="88" t="s">
        <v>348</v>
      </c>
      <c r="I145" s="88" t="s">
        <v>349</v>
      </c>
      <c r="J145" s="205" t="s">
        <v>937</v>
      </c>
      <c r="K145" s="20" t="s">
        <v>938</v>
      </c>
      <c r="L145" s="20" t="s">
        <v>107</v>
      </c>
      <c r="M145" s="27"/>
      <c r="N145" s="390" t="s">
        <v>941</v>
      </c>
      <c r="O145" s="25"/>
      <c r="P145" s="25"/>
      <c r="Q145" s="27" t="s">
        <v>363</v>
      </c>
      <c r="R145" s="89"/>
      <c r="S145" s="89"/>
      <c r="T145" s="25"/>
      <c r="U145" s="25"/>
      <c r="V145" s="25"/>
      <c r="W145" s="27"/>
      <c r="X145" s="27" t="s">
        <v>632</v>
      </c>
      <c r="Y145" s="27" t="s">
        <v>616</v>
      </c>
      <c r="Z145" s="27"/>
    </row>
    <row r="146" spans="1:26" s="1" customFormat="1" ht="101.45" hidden="1">
      <c r="A146" s="11" t="s">
        <v>305</v>
      </c>
      <c r="B146" s="134">
        <v>8</v>
      </c>
      <c r="C146" s="12" t="s">
        <v>932</v>
      </c>
      <c r="D146" s="137" t="s">
        <v>933</v>
      </c>
      <c r="E146" s="138" t="s">
        <v>934</v>
      </c>
      <c r="F146" s="88" t="s">
        <v>935</v>
      </c>
      <c r="G146" s="88" t="s">
        <v>936</v>
      </c>
      <c r="H146" s="88" t="s">
        <v>348</v>
      </c>
      <c r="I146" s="88" t="s">
        <v>349</v>
      </c>
      <c r="J146" s="205" t="s">
        <v>937</v>
      </c>
      <c r="K146" s="20" t="s">
        <v>938</v>
      </c>
      <c r="L146" s="20" t="s">
        <v>107</v>
      </c>
      <c r="M146" s="27" t="s">
        <v>368</v>
      </c>
      <c r="N146" s="390" t="s">
        <v>942</v>
      </c>
      <c r="O146" s="25"/>
      <c r="P146" s="25"/>
      <c r="Q146" s="27" t="s">
        <v>363</v>
      </c>
      <c r="R146" s="89"/>
      <c r="S146" s="89"/>
      <c r="T146" s="25"/>
      <c r="U146" s="25"/>
      <c r="V146" s="25"/>
      <c r="W146" s="27"/>
      <c r="X146" s="27" t="s">
        <v>632</v>
      </c>
      <c r="Y146" s="27" t="s">
        <v>616</v>
      </c>
      <c r="Z146" s="27"/>
    </row>
    <row r="147" spans="1:26" s="1" customFormat="1" ht="101.45">
      <c r="A147" s="11" t="s">
        <v>305</v>
      </c>
      <c r="B147" s="139">
        <v>8</v>
      </c>
      <c r="C147" s="140" t="s">
        <v>932</v>
      </c>
      <c r="D147" s="141" t="s">
        <v>933</v>
      </c>
      <c r="E147" s="142" t="s">
        <v>934</v>
      </c>
      <c r="F147" s="88" t="s">
        <v>943</v>
      </c>
      <c r="G147" s="88" t="s">
        <v>944</v>
      </c>
      <c r="H147" s="88" t="s">
        <v>348</v>
      </c>
      <c r="I147" s="88" t="s">
        <v>349</v>
      </c>
      <c r="J147" s="205" t="s">
        <v>945</v>
      </c>
      <c r="K147" s="20" t="s">
        <v>938</v>
      </c>
      <c r="L147" s="20" t="s">
        <v>107</v>
      </c>
      <c r="M147" s="27" t="s">
        <v>368</v>
      </c>
      <c r="N147" s="390" t="s">
        <v>946</v>
      </c>
      <c r="O147" s="25"/>
      <c r="P147" s="25"/>
      <c r="Q147" s="27" t="s">
        <v>947</v>
      </c>
      <c r="R147" s="89"/>
      <c r="S147" s="89"/>
      <c r="T147" s="25"/>
      <c r="U147" s="25"/>
      <c r="V147" s="25"/>
      <c r="W147" s="27"/>
      <c r="X147" s="27" t="s">
        <v>632</v>
      </c>
      <c r="Y147" s="27" t="s">
        <v>616</v>
      </c>
      <c r="Z147" s="27"/>
    </row>
    <row r="148" spans="1:26" s="1" customFormat="1" ht="101.45" hidden="1">
      <c r="A148" s="11" t="s">
        <v>305</v>
      </c>
      <c r="B148" s="139">
        <v>8</v>
      </c>
      <c r="C148" s="140" t="s">
        <v>932</v>
      </c>
      <c r="D148" s="141" t="s">
        <v>933</v>
      </c>
      <c r="E148" s="142" t="s">
        <v>934</v>
      </c>
      <c r="F148" s="88" t="s">
        <v>943</v>
      </c>
      <c r="G148" s="88" t="s">
        <v>944</v>
      </c>
      <c r="H148" s="88" t="s">
        <v>348</v>
      </c>
      <c r="I148" s="88" t="s">
        <v>349</v>
      </c>
      <c r="J148" s="205" t="s">
        <v>945</v>
      </c>
      <c r="K148" s="20" t="s">
        <v>948</v>
      </c>
      <c r="L148" s="20" t="s">
        <v>107</v>
      </c>
      <c r="M148" s="27" t="s">
        <v>368</v>
      </c>
      <c r="N148" s="390" t="s">
        <v>949</v>
      </c>
      <c r="O148" s="25"/>
      <c r="P148" s="25"/>
      <c r="Q148" s="27" t="s">
        <v>363</v>
      </c>
      <c r="R148" s="89"/>
      <c r="S148" s="89"/>
      <c r="T148" s="25"/>
      <c r="U148" s="25"/>
      <c r="V148" s="25"/>
      <c r="W148" s="27"/>
      <c r="X148" s="27" t="s">
        <v>632</v>
      </c>
      <c r="Y148" s="27" t="s">
        <v>616</v>
      </c>
      <c r="Z148" s="27"/>
    </row>
    <row r="149" spans="1:26" s="1" customFormat="1" ht="101.45">
      <c r="A149" s="11" t="s">
        <v>305</v>
      </c>
      <c r="B149" s="139">
        <v>8</v>
      </c>
      <c r="C149" s="140" t="s">
        <v>932</v>
      </c>
      <c r="D149" s="141" t="s">
        <v>933</v>
      </c>
      <c r="E149" s="142" t="s">
        <v>934</v>
      </c>
      <c r="F149" s="88" t="s">
        <v>950</v>
      </c>
      <c r="G149" s="88" t="s">
        <v>951</v>
      </c>
      <c r="H149" s="88" t="s">
        <v>416</v>
      </c>
      <c r="I149" s="88" t="s">
        <v>570</v>
      </c>
      <c r="J149" s="205" t="s">
        <v>952</v>
      </c>
      <c r="K149" s="20" t="s">
        <v>953</v>
      </c>
      <c r="L149" s="20" t="s">
        <v>54</v>
      </c>
      <c r="M149" s="27" t="s">
        <v>368</v>
      </c>
      <c r="N149" s="390" t="s">
        <v>954</v>
      </c>
      <c r="O149" s="25"/>
      <c r="P149" s="25"/>
      <c r="Q149" s="20" t="s">
        <v>955</v>
      </c>
      <c r="R149" s="89"/>
      <c r="S149" s="89"/>
      <c r="T149" s="20" t="s">
        <v>956</v>
      </c>
      <c r="U149" s="435">
        <v>5</v>
      </c>
      <c r="V149" s="435">
        <v>10</v>
      </c>
      <c r="W149" s="27"/>
      <c r="X149" s="27" t="s">
        <v>615</v>
      </c>
      <c r="Y149" s="27" t="s">
        <v>624</v>
      </c>
      <c r="Z149" s="27"/>
    </row>
    <row r="150" spans="1:26" s="1" customFormat="1" ht="101.45" hidden="1">
      <c r="A150" s="11" t="s">
        <v>305</v>
      </c>
      <c r="B150" s="139">
        <v>8</v>
      </c>
      <c r="C150" s="140" t="s">
        <v>932</v>
      </c>
      <c r="D150" s="135" t="s">
        <v>957</v>
      </c>
      <c r="E150" s="136" t="s">
        <v>958</v>
      </c>
      <c r="F150" s="88" t="s">
        <v>959</v>
      </c>
      <c r="G150" s="88" t="s">
        <v>960</v>
      </c>
      <c r="H150" s="89"/>
      <c r="I150" s="89"/>
      <c r="J150" s="20" t="s">
        <v>960</v>
      </c>
      <c r="K150" s="20" t="s">
        <v>961</v>
      </c>
      <c r="L150" s="214" t="s">
        <v>107</v>
      </c>
      <c r="M150" s="27" t="s">
        <v>352</v>
      </c>
      <c r="N150" s="27"/>
      <c r="O150" s="25"/>
      <c r="P150" s="25"/>
      <c r="Q150" s="27" t="s">
        <v>363</v>
      </c>
      <c r="R150" s="89" t="s">
        <v>380</v>
      </c>
      <c r="S150" s="89"/>
      <c r="T150" s="25"/>
      <c r="U150" s="25"/>
      <c r="V150" s="25"/>
      <c r="W150" s="27"/>
      <c r="X150" s="27"/>
      <c r="Y150" s="27"/>
      <c r="Z150" s="27"/>
    </row>
    <row r="151" spans="1:26" s="1" customFormat="1" ht="101.45">
      <c r="A151" s="11" t="s">
        <v>305</v>
      </c>
      <c r="B151" s="139">
        <v>8</v>
      </c>
      <c r="C151" s="140" t="s">
        <v>932</v>
      </c>
      <c r="D151" s="141" t="s">
        <v>962</v>
      </c>
      <c r="E151" s="142" t="s">
        <v>963</v>
      </c>
      <c r="F151" s="88" t="s">
        <v>964</v>
      </c>
      <c r="G151" s="88" t="s">
        <v>965</v>
      </c>
      <c r="H151" s="88" t="s">
        <v>348</v>
      </c>
      <c r="I151" s="88" t="s">
        <v>570</v>
      </c>
      <c r="J151" s="20" t="str">
        <f t="shared" ref="J151:J159" si="3">+G151</f>
        <v>Implantar un distintiu de qualitat i compatibilitat amb la conservació dels productes de la Xarxa d'ENP o criteris de qualitat propis de l'ENP</v>
      </c>
      <c r="K151" s="20"/>
      <c r="L151" s="20" t="s">
        <v>54</v>
      </c>
      <c r="M151" s="27" t="s">
        <v>368</v>
      </c>
      <c r="N151" s="393" t="s">
        <v>966</v>
      </c>
      <c r="O151" s="25"/>
      <c r="P151" s="25"/>
      <c r="Q151" s="20" t="s">
        <v>967</v>
      </c>
      <c r="R151" s="89" t="s">
        <v>380</v>
      </c>
      <c r="S151" s="89" t="s">
        <v>968</v>
      </c>
      <c r="T151" s="20" t="s">
        <v>969</v>
      </c>
      <c r="U151" s="435">
        <v>1</v>
      </c>
      <c r="V151" s="435">
        <v>1</v>
      </c>
      <c r="W151" s="27"/>
      <c r="X151" s="27" t="s">
        <v>632</v>
      </c>
      <c r="Y151" s="27" t="s">
        <v>616</v>
      </c>
      <c r="Z151" s="27"/>
    </row>
    <row r="152" spans="1:26" s="1" customFormat="1" ht="144.94999999999999">
      <c r="A152" s="11" t="s">
        <v>305</v>
      </c>
      <c r="B152" s="139">
        <v>8</v>
      </c>
      <c r="C152" s="140" t="s">
        <v>932</v>
      </c>
      <c r="D152" s="141" t="s">
        <v>962</v>
      </c>
      <c r="E152" s="142" t="s">
        <v>963</v>
      </c>
      <c r="F152" s="88" t="s">
        <v>970</v>
      </c>
      <c r="G152" s="88" t="s">
        <v>971</v>
      </c>
      <c r="H152" s="88" t="s">
        <v>348</v>
      </c>
      <c r="I152" s="88" t="s">
        <v>377</v>
      </c>
      <c r="J152" s="20" t="str">
        <f t="shared" si="3"/>
        <v>Integrar els productes i activitats locals de qualitat en l'oferta d'activitats d'informació i turístiques de l'ENP</v>
      </c>
      <c r="K152" s="20"/>
      <c r="L152" s="20" t="s">
        <v>54</v>
      </c>
      <c r="M152" s="27" t="s">
        <v>368</v>
      </c>
      <c r="N152" s="393" t="s">
        <v>972</v>
      </c>
      <c r="O152" s="25"/>
      <c r="P152" s="25"/>
      <c r="Q152" s="20" t="s">
        <v>973</v>
      </c>
      <c r="R152" s="89" t="s">
        <v>974</v>
      </c>
      <c r="S152" s="89"/>
      <c r="T152" s="20" t="s">
        <v>975</v>
      </c>
      <c r="U152" s="435" t="s">
        <v>976</v>
      </c>
      <c r="V152" s="435" t="s">
        <v>977</v>
      </c>
      <c r="W152" s="27"/>
      <c r="X152" s="27" t="s">
        <v>632</v>
      </c>
      <c r="Y152" s="27" t="s">
        <v>616</v>
      </c>
      <c r="Z152" s="27"/>
    </row>
    <row r="153" spans="1:26" s="1" customFormat="1" ht="101.45" hidden="1">
      <c r="A153" s="11" t="s">
        <v>305</v>
      </c>
      <c r="B153" s="139">
        <v>8</v>
      </c>
      <c r="C153" s="140" t="s">
        <v>932</v>
      </c>
      <c r="D153" s="141" t="s">
        <v>962</v>
      </c>
      <c r="E153" s="142" t="s">
        <v>963</v>
      </c>
      <c r="F153" s="88" t="s">
        <v>970</v>
      </c>
      <c r="G153" s="88" t="s">
        <v>971</v>
      </c>
      <c r="H153" s="88" t="s">
        <v>348</v>
      </c>
      <c r="I153" s="88" t="s">
        <v>377</v>
      </c>
      <c r="J153" s="20" t="str">
        <f t="shared" si="3"/>
        <v>Integrar els productes i activitats locals de qualitat en l'oferta d'activitats d'informació i turístiques de l'ENP</v>
      </c>
      <c r="K153" s="20"/>
      <c r="L153" s="20" t="s">
        <v>107</v>
      </c>
      <c r="M153" s="27" t="s">
        <v>368</v>
      </c>
      <c r="N153" s="393" t="s">
        <v>978</v>
      </c>
      <c r="O153" s="25"/>
      <c r="P153" s="25"/>
      <c r="Q153" s="27" t="s">
        <v>363</v>
      </c>
      <c r="R153" s="89" t="s">
        <v>974</v>
      </c>
      <c r="S153" s="89"/>
      <c r="T153" s="25"/>
      <c r="U153" s="25"/>
      <c r="V153" s="25"/>
      <c r="W153" s="27"/>
      <c r="X153" s="27" t="s">
        <v>632</v>
      </c>
      <c r="Y153" s="27" t="s">
        <v>616</v>
      </c>
      <c r="Z153" s="27"/>
    </row>
    <row r="154" spans="1:26" s="1" customFormat="1" ht="101.45" hidden="1">
      <c r="A154" s="11" t="s">
        <v>305</v>
      </c>
      <c r="B154" s="139">
        <v>8</v>
      </c>
      <c r="C154" s="140" t="s">
        <v>932</v>
      </c>
      <c r="D154" s="141" t="s">
        <v>962</v>
      </c>
      <c r="E154" s="142" t="s">
        <v>963</v>
      </c>
      <c r="F154" s="88" t="s">
        <v>970</v>
      </c>
      <c r="G154" s="88" t="s">
        <v>971</v>
      </c>
      <c r="H154" s="88" t="s">
        <v>348</v>
      </c>
      <c r="I154" s="88" t="s">
        <v>377</v>
      </c>
      <c r="J154" s="20" t="str">
        <f t="shared" si="3"/>
        <v>Integrar els productes i activitats locals de qualitat en l'oferta d'activitats d'informació i turístiques de l'ENP</v>
      </c>
      <c r="K154" s="20"/>
      <c r="L154" s="20" t="s">
        <v>107</v>
      </c>
      <c r="M154" s="27" t="s">
        <v>368</v>
      </c>
      <c r="N154" s="393" t="s">
        <v>979</v>
      </c>
      <c r="O154" s="25"/>
      <c r="P154" s="25"/>
      <c r="Q154" s="27" t="s">
        <v>363</v>
      </c>
      <c r="R154" s="89" t="s">
        <v>974</v>
      </c>
      <c r="S154" s="89"/>
      <c r="T154" s="25"/>
      <c r="U154" s="25"/>
      <c r="V154" s="25"/>
      <c r="W154" s="27"/>
      <c r="X154" s="27" t="s">
        <v>632</v>
      </c>
      <c r="Y154" s="27" t="s">
        <v>616</v>
      </c>
      <c r="Z154" s="27"/>
    </row>
    <row r="155" spans="1:26" s="1" customFormat="1" ht="101.45" hidden="1">
      <c r="A155" s="11" t="s">
        <v>305</v>
      </c>
      <c r="B155" s="139">
        <v>8</v>
      </c>
      <c r="C155" s="140" t="s">
        <v>932</v>
      </c>
      <c r="D155" s="141" t="s">
        <v>962</v>
      </c>
      <c r="E155" s="142" t="s">
        <v>963</v>
      </c>
      <c r="F155" s="88" t="s">
        <v>970</v>
      </c>
      <c r="G155" s="88" t="s">
        <v>971</v>
      </c>
      <c r="H155" s="88" t="s">
        <v>348</v>
      </c>
      <c r="I155" s="88" t="s">
        <v>377</v>
      </c>
      <c r="J155" s="20" t="str">
        <f t="shared" si="3"/>
        <v>Integrar els productes i activitats locals de qualitat en l'oferta d'activitats d'informació i turístiques de l'ENP</v>
      </c>
      <c r="K155" s="20"/>
      <c r="L155" s="20" t="s">
        <v>54</v>
      </c>
      <c r="M155" s="27" t="s">
        <v>368</v>
      </c>
      <c r="N155" s="393" t="s">
        <v>980</v>
      </c>
      <c r="O155" s="25"/>
      <c r="P155" s="25"/>
      <c r="Q155" s="27" t="s">
        <v>363</v>
      </c>
      <c r="R155" s="89"/>
      <c r="S155" s="89"/>
      <c r="T155" s="25"/>
      <c r="U155" s="25"/>
      <c r="V155" s="25"/>
      <c r="W155" s="27"/>
      <c r="X155" s="27" t="s">
        <v>632</v>
      </c>
      <c r="Y155" s="27" t="s">
        <v>616</v>
      </c>
      <c r="Z155" s="27"/>
    </row>
    <row r="156" spans="1:26" s="1" customFormat="1" ht="101.45" hidden="1">
      <c r="A156" s="11" t="s">
        <v>305</v>
      </c>
      <c r="B156" s="139">
        <v>8</v>
      </c>
      <c r="C156" s="140" t="s">
        <v>932</v>
      </c>
      <c r="D156" s="141" t="s">
        <v>962</v>
      </c>
      <c r="E156" s="142" t="s">
        <v>963</v>
      </c>
      <c r="F156" s="88" t="s">
        <v>970</v>
      </c>
      <c r="G156" s="88" t="s">
        <v>971</v>
      </c>
      <c r="H156" s="88" t="s">
        <v>348</v>
      </c>
      <c r="I156" s="88" t="s">
        <v>377</v>
      </c>
      <c r="J156" s="20" t="str">
        <f t="shared" si="3"/>
        <v>Integrar els productes i activitats locals de qualitat en l'oferta d'activitats d'informació i turístiques de l'ENP</v>
      </c>
      <c r="K156" s="20"/>
      <c r="L156" s="20" t="s">
        <v>54</v>
      </c>
      <c r="M156" s="27" t="s">
        <v>368</v>
      </c>
      <c r="N156" s="393" t="s">
        <v>981</v>
      </c>
      <c r="O156" s="25"/>
      <c r="P156" s="25"/>
      <c r="Q156" s="27" t="s">
        <v>363</v>
      </c>
      <c r="R156" s="89"/>
      <c r="S156" s="89"/>
      <c r="T156" s="25"/>
      <c r="U156" s="25"/>
      <c r="V156" s="25"/>
      <c r="W156" s="27"/>
      <c r="X156" s="27" t="s">
        <v>632</v>
      </c>
      <c r="Y156" s="27" t="s">
        <v>616</v>
      </c>
      <c r="Z156" s="27"/>
    </row>
    <row r="157" spans="1:26" s="1" customFormat="1" ht="101.45" hidden="1">
      <c r="A157" s="11" t="s">
        <v>305</v>
      </c>
      <c r="B157" s="139">
        <v>8</v>
      </c>
      <c r="C157" s="140" t="s">
        <v>932</v>
      </c>
      <c r="D157" s="141" t="s">
        <v>962</v>
      </c>
      <c r="E157" s="142" t="s">
        <v>963</v>
      </c>
      <c r="F157" s="88" t="s">
        <v>970</v>
      </c>
      <c r="G157" s="88" t="s">
        <v>971</v>
      </c>
      <c r="H157" s="88" t="s">
        <v>348</v>
      </c>
      <c r="I157" s="88" t="s">
        <v>377</v>
      </c>
      <c r="J157" s="20" t="str">
        <f t="shared" si="3"/>
        <v>Integrar els productes i activitats locals de qualitat en l'oferta d'activitats d'informació i turístiques de l'ENP</v>
      </c>
      <c r="K157" s="20"/>
      <c r="L157" s="20" t="s">
        <v>54</v>
      </c>
      <c r="M157" s="27" t="s">
        <v>368</v>
      </c>
      <c r="N157" s="393" t="s">
        <v>982</v>
      </c>
      <c r="O157" s="25"/>
      <c r="P157" s="25"/>
      <c r="Q157" s="27" t="s">
        <v>363</v>
      </c>
      <c r="R157" s="89"/>
      <c r="S157" s="89"/>
      <c r="T157" s="25"/>
      <c r="U157" s="25"/>
      <c r="V157" s="25"/>
      <c r="W157" s="27"/>
      <c r="X157" s="27" t="s">
        <v>632</v>
      </c>
      <c r="Y157" s="27" t="s">
        <v>616</v>
      </c>
      <c r="Z157" s="27"/>
    </row>
    <row r="158" spans="1:26" s="1" customFormat="1" ht="101.45" hidden="1">
      <c r="A158" s="11" t="s">
        <v>305</v>
      </c>
      <c r="B158" s="139">
        <v>8</v>
      </c>
      <c r="C158" s="140" t="s">
        <v>932</v>
      </c>
      <c r="D158" s="141" t="s">
        <v>962</v>
      </c>
      <c r="E158" s="142" t="s">
        <v>963</v>
      </c>
      <c r="F158" s="88" t="s">
        <v>970</v>
      </c>
      <c r="G158" s="88" t="s">
        <v>971</v>
      </c>
      <c r="H158" s="88" t="s">
        <v>348</v>
      </c>
      <c r="I158" s="88" t="s">
        <v>377</v>
      </c>
      <c r="J158" s="20" t="str">
        <f t="shared" si="3"/>
        <v>Integrar els productes i activitats locals de qualitat en l'oferta d'activitats d'informació i turístiques de l'ENP</v>
      </c>
      <c r="K158" s="20"/>
      <c r="L158" s="20" t="s">
        <v>107</v>
      </c>
      <c r="M158" s="27" t="s">
        <v>368</v>
      </c>
      <c r="N158" s="393" t="s">
        <v>983</v>
      </c>
      <c r="O158" s="25"/>
      <c r="P158" s="25"/>
      <c r="Q158" s="27" t="s">
        <v>363</v>
      </c>
      <c r="R158" s="89"/>
      <c r="S158" s="89"/>
      <c r="T158" s="25"/>
      <c r="U158" s="25"/>
      <c r="V158" s="25"/>
      <c r="W158" s="27"/>
      <c r="X158" s="27" t="s">
        <v>632</v>
      </c>
      <c r="Y158" s="27" t="s">
        <v>616</v>
      </c>
      <c r="Z158" s="27"/>
    </row>
    <row r="159" spans="1:26" s="1" customFormat="1" ht="101.45" hidden="1">
      <c r="A159" s="11" t="s">
        <v>305</v>
      </c>
      <c r="B159" s="139">
        <v>8</v>
      </c>
      <c r="C159" s="140" t="s">
        <v>932</v>
      </c>
      <c r="D159" s="141" t="s">
        <v>962</v>
      </c>
      <c r="E159" s="142" t="s">
        <v>963</v>
      </c>
      <c r="F159" s="88" t="s">
        <v>970</v>
      </c>
      <c r="G159" s="88" t="s">
        <v>971</v>
      </c>
      <c r="H159" s="88" t="s">
        <v>348</v>
      </c>
      <c r="I159" s="88" t="s">
        <v>377</v>
      </c>
      <c r="J159" s="20" t="str">
        <f t="shared" si="3"/>
        <v>Integrar els productes i activitats locals de qualitat en l'oferta d'activitats d'informació i turístiques de l'ENP</v>
      </c>
      <c r="K159" s="20"/>
      <c r="L159" s="20" t="s">
        <v>107</v>
      </c>
      <c r="M159" s="27" t="s">
        <v>368</v>
      </c>
      <c r="N159" s="393" t="s">
        <v>984</v>
      </c>
      <c r="O159" s="25"/>
      <c r="P159" s="25"/>
      <c r="Q159" s="27" t="s">
        <v>363</v>
      </c>
      <c r="R159" s="89"/>
      <c r="S159" s="89"/>
      <c r="T159" s="25"/>
      <c r="U159" s="25"/>
      <c r="V159" s="25"/>
      <c r="W159" s="27"/>
      <c r="X159" s="27" t="s">
        <v>632</v>
      </c>
      <c r="Y159" s="27" t="s">
        <v>616</v>
      </c>
      <c r="Z159" s="27"/>
    </row>
    <row r="160" spans="1:26" s="1" customFormat="1" ht="174">
      <c r="A160" s="11" t="s">
        <v>305</v>
      </c>
      <c r="B160" s="139">
        <v>8</v>
      </c>
      <c r="C160" s="140" t="s">
        <v>932</v>
      </c>
      <c r="D160" s="141" t="s">
        <v>962</v>
      </c>
      <c r="E160" s="142" t="s">
        <v>963</v>
      </c>
      <c r="F160" s="88" t="s">
        <v>985</v>
      </c>
      <c r="G160" s="88" t="s">
        <v>986</v>
      </c>
      <c r="H160" s="88" t="s">
        <v>348</v>
      </c>
      <c r="I160" s="88" t="s">
        <v>570</v>
      </c>
      <c r="J160" s="20" t="str">
        <f t="shared" ref="J160:J167" si="4">+G160</f>
        <v>Promoure fires d'artesania i productes locals de l'ENP</v>
      </c>
      <c r="K160" s="20"/>
      <c r="L160" s="20" t="s">
        <v>54</v>
      </c>
      <c r="M160" s="27" t="s">
        <v>712</v>
      </c>
      <c r="N160" s="393" t="s">
        <v>987</v>
      </c>
      <c r="O160" s="25"/>
      <c r="P160" s="25"/>
      <c r="Q160" s="20" t="s">
        <v>988</v>
      </c>
      <c r="R160" s="89"/>
      <c r="S160" s="89"/>
      <c r="T160" s="20" t="s">
        <v>989</v>
      </c>
      <c r="U160" s="435" t="s">
        <v>990</v>
      </c>
      <c r="V160" s="435" t="s">
        <v>991</v>
      </c>
      <c r="W160" s="27"/>
      <c r="X160" s="27" t="s">
        <v>632</v>
      </c>
      <c r="Y160" s="27" t="s">
        <v>616</v>
      </c>
      <c r="Z160" s="27"/>
    </row>
    <row r="161" spans="1:26" s="1" customFormat="1" ht="101.45" hidden="1">
      <c r="A161" s="11" t="s">
        <v>305</v>
      </c>
      <c r="B161" s="139">
        <v>8</v>
      </c>
      <c r="C161" s="140" t="s">
        <v>932</v>
      </c>
      <c r="D161" s="141" t="s">
        <v>962</v>
      </c>
      <c r="E161" s="142" t="s">
        <v>963</v>
      </c>
      <c r="F161" s="88" t="s">
        <v>985</v>
      </c>
      <c r="G161" s="88" t="s">
        <v>986</v>
      </c>
      <c r="H161" s="88" t="s">
        <v>348</v>
      </c>
      <c r="I161" s="88" t="s">
        <v>570</v>
      </c>
      <c r="J161" s="20" t="str">
        <f t="shared" si="4"/>
        <v>Promoure fires d'artesania i productes locals de l'ENP</v>
      </c>
      <c r="K161" s="20"/>
      <c r="L161" s="20" t="s">
        <v>54</v>
      </c>
      <c r="M161" s="27" t="s">
        <v>712</v>
      </c>
      <c r="N161" s="393" t="s">
        <v>992</v>
      </c>
      <c r="O161" s="25"/>
      <c r="P161" s="25"/>
      <c r="Q161" s="27" t="s">
        <v>363</v>
      </c>
      <c r="R161" s="89"/>
      <c r="S161" s="89"/>
      <c r="T161" s="25"/>
      <c r="U161" s="25"/>
      <c r="V161" s="25"/>
      <c r="W161" s="27"/>
      <c r="X161" s="27" t="s">
        <v>632</v>
      </c>
      <c r="Y161" s="27" t="s">
        <v>616</v>
      </c>
      <c r="Z161" s="27"/>
    </row>
    <row r="162" spans="1:26" s="1" customFormat="1" ht="101.45" hidden="1">
      <c r="A162" s="11" t="s">
        <v>305</v>
      </c>
      <c r="B162" s="139">
        <v>8</v>
      </c>
      <c r="C162" s="140" t="s">
        <v>932</v>
      </c>
      <c r="D162" s="141" t="s">
        <v>962</v>
      </c>
      <c r="E162" s="142" t="s">
        <v>963</v>
      </c>
      <c r="F162" s="88" t="s">
        <v>985</v>
      </c>
      <c r="G162" s="88" t="s">
        <v>986</v>
      </c>
      <c r="H162" s="88" t="s">
        <v>348</v>
      </c>
      <c r="I162" s="88" t="s">
        <v>570</v>
      </c>
      <c r="J162" s="20" t="str">
        <f t="shared" si="4"/>
        <v>Promoure fires d'artesania i productes locals de l'ENP</v>
      </c>
      <c r="K162" s="20"/>
      <c r="L162" s="20" t="s">
        <v>54</v>
      </c>
      <c r="M162" s="27" t="s">
        <v>712</v>
      </c>
      <c r="N162" s="393" t="s">
        <v>993</v>
      </c>
      <c r="O162" s="25"/>
      <c r="P162" s="25"/>
      <c r="Q162" s="27" t="s">
        <v>363</v>
      </c>
      <c r="R162" s="89"/>
      <c r="S162" s="89"/>
      <c r="T162" s="25"/>
      <c r="U162" s="25"/>
      <c r="V162" s="25"/>
      <c r="W162" s="27"/>
      <c r="X162" s="27" t="s">
        <v>632</v>
      </c>
      <c r="Y162" s="27" t="s">
        <v>616</v>
      </c>
      <c r="Z162" s="27"/>
    </row>
    <row r="163" spans="1:26" s="1" customFormat="1" ht="101.45" hidden="1">
      <c r="A163" s="11" t="s">
        <v>305</v>
      </c>
      <c r="B163" s="139">
        <v>8</v>
      </c>
      <c r="C163" s="140" t="s">
        <v>932</v>
      </c>
      <c r="D163" s="141" t="s">
        <v>962</v>
      </c>
      <c r="E163" s="142" t="s">
        <v>963</v>
      </c>
      <c r="F163" s="88" t="s">
        <v>985</v>
      </c>
      <c r="G163" s="88" t="s">
        <v>986</v>
      </c>
      <c r="H163" s="88" t="s">
        <v>348</v>
      </c>
      <c r="I163" s="88" t="s">
        <v>570</v>
      </c>
      <c r="J163" s="20" t="str">
        <f t="shared" si="4"/>
        <v>Promoure fires d'artesania i productes locals de l'ENP</v>
      </c>
      <c r="K163" s="20"/>
      <c r="L163" s="20" t="s">
        <v>54</v>
      </c>
      <c r="M163" s="27" t="s">
        <v>712</v>
      </c>
      <c r="N163" s="393" t="s">
        <v>994</v>
      </c>
      <c r="O163" s="25"/>
      <c r="P163" s="25"/>
      <c r="Q163" s="27" t="s">
        <v>363</v>
      </c>
      <c r="R163" s="89"/>
      <c r="S163" s="89"/>
      <c r="T163" s="25"/>
      <c r="U163" s="25"/>
      <c r="V163" s="25"/>
      <c r="W163" s="27"/>
      <c r="X163" s="27" t="s">
        <v>632</v>
      </c>
      <c r="Y163" s="27" t="s">
        <v>616</v>
      </c>
      <c r="Z163" s="27"/>
    </row>
    <row r="164" spans="1:26" s="1" customFormat="1" ht="101.45" hidden="1">
      <c r="A164" s="11" t="s">
        <v>305</v>
      </c>
      <c r="B164" s="139">
        <v>8</v>
      </c>
      <c r="C164" s="140" t="s">
        <v>932</v>
      </c>
      <c r="D164" s="141" t="s">
        <v>962</v>
      </c>
      <c r="E164" s="142" t="s">
        <v>963</v>
      </c>
      <c r="F164" s="88" t="s">
        <v>985</v>
      </c>
      <c r="G164" s="88" t="s">
        <v>986</v>
      </c>
      <c r="H164" s="88" t="s">
        <v>348</v>
      </c>
      <c r="I164" s="88" t="s">
        <v>570</v>
      </c>
      <c r="J164" s="20" t="str">
        <f t="shared" si="4"/>
        <v>Promoure fires d'artesania i productes locals de l'ENP</v>
      </c>
      <c r="K164" s="20"/>
      <c r="L164" s="20" t="s">
        <v>54</v>
      </c>
      <c r="M164" s="27" t="s">
        <v>712</v>
      </c>
      <c r="N164" s="393" t="s">
        <v>995</v>
      </c>
      <c r="O164" s="25"/>
      <c r="P164" s="25"/>
      <c r="Q164" s="27" t="s">
        <v>363</v>
      </c>
      <c r="R164" s="89"/>
      <c r="S164" s="89"/>
      <c r="T164" s="25"/>
      <c r="U164" s="25"/>
      <c r="V164" s="25"/>
      <c r="W164" s="27"/>
      <c r="X164" s="27" t="s">
        <v>632</v>
      </c>
      <c r="Y164" s="27" t="s">
        <v>616</v>
      </c>
      <c r="Z164" s="27"/>
    </row>
    <row r="165" spans="1:26" s="1" customFormat="1" ht="101.45" hidden="1">
      <c r="A165" s="11" t="s">
        <v>305</v>
      </c>
      <c r="B165" s="139">
        <v>8</v>
      </c>
      <c r="C165" s="140" t="s">
        <v>932</v>
      </c>
      <c r="D165" s="141" t="s">
        <v>962</v>
      </c>
      <c r="E165" s="142" t="s">
        <v>963</v>
      </c>
      <c r="F165" s="88" t="s">
        <v>985</v>
      </c>
      <c r="G165" s="88" t="s">
        <v>986</v>
      </c>
      <c r="H165" s="88" t="s">
        <v>348</v>
      </c>
      <c r="I165" s="88" t="s">
        <v>570</v>
      </c>
      <c r="J165" s="20" t="str">
        <f t="shared" si="4"/>
        <v>Promoure fires d'artesania i productes locals de l'ENP</v>
      </c>
      <c r="K165" s="20"/>
      <c r="L165" s="20" t="s">
        <v>107</v>
      </c>
      <c r="M165" s="27" t="s">
        <v>712</v>
      </c>
      <c r="N165" s="393" t="s">
        <v>996</v>
      </c>
      <c r="O165" s="25"/>
      <c r="P165" s="25"/>
      <c r="Q165" s="27" t="s">
        <v>363</v>
      </c>
      <c r="R165" s="89"/>
      <c r="S165" s="89"/>
      <c r="T165" s="25"/>
      <c r="U165" s="25"/>
      <c r="V165" s="25"/>
      <c r="W165" s="27"/>
      <c r="X165" s="27" t="s">
        <v>632</v>
      </c>
      <c r="Y165" s="27" t="s">
        <v>616</v>
      </c>
      <c r="Z165" s="27"/>
    </row>
    <row r="166" spans="1:26" s="1" customFormat="1" ht="101.45">
      <c r="A166" s="11" t="s">
        <v>305</v>
      </c>
      <c r="B166" s="139">
        <v>8</v>
      </c>
      <c r="C166" s="140" t="s">
        <v>932</v>
      </c>
      <c r="D166" s="141" t="s">
        <v>962</v>
      </c>
      <c r="E166" s="142" t="s">
        <v>963</v>
      </c>
      <c r="F166" s="88" t="s">
        <v>997</v>
      </c>
      <c r="G166" s="88" t="s">
        <v>998</v>
      </c>
      <c r="H166" s="88" t="s">
        <v>348</v>
      </c>
      <c r="I166" s="88" t="s">
        <v>570</v>
      </c>
      <c r="J166" s="20" t="str">
        <f t="shared" si="4"/>
        <v xml:space="preserve">Generar aliances entre el sector primari, el turisme, la restauració i altres per fomentar la gastronomia local </v>
      </c>
      <c r="K166" s="20"/>
      <c r="L166" s="20" t="s">
        <v>54</v>
      </c>
      <c r="M166" s="27" t="s">
        <v>368</v>
      </c>
      <c r="N166" s="393" t="s">
        <v>999</v>
      </c>
      <c r="O166" s="25"/>
      <c r="P166" s="25"/>
      <c r="Q166" s="20" t="s">
        <v>1000</v>
      </c>
      <c r="R166" s="89" t="s">
        <v>974</v>
      </c>
      <c r="S166" s="89"/>
      <c r="T166" s="20" t="s">
        <v>1001</v>
      </c>
      <c r="U166" s="435">
        <v>2</v>
      </c>
      <c r="V166" s="435">
        <v>4</v>
      </c>
      <c r="W166" s="27"/>
      <c r="X166" s="27" t="s">
        <v>632</v>
      </c>
      <c r="Y166" s="27" t="s">
        <v>616</v>
      </c>
      <c r="Z166" s="27"/>
    </row>
    <row r="167" spans="1:26" s="1" customFormat="1" ht="101.45" hidden="1">
      <c r="A167" s="11" t="s">
        <v>305</v>
      </c>
      <c r="B167" s="139">
        <v>8</v>
      </c>
      <c r="C167" s="140" t="s">
        <v>932</v>
      </c>
      <c r="D167" s="141" t="s">
        <v>962</v>
      </c>
      <c r="E167" s="142" t="s">
        <v>963</v>
      </c>
      <c r="F167" s="88" t="s">
        <v>997</v>
      </c>
      <c r="G167" s="88" t="s">
        <v>998</v>
      </c>
      <c r="H167" s="88" t="s">
        <v>348</v>
      </c>
      <c r="I167" s="88" t="s">
        <v>570</v>
      </c>
      <c r="J167" s="20" t="str">
        <f t="shared" si="4"/>
        <v xml:space="preserve">Generar aliances entre el sector primari, el turisme, la restauració i altres per fomentar la gastronomia local </v>
      </c>
      <c r="K167" s="20"/>
      <c r="L167" s="20" t="s">
        <v>54</v>
      </c>
      <c r="M167" s="27" t="s">
        <v>368</v>
      </c>
      <c r="N167" s="393" t="s">
        <v>1002</v>
      </c>
      <c r="O167" s="25"/>
      <c r="P167" s="25"/>
      <c r="Q167" s="27" t="s">
        <v>363</v>
      </c>
      <c r="R167" s="89" t="s">
        <v>974</v>
      </c>
      <c r="S167" s="89"/>
      <c r="T167" s="25"/>
      <c r="U167" s="25"/>
      <c r="V167" s="25"/>
      <c r="W167" s="27"/>
      <c r="X167" s="27" t="s">
        <v>632</v>
      </c>
      <c r="Y167" s="27" t="s">
        <v>616</v>
      </c>
      <c r="Z167" s="27"/>
    </row>
    <row r="168" spans="1:26" s="1" customFormat="1" ht="101.45" hidden="1">
      <c r="A168" s="11" t="s">
        <v>305</v>
      </c>
      <c r="B168" s="139">
        <v>8</v>
      </c>
      <c r="C168" s="140" t="s">
        <v>932</v>
      </c>
      <c r="D168" s="141" t="s">
        <v>962</v>
      </c>
      <c r="E168" s="142" t="s">
        <v>963</v>
      </c>
      <c r="F168" s="88" t="s">
        <v>1003</v>
      </c>
      <c r="G168" s="88" t="s">
        <v>1004</v>
      </c>
      <c r="H168" s="88" t="s">
        <v>348</v>
      </c>
      <c r="I168" s="88" t="s">
        <v>570</v>
      </c>
      <c r="J168" s="205" t="s">
        <v>1005</v>
      </c>
      <c r="K168" s="20" t="s">
        <v>1006</v>
      </c>
      <c r="L168" s="20" t="s">
        <v>107</v>
      </c>
      <c r="M168" s="27" t="s">
        <v>368</v>
      </c>
      <c r="N168" s="331"/>
      <c r="O168" s="25"/>
      <c r="P168" s="25" t="s">
        <v>1005</v>
      </c>
      <c r="Q168" s="27"/>
      <c r="R168" s="89" t="s">
        <v>380</v>
      </c>
      <c r="S168" s="89"/>
      <c r="T168" s="25"/>
      <c r="U168" s="25"/>
      <c r="V168" s="25"/>
      <c r="W168" s="27"/>
      <c r="X168" s="27" t="s">
        <v>632</v>
      </c>
      <c r="Y168" s="27" t="s">
        <v>616</v>
      </c>
      <c r="Z168" s="27"/>
    </row>
    <row r="169" spans="1:26" s="1" customFormat="1" ht="101.45">
      <c r="A169" s="11" t="s">
        <v>305</v>
      </c>
      <c r="B169" s="139">
        <v>8</v>
      </c>
      <c r="C169" s="140" t="s">
        <v>932</v>
      </c>
      <c r="D169" s="141" t="s">
        <v>962</v>
      </c>
      <c r="E169" s="142" t="s">
        <v>963</v>
      </c>
      <c r="F169" s="88" t="s">
        <v>1007</v>
      </c>
      <c r="G169" s="88" t="s">
        <v>1008</v>
      </c>
      <c r="H169" s="88" t="s">
        <v>348</v>
      </c>
      <c r="I169" s="88" t="s">
        <v>570</v>
      </c>
      <c r="J169" s="20" t="str">
        <f>+G169</f>
        <v>Promoure els agents del territori que potencien i difonen els productes locals i de qualitat (artesanies, allotjaments, restaurants, cellers, establiments, elaboradors i productors) que afavoreixin la conservació</v>
      </c>
      <c r="K169" s="20"/>
      <c r="L169" s="20" t="s">
        <v>54</v>
      </c>
      <c r="M169" s="27" t="s">
        <v>712</v>
      </c>
      <c r="N169" s="393" t="s">
        <v>1009</v>
      </c>
      <c r="O169" s="25"/>
      <c r="P169" s="25"/>
      <c r="Q169" s="20" t="s">
        <v>1010</v>
      </c>
      <c r="R169" s="89"/>
      <c r="S169" s="89"/>
      <c r="T169" s="20" t="s">
        <v>1011</v>
      </c>
      <c r="U169" s="435" t="s">
        <v>1012</v>
      </c>
      <c r="V169" s="435">
        <v>4</v>
      </c>
      <c r="W169" s="27"/>
      <c r="X169" s="27" t="s">
        <v>632</v>
      </c>
      <c r="Y169" s="27" t="s">
        <v>1013</v>
      </c>
      <c r="Z169" s="27"/>
    </row>
    <row r="170" spans="1:26" s="1" customFormat="1" ht="101.45" hidden="1">
      <c r="A170" s="11" t="s">
        <v>305</v>
      </c>
      <c r="B170" s="139">
        <v>8</v>
      </c>
      <c r="C170" s="140" t="s">
        <v>932</v>
      </c>
      <c r="D170" s="141" t="s">
        <v>962</v>
      </c>
      <c r="E170" s="142" t="s">
        <v>963</v>
      </c>
      <c r="F170" s="88" t="s">
        <v>1007</v>
      </c>
      <c r="G170" s="88" t="s">
        <v>1008</v>
      </c>
      <c r="H170" s="88" t="s">
        <v>348</v>
      </c>
      <c r="I170" s="88" t="s">
        <v>570</v>
      </c>
      <c r="J170" s="20" t="str">
        <f>+G170</f>
        <v>Promoure els agents del territori que potencien i difonen els productes locals i de qualitat (artesanies, allotjaments, restaurants, cellers, establiments, elaboradors i productors) que afavoreixin la conservació</v>
      </c>
      <c r="K170" s="20"/>
      <c r="L170" s="20" t="s">
        <v>54</v>
      </c>
      <c r="M170" s="27" t="s">
        <v>712</v>
      </c>
      <c r="N170" s="393" t="s">
        <v>1014</v>
      </c>
      <c r="O170" s="25"/>
      <c r="P170" s="25"/>
      <c r="Q170" s="27" t="s">
        <v>363</v>
      </c>
      <c r="R170" s="209"/>
      <c r="S170" s="25"/>
      <c r="T170" s="25"/>
      <c r="U170" s="25"/>
      <c r="V170" s="25"/>
      <c r="W170" s="27"/>
      <c r="X170" s="27"/>
      <c r="Y170" s="27"/>
      <c r="Z170" s="27"/>
    </row>
    <row r="171" spans="1:26" s="1" customFormat="1" ht="101.45" hidden="1">
      <c r="A171" s="11" t="s">
        <v>305</v>
      </c>
      <c r="B171" s="139">
        <v>8</v>
      </c>
      <c r="C171" s="140" t="s">
        <v>932</v>
      </c>
      <c r="D171" s="141" t="s">
        <v>962</v>
      </c>
      <c r="E171" s="142" t="s">
        <v>963</v>
      </c>
      <c r="F171" s="88" t="s">
        <v>1007</v>
      </c>
      <c r="G171" s="88" t="s">
        <v>1008</v>
      </c>
      <c r="H171" s="88" t="s">
        <v>348</v>
      </c>
      <c r="I171" s="88" t="s">
        <v>570</v>
      </c>
      <c r="J171" s="205" t="s">
        <v>1015</v>
      </c>
      <c r="K171" s="20" t="s">
        <v>1016</v>
      </c>
      <c r="L171" s="20" t="s">
        <v>107</v>
      </c>
      <c r="M171" s="27" t="s">
        <v>712</v>
      </c>
      <c r="N171" s="393" t="s">
        <v>1017</v>
      </c>
      <c r="O171" s="25"/>
      <c r="P171" s="25"/>
      <c r="Q171" s="27" t="s">
        <v>363</v>
      </c>
      <c r="R171" s="209" t="s">
        <v>1018</v>
      </c>
      <c r="S171" s="25" t="s">
        <v>1019</v>
      </c>
      <c r="T171" s="25"/>
      <c r="U171" s="25"/>
      <c r="V171" s="25"/>
      <c r="W171" s="27"/>
      <c r="X171" s="27" t="s">
        <v>632</v>
      </c>
      <c r="Y171" s="27" t="s">
        <v>616</v>
      </c>
      <c r="Z171" s="27"/>
    </row>
    <row r="172" spans="1:26" s="1" customFormat="1" ht="101.45">
      <c r="A172" s="11" t="s">
        <v>305</v>
      </c>
      <c r="B172" s="139">
        <v>8</v>
      </c>
      <c r="C172" s="140" t="s">
        <v>932</v>
      </c>
      <c r="D172" s="141" t="s">
        <v>962</v>
      </c>
      <c r="E172" s="142" t="s">
        <v>963</v>
      </c>
      <c r="F172" s="88" t="s">
        <v>1020</v>
      </c>
      <c r="G172" s="88"/>
      <c r="H172" s="88"/>
      <c r="I172" s="88"/>
      <c r="J172" s="205" t="s">
        <v>1021</v>
      </c>
      <c r="K172" s="20" t="s">
        <v>1022</v>
      </c>
      <c r="L172" s="20" t="s">
        <v>54</v>
      </c>
      <c r="M172" s="27"/>
      <c r="N172" s="393" t="s">
        <v>1023</v>
      </c>
      <c r="O172" s="25"/>
      <c r="P172" s="25"/>
      <c r="Q172" s="20" t="s">
        <v>1024</v>
      </c>
      <c r="R172" s="89"/>
      <c r="S172" s="89"/>
      <c r="T172" s="20" t="s">
        <v>1025</v>
      </c>
      <c r="U172" s="438">
        <v>0.5</v>
      </c>
      <c r="V172" s="438">
        <v>0.9</v>
      </c>
      <c r="W172" s="27"/>
      <c r="X172" s="27" t="s">
        <v>632</v>
      </c>
      <c r="Y172" s="27" t="s">
        <v>616</v>
      </c>
      <c r="Z172" s="27"/>
    </row>
    <row r="173" spans="1:26" s="1" customFormat="1" ht="101.45" hidden="1">
      <c r="A173" s="11" t="s">
        <v>305</v>
      </c>
      <c r="B173" s="139">
        <v>8</v>
      </c>
      <c r="C173" s="140" t="s">
        <v>932</v>
      </c>
      <c r="D173" s="141" t="s">
        <v>962</v>
      </c>
      <c r="E173" s="142" t="s">
        <v>963</v>
      </c>
      <c r="F173" s="88" t="s">
        <v>1020</v>
      </c>
      <c r="G173" s="88"/>
      <c r="H173" s="88"/>
      <c r="I173" s="88"/>
      <c r="J173" s="205" t="s">
        <v>1021</v>
      </c>
      <c r="K173" s="20" t="s">
        <v>1022</v>
      </c>
      <c r="L173" s="20" t="s">
        <v>54</v>
      </c>
      <c r="M173" s="27"/>
      <c r="N173" s="393" t="s">
        <v>1026</v>
      </c>
      <c r="O173" s="25"/>
      <c r="P173" s="25"/>
      <c r="Q173" s="27" t="s">
        <v>363</v>
      </c>
      <c r="R173" s="89"/>
      <c r="S173" s="89"/>
      <c r="T173" s="25"/>
      <c r="U173" s="25"/>
      <c r="V173" s="25"/>
      <c r="W173" s="27"/>
      <c r="X173" s="27" t="s">
        <v>632</v>
      </c>
      <c r="Y173" s="27" t="s">
        <v>1013</v>
      </c>
      <c r="Z173" s="27"/>
    </row>
    <row r="174" spans="1:26" s="1" customFormat="1" ht="101.45">
      <c r="A174" s="11" t="s">
        <v>305</v>
      </c>
      <c r="B174" s="139">
        <v>8</v>
      </c>
      <c r="C174" s="140" t="s">
        <v>932</v>
      </c>
      <c r="D174" s="141" t="s">
        <v>962</v>
      </c>
      <c r="E174" s="142" t="s">
        <v>963</v>
      </c>
      <c r="F174" s="88" t="s">
        <v>1027</v>
      </c>
      <c r="G174" s="88"/>
      <c r="H174" s="88"/>
      <c r="I174" s="88"/>
      <c r="J174" s="205" t="s">
        <v>1028</v>
      </c>
      <c r="K174" s="80" t="s">
        <v>1029</v>
      </c>
      <c r="L174" s="20" t="s">
        <v>54</v>
      </c>
      <c r="M174" s="27"/>
      <c r="N174" s="393" t="s">
        <v>1030</v>
      </c>
      <c r="O174" s="25"/>
      <c r="P174" s="25"/>
      <c r="Q174" s="20" t="s">
        <v>1031</v>
      </c>
      <c r="R174" s="408" t="s">
        <v>1025</v>
      </c>
      <c r="S174" s="412">
        <v>0.5</v>
      </c>
      <c r="T174" s="20" t="s">
        <v>1025</v>
      </c>
      <c r="U174" s="438">
        <v>0.5</v>
      </c>
      <c r="V174" s="438">
        <v>0.9</v>
      </c>
      <c r="W174" s="27"/>
      <c r="X174" s="27" t="s">
        <v>632</v>
      </c>
      <c r="Y174" s="27" t="s">
        <v>616</v>
      </c>
      <c r="Z174" s="27"/>
    </row>
    <row r="175" spans="1:26" s="1" customFormat="1" ht="101.45" hidden="1">
      <c r="A175" s="11" t="s">
        <v>305</v>
      </c>
      <c r="B175" s="139">
        <v>8</v>
      </c>
      <c r="C175" s="140" t="s">
        <v>932</v>
      </c>
      <c r="D175" s="141" t="s">
        <v>962</v>
      </c>
      <c r="E175" s="142" t="s">
        <v>963</v>
      </c>
      <c r="F175" s="88" t="s">
        <v>1027</v>
      </c>
      <c r="G175" s="88"/>
      <c r="H175" s="88"/>
      <c r="I175" s="88"/>
      <c r="J175" s="205" t="s">
        <v>1028</v>
      </c>
      <c r="K175" s="80" t="s">
        <v>1029</v>
      </c>
      <c r="L175" s="20" t="s">
        <v>107</v>
      </c>
      <c r="M175" s="27"/>
      <c r="N175" s="393" t="s">
        <v>1032</v>
      </c>
      <c r="O175" s="25"/>
      <c r="P175" s="25"/>
      <c r="Q175" s="27" t="s">
        <v>363</v>
      </c>
      <c r="R175" s="89"/>
      <c r="S175" s="89"/>
      <c r="T175" s="25"/>
      <c r="U175" s="25"/>
      <c r="V175" s="25"/>
      <c r="W175" s="27"/>
      <c r="X175" s="27" t="s">
        <v>632</v>
      </c>
      <c r="Y175" s="27" t="s">
        <v>616</v>
      </c>
      <c r="Z175" s="27"/>
    </row>
    <row r="176" spans="1:26" s="1" customFormat="1" ht="101.45" hidden="1">
      <c r="A176" s="11" t="s">
        <v>305</v>
      </c>
      <c r="B176" s="139">
        <v>8</v>
      </c>
      <c r="C176" s="140" t="s">
        <v>932</v>
      </c>
      <c r="D176" s="141" t="s">
        <v>962</v>
      </c>
      <c r="E176" s="142" t="s">
        <v>963</v>
      </c>
      <c r="F176" s="88" t="s">
        <v>1027</v>
      </c>
      <c r="G176" s="88"/>
      <c r="H176" s="88"/>
      <c r="I176" s="88"/>
      <c r="J176" s="205" t="s">
        <v>1028</v>
      </c>
      <c r="K176" s="20"/>
      <c r="L176" s="20" t="s">
        <v>107</v>
      </c>
      <c r="M176" s="27"/>
      <c r="N176" s="393" t="s">
        <v>1033</v>
      </c>
      <c r="O176" s="25"/>
      <c r="P176" s="25"/>
      <c r="Q176" s="27" t="s">
        <v>363</v>
      </c>
      <c r="R176" s="89"/>
      <c r="S176" s="89"/>
      <c r="T176" s="25"/>
      <c r="U176" s="25"/>
      <c r="V176" s="25"/>
      <c r="W176" s="27"/>
      <c r="X176" s="27" t="s">
        <v>632</v>
      </c>
      <c r="Y176" s="27" t="s">
        <v>616</v>
      </c>
      <c r="Z176" s="27"/>
    </row>
    <row r="177" spans="1:26" s="1" customFormat="1" ht="203.1">
      <c r="A177" s="11" t="s">
        <v>305</v>
      </c>
      <c r="B177" s="139">
        <v>8</v>
      </c>
      <c r="C177" s="140" t="s">
        <v>932</v>
      </c>
      <c r="D177" s="137" t="s">
        <v>1034</v>
      </c>
      <c r="E177" s="138" t="s">
        <v>1035</v>
      </c>
      <c r="F177" s="88" t="s">
        <v>1036</v>
      </c>
      <c r="G177" s="88" t="s">
        <v>1037</v>
      </c>
      <c r="H177" s="88" t="s">
        <v>348</v>
      </c>
      <c r="I177" s="88" t="s">
        <v>377</v>
      </c>
      <c r="J177" s="205" t="s">
        <v>1038</v>
      </c>
      <c r="K177" s="20" t="s">
        <v>504</v>
      </c>
      <c r="L177" s="20" t="s">
        <v>54</v>
      </c>
      <c r="M177" s="27" t="s">
        <v>368</v>
      </c>
      <c r="N177" s="390" t="s">
        <v>1039</v>
      </c>
      <c r="O177" s="25"/>
      <c r="P177" s="25"/>
      <c r="Q177" s="20" t="s">
        <v>1040</v>
      </c>
      <c r="R177" s="89" t="s">
        <v>355</v>
      </c>
      <c r="S177" s="89"/>
      <c r="T177" s="20" t="s">
        <v>1041</v>
      </c>
      <c r="U177" s="435" t="s">
        <v>1042</v>
      </c>
      <c r="V177" s="435" t="s">
        <v>1043</v>
      </c>
      <c r="W177" s="27"/>
      <c r="X177" s="27" t="s">
        <v>360</v>
      </c>
      <c r="Y177" s="27" t="s">
        <v>361</v>
      </c>
      <c r="Z177" s="27"/>
    </row>
    <row r="178" spans="1:26" s="1" customFormat="1" ht="101.45" customHeight="1">
      <c r="A178" s="11" t="s">
        <v>305</v>
      </c>
      <c r="B178" s="139">
        <v>8</v>
      </c>
      <c r="C178" s="140" t="s">
        <v>932</v>
      </c>
      <c r="D178" s="137" t="s">
        <v>1034</v>
      </c>
      <c r="E178" s="138" t="s">
        <v>1035</v>
      </c>
      <c r="F178" s="88" t="s">
        <v>1036</v>
      </c>
      <c r="G178" s="88" t="s">
        <v>1037</v>
      </c>
      <c r="H178" s="88" t="s">
        <v>348</v>
      </c>
      <c r="I178" s="88" t="s">
        <v>377</v>
      </c>
      <c r="J178" s="205" t="s">
        <v>1038</v>
      </c>
      <c r="K178" s="20" t="s">
        <v>504</v>
      </c>
      <c r="L178" s="20" t="s">
        <v>54</v>
      </c>
      <c r="M178" s="27" t="s">
        <v>368</v>
      </c>
      <c r="N178" s="390" t="s">
        <v>1044</v>
      </c>
      <c r="O178" s="25"/>
      <c r="P178" s="25"/>
      <c r="Q178" s="27" t="s">
        <v>1045</v>
      </c>
      <c r="R178" s="89"/>
      <c r="S178" s="89"/>
      <c r="T178" s="20"/>
      <c r="U178" s="20"/>
      <c r="V178" s="20"/>
      <c r="W178" s="27"/>
      <c r="X178" s="27" t="s">
        <v>360</v>
      </c>
      <c r="Y178" s="27" t="s">
        <v>361</v>
      </c>
      <c r="Z178" s="27"/>
    </row>
    <row r="179" spans="1:26" s="1" customFormat="1" ht="101.45" customHeight="1">
      <c r="A179" s="11" t="s">
        <v>305</v>
      </c>
      <c r="B179" s="139">
        <v>8</v>
      </c>
      <c r="C179" s="140" t="s">
        <v>932</v>
      </c>
      <c r="D179" s="137" t="s">
        <v>1034</v>
      </c>
      <c r="E179" s="138" t="s">
        <v>1035</v>
      </c>
      <c r="F179" s="88" t="s">
        <v>1036</v>
      </c>
      <c r="G179" s="88" t="s">
        <v>1037</v>
      </c>
      <c r="H179" s="88" t="s">
        <v>348</v>
      </c>
      <c r="I179" s="88" t="s">
        <v>377</v>
      </c>
      <c r="J179" s="205" t="s">
        <v>1038</v>
      </c>
      <c r="K179" s="20" t="s">
        <v>504</v>
      </c>
      <c r="L179" s="20" t="s">
        <v>54</v>
      </c>
      <c r="M179" s="27" t="s">
        <v>368</v>
      </c>
      <c r="N179" s="390" t="s">
        <v>1046</v>
      </c>
      <c r="O179" s="25"/>
      <c r="P179" s="25"/>
      <c r="Q179" s="27" t="s">
        <v>1047</v>
      </c>
      <c r="R179" s="89"/>
      <c r="S179" s="89"/>
      <c r="T179" s="20"/>
      <c r="U179" s="20"/>
      <c r="V179" s="20"/>
      <c r="W179" s="27"/>
      <c r="X179" s="27" t="s">
        <v>360</v>
      </c>
      <c r="Y179" s="27" t="s">
        <v>361</v>
      </c>
      <c r="Z179" s="27"/>
    </row>
    <row r="180" spans="1:26" s="1" customFormat="1" ht="101.45" customHeight="1">
      <c r="A180" s="11" t="s">
        <v>305</v>
      </c>
      <c r="B180" s="139">
        <v>8</v>
      </c>
      <c r="C180" s="140" t="s">
        <v>932</v>
      </c>
      <c r="D180" s="137" t="s">
        <v>1034</v>
      </c>
      <c r="E180" s="138" t="s">
        <v>1035</v>
      </c>
      <c r="F180" s="88" t="s">
        <v>1036</v>
      </c>
      <c r="G180" s="88" t="s">
        <v>1037</v>
      </c>
      <c r="H180" s="88" t="s">
        <v>348</v>
      </c>
      <c r="I180" s="88" t="s">
        <v>377</v>
      </c>
      <c r="J180" s="205" t="s">
        <v>1038</v>
      </c>
      <c r="K180" s="20" t="s">
        <v>504</v>
      </c>
      <c r="L180" s="20" t="s">
        <v>54</v>
      </c>
      <c r="M180" s="27" t="s">
        <v>368</v>
      </c>
      <c r="N180" s="401" t="s">
        <v>1048</v>
      </c>
      <c r="O180" s="25"/>
      <c r="P180" s="25"/>
      <c r="Q180" s="27" t="s">
        <v>1049</v>
      </c>
      <c r="R180" s="89"/>
      <c r="S180" s="89"/>
      <c r="T180" s="20"/>
      <c r="U180" s="20"/>
      <c r="V180" s="20"/>
      <c r="W180" s="27"/>
      <c r="X180" s="27"/>
      <c r="Y180" s="27"/>
      <c r="Z180" s="27"/>
    </row>
    <row r="181" spans="1:26" s="1" customFormat="1" ht="101.45" hidden="1">
      <c r="A181" s="11" t="s">
        <v>305</v>
      </c>
      <c r="B181" s="139">
        <v>8</v>
      </c>
      <c r="C181" s="140" t="s">
        <v>932</v>
      </c>
      <c r="D181" s="141" t="s">
        <v>1034</v>
      </c>
      <c r="E181" s="142" t="s">
        <v>1035</v>
      </c>
      <c r="F181" s="88" t="s">
        <v>1050</v>
      </c>
      <c r="G181" s="88" t="s">
        <v>1051</v>
      </c>
      <c r="H181" s="88" t="s">
        <v>348</v>
      </c>
      <c r="I181" s="88" t="s">
        <v>377</v>
      </c>
      <c r="J181" s="20" t="s">
        <v>1051</v>
      </c>
      <c r="K181" s="20" t="s">
        <v>1052</v>
      </c>
      <c r="L181" s="214" t="s">
        <v>107</v>
      </c>
      <c r="M181" s="27" t="s">
        <v>352</v>
      </c>
      <c r="N181" s="27"/>
      <c r="O181" s="25"/>
      <c r="P181" s="25"/>
      <c r="Q181" s="27" t="s">
        <v>363</v>
      </c>
      <c r="R181" s="89" t="s">
        <v>355</v>
      </c>
      <c r="S181" s="89"/>
      <c r="T181" s="25"/>
      <c r="U181" s="25"/>
      <c r="V181" s="25"/>
      <c r="W181" s="27"/>
      <c r="X181" s="27"/>
      <c r="Y181" s="27"/>
      <c r="Z181" s="27"/>
    </row>
    <row r="182" spans="1:26" s="1" customFormat="1" ht="101.45">
      <c r="A182" s="11" t="s">
        <v>305</v>
      </c>
      <c r="B182" s="139">
        <v>8</v>
      </c>
      <c r="C182" s="140" t="s">
        <v>932</v>
      </c>
      <c r="D182" s="141" t="s">
        <v>1034</v>
      </c>
      <c r="E182" s="142" t="s">
        <v>1035</v>
      </c>
      <c r="F182" s="88" t="s">
        <v>1053</v>
      </c>
      <c r="G182" s="88" t="s">
        <v>1054</v>
      </c>
      <c r="H182" s="88" t="s">
        <v>348</v>
      </c>
      <c r="I182" s="88" t="s">
        <v>377</v>
      </c>
      <c r="J182" s="205" t="s">
        <v>1055</v>
      </c>
      <c r="K182" s="20" t="s">
        <v>504</v>
      </c>
      <c r="L182" s="20" t="s">
        <v>54</v>
      </c>
      <c r="M182" s="27" t="s">
        <v>368</v>
      </c>
      <c r="N182" s="389" t="s">
        <v>1056</v>
      </c>
      <c r="O182" s="25"/>
      <c r="P182" s="25"/>
      <c r="Q182" s="20" t="s">
        <v>1057</v>
      </c>
      <c r="R182" s="89"/>
      <c r="S182" s="89"/>
      <c r="T182" s="20" t="s">
        <v>1058</v>
      </c>
      <c r="U182" s="438">
        <v>1</v>
      </c>
      <c r="V182" s="438">
        <v>1</v>
      </c>
      <c r="W182" s="27"/>
      <c r="X182" s="27" t="s">
        <v>360</v>
      </c>
      <c r="Y182" s="27" t="s">
        <v>361</v>
      </c>
      <c r="Z182" s="27"/>
    </row>
    <row r="183" spans="1:26" s="1" customFormat="1" ht="174">
      <c r="A183" s="11" t="s">
        <v>305</v>
      </c>
      <c r="B183" s="134">
        <v>9</v>
      </c>
      <c r="C183" s="12" t="s">
        <v>1059</v>
      </c>
      <c r="D183" s="137" t="s">
        <v>1060</v>
      </c>
      <c r="E183" s="138" t="s">
        <v>1061</v>
      </c>
      <c r="F183" s="88" t="s">
        <v>1062</v>
      </c>
      <c r="G183" s="88" t="s">
        <v>1063</v>
      </c>
      <c r="H183" s="88" t="s">
        <v>348</v>
      </c>
      <c r="I183" s="88" t="s">
        <v>570</v>
      </c>
      <c r="J183" s="20" t="s">
        <v>1063</v>
      </c>
      <c r="K183" s="20"/>
      <c r="L183" s="20" t="s">
        <v>54</v>
      </c>
      <c r="M183" s="27" t="s">
        <v>378</v>
      </c>
      <c r="N183" s="389" t="s">
        <v>1064</v>
      </c>
      <c r="O183" s="25"/>
      <c r="P183" s="25"/>
      <c r="Q183" s="20" t="s">
        <v>1065</v>
      </c>
      <c r="R183" s="89" t="s">
        <v>380</v>
      </c>
      <c r="S183" s="89"/>
      <c r="T183" s="20" t="s">
        <v>1066</v>
      </c>
      <c r="U183" s="435" t="s">
        <v>1067</v>
      </c>
      <c r="V183" s="435" t="s">
        <v>1068</v>
      </c>
      <c r="W183" s="27"/>
      <c r="X183" s="27" t="s">
        <v>632</v>
      </c>
      <c r="Y183" s="27" t="s">
        <v>616</v>
      </c>
      <c r="Z183" s="27"/>
    </row>
    <row r="184" spans="1:26" s="1" customFormat="1" ht="57.95" hidden="1" customHeight="1">
      <c r="A184" s="11" t="s">
        <v>305</v>
      </c>
      <c r="B184" s="139">
        <v>9</v>
      </c>
      <c r="C184" s="140" t="s">
        <v>1059</v>
      </c>
      <c r="D184" s="141" t="s">
        <v>1060</v>
      </c>
      <c r="E184" s="142" t="s">
        <v>1061</v>
      </c>
      <c r="F184" s="88" t="s">
        <v>1062</v>
      </c>
      <c r="G184" s="88" t="s">
        <v>1063</v>
      </c>
      <c r="H184" s="88" t="s">
        <v>348</v>
      </c>
      <c r="I184" s="88" t="s">
        <v>570</v>
      </c>
      <c r="J184" s="20" t="s">
        <v>1063</v>
      </c>
      <c r="K184" s="20"/>
      <c r="L184" s="20" t="s">
        <v>54</v>
      </c>
      <c r="M184" s="27" t="s">
        <v>378</v>
      </c>
      <c r="N184" s="389" t="s">
        <v>1069</v>
      </c>
      <c r="O184" s="25"/>
      <c r="P184" s="25"/>
      <c r="Q184" s="27" t="s">
        <v>363</v>
      </c>
      <c r="R184" s="89" t="s">
        <v>380</v>
      </c>
      <c r="S184" s="89"/>
      <c r="T184" s="25"/>
      <c r="U184" s="25"/>
      <c r="V184" s="25"/>
      <c r="W184" s="27"/>
      <c r="X184" s="27" t="s">
        <v>632</v>
      </c>
      <c r="Y184" s="27" t="s">
        <v>616</v>
      </c>
      <c r="Z184" s="27"/>
    </row>
    <row r="185" spans="1:26" s="1" customFormat="1" ht="43.5" hidden="1" customHeight="1">
      <c r="A185" s="11" t="s">
        <v>305</v>
      </c>
      <c r="B185" s="139">
        <v>9</v>
      </c>
      <c r="C185" s="140" t="s">
        <v>1059</v>
      </c>
      <c r="D185" s="141" t="s">
        <v>1060</v>
      </c>
      <c r="E185" s="142" t="s">
        <v>1061</v>
      </c>
      <c r="F185" s="88" t="s">
        <v>1062</v>
      </c>
      <c r="G185" s="88" t="s">
        <v>1063</v>
      </c>
      <c r="H185" s="88" t="s">
        <v>348</v>
      </c>
      <c r="I185" s="88" t="s">
        <v>570</v>
      </c>
      <c r="J185" s="20" t="s">
        <v>1063</v>
      </c>
      <c r="K185" s="20"/>
      <c r="L185" s="20" t="s">
        <v>54</v>
      </c>
      <c r="M185" s="27" t="s">
        <v>378</v>
      </c>
      <c r="N185" s="389" t="s">
        <v>1070</v>
      </c>
      <c r="O185" s="25"/>
      <c r="P185" s="25"/>
      <c r="Q185" s="27" t="s">
        <v>363</v>
      </c>
      <c r="R185" s="89" t="s">
        <v>380</v>
      </c>
      <c r="S185" s="89"/>
      <c r="T185" s="25"/>
      <c r="U185" s="25"/>
      <c r="V185" s="25"/>
      <c r="W185" s="27"/>
      <c r="X185" s="27" t="s">
        <v>632</v>
      </c>
      <c r="Y185" s="27" t="s">
        <v>616</v>
      </c>
      <c r="Z185" s="27"/>
    </row>
    <row r="186" spans="1:26" s="1" customFormat="1" ht="43.5" hidden="1" customHeight="1">
      <c r="A186" s="11" t="s">
        <v>305</v>
      </c>
      <c r="B186" s="139">
        <v>9</v>
      </c>
      <c r="C186" s="140" t="s">
        <v>1059</v>
      </c>
      <c r="D186" s="141" t="s">
        <v>1060</v>
      </c>
      <c r="E186" s="142" t="s">
        <v>1061</v>
      </c>
      <c r="F186" s="88" t="s">
        <v>1062</v>
      </c>
      <c r="G186" s="88" t="s">
        <v>1063</v>
      </c>
      <c r="H186" s="88" t="s">
        <v>348</v>
      </c>
      <c r="I186" s="88" t="s">
        <v>570</v>
      </c>
      <c r="J186" s="20" t="s">
        <v>1063</v>
      </c>
      <c r="K186" s="20"/>
      <c r="L186" s="20" t="s">
        <v>107</v>
      </c>
      <c r="M186" s="27" t="s">
        <v>378</v>
      </c>
      <c r="N186" s="389" t="s">
        <v>1071</v>
      </c>
      <c r="O186" s="25"/>
      <c r="P186" s="25"/>
      <c r="Q186" s="27" t="s">
        <v>363</v>
      </c>
      <c r="R186" s="89" t="s">
        <v>380</v>
      </c>
      <c r="S186" s="89"/>
      <c r="T186" s="25"/>
      <c r="U186" s="25"/>
      <c r="V186" s="25"/>
      <c r="W186" s="27"/>
      <c r="X186" s="27" t="s">
        <v>632</v>
      </c>
      <c r="Y186" s="27" t="s">
        <v>616</v>
      </c>
      <c r="Z186" s="27"/>
    </row>
    <row r="187" spans="1:26" s="1" customFormat="1" ht="43.5" hidden="1">
      <c r="A187" s="11" t="s">
        <v>305</v>
      </c>
      <c r="B187" s="139">
        <v>9</v>
      </c>
      <c r="C187" s="140" t="s">
        <v>1059</v>
      </c>
      <c r="D187" s="141" t="s">
        <v>1060</v>
      </c>
      <c r="E187" s="142" t="s">
        <v>1061</v>
      </c>
      <c r="F187" s="88" t="s">
        <v>1062</v>
      </c>
      <c r="G187" s="88" t="s">
        <v>1063</v>
      </c>
      <c r="H187" s="88" t="s">
        <v>348</v>
      </c>
      <c r="I187" s="88" t="s">
        <v>570</v>
      </c>
      <c r="J187" s="20" t="s">
        <v>1063</v>
      </c>
      <c r="K187" s="20"/>
      <c r="L187" s="20" t="s">
        <v>54</v>
      </c>
      <c r="M187" s="27" t="s">
        <v>378</v>
      </c>
      <c r="N187" s="389" t="s">
        <v>1072</v>
      </c>
      <c r="O187" s="25"/>
      <c r="P187" s="25"/>
      <c r="Q187" s="27" t="s">
        <v>363</v>
      </c>
      <c r="R187" s="89" t="s">
        <v>380</v>
      </c>
      <c r="S187" s="89"/>
      <c r="T187" s="25"/>
      <c r="U187" s="25"/>
      <c r="V187" s="25"/>
      <c r="W187" s="27"/>
      <c r="X187" s="27" t="s">
        <v>632</v>
      </c>
      <c r="Y187" s="27" t="s">
        <v>616</v>
      </c>
      <c r="Z187" s="27"/>
    </row>
    <row r="188" spans="1:26" s="1" customFormat="1" ht="43.5" hidden="1">
      <c r="A188" s="11" t="s">
        <v>305</v>
      </c>
      <c r="B188" s="139">
        <v>9</v>
      </c>
      <c r="C188" s="140" t="s">
        <v>1059</v>
      </c>
      <c r="D188" s="141" t="s">
        <v>1060</v>
      </c>
      <c r="E188" s="142" t="s">
        <v>1061</v>
      </c>
      <c r="F188" s="88" t="s">
        <v>1062</v>
      </c>
      <c r="G188" s="88" t="s">
        <v>1063</v>
      </c>
      <c r="H188" s="88" t="s">
        <v>348</v>
      </c>
      <c r="I188" s="88" t="s">
        <v>570</v>
      </c>
      <c r="J188" s="20" t="s">
        <v>1063</v>
      </c>
      <c r="K188" s="20"/>
      <c r="L188" s="20" t="s">
        <v>54</v>
      </c>
      <c r="M188" s="27" t="s">
        <v>378</v>
      </c>
      <c r="N188" s="389" t="s">
        <v>1073</v>
      </c>
      <c r="O188" s="25"/>
      <c r="P188" s="25"/>
      <c r="Q188" s="27" t="s">
        <v>363</v>
      </c>
      <c r="R188" s="89" t="s">
        <v>380</v>
      </c>
      <c r="S188" s="89"/>
      <c r="T188" s="25"/>
      <c r="U188" s="25"/>
      <c r="V188" s="25"/>
      <c r="W188" s="27"/>
      <c r="X188" s="27" t="s">
        <v>632</v>
      </c>
      <c r="Y188" s="27" t="s">
        <v>616</v>
      </c>
      <c r="Z188" s="27"/>
    </row>
    <row r="189" spans="1:26" s="1" customFormat="1" ht="43.5" hidden="1">
      <c r="A189" s="11" t="s">
        <v>305</v>
      </c>
      <c r="B189" s="139">
        <v>9</v>
      </c>
      <c r="C189" s="140" t="s">
        <v>1059</v>
      </c>
      <c r="D189" s="141" t="s">
        <v>1060</v>
      </c>
      <c r="E189" s="142" t="s">
        <v>1061</v>
      </c>
      <c r="F189" s="88" t="s">
        <v>1062</v>
      </c>
      <c r="G189" s="88" t="s">
        <v>1063</v>
      </c>
      <c r="H189" s="88" t="s">
        <v>348</v>
      </c>
      <c r="I189" s="88" t="s">
        <v>570</v>
      </c>
      <c r="J189" s="20" t="s">
        <v>1063</v>
      </c>
      <c r="K189" s="20"/>
      <c r="L189" s="20" t="s">
        <v>54</v>
      </c>
      <c r="M189" s="27" t="s">
        <v>378</v>
      </c>
      <c r="N189" s="389" t="s">
        <v>1074</v>
      </c>
      <c r="O189" s="25"/>
      <c r="P189" s="25"/>
      <c r="Q189" s="27" t="s">
        <v>363</v>
      </c>
      <c r="R189" s="89" t="s">
        <v>380</v>
      </c>
      <c r="S189" s="89"/>
      <c r="T189" s="25"/>
      <c r="U189" s="25"/>
      <c r="V189" s="25"/>
      <c r="W189" s="27"/>
      <c r="X189" s="27" t="s">
        <v>632</v>
      </c>
      <c r="Y189" s="27" t="s">
        <v>727</v>
      </c>
      <c r="Z189" s="27"/>
    </row>
    <row r="190" spans="1:26" s="1" customFormat="1" ht="57.95" hidden="1">
      <c r="A190" s="11" t="s">
        <v>305</v>
      </c>
      <c r="B190" s="139">
        <v>9</v>
      </c>
      <c r="C190" s="140" t="s">
        <v>1059</v>
      </c>
      <c r="D190" s="141" t="s">
        <v>1060</v>
      </c>
      <c r="E190" s="142" t="s">
        <v>1061</v>
      </c>
      <c r="F190" s="88" t="s">
        <v>1062</v>
      </c>
      <c r="G190" s="88" t="s">
        <v>1063</v>
      </c>
      <c r="H190" s="88" t="s">
        <v>348</v>
      </c>
      <c r="I190" s="88" t="s">
        <v>570</v>
      </c>
      <c r="J190" s="20" t="str">
        <f>G190</f>
        <v>Desplegar la Carta Europea de Turisme Sostenible (CETS)</v>
      </c>
      <c r="K190" s="20"/>
      <c r="L190" s="20" t="s">
        <v>54</v>
      </c>
      <c r="M190" s="27" t="s">
        <v>378</v>
      </c>
      <c r="N190" s="389" t="s">
        <v>1075</v>
      </c>
      <c r="O190" s="25"/>
      <c r="P190" s="25"/>
      <c r="Q190" s="27" t="s">
        <v>363</v>
      </c>
      <c r="R190" s="89" t="s">
        <v>380</v>
      </c>
      <c r="S190" s="89"/>
      <c r="T190" s="25"/>
      <c r="U190" s="25"/>
      <c r="V190" s="25"/>
      <c r="W190" s="27"/>
      <c r="X190" s="27" t="s">
        <v>632</v>
      </c>
      <c r="Y190" s="27" t="s">
        <v>1013</v>
      </c>
      <c r="Z190" s="27"/>
    </row>
    <row r="191" spans="1:26" s="1" customFormat="1" ht="43.5" hidden="1">
      <c r="A191" s="11" t="s">
        <v>305</v>
      </c>
      <c r="B191" s="139">
        <v>9</v>
      </c>
      <c r="C191" s="140" t="s">
        <v>1059</v>
      </c>
      <c r="D191" s="141" t="s">
        <v>1060</v>
      </c>
      <c r="E191" s="142" t="s">
        <v>1061</v>
      </c>
      <c r="F191" s="88" t="s">
        <v>1062</v>
      </c>
      <c r="G191" s="88" t="s">
        <v>1063</v>
      </c>
      <c r="H191" s="88" t="s">
        <v>348</v>
      </c>
      <c r="I191" s="88" t="s">
        <v>570</v>
      </c>
      <c r="J191" s="20" t="s">
        <v>1063</v>
      </c>
      <c r="K191" s="20"/>
      <c r="L191" s="20" t="s">
        <v>54</v>
      </c>
      <c r="M191" s="27"/>
      <c r="N191" s="389" t="s">
        <v>1076</v>
      </c>
      <c r="O191" s="25"/>
      <c r="P191" s="25"/>
      <c r="Q191" s="27" t="s">
        <v>363</v>
      </c>
      <c r="R191" s="89"/>
      <c r="S191" s="89"/>
      <c r="T191" s="25"/>
      <c r="U191" s="25"/>
      <c r="V191" s="25"/>
      <c r="W191" s="27"/>
      <c r="X191" s="27" t="s">
        <v>632</v>
      </c>
      <c r="Y191" s="27" t="s">
        <v>616</v>
      </c>
      <c r="Z191" s="27"/>
    </row>
    <row r="192" spans="1:26" s="1" customFormat="1" ht="43.5" hidden="1">
      <c r="A192" s="11" t="s">
        <v>305</v>
      </c>
      <c r="B192" s="139">
        <v>9</v>
      </c>
      <c r="C192" s="140" t="s">
        <v>1059</v>
      </c>
      <c r="D192" s="141" t="s">
        <v>1060</v>
      </c>
      <c r="E192" s="142" t="s">
        <v>1061</v>
      </c>
      <c r="F192" s="88" t="s">
        <v>1077</v>
      </c>
      <c r="G192" s="88" t="s">
        <v>1078</v>
      </c>
      <c r="H192" s="88" t="s">
        <v>348</v>
      </c>
      <c r="I192" s="88" t="s">
        <v>570</v>
      </c>
      <c r="J192" s="20" t="s">
        <v>1078</v>
      </c>
      <c r="K192" s="20" t="s">
        <v>1079</v>
      </c>
      <c r="L192" s="214" t="s">
        <v>107</v>
      </c>
      <c r="M192" s="27" t="s">
        <v>368</v>
      </c>
      <c r="N192" s="27"/>
      <c r="O192" s="25"/>
      <c r="P192" s="25"/>
      <c r="Q192" s="27" t="s">
        <v>363</v>
      </c>
      <c r="R192" s="89"/>
      <c r="S192" s="89"/>
      <c r="T192" s="25"/>
      <c r="U192" s="25"/>
      <c r="V192" s="25"/>
      <c r="W192" s="27"/>
      <c r="X192" s="27"/>
      <c r="Y192" s="27"/>
      <c r="Z192" s="27"/>
    </row>
    <row r="193" spans="1:26" s="1" customFormat="1" ht="72.599999999999994" hidden="1">
      <c r="A193" s="11" t="s">
        <v>305</v>
      </c>
      <c r="B193" s="139">
        <v>9</v>
      </c>
      <c r="C193" s="140" t="s">
        <v>1059</v>
      </c>
      <c r="D193" s="141" t="s">
        <v>1060</v>
      </c>
      <c r="E193" s="142" t="s">
        <v>1061</v>
      </c>
      <c r="F193" s="88" t="s">
        <v>1080</v>
      </c>
      <c r="G193" s="88" t="s">
        <v>1081</v>
      </c>
      <c r="H193" s="372" t="s">
        <v>348</v>
      </c>
      <c r="I193" s="372" t="s">
        <v>570</v>
      </c>
      <c r="J193" s="373" t="str">
        <f>G193</f>
        <v>Fomentar la creació d'allotjaments i altres recursos turístics d'acord amb les necessitats i els agents turístics del territori que es vinculin als valors naturals de l'espai</v>
      </c>
      <c r="K193" s="20"/>
      <c r="L193" s="20" t="s">
        <v>107</v>
      </c>
      <c r="M193" s="27"/>
      <c r="N193" s="331"/>
      <c r="O193" s="25"/>
      <c r="P193" s="25" t="s">
        <v>1081</v>
      </c>
      <c r="Q193" s="27"/>
      <c r="R193" s="89"/>
      <c r="S193" s="89"/>
      <c r="T193" s="25"/>
      <c r="U193" s="25"/>
      <c r="V193" s="25"/>
      <c r="W193" s="27"/>
      <c r="X193" s="27" t="s">
        <v>632</v>
      </c>
      <c r="Y193" s="27" t="s">
        <v>616</v>
      </c>
      <c r="Z193" s="27"/>
    </row>
    <row r="194" spans="1:26" s="1" customFormat="1" ht="144.94999999999999">
      <c r="A194" s="11" t="s">
        <v>305</v>
      </c>
      <c r="B194" s="139">
        <v>9</v>
      </c>
      <c r="C194" s="140" t="s">
        <v>1059</v>
      </c>
      <c r="D194" s="137" t="s">
        <v>1082</v>
      </c>
      <c r="E194" s="138" t="s">
        <v>1083</v>
      </c>
      <c r="F194" s="88" t="s">
        <v>1084</v>
      </c>
      <c r="G194" s="88" t="s">
        <v>1085</v>
      </c>
      <c r="H194" s="88" t="s">
        <v>348</v>
      </c>
      <c r="I194" s="88" t="s">
        <v>570</v>
      </c>
      <c r="J194" s="20" t="s">
        <v>1086</v>
      </c>
      <c r="K194" s="20" t="s">
        <v>1087</v>
      </c>
      <c r="L194" s="20" t="s">
        <v>54</v>
      </c>
      <c r="M194" s="27" t="s">
        <v>368</v>
      </c>
      <c r="N194" s="393" t="s">
        <v>1088</v>
      </c>
      <c r="O194" s="25"/>
      <c r="P194" s="25"/>
      <c r="Q194" s="20" t="s">
        <v>1089</v>
      </c>
      <c r="R194" s="89" t="s">
        <v>380</v>
      </c>
      <c r="S194" s="89"/>
      <c r="T194" s="20" t="s">
        <v>1090</v>
      </c>
      <c r="U194" s="435" t="s">
        <v>1091</v>
      </c>
      <c r="V194" s="435" t="s">
        <v>667</v>
      </c>
      <c r="W194" s="27"/>
      <c r="X194" s="338" t="s">
        <v>471</v>
      </c>
      <c r="Y194" s="338" t="s">
        <v>472</v>
      </c>
      <c r="Z194" s="27"/>
    </row>
    <row r="195" spans="1:26" s="1" customFormat="1" ht="43.5" hidden="1">
      <c r="A195" s="11" t="s">
        <v>305</v>
      </c>
      <c r="B195" s="139">
        <v>9</v>
      </c>
      <c r="C195" s="140" t="s">
        <v>1059</v>
      </c>
      <c r="D195" s="141" t="s">
        <v>1082</v>
      </c>
      <c r="E195" s="142" t="s">
        <v>1083</v>
      </c>
      <c r="F195" s="88" t="s">
        <v>1084</v>
      </c>
      <c r="G195" s="88" t="s">
        <v>1085</v>
      </c>
      <c r="H195" s="88" t="s">
        <v>348</v>
      </c>
      <c r="I195" s="88" t="s">
        <v>570</v>
      </c>
      <c r="J195" s="20" t="s">
        <v>1086</v>
      </c>
      <c r="K195" s="20" t="s">
        <v>1087</v>
      </c>
      <c r="L195" s="20" t="s">
        <v>107</v>
      </c>
      <c r="M195" s="27" t="s">
        <v>368</v>
      </c>
      <c r="N195" s="393" t="s">
        <v>1092</v>
      </c>
      <c r="O195" s="25"/>
      <c r="P195" s="25"/>
      <c r="Q195" s="27" t="s">
        <v>363</v>
      </c>
      <c r="R195" s="89" t="s">
        <v>380</v>
      </c>
      <c r="S195" s="89"/>
      <c r="T195" s="25"/>
      <c r="U195" s="25"/>
      <c r="V195" s="25"/>
      <c r="W195" s="27"/>
      <c r="X195" s="27" t="s">
        <v>632</v>
      </c>
      <c r="Y195" s="27" t="s">
        <v>616</v>
      </c>
      <c r="Z195" s="27"/>
    </row>
    <row r="196" spans="1:26" s="1" customFormat="1" ht="116.1">
      <c r="A196" s="11" t="s">
        <v>305</v>
      </c>
      <c r="B196" s="139">
        <v>9</v>
      </c>
      <c r="C196" s="140" t="s">
        <v>1059</v>
      </c>
      <c r="D196" s="141" t="s">
        <v>1082</v>
      </c>
      <c r="E196" s="142" t="s">
        <v>1083</v>
      </c>
      <c r="F196" s="88" t="s">
        <v>1093</v>
      </c>
      <c r="G196" s="88" t="s">
        <v>1094</v>
      </c>
      <c r="H196" s="88" t="s">
        <v>348</v>
      </c>
      <c r="I196" s="88" t="s">
        <v>570</v>
      </c>
      <c r="J196" s="20" t="str">
        <f>+G196</f>
        <v>Crear productes i paquets turístics amb associacions d’empreses turístiques i operadors turístics</v>
      </c>
      <c r="K196" s="20"/>
      <c r="L196" s="20" t="s">
        <v>107</v>
      </c>
      <c r="M196" s="27" t="s">
        <v>368</v>
      </c>
      <c r="N196" s="393" t="s">
        <v>1095</v>
      </c>
      <c r="O196" s="25"/>
      <c r="P196" s="25"/>
      <c r="Q196" s="27" t="s">
        <v>1096</v>
      </c>
      <c r="R196" s="89" t="s">
        <v>380</v>
      </c>
      <c r="S196" s="89"/>
      <c r="T196" s="25"/>
      <c r="U196" s="25"/>
      <c r="V196" s="25"/>
      <c r="W196" s="27"/>
      <c r="X196" s="27" t="s">
        <v>632</v>
      </c>
      <c r="Y196" s="27" t="s">
        <v>616</v>
      </c>
      <c r="Z196" s="27"/>
    </row>
    <row r="197" spans="1:26" s="1" customFormat="1" ht="43.5" hidden="1">
      <c r="A197" s="11" t="s">
        <v>305</v>
      </c>
      <c r="B197" s="139">
        <v>9</v>
      </c>
      <c r="C197" s="140" t="s">
        <v>1059</v>
      </c>
      <c r="D197" s="141" t="s">
        <v>1082</v>
      </c>
      <c r="E197" s="142" t="s">
        <v>1083</v>
      </c>
      <c r="F197" s="88" t="s">
        <v>1093</v>
      </c>
      <c r="G197" s="88" t="s">
        <v>1094</v>
      </c>
      <c r="H197" s="88" t="s">
        <v>348</v>
      </c>
      <c r="I197" s="88" t="s">
        <v>570</v>
      </c>
      <c r="J197" s="20" t="str">
        <f>+G197</f>
        <v>Crear productes i paquets turístics amb associacions d’empreses turístiques i operadors turístics</v>
      </c>
      <c r="K197" s="20"/>
      <c r="L197" s="20" t="s">
        <v>54</v>
      </c>
      <c r="M197" s="27" t="s">
        <v>368</v>
      </c>
      <c r="N197" s="393" t="s">
        <v>1097</v>
      </c>
      <c r="O197" s="25"/>
      <c r="P197" s="25"/>
      <c r="Q197" s="27" t="s">
        <v>363</v>
      </c>
      <c r="R197" s="89" t="s">
        <v>380</v>
      </c>
      <c r="S197" s="89"/>
      <c r="T197" s="25"/>
      <c r="U197" s="25"/>
      <c r="V197" s="25"/>
      <c r="W197" s="27"/>
      <c r="X197" s="27" t="s">
        <v>632</v>
      </c>
      <c r="Y197" s="27" t="s">
        <v>616</v>
      </c>
      <c r="Z197" s="27"/>
    </row>
    <row r="198" spans="1:26" s="1" customFormat="1" ht="43.5" hidden="1">
      <c r="A198" s="11" t="s">
        <v>305</v>
      </c>
      <c r="B198" s="139">
        <v>9</v>
      </c>
      <c r="C198" s="140" t="s">
        <v>1059</v>
      </c>
      <c r="D198" s="141" t="s">
        <v>1082</v>
      </c>
      <c r="E198" s="142" t="s">
        <v>1083</v>
      </c>
      <c r="F198" s="88" t="s">
        <v>1093</v>
      </c>
      <c r="G198" s="88" t="s">
        <v>1094</v>
      </c>
      <c r="H198" s="88" t="s">
        <v>348</v>
      </c>
      <c r="I198" s="88" t="s">
        <v>570</v>
      </c>
      <c r="J198" s="20" t="str">
        <f>+G198</f>
        <v>Crear productes i paquets turístics amb associacions d’empreses turístiques i operadors turístics</v>
      </c>
      <c r="K198" s="20"/>
      <c r="L198" s="20" t="s">
        <v>54</v>
      </c>
      <c r="M198" s="27" t="s">
        <v>368</v>
      </c>
      <c r="N198" s="393" t="s">
        <v>1098</v>
      </c>
      <c r="O198" s="25"/>
      <c r="P198" s="25"/>
      <c r="Q198" s="27" t="s">
        <v>363</v>
      </c>
      <c r="R198" s="89" t="s">
        <v>380</v>
      </c>
      <c r="S198" s="89"/>
      <c r="T198" s="25"/>
      <c r="U198" s="25"/>
      <c r="V198" s="25"/>
      <c r="W198" s="27"/>
      <c r="X198" s="27" t="s">
        <v>632</v>
      </c>
      <c r="Y198" s="27" t="s">
        <v>616</v>
      </c>
      <c r="Z198" s="27"/>
    </row>
    <row r="199" spans="1:26" s="1" customFormat="1" ht="72.599999999999994">
      <c r="A199" s="143" t="s">
        <v>309</v>
      </c>
      <c r="B199" s="144">
        <v>10</v>
      </c>
      <c r="C199" s="15" t="s">
        <v>1099</v>
      </c>
      <c r="D199" s="145" t="s">
        <v>1100</v>
      </c>
      <c r="E199" s="146" t="s">
        <v>1101</v>
      </c>
      <c r="F199" s="88" t="s">
        <v>1102</v>
      </c>
      <c r="G199" s="88" t="s">
        <v>1103</v>
      </c>
      <c r="H199" s="88" t="s">
        <v>348</v>
      </c>
      <c r="I199" s="88" t="s">
        <v>377</v>
      </c>
      <c r="J199" s="205" t="s">
        <v>1104</v>
      </c>
      <c r="K199" s="20" t="s">
        <v>1105</v>
      </c>
      <c r="L199" s="269" t="s">
        <v>54</v>
      </c>
      <c r="M199" s="27" t="s">
        <v>352</v>
      </c>
      <c r="N199" s="390" t="s">
        <v>1106</v>
      </c>
      <c r="O199" s="25"/>
      <c r="P199" s="25"/>
      <c r="Q199" s="20" t="s">
        <v>1107</v>
      </c>
      <c r="R199" s="89"/>
      <c r="S199" s="89" t="s">
        <v>1108</v>
      </c>
      <c r="T199" s="20" t="s">
        <v>1109</v>
      </c>
      <c r="U199" s="435">
        <v>10</v>
      </c>
      <c r="V199" s="435">
        <v>15</v>
      </c>
      <c r="W199" s="27"/>
      <c r="X199" s="27" t="s">
        <v>615</v>
      </c>
      <c r="Y199" s="27" t="s">
        <v>624</v>
      </c>
      <c r="Z199" s="27"/>
    </row>
    <row r="200" spans="1:26" s="424" customFormat="1" ht="72.599999999999994">
      <c r="A200" s="414" t="s">
        <v>309</v>
      </c>
      <c r="B200" s="415">
        <v>10</v>
      </c>
      <c r="C200" s="416" t="s">
        <v>1099</v>
      </c>
      <c r="D200" s="417" t="s">
        <v>1100</v>
      </c>
      <c r="E200" s="418" t="s">
        <v>1101</v>
      </c>
      <c r="F200" s="93" t="s">
        <v>1110</v>
      </c>
      <c r="G200" s="88" t="s">
        <v>1111</v>
      </c>
      <c r="H200" s="372" t="s">
        <v>348</v>
      </c>
      <c r="I200" s="372" t="s">
        <v>377</v>
      </c>
      <c r="J200" s="419" t="str">
        <f>G200</f>
        <v>Ordenar els aprofitaments i extraccions dins l'espai</v>
      </c>
      <c r="K200" s="20"/>
      <c r="L200" s="420" t="s">
        <v>107</v>
      </c>
      <c r="M200" s="27"/>
      <c r="N200" s="331"/>
      <c r="O200" s="25"/>
      <c r="P200" s="25" t="s">
        <v>1111</v>
      </c>
      <c r="Q200" s="421" t="s">
        <v>1111</v>
      </c>
      <c r="R200" s="89"/>
      <c r="S200" s="89"/>
      <c r="T200" s="422"/>
      <c r="U200" s="423"/>
      <c r="V200" s="423"/>
      <c r="W200" s="422"/>
      <c r="X200" s="422" t="s">
        <v>432</v>
      </c>
      <c r="Y200" s="422" t="s">
        <v>433</v>
      </c>
      <c r="Z200" s="422"/>
    </row>
    <row r="201" spans="1:26" s="1" customFormat="1" ht="57.95">
      <c r="A201" s="143" t="s">
        <v>309</v>
      </c>
      <c r="B201" s="147">
        <v>11</v>
      </c>
      <c r="C201" s="148" t="s">
        <v>1112</v>
      </c>
      <c r="D201" s="149" t="s">
        <v>1113</v>
      </c>
      <c r="E201" s="150" t="s">
        <v>1114</v>
      </c>
      <c r="F201" s="88" t="s">
        <v>1115</v>
      </c>
      <c r="G201" s="88" t="s">
        <v>1116</v>
      </c>
      <c r="H201" s="372" t="s">
        <v>348</v>
      </c>
      <c r="I201" s="372" t="s">
        <v>377</v>
      </c>
      <c r="J201" s="373" t="str">
        <f>G201</f>
        <v>Ordenar l'acampada i pernoctació  en base a un model estandarditzat de Pla de protecció</v>
      </c>
      <c r="K201" s="20"/>
      <c r="L201" s="20" t="s">
        <v>54</v>
      </c>
      <c r="M201" s="27" t="s">
        <v>352</v>
      </c>
      <c r="N201" s="390" t="s">
        <v>1117</v>
      </c>
      <c r="O201" s="25"/>
      <c r="P201" s="25"/>
      <c r="Q201" s="20" t="s">
        <v>1118</v>
      </c>
      <c r="R201" s="89"/>
      <c r="S201" s="89" t="s">
        <v>1108</v>
      </c>
      <c r="T201" s="20" t="s">
        <v>1119</v>
      </c>
      <c r="U201" s="435">
        <v>5</v>
      </c>
      <c r="V201" s="435">
        <v>10</v>
      </c>
      <c r="W201" s="27"/>
      <c r="X201" s="27" t="s">
        <v>632</v>
      </c>
      <c r="Y201" s="27" t="s">
        <v>770</v>
      </c>
      <c r="Z201" s="27"/>
    </row>
    <row r="202" spans="1:26" s="1" customFormat="1" ht="43.5">
      <c r="A202" s="143" t="s">
        <v>309</v>
      </c>
      <c r="B202" s="151">
        <v>11</v>
      </c>
      <c r="C202" s="152" t="s">
        <v>1112</v>
      </c>
      <c r="D202" s="153" t="s">
        <v>1113</v>
      </c>
      <c r="E202" s="197" t="s">
        <v>1114</v>
      </c>
      <c r="F202" s="88" t="s">
        <v>1120</v>
      </c>
      <c r="G202" s="88" t="s">
        <v>1121</v>
      </c>
      <c r="H202" s="372" t="s">
        <v>348</v>
      </c>
      <c r="I202" s="372" t="s">
        <v>377</v>
      </c>
      <c r="J202" s="373" t="str">
        <f>G202</f>
        <v>Ordenar la circulació rodada no motoritzada en base a un model estàndard de Pla de protecció</v>
      </c>
      <c r="K202" s="20" t="s">
        <v>1122</v>
      </c>
      <c r="L202" s="20" t="s">
        <v>54</v>
      </c>
      <c r="M202" s="27" t="s">
        <v>378</v>
      </c>
      <c r="N202" s="393" t="s">
        <v>1123</v>
      </c>
      <c r="O202" s="25"/>
      <c r="P202" s="25"/>
      <c r="Q202" s="20" t="s">
        <v>1124</v>
      </c>
      <c r="R202" s="89"/>
      <c r="S202" s="89" t="s">
        <v>1108</v>
      </c>
      <c r="T202" s="20" t="s">
        <v>1125</v>
      </c>
      <c r="U202" s="435">
        <v>1</v>
      </c>
      <c r="V202" s="435">
        <v>1</v>
      </c>
      <c r="W202" s="27"/>
      <c r="X202" s="27" t="s">
        <v>632</v>
      </c>
      <c r="Y202" s="27" t="s">
        <v>616</v>
      </c>
      <c r="Z202" s="27"/>
    </row>
    <row r="203" spans="1:26" s="1" customFormat="1" ht="144.94999999999999">
      <c r="A203" s="143" t="s">
        <v>309</v>
      </c>
      <c r="B203" s="151">
        <v>11</v>
      </c>
      <c r="C203" s="152" t="s">
        <v>1112</v>
      </c>
      <c r="D203" s="153" t="s">
        <v>1113</v>
      </c>
      <c r="E203" s="197" t="s">
        <v>1114</v>
      </c>
      <c r="F203" s="88" t="s">
        <v>1126</v>
      </c>
      <c r="G203" s="88" t="s">
        <v>1127</v>
      </c>
      <c r="H203" s="372" t="s">
        <v>416</v>
      </c>
      <c r="I203" s="372" t="s">
        <v>377</v>
      </c>
      <c r="J203" s="373" t="str">
        <f>G203</f>
        <v>Ordenar l'escalada i alpinisme, barranquisme, i espeleologia  en base a un model estàndard de Pla de protecció</v>
      </c>
      <c r="K203" s="20"/>
      <c r="L203" s="20" t="s">
        <v>54</v>
      </c>
      <c r="M203" s="27" t="s">
        <v>378</v>
      </c>
      <c r="N203" s="390" t="s">
        <v>1128</v>
      </c>
      <c r="O203" s="25"/>
      <c r="P203" s="25"/>
      <c r="Q203" s="20" t="s">
        <v>1129</v>
      </c>
      <c r="R203" s="89"/>
      <c r="S203" s="89" t="s">
        <v>1108</v>
      </c>
      <c r="T203" s="20" t="s">
        <v>1130</v>
      </c>
      <c r="U203" s="435" t="s">
        <v>686</v>
      </c>
      <c r="V203" s="435" t="s">
        <v>1131</v>
      </c>
      <c r="W203" s="27"/>
      <c r="X203" s="89" t="s">
        <v>632</v>
      </c>
      <c r="Y203" s="89" t="s">
        <v>770</v>
      </c>
      <c r="Z203" s="27"/>
    </row>
    <row r="204" spans="1:26" s="1" customFormat="1" ht="43.5" hidden="1" customHeight="1">
      <c r="A204" s="143" t="s">
        <v>309</v>
      </c>
      <c r="B204" s="151">
        <v>11</v>
      </c>
      <c r="C204" s="152" t="s">
        <v>1112</v>
      </c>
      <c r="D204" s="153" t="s">
        <v>1113</v>
      </c>
      <c r="E204" s="197" t="s">
        <v>1114</v>
      </c>
      <c r="F204" s="88" t="s">
        <v>1126</v>
      </c>
      <c r="G204" s="88" t="s">
        <v>1127</v>
      </c>
      <c r="H204" s="372" t="s">
        <v>416</v>
      </c>
      <c r="I204" s="372" t="s">
        <v>377</v>
      </c>
      <c r="J204" s="373" t="str">
        <f t="shared" ref="J204:J218" si="5">G204</f>
        <v>Ordenar l'escalada i alpinisme, barranquisme, i espeleologia  en base a un model estàndard de Pla de protecció</v>
      </c>
      <c r="K204" s="20"/>
      <c r="L204" s="20" t="s">
        <v>54</v>
      </c>
      <c r="M204" s="27" t="s">
        <v>378</v>
      </c>
      <c r="N204" s="390" t="s">
        <v>1132</v>
      </c>
      <c r="O204" s="25"/>
      <c r="P204" s="25"/>
      <c r="Q204" s="27" t="s">
        <v>363</v>
      </c>
      <c r="R204" s="89"/>
      <c r="S204" s="89" t="s">
        <v>1108</v>
      </c>
      <c r="T204" s="25"/>
      <c r="U204" s="25"/>
      <c r="V204" s="25"/>
      <c r="W204" s="27"/>
      <c r="X204" s="89" t="s">
        <v>632</v>
      </c>
      <c r="Y204" s="89" t="s">
        <v>770</v>
      </c>
      <c r="Z204" s="27"/>
    </row>
    <row r="205" spans="1:26" s="1" customFormat="1" ht="43.5" hidden="1" customHeight="1">
      <c r="A205" s="143" t="s">
        <v>309</v>
      </c>
      <c r="B205" s="151">
        <v>11</v>
      </c>
      <c r="C205" s="152" t="s">
        <v>1112</v>
      </c>
      <c r="D205" s="153" t="s">
        <v>1113</v>
      </c>
      <c r="E205" s="197" t="s">
        <v>1114</v>
      </c>
      <c r="F205" s="88" t="s">
        <v>1126</v>
      </c>
      <c r="G205" s="88" t="s">
        <v>1127</v>
      </c>
      <c r="H205" s="372" t="s">
        <v>416</v>
      </c>
      <c r="I205" s="372" t="s">
        <v>377</v>
      </c>
      <c r="J205" s="373" t="str">
        <f>G205</f>
        <v>Ordenar l'escalada i alpinisme, barranquisme, i espeleologia  en base a un model estàndard de Pla de protecció</v>
      </c>
      <c r="K205" s="20"/>
      <c r="L205" s="20" t="s">
        <v>54</v>
      </c>
      <c r="M205" s="27"/>
      <c r="N205" s="393" t="s">
        <v>1133</v>
      </c>
      <c r="O205" s="25"/>
      <c r="P205" s="25"/>
      <c r="Q205" s="27" t="s">
        <v>363</v>
      </c>
      <c r="R205" s="89"/>
      <c r="S205" s="89"/>
      <c r="T205" s="25"/>
      <c r="U205" s="25"/>
      <c r="V205" s="25"/>
      <c r="W205" s="27"/>
      <c r="X205" s="89"/>
      <c r="Y205" s="89"/>
      <c r="Z205" s="27"/>
    </row>
    <row r="206" spans="1:26" s="1" customFormat="1" ht="43.5" hidden="1">
      <c r="A206" s="143" t="s">
        <v>309</v>
      </c>
      <c r="B206" s="151">
        <v>11</v>
      </c>
      <c r="C206" s="152" t="s">
        <v>1112</v>
      </c>
      <c r="D206" s="153" t="s">
        <v>1113</v>
      </c>
      <c r="E206" s="197" t="s">
        <v>1114</v>
      </c>
      <c r="F206" s="88" t="s">
        <v>1126</v>
      </c>
      <c r="G206" s="88" t="s">
        <v>1127</v>
      </c>
      <c r="H206" s="372" t="s">
        <v>416</v>
      </c>
      <c r="I206" s="372" t="s">
        <v>377</v>
      </c>
      <c r="J206" s="373" t="str">
        <f t="shared" si="5"/>
        <v>Ordenar l'escalada i alpinisme, barranquisme, i espeleologia  en base a un model estàndard de Pla de protecció</v>
      </c>
      <c r="K206" s="20"/>
      <c r="L206" s="20" t="s">
        <v>54</v>
      </c>
      <c r="M206" s="27" t="s">
        <v>378</v>
      </c>
      <c r="N206" s="390" t="s">
        <v>1134</v>
      </c>
      <c r="O206" s="25"/>
      <c r="P206" s="25"/>
      <c r="Q206" s="27" t="s">
        <v>363</v>
      </c>
      <c r="R206" s="89"/>
      <c r="S206" s="89" t="s">
        <v>1108</v>
      </c>
      <c r="T206" s="25"/>
      <c r="U206" s="25"/>
      <c r="V206" s="25"/>
      <c r="W206" s="27"/>
      <c r="X206" s="89" t="s">
        <v>632</v>
      </c>
      <c r="Y206" s="89" t="s">
        <v>1135</v>
      </c>
      <c r="Z206" s="27"/>
    </row>
    <row r="207" spans="1:26" s="1" customFormat="1" ht="43.5" hidden="1">
      <c r="A207" s="143" t="s">
        <v>309</v>
      </c>
      <c r="B207" s="151">
        <v>11</v>
      </c>
      <c r="C207" s="152" t="s">
        <v>1112</v>
      </c>
      <c r="D207" s="153" t="s">
        <v>1113</v>
      </c>
      <c r="E207" s="197" t="s">
        <v>1114</v>
      </c>
      <c r="F207" s="88" t="s">
        <v>1126</v>
      </c>
      <c r="G207" s="88" t="s">
        <v>1127</v>
      </c>
      <c r="H207" s="372" t="s">
        <v>416</v>
      </c>
      <c r="I207" s="372" t="s">
        <v>377</v>
      </c>
      <c r="J207" s="373" t="str">
        <f t="shared" si="5"/>
        <v>Ordenar l'escalada i alpinisme, barranquisme, i espeleologia  en base a un model estàndard de Pla de protecció</v>
      </c>
      <c r="K207" s="20"/>
      <c r="L207" s="20" t="s">
        <v>54</v>
      </c>
      <c r="M207" s="27" t="s">
        <v>378</v>
      </c>
      <c r="N207" s="393" t="s">
        <v>1136</v>
      </c>
      <c r="O207" s="25"/>
      <c r="P207" s="25"/>
      <c r="Q207" s="27" t="s">
        <v>363</v>
      </c>
      <c r="R207" s="89"/>
      <c r="S207" s="89" t="s">
        <v>1108</v>
      </c>
      <c r="T207" s="25"/>
      <c r="U207" s="25"/>
      <c r="V207" s="25"/>
      <c r="W207" s="27"/>
      <c r="X207" s="89" t="s">
        <v>632</v>
      </c>
      <c r="Y207" s="89" t="s">
        <v>361</v>
      </c>
      <c r="Z207" s="27"/>
    </row>
    <row r="208" spans="1:26" s="1" customFormat="1" ht="87">
      <c r="A208" s="143" t="s">
        <v>309</v>
      </c>
      <c r="B208" s="151">
        <v>11</v>
      </c>
      <c r="C208" s="152" t="s">
        <v>1112</v>
      </c>
      <c r="D208" s="153" t="s">
        <v>1113</v>
      </c>
      <c r="E208" s="197" t="s">
        <v>1114</v>
      </c>
      <c r="F208" s="88" t="s">
        <v>1137</v>
      </c>
      <c r="G208" s="88" t="s">
        <v>1138</v>
      </c>
      <c r="H208" s="372" t="s">
        <v>348</v>
      </c>
      <c r="I208" s="372" t="s">
        <v>377</v>
      </c>
      <c r="J208" s="373" t="str">
        <f t="shared" si="5"/>
        <v>Ordenar les curses i altres activitats esportives organitzades en base a un model estàndard de Pla de protecció</v>
      </c>
      <c r="K208" s="20"/>
      <c r="L208" s="20" t="s">
        <v>54</v>
      </c>
      <c r="M208" s="27" t="s">
        <v>378</v>
      </c>
      <c r="N208" s="393" t="s">
        <v>1139</v>
      </c>
      <c r="O208" s="25"/>
      <c r="P208" s="25"/>
      <c r="Q208" s="20" t="s">
        <v>1140</v>
      </c>
      <c r="R208" s="89"/>
      <c r="S208" s="89" t="s">
        <v>1108</v>
      </c>
      <c r="T208" s="20" t="s">
        <v>1141</v>
      </c>
      <c r="U208" s="438">
        <v>1</v>
      </c>
      <c r="V208" s="438">
        <v>1</v>
      </c>
      <c r="W208" s="27"/>
      <c r="X208" s="89" t="s">
        <v>632</v>
      </c>
      <c r="Y208" s="89" t="s">
        <v>361</v>
      </c>
      <c r="Z208" s="27"/>
    </row>
    <row r="209" spans="1:26" s="1" customFormat="1" ht="87">
      <c r="A209" s="143" t="s">
        <v>309</v>
      </c>
      <c r="B209" s="151">
        <v>11</v>
      </c>
      <c r="C209" s="152" t="s">
        <v>1112</v>
      </c>
      <c r="D209" s="153" t="s">
        <v>1113</v>
      </c>
      <c r="E209" s="197" t="s">
        <v>1114</v>
      </c>
      <c r="F209" s="88" t="s">
        <v>1142</v>
      </c>
      <c r="G209" s="88" t="s">
        <v>1143</v>
      </c>
      <c r="H209" s="372" t="s">
        <v>348</v>
      </c>
      <c r="I209" s="372" t="s">
        <v>377</v>
      </c>
      <c r="J209" s="373" t="str">
        <f t="shared" si="5"/>
        <v>Ordenar els enregistraments i l'observació de fauna i natura en base a un model estàndard de Pla de protecció</v>
      </c>
      <c r="K209" s="20"/>
      <c r="L209" s="20" t="s">
        <v>54</v>
      </c>
      <c r="M209" s="27" t="s">
        <v>368</v>
      </c>
      <c r="N209" s="390" t="s">
        <v>1144</v>
      </c>
      <c r="O209" s="25"/>
      <c r="P209" s="25"/>
      <c r="Q209" s="20" t="s">
        <v>1145</v>
      </c>
      <c r="R209" s="89"/>
      <c r="S209" s="89" t="s">
        <v>1108</v>
      </c>
      <c r="T209" s="20" t="s">
        <v>1146</v>
      </c>
      <c r="U209" s="438">
        <v>1</v>
      </c>
      <c r="V209" s="438">
        <v>1</v>
      </c>
      <c r="W209" s="27"/>
      <c r="X209" s="89" t="s">
        <v>632</v>
      </c>
      <c r="Y209" s="89" t="s">
        <v>361</v>
      </c>
      <c r="Z209" s="27"/>
    </row>
    <row r="210" spans="1:26" s="1" customFormat="1" ht="101.45">
      <c r="A210" s="143" t="s">
        <v>309</v>
      </c>
      <c r="B210" s="151">
        <v>11</v>
      </c>
      <c r="C210" s="152" t="s">
        <v>1112</v>
      </c>
      <c r="D210" s="153" t="s">
        <v>1113</v>
      </c>
      <c r="E210" s="197" t="s">
        <v>1114</v>
      </c>
      <c r="F210" s="88" t="s">
        <v>1147</v>
      </c>
      <c r="G210" s="88" t="s">
        <v>1148</v>
      </c>
      <c r="H210" s="372" t="s">
        <v>348</v>
      </c>
      <c r="I210" s="372" t="s">
        <v>377</v>
      </c>
      <c r="J210" s="373" t="str">
        <f t="shared" si="5"/>
        <v>Ordenar les activitats científiques en base a un model estàndard de Pla de protecció</v>
      </c>
      <c r="K210" s="20"/>
      <c r="L210" s="20" t="s">
        <v>54</v>
      </c>
      <c r="M210" s="27" t="s">
        <v>368</v>
      </c>
      <c r="N210" s="390" t="s">
        <v>1149</v>
      </c>
      <c r="O210" s="25"/>
      <c r="P210" s="25"/>
      <c r="Q210" s="20" t="s">
        <v>1150</v>
      </c>
      <c r="R210" s="89"/>
      <c r="S210" s="89" t="s">
        <v>1108</v>
      </c>
      <c r="T210" s="20" t="s">
        <v>1151</v>
      </c>
      <c r="U210" s="438">
        <v>1</v>
      </c>
      <c r="V210" s="438">
        <v>1</v>
      </c>
      <c r="W210" s="27"/>
      <c r="X210" s="338" t="s">
        <v>360</v>
      </c>
      <c r="Y210" s="338" t="s">
        <v>361</v>
      </c>
      <c r="Z210" s="27"/>
    </row>
    <row r="211" spans="1:26" s="1" customFormat="1" ht="87">
      <c r="A211" s="143" t="s">
        <v>309</v>
      </c>
      <c r="B211" s="151">
        <v>11</v>
      </c>
      <c r="C211" s="152" t="s">
        <v>1112</v>
      </c>
      <c r="D211" s="153" t="s">
        <v>1113</v>
      </c>
      <c r="E211" s="197" t="s">
        <v>1114</v>
      </c>
      <c r="F211" s="88" t="s">
        <v>1152</v>
      </c>
      <c r="G211" s="88" t="s">
        <v>1153</v>
      </c>
      <c r="H211" s="372" t="s">
        <v>416</v>
      </c>
      <c r="I211" s="372" t="s">
        <v>377</v>
      </c>
      <c r="J211" s="373" t="str">
        <f t="shared" si="5"/>
        <v>Ordenar les zones de bany</v>
      </c>
      <c r="K211" s="20"/>
      <c r="L211" s="20" t="s">
        <v>54</v>
      </c>
      <c r="M211" s="27" t="s">
        <v>352</v>
      </c>
      <c r="N211" s="390" t="s">
        <v>1154</v>
      </c>
      <c r="O211" s="25"/>
      <c r="P211" s="25"/>
      <c r="Q211" s="20" t="s">
        <v>1155</v>
      </c>
      <c r="R211" s="89"/>
      <c r="S211" s="89" t="s">
        <v>1108</v>
      </c>
      <c r="T211" s="20" t="s">
        <v>1156</v>
      </c>
      <c r="U211" s="435" t="s">
        <v>1157</v>
      </c>
      <c r="V211" s="435" t="s">
        <v>1158</v>
      </c>
      <c r="W211" s="27"/>
      <c r="X211" s="27" t="s">
        <v>632</v>
      </c>
      <c r="Y211" s="27" t="s">
        <v>616</v>
      </c>
      <c r="Z211" s="27"/>
    </row>
    <row r="212" spans="1:26" s="1" customFormat="1" ht="57.95" hidden="1">
      <c r="A212" s="143" t="s">
        <v>309</v>
      </c>
      <c r="B212" s="151">
        <v>11</v>
      </c>
      <c r="C212" s="152" t="s">
        <v>1112</v>
      </c>
      <c r="D212" s="153" t="s">
        <v>1113</v>
      </c>
      <c r="E212" s="197" t="s">
        <v>1114</v>
      </c>
      <c r="F212" s="88" t="s">
        <v>1152</v>
      </c>
      <c r="G212" s="88" t="s">
        <v>1153</v>
      </c>
      <c r="H212" s="372" t="s">
        <v>416</v>
      </c>
      <c r="I212" s="372" t="s">
        <v>377</v>
      </c>
      <c r="J212" s="373" t="str">
        <f t="shared" si="5"/>
        <v>Ordenar les zones de bany</v>
      </c>
      <c r="K212" s="20"/>
      <c r="L212" s="20" t="s">
        <v>54</v>
      </c>
      <c r="M212" s="27" t="s">
        <v>352</v>
      </c>
      <c r="N212" s="390" t="s">
        <v>1159</v>
      </c>
      <c r="O212" s="25"/>
      <c r="P212" s="25"/>
      <c r="Q212" s="27" t="s">
        <v>363</v>
      </c>
      <c r="R212" s="89"/>
      <c r="S212" s="89" t="s">
        <v>1108</v>
      </c>
      <c r="T212" s="25"/>
      <c r="U212" s="25"/>
      <c r="V212" s="25"/>
      <c r="W212" s="27"/>
      <c r="X212" s="27" t="s">
        <v>632</v>
      </c>
      <c r="Y212" s="27" t="s">
        <v>616</v>
      </c>
      <c r="Z212" s="27"/>
    </row>
    <row r="213" spans="1:26" s="1" customFormat="1" ht="57.95">
      <c r="A213" s="143" t="s">
        <v>309</v>
      </c>
      <c r="B213" s="151">
        <v>11</v>
      </c>
      <c r="C213" s="152" t="s">
        <v>1112</v>
      </c>
      <c r="D213" s="153" t="s">
        <v>1113</v>
      </c>
      <c r="E213" s="197" t="s">
        <v>1114</v>
      </c>
      <c r="F213" s="88" t="s">
        <v>1160</v>
      </c>
      <c r="G213" s="88" t="s">
        <v>1161</v>
      </c>
      <c r="H213" s="372" t="s">
        <v>416</v>
      </c>
      <c r="I213" s="372" t="s">
        <v>377</v>
      </c>
      <c r="J213" s="373" t="str">
        <f t="shared" si="5"/>
        <v>Ordenar l'enlairament i aterratge sense motor</v>
      </c>
      <c r="K213" s="20"/>
      <c r="L213" s="20" t="s">
        <v>54</v>
      </c>
      <c r="M213" s="27" t="s">
        <v>368</v>
      </c>
      <c r="N213" s="390" t="s">
        <v>1162</v>
      </c>
      <c r="O213" s="381"/>
      <c r="P213" s="381"/>
      <c r="Q213" s="20" t="s">
        <v>1163</v>
      </c>
      <c r="R213" s="89"/>
      <c r="S213" s="89" t="s">
        <v>1108</v>
      </c>
      <c r="T213" s="20" t="s">
        <v>1164</v>
      </c>
      <c r="U213" s="438">
        <v>0.75</v>
      </c>
      <c r="V213" s="438">
        <v>1</v>
      </c>
      <c r="W213" s="27"/>
      <c r="X213" s="338" t="s">
        <v>632</v>
      </c>
      <c r="Y213" s="338" t="s">
        <v>361</v>
      </c>
      <c r="Z213" s="27"/>
    </row>
    <row r="214" spans="1:26" s="1" customFormat="1" ht="43.5" hidden="1">
      <c r="A214" s="143" t="s">
        <v>309</v>
      </c>
      <c r="B214" s="151">
        <v>11</v>
      </c>
      <c r="C214" s="152" t="s">
        <v>1112</v>
      </c>
      <c r="D214" s="153" t="s">
        <v>1113</v>
      </c>
      <c r="E214" s="197" t="s">
        <v>1114</v>
      </c>
      <c r="F214" s="88" t="s">
        <v>1165</v>
      </c>
      <c r="G214" s="88" t="s">
        <v>1166</v>
      </c>
      <c r="H214" s="372" t="s">
        <v>416</v>
      </c>
      <c r="I214" s="372" t="s">
        <v>377</v>
      </c>
      <c r="J214" s="373" t="s">
        <v>1166</v>
      </c>
      <c r="K214" s="20" t="s">
        <v>1167</v>
      </c>
      <c r="L214" s="214" t="s">
        <v>107</v>
      </c>
      <c r="M214" s="27" t="s">
        <v>352</v>
      </c>
      <c r="N214" s="27"/>
      <c r="O214" s="25"/>
      <c r="P214" s="25"/>
      <c r="Q214" s="27" t="s">
        <v>363</v>
      </c>
      <c r="R214" s="89"/>
      <c r="S214" s="89" t="s">
        <v>1108</v>
      </c>
      <c r="T214" s="25"/>
      <c r="U214" s="25"/>
      <c r="V214" s="25"/>
      <c r="W214" s="27"/>
      <c r="X214" s="27"/>
      <c r="Y214" s="27"/>
      <c r="Z214" s="27"/>
    </row>
    <row r="215" spans="1:26" s="1" customFormat="1" ht="43.5" hidden="1">
      <c r="A215" s="143" t="s">
        <v>309</v>
      </c>
      <c r="B215" s="151">
        <v>11</v>
      </c>
      <c r="C215" s="152" t="s">
        <v>1112</v>
      </c>
      <c r="D215" s="153" t="s">
        <v>1113</v>
      </c>
      <c r="E215" s="197" t="s">
        <v>1114</v>
      </c>
      <c r="F215" s="88" t="s">
        <v>1168</v>
      </c>
      <c r="G215" s="88" t="s">
        <v>1169</v>
      </c>
      <c r="H215" s="372" t="s">
        <v>416</v>
      </c>
      <c r="I215" s="372" t="s">
        <v>377</v>
      </c>
      <c r="J215" s="373" t="s">
        <v>1169</v>
      </c>
      <c r="K215" s="20" t="s">
        <v>1167</v>
      </c>
      <c r="L215" s="214" t="s">
        <v>107</v>
      </c>
      <c r="M215" s="27" t="s">
        <v>352</v>
      </c>
      <c r="N215" s="27"/>
      <c r="O215" s="25"/>
      <c r="P215" s="25"/>
      <c r="Q215" s="27" t="s">
        <v>363</v>
      </c>
      <c r="R215" s="89"/>
      <c r="S215" s="89" t="s">
        <v>1108</v>
      </c>
      <c r="T215" s="25"/>
      <c r="U215" s="25"/>
      <c r="V215" s="25"/>
      <c r="W215" s="27"/>
      <c r="X215" s="27"/>
      <c r="Y215" s="27"/>
      <c r="Z215" s="27"/>
    </row>
    <row r="216" spans="1:26" s="1" customFormat="1" ht="87">
      <c r="A216" s="143" t="s">
        <v>309</v>
      </c>
      <c r="B216" s="151">
        <v>11</v>
      </c>
      <c r="C216" s="152" t="s">
        <v>1112</v>
      </c>
      <c r="D216" s="153" t="s">
        <v>1113</v>
      </c>
      <c r="E216" s="197" t="s">
        <v>1114</v>
      </c>
      <c r="F216" s="88" t="s">
        <v>1170</v>
      </c>
      <c r="G216" s="88" t="s">
        <v>1171</v>
      </c>
      <c r="H216" s="372" t="s">
        <v>348</v>
      </c>
      <c r="I216" s="372" t="s">
        <v>377</v>
      </c>
      <c r="J216" s="373" t="str">
        <f t="shared" si="5"/>
        <v>Ordenar la presència d'animals de companyia</v>
      </c>
      <c r="K216" s="20"/>
      <c r="L216" s="20" t="s">
        <v>54</v>
      </c>
      <c r="M216" s="27" t="s">
        <v>352</v>
      </c>
      <c r="N216" s="390" t="s">
        <v>1172</v>
      </c>
      <c r="O216" s="382"/>
      <c r="P216" s="382"/>
      <c r="Q216" s="20" t="s">
        <v>1173</v>
      </c>
      <c r="R216" s="89"/>
      <c r="S216" s="89" t="s">
        <v>1108</v>
      </c>
      <c r="T216" s="20" t="s">
        <v>1174</v>
      </c>
      <c r="U216" s="413">
        <v>1</v>
      </c>
      <c r="V216" s="413">
        <v>1</v>
      </c>
      <c r="W216" s="27"/>
      <c r="X216" s="338" t="s">
        <v>632</v>
      </c>
      <c r="Y216" s="338" t="s">
        <v>361</v>
      </c>
      <c r="Z216" s="27"/>
    </row>
    <row r="217" spans="1:26" s="1" customFormat="1" ht="43.5" hidden="1">
      <c r="A217" s="143" t="s">
        <v>309</v>
      </c>
      <c r="B217" s="151">
        <v>11</v>
      </c>
      <c r="C217" s="152" t="s">
        <v>1112</v>
      </c>
      <c r="D217" s="153" t="s">
        <v>1113</v>
      </c>
      <c r="E217" s="197" t="s">
        <v>1114</v>
      </c>
      <c r="F217" s="88" t="s">
        <v>1170</v>
      </c>
      <c r="G217" s="88" t="s">
        <v>1171</v>
      </c>
      <c r="H217" s="372" t="s">
        <v>348</v>
      </c>
      <c r="I217" s="372" t="s">
        <v>377</v>
      </c>
      <c r="J217" s="373" t="str">
        <f>G217</f>
        <v>Ordenar la presència d'animals de companyia</v>
      </c>
      <c r="K217" s="20"/>
      <c r="L217" s="20" t="s">
        <v>54</v>
      </c>
      <c r="M217" s="27" t="s">
        <v>352</v>
      </c>
      <c r="N217" s="401" t="s">
        <v>1175</v>
      </c>
      <c r="O217" s="25"/>
      <c r="P217" s="25"/>
      <c r="Q217" s="27" t="s">
        <v>363</v>
      </c>
      <c r="R217" s="89"/>
      <c r="S217" s="89"/>
      <c r="T217" s="25"/>
      <c r="U217" s="25"/>
      <c r="V217" s="25"/>
      <c r="W217" s="27"/>
      <c r="X217" s="338"/>
      <c r="Y217" s="338"/>
      <c r="Z217" s="27"/>
    </row>
    <row r="218" spans="1:26" s="1" customFormat="1" ht="87">
      <c r="A218" s="143" t="s">
        <v>309</v>
      </c>
      <c r="B218" s="151">
        <v>11</v>
      </c>
      <c r="C218" s="152" t="s">
        <v>1112</v>
      </c>
      <c r="D218" s="153" t="s">
        <v>1113</v>
      </c>
      <c r="E218" s="197" t="s">
        <v>1114</v>
      </c>
      <c r="F218" s="88" t="s">
        <v>1176</v>
      </c>
      <c r="G218" s="88" t="s">
        <v>1177</v>
      </c>
      <c r="H218" s="372" t="s">
        <v>348</v>
      </c>
      <c r="I218" s="372" t="s">
        <v>377</v>
      </c>
      <c r="J218" s="373" t="str">
        <f t="shared" si="5"/>
        <v>Ordenar les activitats d'educació ambiental i el lleure educatiu</v>
      </c>
      <c r="K218" s="20"/>
      <c r="L218" s="20" t="s">
        <v>54</v>
      </c>
      <c r="M218" s="27" t="s">
        <v>368</v>
      </c>
      <c r="N218" s="390" t="s">
        <v>1178</v>
      </c>
      <c r="O218" s="25"/>
      <c r="P218" s="25"/>
      <c r="Q218" s="20" t="s">
        <v>1179</v>
      </c>
      <c r="R218" s="89"/>
      <c r="S218" s="89" t="s">
        <v>1108</v>
      </c>
      <c r="T218" s="20" t="s">
        <v>1180</v>
      </c>
      <c r="U218" s="435">
        <v>1</v>
      </c>
      <c r="V218" s="435">
        <v>1</v>
      </c>
      <c r="W218" s="27"/>
      <c r="X218" s="27" t="s">
        <v>632</v>
      </c>
      <c r="Y218" s="27" t="s">
        <v>616</v>
      </c>
      <c r="Z218" s="27"/>
    </row>
    <row r="219" spans="1:26" s="1" customFormat="1" ht="57.95" hidden="1">
      <c r="A219" s="143" t="s">
        <v>309</v>
      </c>
      <c r="B219" s="151">
        <v>11</v>
      </c>
      <c r="C219" s="152" t="s">
        <v>1112</v>
      </c>
      <c r="D219" s="153" t="s">
        <v>1113</v>
      </c>
      <c r="E219" s="197" t="s">
        <v>1114</v>
      </c>
      <c r="F219" s="88" t="s">
        <v>1176</v>
      </c>
      <c r="G219" s="88" t="s">
        <v>1181</v>
      </c>
      <c r="H219" s="88" t="s">
        <v>348</v>
      </c>
      <c r="I219" s="88" t="s">
        <v>377</v>
      </c>
      <c r="J219" s="205" t="s">
        <v>1182</v>
      </c>
      <c r="K219" s="20" t="s">
        <v>746</v>
      </c>
      <c r="L219" s="20" t="s">
        <v>54</v>
      </c>
      <c r="M219" s="27" t="s">
        <v>368</v>
      </c>
      <c r="N219" s="390" t="s">
        <v>1183</v>
      </c>
      <c r="O219" s="25"/>
      <c r="P219" s="25"/>
      <c r="Q219" s="27" t="s">
        <v>363</v>
      </c>
      <c r="R219" s="89"/>
      <c r="S219" s="89" t="s">
        <v>1108</v>
      </c>
      <c r="T219" s="25"/>
      <c r="U219" s="25"/>
      <c r="V219" s="25"/>
      <c r="W219" s="27"/>
      <c r="X219" s="27" t="s">
        <v>632</v>
      </c>
      <c r="Y219" s="27" t="s">
        <v>616</v>
      </c>
      <c r="Z219" s="27"/>
    </row>
    <row r="220" spans="1:26" s="1" customFormat="1" ht="43.5">
      <c r="A220" s="143" t="s">
        <v>309</v>
      </c>
      <c r="B220" s="151">
        <v>11</v>
      </c>
      <c r="C220" s="152" t="s">
        <v>1112</v>
      </c>
      <c r="D220" s="153" t="s">
        <v>1113</v>
      </c>
      <c r="E220" s="197" t="s">
        <v>1114</v>
      </c>
      <c r="F220" s="88" t="s">
        <v>1184</v>
      </c>
      <c r="G220" s="88"/>
      <c r="H220" s="88" t="s">
        <v>348</v>
      </c>
      <c r="I220" s="88" t="s">
        <v>377</v>
      </c>
      <c r="J220" s="205" t="s">
        <v>1185</v>
      </c>
      <c r="K220" s="80" t="s">
        <v>1186</v>
      </c>
      <c r="L220" s="20" t="s">
        <v>54</v>
      </c>
      <c r="M220" s="27" t="s">
        <v>368</v>
      </c>
      <c r="N220" s="390" t="s">
        <v>1187</v>
      </c>
      <c r="O220" s="25"/>
      <c r="P220" s="25"/>
      <c r="Q220" s="20" t="s">
        <v>1188</v>
      </c>
      <c r="R220" s="89"/>
      <c r="S220" s="89" t="s">
        <v>1108</v>
      </c>
      <c r="T220" s="20" t="s">
        <v>1189</v>
      </c>
      <c r="U220" s="435">
        <v>1</v>
      </c>
      <c r="V220" s="435">
        <v>1</v>
      </c>
      <c r="W220" s="27"/>
      <c r="X220" s="338" t="s">
        <v>632</v>
      </c>
      <c r="Y220" s="338" t="s">
        <v>361</v>
      </c>
      <c r="Z220" s="27"/>
    </row>
    <row r="221" spans="1:26" s="427" customFormat="1" ht="43.5">
      <c r="A221" s="425" t="s">
        <v>309</v>
      </c>
      <c r="B221" s="147">
        <v>11</v>
      </c>
      <c r="C221" s="148" t="s">
        <v>1112</v>
      </c>
      <c r="D221" s="149" t="s">
        <v>1113</v>
      </c>
      <c r="E221" s="150" t="s">
        <v>1114</v>
      </c>
      <c r="F221" s="88" t="s">
        <v>1190</v>
      </c>
      <c r="G221" s="88"/>
      <c r="H221" s="88"/>
      <c r="I221" s="88"/>
      <c r="J221" s="205" t="s">
        <v>1191</v>
      </c>
      <c r="K221" s="80" t="s">
        <v>1192</v>
      </c>
      <c r="L221" s="421" t="s">
        <v>107</v>
      </c>
      <c r="M221" s="27"/>
      <c r="N221" s="390" t="s">
        <v>1193</v>
      </c>
      <c r="O221" s="25"/>
      <c r="P221" s="25"/>
      <c r="Q221" s="421" t="s">
        <v>1193</v>
      </c>
      <c r="R221" s="89"/>
      <c r="S221" s="89"/>
      <c r="T221" s="421"/>
      <c r="U221" s="426"/>
      <c r="V221" s="426"/>
      <c r="W221" s="421"/>
      <c r="X221" s="421" t="s">
        <v>632</v>
      </c>
      <c r="Y221" s="421" t="s">
        <v>616</v>
      </c>
      <c r="Z221" s="421"/>
    </row>
    <row r="222" spans="1:26" s="1" customFormat="1" ht="43.5">
      <c r="A222" s="143" t="s">
        <v>309</v>
      </c>
      <c r="B222" s="151">
        <v>11</v>
      </c>
      <c r="C222" s="152" t="s">
        <v>1112</v>
      </c>
      <c r="D222" s="153" t="s">
        <v>1113</v>
      </c>
      <c r="E222" s="197" t="s">
        <v>1114</v>
      </c>
      <c r="F222" s="88" t="s">
        <v>1194</v>
      </c>
      <c r="G222" s="88"/>
      <c r="H222" s="88"/>
      <c r="I222" s="88"/>
      <c r="J222" s="205" t="s">
        <v>1191</v>
      </c>
      <c r="K222" s="80" t="s">
        <v>1192</v>
      </c>
      <c r="L222" s="20" t="s">
        <v>54</v>
      </c>
      <c r="M222" s="27"/>
      <c r="N222" s="390" t="s">
        <v>1195</v>
      </c>
      <c r="O222" s="25"/>
      <c r="P222" s="25"/>
      <c r="Q222" s="20" t="s">
        <v>1196</v>
      </c>
      <c r="R222" s="89"/>
      <c r="S222" s="89"/>
      <c r="T222" s="20" t="s">
        <v>1197</v>
      </c>
      <c r="U222" s="435">
        <v>20</v>
      </c>
      <c r="V222" s="435">
        <v>24</v>
      </c>
      <c r="W222" s="27"/>
      <c r="X222" s="27" t="s">
        <v>632</v>
      </c>
      <c r="Y222" s="27" t="s">
        <v>616</v>
      </c>
      <c r="Z222" s="27"/>
    </row>
    <row r="223" spans="1:26" s="427" customFormat="1" ht="72.599999999999994">
      <c r="A223" s="425" t="s">
        <v>309</v>
      </c>
      <c r="B223" s="147">
        <v>11</v>
      </c>
      <c r="C223" s="148" t="s">
        <v>1112</v>
      </c>
      <c r="D223" s="149" t="s">
        <v>1198</v>
      </c>
      <c r="E223" s="150" t="s">
        <v>1199</v>
      </c>
      <c r="F223" s="88" t="s">
        <v>1200</v>
      </c>
      <c r="G223" s="88" t="s">
        <v>1201</v>
      </c>
      <c r="H223" s="88" t="s">
        <v>348</v>
      </c>
      <c r="I223" s="88" t="s">
        <v>377</v>
      </c>
      <c r="J223" s="205" t="s">
        <v>1202</v>
      </c>
      <c r="K223" s="20" t="s">
        <v>1203</v>
      </c>
      <c r="L223" s="421" t="s">
        <v>107</v>
      </c>
      <c r="M223" s="27" t="s">
        <v>368</v>
      </c>
      <c r="N223" s="27"/>
      <c r="O223" s="25" t="s">
        <v>1202</v>
      </c>
      <c r="P223" s="25"/>
      <c r="Q223" s="421" t="s">
        <v>1202</v>
      </c>
      <c r="R223" s="89"/>
      <c r="S223" s="88" t="s">
        <v>1204</v>
      </c>
      <c r="T223" s="421"/>
      <c r="U223" s="426"/>
      <c r="V223" s="426"/>
      <c r="W223" s="421"/>
      <c r="X223" s="421"/>
      <c r="Y223" s="421"/>
      <c r="Z223" s="421"/>
    </row>
    <row r="224" spans="1:26" s="1" customFormat="1" ht="43.5">
      <c r="A224" s="143" t="s">
        <v>309</v>
      </c>
      <c r="B224" s="151">
        <v>11</v>
      </c>
      <c r="C224" s="152" t="s">
        <v>1112</v>
      </c>
      <c r="D224" s="153" t="s">
        <v>1198</v>
      </c>
      <c r="E224" s="197" t="s">
        <v>1199</v>
      </c>
      <c r="F224" s="88" t="s">
        <v>1205</v>
      </c>
      <c r="G224" s="88" t="s">
        <v>1206</v>
      </c>
      <c r="H224" s="88" t="s">
        <v>348</v>
      </c>
      <c r="I224" s="88" t="s">
        <v>377</v>
      </c>
      <c r="J224" s="205" t="s">
        <v>1207</v>
      </c>
      <c r="K224" s="20" t="s">
        <v>1208</v>
      </c>
      <c r="L224" s="20" t="s">
        <v>54</v>
      </c>
      <c r="M224" s="27" t="s">
        <v>352</v>
      </c>
      <c r="N224" s="390" t="s">
        <v>1209</v>
      </c>
      <c r="O224" s="25"/>
      <c r="P224" s="25"/>
      <c r="Q224" s="20" t="s">
        <v>1210</v>
      </c>
      <c r="R224" s="89"/>
      <c r="S224" s="88" t="s">
        <v>1211</v>
      </c>
      <c r="T224" s="20" t="s">
        <v>1212</v>
      </c>
      <c r="U224" s="435">
        <v>12</v>
      </c>
      <c r="V224" s="435">
        <v>24</v>
      </c>
      <c r="W224" s="27"/>
      <c r="X224" s="89" t="s">
        <v>632</v>
      </c>
      <c r="Y224" s="89" t="s">
        <v>828</v>
      </c>
      <c r="Z224" s="27"/>
    </row>
    <row r="225" spans="1:26" s="427" customFormat="1" ht="43.5">
      <c r="A225" s="425" t="s">
        <v>309</v>
      </c>
      <c r="B225" s="147">
        <v>11</v>
      </c>
      <c r="C225" s="148" t="s">
        <v>1112</v>
      </c>
      <c r="D225" s="149" t="s">
        <v>1213</v>
      </c>
      <c r="E225" s="150" t="s">
        <v>1214</v>
      </c>
      <c r="F225" s="88" t="s">
        <v>1215</v>
      </c>
      <c r="G225" s="88" t="s">
        <v>1216</v>
      </c>
      <c r="H225" s="372" t="s">
        <v>348</v>
      </c>
      <c r="I225" s="372" t="s">
        <v>377</v>
      </c>
      <c r="J225" s="428" t="str">
        <f>G225</f>
        <v>Ordenar l'accés i la circulació</v>
      </c>
      <c r="K225" s="20"/>
      <c r="L225" s="421" t="s">
        <v>107</v>
      </c>
      <c r="M225" s="27" t="s">
        <v>378</v>
      </c>
      <c r="N225" s="402"/>
      <c r="O225" s="25" t="s">
        <v>1216</v>
      </c>
      <c r="P225" s="25"/>
      <c r="Q225" s="421" t="s">
        <v>1216</v>
      </c>
      <c r="R225" s="89"/>
      <c r="S225" s="89" t="s">
        <v>1108</v>
      </c>
      <c r="T225" s="421"/>
      <c r="U225" s="426"/>
      <c r="V225" s="426"/>
      <c r="W225" s="421"/>
      <c r="X225" s="421" t="s">
        <v>632</v>
      </c>
      <c r="Y225" s="421" t="s">
        <v>624</v>
      </c>
      <c r="Z225" s="421"/>
    </row>
    <row r="226" spans="1:26" s="1" customFormat="1" ht="72.599999999999994" hidden="1">
      <c r="A226" s="143" t="s">
        <v>309</v>
      </c>
      <c r="B226" s="151">
        <v>11</v>
      </c>
      <c r="C226" s="152" t="s">
        <v>1112</v>
      </c>
      <c r="D226" s="153" t="s">
        <v>1213</v>
      </c>
      <c r="E226" s="197" t="s">
        <v>1214</v>
      </c>
      <c r="F226" s="88" t="s">
        <v>1217</v>
      </c>
      <c r="G226" s="88" t="s">
        <v>1218</v>
      </c>
      <c r="H226" s="372" t="s">
        <v>348</v>
      </c>
      <c r="I226" s="372" t="s">
        <v>377</v>
      </c>
      <c r="J226" s="373" t="str">
        <f>G226</f>
        <v>Ordenar la xarxa viària principal, secundària i restringida</v>
      </c>
      <c r="K226" s="20" t="s">
        <v>1219</v>
      </c>
      <c r="L226" s="214" t="s">
        <v>107</v>
      </c>
      <c r="M226" s="27" t="s">
        <v>368</v>
      </c>
      <c r="N226" s="27"/>
      <c r="O226" s="25"/>
      <c r="P226" s="25" t="s">
        <v>1220</v>
      </c>
      <c r="Q226" s="27"/>
      <c r="R226" s="89"/>
      <c r="S226" s="89" t="s">
        <v>1108</v>
      </c>
      <c r="T226" s="25"/>
      <c r="U226" s="25"/>
      <c r="V226" s="25"/>
      <c r="W226" s="27"/>
      <c r="X226" s="27"/>
      <c r="Y226" s="27"/>
      <c r="Z226" s="27"/>
    </row>
    <row r="227" spans="1:26" s="1" customFormat="1" ht="72.599999999999994">
      <c r="A227" s="143" t="s">
        <v>309</v>
      </c>
      <c r="B227" s="151">
        <v>11</v>
      </c>
      <c r="C227" s="152" t="s">
        <v>1112</v>
      </c>
      <c r="D227" s="153" t="s">
        <v>1213</v>
      </c>
      <c r="E227" s="197" t="s">
        <v>1214</v>
      </c>
      <c r="F227" s="88" t="s">
        <v>1221</v>
      </c>
      <c r="G227" s="88" t="s">
        <v>1222</v>
      </c>
      <c r="H227" s="372" t="s">
        <v>416</v>
      </c>
      <c r="I227" s="372" t="s">
        <v>377</v>
      </c>
      <c r="J227" s="373" t="str">
        <f>G227</f>
        <v>Ordenar l'ús de drons, l'enlairament i l'aterratge</v>
      </c>
      <c r="K227" s="20"/>
      <c r="L227" s="20" t="s">
        <v>54</v>
      </c>
      <c r="M227" s="27" t="s">
        <v>368</v>
      </c>
      <c r="N227" s="27"/>
      <c r="O227" s="25" t="s">
        <v>1222</v>
      </c>
      <c r="P227" s="25"/>
      <c r="Q227" s="20" t="s">
        <v>1223</v>
      </c>
      <c r="R227" s="89"/>
      <c r="S227" s="89" t="s">
        <v>1108</v>
      </c>
      <c r="T227" s="20" t="s">
        <v>1224</v>
      </c>
      <c r="U227" s="435">
        <v>5</v>
      </c>
      <c r="V227" s="435">
        <v>0</v>
      </c>
      <c r="W227" s="27"/>
      <c r="X227" s="89" t="s">
        <v>632</v>
      </c>
      <c r="Y227" s="89" t="s">
        <v>361</v>
      </c>
      <c r="Z227" s="27"/>
    </row>
    <row r="228" spans="1:26" s="1" customFormat="1" ht="43.5" hidden="1">
      <c r="A228" s="143" t="s">
        <v>309</v>
      </c>
      <c r="B228" s="151">
        <v>11</v>
      </c>
      <c r="C228" s="152" t="s">
        <v>1112</v>
      </c>
      <c r="D228" s="153" t="s">
        <v>1213</v>
      </c>
      <c r="E228" s="197" t="s">
        <v>1214</v>
      </c>
      <c r="F228" s="88" t="s">
        <v>1225</v>
      </c>
      <c r="G228" s="88" t="s">
        <v>1226</v>
      </c>
      <c r="H228" s="88" t="s">
        <v>348</v>
      </c>
      <c r="I228" s="88" t="s">
        <v>377</v>
      </c>
      <c r="J228" s="20" t="s">
        <v>1226</v>
      </c>
      <c r="K228" s="20" t="s">
        <v>1227</v>
      </c>
      <c r="L228" s="214" t="s">
        <v>107</v>
      </c>
      <c r="M228" s="27" t="s">
        <v>368</v>
      </c>
      <c r="N228" s="27"/>
      <c r="O228" s="25"/>
      <c r="P228" s="25"/>
      <c r="Q228" s="27" t="s">
        <v>363</v>
      </c>
      <c r="R228" s="89"/>
      <c r="S228" s="89" t="s">
        <v>1108</v>
      </c>
      <c r="T228" s="25"/>
      <c r="U228" s="25"/>
      <c r="V228" s="25"/>
      <c r="W228" s="27"/>
      <c r="X228" s="27"/>
      <c r="Y228" s="27"/>
      <c r="Z228" s="27"/>
    </row>
    <row r="229" spans="1:26" s="1" customFormat="1" ht="57.95">
      <c r="A229" s="143" t="s">
        <v>309</v>
      </c>
      <c r="B229" s="151">
        <v>11</v>
      </c>
      <c r="C229" s="152" t="s">
        <v>1112</v>
      </c>
      <c r="D229" s="153" t="s">
        <v>1213</v>
      </c>
      <c r="E229" s="197" t="s">
        <v>1214</v>
      </c>
      <c r="F229" s="88" t="s">
        <v>1228</v>
      </c>
      <c r="G229" s="88" t="s">
        <v>1229</v>
      </c>
      <c r="H229" s="372" t="s">
        <v>348</v>
      </c>
      <c r="I229" s="372" t="s">
        <v>377</v>
      </c>
      <c r="J229" s="373" t="str">
        <f>G229</f>
        <v>Ordenar l'aparcament de vehícles</v>
      </c>
      <c r="K229" s="20"/>
      <c r="L229" s="20" t="s">
        <v>54</v>
      </c>
      <c r="M229" s="27" t="s">
        <v>368</v>
      </c>
      <c r="N229" s="390" t="s">
        <v>1230</v>
      </c>
      <c r="O229" s="25"/>
      <c r="P229" s="25"/>
      <c r="Q229" s="20" t="s">
        <v>1231</v>
      </c>
      <c r="R229" s="89"/>
      <c r="S229" s="89" t="s">
        <v>1108</v>
      </c>
      <c r="T229" s="20" t="s">
        <v>1232</v>
      </c>
      <c r="U229" s="435">
        <v>2</v>
      </c>
      <c r="V229" s="435">
        <v>4</v>
      </c>
      <c r="W229" s="27"/>
      <c r="X229" s="27" t="s">
        <v>615</v>
      </c>
      <c r="Y229" s="27" t="s">
        <v>624</v>
      </c>
      <c r="Z229" s="27"/>
    </row>
    <row r="230" spans="1:26" s="1" customFormat="1" ht="43.5" hidden="1">
      <c r="A230" s="143" t="s">
        <v>309</v>
      </c>
      <c r="B230" s="151">
        <v>11</v>
      </c>
      <c r="C230" s="152" t="s">
        <v>1112</v>
      </c>
      <c r="D230" s="149" t="s">
        <v>1233</v>
      </c>
      <c r="E230" s="150" t="s">
        <v>1234</v>
      </c>
      <c r="F230" s="88" t="s">
        <v>1235</v>
      </c>
      <c r="G230" s="88" t="s">
        <v>1236</v>
      </c>
      <c r="H230" s="88" t="s">
        <v>348</v>
      </c>
      <c r="I230" s="88" t="s">
        <v>377</v>
      </c>
      <c r="J230" s="20" t="s">
        <v>1236</v>
      </c>
      <c r="K230" s="20" t="s">
        <v>1237</v>
      </c>
      <c r="L230" s="224" t="s">
        <v>107</v>
      </c>
      <c r="M230" s="27" t="s">
        <v>378</v>
      </c>
      <c r="N230" s="27"/>
      <c r="O230" s="25"/>
      <c r="P230" s="25"/>
      <c r="Q230" s="27" t="s">
        <v>363</v>
      </c>
      <c r="R230" s="89"/>
      <c r="S230" s="89"/>
      <c r="T230" s="25"/>
      <c r="U230" s="25"/>
      <c r="V230" s="25"/>
      <c r="W230" s="27"/>
      <c r="X230" s="27"/>
      <c r="Y230" s="27"/>
      <c r="Z230" s="27"/>
    </row>
    <row r="231" spans="1:26" s="1" customFormat="1" ht="43.5" hidden="1">
      <c r="A231" s="143" t="s">
        <v>309</v>
      </c>
      <c r="B231" s="151">
        <v>11</v>
      </c>
      <c r="C231" s="152" t="s">
        <v>1112</v>
      </c>
      <c r="D231" s="153" t="s">
        <v>1233</v>
      </c>
      <c r="E231" s="197" t="s">
        <v>1234</v>
      </c>
      <c r="F231" s="88" t="s">
        <v>1238</v>
      </c>
      <c r="G231" s="88" t="s">
        <v>1239</v>
      </c>
      <c r="H231" s="88" t="s">
        <v>348</v>
      </c>
      <c r="I231" s="88" t="s">
        <v>377</v>
      </c>
      <c r="J231" s="20" t="s">
        <v>1239</v>
      </c>
      <c r="K231" s="20" t="s">
        <v>1237</v>
      </c>
      <c r="L231" s="336" t="s">
        <v>107</v>
      </c>
      <c r="M231" s="27" t="s">
        <v>352</v>
      </c>
      <c r="N231" s="25"/>
      <c r="O231" s="25"/>
      <c r="P231" s="25"/>
      <c r="Q231" s="27" t="s">
        <v>363</v>
      </c>
      <c r="R231" s="89"/>
      <c r="S231" s="89"/>
      <c r="T231" s="25"/>
      <c r="U231" s="25"/>
      <c r="V231" s="25"/>
      <c r="W231" s="27"/>
      <c r="X231" s="27"/>
      <c r="Y231" s="27"/>
      <c r="Z231" s="27"/>
    </row>
    <row r="232" spans="1:26" s="1" customFormat="1" ht="43.5">
      <c r="A232" s="143" t="s">
        <v>309</v>
      </c>
      <c r="B232" s="151">
        <v>11</v>
      </c>
      <c r="C232" s="152" t="s">
        <v>1112</v>
      </c>
      <c r="D232" s="149" t="s">
        <v>1240</v>
      </c>
      <c r="E232" s="150" t="s">
        <v>1241</v>
      </c>
      <c r="F232" s="88" t="s">
        <v>1242</v>
      </c>
      <c r="G232" s="88" t="s">
        <v>1243</v>
      </c>
      <c r="H232" s="88" t="s">
        <v>348</v>
      </c>
      <c r="I232" s="88" t="s">
        <v>377</v>
      </c>
      <c r="J232" s="205" t="s">
        <v>1244</v>
      </c>
      <c r="K232" s="20" t="s">
        <v>1245</v>
      </c>
      <c r="L232" s="20" t="s">
        <v>54</v>
      </c>
      <c r="M232" s="27" t="s">
        <v>352</v>
      </c>
      <c r="N232" s="390" t="s">
        <v>1246</v>
      </c>
      <c r="O232" s="25"/>
      <c r="P232" s="25"/>
      <c r="Q232" s="20" t="s">
        <v>1247</v>
      </c>
      <c r="R232" s="89"/>
      <c r="S232" s="89"/>
      <c r="T232" s="20" t="s">
        <v>1248</v>
      </c>
      <c r="U232" s="435" t="s">
        <v>1249</v>
      </c>
      <c r="V232" s="435" t="s">
        <v>1250</v>
      </c>
      <c r="W232" s="27"/>
      <c r="X232" s="27" t="s">
        <v>615</v>
      </c>
      <c r="Y232" s="27" t="s">
        <v>624</v>
      </c>
      <c r="Z232" s="27"/>
    </row>
    <row r="233" spans="1:26" s="1" customFormat="1" ht="144.94999999999999">
      <c r="A233" s="143" t="s">
        <v>309</v>
      </c>
      <c r="B233" s="151">
        <v>11</v>
      </c>
      <c r="C233" s="152" t="s">
        <v>1112</v>
      </c>
      <c r="D233" s="153" t="s">
        <v>1240</v>
      </c>
      <c r="E233" s="197" t="s">
        <v>1241</v>
      </c>
      <c r="F233" s="88" t="s">
        <v>1251</v>
      </c>
      <c r="G233" s="88" t="s">
        <v>1252</v>
      </c>
      <c r="H233" s="88" t="s">
        <v>348</v>
      </c>
      <c r="I233" s="88" t="s">
        <v>377</v>
      </c>
      <c r="J233" s="205" t="s">
        <v>1253</v>
      </c>
      <c r="K233" s="20" t="s">
        <v>1254</v>
      </c>
      <c r="L233" s="20" t="s">
        <v>54</v>
      </c>
      <c r="M233" s="27" t="s">
        <v>368</v>
      </c>
      <c r="N233" s="390" t="s">
        <v>1255</v>
      </c>
      <c r="O233" s="25"/>
      <c r="P233" s="25"/>
      <c r="Q233" s="20" t="s">
        <v>1256</v>
      </c>
      <c r="R233" s="89" t="s">
        <v>409</v>
      </c>
      <c r="S233" s="88" t="s">
        <v>1257</v>
      </c>
      <c r="T233" s="20" t="s">
        <v>1258</v>
      </c>
      <c r="U233" s="435" t="s">
        <v>1259</v>
      </c>
      <c r="V233" s="435" t="s">
        <v>534</v>
      </c>
      <c r="W233" s="27"/>
      <c r="X233" s="27" t="s">
        <v>615</v>
      </c>
      <c r="Y233" s="27" t="s">
        <v>624</v>
      </c>
      <c r="Z233" s="27"/>
    </row>
    <row r="234" spans="1:26" s="1" customFormat="1" ht="43.5" hidden="1">
      <c r="A234" s="143" t="s">
        <v>309</v>
      </c>
      <c r="B234" s="151">
        <v>11</v>
      </c>
      <c r="C234" s="152" t="s">
        <v>1112</v>
      </c>
      <c r="D234" s="153" t="s">
        <v>1240</v>
      </c>
      <c r="E234" s="197" t="s">
        <v>1241</v>
      </c>
      <c r="F234" s="88" t="s">
        <v>1251</v>
      </c>
      <c r="G234" s="88" t="s">
        <v>1252</v>
      </c>
      <c r="H234" s="88" t="s">
        <v>348</v>
      </c>
      <c r="I234" s="88" t="s">
        <v>377</v>
      </c>
      <c r="J234" s="205" t="s">
        <v>1253</v>
      </c>
      <c r="K234" s="20" t="s">
        <v>1254</v>
      </c>
      <c r="L234" s="20" t="s">
        <v>54</v>
      </c>
      <c r="M234" s="27" t="s">
        <v>368</v>
      </c>
      <c r="N234" s="390" t="s">
        <v>1260</v>
      </c>
      <c r="O234" s="25"/>
      <c r="P234" s="25"/>
      <c r="Q234" s="27" t="s">
        <v>363</v>
      </c>
      <c r="R234" s="89" t="s">
        <v>409</v>
      </c>
      <c r="S234" s="88" t="s">
        <v>1257</v>
      </c>
      <c r="T234" s="25"/>
      <c r="U234" s="25"/>
      <c r="V234" s="25"/>
      <c r="W234" s="27"/>
      <c r="X234" s="27" t="s">
        <v>615</v>
      </c>
      <c r="Y234" s="27" t="s">
        <v>624</v>
      </c>
      <c r="Z234" s="27"/>
    </row>
    <row r="235" spans="1:26" s="1" customFormat="1" ht="43.5" hidden="1">
      <c r="A235" s="143" t="s">
        <v>309</v>
      </c>
      <c r="B235" s="151">
        <v>11</v>
      </c>
      <c r="C235" s="152" t="s">
        <v>1112</v>
      </c>
      <c r="D235" s="153" t="s">
        <v>1240</v>
      </c>
      <c r="E235" s="197" t="s">
        <v>1241</v>
      </c>
      <c r="F235" s="88" t="s">
        <v>1251</v>
      </c>
      <c r="G235" s="88" t="s">
        <v>1252</v>
      </c>
      <c r="H235" s="88" t="s">
        <v>348</v>
      </c>
      <c r="I235" s="88" t="s">
        <v>377</v>
      </c>
      <c r="J235" s="205" t="s">
        <v>1253</v>
      </c>
      <c r="K235" s="20" t="s">
        <v>1254</v>
      </c>
      <c r="L235" s="20" t="s">
        <v>54</v>
      </c>
      <c r="M235" s="27" t="s">
        <v>368</v>
      </c>
      <c r="N235" s="390" t="s">
        <v>1261</v>
      </c>
      <c r="O235" s="25"/>
      <c r="P235" s="25"/>
      <c r="Q235" s="27" t="s">
        <v>363</v>
      </c>
      <c r="R235" s="89" t="s">
        <v>409</v>
      </c>
      <c r="S235" s="88" t="s">
        <v>1257</v>
      </c>
      <c r="T235" s="25"/>
      <c r="U235" s="25"/>
      <c r="V235" s="25"/>
      <c r="W235" s="27"/>
      <c r="X235" s="27" t="s">
        <v>615</v>
      </c>
      <c r="Y235" s="27" t="s">
        <v>624</v>
      </c>
      <c r="Z235" s="27"/>
    </row>
    <row r="236" spans="1:26" s="1" customFormat="1" ht="43.5" hidden="1">
      <c r="A236" s="143" t="s">
        <v>309</v>
      </c>
      <c r="B236" s="151">
        <v>11</v>
      </c>
      <c r="C236" s="152" t="s">
        <v>1112</v>
      </c>
      <c r="D236" s="153" t="s">
        <v>1240</v>
      </c>
      <c r="E236" s="197" t="s">
        <v>1241</v>
      </c>
      <c r="F236" s="88" t="s">
        <v>1251</v>
      </c>
      <c r="G236" s="88" t="s">
        <v>1252</v>
      </c>
      <c r="H236" s="88" t="s">
        <v>348</v>
      </c>
      <c r="I236" s="88" t="s">
        <v>377</v>
      </c>
      <c r="J236" s="205" t="s">
        <v>1253</v>
      </c>
      <c r="K236" s="20" t="s">
        <v>1254</v>
      </c>
      <c r="L236" s="20" t="s">
        <v>54</v>
      </c>
      <c r="M236" s="27" t="s">
        <v>368</v>
      </c>
      <c r="N236" s="390" t="s">
        <v>1262</v>
      </c>
      <c r="O236" s="25"/>
      <c r="P236" s="25"/>
      <c r="Q236" s="27" t="s">
        <v>363</v>
      </c>
      <c r="R236" s="89"/>
      <c r="S236" s="88"/>
      <c r="T236" s="25"/>
      <c r="U236" s="25"/>
      <c r="V236" s="25"/>
      <c r="W236" s="27"/>
      <c r="X236" s="27"/>
      <c r="Y236" s="27"/>
      <c r="Z236" s="27"/>
    </row>
    <row r="237" spans="1:26" s="1" customFormat="1" ht="43.5" hidden="1">
      <c r="A237" s="143" t="s">
        <v>309</v>
      </c>
      <c r="B237" s="151">
        <v>11</v>
      </c>
      <c r="C237" s="152" t="s">
        <v>1112</v>
      </c>
      <c r="D237" s="153" t="s">
        <v>1240</v>
      </c>
      <c r="E237" s="197" t="s">
        <v>1241</v>
      </c>
      <c r="F237" s="88" t="s">
        <v>1251</v>
      </c>
      <c r="G237" s="88" t="s">
        <v>1252</v>
      </c>
      <c r="H237" s="88" t="s">
        <v>348</v>
      </c>
      <c r="I237" s="88" t="s">
        <v>377</v>
      </c>
      <c r="J237" s="205" t="s">
        <v>1253</v>
      </c>
      <c r="K237" s="20" t="s">
        <v>1254</v>
      </c>
      <c r="L237" s="20" t="s">
        <v>54</v>
      </c>
      <c r="M237" s="27" t="s">
        <v>368</v>
      </c>
      <c r="N237" s="390" t="s">
        <v>1263</v>
      </c>
      <c r="O237" s="25"/>
      <c r="P237" s="25"/>
      <c r="Q237" s="27" t="s">
        <v>363</v>
      </c>
      <c r="R237" s="89"/>
      <c r="S237" s="88"/>
      <c r="T237" s="25"/>
      <c r="U237" s="25"/>
      <c r="V237" s="25"/>
      <c r="W237" s="27"/>
      <c r="X237" s="27"/>
      <c r="Y237" s="27"/>
      <c r="Z237" s="27"/>
    </row>
    <row r="238" spans="1:26" s="1" customFormat="1" ht="144.94999999999999">
      <c r="A238" s="143" t="s">
        <v>309</v>
      </c>
      <c r="B238" s="151">
        <v>11</v>
      </c>
      <c r="C238" s="152" t="s">
        <v>1112</v>
      </c>
      <c r="D238" s="149" t="s">
        <v>1264</v>
      </c>
      <c r="E238" s="150" t="s">
        <v>1265</v>
      </c>
      <c r="F238" s="88" t="s">
        <v>1266</v>
      </c>
      <c r="G238" s="88" t="s">
        <v>1267</v>
      </c>
      <c r="H238" s="88" t="s">
        <v>348</v>
      </c>
      <c r="I238" s="88" t="s">
        <v>570</v>
      </c>
      <c r="J238" s="20" t="str">
        <f>+G238</f>
        <v xml:space="preserve">Potenciar la visita a espais alternatius dins de l'àmbit d'influència de l'espai natural per reduir la pressió en zones sensibles </v>
      </c>
      <c r="K238" s="20"/>
      <c r="L238" s="20" t="s">
        <v>54</v>
      </c>
      <c r="M238" s="27" t="s">
        <v>368</v>
      </c>
      <c r="N238" s="390" t="s">
        <v>1268</v>
      </c>
      <c r="O238" s="25"/>
      <c r="P238" s="25"/>
      <c r="Q238" s="20" t="s">
        <v>1269</v>
      </c>
      <c r="R238" s="89"/>
      <c r="S238" s="89"/>
      <c r="T238" s="20" t="s">
        <v>1270</v>
      </c>
      <c r="U238" s="435" t="s">
        <v>1271</v>
      </c>
      <c r="V238" s="435" t="s">
        <v>667</v>
      </c>
      <c r="W238" s="27"/>
      <c r="X238" s="27" t="s">
        <v>632</v>
      </c>
      <c r="Y238" s="27" t="s">
        <v>1272</v>
      </c>
      <c r="Z238" s="27"/>
    </row>
    <row r="239" spans="1:26" s="1" customFormat="1" ht="43.5" hidden="1">
      <c r="A239" s="143" t="s">
        <v>309</v>
      </c>
      <c r="B239" s="151">
        <v>11</v>
      </c>
      <c r="C239" s="152" t="s">
        <v>1112</v>
      </c>
      <c r="D239" s="149" t="s">
        <v>1264</v>
      </c>
      <c r="E239" s="150" t="s">
        <v>1265</v>
      </c>
      <c r="F239" s="88" t="s">
        <v>1266</v>
      </c>
      <c r="G239" s="88" t="s">
        <v>1267</v>
      </c>
      <c r="H239" s="88" t="s">
        <v>348</v>
      </c>
      <c r="I239" s="88" t="s">
        <v>570</v>
      </c>
      <c r="J239" s="20" t="str">
        <f>+G239</f>
        <v xml:space="preserve">Potenciar la visita a espais alternatius dins de l'àmbit d'influència de l'espai natural per reduir la pressió en zones sensibles </v>
      </c>
      <c r="K239" s="20"/>
      <c r="L239" s="20" t="s">
        <v>54</v>
      </c>
      <c r="M239" s="27"/>
      <c r="N239" s="393" t="s">
        <v>1273</v>
      </c>
      <c r="O239" s="25"/>
      <c r="P239" s="25"/>
      <c r="Q239" s="27" t="s">
        <v>363</v>
      </c>
      <c r="R239" s="89"/>
      <c r="S239" s="89"/>
      <c r="T239" s="25"/>
      <c r="U239" s="25"/>
      <c r="V239" s="25"/>
      <c r="W239" s="27"/>
      <c r="X239" s="27"/>
      <c r="Y239" s="27"/>
      <c r="Z239" s="27"/>
    </row>
    <row r="240" spans="1:26" s="1" customFormat="1" ht="43.5" hidden="1">
      <c r="A240" s="143" t="s">
        <v>309</v>
      </c>
      <c r="B240" s="151">
        <v>11</v>
      </c>
      <c r="C240" s="152" t="s">
        <v>1112</v>
      </c>
      <c r="D240" s="153" t="s">
        <v>1264</v>
      </c>
      <c r="E240" s="197" t="s">
        <v>1265</v>
      </c>
      <c r="F240" s="88" t="s">
        <v>1274</v>
      </c>
      <c r="G240" s="131" t="s">
        <v>1275</v>
      </c>
      <c r="H240" s="88" t="s">
        <v>348</v>
      </c>
      <c r="I240" s="88" t="s">
        <v>570</v>
      </c>
      <c r="J240" s="20" t="s">
        <v>1275</v>
      </c>
      <c r="K240" s="20" t="s">
        <v>1276</v>
      </c>
      <c r="L240" s="214" t="s">
        <v>107</v>
      </c>
      <c r="M240" s="27" t="s">
        <v>378</v>
      </c>
      <c r="N240" s="27"/>
      <c r="O240" s="25"/>
      <c r="P240" s="25"/>
      <c r="Q240" s="27" t="s">
        <v>363</v>
      </c>
      <c r="R240" s="89"/>
      <c r="S240" s="89"/>
      <c r="T240" s="25"/>
      <c r="U240" s="25"/>
      <c r="V240" s="25"/>
      <c r="W240" s="27"/>
      <c r="X240" s="27"/>
      <c r="Y240" s="27"/>
      <c r="Z240" s="27"/>
    </row>
    <row r="241" spans="1:26" s="1" customFormat="1" ht="174">
      <c r="A241" s="143" t="s">
        <v>309</v>
      </c>
      <c r="B241" s="151">
        <v>11</v>
      </c>
      <c r="C241" s="152" t="s">
        <v>1112</v>
      </c>
      <c r="D241" s="149" t="s">
        <v>1277</v>
      </c>
      <c r="E241" s="150" t="s">
        <v>1278</v>
      </c>
      <c r="F241" s="88" t="s">
        <v>1279</v>
      </c>
      <c r="G241" s="88" t="s">
        <v>1280</v>
      </c>
      <c r="H241" s="88" t="s">
        <v>348</v>
      </c>
      <c r="I241" s="88" t="s">
        <v>377</v>
      </c>
      <c r="J241" s="20" t="str">
        <f>G241</f>
        <v>Adequar els principals accessos, aparcaments i centres d'interès amb un ús elevat</v>
      </c>
      <c r="K241" s="20"/>
      <c r="L241" s="20" t="s">
        <v>54</v>
      </c>
      <c r="M241" s="27" t="s">
        <v>378</v>
      </c>
      <c r="N241" s="393" t="s">
        <v>1281</v>
      </c>
      <c r="O241" s="25"/>
      <c r="P241" s="25"/>
      <c r="Q241" s="20" t="s">
        <v>1282</v>
      </c>
      <c r="R241" s="89"/>
      <c r="S241" s="89"/>
      <c r="T241" s="20" t="s">
        <v>1283</v>
      </c>
      <c r="U241" s="435" t="s">
        <v>1284</v>
      </c>
      <c r="V241" s="435" t="s">
        <v>1285</v>
      </c>
      <c r="W241" s="27"/>
      <c r="X241" s="27" t="s">
        <v>615</v>
      </c>
      <c r="Y241" s="27" t="s">
        <v>624</v>
      </c>
      <c r="Z241" s="27"/>
    </row>
    <row r="242" spans="1:26" s="1" customFormat="1" ht="57.95" hidden="1" customHeight="1">
      <c r="A242" s="143" t="s">
        <v>309</v>
      </c>
      <c r="B242" s="151">
        <v>11</v>
      </c>
      <c r="C242" s="152" t="s">
        <v>1112</v>
      </c>
      <c r="D242" s="153" t="s">
        <v>1277</v>
      </c>
      <c r="E242" s="197" t="s">
        <v>1278</v>
      </c>
      <c r="F242" s="88" t="s">
        <v>1279</v>
      </c>
      <c r="G242" s="88" t="s">
        <v>1280</v>
      </c>
      <c r="H242" s="88" t="s">
        <v>348</v>
      </c>
      <c r="I242" s="88" t="s">
        <v>377</v>
      </c>
      <c r="J242" s="20" t="str">
        <f>G242</f>
        <v>Adequar els principals accessos, aparcaments i centres d'interès amb un ús elevat</v>
      </c>
      <c r="K242" s="20"/>
      <c r="L242" s="20" t="s">
        <v>54</v>
      </c>
      <c r="M242" s="27" t="s">
        <v>378</v>
      </c>
      <c r="N242" s="393" t="s">
        <v>1286</v>
      </c>
      <c r="O242" s="25"/>
      <c r="P242" s="25"/>
      <c r="Q242" s="27" t="s">
        <v>363</v>
      </c>
      <c r="R242" s="89"/>
      <c r="S242" s="89"/>
      <c r="T242" s="25"/>
      <c r="U242" s="25"/>
      <c r="V242" s="25"/>
      <c r="W242" s="27"/>
      <c r="X242" s="27"/>
      <c r="Y242" s="27"/>
      <c r="Z242" s="27"/>
    </row>
    <row r="243" spans="1:26" s="1" customFormat="1" ht="43.5" hidden="1" customHeight="1">
      <c r="A243" s="143" t="s">
        <v>309</v>
      </c>
      <c r="B243" s="151">
        <v>11</v>
      </c>
      <c r="C243" s="152" t="s">
        <v>1112</v>
      </c>
      <c r="D243" s="153" t="s">
        <v>1277</v>
      </c>
      <c r="E243" s="197" t="s">
        <v>1278</v>
      </c>
      <c r="F243" s="88" t="s">
        <v>1279</v>
      </c>
      <c r="G243" s="88" t="s">
        <v>1280</v>
      </c>
      <c r="H243" s="88" t="s">
        <v>348</v>
      </c>
      <c r="I243" s="88" t="s">
        <v>377</v>
      </c>
      <c r="J243" s="20" t="str">
        <f>G243</f>
        <v>Adequar els principals accessos, aparcaments i centres d'interès amb un ús elevat</v>
      </c>
      <c r="K243" s="20"/>
      <c r="L243" s="20" t="s">
        <v>54</v>
      </c>
      <c r="M243" s="27" t="s">
        <v>378</v>
      </c>
      <c r="N243" s="393" t="s">
        <v>1287</v>
      </c>
      <c r="O243" s="25"/>
      <c r="P243" s="25"/>
      <c r="Q243" s="27" t="s">
        <v>363</v>
      </c>
      <c r="R243" s="89"/>
      <c r="S243" s="89"/>
      <c r="T243" s="25"/>
      <c r="U243" s="25"/>
      <c r="V243" s="25"/>
      <c r="W243" s="27"/>
      <c r="X243" s="27"/>
      <c r="Y243" s="27"/>
      <c r="Z243" s="27"/>
    </row>
    <row r="244" spans="1:26" s="1" customFormat="1" ht="43.5" hidden="1" customHeight="1">
      <c r="A244" s="143" t="s">
        <v>309</v>
      </c>
      <c r="B244" s="151">
        <v>11</v>
      </c>
      <c r="C244" s="152" t="s">
        <v>1112</v>
      </c>
      <c r="D244" s="153" t="s">
        <v>1277</v>
      </c>
      <c r="E244" s="197" t="s">
        <v>1278</v>
      </c>
      <c r="F244" s="88" t="s">
        <v>1279</v>
      </c>
      <c r="G244" s="88" t="s">
        <v>1280</v>
      </c>
      <c r="H244" s="88" t="s">
        <v>348</v>
      </c>
      <c r="I244" s="88" t="s">
        <v>377</v>
      </c>
      <c r="J244" s="20" t="str">
        <f>G244</f>
        <v>Adequar els principals accessos, aparcaments i centres d'interès amb un ús elevat</v>
      </c>
      <c r="K244" s="20"/>
      <c r="L244" s="20" t="s">
        <v>54</v>
      </c>
      <c r="M244" s="27" t="s">
        <v>378</v>
      </c>
      <c r="N244" s="390" t="s">
        <v>1288</v>
      </c>
      <c r="O244" s="25"/>
      <c r="P244" s="25"/>
      <c r="Q244" s="27" t="s">
        <v>363</v>
      </c>
      <c r="R244" s="89"/>
      <c r="S244" s="89"/>
      <c r="T244" s="25"/>
      <c r="U244" s="25"/>
      <c r="V244" s="25"/>
      <c r="W244" s="27"/>
      <c r="X244" s="27" t="s">
        <v>632</v>
      </c>
      <c r="Y244" s="27" t="s">
        <v>616</v>
      </c>
      <c r="Z244" s="27"/>
    </row>
    <row r="245" spans="1:26" s="1" customFormat="1" ht="203.1">
      <c r="A245" s="143" t="s">
        <v>309</v>
      </c>
      <c r="B245" s="151">
        <v>11</v>
      </c>
      <c r="C245" s="152" t="s">
        <v>1112</v>
      </c>
      <c r="D245" s="153" t="s">
        <v>1277</v>
      </c>
      <c r="E245" s="197" t="s">
        <v>1278</v>
      </c>
      <c r="F245" s="88" t="s">
        <v>1289</v>
      </c>
      <c r="G245" s="88" t="s">
        <v>1290</v>
      </c>
      <c r="H245" s="372" t="s">
        <v>348</v>
      </c>
      <c r="I245" s="372" t="s">
        <v>377</v>
      </c>
      <c r="J245" s="373" t="str">
        <f t="shared" ref="J245:J250" si="6">G245</f>
        <v>Disposar i mantenir els serveis, equipaments i infraestructures necessàries i accessibles per acollir, informar, facilitar la visita i garantir la seguretat dels visitants i la protecció de l'entorn</v>
      </c>
      <c r="K245" s="20"/>
      <c r="L245" s="20" t="s">
        <v>54</v>
      </c>
      <c r="M245" s="27"/>
      <c r="N245" s="390" t="s">
        <v>1291</v>
      </c>
      <c r="O245" s="400"/>
      <c r="P245" s="400"/>
      <c r="Q245" s="20" t="s">
        <v>1292</v>
      </c>
      <c r="R245" s="89"/>
      <c r="S245" s="89"/>
      <c r="T245" s="20" t="s">
        <v>1293</v>
      </c>
      <c r="U245" s="438" t="s">
        <v>1294</v>
      </c>
      <c r="V245" s="438" t="s">
        <v>1295</v>
      </c>
      <c r="W245" s="27"/>
      <c r="X245" s="27" t="s">
        <v>615</v>
      </c>
      <c r="Y245" s="27" t="s">
        <v>624</v>
      </c>
      <c r="Z245" s="27"/>
    </row>
    <row r="246" spans="1:26" s="1" customFormat="1" ht="72.599999999999994" hidden="1">
      <c r="A246" s="143" t="s">
        <v>309</v>
      </c>
      <c r="B246" s="151">
        <v>11</v>
      </c>
      <c r="C246" s="152" t="s">
        <v>1112</v>
      </c>
      <c r="D246" s="153" t="s">
        <v>1277</v>
      </c>
      <c r="E246" s="197" t="s">
        <v>1278</v>
      </c>
      <c r="F246" s="88" t="s">
        <v>1289</v>
      </c>
      <c r="G246" s="88" t="s">
        <v>1290</v>
      </c>
      <c r="H246" s="88" t="s">
        <v>348</v>
      </c>
      <c r="I246" s="88" t="s">
        <v>377</v>
      </c>
      <c r="J246" s="373" t="str">
        <f t="shared" si="6"/>
        <v>Disposar i mantenir els serveis, equipaments i infraestructures necessàries i accessibles per acollir, informar, facilitar la visita i garantir la seguretat dels visitants i la protecció de l'entorn</v>
      </c>
      <c r="K246" s="20"/>
      <c r="L246" s="20" t="s">
        <v>54</v>
      </c>
      <c r="M246" s="27"/>
      <c r="N246" s="390" t="s">
        <v>1296</v>
      </c>
      <c r="O246" s="25"/>
      <c r="P246" s="25"/>
      <c r="Q246" s="27" t="s">
        <v>363</v>
      </c>
      <c r="R246" s="89"/>
      <c r="S246" s="89"/>
      <c r="T246" s="25"/>
      <c r="U246" s="25"/>
      <c r="V246" s="25"/>
      <c r="W246" s="27"/>
      <c r="X246" s="27" t="s">
        <v>615</v>
      </c>
      <c r="Y246" s="27" t="s">
        <v>624</v>
      </c>
      <c r="Z246" s="27"/>
    </row>
    <row r="247" spans="1:26" s="1" customFormat="1" ht="72.599999999999994" hidden="1">
      <c r="A247" s="143" t="s">
        <v>309</v>
      </c>
      <c r="B247" s="151">
        <v>11</v>
      </c>
      <c r="C247" s="152" t="s">
        <v>1112</v>
      </c>
      <c r="D247" s="153" t="s">
        <v>1277</v>
      </c>
      <c r="E247" s="197" t="s">
        <v>1278</v>
      </c>
      <c r="F247" s="88" t="s">
        <v>1289</v>
      </c>
      <c r="G247" s="88" t="s">
        <v>1290</v>
      </c>
      <c r="H247" s="88" t="s">
        <v>348</v>
      </c>
      <c r="I247" s="88" t="s">
        <v>377</v>
      </c>
      <c r="J247" s="373" t="str">
        <f t="shared" si="6"/>
        <v>Disposar i mantenir els serveis, equipaments i infraestructures necessàries i accessibles per acollir, informar, facilitar la visita i garantir la seguretat dels visitants i la protecció de l'entorn</v>
      </c>
      <c r="K247" s="20"/>
      <c r="L247" s="20" t="s">
        <v>54</v>
      </c>
      <c r="M247" s="27"/>
      <c r="N247" s="390" t="s">
        <v>1297</v>
      </c>
      <c r="O247" s="25"/>
      <c r="P247" s="25"/>
      <c r="Q247" s="27" t="s">
        <v>363</v>
      </c>
      <c r="R247" s="89"/>
      <c r="S247" s="89"/>
      <c r="T247" s="25"/>
      <c r="U247" s="25"/>
      <c r="V247" s="25"/>
      <c r="W247" s="27"/>
      <c r="X247" s="27" t="s">
        <v>615</v>
      </c>
      <c r="Y247" s="27" t="s">
        <v>624</v>
      </c>
      <c r="Z247" s="27"/>
    </row>
    <row r="248" spans="1:26" s="1" customFormat="1" ht="72.599999999999994" hidden="1">
      <c r="A248" s="143" t="s">
        <v>309</v>
      </c>
      <c r="B248" s="151">
        <v>11</v>
      </c>
      <c r="C248" s="152" t="s">
        <v>1112</v>
      </c>
      <c r="D248" s="153" t="s">
        <v>1277</v>
      </c>
      <c r="E248" s="197" t="s">
        <v>1278</v>
      </c>
      <c r="F248" s="88" t="s">
        <v>1289</v>
      </c>
      <c r="G248" s="88" t="s">
        <v>1290</v>
      </c>
      <c r="H248" s="88" t="s">
        <v>348</v>
      </c>
      <c r="I248" s="88" t="s">
        <v>377</v>
      </c>
      <c r="J248" s="373" t="str">
        <f t="shared" si="6"/>
        <v>Disposar i mantenir els serveis, equipaments i infraestructures necessàries i accessibles per acollir, informar, facilitar la visita i garantir la seguretat dels visitants i la protecció de l'entorn</v>
      </c>
      <c r="K248" s="20"/>
      <c r="L248" s="20" t="s">
        <v>54</v>
      </c>
      <c r="M248" s="27"/>
      <c r="N248" s="390" t="s">
        <v>1298</v>
      </c>
      <c r="O248" s="400"/>
      <c r="P248" s="400"/>
      <c r="Q248" s="27" t="s">
        <v>363</v>
      </c>
      <c r="R248" s="89"/>
      <c r="S248" s="89"/>
      <c r="T248" s="25"/>
      <c r="U248" s="25"/>
      <c r="V248" s="25"/>
      <c r="W248" s="27"/>
      <c r="X248" s="27" t="s">
        <v>615</v>
      </c>
      <c r="Y248" s="27" t="s">
        <v>624</v>
      </c>
      <c r="Z248" s="27"/>
    </row>
    <row r="249" spans="1:26" s="1" customFormat="1" ht="72.599999999999994" hidden="1">
      <c r="A249" s="143" t="s">
        <v>309</v>
      </c>
      <c r="B249" s="151">
        <v>11</v>
      </c>
      <c r="C249" s="152" t="s">
        <v>1112</v>
      </c>
      <c r="D249" s="153" t="s">
        <v>1277</v>
      </c>
      <c r="E249" s="197" t="s">
        <v>1278</v>
      </c>
      <c r="F249" s="88" t="s">
        <v>1289</v>
      </c>
      <c r="G249" s="88" t="s">
        <v>1290</v>
      </c>
      <c r="H249" s="88" t="s">
        <v>348</v>
      </c>
      <c r="I249" s="88" t="s">
        <v>377</v>
      </c>
      <c r="J249" s="373" t="str">
        <f t="shared" si="6"/>
        <v>Disposar i mantenir els serveis, equipaments i infraestructures necessàries i accessibles per acollir, informar, facilitar la visita i garantir la seguretat dels visitants i la protecció de l'entorn</v>
      </c>
      <c r="K249" s="20"/>
      <c r="L249" s="20" t="s">
        <v>54</v>
      </c>
      <c r="M249" s="27"/>
      <c r="N249" s="389" t="s">
        <v>1299</v>
      </c>
      <c r="O249" s="25"/>
      <c r="P249" s="25"/>
      <c r="Q249" s="27" t="s">
        <v>363</v>
      </c>
      <c r="R249" s="89"/>
      <c r="S249" s="89"/>
      <c r="T249" s="25"/>
      <c r="U249" s="25"/>
      <c r="V249" s="25"/>
      <c r="W249" s="27"/>
      <c r="X249" s="27" t="s">
        <v>615</v>
      </c>
      <c r="Y249" s="27" t="s">
        <v>624</v>
      </c>
      <c r="Z249" s="27"/>
    </row>
    <row r="250" spans="1:26" s="1" customFormat="1" ht="72.599999999999994" hidden="1">
      <c r="A250" s="143" t="s">
        <v>309</v>
      </c>
      <c r="B250" s="151">
        <v>11</v>
      </c>
      <c r="C250" s="152" t="s">
        <v>1112</v>
      </c>
      <c r="D250" s="153" t="s">
        <v>1277</v>
      </c>
      <c r="E250" s="197" t="s">
        <v>1278</v>
      </c>
      <c r="F250" s="88" t="s">
        <v>1289</v>
      </c>
      <c r="G250" s="88" t="s">
        <v>1290</v>
      </c>
      <c r="H250" s="88" t="s">
        <v>348</v>
      </c>
      <c r="I250" s="88" t="s">
        <v>377</v>
      </c>
      <c r="J250" s="373" t="str">
        <f t="shared" si="6"/>
        <v>Disposar i mantenir els serveis, equipaments i infraestructures necessàries i accessibles per acollir, informar, facilitar la visita i garantir la seguretat dels visitants i la protecció de l'entorn</v>
      </c>
      <c r="K250" s="20"/>
      <c r="L250" s="20" t="s">
        <v>54</v>
      </c>
      <c r="M250" s="27"/>
      <c r="N250" s="390" t="s">
        <v>1300</v>
      </c>
      <c r="O250" s="25"/>
      <c r="P250" s="25"/>
      <c r="Q250" s="27" t="s">
        <v>363</v>
      </c>
      <c r="R250" s="89"/>
      <c r="S250" s="89"/>
      <c r="T250" s="25"/>
      <c r="U250" s="25"/>
      <c r="V250" s="25"/>
      <c r="W250" s="27"/>
      <c r="X250" s="27" t="s">
        <v>615</v>
      </c>
      <c r="Y250" s="27" t="s">
        <v>624</v>
      </c>
      <c r="Z250" s="27"/>
    </row>
    <row r="251" spans="1:26" s="1" customFormat="1" ht="72.599999999999994" hidden="1">
      <c r="A251" s="143" t="s">
        <v>309</v>
      </c>
      <c r="B251" s="151">
        <v>11</v>
      </c>
      <c r="C251" s="152" t="s">
        <v>1112</v>
      </c>
      <c r="D251" s="153" t="s">
        <v>1277</v>
      </c>
      <c r="E251" s="197" t="s">
        <v>1278</v>
      </c>
      <c r="F251" s="88" t="s">
        <v>1289</v>
      </c>
      <c r="G251" s="88" t="s">
        <v>1290</v>
      </c>
      <c r="H251" s="88" t="s">
        <v>348</v>
      </c>
      <c r="I251" s="88" t="s">
        <v>377</v>
      </c>
      <c r="J251" s="373" t="str">
        <f>G251</f>
        <v>Disposar i mantenir els serveis, equipaments i infraestructures necessàries i accessibles per acollir, informar, facilitar la visita i garantir la seguretat dels visitants i la protecció de l'entorn</v>
      </c>
      <c r="K251" s="20"/>
      <c r="L251" s="20" t="s">
        <v>54</v>
      </c>
      <c r="M251" s="27"/>
      <c r="N251" s="390" t="s">
        <v>1301</v>
      </c>
      <c r="O251" s="25"/>
      <c r="P251" s="25"/>
      <c r="Q251" s="27" t="s">
        <v>363</v>
      </c>
      <c r="R251" s="89"/>
      <c r="S251" s="89"/>
      <c r="T251" s="25"/>
      <c r="U251" s="25"/>
      <c r="V251" s="25"/>
      <c r="W251" s="27"/>
      <c r="X251" s="27" t="s">
        <v>615</v>
      </c>
      <c r="Y251" s="27" t="s">
        <v>624</v>
      </c>
      <c r="Z251" s="27"/>
    </row>
    <row r="252" spans="1:26" s="1" customFormat="1" ht="72.599999999999994" hidden="1">
      <c r="A252" s="143" t="s">
        <v>309</v>
      </c>
      <c r="B252" s="151">
        <v>11</v>
      </c>
      <c r="C252" s="152" t="s">
        <v>1112</v>
      </c>
      <c r="D252" s="153" t="s">
        <v>1277</v>
      </c>
      <c r="E252" s="197" t="s">
        <v>1278</v>
      </c>
      <c r="F252" s="88" t="s">
        <v>1289</v>
      </c>
      <c r="G252" s="88" t="s">
        <v>1290</v>
      </c>
      <c r="H252" s="88" t="s">
        <v>348</v>
      </c>
      <c r="I252" s="88" t="s">
        <v>377</v>
      </c>
      <c r="J252" s="373" t="str">
        <f>G252</f>
        <v>Disposar i mantenir els serveis, equipaments i infraestructures necessàries i accessibles per acollir, informar, facilitar la visita i garantir la seguretat dels visitants i la protecció de l'entorn</v>
      </c>
      <c r="K252" s="20"/>
      <c r="L252" s="20" t="s">
        <v>54</v>
      </c>
      <c r="M252" s="27"/>
      <c r="N252" s="390" t="s">
        <v>1302</v>
      </c>
      <c r="O252" s="400"/>
      <c r="P252" s="400"/>
      <c r="Q252" s="27" t="s">
        <v>363</v>
      </c>
      <c r="R252" s="89"/>
      <c r="S252" s="89"/>
      <c r="T252" s="25"/>
      <c r="U252" s="25"/>
      <c r="V252" s="25"/>
      <c r="W252" s="27"/>
      <c r="X252" s="27" t="s">
        <v>615</v>
      </c>
      <c r="Y252" s="27" t="s">
        <v>624</v>
      </c>
      <c r="Z252" s="27"/>
    </row>
    <row r="253" spans="1:26" s="1" customFormat="1" ht="72.599999999999994" hidden="1">
      <c r="A253" s="143" t="s">
        <v>309</v>
      </c>
      <c r="B253" s="151">
        <v>11</v>
      </c>
      <c r="C253" s="152" t="s">
        <v>1112</v>
      </c>
      <c r="D253" s="153" t="s">
        <v>1277</v>
      </c>
      <c r="E253" s="197" t="s">
        <v>1278</v>
      </c>
      <c r="F253" s="88" t="s">
        <v>1289</v>
      </c>
      <c r="G253" s="88" t="s">
        <v>1290</v>
      </c>
      <c r="H253" s="88" t="s">
        <v>348</v>
      </c>
      <c r="I253" s="88" t="s">
        <v>377</v>
      </c>
      <c r="J253" s="373" t="str">
        <f>G253</f>
        <v>Disposar i mantenir els serveis, equipaments i infraestructures necessàries i accessibles per acollir, informar, facilitar la visita i garantir la seguretat dels visitants i la protecció de l'entorn</v>
      </c>
      <c r="K253" s="20"/>
      <c r="L253" s="20" t="s">
        <v>54</v>
      </c>
      <c r="M253" s="27"/>
      <c r="N253" s="390" t="s">
        <v>1303</v>
      </c>
      <c r="O253" s="25"/>
      <c r="P253" s="25"/>
      <c r="Q253" s="27" t="s">
        <v>363</v>
      </c>
      <c r="R253" s="89"/>
      <c r="S253" s="89"/>
      <c r="T253" s="25"/>
      <c r="U253" s="25"/>
      <c r="V253" s="25"/>
      <c r="W253" s="27"/>
      <c r="X253" s="27" t="s">
        <v>615</v>
      </c>
      <c r="Y253" s="27" t="s">
        <v>624</v>
      </c>
      <c r="Z253" s="27"/>
    </row>
    <row r="254" spans="1:26" s="1" customFormat="1" ht="72.599999999999994" hidden="1">
      <c r="A254" s="143" t="s">
        <v>309</v>
      </c>
      <c r="B254" s="151">
        <v>11</v>
      </c>
      <c r="C254" s="152" t="s">
        <v>1112</v>
      </c>
      <c r="D254" s="153" t="s">
        <v>1277</v>
      </c>
      <c r="E254" s="197" t="s">
        <v>1278</v>
      </c>
      <c r="F254" s="88" t="s">
        <v>1289</v>
      </c>
      <c r="G254" s="88" t="s">
        <v>1290</v>
      </c>
      <c r="H254" s="88" t="s">
        <v>348</v>
      </c>
      <c r="I254" s="88" t="s">
        <v>377</v>
      </c>
      <c r="J254" s="20" t="str">
        <f t="shared" ref="J254:J270" si="7">G254</f>
        <v>Disposar i mantenir els serveis, equipaments i infraestructures necessàries i accessibles per acollir, informar, facilitar la visita i garantir la seguretat dels visitants i la protecció de l'entorn</v>
      </c>
      <c r="K254" s="20"/>
      <c r="L254" s="20" t="s">
        <v>54</v>
      </c>
      <c r="M254" s="27"/>
      <c r="N254" s="390" t="s">
        <v>1304</v>
      </c>
      <c r="O254" s="25"/>
      <c r="P254" s="25"/>
      <c r="Q254" s="27" t="s">
        <v>363</v>
      </c>
      <c r="R254" s="89"/>
      <c r="S254" s="89"/>
      <c r="T254" s="25"/>
      <c r="U254" s="25"/>
      <c r="V254" s="25"/>
      <c r="W254" s="27"/>
      <c r="X254" s="27" t="s">
        <v>615</v>
      </c>
      <c r="Y254" s="27" t="s">
        <v>624</v>
      </c>
      <c r="Z254" s="27"/>
    </row>
    <row r="255" spans="1:26" s="1" customFormat="1" ht="72.599999999999994" hidden="1">
      <c r="A255" s="143" t="s">
        <v>309</v>
      </c>
      <c r="B255" s="151">
        <v>11</v>
      </c>
      <c r="C255" s="152" t="s">
        <v>1112</v>
      </c>
      <c r="D255" s="153" t="s">
        <v>1277</v>
      </c>
      <c r="E255" s="197" t="s">
        <v>1278</v>
      </c>
      <c r="F255" s="88" t="s">
        <v>1289</v>
      </c>
      <c r="G255" s="88" t="s">
        <v>1290</v>
      </c>
      <c r="H255" s="88" t="s">
        <v>348</v>
      </c>
      <c r="I255" s="88" t="s">
        <v>377</v>
      </c>
      <c r="J255" s="20" t="str">
        <f t="shared" si="7"/>
        <v>Disposar i mantenir els serveis, equipaments i infraestructures necessàries i accessibles per acollir, informar, facilitar la visita i garantir la seguretat dels visitants i la protecció de l'entorn</v>
      </c>
      <c r="K255" s="20"/>
      <c r="L255" s="20" t="s">
        <v>54</v>
      </c>
      <c r="M255" s="27"/>
      <c r="N255" s="393" t="s">
        <v>1305</v>
      </c>
      <c r="O255" s="25"/>
      <c r="P255" s="25"/>
      <c r="Q255" s="27" t="s">
        <v>363</v>
      </c>
      <c r="R255" s="89"/>
      <c r="S255" s="89"/>
      <c r="T255" s="25"/>
      <c r="U255" s="25"/>
      <c r="V255" s="25"/>
      <c r="W255" s="27"/>
      <c r="X255" s="27" t="s">
        <v>615</v>
      </c>
      <c r="Y255" s="27" t="s">
        <v>624</v>
      </c>
      <c r="Z255" s="27"/>
    </row>
    <row r="256" spans="1:26" s="1" customFormat="1" ht="72.599999999999994" hidden="1">
      <c r="A256" s="143" t="s">
        <v>309</v>
      </c>
      <c r="B256" s="151">
        <v>11</v>
      </c>
      <c r="C256" s="152" t="s">
        <v>1112</v>
      </c>
      <c r="D256" s="153" t="s">
        <v>1277</v>
      </c>
      <c r="E256" s="197" t="s">
        <v>1278</v>
      </c>
      <c r="F256" s="88" t="s">
        <v>1289</v>
      </c>
      <c r="G256" s="88" t="s">
        <v>1290</v>
      </c>
      <c r="H256" s="88" t="s">
        <v>348</v>
      </c>
      <c r="I256" s="88" t="s">
        <v>377</v>
      </c>
      <c r="J256" s="20" t="str">
        <f t="shared" si="7"/>
        <v>Disposar i mantenir els serveis, equipaments i infraestructures necessàries i accessibles per acollir, informar, facilitar la visita i garantir la seguretat dels visitants i la protecció de l'entorn</v>
      </c>
      <c r="K256" s="20"/>
      <c r="L256" s="20" t="s">
        <v>54</v>
      </c>
      <c r="M256" s="27"/>
      <c r="N256" s="393" t="s">
        <v>1306</v>
      </c>
      <c r="O256" s="25"/>
      <c r="P256" s="25"/>
      <c r="Q256" s="27" t="s">
        <v>363</v>
      </c>
      <c r="R256" s="89"/>
      <c r="S256" s="89"/>
      <c r="T256" s="25"/>
      <c r="U256" s="25"/>
      <c r="V256" s="25"/>
      <c r="W256" s="27"/>
      <c r="X256" s="27"/>
      <c r="Y256" s="27"/>
      <c r="Z256" s="27"/>
    </row>
    <row r="257" spans="1:26" s="1" customFormat="1" ht="72.599999999999994" hidden="1">
      <c r="A257" s="143" t="s">
        <v>309</v>
      </c>
      <c r="B257" s="151">
        <v>11</v>
      </c>
      <c r="C257" s="152" t="s">
        <v>1112</v>
      </c>
      <c r="D257" s="153" t="s">
        <v>1277</v>
      </c>
      <c r="E257" s="197" t="s">
        <v>1278</v>
      </c>
      <c r="F257" s="88" t="s">
        <v>1289</v>
      </c>
      <c r="G257" s="88" t="s">
        <v>1290</v>
      </c>
      <c r="H257" s="88" t="s">
        <v>348</v>
      </c>
      <c r="I257" s="88" t="s">
        <v>377</v>
      </c>
      <c r="J257" s="20" t="str">
        <f t="shared" si="7"/>
        <v>Disposar i mantenir els serveis, equipaments i infraestructures necessàries i accessibles per acollir, informar, facilitar la visita i garantir la seguretat dels visitants i la protecció de l'entorn</v>
      </c>
      <c r="K257" s="20"/>
      <c r="L257" s="20" t="s">
        <v>54</v>
      </c>
      <c r="M257" s="27"/>
      <c r="N257" s="390" t="s">
        <v>1307</v>
      </c>
      <c r="O257" s="25"/>
      <c r="P257" s="25"/>
      <c r="Q257" s="27" t="s">
        <v>363</v>
      </c>
      <c r="R257" s="89"/>
      <c r="S257" s="89"/>
      <c r="T257" s="25"/>
      <c r="U257" s="25"/>
      <c r="V257" s="25"/>
      <c r="W257" s="27"/>
      <c r="X257" s="27" t="s">
        <v>615</v>
      </c>
      <c r="Y257" s="27" t="s">
        <v>624</v>
      </c>
      <c r="Z257" s="27"/>
    </row>
    <row r="258" spans="1:26" s="1" customFormat="1" ht="72.599999999999994" hidden="1">
      <c r="A258" s="143" t="s">
        <v>309</v>
      </c>
      <c r="B258" s="151">
        <v>11</v>
      </c>
      <c r="C258" s="152" t="s">
        <v>1112</v>
      </c>
      <c r="D258" s="153" t="s">
        <v>1277</v>
      </c>
      <c r="E258" s="197" t="s">
        <v>1278</v>
      </c>
      <c r="F258" s="88" t="s">
        <v>1289</v>
      </c>
      <c r="G258" s="88" t="s">
        <v>1290</v>
      </c>
      <c r="H258" s="88" t="s">
        <v>348</v>
      </c>
      <c r="I258" s="88" t="s">
        <v>377</v>
      </c>
      <c r="J258" s="20" t="str">
        <f t="shared" si="7"/>
        <v>Disposar i mantenir els serveis, equipaments i infraestructures necessàries i accessibles per acollir, informar, facilitar la visita i garantir la seguretat dels visitants i la protecció de l'entorn</v>
      </c>
      <c r="K258" s="20"/>
      <c r="L258" s="20" t="s">
        <v>107</v>
      </c>
      <c r="M258" s="27"/>
      <c r="N258" s="390" t="s">
        <v>1308</v>
      </c>
      <c r="O258" s="25"/>
      <c r="P258" s="25"/>
      <c r="Q258" s="27" t="s">
        <v>363</v>
      </c>
      <c r="R258" s="89"/>
      <c r="S258" s="89"/>
      <c r="T258" s="25"/>
      <c r="U258" s="25"/>
      <c r="V258" s="25"/>
      <c r="W258" s="27"/>
      <c r="X258" s="27" t="s">
        <v>632</v>
      </c>
      <c r="Y258" s="27" t="s">
        <v>616</v>
      </c>
      <c r="Z258" s="27"/>
    </row>
    <row r="259" spans="1:26" s="1" customFormat="1" ht="72.599999999999994" hidden="1">
      <c r="A259" s="143" t="s">
        <v>309</v>
      </c>
      <c r="B259" s="151">
        <v>11</v>
      </c>
      <c r="C259" s="152" t="s">
        <v>1112</v>
      </c>
      <c r="D259" s="153" t="s">
        <v>1277</v>
      </c>
      <c r="E259" s="197" t="s">
        <v>1278</v>
      </c>
      <c r="F259" s="88" t="s">
        <v>1289</v>
      </c>
      <c r="G259" s="88" t="s">
        <v>1290</v>
      </c>
      <c r="H259" s="88" t="s">
        <v>348</v>
      </c>
      <c r="I259" s="88" t="s">
        <v>377</v>
      </c>
      <c r="J259" s="20" t="str">
        <f t="shared" si="7"/>
        <v>Disposar i mantenir els serveis, equipaments i infraestructures necessàries i accessibles per acollir, informar, facilitar la visita i garantir la seguretat dels visitants i la protecció de l'entorn</v>
      </c>
      <c r="K259" s="20"/>
      <c r="L259" s="20" t="s">
        <v>107</v>
      </c>
      <c r="M259" s="27"/>
      <c r="N259" s="390" t="s">
        <v>1309</v>
      </c>
      <c r="O259" s="25"/>
      <c r="P259" s="25"/>
      <c r="Q259" s="27" t="s">
        <v>363</v>
      </c>
      <c r="R259" s="89"/>
      <c r="S259" s="89"/>
      <c r="T259" s="25"/>
      <c r="U259" s="25"/>
      <c r="V259" s="25"/>
      <c r="W259" s="27"/>
      <c r="X259" s="27" t="s">
        <v>632</v>
      </c>
      <c r="Y259" s="27" t="s">
        <v>616</v>
      </c>
      <c r="Z259" s="27"/>
    </row>
    <row r="260" spans="1:26" s="1" customFormat="1" ht="72.599999999999994" hidden="1">
      <c r="A260" s="143" t="s">
        <v>309</v>
      </c>
      <c r="B260" s="151">
        <v>11</v>
      </c>
      <c r="C260" s="152" t="s">
        <v>1112</v>
      </c>
      <c r="D260" s="153" t="s">
        <v>1277</v>
      </c>
      <c r="E260" s="197" t="s">
        <v>1278</v>
      </c>
      <c r="F260" s="88" t="s">
        <v>1289</v>
      </c>
      <c r="G260" s="88" t="s">
        <v>1290</v>
      </c>
      <c r="H260" s="88" t="s">
        <v>348</v>
      </c>
      <c r="I260" s="88" t="s">
        <v>377</v>
      </c>
      <c r="J260" s="20" t="str">
        <f t="shared" si="7"/>
        <v>Disposar i mantenir els serveis, equipaments i infraestructures necessàries i accessibles per acollir, informar, facilitar la visita i garantir la seguretat dels visitants i la protecció de l'entorn</v>
      </c>
      <c r="K260" s="20"/>
      <c r="L260" s="20" t="s">
        <v>107</v>
      </c>
      <c r="M260" s="27"/>
      <c r="N260" s="393" t="s">
        <v>1310</v>
      </c>
      <c r="O260" s="25"/>
      <c r="P260" s="25"/>
      <c r="Q260" s="27" t="s">
        <v>363</v>
      </c>
      <c r="R260" s="89"/>
      <c r="S260" s="89"/>
      <c r="T260" s="25"/>
      <c r="U260" s="25"/>
      <c r="V260" s="25"/>
      <c r="W260" s="27"/>
      <c r="X260" s="27" t="s">
        <v>632</v>
      </c>
      <c r="Y260" s="27" t="s">
        <v>616</v>
      </c>
      <c r="Z260" s="27"/>
    </row>
    <row r="261" spans="1:26" s="1" customFormat="1" ht="72.599999999999994" hidden="1">
      <c r="A261" s="143" t="s">
        <v>309</v>
      </c>
      <c r="B261" s="151">
        <v>11</v>
      </c>
      <c r="C261" s="152" t="s">
        <v>1112</v>
      </c>
      <c r="D261" s="153" t="s">
        <v>1277</v>
      </c>
      <c r="E261" s="197" t="s">
        <v>1278</v>
      </c>
      <c r="F261" s="88" t="s">
        <v>1289</v>
      </c>
      <c r="G261" s="88" t="s">
        <v>1290</v>
      </c>
      <c r="H261" s="88" t="s">
        <v>348</v>
      </c>
      <c r="I261" s="88" t="s">
        <v>377</v>
      </c>
      <c r="J261" s="20" t="str">
        <f t="shared" si="7"/>
        <v>Disposar i mantenir els serveis, equipaments i infraestructures necessàries i accessibles per acollir, informar, facilitar la visita i garantir la seguretat dels visitants i la protecció de l'entorn</v>
      </c>
      <c r="K261" s="20"/>
      <c r="L261" s="20" t="s">
        <v>54</v>
      </c>
      <c r="M261" s="27"/>
      <c r="N261" s="331"/>
      <c r="O261" s="25" t="s">
        <v>1311</v>
      </c>
      <c r="P261" s="398"/>
      <c r="Q261" s="27" t="s">
        <v>363</v>
      </c>
      <c r="R261" s="89"/>
      <c r="S261" s="89"/>
      <c r="T261" s="25"/>
      <c r="U261" s="25"/>
      <c r="V261" s="25"/>
      <c r="W261" s="27"/>
      <c r="X261" s="27" t="s">
        <v>632</v>
      </c>
      <c r="Y261" s="27" t="s">
        <v>770</v>
      </c>
      <c r="Z261" s="27"/>
    </row>
    <row r="262" spans="1:26" s="1" customFormat="1" ht="72.599999999999994" hidden="1">
      <c r="A262" s="143" t="s">
        <v>309</v>
      </c>
      <c r="B262" s="151">
        <v>11</v>
      </c>
      <c r="C262" s="152" t="s">
        <v>1112</v>
      </c>
      <c r="D262" s="153" t="s">
        <v>1277</v>
      </c>
      <c r="E262" s="197" t="s">
        <v>1278</v>
      </c>
      <c r="F262" s="88" t="s">
        <v>1289</v>
      </c>
      <c r="G262" s="88" t="s">
        <v>1290</v>
      </c>
      <c r="H262" s="88" t="s">
        <v>348</v>
      </c>
      <c r="I262" s="88" t="s">
        <v>377</v>
      </c>
      <c r="J262" s="20" t="str">
        <f t="shared" si="7"/>
        <v>Disposar i mantenir els serveis, equipaments i infraestructures necessàries i accessibles per acollir, informar, facilitar la visita i garantir la seguretat dels visitants i la protecció de l'entorn</v>
      </c>
      <c r="K262" s="20"/>
      <c r="L262" s="20" t="s">
        <v>54</v>
      </c>
      <c r="M262" s="27"/>
      <c r="N262" s="393" t="s">
        <v>1312</v>
      </c>
      <c r="O262" s="25"/>
      <c r="P262" s="25"/>
      <c r="Q262" s="27" t="s">
        <v>363</v>
      </c>
      <c r="R262" s="89"/>
      <c r="S262" s="89"/>
      <c r="T262" s="25"/>
      <c r="U262" s="25"/>
      <c r="V262" s="25"/>
      <c r="W262" s="27"/>
      <c r="X262" s="27" t="s">
        <v>615</v>
      </c>
      <c r="Y262" s="27" t="s">
        <v>1313</v>
      </c>
      <c r="Z262" s="27"/>
    </row>
    <row r="263" spans="1:26" s="1" customFormat="1" ht="72.599999999999994" hidden="1">
      <c r="A263" s="143" t="s">
        <v>309</v>
      </c>
      <c r="B263" s="151">
        <v>11</v>
      </c>
      <c r="C263" s="152" t="s">
        <v>1112</v>
      </c>
      <c r="D263" s="153" t="s">
        <v>1277</v>
      </c>
      <c r="E263" s="197" t="s">
        <v>1278</v>
      </c>
      <c r="F263" s="88" t="s">
        <v>1289</v>
      </c>
      <c r="G263" s="88" t="s">
        <v>1290</v>
      </c>
      <c r="H263" s="88" t="s">
        <v>348</v>
      </c>
      <c r="I263" s="88" t="s">
        <v>377</v>
      </c>
      <c r="J263" s="20" t="str">
        <f t="shared" si="7"/>
        <v>Disposar i mantenir els serveis, equipaments i infraestructures necessàries i accessibles per acollir, informar, facilitar la visita i garantir la seguretat dels visitants i la protecció de l'entorn</v>
      </c>
      <c r="K263" s="20"/>
      <c r="L263" s="20" t="s">
        <v>54</v>
      </c>
      <c r="M263" s="27"/>
      <c r="N263" s="332"/>
      <c r="O263" s="25" t="s">
        <v>1314</v>
      </c>
      <c r="P263" s="25"/>
      <c r="Q263" s="27" t="s">
        <v>363</v>
      </c>
      <c r="R263" s="89"/>
      <c r="S263" s="89"/>
      <c r="T263" s="25"/>
      <c r="U263" s="25"/>
      <c r="V263" s="25"/>
      <c r="W263" s="27"/>
      <c r="X263" s="27" t="s">
        <v>615</v>
      </c>
      <c r="Y263" s="27" t="s">
        <v>1313</v>
      </c>
      <c r="Z263" s="27"/>
    </row>
    <row r="264" spans="1:26" s="1" customFormat="1" ht="72.599999999999994" hidden="1">
      <c r="A264" s="143" t="s">
        <v>309</v>
      </c>
      <c r="B264" s="151">
        <v>11</v>
      </c>
      <c r="C264" s="152" t="s">
        <v>1112</v>
      </c>
      <c r="D264" s="153" t="s">
        <v>1277</v>
      </c>
      <c r="E264" s="197" t="s">
        <v>1278</v>
      </c>
      <c r="F264" s="88" t="s">
        <v>1289</v>
      </c>
      <c r="G264" s="88" t="s">
        <v>1290</v>
      </c>
      <c r="H264" s="88" t="s">
        <v>348</v>
      </c>
      <c r="I264" s="88" t="s">
        <v>377</v>
      </c>
      <c r="J264" s="20" t="str">
        <f t="shared" si="7"/>
        <v>Disposar i mantenir els serveis, equipaments i infraestructures necessàries i accessibles per acollir, informar, facilitar la visita i garantir la seguretat dels visitants i la protecció de l'entorn</v>
      </c>
      <c r="K264" s="20"/>
      <c r="L264" s="20" t="s">
        <v>54</v>
      </c>
      <c r="M264" s="27"/>
      <c r="N264" s="332"/>
      <c r="O264" s="25" t="s">
        <v>1315</v>
      </c>
      <c r="P264" s="25"/>
      <c r="Q264" s="27" t="s">
        <v>363</v>
      </c>
      <c r="R264" s="89"/>
      <c r="S264" s="89"/>
      <c r="T264" s="25"/>
      <c r="U264" s="25"/>
      <c r="V264" s="25"/>
      <c r="W264" s="27"/>
      <c r="X264" s="27" t="s">
        <v>615</v>
      </c>
      <c r="Y264" s="27" t="s">
        <v>1313</v>
      </c>
      <c r="Z264" s="27"/>
    </row>
    <row r="265" spans="1:26" s="1" customFormat="1" ht="72.599999999999994" hidden="1">
      <c r="A265" s="143" t="s">
        <v>309</v>
      </c>
      <c r="B265" s="151">
        <v>11</v>
      </c>
      <c r="C265" s="152" t="s">
        <v>1112</v>
      </c>
      <c r="D265" s="153" t="s">
        <v>1277</v>
      </c>
      <c r="E265" s="197" t="s">
        <v>1278</v>
      </c>
      <c r="F265" s="88" t="s">
        <v>1289</v>
      </c>
      <c r="G265" s="88" t="s">
        <v>1290</v>
      </c>
      <c r="H265" s="88" t="s">
        <v>348</v>
      </c>
      <c r="I265" s="88" t="s">
        <v>377</v>
      </c>
      <c r="J265" s="20" t="str">
        <f t="shared" si="7"/>
        <v>Disposar i mantenir els serveis, equipaments i infraestructures necessàries i accessibles per acollir, informar, facilitar la visita i garantir la seguretat dels visitants i la protecció de l'entorn</v>
      </c>
      <c r="K265" s="20"/>
      <c r="L265" s="20" t="s">
        <v>54</v>
      </c>
      <c r="M265" s="27"/>
      <c r="N265" s="393" t="s">
        <v>1316</v>
      </c>
      <c r="O265" s="25"/>
      <c r="P265" s="25"/>
      <c r="Q265" s="27" t="s">
        <v>363</v>
      </c>
      <c r="R265" s="89"/>
      <c r="S265" s="89"/>
      <c r="T265" s="25"/>
      <c r="U265" s="25"/>
      <c r="V265" s="25"/>
      <c r="W265" s="27"/>
      <c r="X265" s="27" t="s">
        <v>632</v>
      </c>
      <c r="Y265" s="27" t="s">
        <v>1313</v>
      </c>
      <c r="Z265" s="27"/>
    </row>
    <row r="266" spans="1:26" s="1" customFormat="1" ht="72.599999999999994" hidden="1">
      <c r="A266" s="143" t="s">
        <v>309</v>
      </c>
      <c r="B266" s="151">
        <v>11</v>
      </c>
      <c r="C266" s="152" t="s">
        <v>1112</v>
      </c>
      <c r="D266" s="153" t="s">
        <v>1277</v>
      </c>
      <c r="E266" s="197" t="s">
        <v>1278</v>
      </c>
      <c r="F266" s="88" t="s">
        <v>1289</v>
      </c>
      <c r="G266" s="88" t="s">
        <v>1290</v>
      </c>
      <c r="H266" s="88" t="s">
        <v>348</v>
      </c>
      <c r="I266" s="88" t="s">
        <v>377</v>
      </c>
      <c r="J266" s="20" t="str">
        <f t="shared" si="7"/>
        <v>Disposar i mantenir els serveis, equipaments i infraestructures necessàries i accessibles per acollir, informar, facilitar la visita i garantir la seguretat dels visitants i la protecció de l'entorn</v>
      </c>
      <c r="K266" s="20"/>
      <c r="L266" s="20" t="s">
        <v>54</v>
      </c>
      <c r="M266" s="27"/>
      <c r="N266" s="332"/>
      <c r="O266" s="25" t="s">
        <v>1317</v>
      </c>
      <c r="P266" s="25"/>
      <c r="Q266" s="27" t="s">
        <v>363</v>
      </c>
      <c r="R266" s="89"/>
      <c r="S266" s="89"/>
      <c r="T266" s="25"/>
      <c r="U266" s="25"/>
      <c r="V266" s="25"/>
      <c r="W266" s="27"/>
      <c r="X266" s="27" t="s">
        <v>615</v>
      </c>
      <c r="Y266" s="27" t="s">
        <v>1313</v>
      </c>
      <c r="Z266" s="27"/>
    </row>
    <row r="267" spans="1:26" s="1" customFormat="1" ht="72.599999999999994" hidden="1">
      <c r="A267" s="143" t="s">
        <v>309</v>
      </c>
      <c r="B267" s="151">
        <v>11</v>
      </c>
      <c r="C267" s="152" t="s">
        <v>1112</v>
      </c>
      <c r="D267" s="153" t="s">
        <v>1277</v>
      </c>
      <c r="E267" s="197" t="s">
        <v>1278</v>
      </c>
      <c r="F267" s="88" t="s">
        <v>1289</v>
      </c>
      <c r="G267" s="88" t="s">
        <v>1290</v>
      </c>
      <c r="H267" s="88" t="s">
        <v>348</v>
      </c>
      <c r="I267" s="88" t="s">
        <v>377</v>
      </c>
      <c r="J267" s="20" t="str">
        <f t="shared" si="7"/>
        <v>Disposar i mantenir els serveis, equipaments i infraestructures necessàries i accessibles per acollir, informar, facilitar la visita i garantir la seguretat dels visitants i la protecció de l'entorn</v>
      </c>
      <c r="K267" s="20"/>
      <c r="L267" s="20" t="s">
        <v>107</v>
      </c>
      <c r="M267" s="27"/>
      <c r="N267" s="393" t="s">
        <v>1318</v>
      </c>
      <c r="O267" s="25"/>
      <c r="P267" s="25"/>
      <c r="Q267" s="27" t="s">
        <v>363</v>
      </c>
      <c r="R267" s="89"/>
      <c r="S267" s="89"/>
      <c r="T267" s="25"/>
      <c r="U267" s="25"/>
      <c r="V267" s="25"/>
      <c r="W267" s="27"/>
      <c r="X267" s="27" t="s">
        <v>632</v>
      </c>
      <c r="Y267" s="27" t="s">
        <v>616</v>
      </c>
      <c r="Z267" s="27"/>
    </row>
    <row r="268" spans="1:26" s="1" customFormat="1" ht="72.599999999999994" hidden="1">
      <c r="A268" s="143" t="s">
        <v>309</v>
      </c>
      <c r="B268" s="151">
        <v>11</v>
      </c>
      <c r="C268" s="152" t="s">
        <v>1112</v>
      </c>
      <c r="D268" s="153" t="s">
        <v>1277</v>
      </c>
      <c r="E268" s="197" t="s">
        <v>1278</v>
      </c>
      <c r="F268" s="88" t="s">
        <v>1289</v>
      </c>
      <c r="G268" s="88" t="s">
        <v>1290</v>
      </c>
      <c r="H268" s="88" t="s">
        <v>348</v>
      </c>
      <c r="I268" s="88" t="s">
        <v>377</v>
      </c>
      <c r="J268" s="20" t="str">
        <f t="shared" si="7"/>
        <v>Disposar i mantenir els serveis, equipaments i infraestructures necessàries i accessibles per acollir, informar, facilitar la visita i garantir la seguretat dels visitants i la protecció de l'entorn</v>
      </c>
      <c r="K268" s="20"/>
      <c r="L268" s="20" t="s">
        <v>54</v>
      </c>
      <c r="M268" s="27"/>
      <c r="N268" s="393" t="s">
        <v>1319</v>
      </c>
      <c r="O268" s="25"/>
      <c r="P268" s="25"/>
      <c r="Q268" s="27" t="s">
        <v>363</v>
      </c>
      <c r="R268" s="89"/>
      <c r="S268" s="89"/>
      <c r="T268" s="25"/>
      <c r="U268" s="25"/>
      <c r="V268" s="25"/>
      <c r="W268" s="27"/>
      <c r="X268" s="27" t="s">
        <v>615</v>
      </c>
      <c r="Y268" s="27" t="s">
        <v>624</v>
      </c>
      <c r="Z268" s="27"/>
    </row>
    <row r="269" spans="1:26" s="1" customFormat="1" ht="72.599999999999994" hidden="1">
      <c r="A269" s="143" t="s">
        <v>309</v>
      </c>
      <c r="B269" s="151">
        <v>11</v>
      </c>
      <c r="C269" s="152" t="s">
        <v>1112</v>
      </c>
      <c r="D269" s="153" t="s">
        <v>1277</v>
      </c>
      <c r="E269" s="197" t="s">
        <v>1278</v>
      </c>
      <c r="F269" s="88" t="s">
        <v>1289</v>
      </c>
      <c r="G269" s="88" t="s">
        <v>1290</v>
      </c>
      <c r="H269" s="88" t="s">
        <v>348</v>
      </c>
      <c r="I269" s="88" t="s">
        <v>377</v>
      </c>
      <c r="J269" s="20" t="str">
        <f t="shared" si="7"/>
        <v>Disposar i mantenir els serveis, equipaments i infraestructures necessàries i accessibles per acollir, informar, facilitar la visita i garantir la seguretat dels visitants i la protecció de l'entorn</v>
      </c>
      <c r="K269" s="20"/>
      <c r="L269" s="20" t="s">
        <v>54</v>
      </c>
      <c r="M269" s="27"/>
      <c r="N269" s="393" t="s">
        <v>1320</v>
      </c>
      <c r="O269" s="25"/>
      <c r="P269" s="25"/>
      <c r="Q269" s="27" t="s">
        <v>363</v>
      </c>
      <c r="R269" s="89"/>
      <c r="S269" s="89"/>
      <c r="T269" s="25"/>
      <c r="U269" s="25"/>
      <c r="V269" s="25"/>
      <c r="W269" s="27"/>
      <c r="X269" s="27"/>
      <c r="Y269" s="27"/>
      <c r="Z269" s="27"/>
    </row>
    <row r="270" spans="1:26" s="1" customFormat="1" ht="72.599999999999994" hidden="1">
      <c r="A270" s="143" t="s">
        <v>309</v>
      </c>
      <c r="B270" s="151">
        <v>11</v>
      </c>
      <c r="C270" s="152" t="s">
        <v>1112</v>
      </c>
      <c r="D270" s="153" t="s">
        <v>1277</v>
      </c>
      <c r="E270" s="197" t="s">
        <v>1278</v>
      </c>
      <c r="F270" s="88" t="s">
        <v>1289</v>
      </c>
      <c r="G270" s="88" t="s">
        <v>1290</v>
      </c>
      <c r="H270" s="88" t="s">
        <v>348</v>
      </c>
      <c r="I270" s="88" t="s">
        <v>377</v>
      </c>
      <c r="J270" s="20" t="str">
        <f t="shared" si="7"/>
        <v>Disposar i mantenir els serveis, equipaments i infraestructures necessàries i accessibles per acollir, informar, facilitar la visita i garantir la seguretat dels visitants i la protecció de l'entorn</v>
      </c>
      <c r="K270" s="20"/>
      <c r="L270" s="20" t="s">
        <v>54</v>
      </c>
      <c r="M270" s="27"/>
      <c r="N270" s="393" t="s">
        <v>1321</v>
      </c>
      <c r="O270" s="25"/>
      <c r="P270" s="25"/>
      <c r="Q270" s="27" t="s">
        <v>363</v>
      </c>
      <c r="R270" s="89"/>
      <c r="S270" s="89"/>
      <c r="T270" s="25"/>
      <c r="U270" s="25"/>
      <c r="V270" s="25"/>
      <c r="W270" s="27"/>
      <c r="X270" s="27" t="s">
        <v>615</v>
      </c>
      <c r="Y270" s="27" t="s">
        <v>624</v>
      </c>
      <c r="Z270" s="27"/>
    </row>
    <row r="271" spans="1:26" s="1" customFormat="1" ht="43.5" hidden="1">
      <c r="A271" s="143" t="s">
        <v>309</v>
      </c>
      <c r="B271" s="151">
        <v>11</v>
      </c>
      <c r="C271" s="152" t="s">
        <v>1112</v>
      </c>
      <c r="D271" s="153" t="s">
        <v>1277</v>
      </c>
      <c r="E271" s="197" t="s">
        <v>1278</v>
      </c>
      <c r="F271" s="88" t="s">
        <v>1322</v>
      </c>
      <c r="G271" s="131" t="s">
        <v>1323</v>
      </c>
      <c r="H271" s="88" t="s">
        <v>348</v>
      </c>
      <c r="I271" s="88" t="s">
        <v>377</v>
      </c>
      <c r="J271" s="20" t="str">
        <f>+G271</f>
        <v>Desenvolupar el Pla d'acollida als visitants en base al model de la DG</v>
      </c>
      <c r="K271" s="20" t="s">
        <v>1324</v>
      </c>
      <c r="L271" s="214" t="s">
        <v>107</v>
      </c>
      <c r="M271" s="27" t="s">
        <v>378</v>
      </c>
      <c r="N271" s="20"/>
      <c r="O271" s="25"/>
      <c r="P271" s="25"/>
      <c r="Q271" s="27" t="s">
        <v>363</v>
      </c>
      <c r="R271" s="89"/>
      <c r="S271" s="88" t="s">
        <v>1325</v>
      </c>
      <c r="T271" s="25"/>
      <c r="U271" s="25"/>
      <c r="V271" s="25"/>
      <c r="W271" s="27"/>
      <c r="X271" s="27"/>
      <c r="Y271" s="27"/>
      <c r="Z271" s="27"/>
    </row>
    <row r="272" spans="1:26" s="1" customFormat="1" ht="43.5">
      <c r="A272" s="143" t="s">
        <v>309</v>
      </c>
      <c r="B272" s="151">
        <v>11</v>
      </c>
      <c r="C272" s="152" t="s">
        <v>1112</v>
      </c>
      <c r="D272" s="153" t="s">
        <v>1277</v>
      </c>
      <c r="E272" s="197" t="s">
        <v>1278</v>
      </c>
      <c r="F272" s="88" t="s">
        <v>1326</v>
      </c>
      <c r="G272" s="131" t="s">
        <v>1327</v>
      </c>
      <c r="H272" s="88" t="s">
        <v>348</v>
      </c>
      <c r="I272" s="88" t="s">
        <v>377</v>
      </c>
      <c r="J272" s="20" t="str">
        <f t="shared" ref="J272:J284" si="8">G272</f>
        <v>Adaptar els missatges a donar des d'oficines d’informació, pròpies i alienes, d'acord amb el model de la DG</v>
      </c>
      <c r="K272" s="20"/>
      <c r="L272" s="20" t="s">
        <v>54</v>
      </c>
      <c r="M272" s="27" t="s">
        <v>352</v>
      </c>
      <c r="N272" s="393" t="s">
        <v>1328</v>
      </c>
      <c r="O272" s="25"/>
      <c r="P272" s="25"/>
      <c r="Q272" s="20" t="s">
        <v>1329</v>
      </c>
      <c r="R272" s="89" t="s">
        <v>355</v>
      </c>
      <c r="S272" s="88" t="s">
        <v>1330</v>
      </c>
      <c r="T272" s="20" t="s">
        <v>1331</v>
      </c>
      <c r="U272" s="413">
        <v>2</v>
      </c>
      <c r="V272" s="413">
        <v>4</v>
      </c>
      <c r="W272" s="27"/>
      <c r="X272" s="27" t="s">
        <v>632</v>
      </c>
      <c r="Y272" s="27" t="s">
        <v>616</v>
      </c>
      <c r="Z272" s="27"/>
    </row>
    <row r="273" spans="1:26" s="1" customFormat="1" ht="101.45">
      <c r="A273" s="143" t="s">
        <v>309</v>
      </c>
      <c r="B273" s="151">
        <v>11</v>
      </c>
      <c r="C273" s="152" t="s">
        <v>1112</v>
      </c>
      <c r="D273" s="153" t="s">
        <v>1277</v>
      </c>
      <c r="E273" s="197" t="s">
        <v>1278</v>
      </c>
      <c r="F273" s="88" t="s">
        <v>1332</v>
      </c>
      <c r="G273" s="131" t="s">
        <v>1333</v>
      </c>
      <c r="H273" s="88"/>
      <c r="I273" s="88"/>
      <c r="J273" s="20" t="str">
        <f t="shared" si="8"/>
        <v>Mantenir els serveis d'informació actuals de l'ENP</v>
      </c>
      <c r="K273" s="20" t="s">
        <v>1334</v>
      </c>
      <c r="L273" s="20" t="s">
        <v>54</v>
      </c>
      <c r="M273" s="27"/>
      <c r="N273" s="393" t="s">
        <v>1335</v>
      </c>
      <c r="O273" s="25"/>
      <c r="P273" s="25"/>
      <c r="Q273" s="20" t="s">
        <v>1336</v>
      </c>
      <c r="R273" s="89"/>
      <c r="S273" s="88"/>
      <c r="T273" s="20" t="s">
        <v>1337</v>
      </c>
      <c r="U273" s="438" t="s">
        <v>1338</v>
      </c>
      <c r="V273" s="438" t="s">
        <v>534</v>
      </c>
      <c r="W273" s="27"/>
      <c r="X273" s="27" t="s">
        <v>632</v>
      </c>
      <c r="Y273" s="27" t="s">
        <v>616</v>
      </c>
      <c r="Z273" s="27"/>
    </row>
    <row r="274" spans="1:26" s="1" customFormat="1" ht="43.5" hidden="1" customHeight="1">
      <c r="A274" s="143" t="s">
        <v>309</v>
      </c>
      <c r="B274" s="151">
        <v>11</v>
      </c>
      <c r="C274" s="152" t="s">
        <v>1112</v>
      </c>
      <c r="D274" s="153" t="s">
        <v>1277</v>
      </c>
      <c r="E274" s="197" t="s">
        <v>1278</v>
      </c>
      <c r="F274" s="88" t="s">
        <v>1332</v>
      </c>
      <c r="G274" s="131" t="s">
        <v>1333</v>
      </c>
      <c r="H274" s="88"/>
      <c r="I274" s="88"/>
      <c r="J274" s="20" t="str">
        <f t="shared" si="8"/>
        <v>Mantenir els serveis d'informació actuals de l'ENP</v>
      </c>
      <c r="K274" s="20" t="s">
        <v>1334</v>
      </c>
      <c r="L274" s="20" t="s">
        <v>54</v>
      </c>
      <c r="M274" s="27"/>
      <c r="N274" s="393" t="s">
        <v>1339</v>
      </c>
      <c r="O274" s="25"/>
      <c r="P274" s="25"/>
      <c r="Q274" s="27" t="s">
        <v>363</v>
      </c>
      <c r="R274" s="89"/>
      <c r="S274" s="88"/>
      <c r="T274" s="25"/>
      <c r="U274" s="25"/>
      <c r="V274" s="25"/>
      <c r="W274" s="27"/>
      <c r="X274" s="27" t="s">
        <v>632</v>
      </c>
      <c r="Y274" s="27" t="s">
        <v>616</v>
      </c>
      <c r="Z274" s="27"/>
    </row>
    <row r="275" spans="1:26" s="1" customFormat="1" ht="43.5" hidden="1">
      <c r="A275" s="143" t="s">
        <v>309</v>
      </c>
      <c r="B275" s="151">
        <v>11</v>
      </c>
      <c r="C275" s="152" t="s">
        <v>1112</v>
      </c>
      <c r="D275" s="153" t="s">
        <v>1277</v>
      </c>
      <c r="E275" s="197" t="s">
        <v>1278</v>
      </c>
      <c r="F275" s="88" t="s">
        <v>1332</v>
      </c>
      <c r="G275" s="131" t="s">
        <v>1333</v>
      </c>
      <c r="H275" s="88"/>
      <c r="I275" s="88"/>
      <c r="J275" s="20" t="str">
        <f t="shared" si="8"/>
        <v>Mantenir els serveis d'informació actuals de l'ENP</v>
      </c>
      <c r="K275" s="20" t="s">
        <v>1334</v>
      </c>
      <c r="L275" s="20" t="s">
        <v>54</v>
      </c>
      <c r="M275" s="27"/>
      <c r="N275" s="393" t="s">
        <v>1340</v>
      </c>
      <c r="O275" s="25"/>
      <c r="P275" s="25"/>
      <c r="Q275" s="27" t="s">
        <v>363</v>
      </c>
      <c r="R275" s="89"/>
      <c r="S275" s="88"/>
      <c r="T275" s="25"/>
      <c r="U275" s="25"/>
      <c r="V275" s="25"/>
      <c r="W275" s="27"/>
      <c r="X275" s="27" t="s">
        <v>632</v>
      </c>
      <c r="Y275" s="27" t="s">
        <v>616</v>
      </c>
      <c r="Z275" s="27"/>
    </row>
    <row r="276" spans="1:26" s="1" customFormat="1" ht="43.5" hidden="1">
      <c r="A276" s="143" t="s">
        <v>309</v>
      </c>
      <c r="B276" s="151">
        <v>11</v>
      </c>
      <c r="C276" s="152" t="s">
        <v>1112</v>
      </c>
      <c r="D276" s="153" t="s">
        <v>1277</v>
      </c>
      <c r="E276" s="197" t="s">
        <v>1278</v>
      </c>
      <c r="F276" s="88" t="s">
        <v>1332</v>
      </c>
      <c r="G276" s="131" t="s">
        <v>1333</v>
      </c>
      <c r="H276" s="88"/>
      <c r="I276" s="88"/>
      <c r="J276" s="20" t="str">
        <f t="shared" si="8"/>
        <v>Mantenir els serveis d'informació actuals de l'ENP</v>
      </c>
      <c r="K276" s="20" t="s">
        <v>1334</v>
      </c>
      <c r="L276" s="20" t="s">
        <v>54</v>
      </c>
      <c r="M276" s="27"/>
      <c r="N276" s="393" t="s">
        <v>1341</v>
      </c>
      <c r="O276" s="25"/>
      <c r="P276" s="25"/>
      <c r="Q276" s="27" t="s">
        <v>363</v>
      </c>
      <c r="R276" s="89"/>
      <c r="S276" s="88"/>
      <c r="T276" s="25"/>
      <c r="U276" s="25"/>
      <c r="V276" s="25"/>
      <c r="W276" s="27"/>
      <c r="X276" s="27" t="s">
        <v>632</v>
      </c>
      <c r="Y276" s="27" t="s">
        <v>616</v>
      </c>
      <c r="Z276" s="27"/>
    </row>
    <row r="277" spans="1:26" s="1" customFormat="1" ht="43.5" hidden="1">
      <c r="A277" s="143" t="s">
        <v>309</v>
      </c>
      <c r="B277" s="151">
        <v>11</v>
      </c>
      <c r="C277" s="152" t="s">
        <v>1112</v>
      </c>
      <c r="D277" s="153" t="s">
        <v>1277</v>
      </c>
      <c r="E277" s="197" t="s">
        <v>1278</v>
      </c>
      <c r="F277" s="88" t="s">
        <v>1332</v>
      </c>
      <c r="G277" s="131" t="s">
        <v>1333</v>
      </c>
      <c r="H277" s="88"/>
      <c r="I277" s="88"/>
      <c r="J277" s="20" t="str">
        <f t="shared" si="8"/>
        <v>Mantenir els serveis d'informació actuals de l'ENP</v>
      </c>
      <c r="K277" s="20" t="s">
        <v>1334</v>
      </c>
      <c r="L277" s="20" t="s">
        <v>54</v>
      </c>
      <c r="M277" s="27"/>
      <c r="N277" s="393" t="s">
        <v>1342</v>
      </c>
      <c r="O277" s="25"/>
      <c r="P277" s="25"/>
      <c r="Q277" s="27" t="s">
        <v>363</v>
      </c>
      <c r="R277" s="89"/>
      <c r="S277" s="88"/>
      <c r="T277" s="25"/>
      <c r="U277" s="25"/>
      <c r="V277" s="25"/>
      <c r="W277" s="27"/>
      <c r="X277" s="27" t="s">
        <v>632</v>
      </c>
      <c r="Y277" s="27" t="s">
        <v>616</v>
      </c>
      <c r="Z277" s="27"/>
    </row>
    <row r="278" spans="1:26" s="1" customFormat="1" ht="43.5" hidden="1">
      <c r="A278" s="143" t="s">
        <v>309</v>
      </c>
      <c r="B278" s="151">
        <v>11</v>
      </c>
      <c r="C278" s="152" t="s">
        <v>1112</v>
      </c>
      <c r="D278" s="153" t="s">
        <v>1277</v>
      </c>
      <c r="E278" s="197" t="s">
        <v>1278</v>
      </c>
      <c r="F278" s="88" t="s">
        <v>1332</v>
      </c>
      <c r="G278" s="131" t="s">
        <v>1333</v>
      </c>
      <c r="H278" s="88"/>
      <c r="I278" s="88"/>
      <c r="J278" s="20" t="str">
        <f t="shared" si="8"/>
        <v>Mantenir els serveis d'informació actuals de l'ENP</v>
      </c>
      <c r="K278" s="20" t="s">
        <v>1334</v>
      </c>
      <c r="L278" s="20" t="s">
        <v>54</v>
      </c>
      <c r="M278" s="27"/>
      <c r="N278" s="393" t="s">
        <v>1343</v>
      </c>
      <c r="O278" s="25"/>
      <c r="P278" s="25"/>
      <c r="Q278" s="27" t="s">
        <v>363</v>
      </c>
      <c r="R278" s="89"/>
      <c r="S278" s="88"/>
      <c r="T278" s="25"/>
      <c r="U278" s="25"/>
      <c r="V278" s="25"/>
      <c r="W278" s="27"/>
      <c r="X278" s="27" t="s">
        <v>632</v>
      </c>
      <c r="Y278" s="27" t="s">
        <v>616</v>
      </c>
      <c r="Z278" s="27"/>
    </row>
    <row r="279" spans="1:26" s="1" customFormat="1" ht="43.5" hidden="1">
      <c r="A279" s="143" t="s">
        <v>309</v>
      </c>
      <c r="B279" s="151">
        <v>11</v>
      </c>
      <c r="C279" s="152" t="s">
        <v>1112</v>
      </c>
      <c r="D279" s="153" t="s">
        <v>1277</v>
      </c>
      <c r="E279" s="197" t="s">
        <v>1278</v>
      </c>
      <c r="F279" s="88" t="s">
        <v>1332</v>
      </c>
      <c r="G279" s="131" t="s">
        <v>1333</v>
      </c>
      <c r="H279" s="88"/>
      <c r="I279" s="88"/>
      <c r="J279" s="20" t="str">
        <f t="shared" si="8"/>
        <v>Mantenir els serveis d'informació actuals de l'ENP</v>
      </c>
      <c r="K279" s="20" t="s">
        <v>1334</v>
      </c>
      <c r="L279" s="20" t="s">
        <v>54</v>
      </c>
      <c r="M279" s="27"/>
      <c r="N279" s="393" t="s">
        <v>1344</v>
      </c>
      <c r="O279" s="25"/>
      <c r="P279" s="25"/>
      <c r="Q279" s="27" t="s">
        <v>363</v>
      </c>
      <c r="R279" s="89"/>
      <c r="S279" s="88"/>
      <c r="T279" s="25"/>
      <c r="U279" s="25"/>
      <c r="V279" s="25"/>
      <c r="W279" s="27"/>
      <c r="X279" s="27" t="s">
        <v>632</v>
      </c>
      <c r="Y279" s="27" t="s">
        <v>616</v>
      </c>
      <c r="Z279" s="27"/>
    </row>
    <row r="280" spans="1:26" s="1" customFormat="1" ht="43.5" hidden="1">
      <c r="A280" s="143" t="s">
        <v>309</v>
      </c>
      <c r="B280" s="151">
        <v>11</v>
      </c>
      <c r="C280" s="152" t="s">
        <v>1112</v>
      </c>
      <c r="D280" s="153" t="s">
        <v>1277</v>
      </c>
      <c r="E280" s="197" t="s">
        <v>1278</v>
      </c>
      <c r="F280" s="88" t="s">
        <v>1332</v>
      </c>
      <c r="G280" s="131" t="s">
        <v>1333</v>
      </c>
      <c r="H280" s="88"/>
      <c r="I280" s="88"/>
      <c r="J280" s="20" t="str">
        <f>G280</f>
        <v>Mantenir els serveis d'informació actuals de l'ENP</v>
      </c>
      <c r="K280" s="20" t="s">
        <v>1334</v>
      </c>
      <c r="L280" s="20" t="s">
        <v>54</v>
      </c>
      <c r="M280" s="27"/>
      <c r="N280" s="393" t="s">
        <v>1345</v>
      </c>
      <c r="O280" s="25"/>
      <c r="P280" s="25"/>
      <c r="Q280" s="27" t="s">
        <v>363</v>
      </c>
      <c r="R280" s="89"/>
      <c r="S280" s="88"/>
      <c r="T280" s="25"/>
      <c r="U280" s="25"/>
      <c r="V280" s="25"/>
      <c r="W280" s="27"/>
      <c r="X280" s="27" t="s">
        <v>632</v>
      </c>
      <c r="Y280" s="27" t="s">
        <v>616</v>
      </c>
      <c r="Z280" s="27"/>
    </row>
    <row r="281" spans="1:26" s="1" customFormat="1" ht="72.599999999999994" hidden="1">
      <c r="A281" s="143" t="s">
        <v>309</v>
      </c>
      <c r="B281" s="151">
        <v>11</v>
      </c>
      <c r="C281" s="152" t="s">
        <v>1112</v>
      </c>
      <c r="D281" s="153" t="s">
        <v>1277</v>
      </c>
      <c r="E281" s="197" t="s">
        <v>1278</v>
      </c>
      <c r="F281" s="88" t="s">
        <v>1332</v>
      </c>
      <c r="G281" s="131" t="s">
        <v>1333</v>
      </c>
      <c r="H281" s="88"/>
      <c r="I281" s="88"/>
      <c r="J281" s="20" t="str">
        <f>G281</f>
        <v>Mantenir els serveis d'informació actuals de l'ENP</v>
      </c>
      <c r="K281" s="20" t="s">
        <v>1334</v>
      </c>
      <c r="L281" s="20" t="s">
        <v>54</v>
      </c>
      <c r="M281" s="27"/>
      <c r="N281" s="393" t="s">
        <v>1346</v>
      </c>
      <c r="O281" s="25"/>
      <c r="P281" s="25"/>
      <c r="Q281" s="27" t="s">
        <v>363</v>
      </c>
      <c r="R281" s="89"/>
      <c r="S281" s="88"/>
      <c r="T281" s="25"/>
      <c r="U281" s="25"/>
      <c r="V281" s="25"/>
      <c r="W281" s="27"/>
      <c r="X281" s="27" t="s">
        <v>632</v>
      </c>
      <c r="Y281" s="27" t="s">
        <v>616</v>
      </c>
      <c r="Z281" s="27"/>
    </row>
    <row r="282" spans="1:26" s="1" customFormat="1" ht="72.599999999999994" hidden="1">
      <c r="A282" s="143" t="s">
        <v>309</v>
      </c>
      <c r="B282" s="151">
        <v>11</v>
      </c>
      <c r="C282" s="152" t="s">
        <v>1112</v>
      </c>
      <c r="D282" s="153" t="s">
        <v>1277</v>
      </c>
      <c r="E282" s="197" t="s">
        <v>1278</v>
      </c>
      <c r="F282" s="88" t="s">
        <v>1332</v>
      </c>
      <c r="G282" s="131" t="s">
        <v>1333</v>
      </c>
      <c r="H282" s="88"/>
      <c r="I282" s="88"/>
      <c r="J282" s="20" t="str">
        <f>G282</f>
        <v>Mantenir els serveis d'informació actuals de l'ENP</v>
      </c>
      <c r="K282" s="20" t="s">
        <v>1334</v>
      </c>
      <c r="L282" s="20" t="s">
        <v>54</v>
      </c>
      <c r="M282" s="27"/>
      <c r="N282" s="393" t="s">
        <v>1347</v>
      </c>
      <c r="O282" s="25"/>
      <c r="P282" s="25"/>
      <c r="Q282" s="27" t="s">
        <v>363</v>
      </c>
      <c r="R282" s="89"/>
      <c r="S282" s="88"/>
      <c r="T282" s="25"/>
      <c r="U282" s="25"/>
      <c r="V282" s="25"/>
      <c r="W282" s="27"/>
      <c r="X282" s="27" t="s">
        <v>632</v>
      </c>
      <c r="Y282" s="27" t="s">
        <v>616</v>
      </c>
      <c r="Z282" s="27"/>
    </row>
    <row r="283" spans="1:26" s="1" customFormat="1" ht="87" hidden="1">
      <c r="A283" s="143" t="s">
        <v>309</v>
      </c>
      <c r="B283" s="151">
        <v>11</v>
      </c>
      <c r="C283" s="152" t="s">
        <v>1112</v>
      </c>
      <c r="D283" s="153" t="s">
        <v>1277</v>
      </c>
      <c r="E283" s="197" t="s">
        <v>1278</v>
      </c>
      <c r="F283" s="88" t="s">
        <v>1332</v>
      </c>
      <c r="G283" s="131" t="s">
        <v>1333</v>
      </c>
      <c r="H283" s="88"/>
      <c r="I283" s="88"/>
      <c r="J283" s="20" t="str">
        <f>G283</f>
        <v>Mantenir els serveis d'informació actuals de l'ENP</v>
      </c>
      <c r="K283" s="20" t="s">
        <v>1334</v>
      </c>
      <c r="L283" s="20" t="s">
        <v>54</v>
      </c>
      <c r="M283" s="27"/>
      <c r="N283" s="393" t="s">
        <v>1348</v>
      </c>
      <c r="O283" s="25"/>
      <c r="P283" s="25"/>
      <c r="Q283" s="27" t="s">
        <v>363</v>
      </c>
      <c r="R283" s="89"/>
      <c r="S283" s="88"/>
      <c r="T283" s="25"/>
      <c r="U283" s="25"/>
      <c r="V283" s="25"/>
      <c r="W283" s="27"/>
      <c r="X283" s="27" t="s">
        <v>632</v>
      </c>
      <c r="Y283" s="27" t="s">
        <v>616</v>
      </c>
      <c r="Z283" s="27"/>
    </row>
    <row r="284" spans="1:26" s="1" customFormat="1" ht="72.599999999999994">
      <c r="A284" s="143" t="s">
        <v>309</v>
      </c>
      <c r="B284" s="151">
        <v>11</v>
      </c>
      <c r="C284" s="152" t="s">
        <v>1112</v>
      </c>
      <c r="D284" s="149" t="s">
        <v>1349</v>
      </c>
      <c r="E284" s="150" t="s">
        <v>1350</v>
      </c>
      <c r="F284" s="88" t="s">
        <v>1351</v>
      </c>
      <c r="G284" s="88" t="s">
        <v>1352</v>
      </c>
      <c r="H284" s="88" t="s">
        <v>348</v>
      </c>
      <c r="I284" s="88" t="s">
        <v>570</v>
      </c>
      <c r="J284" s="20" t="str">
        <f t="shared" si="8"/>
        <v>Elaborar i executar el Pla de vigilància de l’espai d'acord amb els cossos d’inspecció i seguretat</v>
      </c>
      <c r="K284" s="20"/>
      <c r="L284" s="20" t="s">
        <v>54</v>
      </c>
      <c r="M284" s="27" t="s">
        <v>368</v>
      </c>
      <c r="N284" s="393" t="s">
        <v>1353</v>
      </c>
      <c r="O284" s="25"/>
      <c r="P284" s="25"/>
      <c r="Q284" s="20" t="s">
        <v>1354</v>
      </c>
      <c r="R284" s="89"/>
      <c r="S284" s="89"/>
      <c r="T284" s="20" t="s">
        <v>1355</v>
      </c>
      <c r="U284" s="435" t="s">
        <v>1356</v>
      </c>
      <c r="V284" s="435" t="s">
        <v>1357</v>
      </c>
      <c r="W284" s="27"/>
      <c r="X284" s="27" t="s">
        <v>632</v>
      </c>
      <c r="Y284" s="27" t="s">
        <v>616</v>
      </c>
      <c r="Z284" s="27"/>
    </row>
    <row r="285" spans="1:26" s="1" customFormat="1" ht="57.95" hidden="1">
      <c r="A285" s="143" t="s">
        <v>309</v>
      </c>
      <c r="B285" s="151">
        <v>11</v>
      </c>
      <c r="C285" s="152" t="s">
        <v>1112</v>
      </c>
      <c r="D285" s="153" t="s">
        <v>1349</v>
      </c>
      <c r="E285" s="197" t="s">
        <v>1350</v>
      </c>
      <c r="F285" s="88" t="s">
        <v>1351</v>
      </c>
      <c r="G285" s="88" t="s">
        <v>1352</v>
      </c>
      <c r="H285" s="88" t="s">
        <v>348</v>
      </c>
      <c r="I285" s="88" t="s">
        <v>377</v>
      </c>
      <c r="J285" s="20" t="str">
        <f>G285</f>
        <v>Elaborar i executar el Pla de vigilància de l’espai d'acord amb els cossos d’inspecció i seguretat</v>
      </c>
      <c r="K285" s="20"/>
      <c r="L285" s="20" t="s">
        <v>54</v>
      </c>
      <c r="M285" s="27" t="s">
        <v>368</v>
      </c>
      <c r="N285" s="393" t="s">
        <v>1358</v>
      </c>
      <c r="O285" s="25"/>
      <c r="P285" s="25"/>
      <c r="Q285" s="27" t="s">
        <v>363</v>
      </c>
      <c r="R285" s="89"/>
      <c r="S285" s="89"/>
      <c r="T285" s="25"/>
      <c r="U285" s="25"/>
      <c r="V285" s="25"/>
      <c r="W285" s="27"/>
      <c r="X285" s="27" t="s">
        <v>632</v>
      </c>
      <c r="Y285" s="27" t="s">
        <v>616</v>
      </c>
      <c r="Z285" s="27"/>
    </row>
    <row r="286" spans="1:26" s="1" customFormat="1" ht="72.599999999999994">
      <c r="A286" s="143" t="s">
        <v>309</v>
      </c>
      <c r="B286" s="151">
        <v>11</v>
      </c>
      <c r="C286" s="152" t="s">
        <v>1112</v>
      </c>
      <c r="D286" s="153" t="s">
        <v>1349</v>
      </c>
      <c r="E286" s="197" t="s">
        <v>1350</v>
      </c>
      <c r="F286" s="88" t="s">
        <v>1359</v>
      </c>
      <c r="G286" s="88" t="s">
        <v>1360</v>
      </c>
      <c r="H286" s="88" t="s">
        <v>348</v>
      </c>
      <c r="I286" s="88" t="s">
        <v>377</v>
      </c>
      <c r="J286" s="20" t="str">
        <f>G286</f>
        <v>Millorar la coordinació amb els cossos de seguretat per efectuar accions de control i vigilància</v>
      </c>
      <c r="K286" s="20"/>
      <c r="L286" s="20" t="s">
        <v>54</v>
      </c>
      <c r="M286" s="27" t="s">
        <v>368</v>
      </c>
      <c r="N286" s="390" t="s">
        <v>1361</v>
      </c>
      <c r="O286" s="25"/>
      <c r="P286" s="25"/>
      <c r="Q286" s="20" t="s">
        <v>1362</v>
      </c>
      <c r="R286" s="89"/>
      <c r="S286" s="89"/>
      <c r="T286" s="20" t="s">
        <v>1363</v>
      </c>
      <c r="U286" s="435">
        <v>4</v>
      </c>
      <c r="V286" s="435">
        <v>5</v>
      </c>
      <c r="W286" s="27"/>
      <c r="X286" s="338" t="s">
        <v>471</v>
      </c>
      <c r="Y286" s="338" t="s">
        <v>472</v>
      </c>
      <c r="Z286" s="27"/>
    </row>
    <row r="287" spans="1:26" s="1" customFormat="1" ht="57.95" hidden="1">
      <c r="A287" s="143" t="s">
        <v>309</v>
      </c>
      <c r="B287" s="151">
        <v>11</v>
      </c>
      <c r="C287" s="152" t="s">
        <v>1112</v>
      </c>
      <c r="D287" s="153" t="s">
        <v>1349</v>
      </c>
      <c r="E287" s="197" t="s">
        <v>1350</v>
      </c>
      <c r="F287" s="88" t="s">
        <v>1359</v>
      </c>
      <c r="G287" s="88" t="s">
        <v>1360</v>
      </c>
      <c r="H287" s="88" t="s">
        <v>348</v>
      </c>
      <c r="I287" s="88" t="s">
        <v>377</v>
      </c>
      <c r="J287" s="20" t="str">
        <f>G287</f>
        <v>Millorar la coordinació amb els cossos de seguretat per efectuar accions de control i vigilància</v>
      </c>
      <c r="K287" s="20"/>
      <c r="L287" s="20" t="s">
        <v>54</v>
      </c>
      <c r="M287" s="27" t="s">
        <v>368</v>
      </c>
      <c r="N287" s="390" t="s">
        <v>1364</v>
      </c>
      <c r="O287" s="25"/>
      <c r="P287" s="25"/>
      <c r="Q287" s="27" t="s">
        <v>363</v>
      </c>
      <c r="R287" s="89"/>
      <c r="S287" s="89"/>
      <c r="T287" s="25"/>
      <c r="U287" s="25"/>
      <c r="V287" s="25"/>
      <c r="W287" s="27"/>
      <c r="X287" s="338" t="s">
        <v>471</v>
      </c>
      <c r="Y287" s="338" t="s">
        <v>472</v>
      </c>
      <c r="Z287" s="27"/>
    </row>
    <row r="288" spans="1:26" s="1" customFormat="1" ht="57.95" hidden="1">
      <c r="A288" s="143" t="s">
        <v>309</v>
      </c>
      <c r="B288" s="151">
        <v>11</v>
      </c>
      <c r="C288" s="152" t="s">
        <v>1112</v>
      </c>
      <c r="D288" s="153" t="s">
        <v>1349</v>
      </c>
      <c r="E288" s="197" t="s">
        <v>1350</v>
      </c>
      <c r="F288" s="88" t="s">
        <v>1365</v>
      </c>
      <c r="G288" s="88" t="s">
        <v>1366</v>
      </c>
      <c r="H288" s="88" t="s">
        <v>348</v>
      </c>
      <c r="I288" s="88" t="s">
        <v>377</v>
      </c>
      <c r="J288" s="20" t="s">
        <v>1366</v>
      </c>
      <c r="K288" s="20" t="s">
        <v>1367</v>
      </c>
      <c r="L288" s="214" t="s">
        <v>107</v>
      </c>
      <c r="M288" s="27" t="s">
        <v>368</v>
      </c>
      <c r="N288" s="27"/>
      <c r="O288" s="25"/>
      <c r="P288" s="25"/>
      <c r="Q288" s="27" t="s">
        <v>363</v>
      </c>
      <c r="R288" s="89"/>
      <c r="S288" s="89"/>
      <c r="T288" s="25"/>
      <c r="U288" s="25"/>
      <c r="V288" s="25"/>
      <c r="W288" s="27"/>
      <c r="X288" s="27"/>
      <c r="Y288" s="27"/>
      <c r="Z288" s="27"/>
    </row>
    <row r="289" spans="1:26" s="1" customFormat="1" ht="116.1">
      <c r="A289" s="143" t="s">
        <v>309</v>
      </c>
      <c r="B289" s="154">
        <v>12</v>
      </c>
      <c r="C289" s="155" t="s">
        <v>1368</v>
      </c>
      <c r="D289" s="149" t="s">
        <v>1369</v>
      </c>
      <c r="E289" s="150" t="s">
        <v>1370</v>
      </c>
      <c r="F289" s="88" t="s">
        <v>1371</v>
      </c>
      <c r="G289" s="88" t="s">
        <v>1372</v>
      </c>
      <c r="H289" s="88" t="s">
        <v>348</v>
      </c>
      <c r="I289" s="88" t="s">
        <v>377</v>
      </c>
      <c r="J289" s="205" t="s">
        <v>1373</v>
      </c>
      <c r="K289" s="20" t="s">
        <v>1374</v>
      </c>
      <c r="L289" s="20" t="s">
        <v>54</v>
      </c>
      <c r="M289" s="27" t="s">
        <v>352</v>
      </c>
      <c r="N289" s="393" t="s">
        <v>1375</v>
      </c>
      <c r="O289" s="25"/>
      <c r="P289" s="25"/>
      <c r="Q289" s="20" t="s">
        <v>1376</v>
      </c>
      <c r="R289" s="89"/>
      <c r="S289" s="89"/>
      <c r="T289" s="20" t="s">
        <v>1377</v>
      </c>
      <c r="U289" s="435" t="s">
        <v>534</v>
      </c>
      <c r="V289" s="435" t="s">
        <v>534</v>
      </c>
      <c r="W289" s="27"/>
      <c r="X289" s="338" t="s">
        <v>471</v>
      </c>
      <c r="Y289" s="338" t="s">
        <v>472</v>
      </c>
      <c r="Z289" s="27"/>
    </row>
    <row r="290" spans="1:26" s="1" customFormat="1" ht="43.5" hidden="1">
      <c r="A290" s="143" t="s">
        <v>309</v>
      </c>
      <c r="B290" s="156">
        <v>12</v>
      </c>
      <c r="C290" s="157" t="s">
        <v>1368</v>
      </c>
      <c r="D290" s="153" t="s">
        <v>1369</v>
      </c>
      <c r="E290" s="197" t="s">
        <v>1370</v>
      </c>
      <c r="F290" s="88" t="s">
        <v>1371</v>
      </c>
      <c r="G290" s="88" t="s">
        <v>1372</v>
      </c>
      <c r="H290" s="88" t="s">
        <v>348</v>
      </c>
      <c r="I290" s="88" t="s">
        <v>377</v>
      </c>
      <c r="J290" s="205" t="s">
        <v>1373</v>
      </c>
      <c r="K290" s="20" t="s">
        <v>1378</v>
      </c>
      <c r="L290" s="20" t="s">
        <v>54</v>
      </c>
      <c r="M290" s="27" t="s">
        <v>352</v>
      </c>
      <c r="N290" s="393" t="s">
        <v>1379</v>
      </c>
      <c r="O290" s="25"/>
      <c r="P290" s="25"/>
      <c r="Q290" s="27" t="s">
        <v>363</v>
      </c>
      <c r="R290" s="89"/>
      <c r="S290" s="89"/>
      <c r="T290" s="25"/>
      <c r="U290" s="25"/>
      <c r="V290" s="25"/>
      <c r="W290" s="27"/>
      <c r="X290" s="338" t="s">
        <v>471</v>
      </c>
      <c r="Y290" s="338" t="s">
        <v>472</v>
      </c>
      <c r="Z290" s="27"/>
    </row>
    <row r="291" spans="1:26" s="1" customFormat="1" ht="43.5" hidden="1">
      <c r="A291" s="143" t="s">
        <v>309</v>
      </c>
      <c r="B291" s="156">
        <v>12</v>
      </c>
      <c r="C291" s="157" t="s">
        <v>1368</v>
      </c>
      <c r="D291" s="153" t="s">
        <v>1369</v>
      </c>
      <c r="E291" s="197" t="s">
        <v>1370</v>
      </c>
      <c r="F291" s="88" t="s">
        <v>1380</v>
      </c>
      <c r="G291" s="88" t="s">
        <v>1381</v>
      </c>
      <c r="H291" s="88" t="s">
        <v>348</v>
      </c>
      <c r="I291" s="88" t="s">
        <v>377</v>
      </c>
      <c r="J291" s="20" t="s">
        <v>1381</v>
      </c>
      <c r="K291" s="20" t="s">
        <v>1382</v>
      </c>
      <c r="L291" s="214" t="s">
        <v>107</v>
      </c>
      <c r="M291" s="27" t="s">
        <v>352</v>
      </c>
      <c r="N291" s="27"/>
      <c r="O291" s="25"/>
      <c r="P291" s="25"/>
      <c r="Q291" s="27" t="s">
        <v>363</v>
      </c>
      <c r="R291" s="89"/>
      <c r="S291" s="89"/>
      <c r="T291" s="25"/>
      <c r="U291" s="25"/>
      <c r="V291" s="25"/>
      <c r="W291" s="27"/>
      <c r="X291" s="27"/>
      <c r="Y291" s="27"/>
      <c r="Z291" s="27"/>
    </row>
    <row r="292" spans="1:26" s="1" customFormat="1" ht="87">
      <c r="A292" s="158" t="s">
        <v>306</v>
      </c>
      <c r="B292" s="159">
        <v>13</v>
      </c>
      <c r="C292" s="160" t="s">
        <v>1383</v>
      </c>
      <c r="D292" s="161" t="s">
        <v>1384</v>
      </c>
      <c r="E292" s="162" t="s">
        <v>1385</v>
      </c>
      <c r="F292" s="131" t="s">
        <v>1386</v>
      </c>
      <c r="G292" s="88" t="s">
        <v>1387</v>
      </c>
      <c r="H292" s="88" t="s">
        <v>348</v>
      </c>
      <c r="I292" s="88" t="s">
        <v>377</v>
      </c>
      <c r="J292" s="20" t="str">
        <f>G292</f>
        <v>Definir el model de Xarxa d'Escoles de l'Espai Natural (XEEN) a l'ENP amb els agents educatius del territori</v>
      </c>
      <c r="K292" s="20"/>
      <c r="L292" s="20" t="s">
        <v>54</v>
      </c>
      <c r="M292" s="27" t="s">
        <v>378</v>
      </c>
      <c r="N292" s="390" t="s">
        <v>1388</v>
      </c>
      <c r="O292" s="25"/>
      <c r="P292" s="25"/>
      <c r="Q292" s="20" t="s">
        <v>1389</v>
      </c>
      <c r="R292" s="131" t="s">
        <v>1390</v>
      </c>
      <c r="S292" s="89"/>
      <c r="T292" s="20" t="s">
        <v>1391</v>
      </c>
      <c r="U292" s="435">
        <v>1</v>
      </c>
      <c r="V292" s="435">
        <v>1</v>
      </c>
      <c r="W292" s="27"/>
      <c r="X292" s="27" t="s">
        <v>632</v>
      </c>
      <c r="Y292" s="27" t="s">
        <v>901</v>
      </c>
      <c r="Z292" s="27"/>
    </row>
    <row r="293" spans="1:26" s="1" customFormat="1" ht="87">
      <c r="A293" s="158" t="s">
        <v>306</v>
      </c>
      <c r="B293" s="163">
        <v>13</v>
      </c>
      <c r="C293" s="164" t="s">
        <v>1383</v>
      </c>
      <c r="D293" s="165" t="s">
        <v>1384</v>
      </c>
      <c r="E293" s="198" t="s">
        <v>1385</v>
      </c>
      <c r="F293" s="131" t="s">
        <v>1392</v>
      </c>
      <c r="G293" s="131" t="s">
        <v>1393</v>
      </c>
      <c r="H293" s="88" t="s">
        <v>348</v>
      </c>
      <c r="I293" s="88" t="s">
        <v>377</v>
      </c>
      <c r="J293" s="20" t="str">
        <f>G293</f>
        <v>Desplegar el model de Xarxa d'Escoles de l'Espai Natural (XEEN) a l'ENP d'acord amb el model general</v>
      </c>
      <c r="K293" s="20"/>
      <c r="L293" s="26" t="s">
        <v>54</v>
      </c>
      <c r="M293" s="27" t="s">
        <v>378</v>
      </c>
      <c r="N293" s="390" t="s">
        <v>1394</v>
      </c>
      <c r="O293" s="25"/>
      <c r="P293" s="25"/>
      <c r="Q293" s="20" t="s">
        <v>1395</v>
      </c>
      <c r="R293" s="131" t="s">
        <v>1390</v>
      </c>
      <c r="S293" s="88" t="s">
        <v>1396</v>
      </c>
      <c r="T293" s="20" t="s">
        <v>1397</v>
      </c>
      <c r="U293" s="435" t="s">
        <v>1398</v>
      </c>
      <c r="V293" s="435" t="s">
        <v>1399</v>
      </c>
      <c r="W293" s="27"/>
      <c r="X293" s="27" t="s">
        <v>632</v>
      </c>
      <c r="Y293" s="27" t="s">
        <v>901</v>
      </c>
      <c r="Z293" s="27"/>
    </row>
    <row r="294" spans="1:26" s="1" customFormat="1" ht="72.599999999999994" hidden="1">
      <c r="A294" s="158" t="s">
        <v>306</v>
      </c>
      <c r="B294" s="163">
        <v>13</v>
      </c>
      <c r="C294" s="164" t="s">
        <v>1383</v>
      </c>
      <c r="D294" s="165" t="s">
        <v>1384</v>
      </c>
      <c r="E294" s="198" t="s">
        <v>1385</v>
      </c>
      <c r="F294" s="131" t="s">
        <v>1392</v>
      </c>
      <c r="G294" s="131" t="s">
        <v>1393</v>
      </c>
      <c r="H294" s="88" t="s">
        <v>348</v>
      </c>
      <c r="I294" s="88" t="s">
        <v>377</v>
      </c>
      <c r="J294" s="20" t="str">
        <f>G294</f>
        <v>Desplegar el model de Xarxa d'Escoles de l'Espai Natural (XEEN) a l'ENP d'acord amb el model general</v>
      </c>
      <c r="K294" s="20"/>
      <c r="L294" s="26" t="s">
        <v>54</v>
      </c>
      <c r="M294" s="27" t="s">
        <v>378</v>
      </c>
      <c r="N294" s="390" t="s">
        <v>1400</v>
      </c>
      <c r="O294" s="25"/>
      <c r="P294" s="25"/>
      <c r="Q294" s="27" t="s">
        <v>363</v>
      </c>
      <c r="R294" s="131" t="s">
        <v>1390</v>
      </c>
      <c r="S294" s="88" t="s">
        <v>1396</v>
      </c>
      <c r="T294" s="25"/>
      <c r="U294" s="25"/>
      <c r="V294" s="25"/>
      <c r="W294" s="27"/>
      <c r="X294" s="27" t="s">
        <v>632</v>
      </c>
      <c r="Y294" s="27" t="s">
        <v>901</v>
      </c>
      <c r="Z294" s="27"/>
    </row>
    <row r="295" spans="1:26" s="1" customFormat="1" ht="87">
      <c r="A295" s="158" t="s">
        <v>306</v>
      </c>
      <c r="B295" s="163">
        <v>13</v>
      </c>
      <c r="C295" s="164" t="s">
        <v>1383</v>
      </c>
      <c r="D295" s="165" t="s">
        <v>1384</v>
      </c>
      <c r="E295" s="198" t="s">
        <v>1385</v>
      </c>
      <c r="F295" s="131" t="s">
        <v>1401</v>
      </c>
      <c r="G295" s="88" t="s">
        <v>1402</v>
      </c>
      <c r="H295" s="88" t="s">
        <v>348</v>
      </c>
      <c r="I295" s="88" t="s">
        <v>377</v>
      </c>
      <c r="J295" s="20" t="str">
        <f>G295</f>
        <v xml:space="preserve">Formar i capacitar al professorat de la XEEN </v>
      </c>
      <c r="K295" s="20"/>
      <c r="L295" s="26" t="s">
        <v>54</v>
      </c>
      <c r="M295" s="27" t="s">
        <v>378</v>
      </c>
      <c r="N295" s="393" t="s">
        <v>1403</v>
      </c>
      <c r="O295" s="25"/>
      <c r="P295" s="25"/>
      <c r="Q295" s="20" t="s">
        <v>1404</v>
      </c>
      <c r="R295" s="131"/>
      <c r="S295" s="88"/>
      <c r="T295" s="20" t="s">
        <v>1405</v>
      </c>
      <c r="U295" s="413">
        <v>3</v>
      </c>
      <c r="V295" s="413">
        <v>5</v>
      </c>
      <c r="W295" s="27"/>
      <c r="X295" s="27" t="s">
        <v>632</v>
      </c>
      <c r="Y295" s="27" t="s">
        <v>901</v>
      </c>
      <c r="Z295" s="27"/>
    </row>
    <row r="296" spans="1:26" s="1" customFormat="1" ht="72.599999999999994">
      <c r="A296" s="158" t="s">
        <v>306</v>
      </c>
      <c r="B296" s="163">
        <v>13</v>
      </c>
      <c r="C296" s="164" t="s">
        <v>1383</v>
      </c>
      <c r="D296" s="166" t="s">
        <v>1406</v>
      </c>
      <c r="E296" s="167" t="s">
        <v>1407</v>
      </c>
      <c r="F296" s="88" t="s">
        <v>1408</v>
      </c>
      <c r="G296" s="88" t="s">
        <v>1409</v>
      </c>
      <c r="H296" s="88" t="s">
        <v>348</v>
      </c>
      <c r="I296" s="88" t="s">
        <v>377</v>
      </c>
      <c r="J296" s="20" t="str">
        <f>G296</f>
        <v>Adaptar i millorar l'oferta pedagògica de l'ENP generant situacions d'aprenentatge i treballs per projecte</v>
      </c>
      <c r="K296" s="20"/>
      <c r="L296" s="20" t="s">
        <v>54</v>
      </c>
      <c r="M296" s="27" t="s">
        <v>378</v>
      </c>
      <c r="N296" s="390" t="s">
        <v>1410</v>
      </c>
      <c r="O296" s="25"/>
      <c r="P296" s="25"/>
      <c r="Q296" s="20" t="s">
        <v>1411</v>
      </c>
      <c r="R296" s="131" t="s">
        <v>1390</v>
      </c>
      <c r="S296" s="88" t="s">
        <v>1412</v>
      </c>
      <c r="T296" s="20" t="s">
        <v>1413</v>
      </c>
      <c r="U296" s="438">
        <v>0.9</v>
      </c>
      <c r="V296" s="438">
        <v>1</v>
      </c>
      <c r="W296" s="27"/>
      <c r="X296" s="27" t="s">
        <v>632</v>
      </c>
      <c r="Y296" s="27" t="s">
        <v>901</v>
      </c>
      <c r="Z296" s="27"/>
    </row>
    <row r="297" spans="1:26" s="1" customFormat="1" ht="72.599999999999994" hidden="1">
      <c r="A297" s="158" t="s">
        <v>306</v>
      </c>
      <c r="B297" s="163">
        <v>13</v>
      </c>
      <c r="C297" s="164" t="s">
        <v>1383</v>
      </c>
      <c r="D297" s="168" t="s">
        <v>1406</v>
      </c>
      <c r="E297" s="199" t="s">
        <v>1407</v>
      </c>
      <c r="F297" s="88" t="s">
        <v>1414</v>
      </c>
      <c r="G297" s="88" t="s">
        <v>1415</v>
      </c>
      <c r="H297" s="88" t="s">
        <v>348</v>
      </c>
      <c r="I297" s="88" t="s">
        <v>570</v>
      </c>
      <c r="J297" s="20" t="s">
        <v>1415</v>
      </c>
      <c r="K297" s="20"/>
      <c r="L297" s="224" t="s">
        <v>107</v>
      </c>
      <c r="M297" s="27" t="s">
        <v>352</v>
      </c>
      <c r="N297" s="27"/>
      <c r="O297" s="25"/>
      <c r="P297" s="25"/>
      <c r="Q297" s="27" t="s">
        <v>363</v>
      </c>
      <c r="R297" s="131" t="s">
        <v>1390</v>
      </c>
      <c r="S297" s="89"/>
      <c r="T297" s="25"/>
      <c r="U297" s="25"/>
      <c r="V297" s="25"/>
      <c r="W297" s="27"/>
      <c r="X297" s="27"/>
      <c r="Y297" s="27"/>
      <c r="Z297" s="27"/>
    </row>
    <row r="298" spans="1:26" s="1" customFormat="1" ht="130.5">
      <c r="A298" s="158" t="s">
        <v>306</v>
      </c>
      <c r="B298" s="163">
        <v>13</v>
      </c>
      <c r="C298" s="164" t="s">
        <v>1383</v>
      </c>
      <c r="D298" s="168" t="s">
        <v>1406</v>
      </c>
      <c r="E298" s="199" t="s">
        <v>1407</v>
      </c>
      <c r="F298" s="88" t="s">
        <v>1416</v>
      </c>
      <c r="G298" s="88" t="s">
        <v>1417</v>
      </c>
      <c r="H298" s="88" t="s">
        <v>348</v>
      </c>
      <c r="I298" s="88" t="s">
        <v>570</v>
      </c>
      <c r="J298" s="20" t="str">
        <f t="shared" ref="J298:J311" si="9">G298</f>
        <v>Elaborar recursos educatius sobre l’espai (que tinguin en compte les problemàtiques singulars del seu espai) i posar-los a disposició dels centres educatius</v>
      </c>
      <c r="K298" s="20"/>
      <c r="L298" s="20" t="s">
        <v>54</v>
      </c>
      <c r="M298" s="27" t="s">
        <v>352</v>
      </c>
      <c r="N298" s="390" t="s">
        <v>1418</v>
      </c>
      <c r="O298" s="25"/>
      <c r="P298" s="25"/>
      <c r="Q298" s="20" t="s">
        <v>1419</v>
      </c>
      <c r="R298" s="131" t="s">
        <v>1390</v>
      </c>
      <c r="S298" s="89"/>
      <c r="T298" s="442" t="s">
        <v>1420</v>
      </c>
      <c r="U298" s="443">
        <v>9</v>
      </c>
      <c r="V298" s="443">
        <v>9</v>
      </c>
      <c r="W298" s="27"/>
      <c r="X298" s="27" t="s">
        <v>632</v>
      </c>
      <c r="Y298" s="27" t="s">
        <v>901</v>
      </c>
      <c r="Z298" s="27"/>
    </row>
    <row r="299" spans="1:26" s="1" customFormat="1" ht="72.599999999999994" hidden="1">
      <c r="A299" s="158" t="s">
        <v>306</v>
      </c>
      <c r="B299" s="163">
        <v>13</v>
      </c>
      <c r="C299" s="164" t="s">
        <v>1383</v>
      </c>
      <c r="D299" s="168" t="s">
        <v>1406</v>
      </c>
      <c r="E299" s="199" t="s">
        <v>1407</v>
      </c>
      <c r="F299" s="88" t="s">
        <v>1416</v>
      </c>
      <c r="G299" s="88" t="s">
        <v>1417</v>
      </c>
      <c r="H299" s="88" t="s">
        <v>348</v>
      </c>
      <c r="I299" s="88" t="s">
        <v>570</v>
      </c>
      <c r="J299" s="20" t="str">
        <f t="shared" si="9"/>
        <v>Elaborar recursos educatius sobre l’espai (que tinguin en compte les problemàtiques singulars del seu espai) i posar-los a disposició dels centres educatius</v>
      </c>
      <c r="K299" s="20"/>
      <c r="L299" s="20" t="s">
        <v>54</v>
      </c>
      <c r="M299" s="27" t="s">
        <v>352</v>
      </c>
      <c r="N299" s="390" t="s">
        <v>1421</v>
      </c>
      <c r="O299" s="25"/>
      <c r="P299" s="25"/>
      <c r="Q299" s="27" t="s">
        <v>363</v>
      </c>
      <c r="R299" s="131" t="s">
        <v>1390</v>
      </c>
      <c r="S299" s="89"/>
      <c r="T299" s="25"/>
      <c r="U299" s="25"/>
      <c r="V299" s="25"/>
      <c r="W299" s="27"/>
      <c r="X299" s="27" t="s">
        <v>632</v>
      </c>
      <c r="Y299" s="27" t="s">
        <v>1422</v>
      </c>
      <c r="Z299" s="27"/>
    </row>
    <row r="300" spans="1:26" s="1" customFormat="1" ht="87">
      <c r="A300" s="158" t="s">
        <v>306</v>
      </c>
      <c r="B300" s="163">
        <v>13</v>
      </c>
      <c r="C300" s="164" t="s">
        <v>1383</v>
      </c>
      <c r="D300" s="168" t="s">
        <v>1406</v>
      </c>
      <c r="E300" s="199" t="s">
        <v>1407</v>
      </c>
      <c r="F300" s="88" t="s">
        <v>1423</v>
      </c>
      <c r="G300" s="88" t="s">
        <v>1424</v>
      </c>
      <c r="H300" s="88" t="s">
        <v>348</v>
      </c>
      <c r="I300" s="88" t="s">
        <v>570</v>
      </c>
      <c r="J300" s="20" t="str">
        <f t="shared" si="9"/>
        <v>Oferir projectes de recerca vinculats a l'espai natural per a l'alumnat universitari i de la XEEN</v>
      </c>
      <c r="K300" s="20"/>
      <c r="L300" s="20" t="s">
        <v>54</v>
      </c>
      <c r="M300" s="27" t="s">
        <v>352</v>
      </c>
      <c r="N300" s="390" t="s">
        <v>1425</v>
      </c>
      <c r="O300" s="25"/>
      <c r="P300" s="25"/>
      <c r="Q300" s="20" t="s">
        <v>1426</v>
      </c>
      <c r="R300" s="131" t="s">
        <v>1390</v>
      </c>
      <c r="S300" s="89"/>
      <c r="T300" s="20" t="s">
        <v>1427</v>
      </c>
      <c r="U300" s="435">
        <v>3</v>
      </c>
      <c r="V300" s="435">
        <v>5</v>
      </c>
      <c r="W300" s="27"/>
      <c r="X300" s="27" t="s">
        <v>632</v>
      </c>
      <c r="Y300" s="27" t="s">
        <v>901</v>
      </c>
      <c r="Z300" s="27"/>
    </row>
    <row r="301" spans="1:26" s="1" customFormat="1" ht="231.95">
      <c r="A301" s="158" t="s">
        <v>306</v>
      </c>
      <c r="B301" s="163">
        <v>13</v>
      </c>
      <c r="C301" s="164" t="s">
        <v>1383</v>
      </c>
      <c r="D301" s="168" t="s">
        <v>1406</v>
      </c>
      <c r="E301" s="199" t="s">
        <v>1407</v>
      </c>
      <c r="F301" s="88" t="s">
        <v>1428</v>
      </c>
      <c r="G301" s="88" t="s">
        <v>1429</v>
      </c>
      <c r="H301" s="372" t="s">
        <v>348</v>
      </c>
      <c r="I301" s="372" t="s">
        <v>377</v>
      </c>
      <c r="J301" s="373" t="str">
        <f t="shared" si="9"/>
        <v>Desplegar el Pla estratègic 2021-2030 d’educació i voluntariat ambiental del Parc Natural dels Ports (PEEVA): Educació ambiental</v>
      </c>
      <c r="K301" s="20"/>
      <c r="L301" s="20" t="s">
        <v>54</v>
      </c>
      <c r="M301" s="27" t="s">
        <v>352</v>
      </c>
      <c r="N301" s="393" t="s">
        <v>1430</v>
      </c>
      <c r="O301" s="25"/>
      <c r="P301" s="25"/>
      <c r="Q301" s="20" t="s">
        <v>1431</v>
      </c>
      <c r="R301" s="131" t="s">
        <v>1390</v>
      </c>
      <c r="S301" s="89"/>
      <c r="T301" s="20" t="s">
        <v>1432</v>
      </c>
      <c r="U301" s="438">
        <v>0.8</v>
      </c>
      <c r="V301" s="438">
        <v>1</v>
      </c>
      <c r="W301" s="27"/>
      <c r="X301" s="27" t="s">
        <v>632</v>
      </c>
      <c r="Y301" s="27" t="s">
        <v>901</v>
      </c>
      <c r="Z301" s="27"/>
    </row>
    <row r="302" spans="1:26" s="1" customFormat="1" ht="72.599999999999994" hidden="1">
      <c r="A302" s="158" t="s">
        <v>306</v>
      </c>
      <c r="B302" s="163">
        <v>13</v>
      </c>
      <c r="C302" s="164" t="s">
        <v>1383</v>
      </c>
      <c r="D302" s="168" t="s">
        <v>1406</v>
      </c>
      <c r="E302" s="199" t="s">
        <v>1407</v>
      </c>
      <c r="F302" s="88" t="s">
        <v>1428</v>
      </c>
      <c r="G302" s="88" t="s">
        <v>1429</v>
      </c>
      <c r="H302" s="372" t="s">
        <v>348</v>
      </c>
      <c r="I302" s="372" t="s">
        <v>377</v>
      </c>
      <c r="J302" s="373" t="str">
        <f t="shared" si="9"/>
        <v>Desplegar el Pla estratègic 2021-2030 d’educació i voluntariat ambiental del Parc Natural dels Ports (PEEVA): Educació ambiental</v>
      </c>
      <c r="K302" s="20"/>
      <c r="L302" s="20" t="s">
        <v>54</v>
      </c>
      <c r="M302" s="27" t="s">
        <v>352</v>
      </c>
      <c r="N302" s="393" t="s">
        <v>1433</v>
      </c>
      <c r="O302" s="25"/>
      <c r="P302" s="25"/>
      <c r="Q302" s="27" t="s">
        <v>363</v>
      </c>
      <c r="R302" s="131" t="s">
        <v>1390</v>
      </c>
      <c r="S302" s="89"/>
      <c r="T302" s="25"/>
      <c r="U302" s="25"/>
      <c r="V302" s="25"/>
      <c r="W302" s="27"/>
      <c r="X302" s="27" t="s">
        <v>632</v>
      </c>
      <c r="Y302" s="27" t="s">
        <v>727</v>
      </c>
      <c r="Z302" s="27"/>
    </row>
    <row r="303" spans="1:26" s="1" customFormat="1" ht="72.599999999999994" hidden="1">
      <c r="A303" s="158" t="s">
        <v>306</v>
      </c>
      <c r="B303" s="163">
        <v>13</v>
      </c>
      <c r="C303" s="164" t="s">
        <v>1383</v>
      </c>
      <c r="D303" s="168" t="s">
        <v>1406</v>
      </c>
      <c r="E303" s="199" t="s">
        <v>1407</v>
      </c>
      <c r="F303" s="88" t="s">
        <v>1428</v>
      </c>
      <c r="G303" s="88" t="s">
        <v>1429</v>
      </c>
      <c r="H303" s="372" t="s">
        <v>348</v>
      </c>
      <c r="I303" s="372" t="s">
        <v>377</v>
      </c>
      <c r="J303" s="373" t="str">
        <f t="shared" si="9"/>
        <v>Desplegar el Pla estratègic 2021-2030 d’educació i voluntariat ambiental del Parc Natural dels Ports (PEEVA): Educació ambiental</v>
      </c>
      <c r="K303" s="20"/>
      <c r="L303" s="20" t="s">
        <v>54</v>
      </c>
      <c r="M303" s="27" t="s">
        <v>352</v>
      </c>
      <c r="N303" s="390" t="s">
        <v>1434</v>
      </c>
      <c r="O303" s="25"/>
      <c r="P303" s="25"/>
      <c r="Q303" s="27" t="s">
        <v>363</v>
      </c>
      <c r="R303" s="131"/>
      <c r="S303" s="88"/>
      <c r="T303" s="25"/>
      <c r="U303" s="25"/>
      <c r="V303" s="25"/>
      <c r="W303" s="27"/>
      <c r="X303" s="27" t="s">
        <v>632</v>
      </c>
      <c r="Y303" s="27" t="s">
        <v>901</v>
      </c>
      <c r="Z303" s="27"/>
    </row>
    <row r="304" spans="1:26" s="1" customFormat="1" ht="72.599999999999994" hidden="1">
      <c r="A304" s="158" t="s">
        <v>306</v>
      </c>
      <c r="B304" s="163">
        <v>13</v>
      </c>
      <c r="C304" s="164" t="s">
        <v>1383</v>
      </c>
      <c r="D304" s="168" t="s">
        <v>1406</v>
      </c>
      <c r="E304" s="199" t="s">
        <v>1407</v>
      </c>
      <c r="F304" s="88" t="s">
        <v>1428</v>
      </c>
      <c r="G304" s="88" t="s">
        <v>1429</v>
      </c>
      <c r="H304" s="372" t="s">
        <v>348</v>
      </c>
      <c r="I304" s="372" t="s">
        <v>377</v>
      </c>
      <c r="J304" s="373" t="str">
        <f t="shared" si="9"/>
        <v>Desplegar el Pla estratègic 2021-2030 d’educació i voluntariat ambiental del Parc Natural dels Ports (PEEVA): Educació ambiental</v>
      </c>
      <c r="K304" s="20"/>
      <c r="L304" s="20" t="s">
        <v>54</v>
      </c>
      <c r="M304" s="27" t="s">
        <v>352</v>
      </c>
      <c r="N304" s="390" t="s">
        <v>1435</v>
      </c>
      <c r="O304" s="25"/>
      <c r="P304" s="25"/>
      <c r="Q304" s="27" t="s">
        <v>363</v>
      </c>
      <c r="R304" s="131"/>
      <c r="S304" s="88"/>
      <c r="T304" s="25"/>
      <c r="U304" s="25"/>
      <c r="V304" s="25"/>
      <c r="W304" s="27"/>
      <c r="X304" s="27" t="s">
        <v>632</v>
      </c>
      <c r="Y304" s="27" t="s">
        <v>901</v>
      </c>
      <c r="Z304" s="27"/>
    </row>
    <row r="305" spans="1:26" s="1" customFormat="1" ht="72.599999999999994" hidden="1">
      <c r="A305" s="158" t="s">
        <v>306</v>
      </c>
      <c r="B305" s="163">
        <v>13</v>
      </c>
      <c r="C305" s="164" t="s">
        <v>1383</v>
      </c>
      <c r="D305" s="168" t="s">
        <v>1406</v>
      </c>
      <c r="E305" s="199" t="s">
        <v>1407</v>
      </c>
      <c r="F305" s="88" t="s">
        <v>1428</v>
      </c>
      <c r="G305" s="88" t="s">
        <v>1429</v>
      </c>
      <c r="H305" s="372" t="s">
        <v>348</v>
      </c>
      <c r="I305" s="372" t="s">
        <v>377</v>
      </c>
      <c r="J305" s="373" t="str">
        <f t="shared" si="9"/>
        <v>Desplegar el Pla estratègic 2021-2030 d’educació i voluntariat ambiental del Parc Natural dels Ports (PEEVA): Educació ambiental</v>
      </c>
      <c r="K305" s="20"/>
      <c r="L305" s="20" t="s">
        <v>54</v>
      </c>
      <c r="M305" s="27" t="s">
        <v>352</v>
      </c>
      <c r="N305" s="390" t="s">
        <v>1436</v>
      </c>
      <c r="O305" s="25"/>
      <c r="P305" s="25"/>
      <c r="Q305" s="27" t="s">
        <v>363</v>
      </c>
      <c r="R305" s="131"/>
      <c r="S305" s="88"/>
      <c r="T305" s="25"/>
      <c r="U305" s="25"/>
      <c r="V305" s="25"/>
      <c r="W305" s="27"/>
      <c r="X305" s="27" t="s">
        <v>632</v>
      </c>
      <c r="Y305" s="27" t="s">
        <v>901</v>
      </c>
      <c r="Z305" s="27"/>
    </row>
    <row r="306" spans="1:26" s="1" customFormat="1" ht="72.599999999999994" hidden="1">
      <c r="A306" s="158" t="s">
        <v>306</v>
      </c>
      <c r="B306" s="163">
        <v>13</v>
      </c>
      <c r="C306" s="164" t="s">
        <v>1383</v>
      </c>
      <c r="D306" s="168" t="s">
        <v>1406</v>
      </c>
      <c r="E306" s="199" t="s">
        <v>1407</v>
      </c>
      <c r="F306" s="88" t="s">
        <v>1428</v>
      </c>
      <c r="G306" s="88" t="s">
        <v>1429</v>
      </c>
      <c r="H306" s="372" t="s">
        <v>348</v>
      </c>
      <c r="I306" s="372" t="s">
        <v>377</v>
      </c>
      <c r="J306" s="373" t="str">
        <f t="shared" si="9"/>
        <v>Desplegar el Pla estratègic 2021-2030 d’educació i voluntariat ambiental del Parc Natural dels Ports (PEEVA): Educació ambiental</v>
      </c>
      <c r="K306" s="20"/>
      <c r="L306" s="20" t="s">
        <v>54</v>
      </c>
      <c r="M306" s="27" t="s">
        <v>352</v>
      </c>
      <c r="N306" s="390" t="s">
        <v>1437</v>
      </c>
      <c r="O306" s="25"/>
      <c r="P306" s="25"/>
      <c r="Q306" s="27" t="s">
        <v>363</v>
      </c>
      <c r="R306" s="131"/>
      <c r="S306" s="88"/>
      <c r="T306" s="25"/>
      <c r="U306" s="25"/>
      <c r="V306" s="25"/>
      <c r="W306" s="27"/>
      <c r="X306" s="27" t="s">
        <v>632</v>
      </c>
      <c r="Y306" s="27" t="s">
        <v>901</v>
      </c>
      <c r="Z306" s="27"/>
    </row>
    <row r="307" spans="1:26" s="1" customFormat="1" ht="130.5">
      <c r="A307" s="158" t="s">
        <v>306</v>
      </c>
      <c r="B307" s="163">
        <v>13</v>
      </c>
      <c r="C307" s="164" t="s">
        <v>1383</v>
      </c>
      <c r="D307" s="166" t="s">
        <v>1438</v>
      </c>
      <c r="E307" s="167" t="s">
        <v>1439</v>
      </c>
      <c r="F307" s="88" t="s">
        <v>1440</v>
      </c>
      <c r="G307" s="88" t="s">
        <v>1441</v>
      </c>
      <c r="H307" s="88" t="s">
        <v>348</v>
      </c>
      <c r="I307" s="88" t="s">
        <v>377</v>
      </c>
      <c r="J307" s="20" t="str">
        <f t="shared" si="9"/>
        <v>Establir un model de coordinació territorial amb agents clau de l'educació ambiental</v>
      </c>
      <c r="K307" s="20"/>
      <c r="L307" s="20" t="s">
        <v>54</v>
      </c>
      <c r="M307" s="27" t="s">
        <v>378</v>
      </c>
      <c r="N307" s="390" t="s">
        <v>1442</v>
      </c>
      <c r="O307" s="25"/>
      <c r="P307" s="25"/>
      <c r="Q307" s="20" t="s">
        <v>1443</v>
      </c>
      <c r="R307" s="131" t="s">
        <v>1390</v>
      </c>
      <c r="S307" s="89"/>
      <c r="T307" s="20" t="s">
        <v>481</v>
      </c>
      <c r="U307" s="435">
        <v>3</v>
      </c>
      <c r="V307" s="435">
        <v>6</v>
      </c>
      <c r="W307" s="27"/>
      <c r="X307" s="27" t="s">
        <v>632</v>
      </c>
      <c r="Y307" s="27" t="s">
        <v>901</v>
      </c>
      <c r="Z307" s="27"/>
    </row>
    <row r="308" spans="1:26" s="1" customFormat="1" ht="72.599999999999994" hidden="1">
      <c r="A308" s="158" t="s">
        <v>306</v>
      </c>
      <c r="B308" s="163">
        <v>13</v>
      </c>
      <c r="C308" s="164" t="s">
        <v>1383</v>
      </c>
      <c r="D308" s="168" t="s">
        <v>1438</v>
      </c>
      <c r="E308" s="199" t="s">
        <v>1439</v>
      </c>
      <c r="F308" s="88" t="s">
        <v>1440</v>
      </c>
      <c r="G308" s="88" t="s">
        <v>1441</v>
      </c>
      <c r="H308" s="88" t="s">
        <v>348</v>
      </c>
      <c r="I308" s="88" t="s">
        <v>377</v>
      </c>
      <c r="J308" s="20" t="str">
        <f t="shared" si="9"/>
        <v>Establir un model de coordinació territorial amb agents clau de l'educació ambiental</v>
      </c>
      <c r="K308" s="20"/>
      <c r="L308" s="20" t="s">
        <v>54</v>
      </c>
      <c r="M308" s="27" t="s">
        <v>378</v>
      </c>
      <c r="N308" s="390" t="s">
        <v>1444</v>
      </c>
      <c r="O308" s="25"/>
      <c r="P308" s="25"/>
      <c r="Q308" s="27" t="s">
        <v>363</v>
      </c>
      <c r="R308" s="131" t="s">
        <v>1390</v>
      </c>
      <c r="S308" s="89"/>
      <c r="T308" s="25"/>
      <c r="U308" s="25"/>
      <c r="V308" s="25"/>
      <c r="W308" s="27"/>
      <c r="X308" s="27" t="s">
        <v>632</v>
      </c>
      <c r="Y308" s="27" t="s">
        <v>901</v>
      </c>
      <c r="Z308" s="27"/>
    </row>
    <row r="309" spans="1:26" s="427" customFormat="1" ht="144.94999999999999">
      <c r="A309" s="429" t="s">
        <v>306</v>
      </c>
      <c r="B309" s="159">
        <v>13</v>
      </c>
      <c r="C309" s="160" t="s">
        <v>1383</v>
      </c>
      <c r="D309" s="166" t="s">
        <v>1438</v>
      </c>
      <c r="E309" s="167" t="s">
        <v>1439</v>
      </c>
      <c r="F309" s="88" t="s">
        <v>1445</v>
      </c>
      <c r="G309" s="88" t="s">
        <v>1446</v>
      </c>
      <c r="H309" s="88" t="s">
        <v>348</v>
      </c>
      <c r="I309" s="88" t="s">
        <v>377</v>
      </c>
      <c r="J309" s="421" t="str">
        <f t="shared" si="9"/>
        <v>Cercar i establir col·laboracions i projectes conjunts amb agents clau del territori</v>
      </c>
      <c r="K309" s="20"/>
      <c r="L309" s="421" t="s">
        <v>107</v>
      </c>
      <c r="M309" s="27" t="s">
        <v>378</v>
      </c>
      <c r="N309" s="390" t="s">
        <v>1447</v>
      </c>
      <c r="O309" s="25"/>
      <c r="P309" s="25"/>
      <c r="Q309" s="421" t="s">
        <v>1448</v>
      </c>
      <c r="R309" s="131" t="s">
        <v>1390</v>
      </c>
      <c r="S309" s="89"/>
      <c r="T309" s="421"/>
      <c r="U309" s="426"/>
      <c r="V309" s="426"/>
      <c r="W309" s="421"/>
      <c r="X309" s="421" t="s">
        <v>632</v>
      </c>
      <c r="Y309" s="421" t="s">
        <v>616</v>
      </c>
      <c r="Z309" s="421"/>
    </row>
    <row r="310" spans="1:26" s="1" customFormat="1" ht="72.599999999999994" hidden="1">
      <c r="A310" s="158" t="s">
        <v>306</v>
      </c>
      <c r="B310" s="163">
        <v>13</v>
      </c>
      <c r="C310" s="164" t="s">
        <v>1383</v>
      </c>
      <c r="D310" s="168" t="s">
        <v>1438</v>
      </c>
      <c r="E310" s="199" t="s">
        <v>1439</v>
      </c>
      <c r="F310" s="88" t="s">
        <v>1445</v>
      </c>
      <c r="G310" s="88" t="s">
        <v>1446</v>
      </c>
      <c r="H310" s="88" t="s">
        <v>348</v>
      </c>
      <c r="I310" s="88" t="s">
        <v>377</v>
      </c>
      <c r="J310" s="20" t="str">
        <f t="shared" si="9"/>
        <v>Cercar i establir col·laboracions i projectes conjunts amb agents clau del territori</v>
      </c>
      <c r="K310" s="20"/>
      <c r="L310" s="20" t="s">
        <v>107</v>
      </c>
      <c r="M310" s="27" t="s">
        <v>378</v>
      </c>
      <c r="N310" s="390" t="s">
        <v>1449</v>
      </c>
      <c r="O310" s="25"/>
      <c r="P310" s="25"/>
      <c r="Q310" s="27" t="s">
        <v>363</v>
      </c>
      <c r="R310" s="131" t="s">
        <v>1390</v>
      </c>
      <c r="S310" s="89"/>
      <c r="T310" s="25"/>
      <c r="U310" s="25"/>
      <c r="V310" s="25"/>
      <c r="W310" s="27"/>
      <c r="X310" s="27" t="s">
        <v>632</v>
      </c>
      <c r="Y310" s="27" t="s">
        <v>616</v>
      </c>
      <c r="Z310" s="27"/>
    </row>
    <row r="311" spans="1:26" s="1" customFormat="1" ht="72.599999999999994" hidden="1">
      <c r="A311" s="158" t="s">
        <v>306</v>
      </c>
      <c r="B311" s="163">
        <v>13</v>
      </c>
      <c r="C311" s="164" t="s">
        <v>1383</v>
      </c>
      <c r="D311" s="168" t="s">
        <v>1438</v>
      </c>
      <c r="E311" s="199" t="s">
        <v>1439</v>
      </c>
      <c r="F311" s="88" t="s">
        <v>1445</v>
      </c>
      <c r="G311" s="88" t="s">
        <v>1446</v>
      </c>
      <c r="H311" s="88" t="s">
        <v>348</v>
      </c>
      <c r="I311" s="88" t="s">
        <v>377</v>
      </c>
      <c r="J311" s="20" t="str">
        <f t="shared" si="9"/>
        <v>Cercar i establir col·laboracions i projectes conjunts amb agents clau del territori</v>
      </c>
      <c r="K311" s="20"/>
      <c r="L311" s="20" t="s">
        <v>54</v>
      </c>
      <c r="M311" s="27" t="s">
        <v>378</v>
      </c>
      <c r="N311" s="390" t="s">
        <v>1450</v>
      </c>
      <c r="O311" s="25"/>
      <c r="P311" s="25"/>
      <c r="Q311" s="27" t="s">
        <v>363</v>
      </c>
      <c r="R311" s="131" t="s">
        <v>1390</v>
      </c>
      <c r="S311" s="89"/>
      <c r="T311" s="25"/>
      <c r="U311" s="25"/>
      <c r="V311" s="25"/>
      <c r="W311" s="27"/>
      <c r="X311" s="27" t="s">
        <v>632</v>
      </c>
      <c r="Y311" s="27" t="s">
        <v>901</v>
      </c>
      <c r="Z311" s="27"/>
    </row>
    <row r="312" spans="1:26" s="1" customFormat="1" ht="246.6">
      <c r="A312" s="158" t="s">
        <v>306</v>
      </c>
      <c r="B312" s="163">
        <v>13</v>
      </c>
      <c r="C312" s="164" t="s">
        <v>1383</v>
      </c>
      <c r="D312" s="168" t="s">
        <v>1438</v>
      </c>
      <c r="E312" s="199" t="s">
        <v>1439</v>
      </c>
      <c r="F312" s="88" t="s">
        <v>1451</v>
      </c>
      <c r="G312" s="88" t="s">
        <v>1452</v>
      </c>
      <c r="H312" s="88" t="s">
        <v>348</v>
      </c>
      <c r="I312" s="88" t="s">
        <v>377</v>
      </c>
      <c r="J312" s="20" t="str">
        <f t="shared" ref="J312:J317" si="10">+G312</f>
        <v>Elaborar formacions dirigides als informadors, educadors i altres prescriptors del territori</v>
      </c>
      <c r="K312" s="20"/>
      <c r="L312" s="20" t="s">
        <v>54</v>
      </c>
      <c r="M312" s="27" t="s">
        <v>378</v>
      </c>
      <c r="N312" s="393" t="s">
        <v>1453</v>
      </c>
      <c r="O312" s="25"/>
      <c r="P312" s="25"/>
      <c r="Q312" s="20" t="s">
        <v>1454</v>
      </c>
      <c r="R312" s="131" t="s">
        <v>1390</v>
      </c>
      <c r="S312" s="88" t="s">
        <v>1455</v>
      </c>
      <c r="T312" s="20" t="s">
        <v>1456</v>
      </c>
      <c r="U312" s="444" t="s">
        <v>1457</v>
      </c>
      <c r="V312" s="445" t="s">
        <v>1458</v>
      </c>
      <c r="W312" s="27"/>
      <c r="X312" s="27" t="s">
        <v>632</v>
      </c>
      <c r="Y312" s="27" t="s">
        <v>1422</v>
      </c>
      <c r="Z312" s="27"/>
    </row>
    <row r="313" spans="1:26" s="1" customFormat="1" ht="72.599999999999994" hidden="1">
      <c r="A313" s="158" t="s">
        <v>306</v>
      </c>
      <c r="B313" s="163">
        <v>13</v>
      </c>
      <c r="C313" s="164" t="s">
        <v>1383</v>
      </c>
      <c r="D313" s="168" t="s">
        <v>1438</v>
      </c>
      <c r="E313" s="199" t="s">
        <v>1439</v>
      </c>
      <c r="F313" s="88" t="s">
        <v>1451</v>
      </c>
      <c r="G313" s="88" t="s">
        <v>1452</v>
      </c>
      <c r="H313" s="88" t="s">
        <v>348</v>
      </c>
      <c r="I313" s="88" t="s">
        <v>377</v>
      </c>
      <c r="J313" s="20" t="str">
        <f t="shared" si="10"/>
        <v>Elaborar formacions dirigides als informadors, educadors i altres prescriptors del territori</v>
      </c>
      <c r="K313" s="20"/>
      <c r="L313" s="20" t="s">
        <v>54</v>
      </c>
      <c r="M313" s="27" t="s">
        <v>378</v>
      </c>
      <c r="N313" s="393" t="s">
        <v>1459</v>
      </c>
      <c r="O313" s="25"/>
      <c r="P313" s="25"/>
      <c r="Q313" s="27" t="s">
        <v>363</v>
      </c>
      <c r="R313" s="131" t="s">
        <v>1390</v>
      </c>
      <c r="S313" s="88" t="s">
        <v>1455</v>
      </c>
      <c r="T313" s="25"/>
      <c r="U313" s="25"/>
      <c r="V313" s="25"/>
      <c r="W313" s="27"/>
      <c r="X313" s="27" t="s">
        <v>632</v>
      </c>
      <c r="Y313" s="27" t="s">
        <v>1460</v>
      </c>
      <c r="Z313" s="27"/>
    </row>
    <row r="314" spans="1:26" s="1" customFormat="1" ht="116.1" hidden="1">
      <c r="A314" s="158" t="s">
        <v>306</v>
      </c>
      <c r="B314" s="163">
        <v>13</v>
      </c>
      <c r="C314" s="164" t="s">
        <v>1383</v>
      </c>
      <c r="D314" s="168" t="s">
        <v>1438</v>
      </c>
      <c r="E314" s="199" t="s">
        <v>1439</v>
      </c>
      <c r="F314" s="88" t="s">
        <v>1451</v>
      </c>
      <c r="G314" s="88" t="s">
        <v>1452</v>
      </c>
      <c r="H314" s="88" t="s">
        <v>348</v>
      </c>
      <c r="I314" s="88" t="s">
        <v>377</v>
      </c>
      <c r="J314" s="20" t="str">
        <f t="shared" si="10"/>
        <v>Elaborar formacions dirigides als informadors, educadors i altres prescriptors del territori</v>
      </c>
      <c r="K314" s="20"/>
      <c r="L314" s="20" t="s">
        <v>54</v>
      </c>
      <c r="M314" s="27" t="s">
        <v>378</v>
      </c>
      <c r="N314" s="332"/>
      <c r="O314" s="25" t="s">
        <v>1461</v>
      </c>
      <c r="P314" s="398"/>
      <c r="Q314" s="27" t="s">
        <v>363</v>
      </c>
      <c r="R314" s="131" t="s">
        <v>1390</v>
      </c>
      <c r="S314" s="88" t="s">
        <v>1455</v>
      </c>
      <c r="T314" s="25"/>
      <c r="U314" s="25"/>
      <c r="V314" s="25"/>
      <c r="W314" s="27"/>
      <c r="X314" s="27" t="s">
        <v>632</v>
      </c>
      <c r="Y314" s="27" t="s">
        <v>901</v>
      </c>
      <c r="Z314" s="27"/>
    </row>
    <row r="315" spans="1:26" s="1" customFormat="1" ht="72.599999999999994" hidden="1">
      <c r="A315" s="158" t="s">
        <v>306</v>
      </c>
      <c r="B315" s="163">
        <v>13</v>
      </c>
      <c r="C315" s="164" t="s">
        <v>1383</v>
      </c>
      <c r="D315" s="168" t="s">
        <v>1438</v>
      </c>
      <c r="E315" s="199" t="s">
        <v>1439</v>
      </c>
      <c r="F315" s="88" t="s">
        <v>1451</v>
      </c>
      <c r="G315" s="88" t="s">
        <v>1452</v>
      </c>
      <c r="H315" s="88" t="s">
        <v>348</v>
      </c>
      <c r="I315" s="88" t="s">
        <v>377</v>
      </c>
      <c r="J315" s="20" t="str">
        <f t="shared" si="10"/>
        <v>Elaborar formacions dirigides als informadors, educadors i altres prescriptors del territori</v>
      </c>
      <c r="K315" s="20"/>
      <c r="L315" s="20" t="s">
        <v>54</v>
      </c>
      <c r="M315" s="27" t="s">
        <v>378</v>
      </c>
      <c r="N315" s="393" t="s">
        <v>1462</v>
      </c>
      <c r="O315" s="25"/>
      <c r="P315" s="25"/>
      <c r="Q315" s="27" t="s">
        <v>363</v>
      </c>
      <c r="R315" s="131" t="s">
        <v>1390</v>
      </c>
      <c r="S315" s="88" t="s">
        <v>1455</v>
      </c>
      <c r="T315" s="25"/>
      <c r="U315" s="25"/>
      <c r="V315" s="25"/>
      <c r="W315" s="27"/>
      <c r="X315" s="27" t="s">
        <v>632</v>
      </c>
      <c r="Y315" s="27" t="s">
        <v>770</v>
      </c>
      <c r="Z315" s="27"/>
    </row>
    <row r="316" spans="1:26" s="1" customFormat="1" ht="72.599999999999994" hidden="1">
      <c r="A316" s="158" t="s">
        <v>306</v>
      </c>
      <c r="B316" s="163">
        <v>13</v>
      </c>
      <c r="C316" s="164" t="s">
        <v>1383</v>
      </c>
      <c r="D316" s="168" t="s">
        <v>1438</v>
      </c>
      <c r="E316" s="199" t="s">
        <v>1439</v>
      </c>
      <c r="F316" s="88" t="s">
        <v>1451</v>
      </c>
      <c r="G316" s="88" t="s">
        <v>1452</v>
      </c>
      <c r="H316" s="88" t="s">
        <v>348</v>
      </c>
      <c r="I316" s="88" t="s">
        <v>377</v>
      </c>
      <c r="J316" s="20" t="str">
        <f t="shared" si="10"/>
        <v>Elaborar formacions dirigides als informadors, educadors i altres prescriptors del territori</v>
      </c>
      <c r="K316" s="20"/>
      <c r="L316" s="20" t="s">
        <v>54</v>
      </c>
      <c r="M316" s="27" t="s">
        <v>378</v>
      </c>
      <c r="N316" s="393" t="s">
        <v>1463</v>
      </c>
      <c r="O316" s="25"/>
      <c r="P316" s="25"/>
      <c r="Q316" s="27" t="s">
        <v>363</v>
      </c>
      <c r="R316" s="131" t="s">
        <v>1390</v>
      </c>
      <c r="S316" s="88" t="s">
        <v>1455</v>
      </c>
      <c r="T316" s="25"/>
      <c r="U316" s="25"/>
      <c r="V316" s="25"/>
      <c r="W316" s="27"/>
      <c r="X316" s="27" t="s">
        <v>632</v>
      </c>
      <c r="Y316" s="27" t="s">
        <v>616</v>
      </c>
      <c r="Z316" s="27"/>
    </row>
    <row r="317" spans="1:26" s="1" customFormat="1" ht="72.599999999999994" hidden="1">
      <c r="A317" s="158" t="s">
        <v>306</v>
      </c>
      <c r="B317" s="163">
        <v>13</v>
      </c>
      <c r="C317" s="164" t="s">
        <v>1383</v>
      </c>
      <c r="D317" s="168" t="s">
        <v>1438</v>
      </c>
      <c r="E317" s="199" t="s">
        <v>1439</v>
      </c>
      <c r="F317" s="88" t="s">
        <v>1451</v>
      </c>
      <c r="G317" s="88" t="s">
        <v>1452</v>
      </c>
      <c r="H317" s="88" t="s">
        <v>348</v>
      </c>
      <c r="I317" s="88" t="s">
        <v>377</v>
      </c>
      <c r="J317" s="20" t="str">
        <f t="shared" si="10"/>
        <v>Elaborar formacions dirigides als informadors, educadors i altres prescriptors del territori</v>
      </c>
      <c r="K317" s="20"/>
      <c r="L317" s="20" t="s">
        <v>107</v>
      </c>
      <c r="M317" s="27" t="s">
        <v>378</v>
      </c>
      <c r="N317" s="332"/>
      <c r="O317" s="25" t="s">
        <v>1464</v>
      </c>
      <c r="P317" s="398"/>
      <c r="Q317" s="27" t="s">
        <v>363</v>
      </c>
      <c r="R317" s="131" t="s">
        <v>1390</v>
      </c>
      <c r="S317" s="88" t="s">
        <v>1455</v>
      </c>
      <c r="T317" s="25"/>
      <c r="U317" s="25"/>
      <c r="V317" s="25"/>
      <c r="W317" s="27"/>
      <c r="X317" s="27" t="s">
        <v>632</v>
      </c>
      <c r="Y317" s="27" t="s">
        <v>1465</v>
      </c>
      <c r="Z317" s="27"/>
    </row>
    <row r="318" spans="1:26" s="1" customFormat="1" ht="72.599999999999994">
      <c r="A318" s="158" t="s">
        <v>306</v>
      </c>
      <c r="B318" s="163">
        <v>13</v>
      </c>
      <c r="C318" s="164" t="s">
        <v>1383</v>
      </c>
      <c r="D318" s="166" t="s">
        <v>1466</v>
      </c>
      <c r="E318" s="169" t="s">
        <v>1467</v>
      </c>
      <c r="F318" s="88" t="s">
        <v>1468</v>
      </c>
      <c r="G318" s="88" t="s">
        <v>1469</v>
      </c>
      <c r="H318" s="88" t="s">
        <v>348</v>
      </c>
      <c r="I318" s="88" t="s">
        <v>377</v>
      </c>
      <c r="J318" s="20" t="str">
        <f>G318</f>
        <v>Desplegar en el territori les campanyes de sensibilització i bones pràctiques que s'impulsin des de la DG</v>
      </c>
      <c r="K318" s="20"/>
      <c r="L318" s="20" t="s">
        <v>54</v>
      </c>
      <c r="M318" s="27" t="s">
        <v>378</v>
      </c>
      <c r="N318" s="393" t="s">
        <v>1470</v>
      </c>
      <c r="O318" s="25"/>
      <c r="P318" s="25"/>
      <c r="Q318" s="20" t="s">
        <v>1471</v>
      </c>
      <c r="R318" s="131" t="s">
        <v>1390</v>
      </c>
      <c r="S318" s="88" t="s">
        <v>1472</v>
      </c>
      <c r="T318" s="20" t="s">
        <v>1473</v>
      </c>
      <c r="U318" s="435">
        <v>4</v>
      </c>
      <c r="V318" s="435">
        <v>8</v>
      </c>
      <c r="W318" s="27"/>
      <c r="X318" s="27" t="s">
        <v>632</v>
      </c>
      <c r="Y318" s="27" t="s">
        <v>901</v>
      </c>
      <c r="Z318" s="27"/>
    </row>
    <row r="319" spans="1:26" s="1" customFormat="1" ht="72.599999999999994" hidden="1">
      <c r="A319" s="158" t="s">
        <v>306</v>
      </c>
      <c r="B319" s="163">
        <v>13</v>
      </c>
      <c r="C319" s="164" t="s">
        <v>1383</v>
      </c>
      <c r="D319" s="168" t="s">
        <v>1466</v>
      </c>
      <c r="E319" s="199" t="s">
        <v>1467</v>
      </c>
      <c r="F319" s="88" t="s">
        <v>1468</v>
      </c>
      <c r="G319" s="88" t="s">
        <v>1469</v>
      </c>
      <c r="H319" s="88" t="s">
        <v>348</v>
      </c>
      <c r="I319" s="88" t="s">
        <v>377</v>
      </c>
      <c r="J319" s="20" t="s">
        <v>1469</v>
      </c>
      <c r="K319" s="20"/>
      <c r="L319" s="20" t="s">
        <v>54</v>
      </c>
      <c r="M319" s="27"/>
      <c r="N319" s="390" t="s">
        <v>1474</v>
      </c>
      <c r="O319" s="25"/>
      <c r="P319" s="25"/>
      <c r="Q319" s="27" t="s">
        <v>363</v>
      </c>
      <c r="R319" s="131"/>
      <c r="S319" s="88"/>
      <c r="T319" s="25"/>
      <c r="U319" s="25"/>
      <c r="V319" s="25"/>
      <c r="W319" s="27"/>
      <c r="X319" s="27" t="s">
        <v>632</v>
      </c>
      <c r="Y319" s="27" t="s">
        <v>1013</v>
      </c>
      <c r="Z319" s="27"/>
    </row>
    <row r="320" spans="1:26" s="1" customFormat="1" ht="87">
      <c r="A320" s="158" t="s">
        <v>306</v>
      </c>
      <c r="B320" s="163">
        <v>13</v>
      </c>
      <c r="C320" s="164" t="s">
        <v>1383</v>
      </c>
      <c r="D320" s="168" t="s">
        <v>1466</v>
      </c>
      <c r="E320" s="199" t="s">
        <v>1467</v>
      </c>
      <c r="F320" s="88" t="s">
        <v>1475</v>
      </c>
      <c r="G320" s="88" t="s">
        <v>1476</v>
      </c>
      <c r="H320" s="88" t="s">
        <v>348</v>
      </c>
      <c r="I320" s="88" t="s">
        <v>570</v>
      </c>
      <c r="J320" s="20" t="str">
        <f t="shared" ref="J320:J326" si="11">+G320</f>
        <v xml:space="preserve">Adaptar el programa de divulgació i sensibilització de l'ENP perquè incorpori una oferta d’activitats adequada per a famílies </v>
      </c>
      <c r="K320" s="20"/>
      <c r="L320" s="20" t="s">
        <v>54</v>
      </c>
      <c r="M320" s="27" t="s">
        <v>352</v>
      </c>
      <c r="N320" s="393" t="s">
        <v>1477</v>
      </c>
      <c r="O320" s="25"/>
      <c r="P320" s="25"/>
      <c r="Q320" s="20" t="s">
        <v>1478</v>
      </c>
      <c r="R320" s="131" t="s">
        <v>1390</v>
      </c>
      <c r="S320" s="170"/>
      <c r="T320" s="20" t="s">
        <v>1479</v>
      </c>
      <c r="U320" s="435">
        <v>2</v>
      </c>
      <c r="V320" s="435">
        <v>4</v>
      </c>
      <c r="W320" s="27"/>
      <c r="X320" s="27" t="s">
        <v>632</v>
      </c>
      <c r="Y320" s="27" t="s">
        <v>901</v>
      </c>
      <c r="Z320" s="27"/>
    </row>
    <row r="321" spans="1:26" s="1" customFormat="1" ht="101.45">
      <c r="A321" s="158" t="s">
        <v>306</v>
      </c>
      <c r="B321" s="163">
        <v>13</v>
      </c>
      <c r="C321" s="164" t="s">
        <v>1383</v>
      </c>
      <c r="D321" s="168" t="s">
        <v>1466</v>
      </c>
      <c r="E321" s="199" t="s">
        <v>1467</v>
      </c>
      <c r="F321" s="88" t="s">
        <v>1480</v>
      </c>
      <c r="G321" s="131" t="s">
        <v>1481</v>
      </c>
      <c r="H321" s="88"/>
      <c r="I321" s="88"/>
      <c r="J321" s="20" t="str">
        <f t="shared" si="11"/>
        <v xml:space="preserve">Adaptar el programa de divulgació i sensibilització de l'ENP perquè incorpori una oferta d’activitats adequada per a altres perfils </v>
      </c>
      <c r="K321" s="20"/>
      <c r="L321" s="20" t="s">
        <v>54</v>
      </c>
      <c r="M321" s="27"/>
      <c r="N321" s="390" t="s">
        <v>1482</v>
      </c>
      <c r="O321" s="25"/>
      <c r="P321" s="25"/>
      <c r="Q321" s="20" t="s">
        <v>1483</v>
      </c>
      <c r="R321" s="131"/>
      <c r="S321" s="170"/>
      <c r="T321" s="20" t="s">
        <v>1484</v>
      </c>
      <c r="U321" s="435">
        <v>2</v>
      </c>
      <c r="V321" s="435">
        <v>4</v>
      </c>
      <c r="W321" s="27"/>
      <c r="X321" s="27" t="s">
        <v>632</v>
      </c>
      <c r="Y321" s="27" t="s">
        <v>901</v>
      </c>
      <c r="Z321" s="27"/>
    </row>
    <row r="322" spans="1:26" s="1" customFormat="1" ht="72.599999999999994" hidden="1">
      <c r="A322" s="158" t="s">
        <v>306</v>
      </c>
      <c r="B322" s="163">
        <v>13</v>
      </c>
      <c r="C322" s="164" t="s">
        <v>1383</v>
      </c>
      <c r="D322" s="168" t="s">
        <v>1466</v>
      </c>
      <c r="E322" s="199" t="s">
        <v>1467</v>
      </c>
      <c r="F322" s="88" t="s">
        <v>1480</v>
      </c>
      <c r="G322" s="131" t="s">
        <v>1481</v>
      </c>
      <c r="H322" s="88"/>
      <c r="I322" s="88"/>
      <c r="J322" s="20" t="str">
        <f t="shared" si="11"/>
        <v xml:space="preserve">Adaptar el programa de divulgació i sensibilització de l'ENP perquè incorpori una oferta d’activitats adequada per a altres perfils </v>
      </c>
      <c r="K322" s="20"/>
      <c r="L322" s="20" t="s">
        <v>107</v>
      </c>
      <c r="M322" s="27"/>
      <c r="N322" s="331"/>
      <c r="O322" s="25" t="s">
        <v>1485</v>
      </c>
      <c r="P322" s="25"/>
      <c r="Q322" s="27" t="s">
        <v>363</v>
      </c>
      <c r="R322" s="131"/>
      <c r="S322" s="170"/>
      <c r="T322" s="25"/>
      <c r="U322" s="25"/>
      <c r="V322" s="25"/>
      <c r="W322" s="27"/>
      <c r="X322" s="27" t="s">
        <v>632</v>
      </c>
      <c r="Y322" s="27" t="s">
        <v>616</v>
      </c>
      <c r="Z322" s="27"/>
    </row>
    <row r="323" spans="1:26" s="1" customFormat="1" ht="72.599999999999994" hidden="1">
      <c r="A323" s="158" t="s">
        <v>306</v>
      </c>
      <c r="B323" s="163">
        <v>13</v>
      </c>
      <c r="C323" s="164" t="s">
        <v>1383</v>
      </c>
      <c r="D323" s="168" t="s">
        <v>1466</v>
      </c>
      <c r="E323" s="199" t="s">
        <v>1467</v>
      </c>
      <c r="F323" s="88" t="s">
        <v>1480</v>
      </c>
      <c r="G323" s="131" t="s">
        <v>1481</v>
      </c>
      <c r="H323" s="88"/>
      <c r="I323" s="88"/>
      <c r="J323" s="20" t="str">
        <f t="shared" si="11"/>
        <v xml:space="preserve">Adaptar el programa de divulgació i sensibilització de l'ENP perquè incorpori una oferta d’activitats adequada per a altres perfils </v>
      </c>
      <c r="K323" s="20"/>
      <c r="L323" s="20" t="s">
        <v>54</v>
      </c>
      <c r="M323" s="27"/>
      <c r="N323" s="390" t="s">
        <v>1486</v>
      </c>
      <c r="O323" s="25"/>
      <c r="P323" s="25"/>
      <c r="Q323" s="27" t="s">
        <v>363</v>
      </c>
      <c r="R323" s="131"/>
      <c r="S323" s="170"/>
      <c r="T323" s="25"/>
      <c r="U323" s="25"/>
      <c r="V323" s="25"/>
      <c r="W323" s="27"/>
      <c r="X323" s="27" t="s">
        <v>632</v>
      </c>
      <c r="Y323" s="27" t="s">
        <v>901</v>
      </c>
      <c r="Z323" s="27"/>
    </row>
    <row r="324" spans="1:26" s="1" customFormat="1" ht="116.1">
      <c r="A324" s="158" t="s">
        <v>306</v>
      </c>
      <c r="B324" s="163">
        <v>13</v>
      </c>
      <c r="C324" s="164" t="s">
        <v>1383</v>
      </c>
      <c r="D324" s="168" t="s">
        <v>1466</v>
      </c>
      <c r="E324" s="199" t="s">
        <v>1467</v>
      </c>
      <c r="F324" s="88" t="s">
        <v>1487</v>
      </c>
      <c r="G324" s="88" t="s">
        <v>1488</v>
      </c>
      <c r="H324" s="88" t="s">
        <v>348</v>
      </c>
      <c r="I324" s="88" t="s">
        <v>570</v>
      </c>
      <c r="J324" s="20" t="str">
        <f t="shared" si="11"/>
        <v xml:space="preserve">Adaptar el programa de divulgació i sensibilització de l'ENP perquè incorpori una oferta d’activitats dirigida al lleure educatiu </v>
      </c>
      <c r="K324" s="20"/>
      <c r="L324" s="20" t="s">
        <v>54</v>
      </c>
      <c r="M324" s="27" t="s">
        <v>352</v>
      </c>
      <c r="N324" s="393" t="s">
        <v>1489</v>
      </c>
      <c r="O324" s="25"/>
      <c r="P324" s="25"/>
      <c r="Q324" s="20" t="s">
        <v>1490</v>
      </c>
      <c r="R324" s="131" t="s">
        <v>1390</v>
      </c>
      <c r="S324" s="170"/>
      <c r="T324" s="20" t="s">
        <v>1491</v>
      </c>
      <c r="U324" s="435">
        <v>2</v>
      </c>
      <c r="V324" s="435">
        <v>4</v>
      </c>
      <c r="W324" s="27"/>
      <c r="X324" s="27" t="s">
        <v>632</v>
      </c>
      <c r="Y324" s="27" t="s">
        <v>901</v>
      </c>
      <c r="Z324" s="27"/>
    </row>
    <row r="325" spans="1:26" s="1" customFormat="1" ht="72.599999999999994" hidden="1">
      <c r="A325" s="158" t="s">
        <v>306</v>
      </c>
      <c r="B325" s="163">
        <v>13</v>
      </c>
      <c r="C325" s="164" t="s">
        <v>1383</v>
      </c>
      <c r="D325" s="168" t="s">
        <v>1466</v>
      </c>
      <c r="E325" s="199" t="s">
        <v>1467</v>
      </c>
      <c r="F325" s="88" t="s">
        <v>1487</v>
      </c>
      <c r="G325" s="88" t="s">
        <v>1488</v>
      </c>
      <c r="H325" s="88" t="s">
        <v>348</v>
      </c>
      <c r="I325" s="88" t="s">
        <v>570</v>
      </c>
      <c r="J325" s="20" t="str">
        <f t="shared" si="11"/>
        <v xml:space="preserve">Adaptar el programa de divulgació i sensibilització de l'ENP perquè incorpori una oferta d’activitats dirigida al lleure educatiu </v>
      </c>
      <c r="K325" s="20"/>
      <c r="L325" s="20" t="s">
        <v>54</v>
      </c>
      <c r="M325" s="27" t="s">
        <v>352</v>
      </c>
      <c r="N325" s="393" t="s">
        <v>1492</v>
      </c>
      <c r="O325" s="25"/>
      <c r="P325" s="25"/>
      <c r="Q325" s="27" t="s">
        <v>363</v>
      </c>
      <c r="R325" s="131" t="s">
        <v>1390</v>
      </c>
      <c r="S325" s="170"/>
      <c r="T325" s="25"/>
      <c r="U325" s="25"/>
      <c r="V325" s="25"/>
      <c r="W325" s="27"/>
      <c r="X325" s="27" t="s">
        <v>632</v>
      </c>
      <c r="Y325" s="27" t="s">
        <v>901</v>
      </c>
      <c r="Z325" s="27"/>
    </row>
    <row r="326" spans="1:26" s="1" customFormat="1" ht="72.599999999999994">
      <c r="A326" s="158" t="s">
        <v>306</v>
      </c>
      <c r="B326" s="163">
        <v>13</v>
      </c>
      <c r="C326" s="164" t="s">
        <v>1383</v>
      </c>
      <c r="D326" s="166" t="s">
        <v>1493</v>
      </c>
      <c r="E326" s="167" t="s">
        <v>1494</v>
      </c>
      <c r="F326" s="88" t="s">
        <v>1495</v>
      </c>
      <c r="G326" s="131" t="s">
        <v>1496</v>
      </c>
      <c r="H326" s="88" t="s">
        <v>348</v>
      </c>
      <c r="I326" s="88" t="s">
        <v>377</v>
      </c>
      <c r="J326" s="20" t="str">
        <f t="shared" si="11"/>
        <v>Identificar col·lectius estratègics implicats en la gestió i l'ús del territori</v>
      </c>
      <c r="K326" s="20"/>
      <c r="L326" s="20" t="s">
        <v>107</v>
      </c>
      <c r="M326" s="27"/>
      <c r="N326" s="331"/>
      <c r="O326" s="25" t="s">
        <v>1496</v>
      </c>
      <c r="P326" s="398"/>
      <c r="Q326" s="27" t="s">
        <v>1496</v>
      </c>
      <c r="R326" s="131" t="s">
        <v>1390</v>
      </c>
      <c r="S326" s="89"/>
      <c r="T326" s="25"/>
      <c r="U326" s="25"/>
      <c r="V326" s="25"/>
      <c r="W326" s="27"/>
      <c r="X326" s="27" t="s">
        <v>632</v>
      </c>
      <c r="Y326" s="27" t="s">
        <v>616</v>
      </c>
      <c r="Z326" s="27"/>
    </row>
    <row r="327" spans="1:26" s="1" customFormat="1" ht="72.599999999999994" hidden="1">
      <c r="A327" s="158" t="s">
        <v>306</v>
      </c>
      <c r="B327" s="163">
        <v>13</v>
      </c>
      <c r="C327" s="164" t="s">
        <v>1383</v>
      </c>
      <c r="D327" s="168" t="s">
        <v>1493</v>
      </c>
      <c r="E327" s="199" t="s">
        <v>1494</v>
      </c>
      <c r="F327" s="88" t="s">
        <v>1497</v>
      </c>
      <c r="G327" s="88" t="s">
        <v>1498</v>
      </c>
      <c r="H327" s="88" t="s">
        <v>348</v>
      </c>
      <c r="I327" s="88" t="s">
        <v>570</v>
      </c>
      <c r="J327" s="205" t="s">
        <v>1499</v>
      </c>
      <c r="K327" s="20" t="s">
        <v>1500</v>
      </c>
      <c r="L327" s="224" t="s">
        <v>107</v>
      </c>
      <c r="M327" s="27" t="s">
        <v>352</v>
      </c>
      <c r="N327" s="207"/>
      <c r="O327" s="25"/>
      <c r="P327" s="25"/>
      <c r="Q327" s="27" t="s">
        <v>363</v>
      </c>
      <c r="R327" s="131" t="s">
        <v>1390</v>
      </c>
      <c r="S327" s="170"/>
      <c r="T327" s="25"/>
      <c r="U327" s="25"/>
      <c r="V327" s="25"/>
      <c r="W327" s="27"/>
      <c r="X327" s="27" t="s">
        <v>632</v>
      </c>
      <c r="Y327" s="27" t="s">
        <v>616</v>
      </c>
      <c r="Z327" s="27"/>
    </row>
    <row r="328" spans="1:26" s="1" customFormat="1" ht="72.599999999999994" hidden="1">
      <c r="A328" s="158" t="s">
        <v>306</v>
      </c>
      <c r="B328" s="163">
        <v>13</v>
      </c>
      <c r="C328" s="164" t="s">
        <v>1383</v>
      </c>
      <c r="D328" s="168" t="s">
        <v>1493</v>
      </c>
      <c r="E328" s="199" t="s">
        <v>1494</v>
      </c>
      <c r="F328" s="88" t="s">
        <v>1501</v>
      </c>
      <c r="G328" s="88" t="s">
        <v>1502</v>
      </c>
      <c r="H328" s="88" t="s">
        <v>348</v>
      </c>
      <c r="I328" s="88" t="s">
        <v>570</v>
      </c>
      <c r="J328" s="20" t="s">
        <v>1502</v>
      </c>
      <c r="K328" s="20" t="s">
        <v>1503</v>
      </c>
      <c r="L328" s="224" t="s">
        <v>107</v>
      </c>
      <c r="M328" s="27" t="s">
        <v>352</v>
      </c>
      <c r="N328" s="27"/>
      <c r="O328" s="25"/>
      <c r="P328" s="25"/>
      <c r="Q328" s="27" t="s">
        <v>363</v>
      </c>
      <c r="R328" s="131" t="s">
        <v>1390</v>
      </c>
      <c r="S328" s="170"/>
      <c r="T328" s="25"/>
      <c r="U328" s="25"/>
      <c r="V328" s="25"/>
      <c r="W328" s="27"/>
      <c r="X328" s="27"/>
      <c r="Y328" s="27"/>
      <c r="Z328" s="27"/>
    </row>
    <row r="329" spans="1:26" s="1" customFormat="1" ht="87">
      <c r="A329" s="158" t="s">
        <v>306</v>
      </c>
      <c r="B329" s="163">
        <v>13</v>
      </c>
      <c r="C329" s="164" t="s">
        <v>1383</v>
      </c>
      <c r="D329" s="168" t="s">
        <v>1493</v>
      </c>
      <c r="E329" s="199" t="s">
        <v>1494</v>
      </c>
      <c r="F329" s="88" t="s">
        <v>1504</v>
      </c>
      <c r="G329" s="88" t="s">
        <v>1505</v>
      </c>
      <c r="H329" s="88" t="s">
        <v>348</v>
      </c>
      <c r="I329" s="88" t="s">
        <v>570</v>
      </c>
      <c r="J329" s="20" t="str">
        <f t="shared" ref="J329:J336" si="12">+G329</f>
        <v xml:space="preserve">Executar els projectes de sensibilització i formació dirigits als agents del sector primari </v>
      </c>
      <c r="K329" s="20"/>
      <c r="L329" s="20" t="s">
        <v>107</v>
      </c>
      <c r="M329" s="27" t="s">
        <v>352</v>
      </c>
      <c r="N329" s="332"/>
      <c r="O329" s="25" t="s">
        <v>1506</v>
      </c>
      <c r="P329" s="398"/>
      <c r="Q329" s="27" t="s">
        <v>1506</v>
      </c>
      <c r="R329" s="131" t="s">
        <v>1390</v>
      </c>
      <c r="S329" s="170"/>
      <c r="T329" s="25"/>
      <c r="U329" s="25"/>
      <c r="V329" s="25"/>
      <c r="W329" s="27"/>
      <c r="X329" s="27" t="s">
        <v>632</v>
      </c>
      <c r="Y329" s="27" t="s">
        <v>616</v>
      </c>
      <c r="Z329" s="27"/>
    </row>
    <row r="330" spans="1:26" s="1" customFormat="1" ht="144.94999999999999">
      <c r="A330" s="158" t="s">
        <v>306</v>
      </c>
      <c r="B330" s="163">
        <v>13</v>
      </c>
      <c r="C330" s="164" t="s">
        <v>1383</v>
      </c>
      <c r="D330" s="168" t="s">
        <v>1493</v>
      </c>
      <c r="E330" s="199" t="s">
        <v>1494</v>
      </c>
      <c r="F330" s="88" t="s">
        <v>1507</v>
      </c>
      <c r="G330" s="131" t="s">
        <v>1508</v>
      </c>
      <c r="H330" s="88" t="s">
        <v>348</v>
      </c>
      <c r="I330" s="88" t="s">
        <v>377</v>
      </c>
      <c r="J330" s="20" t="str">
        <f t="shared" si="12"/>
        <v>Elaborar i renovar periòdicament un programa d’educació ambiental adreçat a la població local que contribueixi a fomentar el sentiment de pertinença i la implicació en la conservació de l'ENP</v>
      </c>
      <c r="K330" s="20"/>
      <c r="L330" s="20" t="s">
        <v>54</v>
      </c>
      <c r="M330" s="27" t="s">
        <v>378</v>
      </c>
      <c r="N330" s="332"/>
      <c r="O330" s="25" t="s">
        <v>1509</v>
      </c>
      <c r="P330" s="25"/>
      <c r="Q330" s="20" t="s">
        <v>1510</v>
      </c>
      <c r="R330" s="131" t="s">
        <v>1390</v>
      </c>
      <c r="S330" s="89"/>
      <c r="T330" s="20" t="s">
        <v>1511</v>
      </c>
      <c r="U330" s="435" t="s">
        <v>1512</v>
      </c>
      <c r="V330" s="435" t="s">
        <v>1513</v>
      </c>
      <c r="W330" s="27"/>
      <c r="X330" s="27" t="s">
        <v>632</v>
      </c>
      <c r="Y330" s="27" t="s">
        <v>1514</v>
      </c>
      <c r="Z330" s="27"/>
    </row>
    <row r="331" spans="1:26" s="1" customFormat="1" ht="72.599999999999994" hidden="1">
      <c r="A331" s="158" t="s">
        <v>306</v>
      </c>
      <c r="B331" s="163">
        <v>13</v>
      </c>
      <c r="C331" s="164" t="s">
        <v>1383</v>
      </c>
      <c r="D331" s="168" t="s">
        <v>1493</v>
      </c>
      <c r="E331" s="199" t="s">
        <v>1494</v>
      </c>
      <c r="F331" s="88" t="s">
        <v>1507</v>
      </c>
      <c r="G331" s="131" t="s">
        <v>1508</v>
      </c>
      <c r="H331" s="88" t="s">
        <v>348</v>
      </c>
      <c r="I331" s="88" t="s">
        <v>377</v>
      </c>
      <c r="J331" s="20" t="str">
        <f>+G331</f>
        <v>Elaborar i renovar periòdicament un programa d’educació ambiental adreçat a la població local que contribueixi a fomentar el sentiment de pertinença i la implicació en la conservació de l'ENP</v>
      </c>
      <c r="K331" s="20"/>
      <c r="L331" s="20" t="s">
        <v>54</v>
      </c>
      <c r="M331" s="27" t="s">
        <v>378</v>
      </c>
      <c r="N331" s="390" t="s">
        <v>1515</v>
      </c>
      <c r="O331" s="400"/>
      <c r="P331" s="400"/>
      <c r="Q331" s="27" t="s">
        <v>363</v>
      </c>
      <c r="R331" s="131" t="s">
        <v>1390</v>
      </c>
      <c r="S331" s="89"/>
      <c r="T331" s="25"/>
      <c r="U331" s="25"/>
      <c r="V331" s="25"/>
      <c r="W331" s="27"/>
      <c r="X331" s="27" t="s">
        <v>632</v>
      </c>
      <c r="Y331" s="27" t="s">
        <v>1013</v>
      </c>
      <c r="Z331" s="27"/>
    </row>
    <row r="332" spans="1:26" s="1" customFormat="1" ht="72.599999999999994" hidden="1">
      <c r="A332" s="158" t="s">
        <v>306</v>
      </c>
      <c r="B332" s="163">
        <v>13</v>
      </c>
      <c r="C332" s="164" t="s">
        <v>1383</v>
      </c>
      <c r="D332" s="168" t="s">
        <v>1493</v>
      </c>
      <c r="E332" s="199" t="s">
        <v>1494</v>
      </c>
      <c r="F332" s="88" t="s">
        <v>1507</v>
      </c>
      <c r="G332" s="131" t="s">
        <v>1508</v>
      </c>
      <c r="H332" s="88" t="s">
        <v>348</v>
      </c>
      <c r="I332" s="88" t="s">
        <v>377</v>
      </c>
      <c r="J332" s="20" t="str">
        <f>+G332</f>
        <v>Elaborar i renovar periòdicament un programa d’educació ambiental adreçat a la població local que contribueixi a fomentar el sentiment de pertinença i la implicació en la conservació de l'ENP</v>
      </c>
      <c r="K332" s="20"/>
      <c r="L332" s="20" t="s">
        <v>54</v>
      </c>
      <c r="M332" s="27" t="s">
        <v>378</v>
      </c>
      <c r="N332" s="393" t="s">
        <v>1516</v>
      </c>
      <c r="O332" s="25"/>
      <c r="P332" s="25"/>
      <c r="Q332" s="27" t="s">
        <v>363</v>
      </c>
      <c r="R332" s="131" t="s">
        <v>1390</v>
      </c>
      <c r="S332" s="89"/>
      <c r="T332" s="25"/>
      <c r="U332" s="25"/>
      <c r="V332" s="25"/>
      <c r="W332" s="27"/>
      <c r="X332" s="27" t="s">
        <v>632</v>
      </c>
      <c r="Y332" s="27" t="s">
        <v>727</v>
      </c>
      <c r="Z332" s="27"/>
    </row>
    <row r="333" spans="1:26" s="1" customFormat="1" ht="87" hidden="1">
      <c r="A333" s="158" t="s">
        <v>306</v>
      </c>
      <c r="B333" s="163">
        <v>13</v>
      </c>
      <c r="C333" s="164" t="s">
        <v>1383</v>
      </c>
      <c r="D333" s="168" t="s">
        <v>1493</v>
      </c>
      <c r="E333" s="199" t="s">
        <v>1494</v>
      </c>
      <c r="F333" s="88" t="s">
        <v>1507</v>
      </c>
      <c r="G333" s="131" t="s">
        <v>1508</v>
      </c>
      <c r="H333" s="88" t="s">
        <v>348</v>
      </c>
      <c r="I333" s="88" t="s">
        <v>377</v>
      </c>
      <c r="J333" s="20" t="str">
        <f>+G333</f>
        <v>Elaborar i renovar periòdicament un programa d’educació ambiental adreçat a la població local que contribueixi a fomentar el sentiment de pertinença i la implicació en la conservació de l'ENP</v>
      </c>
      <c r="K333" s="20"/>
      <c r="L333" s="20" t="s">
        <v>54</v>
      </c>
      <c r="M333" s="27" t="s">
        <v>378</v>
      </c>
      <c r="N333" s="393" t="s">
        <v>1517</v>
      </c>
      <c r="O333" s="25"/>
      <c r="P333" s="25"/>
      <c r="Q333" s="27" t="s">
        <v>363</v>
      </c>
      <c r="R333" s="131"/>
      <c r="S333" s="89"/>
      <c r="T333" s="25"/>
      <c r="U333" s="25"/>
      <c r="V333" s="25"/>
      <c r="W333" s="27"/>
      <c r="X333" s="27"/>
      <c r="Y333" s="27"/>
      <c r="Z333" s="27"/>
    </row>
    <row r="334" spans="1:26" s="1" customFormat="1" ht="72.599999999999994" hidden="1">
      <c r="A334" s="158" t="s">
        <v>306</v>
      </c>
      <c r="B334" s="163">
        <v>13</v>
      </c>
      <c r="C334" s="164" t="s">
        <v>1383</v>
      </c>
      <c r="D334" s="168" t="s">
        <v>1493</v>
      </c>
      <c r="E334" s="199" t="s">
        <v>1494</v>
      </c>
      <c r="F334" s="88" t="s">
        <v>1507</v>
      </c>
      <c r="G334" s="131" t="s">
        <v>1508</v>
      </c>
      <c r="H334" s="88" t="s">
        <v>348</v>
      </c>
      <c r="I334" s="88" t="s">
        <v>377</v>
      </c>
      <c r="J334" s="20" t="str">
        <f t="shared" si="12"/>
        <v>Elaborar i renovar periòdicament un programa d’educació ambiental adreçat a la població local que contribueixi a fomentar el sentiment de pertinença i la implicació en la conservació de l'ENP</v>
      </c>
      <c r="K334" s="20"/>
      <c r="L334" s="20" t="s">
        <v>54</v>
      </c>
      <c r="M334" s="27" t="s">
        <v>378</v>
      </c>
      <c r="N334" s="332"/>
      <c r="O334" s="25" t="s">
        <v>1518</v>
      </c>
      <c r="P334" s="25"/>
      <c r="Q334" s="27" t="s">
        <v>363</v>
      </c>
      <c r="R334" s="131" t="s">
        <v>1390</v>
      </c>
      <c r="S334" s="89"/>
      <c r="T334" s="25"/>
      <c r="U334" s="25"/>
      <c r="V334" s="25"/>
      <c r="W334" s="27"/>
      <c r="X334" s="27" t="s">
        <v>632</v>
      </c>
      <c r="Y334" s="27" t="s">
        <v>1013</v>
      </c>
      <c r="Z334" s="27"/>
    </row>
    <row r="335" spans="1:26" s="427" customFormat="1" ht="72.599999999999994">
      <c r="A335" s="429" t="s">
        <v>306</v>
      </c>
      <c r="B335" s="159">
        <v>13</v>
      </c>
      <c r="C335" s="160" t="s">
        <v>1383</v>
      </c>
      <c r="D335" s="166" t="s">
        <v>1519</v>
      </c>
      <c r="E335" s="171" t="s">
        <v>1520</v>
      </c>
      <c r="F335" s="88" t="s">
        <v>1521</v>
      </c>
      <c r="G335" s="88" t="s">
        <v>1522</v>
      </c>
      <c r="H335" s="88" t="s">
        <v>348</v>
      </c>
      <c r="I335" s="88" t="s">
        <v>377</v>
      </c>
      <c r="J335" s="421" t="str">
        <f t="shared" si="12"/>
        <v>Identificar els programes, projectes i accions en marxa o previstos a l’ENP que poden rebre el suport del voluntariat</v>
      </c>
      <c r="K335" s="20"/>
      <c r="L335" s="421" t="s">
        <v>107</v>
      </c>
      <c r="M335" s="27" t="s">
        <v>378</v>
      </c>
      <c r="N335" s="393" t="s">
        <v>1523</v>
      </c>
      <c r="O335" s="25"/>
      <c r="P335" s="25"/>
      <c r="Q335" s="421" t="s">
        <v>1523</v>
      </c>
      <c r="R335" s="131" t="s">
        <v>1390</v>
      </c>
      <c r="S335" s="89"/>
      <c r="T335" s="421"/>
      <c r="U335" s="426"/>
      <c r="V335" s="426"/>
      <c r="W335" s="421"/>
      <c r="X335" s="421" t="s">
        <v>632</v>
      </c>
      <c r="Y335" s="421" t="s">
        <v>727</v>
      </c>
      <c r="Z335" s="421"/>
    </row>
    <row r="336" spans="1:26" s="1" customFormat="1" ht="72.599999999999994" hidden="1">
      <c r="A336" s="158" t="s">
        <v>306</v>
      </c>
      <c r="B336" s="163">
        <v>13</v>
      </c>
      <c r="C336" s="164" t="s">
        <v>1383</v>
      </c>
      <c r="D336" s="168" t="s">
        <v>1519</v>
      </c>
      <c r="E336" s="200" t="s">
        <v>1520</v>
      </c>
      <c r="F336" s="88" t="s">
        <v>1524</v>
      </c>
      <c r="G336" s="88" t="s">
        <v>1525</v>
      </c>
      <c r="H336" s="88" t="s">
        <v>348</v>
      </c>
      <c r="I336" s="88" t="s">
        <v>377</v>
      </c>
      <c r="J336" s="20" t="str">
        <f t="shared" si="12"/>
        <v>Establir un model de coordinació territorial amb agents clau del voluntariat ambiental</v>
      </c>
      <c r="K336" s="20"/>
      <c r="L336" s="224" t="s">
        <v>107</v>
      </c>
      <c r="M336" s="27" t="s">
        <v>352</v>
      </c>
      <c r="N336" s="393" t="s">
        <v>1526</v>
      </c>
      <c r="O336" s="25"/>
      <c r="P336" s="25"/>
      <c r="Q336" s="27"/>
      <c r="R336" s="89" t="s">
        <v>1527</v>
      </c>
      <c r="S336" s="89" t="s">
        <v>1528</v>
      </c>
      <c r="T336" s="25"/>
      <c r="U336" s="25"/>
      <c r="V336" s="25"/>
      <c r="W336" s="27"/>
      <c r="X336" s="27" t="s">
        <v>632</v>
      </c>
      <c r="Y336" s="27" t="s">
        <v>727</v>
      </c>
      <c r="Z336" s="27"/>
    </row>
    <row r="337" spans="1:26" s="1" customFormat="1" ht="144.94999999999999">
      <c r="A337" s="158" t="s">
        <v>306</v>
      </c>
      <c r="B337" s="163">
        <v>13</v>
      </c>
      <c r="C337" s="164" t="s">
        <v>1383</v>
      </c>
      <c r="D337" s="168" t="s">
        <v>1519</v>
      </c>
      <c r="E337" s="200" t="s">
        <v>1520</v>
      </c>
      <c r="F337" s="88" t="s">
        <v>1529</v>
      </c>
      <c r="G337" s="88" t="s">
        <v>1530</v>
      </c>
      <c r="H337" s="88" t="s">
        <v>348</v>
      </c>
      <c r="I337" s="88" t="s">
        <v>377</v>
      </c>
      <c r="J337" s="373" t="str">
        <f t="shared" ref="J337:J342" si="13">G337</f>
        <v>Desplegar el Pla estratègic 2021-2030 d’educació i voluntariat ambiental del Parc Natural dels Ports (PEEVA): Voluntariat</v>
      </c>
      <c r="K337" s="80"/>
      <c r="L337" s="20" t="s">
        <v>54</v>
      </c>
      <c r="M337" s="27"/>
      <c r="N337" s="393" t="s">
        <v>1531</v>
      </c>
      <c r="O337" s="25"/>
      <c r="P337" s="25"/>
      <c r="Q337" s="20" t="s">
        <v>1532</v>
      </c>
      <c r="R337" s="89"/>
      <c r="S337" s="89"/>
      <c r="T337" s="20" t="s">
        <v>1533</v>
      </c>
      <c r="U337" s="435">
        <v>2</v>
      </c>
      <c r="V337" s="435">
        <v>3</v>
      </c>
      <c r="W337" s="27"/>
      <c r="X337" s="27" t="s">
        <v>632</v>
      </c>
      <c r="Y337" s="27" t="s">
        <v>1422</v>
      </c>
      <c r="Z337" s="27"/>
    </row>
    <row r="338" spans="1:26" s="1" customFormat="1" ht="72.599999999999994" hidden="1">
      <c r="A338" s="158" t="s">
        <v>306</v>
      </c>
      <c r="B338" s="163">
        <v>13</v>
      </c>
      <c r="C338" s="164" t="s">
        <v>1383</v>
      </c>
      <c r="D338" s="168" t="s">
        <v>1519</v>
      </c>
      <c r="E338" s="200" t="s">
        <v>1520</v>
      </c>
      <c r="F338" s="88" t="s">
        <v>1529</v>
      </c>
      <c r="G338" s="88" t="s">
        <v>1530</v>
      </c>
      <c r="H338" s="88" t="s">
        <v>348</v>
      </c>
      <c r="I338" s="88" t="s">
        <v>377</v>
      </c>
      <c r="J338" s="373" t="str">
        <f t="shared" si="13"/>
        <v>Desplegar el Pla estratègic 2021-2030 d’educació i voluntariat ambiental del Parc Natural dels Ports (PEEVA): Voluntariat</v>
      </c>
      <c r="K338" s="80"/>
      <c r="L338" s="20" t="s">
        <v>54</v>
      </c>
      <c r="M338" s="27"/>
      <c r="N338" s="393" t="s">
        <v>1534</v>
      </c>
      <c r="O338" s="25"/>
      <c r="P338" s="25"/>
      <c r="Q338" s="27" t="s">
        <v>363</v>
      </c>
      <c r="R338" s="89"/>
      <c r="S338" s="89"/>
      <c r="T338" s="25"/>
      <c r="U338" s="25"/>
      <c r="V338" s="25"/>
      <c r="W338" s="27"/>
      <c r="X338" s="27" t="s">
        <v>632</v>
      </c>
      <c r="Y338" s="27" t="s">
        <v>727</v>
      </c>
      <c r="Z338" s="27"/>
    </row>
    <row r="339" spans="1:26" s="1" customFormat="1" ht="72.599999999999994" hidden="1">
      <c r="A339" s="158" t="s">
        <v>306</v>
      </c>
      <c r="B339" s="163">
        <v>13</v>
      </c>
      <c r="C339" s="164" t="s">
        <v>1383</v>
      </c>
      <c r="D339" s="168" t="s">
        <v>1519</v>
      </c>
      <c r="E339" s="200" t="s">
        <v>1520</v>
      </c>
      <c r="F339" s="88" t="s">
        <v>1529</v>
      </c>
      <c r="G339" s="88" t="s">
        <v>1530</v>
      </c>
      <c r="H339" s="88" t="s">
        <v>348</v>
      </c>
      <c r="I339" s="372" t="s">
        <v>377</v>
      </c>
      <c r="J339" s="373" t="str">
        <f t="shared" si="13"/>
        <v>Desplegar el Pla estratègic 2021-2030 d’educació i voluntariat ambiental del Parc Natural dels Ports (PEEVA): Voluntariat</v>
      </c>
      <c r="K339" s="80"/>
      <c r="L339" s="20" t="s">
        <v>54</v>
      </c>
      <c r="M339" s="27"/>
      <c r="N339" s="393" t="s">
        <v>1535</v>
      </c>
      <c r="O339" s="25"/>
      <c r="P339" s="25"/>
      <c r="Q339" s="27" t="s">
        <v>363</v>
      </c>
      <c r="R339" s="89"/>
      <c r="S339" s="89"/>
      <c r="T339" s="25"/>
      <c r="U339" s="25"/>
      <c r="V339" s="25"/>
      <c r="W339" s="27"/>
      <c r="X339" s="27" t="s">
        <v>632</v>
      </c>
      <c r="Y339" s="27" t="s">
        <v>727</v>
      </c>
      <c r="Z339" s="27"/>
    </row>
    <row r="340" spans="1:26" s="1" customFormat="1" ht="72.599999999999994">
      <c r="A340" s="158" t="s">
        <v>306</v>
      </c>
      <c r="B340" s="163">
        <v>13</v>
      </c>
      <c r="C340" s="164" t="s">
        <v>1383</v>
      </c>
      <c r="D340" s="172" t="s">
        <v>1536</v>
      </c>
      <c r="E340" s="171" t="s">
        <v>1537</v>
      </c>
      <c r="F340" s="131" t="s">
        <v>1538</v>
      </c>
      <c r="G340" s="88" t="s">
        <v>1539</v>
      </c>
      <c r="H340" s="88" t="s">
        <v>348</v>
      </c>
      <c r="I340" s="88" t="s">
        <v>377</v>
      </c>
      <c r="J340" s="20" t="str">
        <f t="shared" si="13"/>
        <v>Dissenyar i adaptar activitats inclusives per a persones amb necessitats específiques</v>
      </c>
      <c r="K340" s="20"/>
      <c r="L340" s="20" t="s">
        <v>54</v>
      </c>
      <c r="M340" s="27" t="s">
        <v>368</v>
      </c>
      <c r="N340" s="393" t="s">
        <v>1540</v>
      </c>
      <c r="O340" s="398"/>
      <c r="P340" s="398"/>
      <c r="Q340" s="20" t="s">
        <v>1541</v>
      </c>
      <c r="R340" s="131" t="s">
        <v>1390</v>
      </c>
      <c r="S340" s="170"/>
      <c r="T340" s="20" t="s">
        <v>1542</v>
      </c>
      <c r="U340" s="435">
        <v>1</v>
      </c>
      <c r="V340" s="435">
        <v>1</v>
      </c>
      <c r="W340" s="27"/>
      <c r="X340" s="27" t="s">
        <v>632</v>
      </c>
      <c r="Y340" s="27" t="s">
        <v>616</v>
      </c>
      <c r="Z340" s="27"/>
    </row>
    <row r="341" spans="1:26" s="1" customFormat="1" ht="72.599999999999994">
      <c r="A341" s="158" t="s">
        <v>306</v>
      </c>
      <c r="B341" s="163">
        <v>13</v>
      </c>
      <c r="C341" s="164" t="s">
        <v>1383</v>
      </c>
      <c r="D341" s="173" t="s">
        <v>1536</v>
      </c>
      <c r="E341" s="200" t="s">
        <v>1537</v>
      </c>
      <c r="F341" s="131" t="s">
        <v>1543</v>
      </c>
      <c r="G341" s="88" t="s">
        <v>1544</v>
      </c>
      <c r="H341" s="88" t="s">
        <v>348</v>
      </c>
      <c r="I341" s="88" t="s">
        <v>570</v>
      </c>
      <c r="J341" s="20" t="str">
        <f t="shared" si="13"/>
        <v>Formar el personal de l'ENP (informadors i personal que treballa de cara al públic) en accessibilitat, diversitat funcional i diversitat de gènere</v>
      </c>
      <c r="K341" s="20"/>
      <c r="L341" s="20" t="s">
        <v>54</v>
      </c>
      <c r="M341" s="27" t="s">
        <v>352</v>
      </c>
      <c r="N341" s="403"/>
      <c r="O341" s="25" t="s">
        <v>1544</v>
      </c>
      <c r="P341" s="398"/>
      <c r="Q341" s="20" t="s">
        <v>1545</v>
      </c>
      <c r="R341" s="131" t="s">
        <v>1390</v>
      </c>
      <c r="S341" s="89"/>
      <c r="T341" s="20" t="s">
        <v>1546</v>
      </c>
      <c r="U341" s="413">
        <v>1</v>
      </c>
      <c r="V341" s="413">
        <v>2</v>
      </c>
      <c r="W341" s="27"/>
      <c r="X341" s="27" t="s">
        <v>632</v>
      </c>
      <c r="Y341" s="27" t="s">
        <v>616</v>
      </c>
      <c r="Z341" s="27"/>
    </row>
    <row r="342" spans="1:26" s="1" customFormat="1" ht="72.599999999999994">
      <c r="A342" s="158" t="s">
        <v>306</v>
      </c>
      <c r="B342" s="163">
        <v>13</v>
      </c>
      <c r="C342" s="164" t="s">
        <v>1383</v>
      </c>
      <c r="D342" s="173" t="s">
        <v>1536</v>
      </c>
      <c r="E342" s="200" t="s">
        <v>1537</v>
      </c>
      <c r="F342" s="131" t="s">
        <v>1547</v>
      </c>
      <c r="G342" s="88" t="s">
        <v>1548</v>
      </c>
      <c r="H342" s="88" t="s">
        <v>348</v>
      </c>
      <c r="I342" s="88" t="s">
        <v>377</v>
      </c>
      <c r="J342" s="20" t="str">
        <f t="shared" si="13"/>
        <v>Incorporar la perspectiva de gènere als continguts i activitats de l'ENP</v>
      </c>
      <c r="K342" s="20"/>
      <c r="L342" s="20" t="s">
        <v>54</v>
      </c>
      <c r="M342" s="27" t="s">
        <v>352</v>
      </c>
      <c r="N342" s="390" t="s">
        <v>1549</v>
      </c>
      <c r="O342" s="25"/>
      <c r="P342" s="25"/>
      <c r="Q342" s="20" t="s">
        <v>1550</v>
      </c>
      <c r="R342" s="131" t="s">
        <v>1390</v>
      </c>
      <c r="S342" s="89"/>
      <c r="T342" s="20" t="s">
        <v>1551</v>
      </c>
      <c r="U342" s="441">
        <v>0.8</v>
      </c>
      <c r="V342" s="441">
        <v>1</v>
      </c>
      <c r="W342" s="27"/>
      <c r="X342" s="27" t="s">
        <v>632</v>
      </c>
      <c r="Y342" s="27" t="s">
        <v>1013</v>
      </c>
      <c r="Z342" s="27"/>
    </row>
    <row r="343" spans="1:26" s="1" customFormat="1" ht="72.599999999999994">
      <c r="A343" s="158" t="s">
        <v>306</v>
      </c>
      <c r="B343" s="163">
        <v>13</v>
      </c>
      <c r="C343" s="164" t="s">
        <v>1383</v>
      </c>
      <c r="D343" s="172" t="s">
        <v>1552</v>
      </c>
      <c r="E343" s="174" t="s">
        <v>1553</v>
      </c>
      <c r="F343" s="131" t="s">
        <v>1554</v>
      </c>
      <c r="G343" s="88" t="s">
        <v>1555</v>
      </c>
      <c r="H343" s="88" t="s">
        <v>348</v>
      </c>
      <c r="I343" s="88" t="s">
        <v>570</v>
      </c>
      <c r="J343" s="20" t="str">
        <f>+G343</f>
        <v>Dissenyar, implementar i fomentar itineraris saludables dins dels itineraris oficials dels ENP i en la zona d'influència</v>
      </c>
      <c r="K343" s="20"/>
      <c r="L343" s="20" t="s">
        <v>54</v>
      </c>
      <c r="M343" s="27" t="s">
        <v>352</v>
      </c>
      <c r="N343" s="332"/>
      <c r="O343" s="25" t="s">
        <v>1556</v>
      </c>
      <c r="P343" s="398"/>
      <c r="Q343" s="20" t="s">
        <v>1557</v>
      </c>
      <c r="R343" s="131" t="s">
        <v>1390</v>
      </c>
      <c r="S343" s="89"/>
      <c r="T343" s="20" t="s">
        <v>1558</v>
      </c>
      <c r="U343" s="435">
        <v>2</v>
      </c>
      <c r="V343" s="435">
        <v>4</v>
      </c>
      <c r="W343" s="27"/>
      <c r="X343" s="27" t="s">
        <v>632</v>
      </c>
      <c r="Y343" s="27" t="s">
        <v>1272</v>
      </c>
      <c r="Z343" s="27"/>
    </row>
    <row r="344" spans="1:26" s="1" customFormat="1" ht="72.599999999999994" hidden="1">
      <c r="A344" s="158" t="s">
        <v>306</v>
      </c>
      <c r="B344" s="163">
        <v>13</v>
      </c>
      <c r="C344" s="164" t="s">
        <v>1383</v>
      </c>
      <c r="D344" s="173" t="s">
        <v>1552</v>
      </c>
      <c r="E344" s="200" t="s">
        <v>1553</v>
      </c>
      <c r="F344" s="131" t="s">
        <v>1554</v>
      </c>
      <c r="G344" s="88" t="s">
        <v>1555</v>
      </c>
      <c r="H344" s="88" t="s">
        <v>348</v>
      </c>
      <c r="I344" s="88" t="s">
        <v>570</v>
      </c>
      <c r="J344" s="20" t="str">
        <f>+G344</f>
        <v>Dissenyar, implementar i fomentar itineraris saludables dins dels itineraris oficials dels ENP i en la zona d'influència</v>
      </c>
      <c r="K344" s="20"/>
      <c r="L344" s="20" t="s">
        <v>54</v>
      </c>
      <c r="M344" s="27" t="s">
        <v>352</v>
      </c>
      <c r="N344" s="393" t="s">
        <v>1559</v>
      </c>
      <c r="O344" s="25"/>
      <c r="P344" s="25"/>
      <c r="Q344" s="27" t="s">
        <v>363</v>
      </c>
      <c r="R344" s="131" t="s">
        <v>1390</v>
      </c>
      <c r="S344" s="89"/>
      <c r="T344" s="25"/>
      <c r="U344" s="25"/>
      <c r="V344" s="25"/>
      <c r="W344" s="27"/>
      <c r="X344" s="27" t="s">
        <v>632</v>
      </c>
      <c r="Y344" s="27" t="s">
        <v>616</v>
      </c>
      <c r="Z344" s="27"/>
    </row>
    <row r="345" spans="1:26" s="1" customFormat="1" ht="72.599999999999994" hidden="1">
      <c r="A345" s="158" t="s">
        <v>306</v>
      </c>
      <c r="B345" s="163">
        <v>13</v>
      </c>
      <c r="C345" s="164" t="s">
        <v>1383</v>
      </c>
      <c r="D345" s="173" t="s">
        <v>1552</v>
      </c>
      <c r="E345" s="200" t="s">
        <v>1553</v>
      </c>
      <c r="F345" s="131" t="s">
        <v>1560</v>
      </c>
      <c r="G345" s="131" t="s">
        <v>1561</v>
      </c>
      <c r="H345" s="88" t="s">
        <v>348</v>
      </c>
      <c r="I345" s="88" t="s">
        <v>570</v>
      </c>
      <c r="J345" s="20" t="s">
        <v>1561</v>
      </c>
      <c r="K345" s="20" t="s">
        <v>1562</v>
      </c>
      <c r="L345" s="216" t="s">
        <v>107</v>
      </c>
      <c r="M345" s="27" t="s">
        <v>352</v>
      </c>
      <c r="N345" s="27"/>
      <c r="O345" s="25"/>
      <c r="P345" s="25"/>
      <c r="Q345" s="27" t="s">
        <v>363</v>
      </c>
      <c r="R345" s="131" t="s">
        <v>1390</v>
      </c>
      <c r="S345" s="89"/>
      <c r="T345" s="25"/>
      <c r="U345" s="25"/>
      <c r="V345" s="25"/>
      <c r="W345" s="27"/>
      <c r="X345" s="27"/>
      <c r="Y345" s="27"/>
      <c r="Z345" s="27"/>
    </row>
    <row r="346" spans="1:26" s="1" customFormat="1" ht="72.599999999999994" hidden="1">
      <c r="A346" s="158" t="s">
        <v>306</v>
      </c>
      <c r="B346" s="163">
        <v>13</v>
      </c>
      <c r="C346" s="164" t="s">
        <v>1383</v>
      </c>
      <c r="D346" s="173" t="s">
        <v>1552</v>
      </c>
      <c r="E346" s="200" t="s">
        <v>1553</v>
      </c>
      <c r="F346" s="131" t="s">
        <v>1563</v>
      </c>
      <c r="G346" s="88" t="s">
        <v>1564</v>
      </c>
      <c r="H346" s="88" t="s">
        <v>348</v>
      </c>
      <c r="I346" s="88" t="s">
        <v>570</v>
      </c>
      <c r="J346" s="20" t="s">
        <v>1564</v>
      </c>
      <c r="K346" s="20" t="s">
        <v>1562</v>
      </c>
      <c r="L346" s="214" t="s">
        <v>107</v>
      </c>
      <c r="M346" s="27" t="s">
        <v>352</v>
      </c>
      <c r="N346" s="27"/>
      <c r="O346" s="25"/>
      <c r="P346" s="25"/>
      <c r="Q346" s="27" t="s">
        <v>363</v>
      </c>
      <c r="R346" s="131" t="s">
        <v>1390</v>
      </c>
      <c r="S346" s="89"/>
      <c r="T346" s="25"/>
      <c r="U346" s="25"/>
      <c r="V346" s="25"/>
      <c r="W346" s="27"/>
      <c r="X346" s="27"/>
      <c r="Y346" s="27"/>
      <c r="Z346" s="27"/>
    </row>
    <row r="347" spans="1:26" s="1" customFormat="1" ht="87">
      <c r="A347" s="158" t="s">
        <v>306</v>
      </c>
      <c r="B347" s="163">
        <v>13</v>
      </c>
      <c r="C347" s="164" t="s">
        <v>1383</v>
      </c>
      <c r="D347" s="173" t="s">
        <v>1552</v>
      </c>
      <c r="E347" s="200" t="s">
        <v>1553</v>
      </c>
      <c r="F347" s="131" t="s">
        <v>1565</v>
      </c>
      <c r="G347" s="88" t="s">
        <v>1566</v>
      </c>
      <c r="H347" s="372" t="s">
        <v>348</v>
      </c>
      <c r="I347" s="372" t="s">
        <v>570</v>
      </c>
      <c r="J347" s="373" t="s">
        <v>1567</v>
      </c>
      <c r="K347" s="80"/>
      <c r="L347" s="20" t="s">
        <v>54</v>
      </c>
      <c r="M347" s="27" t="s">
        <v>352</v>
      </c>
      <c r="N347" s="390" t="s">
        <v>1568</v>
      </c>
      <c r="O347" s="25"/>
      <c r="P347" s="25"/>
      <c r="Q347" s="20" t="s">
        <v>1569</v>
      </c>
      <c r="R347" s="131"/>
      <c r="S347" s="89"/>
      <c r="T347" s="446" t="s">
        <v>1570</v>
      </c>
      <c r="U347" s="441">
        <v>0.8</v>
      </c>
      <c r="V347" s="441">
        <v>1</v>
      </c>
      <c r="W347" s="27"/>
      <c r="X347" s="27" t="s">
        <v>632</v>
      </c>
      <c r="Y347" s="27" t="s">
        <v>616</v>
      </c>
      <c r="Z347" s="27"/>
    </row>
    <row r="348" spans="1:26" s="1" customFormat="1" ht="72.599999999999994" hidden="1">
      <c r="A348" s="158" t="s">
        <v>306</v>
      </c>
      <c r="B348" s="163">
        <v>13</v>
      </c>
      <c r="C348" s="164" t="s">
        <v>1383</v>
      </c>
      <c r="D348" s="173" t="s">
        <v>1552</v>
      </c>
      <c r="E348" s="200" t="s">
        <v>1553</v>
      </c>
      <c r="F348" s="131" t="s">
        <v>1565</v>
      </c>
      <c r="G348" s="88" t="s">
        <v>1566</v>
      </c>
      <c r="H348" s="372" t="s">
        <v>348</v>
      </c>
      <c r="I348" s="372" t="s">
        <v>570</v>
      </c>
      <c r="J348" s="373" t="s">
        <v>1567</v>
      </c>
      <c r="K348" s="80"/>
      <c r="L348" s="20" t="s">
        <v>54</v>
      </c>
      <c r="M348" s="27" t="s">
        <v>352</v>
      </c>
      <c r="N348" s="390" t="s">
        <v>1571</v>
      </c>
      <c r="O348" s="25"/>
      <c r="P348" s="25"/>
      <c r="Q348" s="27" t="s">
        <v>363</v>
      </c>
      <c r="R348" s="131"/>
      <c r="S348" s="89"/>
      <c r="T348" s="25"/>
      <c r="U348" s="25"/>
      <c r="V348" s="25"/>
      <c r="W348" s="27"/>
      <c r="X348" s="27" t="s">
        <v>632</v>
      </c>
      <c r="Y348" s="27" t="s">
        <v>616</v>
      </c>
      <c r="Z348" s="27"/>
    </row>
    <row r="349" spans="1:26" s="1" customFormat="1" ht="72.599999999999994" hidden="1">
      <c r="A349" s="158" t="s">
        <v>306</v>
      </c>
      <c r="B349" s="163">
        <v>13</v>
      </c>
      <c r="C349" s="164" t="s">
        <v>1383</v>
      </c>
      <c r="D349" s="173" t="s">
        <v>1552</v>
      </c>
      <c r="E349" s="200" t="s">
        <v>1553</v>
      </c>
      <c r="F349" s="131" t="s">
        <v>1565</v>
      </c>
      <c r="G349" s="88" t="s">
        <v>1566</v>
      </c>
      <c r="H349" s="372" t="s">
        <v>348</v>
      </c>
      <c r="I349" s="372" t="s">
        <v>570</v>
      </c>
      <c r="J349" s="373" t="s">
        <v>1567</v>
      </c>
      <c r="K349" s="80"/>
      <c r="L349" s="20" t="s">
        <v>54</v>
      </c>
      <c r="M349" s="27" t="s">
        <v>352</v>
      </c>
      <c r="N349" s="390" t="s">
        <v>1572</v>
      </c>
      <c r="O349" s="25"/>
      <c r="P349" s="25"/>
      <c r="Q349" s="27" t="s">
        <v>363</v>
      </c>
      <c r="R349" s="131"/>
      <c r="S349" s="89"/>
      <c r="T349" s="25"/>
      <c r="U349" s="25"/>
      <c r="V349" s="25"/>
      <c r="W349" s="27"/>
      <c r="X349" s="27" t="s">
        <v>632</v>
      </c>
      <c r="Y349" s="27" t="s">
        <v>616</v>
      </c>
      <c r="Z349" s="27"/>
    </row>
    <row r="350" spans="1:26" s="1" customFormat="1" ht="159.6">
      <c r="A350" s="158" t="s">
        <v>306</v>
      </c>
      <c r="B350" s="159">
        <v>14</v>
      </c>
      <c r="C350" s="160" t="s">
        <v>1573</v>
      </c>
      <c r="D350" s="166" t="s">
        <v>1574</v>
      </c>
      <c r="E350" s="167" t="s">
        <v>1575</v>
      </c>
      <c r="F350" s="88" t="s">
        <v>1576</v>
      </c>
      <c r="G350" s="88" t="s">
        <v>1577</v>
      </c>
      <c r="H350" s="88" t="s">
        <v>348</v>
      </c>
      <c r="I350" s="88" t="s">
        <v>377</v>
      </c>
      <c r="J350" s="20" t="str">
        <f>G350</f>
        <v>Informar periòdicament sobre les tasques, projectes i actuacions que duu a terme l'ENP a la població</v>
      </c>
      <c r="K350" s="20"/>
      <c r="L350" s="20" t="s">
        <v>54</v>
      </c>
      <c r="M350" s="27" t="s">
        <v>368</v>
      </c>
      <c r="N350" s="390" t="s">
        <v>1578</v>
      </c>
      <c r="O350" s="25"/>
      <c r="P350" s="25"/>
      <c r="Q350" s="20" t="s">
        <v>1579</v>
      </c>
      <c r="R350" s="89" t="s">
        <v>1580</v>
      </c>
      <c r="S350" s="89" t="s">
        <v>1581</v>
      </c>
      <c r="T350" s="20" t="s">
        <v>1582</v>
      </c>
      <c r="U350" s="435" t="s">
        <v>1583</v>
      </c>
      <c r="V350" s="435" t="s">
        <v>1584</v>
      </c>
      <c r="W350" s="27"/>
      <c r="X350" s="27" t="s">
        <v>632</v>
      </c>
      <c r="Y350" s="27" t="s">
        <v>1013</v>
      </c>
      <c r="Z350" s="27"/>
    </row>
    <row r="351" spans="1:26" s="1" customFormat="1" ht="72.599999999999994" hidden="1">
      <c r="A351" s="158" t="s">
        <v>306</v>
      </c>
      <c r="B351" s="163">
        <v>14</v>
      </c>
      <c r="C351" s="164" t="s">
        <v>1573</v>
      </c>
      <c r="D351" s="168" t="s">
        <v>1574</v>
      </c>
      <c r="E351" s="199" t="s">
        <v>1575</v>
      </c>
      <c r="F351" s="88" t="s">
        <v>1576</v>
      </c>
      <c r="G351" s="88" t="s">
        <v>1577</v>
      </c>
      <c r="H351" s="88" t="s">
        <v>348</v>
      </c>
      <c r="I351" s="88" t="s">
        <v>377</v>
      </c>
      <c r="J351" s="20" t="s">
        <v>1577</v>
      </c>
      <c r="K351" s="20"/>
      <c r="L351" s="20" t="s">
        <v>54</v>
      </c>
      <c r="M351" s="27"/>
      <c r="N351" s="390" t="s">
        <v>1585</v>
      </c>
      <c r="O351" s="25"/>
      <c r="P351" s="25"/>
      <c r="Q351" s="27" t="s">
        <v>363</v>
      </c>
      <c r="R351" s="89"/>
      <c r="S351" s="89"/>
      <c r="T351" s="25"/>
      <c r="U351" s="25"/>
      <c r="V351" s="25"/>
      <c r="W351" s="27"/>
      <c r="X351" s="27" t="s">
        <v>632</v>
      </c>
      <c r="Y351" s="27" t="s">
        <v>1013</v>
      </c>
      <c r="Z351" s="27"/>
    </row>
    <row r="352" spans="1:26" s="1" customFormat="1" ht="72.599999999999994" hidden="1">
      <c r="A352" s="158" t="s">
        <v>306</v>
      </c>
      <c r="B352" s="163">
        <v>14</v>
      </c>
      <c r="C352" s="164" t="s">
        <v>1573</v>
      </c>
      <c r="D352" s="168" t="s">
        <v>1574</v>
      </c>
      <c r="E352" s="199" t="s">
        <v>1575</v>
      </c>
      <c r="F352" s="88" t="s">
        <v>1576</v>
      </c>
      <c r="G352" s="88" t="s">
        <v>1577</v>
      </c>
      <c r="H352" s="88" t="s">
        <v>348</v>
      </c>
      <c r="I352" s="88" t="s">
        <v>377</v>
      </c>
      <c r="J352" s="20" t="s">
        <v>1577</v>
      </c>
      <c r="K352" s="20"/>
      <c r="L352" s="20" t="s">
        <v>54</v>
      </c>
      <c r="M352" s="27"/>
      <c r="N352" s="393" t="s">
        <v>1586</v>
      </c>
      <c r="O352" s="25"/>
      <c r="P352" s="25"/>
      <c r="Q352" s="27" t="s">
        <v>363</v>
      </c>
      <c r="R352" s="89"/>
      <c r="S352" s="89"/>
      <c r="T352" s="25"/>
      <c r="U352" s="25"/>
      <c r="V352" s="25"/>
      <c r="W352" s="27"/>
      <c r="X352" s="27" t="s">
        <v>632</v>
      </c>
      <c r="Y352" s="27" t="s">
        <v>1013</v>
      </c>
      <c r="Z352" s="27"/>
    </row>
    <row r="353" spans="1:26" s="1" customFormat="1" ht="72.599999999999994" hidden="1">
      <c r="A353" s="158" t="s">
        <v>306</v>
      </c>
      <c r="B353" s="163">
        <v>14</v>
      </c>
      <c r="C353" s="164" t="s">
        <v>1573</v>
      </c>
      <c r="D353" s="168" t="s">
        <v>1574</v>
      </c>
      <c r="E353" s="199" t="s">
        <v>1575</v>
      </c>
      <c r="F353" s="88" t="s">
        <v>1576</v>
      </c>
      <c r="G353" s="88" t="s">
        <v>1577</v>
      </c>
      <c r="H353" s="88" t="s">
        <v>348</v>
      </c>
      <c r="I353" s="88" t="s">
        <v>377</v>
      </c>
      <c r="J353" s="20" t="s">
        <v>1577</v>
      </c>
      <c r="K353" s="20"/>
      <c r="L353" s="20" t="s">
        <v>54</v>
      </c>
      <c r="M353" s="27"/>
      <c r="N353" s="390" t="s">
        <v>1587</v>
      </c>
      <c r="O353" s="25"/>
      <c r="P353" s="25"/>
      <c r="Q353" s="27" t="s">
        <v>363</v>
      </c>
      <c r="R353" s="89"/>
      <c r="S353" s="89"/>
      <c r="T353" s="25"/>
      <c r="U353" s="25"/>
      <c r="V353" s="25"/>
      <c r="W353" s="27"/>
      <c r="X353" s="27" t="s">
        <v>632</v>
      </c>
      <c r="Y353" s="27" t="s">
        <v>1013</v>
      </c>
      <c r="Z353" s="27"/>
    </row>
    <row r="354" spans="1:26" s="1" customFormat="1" ht="72.599999999999994" hidden="1">
      <c r="A354" s="158" t="s">
        <v>306</v>
      </c>
      <c r="B354" s="163">
        <v>14</v>
      </c>
      <c r="C354" s="164" t="s">
        <v>1573</v>
      </c>
      <c r="D354" s="168" t="s">
        <v>1574</v>
      </c>
      <c r="E354" s="199" t="s">
        <v>1575</v>
      </c>
      <c r="F354" s="88" t="s">
        <v>1576</v>
      </c>
      <c r="G354" s="88" t="s">
        <v>1577</v>
      </c>
      <c r="H354" s="88" t="s">
        <v>348</v>
      </c>
      <c r="I354" s="88" t="s">
        <v>377</v>
      </c>
      <c r="J354" s="20" t="s">
        <v>1577</v>
      </c>
      <c r="K354" s="20"/>
      <c r="L354" s="20" t="s">
        <v>54</v>
      </c>
      <c r="M354" s="27"/>
      <c r="N354" s="390" t="s">
        <v>1588</v>
      </c>
      <c r="O354" s="25"/>
      <c r="P354" s="25"/>
      <c r="Q354" s="27" t="s">
        <v>363</v>
      </c>
      <c r="R354" s="89"/>
      <c r="S354" s="89"/>
      <c r="T354" s="25"/>
      <c r="U354" s="25"/>
      <c r="V354" s="25"/>
      <c r="W354" s="27"/>
      <c r="X354" s="27" t="s">
        <v>632</v>
      </c>
      <c r="Y354" s="27" t="s">
        <v>1013</v>
      </c>
      <c r="Z354" s="27"/>
    </row>
    <row r="355" spans="1:26" s="1" customFormat="1" ht="72.599999999999994" hidden="1">
      <c r="A355" s="158" t="s">
        <v>306</v>
      </c>
      <c r="B355" s="163">
        <v>14</v>
      </c>
      <c r="C355" s="164" t="s">
        <v>1573</v>
      </c>
      <c r="D355" s="168" t="s">
        <v>1574</v>
      </c>
      <c r="E355" s="199" t="s">
        <v>1575</v>
      </c>
      <c r="F355" s="88" t="s">
        <v>1576</v>
      </c>
      <c r="G355" s="88" t="s">
        <v>1577</v>
      </c>
      <c r="H355" s="88" t="s">
        <v>348</v>
      </c>
      <c r="I355" s="88" t="s">
        <v>377</v>
      </c>
      <c r="J355" s="20" t="s">
        <v>1577</v>
      </c>
      <c r="K355" s="20"/>
      <c r="L355" s="20" t="s">
        <v>54</v>
      </c>
      <c r="M355" s="27"/>
      <c r="N355" s="390" t="s">
        <v>1589</v>
      </c>
      <c r="O355" s="25"/>
      <c r="P355" s="25"/>
      <c r="Q355" s="27" t="s">
        <v>363</v>
      </c>
      <c r="R355" s="89"/>
      <c r="S355" s="89"/>
      <c r="T355" s="25"/>
      <c r="U355" s="25"/>
      <c r="V355" s="25"/>
      <c r="W355" s="27"/>
      <c r="X355" s="27" t="s">
        <v>632</v>
      </c>
      <c r="Y355" s="27" t="s">
        <v>1013</v>
      </c>
      <c r="Z355" s="27"/>
    </row>
    <row r="356" spans="1:26" s="1" customFormat="1" ht="72.599999999999994" hidden="1">
      <c r="A356" s="158" t="s">
        <v>306</v>
      </c>
      <c r="B356" s="163">
        <v>14</v>
      </c>
      <c r="C356" s="164" t="s">
        <v>1573</v>
      </c>
      <c r="D356" s="168" t="s">
        <v>1574</v>
      </c>
      <c r="E356" s="199" t="s">
        <v>1575</v>
      </c>
      <c r="F356" s="88" t="s">
        <v>1576</v>
      </c>
      <c r="G356" s="88" t="s">
        <v>1577</v>
      </c>
      <c r="H356" s="88" t="s">
        <v>348</v>
      </c>
      <c r="I356" s="88" t="s">
        <v>377</v>
      </c>
      <c r="J356" s="20" t="s">
        <v>1577</v>
      </c>
      <c r="K356" s="20"/>
      <c r="L356" s="20" t="s">
        <v>54</v>
      </c>
      <c r="M356" s="27"/>
      <c r="N356" s="390" t="s">
        <v>1590</v>
      </c>
      <c r="O356" s="25"/>
      <c r="P356" s="25"/>
      <c r="Q356" s="27" t="s">
        <v>363</v>
      </c>
      <c r="R356" s="89"/>
      <c r="S356" s="89"/>
      <c r="T356" s="25"/>
      <c r="U356" s="25"/>
      <c r="V356" s="25"/>
      <c r="W356" s="27"/>
      <c r="X356" s="27" t="s">
        <v>632</v>
      </c>
      <c r="Y356" s="27" t="s">
        <v>1013</v>
      </c>
      <c r="Z356" s="27"/>
    </row>
    <row r="357" spans="1:26" s="1" customFormat="1" ht="72.599999999999994" hidden="1">
      <c r="A357" s="158" t="s">
        <v>306</v>
      </c>
      <c r="B357" s="163">
        <v>14</v>
      </c>
      <c r="C357" s="164" t="s">
        <v>1573</v>
      </c>
      <c r="D357" s="168" t="s">
        <v>1574</v>
      </c>
      <c r="E357" s="199" t="s">
        <v>1575</v>
      </c>
      <c r="F357" s="88" t="s">
        <v>1576</v>
      </c>
      <c r="G357" s="88" t="s">
        <v>1577</v>
      </c>
      <c r="H357" s="88" t="s">
        <v>348</v>
      </c>
      <c r="I357" s="88" t="s">
        <v>377</v>
      </c>
      <c r="J357" s="20" t="s">
        <v>1577</v>
      </c>
      <c r="K357" s="20"/>
      <c r="L357" s="20" t="s">
        <v>54</v>
      </c>
      <c r="M357" s="27"/>
      <c r="N357" s="390" t="s">
        <v>1591</v>
      </c>
      <c r="O357" s="25"/>
      <c r="P357" s="25"/>
      <c r="Q357" s="27" t="s">
        <v>363</v>
      </c>
      <c r="R357" s="89"/>
      <c r="S357" s="89"/>
      <c r="T357" s="25"/>
      <c r="U357" s="25"/>
      <c r="V357" s="25"/>
      <c r="W357" s="27"/>
      <c r="X357" s="27" t="s">
        <v>632</v>
      </c>
      <c r="Y357" s="27" t="s">
        <v>1013</v>
      </c>
      <c r="Z357" s="27"/>
    </row>
    <row r="358" spans="1:26" s="1" customFormat="1" ht="72.599999999999994" hidden="1">
      <c r="A358" s="158" t="s">
        <v>306</v>
      </c>
      <c r="B358" s="163">
        <v>14</v>
      </c>
      <c r="C358" s="164" t="s">
        <v>1573</v>
      </c>
      <c r="D358" s="168" t="s">
        <v>1574</v>
      </c>
      <c r="E358" s="199" t="s">
        <v>1575</v>
      </c>
      <c r="F358" s="88" t="s">
        <v>1576</v>
      </c>
      <c r="G358" s="88" t="s">
        <v>1577</v>
      </c>
      <c r="H358" s="88" t="s">
        <v>348</v>
      </c>
      <c r="I358" s="88" t="s">
        <v>377</v>
      </c>
      <c r="J358" s="20" t="s">
        <v>1577</v>
      </c>
      <c r="K358" s="20"/>
      <c r="L358" s="20" t="s">
        <v>54</v>
      </c>
      <c r="M358" s="27"/>
      <c r="N358" s="390" t="s">
        <v>1592</v>
      </c>
      <c r="O358" s="25"/>
      <c r="P358" s="25"/>
      <c r="Q358" s="27" t="s">
        <v>363</v>
      </c>
      <c r="R358" s="89"/>
      <c r="S358" s="89"/>
      <c r="T358" s="25"/>
      <c r="U358" s="25"/>
      <c r="V358" s="25"/>
      <c r="W358" s="27"/>
      <c r="X358" s="27" t="s">
        <v>632</v>
      </c>
      <c r="Y358" s="27" t="s">
        <v>616</v>
      </c>
      <c r="Z358" s="27"/>
    </row>
    <row r="359" spans="1:26" s="1" customFormat="1" ht="87" hidden="1">
      <c r="A359" s="158" t="s">
        <v>306</v>
      </c>
      <c r="B359" s="163">
        <v>14</v>
      </c>
      <c r="C359" s="164" t="s">
        <v>1573</v>
      </c>
      <c r="D359" s="168" t="s">
        <v>1574</v>
      </c>
      <c r="E359" s="199" t="s">
        <v>1575</v>
      </c>
      <c r="F359" s="88" t="s">
        <v>1576</v>
      </c>
      <c r="G359" s="88" t="s">
        <v>1577</v>
      </c>
      <c r="H359" s="88" t="s">
        <v>348</v>
      </c>
      <c r="I359" s="88" t="s">
        <v>377</v>
      </c>
      <c r="J359" s="20" t="s">
        <v>1577</v>
      </c>
      <c r="K359" s="20"/>
      <c r="L359" s="20" t="s">
        <v>54</v>
      </c>
      <c r="M359" s="27"/>
      <c r="N359" s="331"/>
      <c r="O359" s="25" t="s">
        <v>1593</v>
      </c>
      <c r="P359" s="398"/>
      <c r="Q359" s="27" t="s">
        <v>363</v>
      </c>
      <c r="R359" s="89"/>
      <c r="S359" s="89"/>
      <c r="T359" s="25"/>
      <c r="U359" s="25"/>
      <c r="V359" s="25"/>
      <c r="W359" s="27"/>
      <c r="X359" s="27" t="s">
        <v>632</v>
      </c>
      <c r="Y359" s="27" t="s">
        <v>1013</v>
      </c>
      <c r="Z359" s="27"/>
    </row>
    <row r="360" spans="1:26" s="1" customFormat="1" ht="72.599999999999994" hidden="1">
      <c r="A360" s="158" t="s">
        <v>306</v>
      </c>
      <c r="B360" s="163">
        <v>14</v>
      </c>
      <c r="C360" s="164" t="s">
        <v>1573</v>
      </c>
      <c r="D360" s="168" t="s">
        <v>1574</v>
      </c>
      <c r="E360" s="199" t="s">
        <v>1575</v>
      </c>
      <c r="F360" s="88" t="s">
        <v>1576</v>
      </c>
      <c r="G360" s="88" t="s">
        <v>1577</v>
      </c>
      <c r="H360" s="88" t="s">
        <v>348</v>
      </c>
      <c r="I360" s="88" t="s">
        <v>377</v>
      </c>
      <c r="J360" s="20" t="s">
        <v>1577</v>
      </c>
      <c r="K360" s="20"/>
      <c r="L360" s="20" t="s">
        <v>54</v>
      </c>
      <c r="M360" s="27"/>
      <c r="N360" s="331"/>
      <c r="O360" s="25" t="s">
        <v>1594</v>
      </c>
      <c r="P360" s="398"/>
      <c r="Q360" s="27" t="s">
        <v>363</v>
      </c>
      <c r="R360" s="89"/>
      <c r="S360" s="89"/>
      <c r="T360" s="25"/>
      <c r="U360" s="25"/>
      <c r="V360" s="25"/>
      <c r="W360" s="27"/>
      <c r="X360" s="27" t="s">
        <v>632</v>
      </c>
      <c r="Y360" s="27" t="s">
        <v>1013</v>
      </c>
      <c r="Z360" s="27"/>
    </row>
    <row r="361" spans="1:26" s="1" customFormat="1" ht="72.599999999999994" hidden="1">
      <c r="A361" s="158" t="s">
        <v>306</v>
      </c>
      <c r="B361" s="163">
        <v>14</v>
      </c>
      <c r="C361" s="164" t="s">
        <v>1573</v>
      </c>
      <c r="D361" s="168" t="s">
        <v>1574</v>
      </c>
      <c r="E361" s="199" t="s">
        <v>1575</v>
      </c>
      <c r="F361" s="88" t="s">
        <v>1576</v>
      </c>
      <c r="G361" s="88" t="s">
        <v>1577</v>
      </c>
      <c r="H361" s="88" t="s">
        <v>348</v>
      </c>
      <c r="I361" s="88" t="s">
        <v>377</v>
      </c>
      <c r="J361" s="20" t="s">
        <v>1577</v>
      </c>
      <c r="K361" s="20"/>
      <c r="L361" s="20" t="s">
        <v>54</v>
      </c>
      <c r="M361" s="27"/>
      <c r="N361" s="331"/>
      <c r="O361" s="25" t="s">
        <v>1595</v>
      </c>
      <c r="P361" s="398"/>
      <c r="Q361" s="27" t="s">
        <v>363</v>
      </c>
      <c r="R361" s="89"/>
      <c r="S361" s="89"/>
      <c r="T361" s="25"/>
      <c r="U361" s="25"/>
      <c r="V361" s="25"/>
      <c r="W361" s="27"/>
      <c r="X361" s="27" t="s">
        <v>632</v>
      </c>
      <c r="Y361" s="27" t="s">
        <v>1013</v>
      </c>
      <c r="Z361" s="27"/>
    </row>
    <row r="362" spans="1:26" s="1" customFormat="1" ht="203.1">
      <c r="A362" s="158" t="s">
        <v>306</v>
      </c>
      <c r="B362" s="163">
        <v>14</v>
      </c>
      <c r="C362" s="164" t="s">
        <v>1573</v>
      </c>
      <c r="D362" s="175" t="s">
        <v>1596</v>
      </c>
      <c r="E362" s="176" t="s">
        <v>1597</v>
      </c>
      <c r="F362" s="88" t="s">
        <v>1598</v>
      </c>
      <c r="G362" s="88" t="s">
        <v>1599</v>
      </c>
      <c r="H362" s="88" t="s">
        <v>348</v>
      </c>
      <c r="I362" s="88" t="s">
        <v>377</v>
      </c>
      <c r="J362" s="20" t="str">
        <f>G362</f>
        <v>Sensibilitzar als diferents agents sobre els valors de l'ENP</v>
      </c>
      <c r="K362" s="20"/>
      <c r="L362" s="20" t="s">
        <v>54</v>
      </c>
      <c r="M362" s="27" t="s">
        <v>368</v>
      </c>
      <c r="N362" s="390" t="s">
        <v>1600</v>
      </c>
      <c r="O362" s="25"/>
      <c r="P362" s="25"/>
      <c r="Q362" s="20" t="s">
        <v>1601</v>
      </c>
      <c r="R362" s="89"/>
      <c r="S362" s="89" t="s">
        <v>1602</v>
      </c>
      <c r="T362" s="20" t="s">
        <v>1603</v>
      </c>
      <c r="U362" s="435" t="s">
        <v>1604</v>
      </c>
      <c r="V362" s="435" t="s">
        <v>1605</v>
      </c>
      <c r="W362" s="27"/>
      <c r="X362" s="27" t="s">
        <v>632</v>
      </c>
      <c r="Y362" s="27" t="s">
        <v>770</v>
      </c>
      <c r="Z362" s="27"/>
    </row>
    <row r="363" spans="1:26" s="1" customFormat="1" ht="72.599999999999994" hidden="1">
      <c r="A363" s="158" t="s">
        <v>306</v>
      </c>
      <c r="B363" s="163">
        <v>14</v>
      </c>
      <c r="C363" s="164" t="s">
        <v>1573</v>
      </c>
      <c r="D363" s="168" t="s">
        <v>1596</v>
      </c>
      <c r="E363" s="199" t="s">
        <v>1597</v>
      </c>
      <c r="F363" s="88" t="s">
        <v>1598</v>
      </c>
      <c r="G363" s="88" t="s">
        <v>1599</v>
      </c>
      <c r="H363" s="88" t="s">
        <v>348</v>
      </c>
      <c r="I363" s="88" t="s">
        <v>377</v>
      </c>
      <c r="J363" s="20" t="s">
        <v>1599</v>
      </c>
      <c r="K363" s="25"/>
      <c r="L363" s="27" t="s">
        <v>54</v>
      </c>
      <c r="M363" s="27"/>
      <c r="N363" s="331"/>
      <c r="O363" s="25" t="s">
        <v>1606</v>
      </c>
      <c r="P363" s="25"/>
      <c r="Q363" s="27" t="s">
        <v>363</v>
      </c>
      <c r="R363" s="89"/>
      <c r="S363" s="89"/>
      <c r="T363" s="25"/>
      <c r="U363" s="25"/>
      <c r="V363" s="25"/>
      <c r="W363" s="27"/>
      <c r="X363" s="27" t="s">
        <v>632</v>
      </c>
      <c r="Y363" s="27" t="s">
        <v>1607</v>
      </c>
      <c r="Z363" s="27"/>
    </row>
    <row r="364" spans="1:26" s="1" customFormat="1" ht="72.599999999999994" hidden="1">
      <c r="A364" s="158" t="s">
        <v>306</v>
      </c>
      <c r="B364" s="163">
        <v>14</v>
      </c>
      <c r="C364" s="164" t="s">
        <v>1573</v>
      </c>
      <c r="D364" s="168" t="s">
        <v>1596</v>
      </c>
      <c r="E364" s="199" t="s">
        <v>1597</v>
      </c>
      <c r="F364" s="88" t="s">
        <v>1598</v>
      </c>
      <c r="G364" s="88" t="s">
        <v>1599</v>
      </c>
      <c r="H364" s="88" t="s">
        <v>348</v>
      </c>
      <c r="I364" s="88" t="s">
        <v>377</v>
      </c>
      <c r="J364" s="20" t="str">
        <f>G364</f>
        <v>Sensibilitzar als diferents agents sobre els valors de l'ENP</v>
      </c>
      <c r="K364" s="20"/>
      <c r="L364" s="20" t="s">
        <v>54</v>
      </c>
      <c r="M364" s="27" t="s">
        <v>368</v>
      </c>
      <c r="N364" s="391" t="s">
        <v>1608</v>
      </c>
      <c r="O364" s="400"/>
      <c r="P364" s="400"/>
      <c r="Q364" s="27" t="s">
        <v>363</v>
      </c>
      <c r="R364" s="89"/>
      <c r="S364" s="89" t="s">
        <v>1602</v>
      </c>
      <c r="T364" s="25"/>
      <c r="U364" s="25"/>
      <c r="V364" s="25"/>
      <c r="W364" s="27"/>
      <c r="X364" s="27" t="s">
        <v>632</v>
      </c>
      <c r="Y364" s="27" t="s">
        <v>361</v>
      </c>
      <c r="Z364" s="27"/>
    </row>
    <row r="365" spans="1:26" s="1" customFormat="1" ht="72.599999999999994" hidden="1">
      <c r="A365" s="158" t="s">
        <v>306</v>
      </c>
      <c r="B365" s="163">
        <v>14</v>
      </c>
      <c r="C365" s="164" t="s">
        <v>1573</v>
      </c>
      <c r="D365" s="168" t="s">
        <v>1596</v>
      </c>
      <c r="E365" s="199" t="s">
        <v>1597</v>
      </c>
      <c r="F365" s="88" t="s">
        <v>1598</v>
      </c>
      <c r="G365" s="88" t="s">
        <v>1599</v>
      </c>
      <c r="H365" s="88" t="s">
        <v>348</v>
      </c>
      <c r="I365" s="88" t="s">
        <v>377</v>
      </c>
      <c r="J365" s="20" t="str">
        <f>G365</f>
        <v>Sensibilitzar als diferents agents sobre els valors de l'ENP</v>
      </c>
      <c r="K365" s="20"/>
      <c r="L365" s="20" t="s">
        <v>54</v>
      </c>
      <c r="M365" s="27" t="s">
        <v>368</v>
      </c>
      <c r="N365" s="390" t="s">
        <v>1609</v>
      </c>
      <c r="O365" s="25"/>
      <c r="P365" s="25"/>
      <c r="Q365" s="27" t="s">
        <v>363</v>
      </c>
      <c r="R365" s="89"/>
      <c r="S365" s="89" t="s">
        <v>1602</v>
      </c>
      <c r="T365" s="25"/>
      <c r="U365" s="25"/>
      <c r="V365" s="25"/>
      <c r="W365" s="27"/>
      <c r="X365" s="27" t="s">
        <v>632</v>
      </c>
      <c r="Y365" s="27" t="s">
        <v>361</v>
      </c>
      <c r="Z365" s="27"/>
    </row>
    <row r="366" spans="1:26" s="1" customFormat="1" ht="72.599999999999994" hidden="1">
      <c r="A366" s="158" t="s">
        <v>306</v>
      </c>
      <c r="B366" s="163">
        <v>14</v>
      </c>
      <c r="C366" s="164" t="s">
        <v>1573</v>
      </c>
      <c r="D366" s="168" t="s">
        <v>1596</v>
      </c>
      <c r="E366" s="199" t="s">
        <v>1597</v>
      </c>
      <c r="F366" s="88" t="s">
        <v>1598</v>
      </c>
      <c r="G366" s="88" t="s">
        <v>1599</v>
      </c>
      <c r="H366" s="88" t="s">
        <v>348</v>
      </c>
      <c r="I366" s="88" t="s">
        <v>377</v>
      </c>
      <c r="J366" s="20" t="str">
        <f>G366</f>
        <v>Sensibilitzar als diferents agents sobre els valors de l'ENP</v>
      </c>
      <c r="K366" s="20"/>
      <c r="L366" s="20" t="s">
        <v>54</v>
      </c>
      <c r="M366" s="27" t="s">
        <v>368</v>
      </c>
      <c r="N366" s="390" t="s">
        <v>1610</v>
      </c>
      <c r="O366" s="400"/>
      <c r="P366" s="400"/>
      <c r="Q366" s="27" t="s">
        <v>363</v>
      </c>
      <c r="R366" s="89"/>
      <c r="S366" s="89" t="s">
        <v>1602</v>
      </c>
      <c r="T366" s="25"/>
      <c r="U366" s="25"/>
      <c r="V366" s="25"/>
      <c r="W366" s="27"/>
      <c r="X366" s="27" t="s">
        <v>632</v>
      </c>
      <c r="Y366" s="27" t="s">
        <v>361</v>
      </c>
      <c r="Z366" s="27"/>
    </row>
    <row r="367" spans="1:26" s="1" customFormat="1" ht="72.599999999999994" hidden="1">
      <c r="A367" s="158" t="s">
        <v>306</v>
      </c>
      <c r="B367" s="163">
        <v>14</v>
      </c>
      <c r="C367" s="164" t="s">
        <v>1573</v>
      </c>
      <c r="D367" s="168" t="s">
        <v>1596</v>
      </c>
      <c r="E367" s="199" t="s">
        <v>1597</v>
      </c>
      <c r="F367" s="88" t="s">
        <v>1598</v>
      </c>
      <c r="G367" s="88" t="s">
        <v>1599</v>
      </c>
      <c r="H367" s="88" t="s">
        <v>348</v>
      </c>
      <c r="I367" s="88" t="s">
        <v>377</v>
      </c>
      <c r="J367" s="20" t="s">
        <v>1599</v>
      </c>
      <c r="K367" s="25"/>
      <c r="L367" s="27" t="s">
        <v>54</v>
      </c>
      <c r="M367" s="27"/>
      <c r="N367" s="390" t="s">
        <v>1611</v>
      </c>
      <c r="O367" s="400"/>
      <c r="P367" s="400"/>
      <c r="Q367" s="27" t="s">
        <v>363</v>
      </c>
      <c r="R367" s="89"/>
      <c r="S367" s="89"/>
      <c r="T367" s="25"/>
      <c r="U367" s="25"/>
      <c r="V367" s="25"/>
      <c r="W367" s="27"/>
      <c r="X367" s="27" t="s">
        <v>632</v>
      </c>
      <c r="Y367" s="27" t="s">
        <v>361</v>
      </c>
      <c r="Z367" s="27"/>
    </row>
    <row r="368" spans="1:26" s="1" customFormat="1" ht="72.599999999999994" hidden="1">
      <c r="A368" s="158" t="s">
        <v>306</v>
      </c>
      <c r="B368" s="163">
        <v>14</v>
      </c>
      <c r="C368" s="164" t="s">
        <v>1573</v>
      </c>
      <c r="D368" s="168" t="s">
        <v>1596</v>
      </c>
      <c r="E368" s="199" t="s">
        <v>1597</v>
      </c>
      <c r="F368" s="88" t="s">
        <v>1598</v>
      </c>
      <c r="G368" s="88" t="s">
        <v>1599</v>
      </c>
      <c r="H368" s="88" t="s">
        <v>348</v>
      </c>
      <c r="I368" s="88" t="s">
        <v>377</v>
      </c>
      <c r="J368" s="20" t="s">
        <v>1599</v>
      </c>
      <c r="K368" s="25"/>
      <c r="L368" s="27" t="s">
        <v>54</v>
      </c>
      <c r="M368" s="27"/>
      <c r="N368" s="390" t="s">
        <v>1612</v>
      </c>
      <c r="O368" s="25"/>
      <c r="P368" s="25"/>
      <c r="Q368" s="27" t="s">
        <v>363</v>
      </c>
      <c r="R368" s="89"/>
      <c r="S368" s="89"/>
      <c r="T368" s="25"/>
      <c r="U368" s="25"/>
      <c r="V368" s="25"/>
      <c r="W368" s="27"/>
      <c r="X368" s="27" t="s">
        <v>632</v>
      </c>
      <c r="Y368" s="27" t="s">
        <v>1514</v>
      </c>
      <c r="Z368" s="27"/>
    </row>
    <row r="369" spans="1:26" s="1" customFormat="1" ht="72.599999999999994" hidden="1">
      <c r="A369" s="158" t="s">
        <v>306</v>
      </c>
      <c r="B369" s="163">
        <v>14</v>
      </c>
      <c r="C369" s="164" t="s">
        <v>1573</v>
      </c>
      <c r="D369" s="168" t="s">
        <v>1596</v>
      </c>
      <c r="E369" s="199" t="s">
        <v>1597</v>
      </c>
      <c r="F369" s="88" t="s">
        <v>1598</v>
      </c>
      <c r="G369" s="88" t="s">
        <v>1599</v>
      </c>
      <c r="H369" s="88" t="s">
        <v>348</v>
      </c>
      <c r="I369" s="88" t="s">
        <v>377</v>
      </c>
      <c r="J369" s="20" t="s">
        <v>1599</v>
      </c>
      <c r="K369" s="25"/>
      <c r="L369" s="27" t="s">
        <v>54</v>
      </c>
      <c r="M369" s="27"/>
      <c r="N369" s="390" t="s">
        <v>1613</v>
      </c>
      <c r="O369" s="25"/>
      <c r="P369" s="25"/>
      <c r="Q369" s="27" t="s">
        <v>363</v>
      </c>
      <c r="R369" s="89"/>
      <c r="S369" s="89"/>
      <c r="T369" s="25"/>
      <c r="U369" s="25"/>
      <c r="V369" s="25"/>
      <c r="W369" s="27"/>
      <c r="X369" s="27" t="s">
        <v>632</v>
      </c>
      <c r="Y369" s="27" t="s">
        <v>1272</v>
      </c>
      <c r="Z369" s="27"/>
    </row>
    <row r="370" spans="1:26" s="1" customFormat="1" ht="72.599999999999994" hidden="1">
      <c r="A370" s="158" t="s">
        <v>306</v>
      </c>
      <c r="B370" s="163">
        <v>14</v>
      </c>
      <c r="C370" s="164" t="s">
        <v>1573</v>
      </c>
      <c r="D370" s="168" t="s">
        <v>1596</v>
      </c>
      <c r="E370" s="199" t="s">
        <v>1597</v>
      </c>
      <c r="F370" s="88" t="s">
        <v>1598</v>
      </c>
      <c r="G370" s="88" t="s">
        <v>1599</v>
      </c>
      <c r="H370" s="88" t="s">
        <v>348</v>
      </c>
      <c r="I370" s="88" t="s">
        <v>377</v>
      </c>
      <c r="J370" s="20" t="s">
        <v>1599</v>
      </c>
      <c r="K370" s="25"/>
      <c r="L370" s="27" t="s">
        <v>54</v>
      </c>
      <c r="M370" s="27"/>
      <c r="N370" s="390" t="s">
        <v>1614</v>
      </c>
      <c r="O370" s="25"/>
      <c r="P370" s="25"/>
      <c r="Q370" s="27" t="s">
        <v>363</v>
      </c>
      <c r="R370" s="89"/>
      <c r="S370" s="89"/>
      <c r="T370" s="25"/>
      <c r="U370" s="25"/>
      <c r="V370" s="25"/>
      <c r="W370" s="27"/>
      <c r="X370" s="27" t="s">
        <v>632</v>
      </c>
      <c r="Y370" s="27" t="s">
        <v>1013</v>
      </c>
      <c r="Z370" s="27"/>
    </row>
    <row r="371" spans="1:26" s="1" customFormat="1" ht="159.6">
      <c r="A371" s="158" t="s">
        <v>306</v>
      </c>
      <c r="B371" s="163">
        <v>14</v>
      </c>
      <c r="C371" s="164" t="s">
        <v>1573</v>
      </c>
      <c r="D371" s="166" t="s">
        <v>1615</v>
      </c>
      <c r="E371" s="167" t="s">
        <v>1616</v>
      </c>
      <c r="F371" s="88" t="s">
        <v>1617</v>
      </c>
      <c r="G371" s="88" t="s">
        <v>1618</v>
      </c>
      <c r="H371" s="88" t="s">
        <v>348</v>
      </c>
      <c r="I371" s="88" t="s">
        <v>377</v>
      </c>
      <c r="J371" s="20" t="str">
        <f>G371</f>
        <v>Optimitzar els canals de comunicació</v>
      </c>
      <c r="K371" s="20"/>
      <c r="L371" s="20" t="s">
        <v>54</v>
      </c>
      <c r="M371" s="27" t="s">
        <v>368</v>
      </c>
      <c r="N371" s="390" t="s">
        <v>1619</v>
      </c>
      <c r="O371" s="25"/>
      <c r="P371" s="25"/>
      <c r="Q371" s="20" t="s">
        <v>1620</v>
      </c>
      <c r="R371" s="89" t="s">
        <v>1580</v>
      </c>
      <c r="S371" s="89"/>
      <c r="T371" s="20" t="s">
        <v>1621</v>
      </c>
      <c r="U371" s="435" t="s">
        <v>1622</v>
      </c>
      <c r="V371" s="435" t="s">
        <v>1623</v>
      </c>
      <c r="W371" s="27"/>
      <c r="X371" s="27" t="s">
        <v>632</v>
      </c>
      <c r="Y371" s="27" t="s">
        <v>1013</v>
      </c>
      <c r="Z371" s="27"/>
    </row>
    <row r="372" spans="1:26" s="1" customFormat="1" ht="72.599999999999994" hidden="1">
      <c r="A372" s="158" t="s">
        <v>306</v>
      </c>
      <c r="B372" s="163">
        <v>14</v>
      </c>
      <c r="C372" s="164" t="s">
        <v>1573</v>
      </c>
      <c r="D372" s="168" t="s">
        <v>1615</v>
      </c>
      <c r="E372" s="199" t="s">
        <v>1616</v>
      </c>
      <c r="F372" s="88" t="s">
        <v>1617</v>
      </c>
      <c r="G372" s="88" t="s">
        <v>1618</v>
      </c>
      <c r="H372" s="88" t="s">
        <v>348</v>
      </c>
      <c r="I372" s="88" t="s">
        <v>377</v>
      </c>
      <c r="J372" s="20" t="str">
        <f>G372</f>
        <v>Optimitzar els canals de comunicació</v>
      </c>
      <c r="K372" s="20"/>
      <c r="L372" s="20" t="s">
        <v>54</v>
      </c>
      <c r="M372" s="27" t="s">
        <v>368</v>
      </c>
      <c r="N372" s="390" t="s">
        <v>1624</v>
      </c>
      <c r="O372" s="25"/>
      <c r="P372" s="25"/>
      <c r="Q372" s="27" t="s">
        <v>363</v>
      </c>
      <c r="R372" s="89" t="s">
        <v>1580</v>
      </c>
      <c r="S372" s="89"/>
      <c r="T372" s="25"/>
      <c r="U372" s="25"/>
      <c r="V372" s="25"/>
      <c r="W372" s="27"/>
      <c r="X372" s="27" t="s">
        <v>632</v>
      </c>
      <c r="Y372" s="27" t="s">
        <v>1013</v>
      </c>
      <c r="Z372" s="27"/>
    </row>
    <row r="373" spans="1:26" s="1" customFormat="1" ht="72.599999999999994" hidden="1">
      <c r="A373" s="158" t="s">
        <v>306</v>
      </c>
      <c r="B373" s="163">
        <v>14</v>
      </c>
      <c r="C373" s="164" t="s">
        <v>1573</v>
      </c>
      <c r="D373" s="168" t="s">
        <v>1615</v>
      </c>
      <c r="E373" s="199" t="s">
        <v>1616</v>
      </c>
      <c r="F373" s="88" t="s">
        <v>1617</v>
      </c>
      <c r="G373" s="88" t="s">
        <v>1618</v>
      </c>
      <c r="H373" s="88" t="s">
        <v>348</v>
      </c>
      <c r="I373" s="88" t="s">
        <v>377</v>
      </c>
      <c r="J373" s="20" t="str">
        <f>G373</f>
        <v>Optimitzar els canals de comunicació</v>
      </c>
      <c r="K373" s="20"/>
      <c r="L373" s="20" t="s">
        <v>54</v>
      </c>
      <c r="M373" s="27" t="s">
        <v>368</v>
      </c>
      <c r="N373" s="390" t="s">
        <v>1625</v>
      </c>
      <c r="O373" s="25"/>
      <c r="P373" s="25"/>
      <c r="Q373" s="27" t="s">
        <v>363</v>
      </c>
      <c r="R373" s="89" t="s">
        <v>1580</v>
      </c>
      <c r="S373" s="89"/>
      <c r="T373" s="25"/>
      <c r="U373" s="25"/>
      <c r="V373" s="25"/>
      <c r="W373" s="27"/>
      <c r="X373" s="27" t="s">
        <v>632</v>
      </c>
      <c r="Y373" s="27" t="s">
        <v>1013</v>
      </c>
      <c r="Z373" s="27"/>
    </row>
    <row r="374" spans="1:26" s="1" customFormat="1" ht="72.599999999999994">
      <c r="A374" s="158" t="s">
        <v>306</v>
      </c>
      <c r="B374" s="163">
        <v>14</v>
      </c>
      <c r="C374" s="164" t="s">
        <v>1573</v>
      </c>
      <c r="D374" s="168" t="s">
        <v>1615</v>
      </c>
      <c r="E374" s="199" t="s">
        <v>1616</v>
      </c>
      <c r="F374" s="88" t="s">
        <v>1626</v>
      </c>
      <c r="G374" s="88" t="s">
        <v>1627</v>
      </c>
      <c r="H374" s="88" t="s">
        <v>348</v>
      </c>
      <c r="I374" s="88" t="s">
        <v>377</v>
      </c>
      <c r="J374" s="20" t="s">
        <v>1627</v>
      </c>
      <c r="K374" s="20" t="s">
        <v>1628</v>
      </c>
      <c r="L374" s="20" t="s">
        <v>54</v>
      </c>
      <c r="M374" s="27" t="s">
        <v>368</v>
      </c>
      <c r="N374" s="390" t="s">
        <v>1629</v>
      </c>
      <c r="O374" s="25"/>
      <c r="P374" s="25"/>
      <c r="Q374" s="20" t="s">
        <v>1630</v>
      </c>
      <c r="R374" s="89" t="s">
        <v>1580</v>
      </c>
      <c r="S374" s="89"/>
      <c r="T374" s="20" t="s">
        <v>1631</v>
      </c>
      <c r="U374" s="441">
        <v>0.9</v>
      </c>
      <c r="V374" s="441">
        <v>1</v>
      </c>
      <c r="W374" s="27"/>
      <c r="X374" s="27" t="s">
        <v>632</v>
      </c>
      <c r="Y374" s="27" t="s">
        <v>1013</v>
      </c>
      <c r="Z374" s="27"/>
    </row>
    <row r="375" spans="1:26" s="427" customFormat="1" ht="57.95">
      <c r="A375" s="430" t="s">
        <v>307</v>
      </c>
      <c r="B375" s="177">
        <v>15</v>
      </c>
      <c r="C375" s="431" t="s">
        <v>1632</v>
      </c>
      <c r="D375" s="178" t="s">
        <v>1633</v>
      </c>
      <c r="E375" s="179" t="s">
        <v>1634</v>
      </c>
      <c r="F375" s="88" t="s">
        <v>1635</v>
      </c>
      <c r="G375" s="88" t="s">
        <v>1636</v>
      </c>
      <c r="H375" s="88" t="s">
        <v>348</v>
      </c>
      <c r="I375" s="88" t="s">
        <v>570</v>
      </c>
      <c r="J375" s="205" t="s">
        <v>1637</v>
      </c>
      <c r="K375" s="20" t="s">
        <v>1638</v>
      </c>
      <c r="L375" s="421" t="s">
        <v>107</v>
      </c>
      <c r="M375" s="27" t="s">
        <v>368</v>
      </c>
      <c r="N375" s="331"/>
      <c r="O375" s="25" t="s">
        <v>1637</v>
      </c>
      <c r="P375" s="25"/>
      <c r="Q375" s="421" t="s">
        <v>1639</v>
      </c>
      <c r="R375" s="89"/>
      <c r="S375" s="93"/>
      <c r="T375" s="421" t="s">
        <v>1640</v>
      </c>
      <c r="U375" s="432" t="s">
        <v>1641</v>
      </c>
      <c r="V375" s="432" t="s">
        <v>1642</v>
      </c>
      <c r="W375" s="421"/>
      <c r="X375" s="205" t="s">
        <v>471</v>
      </c>
      <c r="Y375" s="205" t="s">
        <v>472</v>
      </c>
      <c r="Z375" s="421"/>
    </row>
    <row r="376" spans="1:26" s="1" customFormat="1" ht="57.95">
      <c r="A376" s="18" t="s">
        <v>307</v>
      </c>
      <c r="B376" s="180">
        <v>15</v>
      </c>
      <c r="C376" s="181" t="s">
        <v>1632</v>
      </c>
      <c r="D376" s="182" t="s">
        <v>1633</v>
      </c>
      <c r="E376" s="201" t="s">
        <v>1634</v>
      </c>
      <c r="F376" s="88" t="s">
        <v>1643</v>
      </c>
      <c r="G376" s="88" t="s">
        <v>1644</v>
      </c>
      <c r="H376" s="88" t="s">
        <v>348</v>
      </c>
      <c r="I376" s="88" t="s">
        <v>570</v>
      </c>
      <c r="J376" s="20" t="str">
        <f>G376</f>
        <v>Disposar d'assessorament científic en l'ENP</v>
      </c>
      <c r="K376" s="20"/>
      <c r="L376" s="20" t="s">
        <v>54</v>
      </c>
      <c r="M376" s="27" t="s">
        <v>368</v>
      </c>
      <c r="N376" s="390" t="s">
        <v>1645</v>
      </c>
      <c r="O376" s="25"/>
      <c r="P376" s="25"/>
      <c r="Q376" s="20" t="s">
        <v>1646</v>
      </c>
      <c r="R376" s="89"/>
      <c r="S376" s="93"/>
      <c r="T376" s="20" t="s">
        <v>1647</v>
      </c>
      <c r="U376" s="413">
        <v>1</v>
      </c>
      <c r="V376" s="413">
        <v>1</v>
      </c>
      <c r="W376" s="27"/>
      <c r="X376" s="89" t="s">
        <v>360</v>
      </c>
      <c r="Y376" s="89" t="s">
        <v>361</v>
      </c>
      <c r="Z376" s="27"/>
    </row>
    <row r="377" spans="1:26" s="1" customFormat="1" ht="43.5" hidden="1">
      <c r="A377" s="18" t="s">
        <v>307</v>
      </c>
      <c r="B377" s="180">
        <v>15</v>
      </c>
      <c r="C377" s="181" t="s">
        <v>1632</v>
      </c>
      <c r="D377" s="182" t="s">
        <v>1633</v>
      </c>
      <c r="E377" s="201" t="s">
        <v>1634</v>
      </c>
      <c r="F377" s="88" t="s">
        <v>1648</v>
      </c>
      <c r="G377" s="88" t="s">
        <v>1649</v>
      </c>
      <c r="H377" s="88" t="s">
        <v>348</v>
      </c>
      <c r="I377" s="88" t="s">
        <v>570</v>
      </c>
      <c r="J377" s="20" t="s">
        <v>1649</v>
      </c>
      <c r="K377" s="20" t="s">
        <v>1650</v>
      </c>
      <c r="L377" s="214" t="s">
        <v>107</v>
      </c>
      <c r="M377" s="27" t="s">
        <v>368</v>
      </c>
      <c r="N377" s="27"/>
      <c r="O377" s="25"/>
      <c r="P377" s="25"/>
      <c r="Q377" s="27" t="s">
        <v>363</v>
      </c>
      <c r="R377" s="89"/>
      <c r="S377" s="93"/>
      <c r="T377" s="25"/>
      <c r="U377" s="25"/>
      <c r="V377" s="25"/>
      <c r="W377" s="27"/>
      <c r="X377" s="338" t="s">
        <v>471</v>
      </c>
      <c r="Y377" s="338" t="s">
        <v>472</v>
      </c>
      <c r="Z377" s="27"/>
    </row>
    <row r="378" spans="1:26" s="1" customFormat="1" ht="57.95">
      <c r="A378" s="18" t="s">
        <v>307</v>
      </c>
      <c r="B378" s="180">
        <v>15</v>
      </c>
      <c r="C378" s="181" t="s">
        <v>1632</v>
      </c>
      <c r="D378" s="182" t="s">
        <v>1633</v>
      </c>
      <c r="E378" s="201" t="s">
        <v>1634</v>
      </c>
      <c r="F378" s="88" t="s">
        <v>1651</v>
      </c>
      <c r="G378" s="88" t="s">
        <v>1652</v>
      </c>
      <c r="H378" s="88" t="s">
        <v>348</v>
      </c>
      <c r="I378" s="88" t="s">
        <v>377</v>
      </c>
      <c r="J378" s="205" t="s">
        <v>1653</v>
      </c>
      <c r="K378" s="20"/>
      <c r="L378" s="20" t="s">
        <v>54</v>
      </c>
      <c r="M378" s="27" t="s">
        <v>368</v>
      </c>
      <c r="N378" s="390" t="s">
        <v>1654</v>
      </c>
      <c r="O378" s="25"/>
      <c r="P378" s="25"/>
      <c r="Q378" s="20" t="s">
        <v>1655</v>
      </c>
      <c r="R378" s="89"/>
      <c r="S378" s="88" t="s">
        <v>1656</v>
      </c>
      <c r="T378" s="20" t="s">
        <v>1657</v>
      </c>
      <c r="U378" s="435">
        <v>1</v>
      </c>
      <c r="V378" s="435">
        <v>1</v>
      </c>
      <c r="W378" s="27"/>
      <c r="X378" s="338" t="s">
        <v>471</v>
      </c>
      <c r="Y378" s="338" t="s">
        <v>472</v>
      </c>
      <c r="Z378" s="27"/>
    </row>
    <row r="379" spans="1:26" s="1" customFormat="1" ht="174">
      <c r="A379" s="18" t="s">
        <v>307</v>
      </c>
      <c r="B379" s="180">
        <v>15</v>
      </c>
      <c r="C379" s="181" t="s">
        <v>1632</v>
      </c>
      <c r="D379" s="182" t="s">
        <v>1633</v>
      </c>
      <c r="E379" s="201" t="s">
        <v>1634</v>
      </c>
      <c r="F379" s="88" t="s">
        <v>1658</v>
      </c>
      <c r="G379" s="88"/>
      <c r="H379" s="88"/>
      <c r="I379" s="88"/>
      <c r="J379" s="205" t="s">
        <v>1659</v>
      </c>
      <c r="K379" s="20" t="s">
        <v>1660</v>
      </c>
      <c r="L379" s="20" t="s">
        <v>54</v>
      </c>
      <c r="M379" s="27"/>
      <c r="N379" s="390" t="s">
        <v>1661</v>
      </c>
      <c r="O379" s="25"/>
      <c r="P379" s="25"/>
      <c r="Q379" s="20" t="s">
        <v>1662</v>
      </c>
      <c r="R379" s="89"/>
      <c r="S379" s="88"/>
      <c r="T379" s="20" t="s">
        <v>1663</v>
      </c>
      <c r="U379" s="435" t="s">
        <v>1664</v>
      </c>
      <c r="V379" s="435" t="s">
        <v>1665</v>
      </c>
      <c r="W379" s="27"/>
      <c r="X379" s="338" t="s">
        <v>1666</v>
      </c>
      <c r="Y379" s="338" t="s">
        <v>1667</v>
      </c>
      <c r="Z379" s="27"/>
    </row>
    <row r="380" spans="1:26" s="1" customFormat="1" ht="72.599999999999994" hidden="1">
      <c r="A380" s="18" t="s">
        <v>307</v>
      </c>
      <c r="B380" s="180">
        <v>15</v>
      </c>
      <c r="C380" s="181" t="s">
        <v>1632</v>
      </c>
      <c r="D380" s="182" t="s">
        <v>1633</v>
      </c>
      <c r="E380" s="201" t="s">
        <v>1634</v>
      </c>
      <c r="F380" s="88" t="s">
        <v>1658</v>
      </c>
      <c r="G380" s="88"/>
      <c r="H380" s="88"/>
      <c r="I380" s="88"/>
      <c r="J380" s="205" t="s">
        <v>1659</v>
      </c>
      <c r="K380" s="20" t="s">
        <v>1660</v>
      </c>
      <c r="L380" s="20" t="s">
        <v>54</v>
      </c>
      <c r="M380" s="27"/>
      <c r="N380" s="390" t="s">
        <v>1668</v>
      </c>
      <c r="O380" s="25"/>
      <c r="P380" s="25"/>
      <c r="Q380" s="27" t="s">
        <v>363</v>
      </c>
      <c r="R380" s="89"/>
      <c r="S380" s="88"/>
      <c r="T380" s="25"/>
      <c r="U380" s="25"/>
      <c r="V380" s="25"/>
      <c r="W380" s="27"/>
      <c r="X380" s="338" t="s">
        <v>471</v>
      </c>
      <c r="Y380" s="338" t="s">
        <v>472</v>
      </c>
      <c r="Z380" s="27"/>
    </row>
    <row r="381" spans="1:26" s="1" customFormat="1" ht="72.599999999999994" hidden="1">
      <c r="A381" s="18" t="s">
        <v>307</v>
      </c>
      <c r="B381" s="180">
        <v>15</v>
      </c>
      <c r="C381" s="181" t="s">
        <v>1632</v>
      </c>
      <c r="D381" s="182" t="s">
        <v>1633</v>
      </c>
      <c r="E381" s="201" t="s">
        <v>1634</v>
      </c>
      <c r="F381" s="88" t="s">
        <v>1658</v>
      </c>
      <c r="G381" s="88"/>
      <c r="H381" s="88"/>
      <c r="I381" s="88"/>
      <c r="J381" s="205" t="s">
        <v>1659</v>
      </c>
      <c r="K381" s="20" t="s">
        <v>1660</v>
      </c>
      <c r="L381" s="20" t="s">
        <v>54</v>
      </c>
      <c r="M381" s="27"/>
      <c r="N381" s="390" t="s">
        <v>1669</v>
      </c>
      <c r="O381" s="25"/>
      <c r="P381" s="25"/>
      <c r="Q381" s="27" t="s">
        <v>363</v>
      </c>
      <c r="R381" s="89"/>
      <c r="S381" s="88"/>
      <c r="T381" s="25"/>
      <c r="U381" s="25"/>
      <c r="V381" s="25"/>
      <c r="W381" s="27"/>
      <c r="X381" s="338" t="s">
        <v>471</v>
      </c>
      <c r="Y381" s="338" t="s">
        <v>472</v>
      </c>
      <c r="Z381" s="27"/>
    </row>
    <row r="382" spans="1:26" s="1" customFormat="1" ht="72.599999999999994" hidden="1">
      <c r="A382" s="18" t="s">
        <v>307</v>
      </c>
      <c r="B382" s="180">
        <v>15</v>
      </c>
      <c r="C382" s="181" t="s">
        <v>1632</v>
      </c>
      <c r="D382" s="182" t="s">
        <v>1633</v>
      </c>
      <c r="E382" s="201" t="s">
        <v>1634</v>
      </c>
      <c r="F382" s="88" t="s">
        <v>1658</v>
      </c>
      <c r="G382" s="88"/>
      <c r="H382" s="88"/>
      <c r="I382" s="88"/>
      <c r="J382" s="205" t="s">
        <v>1659</v>
      </c>
      <c r="K382" s="20" t="s">
        <v>1660</v>
      </c>
      <c r="L382" s="20" t="s">
        <v>54</v>
      </c>
      <c r="M382" s="27"/>
      <c r="N382" s="390" t="s">
        <v>1670</v>
      </c>
      <c r="O382" s="25"/>
      <c r="P382" s="25"/>
      <c r="Q382" s="27" t="s">
        <v>363</v>
      </c>
      <c r="R382" s="89"/>
      <c r="S382" s="88"/>
      <c r="T382" s="25"/>
      <c r="U382" s="25"/>
      <c r="V382" s="25"/>
      <c r="W382" s="27"/>
      <c r="X382" s="338" t="s">
        <v>471</v>
      </c>
      <c r="Y382" s="338" t="s">
        <v>472</v>
      </c>
      <c r="Z382" s="27"/>
    </row>
    <row r="383" spans="1:26" s="1" customFormat="1" ht="72.599999999999994" hidden="1">
      <c r="A383" s="18" t="s">
        <v>307</v>
      </c>
      <c r="B383" s="180">
        <v>15</v>
      </c>
      <c r="C383" s="181" t="s">
        <v>1632</v>
      </c>
      <c r="D383" s="182" t="s">
        <v>1633</v>
      </c>
      <c r="E383" s="201" t="s">
        <v>1634</v>
      </c>
      <c r="F383" s="88" t="s">
        <v>1658</v>
      </c>
      <c r="G383" s="88"/>
      <c r="H383" s="88"/>
      <c r="I383" s="88"/>
      <c r="J383" s="205" t="s">
        <v>1659</v>
      </c>
      <c r="K383" s="20" t="s">
        <v>1660</v>
      </c>
      <c r="L383" s="20" t="s">
        <v>54</v>
      </c>
      <c r="M383" s="27"/>
      <c r="N383" s="393" t="s">
        <v>1671</v>
      </c>
      <c r="O383" s="382"/>
      <c r="P383" s="382"/>
      <c r="Q383" s="27" t="s">
        <v>363</v>
      </c>
      <c r="R383" s="89"/>
      <c r="S383" s="88"/>
      <c r="T383" s="25"/>
      <c r="U383" s="25"/>
      <c r="V383" s="25"/>
      <c r="W383" s="27"/>
      <c r="X383" s="338" t="s">
        <v>471</v>
      </c>
      <c r="Y383" s="338" t="s">
        <v>472</v>
      </c>
      <c r="Z383" s="27"/>
    </row>
    <row r="384" spans="1:26" s="1" customFormat="1" ht="72.599999999999994" hidden="1">
      <c r="A384" s="18" t="s">
        <v>307</v>
      </c>
      <c r="B384" s="180">
        <v>15</v>
      </c>
      <c r="C384" s="181" t="s">
        <v>1632</v>
      </c>
      <c r="D384" s="182" t="s">
        <v>1633</v>
      </c>
      <c r="E384" s="201" t="s">
        <v>1634</v>
      </c>
      <c r="F384" s="88" t="s">
        <v>1658</v>
      </c>
      <c r="G384" s="88"/>
      <c r="H384" s="88"/>
      <c r="I384" s="88"/>
      <c r="J384" s="205" t="s">
        <v>1659</v>
      </c>
      <c r="K384" s="20" t="s">
        <v>1660</v>
      </c>
      <c r="L384" s="20" t="s">
        <v>54</v>
      </c>
      <c r="M384" s="27"/>
      <c r="N384" s="390" t="s">
        <v>1672</v>
      </c>
      <c r="O384" s="25"/>
      <c r="P384" s="25"/>
      <c r="Q384" s="27" t="s">
        <v>363</v>
      </c>
      <c r="R384" s="89"/>
      <c r="S384" s="88"/>
      <c r="T384" s="25"/>
      <c r="U384" s="25"/>
      <c r="V384" s="25"/>
      <c r="W384" s="27"/>
      <c r="X384" s="338" t="s">
        <v>471</v>
      </c>
      <c r="Y384" s="338" t="s">
        <v>472</v>
      </c>
      <c r="Z384" s="27"/>
    </row>
    <row r="385" spans="1:26" s="1" customFormat="1" ht="405.95">
      <c r="A385" s="18" t="s">
        <v>307</v>
      </c>
      <c r="B385" s="177">
        <v>16</v>
      </c>
      <c r="C385" s="17" t="s">
        <v>1673</v>
      </c>
      <c r="D385" s="178" t="s">
        <v>1674</v>
      </c>
      <c r="E385" s="183" t="s">
        <v>1675</v>
      </c>
      <c r="F385" s="88" t="s">
        <v>1676</v>
      </c>
      <c r="G385" s="88" t="s">
        <v>1677</v>
      </c>
      <c r="H385" s="372" t="s">
        <v>348</v>
      </c>
      <c r="I385" s="372" t="s">
        <v>377</v>
      </c>
      <c r="J385" s="373" t="str">
        <f>G385</f>
        <v xml:space="preserve">Gestionar i millorar administrativament els pressupostos anuals d'entrades i despeses </v>
      </c>
      <c r="K385" s="20"/>
      <c r="L385" s="20" t="s">
        <v>54</v>
      </c>
      <c r="M385" s="27" t="s">
        <v>368</v>
      </c>
      <c r="N385" s="390" t="s">
        <v>1678</v>
      </c>
      <c r="O385" s="25"/>
      <c r="P385" s="25"/>
      <c r="Q385" s="20" t="s">
        <v>1679</v>
      </c>
      <c r="R385" s="89"/>
      <c r="S385" s="93" t="s">
        <v>1680</v>
      </c>
      <c r="T385" s="20" t="s">
        <v>1681</v>
      </c>
      <c r="U385" s="438" t="s">
        <v>1682</v>
      </c>
      <c r="V385" s="438" t="s">
        <v>1683</v>
      </c>
      <c r="W385" s="27"/>
      <c r="X385" s="338" t="s">
        <v>1666</v>
      </c>
      <c r="Y385" s="338" t="s">
        <v>1684</v>
      </c>
      <c r="Z385" s="27"/>
    </row>
    <row r="386" spans="1:26" s="1" customFormat="1" ht="43.5" hidden="1">
      <c r="A386" s="18" t="s">
        <v>307</v>
      </c>
      <c r="B386" s="180">
        <v>16</v>
      </c>
      <c r="C386" s="184" t="s">
        <v>1673</v>
      </c>
      <c r="D386" s="210" t="s">
        <v>1674</v>
      </c>
      <c r="E386" s="211" t="s">
        <v>1675</v>
      </c>
      <c r="F386" s="88" t="s">
        <v>1676</v>
      </c>
      <c r="G386" s="88" t="s">
        <v>1677</v>
      </c>
      <c r="H386" s="372" t="s">
        <v>348</v>
      </c>
      <c r="I386" s="372" t="s">
        <v>377</v>
      </c>
      <c r="J386" s="373" t="str">
        <f t="shared" ref="J386:J404" si="14">G386</f>
        <v xml:space="preserve">Gestionar i millorar administrativament els pressupostos anuals d'entrades i despeses </v>
      </c>
      <c r="K386" s="20"/>
      <c r="L386" s="20" t="s">
        <v>54</v>
      </c>
      <c r="M386" s="27"/>
      <c r="N386" s="390" t="s">
        <v>1685</v>
      </c>
      <c r="O386" s="25"/>
      <c r="P386" s="25"/>
      <c r="Q386" s="27" t="s">
        <v>363</v>
      </c>
      <c r="R386" s="89"/>
      <c r="S386" s="93"/>
      <c r="T386" s="25"/>
      <c r="U386" s="25"/>
      <c r="V386" s="25"/>
      <c r="W386" s="27"/>
      <c r="X386" s="338" t="s">
        <v>1666</v>
      </c>
      <c r="Y386" s="338" t="s">
        <v>1684</v>
      </c>
      <c r="Z386" s="27"/>
    </row>
    <row r="387" spans="1:26" s="1" customFormat="1" ht="43.5" hidden="1">
      <c r="A387" s="18" t="s">
        <v>307</v>
      </c>
      <c r="B387" s="180">
        <v>16</v>
      </c>
      <c r="C387" s="184" t="s">
        <v>1673</v>
      </c>
      <c r="D387" s="210" t="s">
        <v>1674</v>
      </c>
      <c r="E387" s="211" t="s">
        <v>1675</v>
      </c>
      <c r="F387" s="88" t="s">
        <v>1676</v>
      </c>
      <c r="G387" s="88" t="s">
        <v>1677</v>
      </c>
      <c r="H387" s="372" t="s">
        <v>348</v>
      </c>
      <c r="I387" s="372" t="s">
        <v>377</v>
      </c>
      <c r="J387" s="373" t="str">
        <f t="shared" si="14"/>
        <v xml:space="preserve">Gestionar i millorar administrativament els pressupostos anuals d'entrades i despeses </v>
      </c>
      <c r="K387" s="20"/>
      <c r="L387" s="20" t="s">
        <v>54</v>
      </c>
      <c r="M387" s="27"/>
      <c r="N387" s="390" t="s">
        <v>1686</v>
      </c>
      <c r="O387" s="25"/>
      <c r="P387" s="25"/>
      <c r="Q387" s="27" t="s">
        <v>363</v>
      </c>
      <c r="R387" s="89"/>
      <c r="S387" s="93"/>
      <c r="T387" s="25"/>
      <c r="U387" s="25"/>
      <c r="V387" s="25"/>
      <c r="W387" s="27"/>
      <c r="X387" s="338" t="s">
        <v>1666</v>
      </c>
      <c r="Y387" s="338" t="s">
        <v>1684</v>
      </c>
      <c r="Z387" s="27"/>
    </row>
    <row r="388" spans="1:26" s="1" customFormat="1" ht="43.5" hidden="1">
      <c r="A388" s="18" t="s">
        <v>307</v>
      </c>
      <c r="B388" s="180">
        <v>16</v>
      </c>
      <c r="C388" s="184" t="s">
        <v>1673</v>
      </c>
      <c r="D388" s="210" t="s">
        <v>1674</v>
      </c>
      <c r="E388" s="211" t="s">
        <v>1675</v>
      </c>
      <c r="F388" s="88" t="s">
        <v>1676</v>
      </c>
      <c r="G388" s="88" t="s">
        <v>1677</v>
      </c>
      <c r="H388" s="372" t="s">
        <v>348</v>
      </c>
      <c r="I388" s="372" t="s">
        <v>377</v>
      </c>
      <c r="J388" s="373" t="str">
        <f t="shared" si="14"/>
        <v xml:space="preserve">Gestionar i millorar administrativament els pressupostos anuals d'entrades i despeses </v>
      </c>
      <c r="K388" s="20"/>
      <c r="L388" s="20" t="s">
        <v>54</v>
      </c>
      <c r="M388" s="27"/>
      <c r="N388" s="390" t="s">
        <v>1687</v>
      </c>
      <c r="O388" s="25"/>
      <c r="P388" s="25"/>
      <c r="Q388" s="27" t="s">
        <v>363</v>
      </c>
      <c r="R388" s="89"/>
      <c r="S388" s="93"/>
      <c r="T388" s="25"/>
      <c r="U388" s="25"/>
      <c r="V388" s="25"/>
      <c r="W388" s="27"/>
      <c r="X388" s="338" t="s">
        <v>471</v>
      </c>
      <c r="Y388" s="338" t="s">
        <v>472</v>
      </c>
      <c r="Z388" s="27"/>
    </row>
    <row r="389" spans="1:26" s="1" customFormat="1" ht="43.5" hidden="1">
      <c r="A389" s="18" t="s">
        <v>307</v>
      </c>
      <c r="B389" s="180">
        <v>16</v>
      </c>
      <c r="C389" s="184" t="s">
        <v>1673</v>
      </c>
      <c r="D389" s="210" t="s">
        <v>1674</v>
      </c>
      <c r="E389" s="211" t="s">
        <v>1675</v>
      </c>
      <c r="F389" s="88" t="s">
        <v>1676</v>
      </c>
      <c r="G389" s="88" t="s">
        <v>1677</v>
      </c>
      <c r="H389" s="372" t="s">
        <v>348</v>
      </c>
      <c r="I389" s="372" t="s">
        <v>377</v>
      </c>
      <c r="J389" s="373" t="str">
        <f t="shared" si="14"/>
        <v xml:space="preserve">Gestionar i millorar administrativament els pressupostos anuals d'entrades i despeses </v>
      </c>
      <c r="K389" s="20"/>
      <c r="L389" s="20" t="s">
        <v>54</v>
      </c>
      <c r="M389" s="27"/>
      <c r="N389" s="390" t="s">
        <v>1688</v>
      </c>
      <c r="O389" s="25"/>
      <c r="P389" s="25"/>
      <c r="Q389" s="27" t="s">
        <v>363</v>
      </c>
      <c r="R389" s="89"/>
      <c r="S389" s="93"/>
      <c r="T389" s="25"/>
      <c r="U389" s="25"/>
      <c r="V389" s="25"/>
      <c r="W389" s="27"/>
      <c r="X389" s="338" t="s">
        <v>1666</v>
      </c>
      <c r="Y389" s="338" t="s">
        <v>1684</v>
      </c>
      <c r="Z389" s="27"/>
    </row>
    <row r="390" spans="1:26" s="1" customFormat="1" ht="43.5" hidden="1">
      <c r="A390" s="18" t="s">
        <v>307</v>
      </c>
      <c r="B390" s="180">
        <v>16</v>
      </c>
      <c r="C390" s="184" t="s">
        <v>1673</v>
      </c>
      <c r="D390" s="220" t="s">
        <v>1674</v>
      </c>
      <c r="E390" s="219" t="s">
        <v>1675</v>
      </c>
      <c r="F390" s="88" t="s">
        <v>1676</v>
      </c>
      <c r="G390" s="88" t="s">
        <v>1677</v>
      </c>
      <c r="H390" s="372" t="s">
        <v>348</v>
      </c>
      <c r="I390" s="372" t="s">
        <v>377</v>
      </c>
      <c r="J390" s="373" t="str">
        <f t="shared" si="14"/>
        <v xml:space="preserve">Gestionar i millorar administrativament els pressupostos anuals d'entrades i despeses </v>
      </c>
      <c r="K390" s="20"/>
      <c r="L390" s="20" t="s">
        <v>54</v>
      </c>
      <c r="M390" s="27"/>
      <c r="N390" s="390" t="s">
        <v>1689</v>
      </c>
      <c r="O390" s="25"/>
      <c r="P390" s="25"/>
      <c r="Q390" s="27" t="s">
        <v>363</v>
      </c>
      <c r="R390" s="89"/>
      <c r="S390" s="93"/>
      <c r="T390" s="25"/>
      <c r="U390" s="25"/>
      <c r="V390" s="25"/>
      <c r="W390" s="27"/>
      <c r="X390" s="338" t="s">
        <v>1666</v>
      </c>
      <c r="Y390" s="338" t="s">
        <v>1684</v>
      </c>
      <c r="Z390" s="27"/>
    </row>
    <row r="391" spans="1:26" s="1" customFormat="1" ht="43.5" hidden="1">
      <c r="A391" s="18" t="s">
        <v>307</v>
      </c>
      <c r="B391" s="180">
        <v>16</v>
      </c>
      <c r="C391" s="184" t="s">
        <v>1673</v>
      </c>
      <c r="D391" s="220" t="s">
        <v>1674</v>
      </c>
      <c r="E391" s="219" t="s">
        <v>1675</v>
      </c>
      <c r="F391" s="88" t="s">
        <v>1676</v>
      </c>
      <c r="G391" s="88" t="s">
        <v>1677</v>
      </c>
      <c r="H391" s="372" t="s">
        <v>348</v>
      </c>
      <c r="I391" s="372" t="s">
        <v>377</v>
      </c>
      <c r="J391" s="373" t="str">
        <f t="shared" si="14"/>
        <v xml:space="preserve">Gestionar i millorar administrativament els pressupostos anuals d'entrades i despeses </v>
      </c>
      <c r="K391" s="20"/>
      <c r="L391" s="20" t="s">
        <v>54</v>
      </c>
      <c r="M391" s="27"/>
      <c r="N391" s="390" t="s">
        <v>1690</v>
      </c>
      <c r="O391" s="25"/>
      <c r="P391" s="25"/>
      <c r="Q391" s="27" t="s">
        <v>363</v>
      </c>
      <c r="R391" s="89"/>
      <c r="S391" s="93"/>
      <c r="T391" s="25"/>
      <c r="U391" s="25"/>
      <c r="V391" s="25"/>
      <c r="W391" s="27"/>
      <c r="X391" s="338" t="s">
        <v>1666</v>
      </c>
      <c r="Y391" s="338" t="s">
        <v>1684</v>
      </c>
      <c r="Z391" s="27"/>
    </row>
    <row r="392" spans="1:26" s="1" customFormat="1" ht="43.5" hidden="1">
      <c r="A392" s="18" t="s">
        <v>307</v>
      </c>
      <c r="B392" s="180">
        <v>16</v>
      </c>
      <c r="C392" s="184" t="s">
        <v>1673</v>
      </c>
      <c r="D392" s="220" t="s">
        <v>1674</v>
      </c>
      <c r="E392" s="219" t="s">
        <v>1675</v>
      </c>
      <c r="F392" s="88" t="s">
        <v>1676</v>
      </c>
      <c r="G392" s="88" t="s">
        <v>1677</v>
      </c>
      <c r="H392" s="372" t="s">
        <v>348</v>
      </c>
      <c r="I392" s="372" t="s">
        <v>377</v>
      </c>
      <c r="J392" s="373" t="str">
        <f t="shared" si="14"/>
        <v xml:space="preserve">Gestionar i millorar administrativament els pressupostos anuals d'entrades i despeses </v>
      </c>
      <c r="K392" s="20"/>
      <c r="L392" s="20" t="s">
        <v>54</v>
      </c>
      <c r="M392" s="27"/>
      <c r="N392" s="390" t="s">
        <v>1691</v>
      </c>
      <c r="O392" s="25"/>
      <c r="P392" s="25"/>
      <c r="Q392" s="27" t="s">
        <v>363</v>
      </c>
      <c r="R392" s="89"/>
      <c r="S392" s="93"/>
      <c r="T392" s="25"/>
      <c r="U392" s="25"/>
      <c r="V392" s="25"/>
      <c r="W392" s="27"/>
      <c r="X392" s="338" t="s">
        <v>1666</v>
      </c>
      <c r="Y392" s="338" t="s">
        <v>1684</v>
      </c>
      <c r="Z392" s="27"/>
    </row>
    <row r="393" spans="1:26" s="1" customFormat="1" ht="43.5" hidden="1">
      <c r="A393" s="18" t="s">
        <v>307</v>
      </c>
      <c r="B393" s="180">
        <v>16</v>
      </c>
      <c r="C393" s="184" t="s">
        <v>1673</v>
      </c>
      <c r="D393" s="220" t="s">
        <v>1674</v>
      </c>
      <c r="E393" s="219" t="s">
        <v>1675</v>
      </c>
      <c r="F393" s="88" t="s">
        <v>1676</v>
      </c>
      <c r="G393" s="88" t="s">
        <v>1677</v>
      </c>
      <c r="H393" s="372" t="s">
        <v>348</v>
      </c>
      <c r="I393" s="372" t="s">
        <v>377</v>
      </c>
      <c r="J393" s="373" t="str">
        <f t="shared" si="14"/>
        <v xml:space="preserve">Gestionar i millorar administrativament els pressupostos anuals d'entrades i despeses </v>
      </c>
      <c r="K393" s="20"/>
      <c r="L393" s="20" t="s">
        <v>54</v>
      </c>
      <c r="M393" s="27"/>
      <c r="N393" s="390" t="s">
        <v>1692</v>
      </c>
      <c r="O393" s="25"/>
      <c r="P393" s="25"/>
      <c r="Q393" s="27" t="s">
        <v>363</v>
      </c>
      <c r="R393" s="89"/>
      <c r="S393" s="93"/>
      <c r="T393" s="25"/>
      <c r="U393" s="25"/>
      <c r="V393" s="25"/>
      <c r="W393" s="27"/>
      <c r="X393" s="338" t="s">
        <v>1666</v>
      </c>
      <c r="Y393" s="338" t="s">
        <v>1684</v>
      </c>
      <c r="Z393" s="27"/>
    </row>
    <row r="394" spans="1:26" s="1" customFormat="1" ht="43.5" hidden="1">
      <c r="A394" s="18" t="s">
        <v>307</v>
      </c>
      <c r="B394" s="180">
        <v>16</v>
      </c>
      <c r="C394" s="184" t="s">
        <v>1673</v>
      </c>
      <c r="D394" s="220" t="s">
        <v>1674</v>
      </c>
      <c r="E394" s="219" t="s">
        <v>1675</v>
      </c>
      <c r="F394" s="88" t="s">
        <v>1676</v>
      </c>
      <c r="G394" s="88" t="s">
        <v>1677</v>
      </c>
      <c r="H394" s="372" t="s">
        <v>348</v>
      </c>
      <c r="I394" s="372" t="s">
        <v>377</v>
      </c>
      <c r="J394" s="373" t="str">
        <f t="shared" si="14"/>
        <v xml:space="preserve">Gestionar i millorar administrativament els pressupostos anuals d'entrades i despeses </v>
      </c>
      <c r="K394" s="20"/>
      <c r="L394" s="20" t="s">
        <v>54</v>
      </c>
      <c r="M394" s="27"/>
      <c r="N394" s="390" t="s">
        <v>1693</v>
      </c>
      <c r="O394" s="25"/>
      <c r="P394" s="25"/>
      <c r="Q394" s="27" t="s">
        <v>363</v>
      </c>
      <c r="R394" s="89"/>
      <c r="S394" s="93"/>
      <c r="T394" s="25"/>
      <c r="U394" s="25"/>
      <c r="V394" s="25"/>
      <c r="W394" s="27"/>
      <c r="X394" s="338" t="s">
        <v>1666</v>
      </c>
      <c r="Y394" s="338" t="s">
        <v>1684</v>
      </c>
      <c r="Z394" s="27"/>
    </row>
    <row r="395" spans="1:26" s="1" customFormat="1" ht="43.5" hidden="1">
      <c r="A395" s="18" t="s">
        <v>307</v>
      </c>
      <c r="B395" s="180">
        <v>16</v>
      </c>
      <c r="C395" s="184" t="s">
        <v>1673</v>
      </c>
      <c r="D395" s="220" t="s">
        <v>1674</v>
      </c>
      <c r="E395" s="219" t="s">
        <v>1675</v>
      </c>
      <c r="F395" s="88" t="s">
        <v>1676</v>
      </c>
      <c r="G395" s="88" t="s">
        <v>1677</v>
      </c>
      <c r="H395" s="372" t="s">
        <v>348</v>
      </c>
      <c r="I395" s="372" t="s">
        <v>377</v>
      </c>
      <c r="J395" s="373" t="str">
        <f t="shared" si="14"/>
        <v xml:space="preserve">Gestionar i millorar administrativament els pressupostos anuals d'entrades i despeses </v>
      </c>
      <c r="K395" s="20"/>
      <c r="L395" s="20" t="s">
        <v>54</v>
      </c>
      <c r="M395" s="27"/>
      <c r="N395" s="390" t="s">
        <v>1694</v>
      </c>
      <c r="O395" s="25"/>
      <c r="P395" s="25"/>
      <c r="Q395" s="27" t="s">
        <v>363</v>
      </c>
      <c r="R395" s="89"/>
      <c r="S395" s="93"/>
      <c r="T395" s="25"/>
      <c r="U395" s="25"/>
      <c r="V395" s="25"/>
      <c r="W395" s="27"/>
      <c r="X395" s="338" t="s">
        <v>1666</v>
      </c>
      <c r="Y395" s="338" t="s">
        <v>1684</v>
      </c>
      <c r="Z395" s="27"/>
    </row>
    <row r="396" spans="1:26" s="1" customFormat="1" ht="43.5" hidden="1">
      <c r="A396" s="18" t="s">
        <v>307</v>
      </c>
      <c r="B396" s="180">
        <v>16</v>
      </c>
      <c r="C396" s="184" t="s">
        <v>1673</v>
      </c>
      <c r="D396" s="220" t="s">
        <v>1674</v>
      </c>
      <c r="E396" s="219" t="s">
        <v>1675</v>
      </c>
      <c r="F396" s="88" t="s">
        <v>1676</v>
      </c>
      <c r="G396" s="88" t="s">
        <v>1677</v>
      </c>
      <c r="H396" s="372" t="s">
        <v>348</v>
      </c>
      <c r="I396" s="372" t="s">
        <v>377</v>
      </c>
      <c r="J396" s="373" t="str">
        <f t="shared" si="14"/>
        <v xml:space="preserve">Gestionar i millorar administrativament els pressupostos anuals d'entrades i despeses </v>
      </c>
      <c r="K396" s="20"/>
      <c r="L396" s="20" t="s">
        <v>54</v>
      </c>
      <c r="M396" s="27"/>
      <c r="N396" s="390" t="s">
        <v>1695</v>
      </c>
      <c r="O396" s="25"/>
      <c r="P396" s="25"/>
      <c r="Q396" s="27" t="s">
        <v>363</v>
      </c>
      <c r="R396" s="89"/>
      <c r="S396" s="93"/>
      <c r="T396" s="25"/>
      <c r="U396" s="25"/>
      <c r="V396" s="25"/>
      <c r="W396" s="27"/>
      <c r="X396" s="338" t="s">
        <v>1666</v>
      </c>
      <c r="Y396" s="338" t="s">
        <v>1684</v>
      </c>
      <c r="Z396" s="27"/>
    </row>
    <row r="397" spans="1:26" s="1" customFormat="1" ht="43.5" hidden="1">
      <c r="A397" s="18" t="s">
        <v>307</v>
      </c>
      <c r="B397" s="180">
        <v>16</v>
      </c>
      <c r="C397" s="184" t="s">
        <v>1673</v>
      </c>
      <c r="D397" s="220" t="s">
        <v>1674</v>
      </c>
      <c r="E397" s="219" t="s">
        <v>1675</v>
      </c>
      <c r="F397" s="88" t="s">
        <v>1676</v>
      </c>
      <c r="G397" s="88" t="s">
        <v>1677</v>
      </c>
      <c r="H397" s="372" t="s">
        <v>348</v>
      </c>
      <c r="I397" s="372" t="s">
        <v>377</v>
      </c>
      <c r="J397" s="373" t="str">
        <f t="shared" si="14"/>
        <v xml:space="preserve">Gestionar i millorar administrativament els pressupostos anuals d'entrades i despeses </v>
      </c>
      <c r="K397" s="20"/>
      <c r="L397" s="20" t="s">
        <v>54</v>
      </c>
      <c r="M397" s="27"/>
      <c r="N397" s="390" t="s">
        <v>1696</v>
      </c>
      <c r="O397" s="25"/>
      <c r="P397" s="25"/>
      <c r="Q397" s="27" t="s">
        <v>363</v>
      </c>
      <c r="R397" s="89"/>
      <c r="S397" s="93"/>
      <c r="T397" s="25"/>
      <c r="U397" s="25"/>
      <c r="V397" s="25"/>
      <c r="W397" s="27"/>
      <c r="X397" s="338" t="s">
        <v>1666</v>
      </c>
      <c r="Y397" s="338" t="s">
        <v>1684</v>
      </c>
      <c r="Z397" s="27"/>
    </row>
    <row r="398" spans="1:26" s="1" customFormat="1" ht="43.5" hidden="1">
      <c r="A398" s="18" t="s">
        <v>307</v>
      </c>
      <c r="B398" s="180">
        <v>16</v>
      </c>
      <c r="C398" s="184" t="s">
        <v>1673</v>
      </c>
      <c r="D398" s="220" t="s">
        <v>1674</v>
      </c>
      <c r="E398" s="219" t="s">
        <v>1675</v>
      </c>
      <c r="F398" s="88" t="s">
        <v>1676</v>
      </c>
      <c r="G398" s="88" t="s">
        <v>1677</v>
      </c>
      <c r="H398" s="372" t="s">
        <v>348</v>
      </c>
      <c r="I398" s="372" t="s">
        <v>377</v>
      </c>
      <c r="J398" s="373" t="str">
        <f t="shared" si="14"/>
        <v xml:space="preserve">Gestionar i millorar administrativament els pressupostos anuals d'entrades i despeses </v>
      </c>
      <c r="K398" s="20"/>
      <c r="L398" s="20" t="s">
        <v>54</v>
      </c>
      <c r="M398" s="27"/>
      <c r="N398" s="390" t="s">
        <v>1697</v>
      </c>
      <c r="O398" s="25"/>
      <c r="P398" s="25"/>
      <c r="Q398" s="27" t="s">
        <v>363</v>
      </c>
      <c r="R398" s="89"/>
      <c r="S398" s="93"/>
      <c r="T398" s="25"/>
      <c r="U398" s="25"/>
      <c r="V398" s="25"/>
      <c r="W398" s="27"/>
      <c r="X398" s="338" t="s">
        <v>1666</v>
      </c>
      <c r="Y398" s="338" t="s">
        <v>1698</v>
      </c>
      <c r="Z398" s="27"/>
    </row>
    <row r="399" spans="1:26" s="1" customFormat="1" ht="159.6" hidden="1">
      <c r="A399" s="18" t="s">
        <v>307</v>
      </c>
      <c r="B399" s="180">
        <v>16</v>
      </c>
      <c r="C399" s="184" t="s">
        <v>1673</v>
      </c>
      <c r="D399" s="220" t="s">
        <v>1674</v>
      </c>
      <c r="E399" s="219" t="s">
        <v>1675</v>
      </c>
      <c r="F399" s="88" t="s">
        <v>1676</v>
      </c>
      <c r="G399" s="88" t="s">
        <v>1677</v>
      </c>
      <c r="H399" s="373" t="s">
        <v>1677</v>
      </c>
      <c r="I399" s="20"/>
      <c r="J399" s="373" t="str">
        <f t="shared" si="14"/>
        <v xml:space="preserve">Gestionar i millorar administrativament els pressupostos anuals d'entrades i despeses </v>
      </c>
      <c r="K399" s="20"/>
      <c r="L399" s="20" t="s">
        <v>54</v>
      </c>
      <c r="M399" s="27"/>
      <c r="N399" s="390" t="s">
        <v>1699</v>
      </c>
      <c r="O399" s="25"/>
      <c r="P399" s="25"/>
      <c r="Q399" s="27" t="s">
        <v>363</v>
      </c>
      <c r="R399" s="89"/>
      <c r="S399" s="93"/>
      <c r="T399" s="25"/>
      <c r="U399" s="25"/>
      <c r="V399" s="25"/>
      <c r="W399" s="27"/>
      <c r="X399" s="338" t="s">
        <v>1666</v>
      </c>
      <c r="Y399" s="338" t="s">
        <v>1700</v>
      </c>
      <c r="Z399" s="27"/>
    </row>
    <row r="400" spans="1:26" s="1" customFormat="1" ht="43.5" hidden="1">
      <c r="A400" s="18" t="s">
        <v>307</v>
      </c>
      <c r="B400" s="180">
        <v>16</v>
      </c>
      <c r="C400" s="184" t="s">
        <v>1673</v>
      </c>
      <c r="D400" s="220" t="s">
        <v>1674</v>
      </c>
      <c r="E400" s="219" t="s">
        <v>1675</v>
      </c>
      <c r="F400" s="88" t="s">
        <v>1676</v>
      </c>
      <c r="G400" s="88" t="s">
        <v>1677</v>
      </c>
      <c r="H400" s="373"/>
      <c r="I400" s="20"/>
      <c r="J400" s="373" t="str">
        <f t="shared" si="14"/>
        <v xml:space="preserve">Gestionar i millorar administrativament els pressupostos anuals d'entrades i despeses </v>
      </c>
      <c r="K400" s="20"/>
      <c r="L400" s="20" t="s">
        <v>54</v>
      </c>
      <c r="M400" s="27"/>
      <c r="N400" s="390" t="s">
        <v>1701</v>
      </c>
      <c r="O400" s="25"/>
      <c r="P400" s="25"/>
      <c r="Q400" s="27" t="s">
        <v>363</v>
      </c>
      <c r="R400" s="89"/>
      <c r="S400" s="93"/>
      <c r="T400" s="25"/>
      <c r="U400" s="25"/>
      <c r="V400" s="25"/>
      <c r="W400" s="27"/>
      <c r="X400" s="338" t="s">
        <v>1666</v>
      </c>
      <c r="Y400" s="338" t="s">
        <v>1667</v>
      </c>
      <c r="Z400" s="27"/>
    </row>
    <row r="401" spans="1:26" s="1" customFormat="1" ht="43.5" hidden="1">
      <c r="A401" s="18" t="s">
        <v>307</v>
      </c>
      <c r="B401" s="180">
        <v>16</v>
      </c>
      <c r="C401" s="184" t="s">
        <v>1673</v>
      </c>
      <c r="D401" s="220" t="s">
        <v>1674</v>
      </c>
      <c r="E401" s="219" t="s">
        <v>1675</v>
      </c>
      <c r="F401" s="88" t="s">
        <v>1676</v>
      </c>
      <c r="G401" s="88" t="s">
        <v>1677</v>
      </c>
      <c r="H401" s="372" t="s">
        <v>348</v>
      </c>
      <c r="I401" s="372" t="s">
        <v>377</v>
      </c>
      <c r="J401" s="373" t="str">
        <f t="shared" si="14"/>
        <v xml:space="preserve">Gestionar i millorar administrativament els pressupostos anuals d'entrades i despeses </v>
      </c>
      <c r="K401" s="20"/>
      <c r="L401" s="20" t="s">
        <v>54</v>
      </c>
      <c r="M401" s="27"/>
      <c r="N401" s="390" t="s">
        <v>1702</v>
      </c>
      <c r="O401" s="25"/>
      <c r="P401" s="25"/>
      <c r="Q401" s="27" t="s">
        <v>363</v>
      </c>
      <c r="R401" s="89"/>
      <c r="S401" s="93"/>
      <c r="T401" s="25"/>
      <c r="U401" s="25"/>
      <c r="V401" s="25"/>
      <c r="W401" s="27"/>
      <c r="X401" s="338" t="s">
        <v>1666</v>
      </c>
      <c r="Y401" s="89" t="s">
        <v>472</v>
      </c>
      <c r="Z401" s="27"/>
    </row>
    <row r="402" spans="1:26" s="1" customFormat="1" ht="43.5" hidden="1">
      <c r="A402" s="18" t="s">
        <v>307</v>
      </c>
      <c r="B402" s="180">
        <v>16</v>
      </c>
      <c r="C402" s="184" t="s">
        <v>1673</v>
      </c>
      <c r="D402" s="220" t="s">
        <v>1674</v>
      </c>
      <c r="E402" s="219" t="s">
        <v>1675</v>
      </c>
      <c r="F402" s="88" t="s">
        <v>1676</v>
      </c>
      <c r="G402" s="88" t="s">
        <v>1677</v>
      </c>
      <c r="H402" s="372" t="s">
        <v>348</v>
      </c>
      <c r="I402" s="372" t="s">
        <v>377</v>
      </c>
      <c r="J402" s="373" t="str">
        <f t="shared" si="14"/>
        <v xml:space="preserve">Gestionar i millorar administrativament els pressupostos anuals d'entrades i despeses </v>
      </c>
      <c r="K402" s="20"/>
      <c r="L402" s="20" t="s">
        <v>54</v>
      </c>
      <c r="M402" s="27"/>
      <c r="N402" s="390" t="s">
        <v>1703</v>
      </c>
      <c r="O402" s="25"/>
      <c r="P402" s="25"/>
      <c r="Q402" s="27" t="s">
        <v>363</v>
      </c>
      <c r="R402" s="89"/>
      <c r="S402" s="93"/>
      <c r="T402" s="25"/>
      <c r="U402" s="25"/>
      <c r="V402" s="25"/>
      <c r="W402" s="27"/>
      <c r="X402" s="338" t="s">
        <v>471</v>
      </c>
      <c r="Y402" s="338" t="s">
        <v>472</v>
      </c>
      <c r="Z402" s="27"/>
    </row>
    <row r="403" spans="1:26" s="1" customFormat="1" ht="72.599999999999994">
      <c r="A403" s="18" t="s">
        <v>307</v>
      </c>
      <c r="B403" s="180">
        <v>16</v>
      </c>
      <c r="C403" s="184" t="s">
        <v>1673</v>
      </c>
      <c r="D403" s="185" t="s">
        <v>1704</v>
      </c>
      <c r="E403" s="186" t="s">
        <v>1705</v>
      </c>
      <c r="F403" s="88" t="s">
        <v>1706</v>
      </c>
      <c r="G403" s="88" t="s">
        <v>1707</v>
      </c>
      <c r="H403" s="372" t="s">
        <v>348</v>
      </c>
      <c r="I403" s="372" t="s">
        <v>377</v>
      </c>
      <c r="J403" s="373" t="str">
        <f t="shared" si="14"/>
        <v>Planificar, detectar les necessitats de contractació del l'ENP per a l'optimització dels contractes a nivell de Xarxa i gestionar els contractes</v>
      </c>
      <c r="K403" s="20"/>
      <c r="L403" s="20" t="s">
        <v>54</v>
      </c>
      <c r="M403" s="27" t="s">
        <v>368</v>
      </c>
      <c r="N403" s="390" t="s">
        <v>1708</v>
      </c>
      <c r="O403" s="25"/>
      <c r="P403" s="25"/>
      <c r="Q403" s="20" t="s">
        <v>1709</v>
      </c>
      <c r="R403" s="89"/>
      <c r="S403" s="89" t="s">
        <v>1710</v>
      </c>
      <c r="T403" s="20" t="s">
        <v>1711</v>
      </c>
      <c r="U403" s="435">
        <v>5</v>
      </c>
      <c r="V403" s="435">
        <v>10</v>
      </c>
      <c r="W403" s="27"/>
      <c r="X403" s="338" t="s">
        <v>471</v>
      </c>
      <c r="Y403" s="338" t="s">
        <v>472</v>
      </c>
      <c r="Z403" s="27"/>
    </row>
    <row r="404" spans="1:26" s="1" customFormat="1" ht="87">
      <c r="A404" s="18" t="s">
        <v>307</v>
      </c>
      <c r="B404" s="180">
        <v>16</v>
      </c>
      <c r="C404" s="184" t="s">
        <v>1673</v>
      </c>
      <c r="D404" s="187" t="s">
        <v>1704</v>
      </c>
      <c r="E404" s="202" t="s">
        <v>1705</v>
      </c>
      <c r="F404" s="88" t="s">
        <v>1712</v>
      </c>
      <c r="G404" s="88" t="s">
        <v>1713</v>
      </c>
      <c r="H404" s="372" t="s">
        <v>348</v>
      </c>
      <c r="I404" s="372" t="s">
        <v>377</v>
      </c>
      <c r="J404" s="373" t="str">
        <f t="shared" si="14"/>
        <v>Planificar i gestionar els ajuts</v>
      </c>
      <c r="K404" s="20"/>
      <c r="L404" s="20" t="s">
        <v>54</v>
      </c>
      <c r="M404" s="27" t="s">
        <v>368</v>
      </c>
      <c r="N404" s="390" t="s">
        <v>1714</v>
      </c>
      <c r="O404" s="25"/>
      <c r="P404" s="25"/>
      <c r="Q404" s="20" t="s">
        <v>1715</v>
      </c>
      <c r="R404" s="89"/>
      <c r="S404" s="89"/>
      <c r="T404" s="20" t="s">
        <v>1716</v>
      </c>
      <c r="U404" s="435">
        <v>2</v>
      </c>
      <c r="V404" s="435">
        <v>4</v>
      </c>
      <c r="W404" s="27"/>
      <c r="X404" s="338" t="s">
        <v>471</v>
      </c>
      <c r="Y404" s="338" t="s">
        <v>472</v>
      </c>
      <c r="Z404" s="27"/>
    </row>
    <row r="405" spans="1:26" s="1" customFormat="1" ht="43.5" hidden="1">
      <c r="A405" s="18" t="s">
        <v>307</v>
      </c>
      <c r="B405" s="180">
        <v>16</v>
      </c>
      <c r="C405" s="184" t="s">
        <v>1673</v>
      </c>
      <c r="D405" s="187" t="s">
        <v>1704</v>
      </c>
      <c r="E405" s="202" t="s">
        <v>1705</v>
      </c>
      <c r="F405" s="88" t="s">
        <v>1712</v>
      </c>
      <c r="G405" s="88" t="s">
        <v>1713</v>
      </c>
      <c r="H405" s="372" t="s">
        <v>348</v>
      </c>
      <c r="I405" s="372" t="s">
        <v>377</v>
      </c>
      <c r="J405" s="373" t="str">
        <f>G405</f>
        <v>Planificar i gestionar els ajuts</v>
      </c>
      <c r="K405" s="20"/>
      <c r="L405" s="20" t="s">
        <v>54</v>
      </c>
      <c r="M405" s="27" t="s">
        <v>368</v>
      </c>
      <c r="N405" s="390" t="s">
        <v>1717</v>
      </c>
      <c r="O405" s="25"/>
      <c r="P405" s="25"/>
      <c r="Q405" s="27" t="s">
        <v>363</v>
      </c>
      <c r="R405" s="89"/>
      <c r="S405" s="89"/>
      <c r="T405" s="25"/>
      <c r="U405" s="25"/>
      <c r="V405" s="25"/>
      <c r="W405" s="27"/>
      <c r="X405" s="27" t="s">
        <v>632</v>
      </c>
      <c r="Y405" s="27" t="s">
        <v>616</v>
      </c>
      <c r="Z405" s="27"/>
    </row>
    <row r="406" spans="1:26" s="1" customFormat="1" ht="87">
      <c r="A406" s="18" t="s">
        <v>307</v>
      </c>
      <c r="B406" s="180">
        <v>16</v>
      </c>
      <c r="C406" s="184" t="s">
        <v>1673</v>
      </c>
      <c r="D406" s="187" t="s">
        <v>1704</v>
      </c>
      <c r="E406" s="202" t="s">
        <v>1705</v>
      </c>
      <c r="F406" s="88" t="s">
        <v>1718</v>
      </c>
      <c r="G406" s="188" t="s">
        <v>1719</v>
      </c>
      <c r="H406" s="88" t="s">
        <v>348</v>
      </c>
      <c r="I406" s="88" t="s">
        <v>377</v>
      </c>
      <c r="J406" s="212" t="s">
        <v>1720</v>
      </c>
      <c r="K406" s="20"/>
      <c r="L406" s="20" t="s">
        <v>54</v>
      </c>
      <c r="M406" s="27" t="s">
        <v>368</v>
      </c>
      <c r="N406" s="390" t="s">
        <v>1721</v>
      </c>
      <c r="O406" s="25"/>
      <c r="P406" s="25"/>
      <c r="Q406" s="20" t="s">
        <v>1722</v>
      </c>
      <c r="R406" s="89"/>
      <c r="S406" s="93" t="s">
        <v>1723</v>
      </c>
      <c r="T406" s="20" t="s">
        <v>1724</v>
      </c>
      <c r="U406" s="435" t="s">
        <v>1725</v>
      </c>
      <c r="V406" s="435" t="s">
        <v>1726</v>
      </c>
      <c r="W406" s="27"/>
      <c r="X406" s="338" t="s">
        <v>471</v>
      </c>
      <c r="Y406" s="338" t="s">
        <v>472</v>
      </c>
      <c r="Z406" s="27"/>
    </row>
    <row r="407" spans="1:26" s="1" customFormat="1" ht="57.95" hidden="1">
      <c r="A407" s="18" t="s">
        <v>307</v>
      </c>
      <c r="B407" s="180">
        <v>16</v>
      </c>
      <c r="C407" s="184" t="s">
        <v>1673</v>
      </c>
      <c r="D407" s="187" t="s">
        <v>1704</v>
      </c>
      <c r="E407" s="202" t="s">
        <v>1705</v>
      </c>
      <c r="F407" s="88" t="s">
        <v>1718</v>
      </c>
      <c r="G407" s="188" t="s">
        <v>1719</v>
      </c>
      <c r="H407" s="88" t="s">
        <v>348</v>
      </c>
      <c r="I407" s="88" t="s">
        <v>377</v>
      </c>
      <c r="J407" s="212" t="s">
        <v>1720</v>
      </c>
      <c r="K407" s="20"/>
      <c r="L407" s="27" t="s">
        <v>54</v>
      </c>
      <c r="M407" s="217"/>
      <c r="N407" s="390" t="s">
        <v>1727</v>
      </c>
      <c r="O407" s="25"/>
      <c r="P407" s="25"/>
      <c r="Q407" s="27" t="s">
        <v>363</v>
      </c>
      <c r="R407" s="217"/>
      <c r="S407" s="217"/>
      <c r="T407" s="218"/>
      <c r="U407" s="218"/>
      <c r="V407" s="25"/>
      <c r="W407" s="27"/>
      <c r="X407" s="338" t="s">
        <v>471</v>
      </c>
      <c r="Y407" s="338" t="s">
        <v>472</v>
      </c>
      <c r="Z407" s="27"/>
    </row>
    <row r="408" spans="1:26" s="1" customFormat="1" ht="57.95" hidden="1">
      <c r="A408" s="18" t="s">
        <v>307</v>
      </c>
      <c r="B408" s="180">
        <v>16</v>
      </c>
      <c r="C408" s="184" t="s">
        <v>1673</v>
      </c>
      <c r="D408" s="187" t="s">
        <v>1704</v>
      </c>
      <c r="E408" s="202" t="s">
        <v>1705</v>
      </c>
      <c r="F408" s="88" t="s">
        <v>1718</v>
      </c>
      <c r="G408" s="188" t="s">
        <v>1719</v>
      </c>
      <c r="H408" s="88" t="s">
        <v>348</v>
      </c>
      <c r="I408" s="88" t="s">
        <v>377</v>
      </c>
      <c r="J408" s="212" t="s">
        <v>1720</v>
      </c>
      <c r="K408" s="20"/>
      <c r="L408" s="27" t="s">
        <v>54</v>
      </c>
      <c r="M408" s="217"/>
      <c r="N408" s="390" t="s">
        <v>1728</v>
      </c>
      <c r="O408" s="25"/>
      <c r="P408" s="25"/>
      <c r="Q408" s="27" t="s">
        <v>363</v>
      </c>
      <c r="R408" s="217"/>
      <c r="S408" s="217"/>
      <c r="T408" s="218"/>
      <c r="U408" s="218"/>
      <c r="V408" s="25"/>
      <c r="W408" s="27"/>
      <c r="X408" s="338" t="s">
        <v>471</v>
      </c>
      <c r="Y408" s="338" t="s">
        <v>472</v>
      </c>
      <c r="Z408" s="27"/>
    </row>
    <row r="409" spans="1:26" s="1" customFormat="1" ht="231.95">
      <c r="A409" s="18" t="s">
        <v>307</v>
      </c>
      <c r="B409" s="180">
        <v>16</v>
      </c>
      <c r="C409" s="184" t="s">
        <v>1673</v>
      </c>
      <c r="D409" s="187" t="s">
        <v>1704</v>
      </c>
      <c r="E409" s="202" t="s">
        <v>1705</v>
      </c>
      <c r="F409" s="88" t="s">
        <v>1729</v>
      </c>
      <c r="G409" s="188" t="s">
        <v>1730</v>
      </c>
      <c r="H409" s="88"/>
      <c r="I409" s="88"/>
      <c r="J409" s="212" t="str">
        <f>G409</f>
        <v>Participar en l'avaluació i el seguiment de les actuacions derivades dels ajuts (certificacions, expedients administratius, publicitat...)</v>
      </c>
      <c r="K409" s="215" t="s">
        <v>1731</v>
      </c>
      <c r="L409" s="20" t="s">
        <v>54</v>
      </c>
      <c r="M409" s="27"/>
      <c r="N409" s="390" t="s">
        <v>1732</v>
      </c>
      <c r="O409" s="25"/>
      <c r="P409" s="25"/>
      <c r="Q409" s="20" t="s">
        <v>1733</v>
      </c>
      <c r="R409" s="89"/>
      <c r="S409" s="89"/>
      <c r="T409" s="20" t="s">
        <v>1734</v>
      </c>
      <c r="U409" s="435" t="s">
        <v>534</v>
      </c>
      <c r="V409" s="435" t="s">
        <v>534</v>
      </c>
      <c r="W409" s="27"/>
      <c r="X409" s="338" t="s">
        <v>1666</v>
      </c>
      <c r="Y409" s="338" t="s">
        <v>1735</v>
      </c>
      <c r="Z409" s="27"/>
    </row>
    <row r="410" spans="1:26" s="1" customFormat="1" ht="72.599999999999994" hidden="1">
      <c r="A410" s="18" t="s">
        <v>307</v>
      </c>
      <c r="B410" s="180">
        <v>16</v>
      </c>
      <c r="C410" s="184" t="s">
        <v>1673</v>
      </c>
      <c r="D410" s="187" t="s">
        <v>1704</v>
      </c>
      <c r="E410" s="202" t="s">
        <v>1705</v>
      </c>
      <c r="F410" s="88" t="s">
        <v>1729</v>
      </c>
      <c r="G410" s="188" t="s">
        <v>1730</v>
      </c>
      <c r="H410" s="88"/>
      <c r="I410" s="88"/>
      <c r="J410" s="212" t="s">
        <v>1730</v>
      </c>
      <c r="K410" s="215" t="s">
        <v>1731</v>
      </c>
      <c r="L410" s="27" t="s">
        <v>54</v>
      </c>
      <c r="M410" s="217"/>
      <c r="N410" s="393" t="s">
        <v>1736</v>
      </c>
      <c r="O410" s="25"/>
      <c r="P410" s="25"/>
      <c r="Q410" s="27" t="s">
        <v>363</v>
      </c>
      <c r="R410" s="217"/>
      <c r="S410" s="217"/>
      <c r="T410" s="218"/>
      <c r="U410" s="218"/>
      <c r="V410" s="25"/>
      <c r="W410" s="27"/>
      <c r="X410" s="338" t="s">
        <v>1666</v>
      </c>
      <c r="Y410" s="89" t="s">
        <v>727</v>
      </c>
      <c r="Z410" s="27"/>
    </row>
    <row r="411" spans="1:26" s="1" customFormat="1" ht="57.95" hidden="1">
      <c r="A411" s="18" t="s">
        <v>307</v>
      </c>
      <c r="B411" s="180">
        <v>16</v>
      </c>
      <c r="C411" s="184" t="s">
        <v>1673</v>
      </c>
      <c r="D411" s="187" t="s">
        <v>1704</v>
      </c>
      <c r="E411" s="202" t="s">
        <v>1705</v>
      </c>
      <c r="F411" s="88" t="s">
        <v>1729</v>
      </c>
      <c r="G411" s="188" t="s">
        <v>1730</v>
      </c>
      <c r="H411" s="88"/>
      <c r="I411" s="88"/>
      <c r="J411" s="212" t="s">
        <v>1730</v>
      </c>
      <c r="K411" s="215" t="s">
        <v>1731</v>
      </c>
      <c r="L411" s="27" t="s">
        <v>54</v>
      </c>
      <c r="M411" s="217"/>
      <c r="N411" s="390" t="s">
        <v>1737</v>
      </c>
      <c r="O411" s="25"/>
      <c r="P411" s="25"/>
      <c r="Q411" s="27" t="s">
        <v>363</v>
      </c>
      <c r="R411" s="217"/>
      <c r="S411" s="217"/>
      <c r="T411" s="218"/>
      <c r="U411" s="218"/>
      <c r="V411" s="25"/>
      <c r="W411" s="27"/>
      <c r="X411" s="338" t="s">
        <v>1666</v>
      </c>
      <c r="Y411" s="338" t="s">
        <v>1735</v>
      </c>
      <c r="Z411" s="27"/>
    </row>
    <row r="412" spans="1:26" s="1" customFormat="1" ht="57.95">
      <c r="A412" s="18" t="s">
        <v>307</v>
      </c>
      <c r="B412" s="180">
        <v>16</v>
      </c>
      <c r="C412" s="184" t="s">
        <v>1673</v>
      </c>
      <c r="D412" s="187" t="s">
        <v>1704</v>
      </c>
      <c r="E412" s="202" t="s">
        <v>1705</v>
      </c>
      <c r="F412" s="88" t="s">
        <v>1738</v>
      </c>
      <c r="G412" s="188"/>
      <c r="H412" s="88"/>
      <c r="I412" s="88"/>
      <c r="J412" s="212" t="s">
        <v>1739</v>
      </c>
      <c r="K412" s="369" t="s">
        <v>1740</v>
      </c>
      <c r="L412" s="27" t="s">
        <v>54</v>
      </c>
      <c r="M412" s="217"/>
      <c r="N412" s="390" t="s">
        <v>1741</v>
      </c>
      <c r="O412" s="25"/>
      <c r="P412" s="25"/>
      <c r="Q412" s="20" t="s">
        <v>1742</v>
      </c>
      <c r="R412" s="217"/>
      <c r="S412" s="217"/>
      <c r="T412" s="221" t="s">
        <v>1743</v>
      </c>
      <c r="U412" s="447">
        <v>2</v>
      </c>
      <c r="V412" s="435">
        <v>4</v>
      </c>
      <c r="W412" s="27"/>
      <c r="X412" s="338" t="s">
        <v>471</v>
      </c>
      <c r="Y412" s="338" t="s">
        <v>472</v>
      </c>
      <c r="Z412" s="27"/>
    </row>
    <row r="413" spans="1:26" s="1" customFormat="1" ht="203.1">
      <c r="A413" s="18" t="s">
        <v>307</v>
      </c>
      <c r="B413" s="180">
        <v>16</v>
      </c>
      <c r="C413" s="184" t="s">
        <v>1673</v>
      </c>
      <c r="D413" s="185" t="s">
        <v>1744</v>
      </c>
      <c r="E413" s="189" t="s">
        <v>1745</v>
      </c>
      <c r="F413" s="88" t="s">
        <v>1746</v>
      </c>
      <c r="G413" s="188" t="s">
        <v>1747</v>
      </c>
      <c r="H413" s="88" t="s">
        <v>348</v>
      </c>
      <c r="I413" s="88" t="s">
        <v>377</v>
      </c>
      <c r="J413" s="212" t="s">
        <v>1748</v>
      </c>
      <c r="K413" s="20" t="s">
        <v>1749</v>
      </c>
      <c r="L413" s="20" t="s">
        <v>54</v>
      </c>
      <c r="M413" s="27" t="s">
        <v>368</v>
      </c>
      <c r="N413" s="390" t="s">
        <v>1750</v>
      </c>
      <c r="O413" s="25"/>
      <c r="P413" s="25"/>
      <c r="Q413" s="20" t="s">
        <v>1751</v>
      </c>
      <c r="R413" s="89"/>
      <c r="S413" s="89"/>
      <c r="T413" s="20" t="s">
        <v>1752</v>
      </c>
      <c r="U413" s="435" t="s">
        <v>1753</v>
      </c>
      <c r="V413" s="435" t="s">
        <v>1754</v>
      </c>
      <c r="W413" s="27"/>
      <c r="X413" s="338" t="s">
        <v>1666</v>
      </c>
      <c r="Y413" s="338" t="s">
        <v>1755</v>
      </c>
      <c r="Z413" s="27"/>
    </row>
    <row r="414" spans="1:26" s="1" customFormat="1" ht="43.5" hidden="1">
      <c r="A414" s="18" t="s">
        <v>307</v>
      </c>
      <c r="B414" s="180">
        <v>16</v>
      </c>
      <c r="C414" s="184" t="s">
        <v>1673</v>
      </c>
      <c r="D414" s="187" t="s">
        <v>1744</v>
      </c>
      <c r="E414" s="203" t="s">
        <v>1745</v>
      </c>
      <c r="F414" s="88" t="s">
        <v>1746</v>
      </c>
      <c r="G414" s="188" t="s">
        <v>1747</v>
      </c>
      <c r="H414" s="88" t="s">
        <v>348</v>
      </c>
      <c r="I414" s="88" t="s">
        <v>377</v>
      </c>
      <c r="J414" s="212" t="s">
        <v>1748</v>
      </c>
      <c r="K414" s="20" t="s">
        <v>1749</v>
      </c>
      <c r="L414" s="20" t="s">
        <v>54</v>
      </c>
      <c r="M414" s="27"/>
      <c r="N414" s="390" t="s">
        <v>1756</v>
      </c>
      <c r="O414" s="25"/>
      <c r="P414" s="25"/>
      <c r="Q414" s="27" t="s">
        <v>363</v>
      </c>
      <c r="R414" s="89"/>
      <c r="S414" s="89"/>
      <c r="T414" s="25"/>
      <c r="U414" s="25"/>
      <c r="V414" s="25"/>
      <c r="W414" s="27"/>
      <c r="X414" s="338" t="s">
        <v>1666</v>
      </c>
      <c r="Y414" s="338" t="s">
        <v>1755</v>
      </c>
      <c r="Z414" s="27"/>
    </row>
    <row r="415" spans="1:26" s="1" customFormat="1" ht="43.5" hidden="1">
      <c r="A415" s="18" t="s">
        <v>307</v>
      </c>
      <c r="B415" s="180">
        <v>16</v>
      </c>
      <c r="C415" s="184" t="s">
        <v>1673</v>
      </c>
      <c r="D415" s="187" t="s">
        <v>1744</v>
      </c>
      <c r="E415" s="203" t="s">
        <v>1745</v>
      </c>
      <c r="F415" s="88" t="s">
        <v>1746</v>
      </c>
      <c r="G415" s="188" t="s">
        <v>1747</v>
      </c>
      <c r="H415" s="88" t="s">
        <v>348</v>
      </c>
      <c r="I415" s="88" t="s">
        <v>377</v>
      </c>
      <c r="J415" s="212" t="s">
        <v>1748</v>
      </c>
      <c r="K415" s="20" t="s">
        <v>1749</v>
      </c>
      <c r="L415" s="20" t="s">
        <v>54</v>
      </c>
      <c r="M415" s="27"/>
      <c r="N415" s="390" t="s">
        <v>1757</v>
      </c>
      <c r="O415" s="25"/>
      <c r="P415" s="25"/>
      <c r="Q415" s="27" t="s">
        <v>363</v>
      </c>
      <c r="R415" s="89"/>
      <c r="S415" s="89"/>
      <c r="T415" s="25"/>
      <c r="U415" s="25"/>
      <c r="V415" s="25"/>
      <c r="W415" s="27"/>
      <c r="X415" s="338" t="s">
        <v>1666</v>
      </c>
      <c r="Y415" s="338" t="s">
        <v>1700</v>
      </c>
      <c r="Z415" s="27"/>
    </row>
    <row r="416" spans="1:26" s="1" customFormat="1" ht="43.5" hidden="1">
      <c r="A416" s="18" t="s">
        <v>307</v>
      </c>
      <c r="B416" s="180">
        <v>16</v>
      </c>
      <c r="C416" s="184" t="s">
        <v>1673</v>
      </c>
      <c r="D416" s="187" t="s">
        <v>1744</v>
      </c>
      <c r="E416" s="203" t="s">
        <v>1745</v>
      </c>
      <c r="F416" s="88" t="s">
        <v>1746</v>
      </c>
      <c r="G416" s="188" t="s">
        <v>1747</v>
      </c>
      <c r="H416" s="88" t="s">
        <v>348</v>
      </c>
      <c r="I416" s="88" t="s">
        <v>377</v>
      </c>
      <c r="J416" s="212" t="s">
        <v>1748</v>
      </c>
      <c r="K416" s="20" t="s">
        <v>1749</v>
      </c>
      <c r="L416" s="20" t="s">
        <v>54</v>
      </c>
      <c r="M416" s="27"/>
      <c r="N416" s="401" t="s">
        <v>1758</v>
      </c>
      <c r="O416" s="25"/>
      <c r="P416" s="25"/>
      <c r="Q416" s="27" t="s">
        <v>363</v>
      </c>
      <c r="R416" s="89"/>
      <c r="S416" s="89"/>
      <c r="T416" s="25"/>
      <c r="U416" s="25"/>
      <c r="V416" s="25"/>
      <c r="W416" s="27"/>
      <c r="X416" s="338"/>
      <c r="Y416" s="338"/>
      <c r="Z416" s="27"/>
    </row>
    <row r="417" spans="1:26" s="1" customFormat="1" ht="87">
      <c r="A417" s="18" t="s">
        <v>307</v>
      </c>
      <c r="B417" s="180">
        <v>16</v>
      </c>
      <c r="C417" s="184" t="s">
        <v>1673</v>
      </c>
      <c r="D417" s="187" t="s">
        <v>1744</v>
      </c>
      <c r="E417" s="203" t="s">
        <v>1745</v>
      </c>
      <c r="F417" s="88" t="s">
        <v>1759</v>
      </c>
      <c r="G417" s="88" t="s">
        <v>1760</v>
      </c>
      <c r="H417" s="88" t="s">
        <v>348</v>
      </c>
      <c r="I417" s="88" t="s">
        <v>377</v>
      </c>
      <c r="J417" s="20" t="str">
        <f>G417</f>
        <v>Adequar i actualitzar els procediments i tramitacions realitzats des de l'ENP als nous processos i eines conjuntes proposades des de Serveis Centrals</v>
      </c>
      <c r="K417" s="20"/>
      <c r="L417" s="20" t="s">
        <v>54</v>
      </c>
      <c r="M417" s="27" t="s">
        <v>368</v>
      </c>
      <c r="N417" s="390" t="s">
        <v>1761</v>
      </c>
      <c r="O417" s="25"/>
      <c r="P417" s="25"/>
      <c r="Q417" s="20" t="s">
        <v>1762</v>
      </c>
      <c r="R417" s="89"/>
      <c r="S417" s="93" t="s">
        <v>1763</v>
      </c>
      <c r="T417" s="20" t="s">
        <v>1764</v>
      </c>
      <c r="U417" s="435" t="s">
        <v>1765</v>
      </c>
      <c r="V417" s="435" t="s">
        <v>534</v>
      </c>
      <c r="W417" s="27"/>
      <c r="X417" s="338" t="s">
        <v>471</v>
      </c>
      <c r="Y417" s="338" t="s">
        <v>472</v>
      </c>
      <c r="Z417" s="27"/>
    </row>
    <row r="418" spans="1:26" s="1" customFormat="1" ht="57.95" hidden="1">
      <c r="A418" s="18" t="s">
        <v>307</v>
      </c>
      <c r="B418" s="180">
        <v>16</v>
      </c>
      <c r="C418" s="184" t="s">
        <v>1673</v>
      </c>
      <c r="D418" s="187" t="s">
        <v>1744</v>
      </c>
      <c r="E418" s="203" t="s">
        <v>1745</v>
      </c>
      <c r="F418" s="88" t="s">
        <v>1759</v>
      </c>
      <c r="G418" s="88" t="s">
        <v>1760</v>
      </c>
      <c r="H418" s="88" t="s">
        <v>348</v>
      </c>
      <c r="I418" s="88" t="s">
        <v>377</v>
      </c>
      <c r="J418" s="20" t="str">
        <f>G418</f>
        <v>Adequar i actualitzar els procediments i tramitacions realitzats des de l'ENP als nous processos i eines conjuntes proposades des de Serveis Centrals</v>
      </c>
      <c r="K418" s="20"/>
      <c r="L418" s="20" t="s">
        <v>54</v>
      </c>
      <c r="M418" s="27" t="s">
        <v>368</v>
      </c>
      <c r="N418" s="390" t="s">
        <v>1766</v>
      </c>
      <c r="O418" s="25"/>
      <c r="P418" s="25"/>
      <c r="Q418" s="27" t="s">
        <v>363</v>
      </c>
      <c r="R418" s="89"/>
      <c r="S418" s="93" t="s">
        <v>1763</v>
      </c>
      <c r="T418" s="25"/>
      <c r="U418" s="25"/>
      <c r="V418" s="25"/>
      <c r="W418" s="27"/>
      <c r="X418" s="27"/>
      <c r="Y418" s="27"/>
      <c r="Z418" s="27"/>
    </row>
    <row r="419" spans="1:26" s="1" customFormat="1" ht="57.95" hidden="1">
      <c r="A419" s="18" t="s">
        <v>307</v>
      </c>
      <c r="B419" s="180">
        <v>16</v>
      </c>
      <c r="C419" s="184" t="s">
        <v>1673</v>
      </c>
      <c r="D419" s="187" t="s">
        <v>1744</v>
      </c>
      <c r="E419" s="203" t="s">
        <v>1745</v>
      </c>
      <c r="F419" s="88" t="s">
        <v>1759</v>
      </c>
      <c r="G419" s="88" t="s">
        <v>1760</v>
      </c>
      <c r="H419" s="88" t="s">
        <v>348</v>
      </c>
      <c r="I419" s="88" t="s">
        <v>377</v>
      </c>
      <c r="J419" s="20" t="str">
        <f>G419</f>
        <v>Adequar i actualitzar els procediments i tramitacions realitzats des de l'ENP als nous processos i eines conjuntes proposades des de Serveis Centrals</v>
      </c>
      <c r="K419" s="20"/>
      <c r="L419" s="20" t="s">
        <v>54</v>
      </c>
      <c r="M419" s="27" t="s">
        <v>368</v>
      </c>
      <c r="N419" s="390" t="s">
        <v>1767</v>
      </c>
      <c r="O419" s="25"/>
      <c r="P419" s="25"/>
      <c r="Q419" s="27" t="s">
        <v>363</v>
      </c>
      <c r="R419" s="89"/>
      <c r="S419" s="93" t="s">
        <v>1763</v>
      </c>
      <c r="T419" s="25"/>
      <c r="U419" s="25"/>
      <c r="V419" s="25"/>
      <c r="W419" s="27"/>
      <c r="X419" s="338" t="s">
        <v>471</v>
      </c>
      <c r="Y419" s="338" t="s">
        <v>472</v>
      </c>
      <c r="Z419" s="27"/>
    </row>
    <row r="420" spans="1:26" s="1" customFormat="1" ht="72.599999999999994">
      <c r="A420" s="18" t="s">
        <v>307</v>
      </c>
      <c r="B420" s="180">
        <v>16</v>
      </c>
      <c r="C420" s="184" t="s">
        <v>1673</v>
      </c>
      <c r="D420" s="187" t="s">
        <v>1744</v>
      </c>
      <c r="E420" s="203" t="s">
        <v>1745</v>
      </c>
      <c r="F420" s="88" t="s">
        <v>1768</v>
      </c>
      <c r="G420" s="188" t="s">
        <v>1769</v>
      </c>
      <c r="H420" s="88" t="s">
        <v>348</v>
      </c>
      <c r="I420" s="88" t="s">
        <v>377</v>
      </c>
      <c r="J420" s="20" t="str">
        <f>G420</f>
        <v>Augmentar el coneixement de l'equip de treball en matèria de procediment administratiu</v>
      </c>
      <c r="K420" s="20"/>
      <c r="L420" s="20" t="s">
        <v>54</v>
      </c>
      <c r="M420" s="27" t="s">
        <v>368</v>
      </c>
      <c r="N420" s="390" t="s">
        <v>1770</v>
      </c>
      <c r="O420" s="25"/>
      <c r="P420" s="25"/>
      <c r="Q420" s="20" t="s">
        <v>1771</v>
      </c>
      <c r="R420" s="89"/>
      <c r="S420" s="89"/>
      <c r="T420" s="20" t="s">
        <v>1772</v>
      </c>
      <c r="U420" s="435">
        <v>1</v>
      </c>
      <c r="V420" s="435">
        <v>3</v>
      </c>
      <c r="W420" s="27"/>
      <c r="X420" s="338" t="s">
        <v>1666</v>
      </c>
      <c r="Y420" s="338" t="s">
        <v>1773</v>
      </c>
      <c r="Z420" s="27"/>
    </row>
    <row r="421" spans="1:26" s="1" customFormat="1" ht="116.1">
      <c r="A421" s="18" t="s">
        <v>307</v>
      </c>
      <c r="B421" s="180">
        <v>16</v>
      </c>
      <c r="C421" s="184" t="s">
        <v>1673</v>
      </c>
      <c r="D421" s="187" t="s">
        <v>1744</v>
      </c>
      <c r="E421" s="203" t="s">
        <v>1745</v>
      </c>
      <c r="F421" s="88" t="s">
        <v>1774</v>
      </c>
      <c r="G421" s="88" t="s">
        <v>1775</v>
      </c>
      <c r="H421" s="88" t="s">
        <v>416</v>
      </c>
      <c r="I421" s="88" t="s">
        <v>377</v>
      </c>
      <c r="J421" s="205" t="s">
        <v>1776</v>
      </c>
      <c r="K421" s="20" t="s">
        <v>1777</v>
      </c>
      <c r="L421" s="20" t="s">
        <v>54</v>
      </c>
      <c r="M421" s="27" t="s">
        <v>368</v>
      </c>
      <c r="N421" s="390" t="s">
        <v>1778</v>
      </c>
      <c r="O421" s="25"/>
      <c r="P421" s="25"/>
      <c r="Q421" s="20" t="s">
        <v>1779</v>
      </c>
      <c r="R421" s="89"/>
      <c r="S421" s="89"/>
      <c r="T421" s="20" t="s">
        <v>1780</v>
      </c>
      <c r="U421" s="435" t="s">
        <v>667</v>
      </c>
      <c r="V421" s="435" t="s">
        <v>667</v>
      </c>
      <c r="W421" s="27"/>
      <c r="X421" s="338" t="s">
        <v>471</v>
      </c>
      <c r="Y421" s="338" t="s">
        <v>472</v>
      </c>
      <c r="Z421" s="27"/>
    </row>
    <row r="422" spans="1:26" s="1" customFormat="1" ht="43.5" hidden="1">
      <c r="A422" s="18" t="s">
        <v>307</v>
      </c>
      <c r="B422" s="180">
        <v>16</v>
      </c>
      <c r="C422" s="184" t="s">
        <v>1673</v>
      </c>
      <c r="D422" s="187" t="s">
        <v>1744</v>
      </c>
      <c r="E422" s="203" t="s">
        <v>1745</v>
      </c>
      <c r="F422" s="88" t="s">
        <v>1774</v>
      </c>
      <c r="G422" s="88" t="s">
        <v>1775</v>
      </c>
      <c r="H422" s="88" t="s">
        <v>416</v>
      </c>
      <c r="I422" s="88" t="s">
        <v>377</v>
      </c>
      <c r="J422" s="205" t="s">
        <v>1776</v>
      </c>
      <c r="K422" s="20" t="s">
        <v>1777</v>
      </c>
      <c r="L422" s="20" t="s">
        <v>54</v>
      </c>
      <c r="M422" s="27" t="s">
        <v>368</v>
      </c>
      <c r="N422" s="390" t="s">
        <v>1781</v>
      </c>
      <c r="O422" s="25"/>
      <c r="P422" s="25"/>
      <c r="Q422" s="27" t="s">
        <v>363</v>
      </c>
      <c r="R422" s="89"/>
      <c r="S422" s="89"/>
      <c r="T422" s="25"/>
      <c r="U422" s="25"/>
      <c r="V422" s="25"/>
      <c r="W422" s="27"/>
      <c r="X422" s="338" t="s">
        <v>1666</v>
      </c>
      <c r="Y422" s="338" t="s">
        <v>1773</v>
      </c>
      <c r="Z422" s="27"/>
    </row>
    <row r="423" spans="1:26" s="1" customFormat="1" ht="43.5" hidden="1">
      <c r="A423" s="18" t="s">
        <v>307</v>
      </c>
      <c r="B423" s="180">
        <v>16</v>
      </c>
      <c r="C423" s="184" t="s">
        <v>1673</v>
      </c>
      <c r="D423" s="187" t="s">
        <v>1744</v>
      </c>
      <c r="E423" s="203" t="s">
        <v>1745</v>
      </c>
      <c r="F423" s="88" t="s">
        <v>1774</v>
      </c>
      <c r="G423" s="88" t="s">
        <v>1775</v>
      </c>
      <c r="H423" s="88"/>
      <c r="I423" s="88"/>
      <c r="J423" s="205" t="s">
        <v>1776</v>
      </c>
      <c r="K423" s="20"/>
      <c r="L423" s="20" t="s">
        <v>54</v>
      </c>
      <c r="M423" s="27"/>
      <c r="N423" s="390" t="s">
        <v>1782</v>
      </c>
      <c r="O423" s="25"/>
      <c r="P423" s="25"/>
      <c r="Q423" s="27" t="s">
        <v>363</v>
      </c>
      <c r="R423" s="89"/>
      <c r="S423" s="89"/>
      <c r="T423" s="25"/>
      <c r="U423" s="25"/>
      <c r="V423" s="25"/>
      <c r="W423" s="27"/>
      <c r="X423" s="338" t="s">
        <v>1666</v>
      </c>
      <c r="Y423" s="338" t="s">
        <v>1773</v>
      </c>
      <c r="Z423" s="27"/>
    </row>
    <row r="424" spans="1:26" s="1" customFormat="1" ht="43.5" hidden="1">
      <c r="A424" s="18" t="s">
        <v>307</v>
      </c>
      <c r="B424" s="180">
        <v>16</v>
      </c>
      <c r="C424" s="184" t="s">
        <v>1673</v>
      </c>
      <c r="D424" s="187" t="s">
        <v>1744</v>
      </c>
      <c r="E424" s="203" t="s">
        <v>1745</v>
      </c>
      <c r="F424" s="88" t="s">
        <v>1783</v>
      </c>
      <c r="G424" s="88" t="s">
        <v>1784</v>
      </c>
      <c r="H424" s="372" t="s">
        <v>348</v>
      </c>
      <c r="I424" s="372" t="s">
        <v>570</v>
      </c>
      <c r="J424" s="373" t="s">
        <v>1784</v>
      </c>
      <c r="K424" s="20" t="s">
        <v>1785</v>
      </c>
      <c r="L424" s="224" t="s">
        <v>107</v>
      </c>
      <c r="M424" s="27" t="s">
        <v>368</v>
      </c>
      <c r="N424" s="27"/>
      <c r="O424" s="25"/>
      <c r="P424" s="25"/>
      <c r="Q424" s="27" t="s">
        <v>363</v>
      </c>
      <c r="R424" s="89"/>
      <c r="S424" s="88"/>
      <c r="T424" s="25"/>
      <c r="U424" s="25"/>
      <c r="V424" s="25"/>
      <c r="W424" s="27"/>
      <c r="X424" s="27"/>
      <c r="Y424" s="27"/>
      <c r="Z424" s="27"/>
    </row>
    <row r="425" spans="1:26" s="1" customFormat="1" ht="43.5">
      <c r="A425" s="18" t="s">
        <v>307</v>
      </c>
      <c r="B425" s="180">
        <v>16</v>
      </c>
      <c r="C425" s="184" t="s">
        <v>1673</v>
      </c>
      <c r="D425" s="178" t="s">
        <v>1786</v>
      </c>
      <c r="E425" s="179" t="s">
        <v>1787</v>
      </c>
      <c r="F425" s="88" t="s">
        <v>1788</v>
      </c>
      <c r="G425" s="88" t="s">
        <v>1789</v>
      </c>
      <c r="H425" s="88" t="s">
        <v>348</v>
      </c>
      <c r="I425" s="88" t="s">
        <v>377</v>
      </c>
      <c r="J425" s="20" t="str">
        <f>G425</f>
        <v>Revisar l’estat dels béns patrimonials i la situació administrativa-legal dels equipaments del parc</v>
      </c>
      <c r="K425" s="20"/>
      <c r="L425" s="20" t="s">
        <v>54</v>
      </c>
      <c r="M425" s="27" t="s">
        <v>378</v>
      </c>
      <c r="N425" s="393" t="s">
        <v>1790</v>
      </c>
      <c r="O425" s="25"/>
      <c r="P425" s="25"/>
      <c r="Q425" s="20" t="s">
        <v>1791</v>
      </c>
      <c r="R425" s="89"/>
      <c r="S425" s="93" t="s">
        <v>1792</v>
      </c>
      <c r="T425" s="20" t="s">
        <v>1793</v>
      </c>
      <c r="U425" s="435">
        <v>2</v>
      </c>
      <c r="V425" s="435">
        <v>3</v>
      </c>
      <c r="W425" s="27"/>
      <c r="X425" s="27" t="s">
        <v>615</v>
      </c>
      <c r="Y425" s="27" t="s">
        <v>624</v>
      </c>
      <c r="Z425" s="27"/>
    </row>
    <row r="426" spans="1:26" s="1" customFormat="1" ht="43.5" hidden="1">
      <c r="A426" s="18" t="s">
        <v>307</v>
      </c>
      <c r="B426" s="180">
        <v>16</v>
      </c>
      <c r="C426" s="184" t="s">
        <v>1673</v>
      </c>
      <c r="D426" s="178" t="s">
        <v>1786</v>
      </c>
      <c r="E426" s="179" t="s">
        <v>1787</v>
      </c>
      <c r="F426" s="88" t="s">
        <v>1788</v>
      </c>
      <c r="G426" s="88" t="s">
        <v>1789</v>
      </c>
      <c r="H426" s="88" t="s">
        <v>348</v>
      </c>
      <c r="I426" s="88" t="s">
        <v>377</v>
      </c>
      <c r="J426" s="20" t="str">
        <f>G426</f>
        <v>Revisar l’estat dels béns patrimonials i la situació administrativa-legal dels equipaments del parc</v>
      </c>
      <c r="K426" s="20"/>
      <c r="L426" s="20" t="s">
        <v>54</v>
      </c>
      <c r="M426" s="27"/>
      <c r="N426" s="393" t="s">
        <v>1794</v>
      </c>
      <c r="O426" s="25"/>
      <c r="P426" s="25"/>
      <c r="Q426" s="27" t="s">
        <v>363</v>
      </c>
      <c r="R426" s="89"/>
      <c r="S426" s="93"/>
      <c r="T426" s="25"/>
      <c r="U426" s="25"/>
      <c r="V426" s="25"/>
      <c r="W426" s="27"/>
      <c r="X426" s="27"/>
      <c r="Y426" s="27"/>
      <c r="Z426" s="27"/>
    </row>
    <row r="427" spans="1:26" s="1" customFormat="1" ht="43.5" hidden="1">
      <c r="A427" s="18" t="s">
        <v>307</v>
      </c>
      <c r="B427" s="180">
        <v>16</v>
      </c>
      <c r="C427" s="184" t="s">
        <v>1673</v>
      </c>
      <c r="D427" s="178" t="s">
        <v>1786</v>
      </c>
      <c r="E427" s="179" t="s">
        <v>1787</v>
      </c>
      <c r="F427" s="88" t="s">
        <v>1788</v>
      </c>
      <c r="G427" s="88" t="s">
        <v>1789</v>
      </c>
      <c r="H427" s="88" t="s">
        <v>348</v>
      </c>
      <c r="I427" s="88" t="s">
        <v>377</v>
      </c>
      <c r="J427" s="20" t="str">
        <f>G427</f>
        <v>Revisar l’estat dels béns patrimonials i la situació administrativa-legal dels equipaments del parc</v>
      </c>
      <c r="K427" s="20"/>
      <c r="L427" s="20" t="s">
        <v>54</v>
      </c>
      <c r="M427" s="27"/>
      <c r="N427" s="393" t="s">
        <v>1795</v>
      </c>
      <c r="O427" s="25"/>
      <c r="P427" s="25"/>
      <c r="Q427" s="27" t="s">
        <v>363</v>
      </c>
      <c r="R427" s="89"/>
      <c r="S427" s="93"/>
      <c r="T427" s="25"/>
      <c r="U427" s="25"/>
      <c r="V427" s="25"/>
      <c r="W427" s="27"/>
      <c r="X427" s="27"/>
      <c r="Y427" s="27"/>
      <c r="Z427" s="27"/>
    </row>
    <row r="428" spans="1:26" s="1" customFormat="1" ht="87">
      <c r="A428" s="18" t="s">
        <v>307</v>
      </c>
      <c r="B428" s="180">
        <v>16</v>
      </c>
      <c r="C428" s="184" t="s">
        <v>1673</v>
      </c>
      <c r="D428" s="182" t="s">
        <v>1786</v>
      </c>
      <c r="E428" s="201" t="s">
        <v>1787</v>
      </c>
      <c r="F428" s="88" t="s">
        <v>1796</v>
      </c>
      <c r="G428" s="88" t="s">
        <v>1797</v>
      </c>
      <c r="H428" s="88" t="s">
        <v>348</v>
      </c>
      <c r="I428" s="88" t="s">
        <v>377</v>
      </c>
      <c r="J428" s="212" t="s">
        <v>1798</v>
      </c>
      <c r="K428" s="20" t="s">
        <v>1799</v>
      </c>
      <c r="L428" s="20" t="s">
        <v>54</v>
      </c>
      <c r="M428" s="27" t="s">
        <v>378</v>
      </c>
      <c r="N428" s="390" t="s">
        <v>1798</v>
      </c>
      <c r="O428" s="25"/>
      <c r="P428" s="25"/>
      <c r="Q428" s="20" t="s">
        <v>1800</v>
      </c>
      <c r="R428" s="89"/>
      <c r="S428" s="93" t="s">
        <v>1801</v>
      </c>
      <c r="T428" s="20" t="s">
        <v>1802</v>
      </c>
      <c r="U428" s="438">
        <v>1</v>
      </c>
      <c r="V428" s="438">
        <v>1</v>
      </c>
      <c r="W428" s="27"/>
      <c r="X428" s="27" t="s">
        <v>615</v>
      </c>
      <c r="Y428" s="27" t="s">
        <v>624</v>
      </c>
      <c r="Z428" s="27"/>
    </row>
    <row r="429" spans="1:26" s="1" customFormat="1" ht="87">
      <c r="A429" s="18" t="s">
        <v>307</v>
      </c>
      <c r="B429" s="180">
        <v>16</v>
      </c>
      <c r="C429" s="184" t="s">
        <v>1673</v>
      </c>
      <c r="D429" s="182" t="s">
        <v>1786</v>
      </c>
      <c r="E429" s="201" t="s">
        <v>1787</v>
      </c>
      <c r="F429" s="88" t="s">
        <v>1803</v>
      </c>
      <c r="G429" s="88"/>
      <c r="H429" s="88" t="s">
        <v>348</v>
      </c>
      <c r="I429" s="88" t="s">
        <v>377</v>
      </c>
      <c r="J429" s="212" t="s">
        <v>1804</v>
      </c>
      <c r="K429" s="20" t="s">
        <v>1805</v>
      </c>
      <c r="L429" s="20" t="s">
        <v>54</v>
      </c>
      <c r="M429" s="27"/>
      <c r="N429" s="390" t="s">
        <v>1804</v>
      </c>
      <c r="O429" s="25"/>
      <c r="P429" s="25"/>
      <c r="Q429" s="20" t="s">
        <v>1806</v>
      </c>
      <c r="R429" s="89"/>
      <c r="S429" s="93"/>
      <c r="T429" s="20" t="s">
        <v>1807</v>
      </c>
      <c r="U429" s="438">
        <v>1</v>
      </c>
      <c r="V429" s="438">
        <v>1</v>
      </c>
      <c r="W429" s="27"/>
      <c r="X429" s="27" t="s">
        <v>615</v>
      </c>
      <c r="Y429" s="27" t="s">
        <v>624</v>
      </c>
      <c r="Z429" s="27"/>
    </row>
    <row r="430" spans="1:26" s="1" customFormat="1" ht="43.5" hidden="1">
      <c r="A430" s="18" t="s">
        <v>307</v>
      </c>
      <c r="B430" s="180">
        <v>16</v>
      </c>
      <c r="C430" s="184" t="s">
        <v>1673</v>
      </c>
      <c r="D430" s="182" t="s">
        <v>1786</v>
      </c>
      <c r="E430" s="201" t="s">
        <v>1787</v>
      </c>
      <c r="F430" s="88" t="s">
        <v>1803</v>
      </c>
      <c r="G430" s="88"/>
      <c r="H430" s="88"/>
      <c r="I430" s="88"/>
      <c r="J430" s="212" t="s">
        <v>1804</v>
      </c>
      <c r="K430" s="20"/>
      <c r="L430" s="20" t="s">
        <v>54</v>
      </c>
      <c r="M430" s="27"/>
      <c r="N430" s="390" t="s">
        <v>1808</v>
      </c>
      <c r="O430" s="25"/>
      <c r="P430" s="25"/>
      <c r="Q430" s="27" t="s">
        <v>363</v>
      </c>
      <c r="R430" s="89"/>
      <c r="S430" s="93"/>
      <c r="T430" s="25"/>
      <c r="U430" s="25"/>
      <c r="V430" s="25"/>
      <c r="W430" s="27"/>
      <c r="X430" s="89" t="s">
        <v>615</v>
      </c>
      <c r="Y430" s="89" t="s">
        <v>1809</v>
      </c>
      <c r="Z430" s="27"/>
    </row>
    <row r="431" spans="1:26" s="1" customFormat="1" ht="116.1">
      <c r="A431" s="18" t="s">
        <v>307</v>
      </c>
      <c r="B431" s="180">
        <v>16</v>
      </c>
      <c r="C431" s="184" t="s">
        <v>1673</v>
      </c>
      <c r="D431" s="182" t="s">
        <v>1786</v>
      </c>
      <c r="E431" s="201" t="s">
        <v>1787</v>
      </c>
      <c r="F431" s="88" t="s">
        <v>1810</v>
      </c>
      <c r="G431" s="88"/>
      <c r="H431" s="88"/>
      <c r="I431" s="88"/>
      <c r="J431" s="212" t="s">
        <v>1811</v>
      </c>
      <c r="K431" s="80" t="s">
        <v>1812</v>
      </c>
      <c r="L431" s="20" t="s">
        <v>54</v>
      </c>
      <c r="M431" s="27"/>
      <c r="N431" s="390" t="s">
        <v>1813</v>
      </c>
      <c r="O431" s="25"/>
      <c r="P431" s="25"/>
      <c r="Q431" s="20" t="s">
        <v>1814</v>
      </c>
      <c r="R431" s="89"/>
      <c r="S431" s="93"/>
      <c r="T431" s="20" t="s">
        <v>1815</v>
      </c>
      <c r="U431" s="438">
        <v>1</v>
      </c>
      <c r="V431" s="438">
        <v>1</v>
      </c>
      <c r="W431" s="27"/>
      <c r="X431" s="27" t="s">
        <v>615</v>
      </c>
      <c r="Y431" s="27" t="s">
        <v>624</v>
      </c>
      <c r="Z431" s="27"/>
    </row>
    <row r="432" spans="1:26" s="1" customFormat="1" ht="43.5" hidden="1">
      <c r="A432" s="18" t="s">
        <v>307</v>
      </c>
      <c r="B432" s="180">
        <v>16</v>
      </c>
      <c r="C432" s="184" t="s">
        <v>1673</v>
      </c>
      <c r="D432" s="182" t="s">
        <v>1786</v>
      </c>
      <c r="E432" s="201" t="s">
        <v>1787</v>
      </c>
      <c r="F432" s="88" t="s">
        <v>1810</v>
      </c>
      <c r="G432" s="88"/>
      <c r="H432" s="88"/>
      <c r="I432" s="88"/>
      <c r="J432" s="212" t="s">
        <v>1811</v>
      </c>
      <c r="K432" s="80" t="s">
        <v>1812</v>
      </c>
      <c r="L432" s="20" t="s">
        <v>54</v>
      </c>
      <c r="M432" s="27"/>
      <c r="N432" s="390" t="s">
        <v>1816</v>
      </c>
      <c r="O432" s="25"/>
      <c r="P432" s="25"/>
      <c r="Q432" s="27" t="s">
        <v>363</v>
      </c>
      <c r="R432" s="89"/>
      <c r="S432" s="93"/>
      <c r="T432" s="25"/>
      <c r="U432" s="25"/>
      <c r="V432" s="25"/>
      <c r="W432" s="27"/>
      <c r="X432" s="27" t="s">
        <v>615</v>
      </c>
      <c r="Y432" s="27" t="s">
        <v>624</v>
      </c>
      <c r="Z432" s="27"/>
    </row>
    <row r="433" spans="1:26" s="1" customFormat="1" ht="43.5" hidden="1">
      <c r="A433" s="18" t="s">
        <v>307</v>
      </c>
      <c r="B433" s="180">
        <v>16</v>
      </c>
      <c r="C433" s="184" t="s">
        <v>1673</v>
      </c>
      <c r="D433" s="182" t="s">
        <v>1786</v>
      </c>
      <c r="E433" s="201" t="s">
        <v>1787</v>
      </c>
      <c r="F433" s="88" t="s">
        <v>1810</v>
      </c>
      <c r="G433" s="88"/>
      <c r="H433" s="88"/>
      <c r="I433" s="88"/>
      <c r="J433" s="212" t="s">
        <v>1811</v>
      </c>
      <c r="K433" s="80" t="s">
        <v>1812</v>
      </c>
      <c r="L433" s="20" t="s">
        <v>54</v>
      </c>
      <c r="M433" s="27"/>
      <c r="N433" s="390" t="s">
        <v>1817</v>
      </c>
      <c r="O433" s="25"/>
      <c r="P433" s="25"/>
      <c r="Q433" s="27" t="s">
        <v>363</v>
      </c>
      <c r="R433" s="89"/>
      <c r="S433" s="93"/>
      <c r="T433" s="25"/>
      <c r="U433" s="25"/>
      <c r="V433" s="25"/>
      <c r="W433" s="27"/>
      <c r="X433" s="27" t="s">
        <v>615</v>
      </c>
      <c r="Y433" s="27" t="s">
        <v>624</v>
      </c>
      <c r="Z433" s="27"/>
    </row>
    <row r="434" spans="1:26" s="1" customFormat="1" ht="43.5" hidden="1">
      <c r="A434" s="18" t="s">
        <v>307</v>
      </c>
      <c r="B434" s="180">
        <v>16</v>
      </c>
      <c r="C434" s="184" t="s">
        <v>1673</v>
      </c>
      <c r="D434" s="182" t="s">
        <v>1786</v>
      </c>
      <c r="E434" s="201" t="s">
        <v>1787</v>
      </c>
      <c r="F434" s="88" t="s">
        <v>1810</v>
      </c>
      <c r="G434" s="88"/>
      <c r="H434" s="88"/>
      <c r="I434" s="88"/>
      <c r="J434" s="212" t="s">
        <v>1811</v>
      </c>
      <c r="K434" s="80" t="s">
        <v>1812</v>
      </c>
      <c r="L434" s="20" t="s">
        <v>54</v>
      </c>
      <c r="M434" s="27"/>
      <c r="N434" s="390" t="s">
        <v>1818</v>
      </c>
      <c r="O434" s="25"/>
      <c r="P434" s="25"/>
      <c r="Q434" s="27" t="s">
        <v>363</v>
      </c>
      <c r="R434" s="89"/>
      <c r="S434" s="93"/>
      <c r="T434" s="25"/>
      <c r="U434" s="25"/>
      <c r="V434" s="25"/>
      <c r="W434" s="27"/>
      <c r="X434" s="27" t="s">
        <v>615</v>
      </c>
      <c r="Y434" s="27" t="s">
        <v>624</v>
      </c>
      <c r="Z434" s="27"/>
    </row>
    <row r="435" spans="1:26" s="1" customFormat="1" ht="43.5" hidden="1">
      <c r="A435" s="18" t="s">
        <v>307</v>
      </c>
      <c r="B435" s="180">
        <v>16</v>
      </c>
      <c r="C435" s="184" t="s">
        <v>1673</v>
      </c>
      <c r="D435" s="182" t="s">
        <v>1786</v>
      </c>
      <c r="E435" s="201" t="s">
        <v>1787</v>
      </c>
      <c r="F435" s="88" t="s">
        <v>1810</v>
      </c>
      <c r="G435" s="88"/>
      <c r="H435" s="88"/>
      <c r="I435" s="88"/>
      <c r="J435" s="212" t="s">
        <v>1811</v>
      </c>
      <c r="K435" s="80" t="s">
        <v>1812</v>
      </c>
      <c r="L435" s="20" t="s">
        <v>54</v>
      </c>
      <c r="M435" s="27"/>
      <c r="N435" s="390" t="s">
        <v>1819</v>
      </c>
      <c r="O435" s="25"/>
      <c r="P435" s="25"/>
      <c r="Q435" s="27" t="s">
        <v>363</v>
      </c>
      <c r="R435" s="89"/>
      <c r="S435" s="93"/>
      <c r="T435" s="25"/>
      <c r="U435" s="25"/>
      <c r="V435" s="25"/>
      <c r="W435" s="27"/>
      <c r="X435" s="27" t="s">
        <v>615</v>
      </c>
      <c r="Y435" s="27" t="s">
        <v>624</v>
      </c>
      <c r="Z435" s="27"/>
    </row>
    <row r="436" spans="1:26" s="1" customFormat="1" ht="43.5" hidden="1">
      <c r="A436" s="18" t="s">
        <v>307</v>
      </c>
      <c r="B436" s="180">
        <v>16</v>
      </c>
      <c r="C436" s="184" t="s">
        <v>1673</v>
      </c>
      <c r="D436" s="182" t="s">
        <v>1786</v>
      </c>
      <c r="E436" s="201" t="s">
        <v>1787</v>
      </c>
      <c r="F436" s="88" t="s">
        <v>1810</v>
      </c>
      <c r="G436" s="88"/>
      <c r="H436" s="88"/>
      <c r="I436" s="88"/>
      <c r="J436" s="212" t="s">
        <v>1811</v>
      </c>
      <c r="K436" s="80" t="s">
        <v>1812</v>
      </c>
      <c r="L436" s="20" t="s">
        <v>54</v>
      </c>
      <c r="M436" s="27"/>
      <c r="N436" s="390" t="s">
        <v>1820</v>
      </c>
      <c r="O436" s="25"/>
      <c r="P436" s="25"/>
      <c r="Q436" s="27" t="s">
        <v>363</v>
      </c>
      <c r="R436" s="89"/>
      <c r="S436" s="93"/>
      <c r="T436" s="25"/>
      <c r="U436" s="25"/>
      <c r="V436" s="25"/>
      <c r="W436" s="27"/>
      <c r="X436" s="27" t="s">
        <v>615</v>
      </c>
      <c r="Y436" s="27" t="s">
        <v>624</v>
      </c>
      <c r="Z436" s="27"/>
    </row>
    <row r="437" spans="1:26" s="1" customFormat="1" ht="43.5" hidden="1">
      <c r="A437" s="18" t="s">
        <v>307</v>
      </c>
      <c r="B437" s="180">
        <v>16</v>
      </c>
      <c r="C437" s="184" t="s">
        <v>1673</v>
      </c>
      <c r="D437" s="182" t="s">
        <v>1786</v>
      </c>
      <c r="E437" s="201" t="s">
        <v>1787</v>
      </c>
      <c r="F437" s="88" t="s">
        <v>1810</v>
      </c>
      <c r="G437" s="88"/>
      <c r="H437" s="88"/>
      <c r="I437" s="88"/>
      <c r="J437" s="212" t="s">
        <v>1811</v>
      </c>
      <c r="K437" s="80" t="s">
        <v>1812</v>
      </c>
      <c r="L437" s="20" t="s">
        <v>54</v>
      </c>
      <c r="M437" s="27"/>
      <c r="N437" s="390" t="s">
        <v>1821</v>
      </c>
      <c r="O437" s="25"/>
      <c r="P437" s="25"/>
      <c r="Q437" s="27" t="s">
        <v>363</v>
      </c>
      <c r="R437" s="89"/>
      <c r="S437" s="93"/>
      <c r="T437" s="25"/>
      <c r="U437" s="25"/>
      <c r="V437" s="25"/>
      <c r="W437" s="27"/>
      <c r="X437" s="27" t="s">
        <v>615</v>
      </c>
      <c r="Y437" s="27" t="s">
        <v>624</v>
      </c>
      <c r="Z437" s="27"/>
    </row>
    <row r="438" spans="1:26" s="1" customFormat="1" ht="43.5" hidden="1">
      <c r="A438" s="18" t="s">
        <v>307</v>
      </c>
      <c r="B438" s="180">
        <v>16</v>
      </c>
      <c r="C438" s="184" t="s">
        <v>1673</v>
      </c>
      <c r="D438" s="182" t="s">
        <v>1786</v>
      </c>
      <c r="E438" s="201" t="s">
        <v>1787</v>
      </c>
      <c r="F438" s="88" t="s">
        <v>1810</v>
      </c>
      <c r="G438" s="88"/>
      <c r="H438" s="88"/>
      <c r="I438" s="88"/>
      <c r="J438" s="212" t="s">
        <v>1811</v>
      </c>
      <c r="K438" s="80" t="s">
        <v>1812</v>
      </c>
      <c r="L438" s="20" t="s">
        <v>54</v>
      </c>
      <c r="M438" s="27"/>
      <c r="N438" s="390" t="s">
        <v>1822</v>
      </c>
      <c r="O438" s="25"/>
      <c r="P438" s="25"/>
      <c r="Q438" s="27" t="s">
        <v>363</v>
      </c>
      <c r="R438" s="89"/>
      <c r="S438" s="93"/>
      <c r="T438" s="25"/>
      <c r="U438" s="25"/>
      <c r="V438" s="25"/>
      <c r="W438" s="27"/>
      <c r="X438" s="27" t="s">
        <v>615</v>
      </c>
      <c r="Y438" s="27" t="s">
        <v>624</v>
      </c>
      <c r="Z438" s="27"/>
    </row>
    <row r="439" spans="1:26" s="1" customFormat="1" ht="43.5" hidden="1">
      <c r="A439" s="18" t="s">
        <v>307</v>
      </c>
      <c r="B439" s="180">
        <v>16</v>
      </c>
      <c r="C439" s="184" t="s">
        <v>1673</v>
      </c>
      <c r="D439" s="182" t="s">
        <v>1786</v>
      </c>
      <c r="E439" s="201" t="s">
        <v>1787</v>
      </c>
      <c r="F439" s="88" t="s">
        <v>1810</v>
      </c>
      <c r="G439" s="88"/>
      <c r="H439" s="88"/>
      <c r="I439" s="88"/>
      <c r="J439" s="212" t="s">
        <v>1811</v>
      </c>
      <c r="K439" s="80" t="s">
        <v>1812</v>
      </c>
      <c r="L439" s="20" t="s">
        <v>54</v>
      </c>
      <c r="M439" s="27"/>
      <c r="N439" s="390" t="s">
        <v>1823</v>
      </c>
      <c r="O439" s="25"/>
      <c r="P439" s="25"/>
      <c r="Q439" s="27" t="s">
        <v>363</v>
      </c>
      <c r="R439" s="89"/>
      <c r="S439" s="93"/>
      <c r="T439" s="25"/>
      <c r="U439" s="25"/>
      <c r="V439" s="25"/>
      <c r="W439" s="27"/>
      <c r="X439" s="27" t="s">
        <v>615</v>
      </c>
      <c r="Y439" s="27" t="s">
        <v>1013</v>
      </c>
      <c r="Z439" s="27"/>
    </row>
    <row r="440" spans="1:26" s="1" customFormat="1" ht="43.5" hidden="1">
      <c r="A440" s="18" t="s">
        <v>307</v>
      </c>
      <c r="B440" s="180">
        <v>16</v>
      </c>
      <c r="C440" s="184" t="s">
        <v>1673</v>
      </c>
      <c r="D440" s="182" t="s">
        <v>1786</v>
      </c>
      <c r="E440" s="201" t="s">
        <v>1787</v>
      </c>
      <c r="F440" s="88" t="s">
        <v>1810</v>
      </c>
      <c r="G440" s="88"/>
      <c r="H440" s="88"/>
      <c r="I440" s="88"/>
      <c r="J440" s="212" t="s">
        <v>1811</v>
      </c>
      <c r="K440" s="80" t="s">
        <v>1812</v>
      </c>
      <c r="L440" s="20" t="s">
        <v>54</v>
      </c>
      <c r="M440" s="27"/>
      <c r="N440" s="390" t="s">
        <v>1824</v>
      </c>
      <c r="O440" s="25"/>
      <c r="P440" s="25"/>
      <c r="Q440" s="27" t="s">
        <v>363</v>
      </c>
      <c r="R440" s="89"/>
      <c r="S440" s="93"/>
      <c r="T440" s="25"/>
      <c r="U440" s="25"/>
      <c r="V440" s="25"/>
      <c r="W440" s="27"/>
      <c r="X440" s="27" t="s">
        <v>615</v>
      </c>
      <c r="Y440" s="27" t="s">
        <v>624</v>
      </c>
      <c r="Z440" s="27"/>
    </row>
    <row r="441" spans="1:26" s="1" customFormat="1" ht="43.5" hidden="1">
      <c r="A441" s="18" t="s">
        <v>307</v>
      </c>
      <c r="B441" s="180">
        <v>16</v>
      </c>
      <c r="C441" s="184" t="s">
        <v>1673</v>
      </c>
      <c r="D441" s="182" t="s">
        <v>1786</v>
      </c>
      <c r="E441" s="201" t="s">
        <v>1787</v>
      </c>
      <c r="F441" s="88" t="s">
        <v>1810</v>
      </c>
      <c r="G441" s="88"/>
      <c r="H441" s="88"/>
      <c r="I441" s="88"/>
      <c r="J441" s="212" t="s">
        <v>1811</v>
      </c>
      <c r="K441" s="80" t="s">
        <v>1812</v>
      </c>
      <c r="L441" s="20" t="s">
        <v>54</v>
      </c>
      <c r="M441" s="27"/>
      <c r="N441" s="390" t="s">
        <v>1825</v>
      </c>
      <c r="O441" s="25"/>
      <c r="P441" s="25"/>
      <c r="Q441" s="27" t="s">
        <v>363</v>
      </c>
      <c r="R441" s="89"/>
      <c r="S441" s="93"/>
      <c r="T441" s="25"/>
      <c r="U441" s="25"/>
      <c r="V441" s="25"/>
      <c r="W441" s="27"/>
      <c r="X441" s="27" t="s">
        <v>615</v>
      </c>
      <c r="Y441" s="27" t="s">
        <v>624</v>
      </c>
      <c r="Z441" s="27"/>
    </row>
    <row r="442" spans="1:26" s="1" customFormat="1" ht="43.5" hidden="1">
      <c r="A442" s="18" t="s">
        <v>307</v>
      </c>
      <c r="B442" s="180">
        <v>16</v>
      </c>
      <c r="C442" s="184" t="s">
        <v>1673</v>
      </c>
      <c r="D442" s="182" t="s">
        <v>1786</v>
      </c>
      <c r="E442" s="201" t="s">
        <v>1787</v>
      </c>
      <c r="F442" s="88" t="s">
        <v>1810</v>
      </c>
      <c r="G442" s="88"/>
      <c r="H442" s="88"/>
      <c r="I442" s="88"/>
      <c r="J442" s="212" t="s">
        <v>1811</v>
      </c>
      <c r="K442" s="80" t="s">
        <v>1812</v>
      </c>
      <c r="L442" s="20" t="s">
        <v>54</v>
      </c>
      <c r="M442" s="27"/>
      <c r="N442" s="390" t="s">
        <v>1826</v>
      </c>
      <c r="O442" s="25"/>
      <c r="P442" s="25"/>
      <c r="Q442" s="27" t="s">
        <v>363</v>
      </c>
      <c r="R442" s="89"/>
      <c r="S442" s="93"/>
      <c r="T442" s="25"/>
      <c r="U442" s="25"/>
      <c r="V442" s="25"/>
      <c r="W442" s="27"/>
      <c r="X442" s="27" t="s">
        <v>615</v>
      </c>
      <c r="Y442" s="27" t="s">
        <v>624</v>
      </c>
      <c r="Z442" s="27"/>
    </row>
    <row r="443" spans="1:26" s="1" customFormat="1" ht="43.5" hidden="1">
      <c r="A443" s="18" t="s">
        <v>307</v>
      </c>
      <c r="B443" s="180">
        <v>16</v>
      </c>
      <c r="C443" s="184" t="s">
        <v>1673</v>
      </c>
      <c r="D443" s="182" t="s">
        <v>1786</v>
      </c>
      <c r="E443" s="201" t="s">
        <v>1787</v>
      </c>
      <c r="F443" s="88" t="s">
        <v>1810</v>
      </c>
      <c r="G443" s="88"/>
      <c r="H443" s="88"/>
      <c r="I443" s="88"/>
      <c r="J443" s="212" t="s">
        <v>1811</v>
      </c>
      <c r="K443" s="80" t="s">
        <v>1812</v>
      </c>
      <c r="L443" s="20" t="s">
        <v>54</v>
      </c>
      <c r="M443" s="27"/>
      <c r="N443" s="390" t="s">
        <v>1827</v>
      </c>
      <c r="O443" s="25"/>
      <c r="P443" s="25"/>
      <c r="Q443" s="27" t="s">
        <v>363</v>
      </c>
      <c r="R443" s="89"/>
      <c r="S443" s="93"/>
      <c r="T443" s="25"/>
      <c r="U443" s="25"/>
      <c r="V443" s="25"/>
      <c r="W443" s="27"/>
      <c r="X443" s="27" t="s">
        <v>615</v>
      </c>
      <c r="Y443" s="27" t="s">
        <v>624</v>
      </c>
      <c r="Z443" s="27"/>
    </row>
    <row r="444" spans="1:26" s="1" customFormat="1" ht="43.5" hidden="1">
      <c r="A444" s="18" t="s">
        <v>307</v>
      </c>
      <c r="B444" s="180">
        <v>16</v>
      </c>
      <c r="C444" s="184" t="s">
        <v>1673</v>
      </c>
      <c r="D444" s="182" t="s">
        <v>1786</v>
      </c>
      <c r="E444" s="201" t="s">
        <v>1787</v>
      </c>
      <c r="F444" s="88" t="s">
        <v>1810</v>
      </c>
      <c r="G444" s="88"/>
      <c r="H444" s="88"/>
      <c r="I444" s="88"/>
      <c r="J444" s="212" t="s">
        <v>1811</v>
      </c>
      <c r="K444" s="80" t="s">
        <v>1812</v>
      </c>
      <c r="L444" s="20" t="s">
        <v>54</v>
      </c>
      <c r="M444" s="27"/>
      <c r="N444" s="390" t="s">
        <v>1828</v>
      </c>
      <c r="O444" s="25"/>
      <c r="P444" s="25"/>
      <c r="Q444" s="27" t="s">
        <v>363</v>
      </c>
      <c r="R444" s="89"/>
      <c r="S444" s="93"/>
      <c r="T444" s="25"/>
      <c r="U444" s="25"/>
      <c r="V444" s="25"/>
      <c r="W444" s="27"/>
      <c r="X444" s="27" t="s">
        <v>615</v>
      </c>
      <c r="Y444" s="27" t="s">
        <v>1013</v>
      </c>
      <c r="Z444" s="27"/>
    </row>
    <row r="445" spans="1:26" s="1" customFormat="1" ht="43.5" hidden="1">
      <c r="A445" s="18" t="s">
        <v>307</v>
      </c>
      <c r="B445" s="180">
        <v>16</v>
      </c>
      <c r="C445" s="184" t="s">
        <v>1673</v>
      </c>
      <c r="D445" s="182" t="s">
        <v>1786</v>
      </c>
      <c r="E445" s="201" t="s">
        <v>1787</v>
      </c>
      <c r="F445" s="88" t="s">
        <v>1810</v>
      </c>
      <c r="G445" s="88"/>
      <c r="H445" s="88"/>
      <c r="I445" s="88"/>
      <c r="J445" s="212" t="s">
        <v>1811</v>
      </c>
      <c r="K445" s="80" t="s">
        <v>1812</v>
      </c>
      <c r="L445" s="20" t="s">
        <v>54</v>
      </c>
      <c r="M445" s="27"/>
      <c r="N445" s="390" t="s">
        <v>1829</v>
      </c>
      <c r="O445" s="25"/>
      <c r="P445" s="25"/>
      <c r="Q445" s="27" t="s">
        <v>363</v>
      </c>
      <c r="R445" s="89"/>
      <c r="S445" s="93"/>
      <c r="T445" s="25"/>
      <c r="U445" s="25"/>
      <c r="V445" s="25"/>
      <c r="W445" s="27"/>
      <c r="X445" s="338" t="s">
        <v>1666</v>
      </c>
      <c r="Y445" s="338" t="s">
        <v>1755</v>
      </c>
      <c r="Z445" s="27"/>
    </row>
    <row r="446" spans="1:26" s="1" customFormat="1" ht="188.45">
      <c r="A446" s="18" t="s">
        <v>307</v>
      </c>
      <c r="B446" s="180">
        <v>16</v>
      </c>
      <c r="C446" s="184" t="s">
        <v>1673</v>
      </c>
      <c r="D446" s="190" t="s">
        <v>1830</v>
      </c>
      <c r="E446" s="191" t="s">
        <v>1831</v>
      </c>
      <c r="F446" s="88" t="s">
        <v>1832</v>
      </c>
      <c r="G446" s="88" t="s">
        <v>1833</v>
      </c>
      <c r="H446" s="372" t="s">
        <v>348</v>
      </c>
      <c r="I446" s="372" t="s">
        <v>377</v>
      </c>
      <c r="J446" s="373" t="str">
        <f>G446</f>
        <v>Millorar l'accessibilitat i de la gestió documental i digital de l'ENP</v>
      </c>
      <c r="K446" s="20"/>
      <c r="L446" s="20" t="s">
        <v>54</v>
      </c>
      <c r="M446" s="27" t="s">
        <v>712</v>
      </c>
      <c r="N446" s="390" t="s">
        <v>1834</v>
      </c>
      <c r="O446" s="25"/>
      <c r="P446" s="25"/>
      <c r="Q446" s="20" t="s">
        <v>1835</v>
      </c>
      <c r="R446" s="89"/>
      <c r="S446" s="89" t="s">
        <v>1836</v>
      </c>
      <c r="T446" s="20" t="s">
        <v>1837</v>
      </c>
      <c r="U446" s="435" t="s">
        <v>1838</v>
      </c>
      <c r="V446" s="435" t="s">
        <v>1839</v>
      </c>
      <c r="W446" s="27"/>
      <c r="X446" s="27" t="s">
        <v>632</v>
      </c>
      <c r="Y446" s="27" t="s">
        <v>1013</v>
      </c>
      <c r="Z446" s="27"/>
    </row>
    <row r="447" spans="1:26" s="1" customFormat="1" ht="43.5" hidden="1">
      <c r="A447" s="18" t="s">
        <v>307</v>
      </c>
      <c r="B447" s="180">
        <v>16</v>
      </c>
      <c r="C447" s="184" t="s">
        <v>1673</v>
      </c>
      <c r="D447" s="190" t="s">
        <v>1830</v>
      </c>
      <c r="E447" s="191" t="s">
        <v>1831</v>
      </c>
      <c r="F447" s="88" t="s">
        <v>1832</v>
      </c>
      <c r="G447" s="88" t="s">
        <v>1833</v>
      </c>
      <c r="H447" s="372" t="s">
        <v>348</v>
      </c>
      <c r="I447" s="372" t="s">
        <v>377</v>
      </c>
      <c r="J447" s="373" t="str">
        <f>G447</f>
        <v>Millorar l'accessibilitat i de la gestió documental i digital de l'ENP</v>
      </c>
      <c r="K447" s="20"/>
      <c r="L447" s="20" t="s">
        <v>54</v>
      </c>
      <c r="M447" s="27"/>
      <c r="N447" s="390" t="s">
        <v>1840</v>
      </c>
      <c r="O447" s="25"/>
      <c r="P447" s="25"/>
      <c r="Q447" s="27" t="s">
        <v>363</v>
      </c>
      <c r="R447" s="89"/>
      <c r="S447" s="89"/>
      <c r="T447" s="25"/>
      <c r="U447" s="25"/>
      <c r="V447" s="25"/>
      <c r="W447" s="27"/>
      <c r="X447" s="27" t="s">
        <v>632</v>
      </c>
      <c r="Y447" s="27" t="s">
        <v>1013</v>
      </c>
      <c r="Z447" s="27"/>
    </row>
    <row r="448" spans="1:26" s="1" customFormat="1" ht="43.5" hidden="1">
      <c r="A448" s="18" t="s">
        <v>307</v>
      </c>
      <c r="B448" s="180">
        <v>16</v>
      </c>
      <c r="C448" s="184" t="s">
        <v>1673</v>
      </c>
      <c r="D448" s="190" t="s">
        <v>1830</v>
      </c>
      <c r="E448" s="191" t="s">
        <v>1831</v>
      </c>
      <c r="F448" s="88" t="s">
        <v>1832</v>
      </c>
      <c r="G448" s="88" t="s">
        <v>1833</v>
      </c>
      <c r="H448" s="372" t="s">
        <v>348</v>
      </c>
      <c r="I448" s="372" t="s">
        <v>377</v>
      </c>
      <c r="J448" s="373" t="str">
        <f>G448</f>
        <v>Millorar l'accessibilitat i de la gestió documental i digital de l'ENP</v>
      </c>
      <c r="K448" s="20"/>
      <c r="L448" s="20" t="s">
        <v>54</v>
      </c>
      <c r="M448" s="27"/>
      <c r="N448" s="390" t="s">
        <v>1841</v>
      </c>
      <c r="O448" s="25"/>
      <c r="P448" s="25"/>
      <c r="Q448" s="27" t="s">
        <v>363</v>
      </c>
      <c r="R448" s="89"/>
      <c r="S448" s="89"/>
      <c r="T448" s="25"/>
      <c r="U448" s="25"/>
      <c r="V448" s="25"/>
      <c r="W448" s="27"/>
      <c r="X448" s="27" t="s">
        <v>632</v>
      </c>
      <c r="Y448" s="27" t="s">
        <v>1013</v>
      </c>
      <c r="Z448" s="27"/>
    </row>
    <row r="449" spans="1:26" s="1" customFormat="1" ht="43.5" hidden="1">
      <c r="A449" s="18" t="s">
        <v>307</v>
      </c>
      <c r="B449" s="180">
        <v>16</v>
      </c>
      <c r="C449" s="184" t="s">
        <v>1673</v>
      </c>
      <c r="D449" s="187" t="s">
        <v>1830</v>
      </c>
      <c r="E449" s="201" t="s">
        <v>1831</v>
      </c>
      <c r="F449" s="88" t="s">
        <v>1832</v>
      </c>
      <c r="G449" s="88" t="s">
        <v>1833</v>
      </c>
      <c r="H449" s="372" t="s">
        <v>348</v>
      </c>
      <c r="I449" s="372" t="s">
        <v>377</v>
      </c>
      <c r="J449" s="373" t="str">
        <f>G449</f>
        <v>Millorar l'accessibilitat i de la gestió documental i digital de l'ENP</v>
      </c>
      <c r="K449" s="20"/>
      <c r="L449" s="20" t="s">
        <v>54</v>
      </c>
      <c r="M449" s="27"/>
      <c r="N449" s="390" t="s">
        <v>1842</v>
      </c>
      <c r="O449" s="25"/>
      <c r="P449" s="25"/>
      <c r="Q449" s="27" t="s">
        <v>363</v>
      </c>
      <c r="R449" s="89"/>
      <c r="S449" s="89"/>
      <c r="T449" s="25"/>
      <c r="U449" s="25"/>
      <c r="V449" s="25"/>
      <c r="W449" s="27"/>
      <c r="X449" s="89" t="s">
        <v>632</v>
      </c>
      <c r="Y449" s="89" t="s">
        <v>1755</v>
      </c>
      <c r="Z449" s="27"/>
    </row>
    <row r="450" spans="1:26" s="1" customFormat="1" ht="43.5" hidden="1">
      <c r="A450" s="18" t="s">
        <v>307</v>
      </c>
      <c r="B450" s="180">
        <v>16</v>
      </c>
      <c r="C450" s="184" t="s">
        <v>1673</v>
      </c>
      <c r="D450" s="187" t="s">
        <v>1830</v>
      </c>
      <c r="E450" s="201" t="s">
        <v>1831</v>
      </c>
      <c r="F450" s="88" t="s">
        <v>1832</v>
      </c>
      <c r="G450" s="88" t="s">
        <v>1833</v>
      </c>
      <c r="H450" s="372" t="s">
        <v>348</v>
      </c>
      <c r="I450" s="372" t="s">
        <v>377</v>
      </c>
      <c r="J450" s="373" t="str">
        <f t="shared" ref="J450:J458" si="15">G450</f>
        <v>Millorar l'accessibilitat i de la gestió documental i digital de l'ENP</v>
      </c>
      <c r="K450" s="20"/>
      <c r="L450" s="20" t="s">
        <v>54</v>
      </c>
      <c r="M450" s="27"/>
      <c r="N450" s="390" t="s">
        <v>1843</v>
      </c>
      <c r="O450" s="25"/>
      <c r="P450" s="25"/>
      <c r="Q450" s="27" t="s">
        <v>363</v>
      </c>
      <c r="R450" s="89"/>
      <c r="S450" s="89"/>
      <c r="T450" s="25"/>
      <c r="U450" s="25"/>
      <c r="V450" s="25"/>
      <c r="W450" s="27"/>
      <c r="X450" s="27" t="s">
        <v>632</v>
      </c>
      <c r="Y450" s="27" t="s">
        <v>1013</v>
      </c>
      <c r="Z450" s="27"/>
    </row>
    <row r="451" spans="1:26" s="1" customFormat="1" ht="43.5" hidden="1">
      <c r="A451" s="18" t="s">
        <v>307</v>
      </c>
      <c r="B451" s="180">
        <v>16</v>
      </c>
      <c r="C451" s="184" t="s">
        <v>1673</v>
      </c>
      <c r="D451" s="187" t="s">
        <v>1830</v>
      </c>
      <c r="E451" s="201" t="s">
        <v>1831</v>
      </c>
      <c r="F451" s="88" t="s">
        <v>1832</v>
      </c>
      <c r="G451" s="88" t="s">
        <v>1833</v>
      </c>
      <c r="H451" s="372" t="s">
        <v>348</v>
      </c>
      <c r="I451" s="372" t="s">
        <v>377</v>
      </c>
      <c r="J451" s="373" t="str">
        <f t="shared" si="15"/>
        <v>Millorar l'accessibilitat i de la gestió documental i digital de l'ENP</v>
      </c>
      <c r="K451" s="20"/>
      <c r="L451" s="20" t="s">
        <v>54</v>
      </c>
      <c r="M451" s="27"/>
      <c r="N451" s="390" t="s">
        <v>1844</v>
      </c>
      <c r="O451" s="25"/>
      <c r="P451" s="25"/>
      <c r="Q451" s="27" t="s">
        <v>363</v>
      </c>
      <c r="R451" s="89"/>
      <c r="S451" s="89"/>
      <c r="T451" s="25"/>
      <c r="U451" s="25"/>
      <c r="V451" s="25"/>
      <c r="W451" s="27"/>
      <c r="X451" s="27" t="s">
        <v>632</v>
      </c>
      <c r="Y451" s="27" t="s">
        <v>1013</v>
      </c>
      <c r="Z451" s="27"/>
    </row>
    <row r="452" spans="1:26" s="1" customFormat="1" ht="43.5" hidden="1">
      <c r="A452" s="18" t="s">
        <v>307</v>
      </c>
      <c r="B452" s="180">
        <v>16</v>
      </c>
      <c r="C452" s="184" t="s">
        <v>1673</v>
      </c>
      <c r="D452" s="187" t="s">
        <v>1830</v>
      </c>
      <c r="E452" s="201" t="s">
        <v>1831</v>
      </c>
      <c r="F452" s="88" t="s">
        <v>1832</v>
      </c>
      <c r="G452" s="88" t="s">
        <v>1833</v>
      </c>
      <c r="H452" s="372" t="s">
        <v>348</v>
      </c>
      <c r="I452" s="372" t="s">
        <v>377</v>
      </c>
      <c r="J452" s="373" t="str">
        <f t="shared" si="15"/>
        <v>Millorar l'accessibilitat i de la gestió documental i digital de l'ENP</v>
      </c>
      <c r="K452" s="20"/>
      <c r="L452" s="20" t="s">
        <v>54</v>
      </c>
      <c r="M452" s="27"/>
      <c r="N452" s="390" t="s">
        <v>1845</v>
      </c>
      <c r="O452" s="25"/>
      <c r="P452" s="25"/>
      <c r="Q452" s="27" t="s">
        <v>363</v>
      </c>
      <c r="R452" s="89"/>
      <c r="S452" s="89"/>
      <c r="T452" s="25"/>
      <c r="U452" s="25"/>
      <c r="V452" s="25"/>
      <c r="W452" s="27"/>
      <c r="X452" s="27" t="s">
        <v>632</v>
      </c>
      <c r="Y452" s="27" t="s">
        <v>1013</v>
      </c>
      <c r="Z452" s="27"/>
    </row>
    <row r="453" spans="1:26" s="1" customFormat="1" ht="43.5" hidden="1">
      <c r="A453" s="18" t="s">
        <v>307</v>
      </c>
      <c r="B453" s="180">
        <v>16</v>
      </c>
      <c r="C453" s="184" t="s">
        <v>1673</v>
      </c>
      <c r="D453" s="187" t="s">
        <v>1830</v>
      </c>
      <c r="E453" s="201" t="s">
        <v>1831</v>
      </c>
      <c r="F453" s="88" t="s">
        <v>1832</v>
      </c>
      <c r="G453" s="88" t="s">
        <v>1833</v>
      </c>
      <c r="H453" s="372" t="s">
        <v>348</v>
      </c>
      <c r="I453" s="372" t="s">
        <v>377</v>
      </c>
      <c r="J453" s="373" t="str">
        <f t="shared" si="15"/>
        <v>Millorar l'accessibilitat i de la gestió documental i digital de l'ENP</v>
      </c>
      <c r="K453" s="20"/>
      <c r="L453" s="20" t="s">
        <v>54</v>
      </c>
      <c r="M453" s="27"/>
      <c r="N453" s="390" t="s">
        <v>1846</v>
      </c>
      <c r="O453" s="25"/>
      <c r="P453" s="25"/>
      <c r="Q453" s="27" t="s">
        <v>363</v>
      </c>
      <c r="R453" s="89"/>
      <c r="S453" s="89"/>
      <c r="T453" s="25"/>
      <c r="U453" s="25"/>
      <c r="V453" s="25"/>
      <c r="W453" s="27"/>
      <c r="X453" s="27" t="s">
        <v>632</v>
      </c>
      <c r="Y453" s="27" t="s">
        <v>1013</v>
      </c>
      <c r="Z453" s="27"/>
    </row>
    <row r="454" spans="1:26" s="1" customFormat="1" ht="43.5" hidden="1">
      <c r="A454" s="18" t="s">
        <v>307</v>
      </c>
      <c r="B454" s="180">
        <v>16</v>
      </c>
      <c r="C454" s="184" t="s">
        <v>1673</v>
      </c>
      <c r="D454" s="187" t="s">
        <v>1830</v>
      </c>
      <c r="E454" s="201" t="s">
        <v>1831</v>
      </c>
      <c r="F454" s="88" t="s">
        <v>1832</v>
      </c>
      <c r="G454" s="88" t="s">
        <v>1833</v>
      </c>
      <c r="H454" s="372" t="s">
        <v>348</v>
      </c>
      <c r="I454" s="372" t="s">
        <v>377</v>
      </c>
      <c r="J454" s="373" t="str">
        <f t="shared" si="15"/>
        <v>Millorar l'accessibilitat i de la gestió documental i digital de l'ENP</v>
      </c>
      <c r="K454" s="20"/>
      <c r="L454" s="20" t="s">
        <v>54</v>
      </c>
      <c r="M454" s="27"/>
      <c r="N454" s="390" t="s">
        <v>1847</v>
      </c>
      <c r="O454" s="25"/>
      <c r="P454" s="25"/>
      <c r="Q454" s="27" t="s">
        <v>363</v>
      </c>
      <c r="R454" s="89"/>
      <c r="S454" s="89"/>
      <c r="T454" s="25"/>
      <c r="U454" s="25"/>
      <c r="V454" s="25"/>
      <c r="W454" s="27"/>
      <c r="X454" s="27" t="s">
        <v>632</v>
      </c>
      <c r="Y454" s="27" t="s">
        <v>1013</v>
      </c>
      <c r="Z454" s="27"/>
    </row>
    <row r="455" spans="1:26" s="1" customFormat="1" ht="43.5" hidden="1">
      <c r="A455" s="18" t="s">
        <v>307</v>
      </c>
      <c r="B455" s="180">
        <v>16</v>
      </c>
      <c r="C455" s="184" t="s">
        <v>1673</v>
      </c>
      <c r="D455" s="187" t="s">
        <v>1830</v>
      </c>
      <c r="E455" s="201" t="s">
        <v>1831</v>
      </c>
      <c r="F455" s="88" t="s">
        <v>1832</v>
      </c>
      <c r="G455" s="88" t="s">
        <v>1833</v>
      </c>
      <c r="H455" s="372" t="s">
        <v>348</v>
      </c>
      <c r="I455" s="372" t="s">
        <v>377</v>
      </c>
      <c r="J455" s="373" t="str">
        <f t="shared" si="15"/>
        <v>Millorar l'accessibilitat i de la gestió documental i digital de l'ENP</v>
      </c>
      <c r="K455" s="20"/>
      <c r="L455" s="20" t="s">
        <v>54</v>
      </c>
      <c r="M455" s="27"/>
      <c r="N455" s="390" t="s">
        <v>1848</v>
      </c>
      <c r="O455" s="25"/>
      <c r="P455" s="25"/>
      <c r="Q455" s="27" t="s">
        <v>363</v>
      </c>
      <c r="R455" s="89"/>
      <c r="S455" s="89"/>
      <c r="T455" s="25"/>
      <c r="U455" s="25"/>
      <c r="V455" s="25"/>
      <c r="W455" s="27"/>
      <c r="X455" s="27" t="s">
        <v>632</v>
      </c>
      <c r="Y455" s="27" t="s">
        <v>1013</v>
      </c>
      <c r="Z455" s="27"/>
    </row>
    <row r="456" spans="1:26" s="1" customFormat="1" ht="43.5" hidden="1">
      <c r="A456" s="18" t="s">
        <v>307</v>
      </c>
      <c r="B456" s="180">
        <v>16</v>
      </c>
      <c r="C456" s="184" t="s">
        <v>1673</v>
      </c>
      <c r="D456" s="187" t="s">
        <v>1830</v>
      </c>
      <c r="E456" s="201" t="s">
        <v>1831</v>
      </c>
      <c r="F456" s="88" t="s">
        <v>1832</v>
      </c>
      <c r="G456" s="88" t="s">
        <v>1833</v>
      </c>
      <c r="H456" s="372" t="s">
        <v>348</v>
      </c>
      <c r="I456" s="372" t="s">
        <v>377</v>
      </c>
      <c r="J456" s="373" t="str">
        <f t="shared" si="15"/>
        <v>Millorar l'accessibilitat i de la gestió documental i digital de l'ENP</v>
      </c>
      <c r="K456" s="20"/>
      <c r="L456" s="20" t="s">
        <v>54</v>
      </c>
      <c r="M456" s="27"/>
      <c r="N456" s="390" t="s">
        <v>1849</v>
      </c>
      <c r="O456" s="25"/>
      <c r="P456" s="25"/>
      <c r="Q456" s="27" t="s">
        <v>363</v>
      </c>
      <c r="R456" s="89"/>
      <c r="S456" s="89"/>
      <c r="T456" s="25"/>
      <c r="U456" s="25"/>
      <c r="V456" s="25"/>
      <c r="W456" s="27"/>
      <c r="X456" s="27" t="s">
        <v>632</v>
      </c>
      <c r="Y456" s="27" t="s">
        <v>1013</v>
      </c>
      <c r="Z456" s="27"/>
    </row>
    <row r="457" spans="1:26" s="1" customFormat="1" ht="43.5" hidden="1">
      <c r="A457" s="18" t="s">
        <v>307</v>
      </c>
      <c r="B457" s="180">
        <v>16</v>
      </c>
      <c r="C457" s="184" t="s">
        <v>1673</v>
      </c>
      <c r="D457" s="187" t="s">
        <v>1830</v>
      </c>
      <c r="E457" s="201" t="s">
        <v>1831</v>
      </c>
      <c r="F457" s="88" t="s">
        <v>1832</v>
      </c>
      <c r="G457" s="88" t="s">
        <v>1833</v>
      </c>
      <c r="H457" s="372" t="s">
        <v>348</v>
      </c>
      <c r="I457" s="372" t="s">
        <v>377</v>
      </c>
      <c r="J457" s="373" t="str">
        <f t="shared" si="15"/>
        <v>Millorar l'accessibilitat i de la gestió documental i digital de l'ENP</v>
      </c>
      <c r="K457" s="20"/>
      <c r="L457" s="20" t="s">
        <v>54</v>
      </c>
      <c r="M457" s="27"/>
      <c r="N457" s="390" t="s">
        <v>1850</v>
      </c>
      <c r="O457" s="25"/>
      <c r="P457" s="25"/>
      <c r="Q457" s="27" t="s">
        <v>363</v>
      </c>
      <c r="R457" s="89"/>
      <c r="S457" s="89"/>
      <c r="T457" s="25"/>
      <c r="U457" s="25"/>
      <c r="V457" s="25"/>
      <c r="W457" s="27"/>
      <c r="X457" s="27" t="s">
        <v>632</v>
      </c>
      <c r="Y457" s="27" t="s">
        <v>1013</v>
      </c>
      <c r="Z457" s="27"/>
    </row>
    <row r="458" spans="1:26" s="1" customFormat="1" ht="43.5" hidden="1">
      <c r="A458" s="18" t="s">
        <v>307</v>
      </c>
      <c r="B458" s="180">
        <v>16</v>
      </c>
      <c r="C458" s="184" t="s">
        <v>1673</v>
      </c>
      <c r="D458" s="187" t="s">
        <v>1830</v>
      </c>
      <c r="E458" s="201" t="s">
        <v>1831</v>
      </c>
      <c r="F458" s="88" t="s">
        <v>1832</v>
      </c>
      <c r="G458" s="88" t="s">
        <v>1833</v>
      </c>
      <c r="H458" s="372" t="s">
        <v>348</v>
      </c>
      <c r="I458" s="372" t="s">
        <v>377</v>
      </c>
      <c r="J458" s="373" t="str">
        <f t="shared" si="15"/>
        <v>Millorar l'accessibilitat i de la gestió documental i digital de l'ENP</v>
      </c>
      <c r="K458" s="20"/>
      <c r="L458" s="20" t="s">
        <v>54</v>
      </c>
      <c r="M458" s="27"/>
      <c r="N458" s="390" t="s">
        <v>1851</v>
      </c>
      <c r="O458" s="25"/>
      <c r="P458" s="25"/>
      <c r="Q458" s="27" t="s">
        <v>363</v>
      </c>
      <c r="R458" s="89"/>
      <c r="S458" s="89"/>
      <c r="T458" s="25"/>
      <c r="U458" s="25"/>
      <c r="V458" s="25"/>
      <c r="W458" s="27"/>
      <c r="X458" s="27" t="s">
        <v>632</v>
      </c>
      <c r="Y458" s="27" t="s">
        <v>616</v>
      </c>
      <c r="Z458" s="27"/>
    </row>
    <row r="459" spans="1:26" s="1" customFormat="1" ht="144.94999999999999">
      <c r="A459" s="18" t="s">
        <v>307</v>
      </c>
      <c r="B459" s="180">
        <v>16</v>
      </c>
      <c r="C459" s="184" t="s">
        <v>1673</v>
      </c>
      <c r="D459" s="185" t="s">
        <v>1852</v>
      </c>
      <c r="E459" s="186" t="s">
        <v>1853</v>
      </c>
      <c r="F459" s="88" t="s">
        <v>1854</v>
      </c>
      <c r="G459" s="88" t="s">
        <v>1855</v>
      </c>
      <c r="H459" s="88" t="s">
        <v>416</v>
      </c>
      <c r="I459" s="88" t="s">
        <v>377</v>
      </c>
      <c r="J459" s="205" t="s">
        <v>1856</v>
      </c>
      <c r="K459" s="20" t="s">
        <v>504</v>
      </c>
      <c r="L459" s="20" t="s">
        <v>54</v>
      </c>
      <c r="M459" s="27" t="s">
        <v>712</v>
      </c>
      <c r="N459" s="390" t="s">
        <v>1857</v>
      </c>
      <c r="O459" s="25"/>
      <c r="P459" s="25"/>
      <c r="Q459" s="20" t="s">
        <v>1858</v>
      </c>
      <c r="R459" s="89"/>
      <c r="S459" s="89"/>
      <c r="T459" s="20" t="s">
        <v>1859</v>
      </c>
      <c r="U459" s="435" t="s">
        <v>1860</v>
      </c>
      <c r="V459" s="435" t="s">
        <v>1861</v>
      </c>
      <c r="W459" s="27"/>
      <c r="X459" s="27" t="s">
        <v>615</v>
      </c>
      <c r="Y459" s="27" t="s">
        <v>624</v>
      </c>
      <c r="Z459" s="27"/>
    </row>
    <row r="460" spans="1:26" s="1" customFormat="1" ht="43.5" hidden="1">
      <c r="A460" s="18" t="s">
        <v>307</v>
      </c>
      <c r="B460" s="180">
        <v>16</v>
      </c>
      <c r="C460" s="184" t="s">
        <v>1673</v>
      </c>
      <c r="D460" s="187" t="s">
        <v>1852</v>
      </c>
      <c r="E460" s="202" t="s">
        <v>1853</v>
      </c>
      <c r="F460" s="88" t="s">
        <v>1854</v>
      </c>
      <c r="G460" s="88" t="s">
        <v>1855</v>
      </c>
      <c r="H460" s="88" t="s">
        <v>416</v>
      </c>
      <c r="I460" s="88" t="s">
        <v>377</v>
      </c>
      <c r="J460" s="205" t="s">
        <v>1856</v>
      </c>
      <c r="K460" s="20" t="s">
        <v>504</v>
      </c>
      <c r="L460" s="20" t="s">
        <v>54</v>
      </c>
      <c r="M460" s="27"/>
      <c r="N460" s="390" t="s">
        <v>1862</v>
      </c>
      <c r="O460" s="25"/>
      <c r="P460" s="25"/>
      <c r="Q460" s="27" t="s">
        <v>363</v>
      </c>
      <c r="R460" s="89"/>
      <c r="S460" s="89"/>
      <c r="T460" s="25"/>
      <c r="U460" s="25"/>
      <c r="V460" s="25"/>
      <c r="W460" s="27"/>
      <c r="X460" s="27" t="s">
        <v>615</v>
      </c>
      <c r="Y460" s="27" t="s">
        <v>624</v>
      </c>
      <c r="Z460" s="27"/>
    </row>
    <row r="461" spans="1:26" s="1" customFormat="1" ht="43.5" hidden="1">
      <c r="A461" s="18" t="s">
        <v>307</v>
      </c>
      <c r="B461" s="180">
        <v>16</v>
      </c>
      <c r="C461" s="184" t="s">
        <v>1673</v>
      </c>
      <c r="D461" s="187" t="s">
        <v>1852</v>
      </c>
      <c r="E461" s="202" t="s">
        <v>1853</v>
      </c>
      <c r="F461" s="88" t="s">
        <v>1854</v>
      </c>
      <c r="G461" s="88" t="s">
        <v>1855</v>
      </c>
      <c r="H461" s="88" t="s">
        <v>416</v>
      </c>
      <c r="I461" s="88" t="s">
        <v>377</v>
      </c>
      <c r="J461" s="205" t="s">
        <v>1856</v>
      </c>
      <c r="K461" s="20" t="s">
        <v>504</v>
      </c>
      <c r="L461" s="20" t="s">
        <v>1863</v>
      </c>
      <c r="M461" s="27"/>
      <c r="N461" s="390" t="s">
        <v>1864</v>
      </c>
      <c r="O461" s="25"/>
      <c r="P461" s="25"/>
      <c r="Q461" s="27" t="s">
        <v>363</v>
      </c>
      <c r="R461" s="89"/>
      <c r="S461" s="89"/>
      <c r="T461" s="25"/>
      <c r="U461" s="25"/>
      <c r="V461" s="25"/>
      <c r="W461" s="27"/>
      <c r="X461" s="389" t="s">
        <v>615</v>
      </c>
      <c r="Y461" s="89" t="s">
        <v>1667</v>
      </c>
      <c r="Z461" s="27"/>
    </row>
    <row r="462" spans="1:26" s="1" customFormat="1" ht="43.5" hidden="1">
      <c r="A462" s="18" t="s">
        <v>307</v>
      </c>
      <c r="B462" s="180">
        <v>16</v>
      </c>
      <c r="C462" s="184" t="s">
        <v>1673</v>
      </c>
      <c r="D462" s="187" t="s">
        <v>1852</v>
      </c>
      <c r="E462" s="202" t="s">
        <v>1853</v>
      </c>
      <c r="F462" s="88" t="s">
        <v>1854</v>
      </c>
      <c r="G462" s="88" t="s">
        <v>1855</v>
      </c>
      <c r="H462" s="88" t="s">
        <v>416</v>
      </c>
      <c r="I462" s="88" t="s">
        <v>377</v>
      </c>
      <c r="J462" s="205" t="s">
        <v>1856</v>
      </c>
      <c r="K462" s="20" t="s">
        <v>504</v>
      </c>
      <c r="L462" s="20" t="s">
        <v>1863</v>
      </c>
      <c r="M462" s="27"/>
      <c r="N462" s="390" t="s">
        <v>1865</v>
      </c>
      <c r="O462" s="25"/>
      <c r="P462" s="25"/>
      <c r="Q462" s="27" t="s">
        <v>363</v>
      </c>
      <c r="R462" s="89"/>
      <c r="S462" s="89"/>
      <c r="T462" s="25"/>
      <c r="U462" s="25"/>
      <c r="V462" s="25"/>
      <c r="W462" s="27"/>
      <c r="X462" s="27" t="s">
        <v>615</v>
      </c>
      <c r="Y462" s="27" t="s">
        <v>624</v>
      </c>
      <c r="Z462" s="27"/>
    </row>
    <row r="463" spans="1:26" s="1" customFormat="1" ht="43.5" hidden="1">
      <c r="A463" s="18" t="s">
        <v>307</v>
      </c>
      <c r="B463" s="180">
        <v>16</v>
      </c>
      <c r="C463" s="184" t="s">
        <v>1673</v>
      </c>
      <c r="D463" s="187" t="s">
        <v>1852</v>
      </c>
      <c r="E463" s="202" t="s">
        <v>1853</v>
      </c>
      <c r="F463" s="88" t="s">
        <v>1854</v>
      </c>
      <c r="G463" s="88" t="s">
        <v>1855</v>
      </c>
      <c r="H463" s="88" t="s">
        <v>416</v>
      </c>
      <c r="I463" s="88" t="s">
        <v>377</v>
      </c>
      <c r="J463" s="205" t="s">
        <v>1856</v>
      </c>
      <c r="K463" s="20" t="s">
        <v>504</v>
      </c>
      <c r="L463" s="20" t="s">
        <v>1863</v>
      </c>
      <c r="M463" s="27"/>
      <c r="N463" s="390" t="s">
        <v>1866</v>
      </c>
      <c r="O463" s="25"/>
      <c r="P463" s="25"/>
      <c r="Q463" s="27" t="s">
        <v>363</v>
      </c>
      <c r="R463" s="89"/>
      <c r="S463" s="89"/>
      <c r="T463" s="25"/>
      <c r="U463" s="25"/>
      <c r="V463" s="25"/>
      <c r="W463" s="27"/>
      <c r="X463" s="27" t="s">
        <v>615</v>
      </c>
      <c r="Y463" s="27" t="s">
        <v>624</v>
      </c>
      <c r="Z463" s="27"/>
    </row>
    <row r="464" spans="1:26" s="1" customFormat="1" ht="261">
      <c r="A464" s="18" t="s">
        <v>307</v>
      </c>
      <c r="B464" s="180">
        <v>16</v>
      </c>
      <c r="C464" s="184" t="s">
        <v>1673</v>
      </c>
      <c r="D464" s="187" t="s">
        <v>1852</v>
      </c>
      <c r="E464" s="202" t="s">
        <v>1853</v>
      </c>
      <c r="F464" s="88" t="s">
        <v>1867</v>
      </c>
      <c r="G464" s="88" t="s">
        <v>1868</v>
      </c>
      <c r="H464" s="372" t="s">
        <v>416</v>
      </c>
      <c r="I464" s="372" t="s">
        <v>377</v>
      </c>
      <c r="J464" s="373" t="str">
        <f>G464</f>
        <v>Gestionar, enfortir i consolidar l'equip de gestió del parc</v>
      </c>
      <c r="K464" s="20"/>
      <c r="L464" s="20" t="s">
        <v>54</v>
      </c>
      <c r="M464" s="27"/>
      <c r="N464" s="390" t="s">
        <v>1869</v>
      </c>
      <c r="O464" s="25"/>
      <c r="P464" s="25"/>
      <c r="Q464" s="20" t="s">
        <v>1870</v>
      </c>
      <c r="R464" s="89"/>
      <c r="S464" s="89"/>
      <c r="T464" s="20" t="s">
        <v>1871</v>
      </c>
      <c r="U464" s="435" t="s">
        <v>1872</v>
      </c>
      <c r="V464" s="435" t="s">
        <v>1873</v>
      </c>
      <c r="W464" s="27"/>
      <c r="X464" s="338" t="s">
        <v>1666</v>
      </c>
      <c r="Y464" s="338" t="s">
        <v>1667</v>
      </c>
      <c r="Z464" s="27"/>
    </row>
    <row r="465" spans="1:26" s="1" customFormat="1" ht="43.5" hidden="1">
      <c r="A465" s="18" t="s">
        <v>307</v>
      </c>
      <c r="B465" s="180">
        <v>16</v>
      </c>
      <c r="C465" s="184" t="s">
        <v>1673</v>
      </c>
      <c r="D465" s="187" t="s">
        <v>1852</v>
      </c>
      <c r="E465" s="202" t="s">
        <v>1853</v>
      </c>
      <c r="F465" s="88" t="s">
        <v>1867</v>
      </c>
      <c r="G465" s="88" t="s">
        <v>1868</v>
      </c>
      <c r="H465" s="372" t="s">
        <v>416</v>
      </c>
      <c r="I465" s="372" t="s">
        <v>377</v>
      </c>
      <c r="J465" s="373" t="str">
        <f>G465</f>
        <v>Gestionar, enfortir i consolidar l'equip de gestió del parc</v>
      </c>
      <c r="K465" s="20"/>
      <c r="L465" s="20" t="s">
        <v>54</v>
      </c>
      <c r="M465" s="27"/>
      <c r="N465" s="390" t="s">
        <v>1874</v>
      </c>
      <c r="O465" s="25"/>
      <c r="P465" s="25"/>
      <c r="Q465" s="27" t="s">
        <v>363</v>
      </c>
      <c r="R465" s="89"/>
      <c r="S465" s="89"/>
      <c r="T465" s="25"/>
      <c r="U465" s="25"/>
      <c r="V465" s="25"/>
      <c r="W465" s="27"/>
      <c r="X465" s="338" t="s">
        <v>471</v>
      </c>
      <c r="Y465" s="338" t="s">
        <v>472</v>
      </c>
      <c r="Z465" s="27"/>
    </row>
    <row r="466" spans="1:26" s="1" customFormat="1" ht="43.5" hidden="1">
      <c r="A466" s="18" t="s">
        <v>307</v>
      </c>
      <c r="B466" s="180">
        <v>16</v>
      </c>
      <c r="C466" s="184" t="s">
        <v>1673</v>
      </c>
      <c r="D466" s="187" t="s">
        <v>1852</v>
      </c>
      <c r="E466" s="202" t="s">
        <v>1853</v>
      </c>
      <c r="F466" s="88" t="s">
        <v>1867</v>
      </c>
      <c r="G466" s="88" t="s">
        <v>1868</v>
      </c>
      <c r="H466" s="372" t="s">
        <v>416</v>
      </c>
      <c r="I466" s="372" t="s">
        <v>377</v>
      </c>
      <c r="J466" s="373" t="str">
        <f>G466</f>
        <v>Gestionar, enfortir i consolidar l'equip de gestió del parc</v>
      </c>
      <c r="K466" s="20"/>
      <c r="L466" s="20" t="s">
        <v>54</v>
      </c>
      <c r="M466" s="27" t="s">
        <v>712</v>
      </c>
      <c r="N466" s="390" t="s">
        <v>1875</v>
      </c>
      <c r="O466" s="25"/>
      <c r="P466" s="25"/>
      <c r="Q466" s="27" t="s">
        <v>363</v>
      </c>
      <c r="R466" s="89"/>
      <c r="S466" s="89"/>
      <c r="T466" s="25"/>
      <c r="U466" s="25"/>
      <c r="V466" s="25"/>
      <c r="W466" s="27"/>
      <c r="X466" s="338" t="s">
        <v>471</v>
      </c>
      <c r="Y466" s="338" t="s">
        <v>472</v>
      </c>
      <c r="Z466" s="27"/>
    </row>
    <row r="467" spans="1:26" s="1" customFormat="1" ht="43.5" hidden="1">
      <c r="A467" s="18" t="s">
        <v>307</v>
      </c>
      <c r="B467" s="180">
        <v>16</v>
      </c>
      <c r="C467" s="184" t="s">
        <v>1673</v>
      </c>
      <c r="D467" s="187" t="s">
        <v>1852</v>
      </c>
      <c r="E467" s="202" t="s">
        <v>1853</v>
      </c>
      <c r="F467" s="88" t="s">
        <v>1867</v>
      </c>
      <c r="G467" s="88" t="s">
        <v>1868</v>
      </c>
      <c r="H467" s="372" t="s">
        <v>416</v>
      </c>
      <c r="I467" s="372" t="s">
        <v>377</v>
      </c>
      <c r="J467" s="373" t="str">
        <f t="shared" ref="J467:J472" si="16">G467</f>
        <v>Gestionar, enfortir i consolidar l'equip de gestió del parc</v>
      </c>
      <c r="K467" s="20"/>
      <c r="L467" s="20" t="s">
        <v>54</v>
      </c>
      <c r="M467" s="27" t="s">
        <v>378</v>
      </c>
      <c r="N467" s="393" t="s">
        <v>1876</v>
      </c>
      <c r="O467" s="25"/>
      <c r="P467" s="25"/>
      <c r="Q467" s="27" t="s">
        <v>363</v>
      </c>
      <c r="R467" s="89"/>
      <c r="S467" s="89"/>
      <c r="T467" s="25"/>
      <c r="U467" s="25"/>
      <c r="V467" s="25"/>
      <c r="W467" s="27"/>
      <c r="X467" s="338" t="s">
        <v>471</v>
      </c>
      <c r="Y467" s="338" t="s">
        <v>472</v>
      </c>
      <c r="Z467" s="27"/>
    </row>
    <row r="468" spans="1:26" s="1" customFormat="1" ht="43.5" hidden="1">
      <c r="A468" s="18" t="s">
        <v>307</v>
      </c>
      <c r="B468" s="180">
        <v>16</v>
      </c>
      <c r="C468" s="184" t="s">
        <v>1673</v>
      </c>
      <c r="D468" s="187" t="s">
        <v>1852</v>
      </c>
      <c r="E468" s="202" t="s">
        <v>1853</v>
      </c>
      <c r="F468" s="88" t="s">
        <v>1867</v>
      </c>
      <c r="G468" s="88" t="s">
        <v>1868</v>
      </c>
      <c r="H468" s="372" t="s">
        <v>416</v>
      </c>
      <c r="I468" s="372" t="s">
        <v>377</v>
      </c>
      <c r="J468" s="373" t="str">
        <f t="shared" si="16"/>
        <v>Gestionar, enfortir i consolidar l'equip de gestió del parc</v>
      </c>
      <c r="K468" s="20"/>
      <c r="L468" s="20" t="s">
        <v>54</v>
      </c>
      <c r="M468" s="27" t="s">
        <v>378</v>
      </c>
      <c r="N468" s="393" t="s">
        <v>1877</v>
      </c>
      <c r="O468" s="25"/>
      <c r="P468" s="25"/>
      <c r="Q468" s="27" t="s">
        <v>363</v>
      </c>
      <c r="R468" s="89"/>
      <c r="S468" s="89"/>
      <c r="T468" s="25"/>
      <c r="U468" s="25"/>
      <c r="V468" s="25"/>
      <c r="W468" s="27"/>
      <c r="X468" s="338" t="s">
        <v>471</v>
      </c>
      <c r="Y468" s="338" t="s">
        <v>472</v>
      </c>
      <c r="Z468" s="27"/>
    </row>
    <row r="469" spans="1:26" s="1" customFormat="1" ht="43.5" hidden="1">
      <c r="A469" s="18" t="s">
        <v>307</v>
      </c>
      <c r="B469" s="180">
        <v>16</v>
      </c>
      <c r="C469" s="184" t="s">
        <v>1673</v>
      </c>
      <c r="D469" s="187" t="s">
        <v>1852</v>
      </c>
      <c r="E469" s="202" t="s">
        <v>1853</v>
      </c>
      <c r="F469" s="88" t="s">
        <v>1867</v>
      </c>
      <c r="G469" s="88" t="s">
        <v>1868</v>
      </c>
      <c r="H469" s="372" t="s">
        <v>416</v>
      </c>
      <c r="I469" s="372" t="s">
        <v>377</v>
      </c>
      <c r="J469" s="373" t="str">
        <f t="shared" si="16"/>
        <v>Gestionar, enfortir i consolidar l'equip de gestió del parc</v>
      </c>
      <c r="K469" s="20"/>
      <c r="L469" s="20" t="s">
        <v>54</v>
      </c>
      <c r="M469" s="27" t="s">
        <v>378</v>
      </c>
      <c r="N469" s="393" t="s">
        <v>1878</v>
      </c>
      <c r="O469" s="25"/>
      <c r="P469" s="25"/>
      <c r="Q469" s="27" t="s">
        <v>363</v>
      </c>
      <c r="R469" s="89"/>
      <c r="S469" s="89"/>
      <c r="T469" s="25"/>
      <c r="U469" s="25"/>
      <c r="V469" s="25"/>
      <c r="W469" s="27"/>
      <c r="X469" s="338" t="s">
        <v>471</v>
      </c>
      <c r="Y469" s="338" t="s">
        <v>472</v>
      </c>
      <c r="Z469" s="27"/>
    </row>
    <row r="470" spans="1:26" s="1" customFormat="1" ht="43.5" hidden="1">
      <c r="A470" s="18" t="s">
        <v>307</v>
      </c>
      <c r="B470" s="180">
        <v>16</v>
      </c>
      <c r="C470" s="184" t="s">
        <v>1673</v>
      </c>
      <c r="D470" s="187" t="s">
        <v>1852</v>
      </c>
      <c r="E470" s="202" t="s">
        <v>1853</v>
      </c>
      <c r="F470" s="88" t="s">
        <v>1867</v>
      </c>
      <c r="G470" s="88" t="s">
        <v>1868</v>
      </c>
      <c r="H470" s="372" t="s">
        <v>416</v>
      </c>
      <c r="I470" s="372" t="s">
        <v>377</v>
      </c>
      <c r="J470" s="373" t="str">
        <f t="shared" si="16"/>
        <v>Gestionar, enfortir i consolidar l'equip de gestió del parc</v>
      </c>
      <c r="K470" s="20"/>
      <c r="L470" s="20" t="s">
        <v>54</v>
      </c>
      <c r="M470" s="27" t="s">
        <v>378</v>
      </c>
      <c r="N470" s="393" t="s">
        <v>1879</v>
      </c>
      <c r="O470" s="25"/>
      <c r="P470" s="25"/>
      <c r="Q470" s="27" t="s">
        <v>363</v>
      </c>
      <c r="R470" s="89"/>
      <c r="S470" s="89"/>
      <c r="T470" s="25"/>
      <c r="U470" s="25"/>
      <c r="V470" s="25"/>
      <c r="W470" s="27"/>
      <c r="X470" s="338" t="s">
        <v>471</v>
      </c>
      <c r="Y470" s="338" t="s">
        <v>472</v>
      </c>
      <c r="Z470" s="27"/>
    </row>
    <row r="471" spans="1:26" s="1" customFormat="1" ht="57.95" hidden="1">
      <c r="A471" s="18" t="s">
        <v>307</v>
      </c>
      <c r="B471" s="180">
        <v>16</v>
      </c>
      <c r="C471" s="184" t="s">
        <v>1673</v>
      </c>
      <c r="D471" s="187" t="s">
        <v>1852</v>
      </c>
      <c r="E471" s="202" t="s">
        <v>1853</v>
      </c>
      <c r="F471" s="88" t="s">
        <v>1867</v>
      </c>
      <c r="G471" s="88" t="s">
        <v>1868</v>
      </c>
      <c r="H471" s="372" t="s">
        <v>416</v>
      </c>
      <c r="I471" s="372" t="s">
        <v>377</v>
      </c>
      <c r="J471" s="373" t="str">
        <f t="shared" si="16"/>
        <v>Gestionar, enfortir i consolidar l'equip de gestió del parc</v>
      </c>
      <c r="K471" s="20"/>
      <c r="L471" s="20" t="s">
        <v>54</v>
      </c>
      <c r="M471" s="27" t="s">
        <v>712</v>
      </c>
      <c r="N471" s="390" t="s">
        <v>1880</v>
      </c>
      <c r="O471" s="25"/>
      <c r="P471" s="25"/>
      <c r="Q471" s="27" t="s">
        <v>363</v>
      </c>
      <c r="R471" s="89"/>
      <c r="S471" s="89"/>
      <c r="T471" s="25"/>
      <c r="U471" s="25"/>
      <c r="V471" s="25"/>
      <c r="W471" s="27"/>
      <c r="X471" s="338" t="s">
        <v>471</v>
      </c>
      <c r="Y471" s="338" t="s">
        <v>472</v>
      </c>
      <c r="Z471" s="27"/>
    </row>
    <row r="472" spans="1:26" ht="43.5">
      <c r="A472" s="18" t="s">
        <v>307</v>
      </c>
      <c r="B472" s="180">
        <v>16</v>
      </c>
      <c r="C472" s="184" t="s">
        <v>1673</v>
      </c>
      <c r="D472" s="187" t="s">
        <v>1852</v>
      </c>
      <c r="E472" s="202" t="s">
        <v>1853</v>
      </c>
      <c r="F472" s="88" t="s">
        <v>1881</v>
      </c>
      <c r="G472" s="88" t="s">
        <v>1882</v>
      </c>
      <c r="H472" s="372" t="s">
        <v>348</v>
      </c>
      <c r="I472" s="372" t="s">
        <v>570</v>
      </c>
      <c r="J472" s="373" t="str">
        <f t="shared" si="16"/>
        <v>Gestió ordinària i imprevistos no contemplats en cap dels Objectius opertatius anteriors</v>
      </c>
      <c r="K472" s="20"/>
      <c r="L472" s="20" t="s">
        <v>54</v>
      </c>
      <c r="M472" s="27" t="s">
        <v>712</v>
      </c>
      <c r="N472" s="390" t="s">
        <v>1882</v>
      </c>
      <c r="O472" s="25"/>
      <c r="P472" s="25"/>
      <c r="Q472" s="20" t="s">
        <v>1883</v>
      </c>
      <c r="R472" s="89"/>
      <c r="S472" s="89"/>
      <c r="T472" s="20" t="s">
        <v>1884</v>
      </c>
      <c r="U472" s="438">
        <v>0.9</v>
      </c>
      <c r="V472" s="438">
        <v>1</v>
      </c>
      <c r="W472" s="27"/>
      <c r="X472" s="338" t="s">
        <v>471</v>
      </c>
      <c r="Y472" s="338" t="s">
        <v>472</v>
      </c>
      <c r="Z472" s="27"/>
    </row>
    <row r="473" spans="1:26" hidden="1">
      <c r="N473" s="392">
        <f>COUNTIF(N5:N472,"&lt;&gt;"&amp;#REF!)</f>
        <v>0</v>
      </c>
      <c r="O473" s="392">
        <f>COUNTIF(O5:O472,"&lt;&gt;"&amp;#REF!)</f>
        <v>0</v>
      </c>
      <c r="P473" s="392">
        <f>COUNTIF(P5:P472,"&lt;&gt;"&amp;#REF!)</f>
        <v>0</v>
      </c>
      <c r="T473" s="208"/>
      <c r="U473" s="208"/>
      <c r="V473" s="208"/>
    </row>
  </sheetData>
  <autoFilter ref="A4:Z473" xr:uid="{00000000-0009-0000-0000-000004000000}">
    <filterColumn colId="16">
      <customFilters>
        <customFilter operator="notEqual" val=" "/>
      </customFilters>
    </filterColumn>
  </autoFilter>
  <dataConsolidate/>
  <mergeCells count="2">
    <mergeCell ref="U3:V3"/>
    <mergeCell ref="W3:Y3"/>
  </mergeCells>
  <phoneticPr fontId="2" type="noConversion"/>
  <conditionalFormatting sqref="H337">
    <cfRule type="duplicateValues" dxfId="12" priority="5"/>
  </conditionalFormatting>
  <conditionalFormatting sqref="H338">
    <cfRule type="duplicateValues" dxfId="11" priority="3"/>
  </conditionalFormatting>
  <conditionalFormatting sqref="H339">
    <cfRule type="duplicateValues" dxfId="10" priority="4"/>
  </conditionalFormatting>
  <conditionalFormatting sqref="H336:I336">
    <cfRule type="duplicateValues" dxfId="9" priority="14"/>
  </conditionalFormatting>
  <conditionalFormatting sqref="I337">
    <cfRule type="duplicateValues" dxfId="8" priority="1"/>
  </conditionalFormatting>
  <conditionalFormatting sqref="I338">
    <cfRule type="duplicateValues" dxfId="7" priority="2"/>
  </conditionalFormatting>
  <conditionalFormatting sqref="I339">
    <cfRule type="duplicateValues" dxfId="6" priority="7"/>
    <cfRule type="duplicateValues" dxfId="5" priority="15"/>
  </conditionalFormatting>
  <dataValidations count="1">
    <dataValidation type="list" allowBlank="1" showInputMessage="1" showErrorMessage="1" sqref="H31:I31 H51:I51 H61:I61 H63:I63 H124:I124 H140:I143 H193:I193 H225:I227 H229:I229 H245:I245 H301:I306 H337:I339 H347:I349 H424:I424 H401:I405 H464:I472 H446:I458 H385:I398 H200:I218" xr:uid="{00000000-0002-0000-0400-000000000000}"/>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400-000001000000}">
          <x14:formula1>
            <xm:f>Full1!$E$2:$E$3</xm:f>
          </x14:formula1>
          <xm:sqref>L409 L364:L366 K407:K408 L413:L472 L371:L406 L5:L362</xm:sqref>
        </x14:dataValidation>
        <x14:dataValidation type="list" allowBlank="1" showInputMessage="1" showErrorMessage="1" xr:uid="{00000000-0002-0000-0400-000002000000}">
          <x14:formula1>
            <xm:f>Full1!$C$2:$C$6</xm:f>
          </x14:formula1>
          <xm:sqref>M409 M413:M472 M5:M406</xm:sqref>
        </x14:dataValidation>
        <x14:dataValidation type="list" allowBlank="1" showInputMessage="1" showErrorMessage="1" xr:uid="{00000000-0002-0000-0400-000003000000}">
          <x14:formula1>
            <xm:f>Full1!$A$2:$A$3</xm:f>
          </x14:formula1>
          <xm:sqref>H62 H228 H350:H384 H340:H346 H307:H336 H459:H463 H425:H445 H32:H50 H406:H423 H219:H224 H125:H139 H194:H199 H64:H123 H52:H60 H246:H300 H144:H192 H5:H30 H230:H244</xm:sqref>
        </x14:dataValidation>
        <x14:dataValidation type="list" allowBlank="1" showInputMessage="1" showErrorMessage="1" xr:uid="{00000000-0002-0000-0400-000004000000}">
          <x14:formula1>
            <xm:f>Full1!$B$2:$B$3</xm:f>
          </x14:formula1>
          <xm:sqref>I62 I228 I350:I384 I340:I346 I307:I336 I459:I463 I425:I445 I32:I50 I406:I423 I219:I224 I125:I139 I194:I199 I64:I123 I52:I60 I246:I300 I144:I192 I5:I30 I230:I244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96"/>
  <sheetViews>
    <sheetView workbookViewId="0"/>
  </sheetViews>
  <sheetFormatPr defaultColWidth="8.7109375" defaultRowHeight="14.45"/>
  <cols>
    <col min="1" max="1" width="9.140625" bestFit="1" customWidth="1"/>
    <col min="2" max="2" width="122.28515625" customWidth="1"/>
    <col min="3" max="3" width="27.5703125" customWidth="1"/>
    <col min="4" max="4" width="48.140625" customWidth="1"/>
    <col min="5" max="5" width="83.42578125" customWidth="1"/>
  </cols>
  <sheetData>
    <row r="1" spans="1:5">
      <c r="A1" t="str">
        <f t="array" ref="A1:A196">_xlfn.UNIQUE(PLA!F5:F472)</f>
        <v>01.1.1</v>
      </c>
      <c r="B1" t="str">
        <f t="array" ref="B1:B196">_xlfn.MAP(_xlfn.ANCHORARRAY(A1),_xlfn.LAMBDA(_xlpm.codi,_xlfn.TEXTJOIN(CHAR(10),TRUE,_xlfn._xlws.FILTER(PLA!N5:N472,PLA!F5:F472=_xlpm.codi,""))))</f>
        <v>Participar en les reunions del GT de Conservació per a coordinar les actuacions de conservació i de seguiment dels elements de biodiversitat
Participar en l'elaboració dels Plans de recuperació o de Conservació de les espècies amenaçades presents al PNP</v>
      </c>
      <c r="C1" t="str">
        <f t="array" ref="C1:C196">_xlfn.MAP(_xlfn.ANCHORARRAY(A1),_xlfn.LAMBDA(_xlpm.codi,_xlfn.TEXTJOIN(CHAR(10),TRUE,_xlfn._xlws.FILTER(PLA!O5:O472,PLA!F5:F472=_xlpm.codi,""))))</f>
        <v/>
      </c>
      <c r="D1" t="str">
        <f t="array" ref="D1:D196">_xlfn.MAP(_xlfn.ANCHORARRAY(A1),_xlfn.LAMBDA(_xlpm.codi,_xlfn.TEXTJOIN(CHAR(10),TRUE,_xlfn._xlws.FILTER(PLA!P5:P472,PLA!F5:F472=_xlpm.codi,""))))</f>
        <v/>
      </c>
      <c r="E1" s="19" t="str">
        <f>_xlfn.TEXTJOIN(CHAR(10),TRUE,B1,C1,D1)</f>
        <v>Participar en les reunions del GT de Conservació per a coordinar les actuacions de conservació i de seguiment dels elements de biodiversitat
Participar en l'elaboració dels Plans de recuperació o de Conservació de les espècies amenaçades presents al PNP</v>
      </c>
    </row>
    <row r="2" spans="1:5">
      <c r="A2" t="str">
        <v>01.1.2</v>
      </c>
      <c r="B2" t="str">
        <v>Participar en les reunions del GT de Geoconservació per a coordinar les actuacions de conservació i de seguiment dels elements geològics de conservació prioritària protegida
Introduir mesures de gestió preventiva en informes per evitar impactes significatius en els valors geològics</v>
      </c>
      <c r="C2" t="str">
        <v/>
      </c>
      <c r="D2" t="str">
        <v/>
      </c>
      <c r="E2" s="19" t="str">
        <f>_xlfn.TEXTJOIN(CHAR(10),TRUE,B2,C2,D2)</f>
        <v>Participar en les reunions del GT de Geoconservació per a coordinar les actuacions de conservació i de seguiment dels elements geològics de conservació prioritària protegida
Introduir mesures de gestió preventiva en informes per evitar impactes significatius en els valors geològics</v>
      </c>
    </row>
    <row r="3" spans="1:5">
      <c r="A3" t="str">
        <v>01.2.1</v>
      </c>
      <c r="B3" t="str">
        <v/>
      </c>
      <c r="C3" t="str">
        <v>Implementar la metodologia de gestió adaptativa (Estàndards Oberts de Gestió Adaptativa a Catalunya) en tots els processos de l'ENP</v>
      </c>
      <c r="D3" t="str">
        <v/>
      </c>
      <c r="E3" s="19" t="str">
        <f>_xlfn.TEXTJOIN(CHAR(10),TRUE,B3,C3,D3)</f>
        <v>Implementar la metodologia de gestió adaptativa (Estàndards Oberts de Gestió Adaptativa a Catalunya) en tots els processos de l'ENP</v>
      </c>
    </row>
    <row r="4" spans="1:5">
      <c r="A4" t="str">
        <v>01.2.2</v>
      </c>
      <c r="B4" t="str">
        <v>Projecte de reintroducció del trencalòs Gypaetus barbatus: Alimentació aus amenaçades
Projecte de reintroducció del trencalòs: Col·laboració en el projecte de reintroducció del trencalòs Gypaetus barbatus al PN de la Tinença de Benifassà (reunions, participació en els alliberaments, seguiment a PNP...)
Projecte de reintroducció del voltor negre al PN Ports: assistència tècnica 
Projecte de reintroducció del voltor negre al PN Ports: Coordinació i seguiment  del projecte de reintroducció local del voltor negre Aegypius monachus
Projecte de reintroducció de la tortuga mediterrània al PN Ports: Coordinació i seguiment  del projecte de reintroducció local 
Projecte de reintroducció de la tortuga mediterrània al PN Ports: Alliberaments d'exemplars de tortuga mediterrània Testudo hermanni
Participar, juntament amb Forestal Catalana, en la conservació i, si escau, la recuperació dels arbres catalogats com a monumentals
Actuacions de millora d'hàbitat i reforçaments poblacionals d'espècies de flora amenaçada: Atropa baetica i Nepeta tuberosa
Introduir mesures de gestió preventiva en informes i autoritzacions per evitar impactes significatius en espècies protegides i/o amenaçades i hàbitats d'interès prioritari</v>
      </c>
      <c r="C4" t="str">
        <v/>
      </c>
      <c r="D4" t="str">
        <v/>
      </c>
      <c r="E4" s="19" t="str">
        <f>_xlfn.TEXTJOIN(CHAR(10)&amp;CHAR(10),TRUE,B4,C4,D4)</f>
        <v>Projecte de reintroducció del trencalòs Gypaetus barbatus: Alimentació aus amenaçades
Projecte de reintroducció del trencalòs: Col·laboració en el projecte de reintroducció del trencalòs Gypaetus barbatus al PN de la Tinença de Benifassà (reunions, participació en els alliberaments, seguiment a PNP...)
Projecte de reintroducció del voltor negre al PN Ports: assistència tècnica 
Projecte de reintroducció del voltor negre al PN Ports: Coordinació i seguiment  del projecte de reintroducció local del voltor negre Aegypius monachus
Projecte de reintroducció de la tortuga mediterrània al PN Ports: Coordinació i seguiment  del projecte de reintroducció local 
Projecte de reintroducció de la tortuga mediterrània al PN Ports: Alliberaments d'exemplars de tortuga mediterrània Testudo hermanni
Participar, juntament amb Forestal Catalana, en la conservació i, si escau, la recuperació dels arbres catalogats com a monumentals
Actuacions de millora d'hàbitat i reforçaments poblacionals d'espècies de flora amenaçada: Atropa baetica i Nepeta tuberosa
Introduir mesures de gestió preventiva en informes i autoritzacions per evitar impactes significatius en espècies protegides i/o amenaçades i hàbitats d'interès prioritari</v>
      </c>
    </row>
    <row r="5" spans="1:5">
      <c r="A5" t="str">
        <v>01.2.3</v>
      </c>
      <c r="B5" t="str">
        <v>Erradicació de la carpa i carpí al PN Ports
Actuacions de control d'espècies de flora exòtica (ailant Ailanthus altissima, etc.)
Actuacions de control de la vespa asiàtica Vespa velutina</v>
      </c>
      <c r="C5" t="str">
        <v/>
      </c>
      <c r="D5" t="str">
        <v/>
      </c>
      <c r="E5" s="19" t="str">
        <f t="shared" ref="E5:E36" si="0">_xlfn.TEXTJOIN(CHAR(10),TRUE,B5,C5,D5)</f>
        <v>Erradicació de la carpa i carpí al PN Ports
Actuacions de control d'espècies de flora exòtica (ailant Ailanthus altissima, etc.)
Actuacions de control de la vespa asiàtica Vespa velutina</v>
      </c>
    </row>
    <row r="6" spans="1:5">
      <c r="A6" t="str">
        <v>01.2.4</v>
      </c>
      <c r="B6" t="str">
        <v/>
      </c>
      <c r="C6" t="str">
        <v xml:space="preserve">Participar en la revisió del Pla d'acció de la Reserva de la Biosfera de Terres de l'Ebre i portar a terme les actuacions previstes  </v>
      </c>
      <c r="D6" t="str">
        <v/>
      </c>
      <c r="E6" s="19" t="str">
        <f t="shared" si="0"/>
        <v xml:space="preserve">Participar en la revisió del Pla d'acció de la Reserva de la Biosfera de Terres de l'Ebre i portar a terme les actuacions previstes  </v>
      </c>
    </row>
    <row r="7" spans="1:5">
      <c r="A7" t="str">
        <v>01.3.1</v>
      </c>
      <c r="B7" t="str">
        <v>Promoure la participació del PNP en la redacció projecte Life RESTADAPT per a promoure la dinàmica natural en hàbitats forestals</v>
      </c>
      <c r="C7" t="str">
        <v/>
      </c>
      <c r="D7" t="str">
        <v/>
      </c>
      <c r="E7" s="19" t="str">
        <f t="shared" si="0"/>
        <v>Promoure la participació del PNP en la redacció projecte Life RESTADAPT per a promoure la dinàmica natural en hàbitats forestals</v>
      </c>
    </row>
    <row r="8" spans="1:5">
      <c r="A8" t="str">
        <v>01.3.2</v>
      </c>
      <c r="B8" t="str">
        <v>Desplegar algunes actuacions planificades en els instruments d'ordenació forestals, elaborats durant el Life RedBosques_Clima, mitjançant la brigada del Parc, per afavorir la maduresa en sistemes forestals</v>
      </c>
      <c r="C8" t="str">
        <v/>
      </c>
      <c r="D8" t="str">
        <v/>
      </c>
      <c r="E8" s="19" t="str">
        <f t="shared" si="0"/>
        <v>Desplegar algunes actuacions planificades en els instruments d'ordenació forestals, elaborats durant el Life RedBosques_Clima, mitjançant la brigada del Parc, per afavorir la maduresa en sistemes forestals</v>
      </c>
    </row>
    <row r="9" spans="1:5">
      <c r="A9" t="str">
        <v>01.3.3</v>
      </c>
      <c r="B9" t="str">
        <v/>
      </c>
      <c r="C9" t="str">
        <v/>
      </c>
      <c r="D9" t="str">
        <v>Planificar i executar pertorbacions controlades</v>
      </c>
      <c r="E9" s="19" t="str">
        <f t="shared" si="0"/>
        <v>Planificar i executar pertorbacions controlades</v>
      </c>
    </row>
    <row r="10" spans="1:5" ht="236.25" customHeight="1">
      <c r="A10" t="str">
        <v>01.3.4</v>
      </c>
      <c r="B10" t="str">
        <v>Eliminació de restes del dic al barranc de la Fou
Estudi de viabilitat per a l'eliminació de la trampa de sediments al barranc de la Galera</v>
      </c>
      <c r="C10" t="str">
        <v>Avaluació de l'estat de conservació del barranc de la Conca i les sèquies, i planificar pla d'acció (neteja, manteniment...)</v>
      </c>
      <c r="D10" t="str">
        <v/>
      </c>
      <c r="E10" s="19" t="str">
        <f t="shared" si="0"/>
        <v>Eliminació de restes del dic al barranc de la Fou
Estudi de viabilitat per a l'eliminació de la trampa de sediments al barranc de la Galera
Avaluació de l'estat de conservació del barranc de la Conca i les sèquies, i planificar pla d'acció (neteja, manteniment...)</v>
      </c>
    </row>
    <row r="11" spans="1:5">
      <c r="A11" t="str">
        <v>01.3.5</v>
      </c>
      <c r="B11" t="str">
        <v>Participació en el programa Paisatges Resilients (Estratègia de la Bioeconomia de Catalunya 2030): Creació i manteniment de zones obertes per a la conservació de la biodiversitat (hàbitats i espècies)</v>
      </c>
      <c r="C11" t="str">
        <v/>
      </c>
      <c r="D11" t="str">
        <v/>
      </c>
      <c r="E11" s="19" t="str">
        <f t="shared" si="0"/>
        <v>Participació en el programa Paisatges Resilients (Estratègia de la Bioeconomia de Catalunya 2030): Creació i manteniment de zones obertes per a la conservació de la biodiversitat (hàbitats i espècies)</v>
      </c>
    </row>
    <row r="12" spans="1:5">
      <c r="A12" t="str">
        <v>01.3.6</v>
      </c>
      <c r="B12" t="str">
        <v/>
      </c>
      <c r="C12" t="str">
        <v/>
      </c>
      <c r="D12" t="str">
        <v>Planificar i intervenir en la dinàmica de poblacions de fauna que poden generar impactes negatius en la conservació dels elements d'interès de l'ENP</v>
      </c>
      <c r="E12" s="19" t="str">
        <f t="shared" si="0"/>
        <v>Planificar i intervenir en la dinàmica de poblacions de fauna que poden generar impactes negatius en la conservació dels elements d'interès de l'ENP</v>
      </c>
    </row>
    <row r="13" spans="1:5">
      <c r="A13" t="str">
        <v>01.3.7</v>
      </c>
      <c r="B13" t="str">
        <v/>
      </c>
      <c r="C13" t="str">
        <v/>
      </c>
      <c r="D13" t="str">
        <v>Afavorir la connectivitat ecològica del territori</v>
      </c>
      <c r="E13" s="19" t="str">
        <f t="shared" si="0"/>
        <v>Afavorir la connectivitat ecològica del territori</v>
      </c>
    </row>
    <row r="14" spans="1:5">
      <c r="A14" t="str">
        <v>01.4.1</v>
      </c>
      <c r="B14" t="str">
        <v/>
      </c>
      <c r="C14" t="str">
        <v/>
      </c>
      <c r="D14" t="str">
        <v>Fomentar acords de custòdia en espais d'alt valor dins l'ENP per a la gestió dels elements prioritaris</v>
      </c>
      <c r="E14" s="19" t="str">
        <f t="shared" si="0"/>
        <v>Fomentar acords de custòdia en espais d'alt valor dins l'ENP per a la gestió dels elements prioritaris</v>
      </c>
    </row>
    <row r="15" spans="1:5">
      <c r="A15" t="str">
        <v>01.4.2</v>
      </c>
      <c r="B15" t="str">
        <v/>
      </c>
      <c r="C15" t="str">
        <v/>
      </c>
      <c r="D15" t="str">
        <v>Fomentar bones pràctiques entre els col·lectius de propietaris i gestors del territori</v>
      </c>
      <c r="E15" s="19" t="str">
        <f t="shared" si="0"/>
        <v>Fomentar bones pràctiques entre els col·lectius de propietaris i gestors del territori</v>
      </c>
    </row>
    <row r="16" spans="1:5">
      <c r="A16" t="str">
        <v>01.4.3</v>
      </c>
      <c r="B16" t="str">
        <v>Reunions periòdiques amb ens locals i administració forestal per a desplegar la gestió per a la millora d'hàbitats</v>
      </c>
      <c r="C16" t="str">
        <v/>
      </c>
      <c r="D16" t="str">
        <v/>
      </c>
      <c r="E16" s="19" t="str">
        <f t="shared" si="0"/>
        <v>Reunions periòdiques amb ens locals i administració forestal per a desplegar la gestió per a la millora d'hàbitats</v>
      </c>
    </row>
    <row r="17" spans="1:5">
      <c r="A17" t="str">
        <v>02.1.1</v>
      </c>
      <c r="B17" t="str">
        <v>Col·laborar amb el projecte Life eCOadapt50, liderat pel Living Lab Ebre Bioterritori d'EURECAT</v>
      </c>
      <c r="C17" t="str">
        <v/>
      </c>
      <c r="D17" t="str">
        <v/>
      </c>
      <c r="E17" s="19" t="str">
        <f t="shared" si="0"/>
        <v>Col·laborar amb el projecte Life eCOadapt50, liderat pel Living Lab Ebre Bioterritori d'EURECAT</v>
      </c>
    </row>
    <row r="18" spans="1:5">
      <c r="A18" t="str">
        <v>02.1.2</v>
      </c>
      <c r="B18" t="str">
        <v xml:space="preserve">A.2.2.2. Anàlisi dels cabals ecològics dels rius del PN aplicats a l'ús de l'aigua com a recurs turístic (CETS): Diagnosi de l'estat de conservació dels Estrets, Algars i Canaletes i definir els cabals ecològics </v>
      </c>
      <c r="C18" t="str">
        <v/>
      </c>
      <c r="D18" t="str">
        <v/>
      </c>
      <c r="E18" s="19" t="str">
        <f t="shared" si="0"/>
        <v xml:space="preserve">A.2.2.2. Anàlisi dels cabals ecològics dels rius del PN aplicats a l'ús de l'aigua com a recurs turístic (CETS): Diagnosi de l'estat de conservació dels Estrets, Algars i Canaletes i definir els cabals ecològics </v>
      </c>
    </row>
    <row r="19" spans="1:5">
      <c r="A19" t="str">
        <v>02.1.3</v>
      </c>
      <c r="B19" t="str">
        <v>Participació en la redacció i aprovació dels instruments d'ordenació forestal sostenible de les finques de la Vallcervera i d'Alfara de Carles</v>
      </c>
      <c r="C19" t="str">
        <v/>
      </c>
      <c r="D19" t="str">
        <v/>
      </c>
      <c r="E19" s="19" t="str">
        <f t="shared" si="0"/>
        <v>Participació en la redacció i aprovació dels instruments d'ordenació forestal sostenible de les finques de la Vallcervera i d'Alfara de Carles</v>
      </c>
    </row>
    <row r="20" spans="1:5">
      <c r="A20" t="str">
        <v>02.2.1</v>
      </c>
      <c r="B20" t="str">
        <v>Promoure i participar en la redacció del Pla bàsic de prevenció d'incendis del PNP</v>
      </c>
      <c r="C20" t="str">
        <v/>
      </c>
      <c r="D20" t="str">
        <v/>
      </c>
      <c r="E20" s="19" t="str">
        <f t="shared" si="0"/>
        <v>Promoure i participar en la redacció del Pla bàsic de prevenció d'incendis del PNP</v>
      </c>
    </row>
    <row r="21" spans="1:5">
      <c r="A21" t="str">
        <v>02.2.2</v>
      </c>
      <c r="B21" t="str">
        <v>Col·laboració amb el GPIF i Bombers per a la planificació de cremes control·lades aprovades en els instruments d'ordenació forestal (Mola de Catí, Alfara de Carles, Vallcervera, etc.)</v>
      </c>
      <c r="C21" t="str">
        <v/>
      </c>
      <c r="D21" t="str">
        <v/>
      </c>
      <c r="E21" s="19" t="str">
        <f t="shared" si="0"/>
        <v>Col·laboració amb el GPIF i Bombers per a la planificació de cremes control·lades aprovades en els instruments d'ordenació forestal (Mola de Catí, Alfara de Carles, Vallcervera, etc.)</v>
      </c>
    </row>
    <row r="22" spans="1:5">
      <c r="A22" t="str">
        <v>02.2.3</v>
      </c>
      <c r="B22" t="str">
        <v>Participar en la redacció del Plans de prevenció d'incendis municipals, promoguts per la Diputació de Tarragona
Participar en la redacció del Pla de prevenció del PPP "Ports de Tortosa-Besseit"</v>
      </c>
      <c r="C22" t="str">
        <v/>
      </c>
      <c r="D22" t="str">
        <v/>
      </c>
      <c r="E22" s="19" t="str">
        <f t="shared" si="0"/>
        <v>Participar en la redacció del Plans de prevenció d'incendis municipals, promoguts per la Diputació de Tarragona
Participar en la redacció del Pla de prevenció del PPP "Ports de Tortosa-Besseit"</v>
      </c>
    </row>
    <row r="23" spans="1:5">
      <c r="A23" t="str">
        <v>03.1.1</v>
      </c>
      <c r="B23" t="str">
        <v>Emissió dels informes preceptius en les tramitacions ambientals, incloent-hi l'avaluació dels impactes sobre la biodiversitat, i els patrimonis geològic, històric i cultural
Participar en les reunions periòdiques de les Àrees de Coneixement de la DG, particularnent la de l'Àmbit Forestal</v>
      </c>
      <c r="C23" t="str">
        <v/>
      </c>
      <c r="D23" t="str">
        <v/>
      </c>
      <c r="E23" s="19" t="str">
        <f t="shared" si="0"/>
        <v>Emissió dels informes preceptius en les tramitacions ambientals, incloent-hi l'avaluació dels impactes sobre la biodiversitat, i els patrimonis geològic, històric i cultural
Participar en les reunions periòdiques de les Àrees de Coneixement de la DG, particularnent la de l'Àmbit Forestal</v>
      </c>
    </row>
    <row r="24" spans="1:5">
      <c r="A24" t="str">
        <v>03.1.2</v>
      </c>
      <c r="B24" t="str">
        <v>Servei de vigilància per a la minimització d’afectacions perhiperfreqüentació al Parc Natural dels Aiguamolls de l’Empordà, al Parc Natural del Delta de l’Ebre i al Parc Natural dels Ports (PT OP 2025 357). Lots 3 i 4</v>
      </c>
      <c r="C24" t="str">
        <v/>
      </c>
      <c r="D24" t="str">
        <v/>
      </c>
      <c r="E24" s="19" t="str">
        <f t="shared" si="0"/>
        <v>Servei de vigilància per a la minimització d’afectacions perhiperfreqüentació al Parc Natural dels Aiguamolls de l’Empordà, al Parc Natural del Delta de l’Ebre i al Parc Natural dels Ports (PT OP 2025 357). Lots 3 i 4</v>
      </c>
    </row>
    <row r="25" spans="1:5">
      <c r="A25" t="str">
        <v>03.1.3</v>
      </c>
      <c r="B25" t="str">
        <v/>
      </c>
      <c r="C25" t="str">
        <v/>
      </c>
      <c r="D25" t="str">
        <v>Participar en la compensació d'impactes residuals durant els processos d'avaluació ambiental mitjançant la identificació de necessitats d'actuació prioritària dins i fora dels límits de l’ENP</v>
      </c>
      <c r="E25" s="19" t="str">
        <f t="shared" si="0"/>
        <v>Participar en la compensació d'impactes residuals durant els processos d'avaluació ambiental mitjançant la identificació de necessitats d'actuació prioritària dins i fora dels límits de l’ENP</v>
      </c>
    </row>
    <row r="26" spans="1:5">
      <c r="A26" t="str">
        <v>03.2.1</v>
      </c>
      <c r="B26" t="str">
        <v/>
      </c>
      <c r="C26" t="str">
        <v>A.2.1.1. Elaboració del Pla de Protecció del Medi Natural i el Paisatge del PN (CETS)</v>
      </c>
      <c r="D26" t="str">
        <v/>
      </c>
      <c r="E26" s="19" t="str">
        <f t="shared" si="0"/>
        <v>A.2.1.1. Elaboració del Pla de Protecció del Medi Natural i el Paisatge del PN (CETS)</v>
      </c>
    </row>
    <row r="27" spans="1:5">
      <c r="A27" t="str">
        <v>03.3.1</v>
      </c>
      <c r="B27" t="str">
        <v/>
      </c>
      <c r="C27" t="str">
        <v/>
      </c>
      <c r="D27" t="str">
        <v>Vetllar, juntament amb altres administracions, pel manteniment del cabal ecològic dels rius definit al Pla sectorial corresponent</v>
      </c>
      <c r="E27" s="19" t="str">
        <f t="shared" si="0"/>
        <v>Vetllar, juntament amb altres administracions, pel manteniment del cabal ecològic dels rius definit al Pla sectorial corresponent</v>
      </c>
    </row>
    <row r="28" spans="1:5">
      <c r="A28" t="str">
        <v>03.3.2</v>
      </c>
      <c r="B28" t="str">
        <v/>
      </c>
      <c r="C28" t="str">
        <v/>
      </c>
      <c r="D28" t="str">
        <v/>
      </c>
      <c r="E28" s="19" t="str">
        <f t="shared" si="0"/>
        <v/>
      </c>
    </row>
    <row r="29" spans="1:5">
      <c r="A29" t="str">
        <v>03.3.3</v>
      </c>
      <c r="B29" t="str">
        <v>Comunicació a CAR i l'ACA d'actuacions no autoritzades en els espais fluvials (captacions, drenatges, etc.)</v>
      </c>
      <c r="C29" t="str">
        <v/>
      </c>
      <c r="D29" t="str">
        <v/>
      </c>
      <c r="E29" s="19" t="str">
        <f t="shared" si="0"/>
        <v>Comunicació a CAR i l'ACA d'actuacions no autoritzades en els espais fluvials (captacions, drenatges, etc.)</v>
      </c>
    </row>
    <row r="30" spans="1:5">
      <c r="A30" t="str">
        <v>03.3.4</v>
      </c>
      <c r="B30" t="str">
        <v>Seguiment dels abocaments al barranc del Bosc Negre</v>
      </c>
      <c r="C30" t="str">
        <v/>
      </c>
      <c r="D30" t="str">
        <v/>
      </c>
      <c r="E30" s="19" t="str">
        <f t="shared" si="0"/>
        <v>Seguiment dels abocaments al barranc del Bosc Negre</v>
      </c>
    </row>
    <row r="31" spans="1:5">
      <c r="A31" t="str">
        <v>03.3.5</v>
      </c>
      <c r="B31" t="str">
        <v>Comunicació a CAR i l'ACA d'actuacions no autoritzades en els espais fluvials (rompudes, extracció d'àrids, etc.)</v>
      </c>
      <c r="C31" t="str">
        <v/>
      </c>
      <c r="D31" t="str">
        <v/>
      </c>
      <c r="E31" s="19" t="str">
        <f t="shared" si="0"/>
        <v>Comunicació a CAR i l'ACA d'actuacions no autoritzades en els espais fluvials (rompudes, extracció d'àrids, etc.)</v>
      </c>
    </row>
    <row r="32" spans="1:5">
      <c r="A32" t="str">
        <v>03.4.1</v>
      </c>
      <c r="B32" t="str">
        <v>Manteniment de la base de dades d'espais prioritaris per a la conservació o l'ús públic</v>
      </c>
      <c r="C32" t="str">
        <v/>
      </c>
      <c r="D32" t="str">
        <v/>
      </c>
      <c r="E32" s="19" t="str">
        <f t="shared" si="0"/>
        <v>Manteniment de la base de dades d'espais prioritaris per a la conservació o l'ús públic</v>
      </c>
    </row>
    <row r="33" spans="1:5">
      <c r="A33" t="str">
        <v>03.4.2</v>
      </c>
      <c r="B33" t="str">
        <v/>
      </c>
      <c r="C33" t="str">
        <v/>
      </c>
      <c r="D33" t="str">
        <v>Identificar espais prioritaris en finques públiques destinades a altres usos per a la gestió directa</v>
      </c>
      <c r="E33" s="19" t="str">
        <f t="shared" si="0"/>
        <v>Identificar espais prioritaris en finques públiques destinades a altres usos per a la gestió directa</v>
      </c>
    </row>
    <row r="34" spans="1:5">
      <c r="A34" t="str">
        <v>04.1.1</v>
      </c>
      <c r="B34" t="str">
        <v>A.3.3. Programa de recuperació de la memòria artesana (ARTESAN)</v>
      </c>
      <c r="C34" t="str">
        <v/>
      </c>
      <c r="D34" t="str">
        <v xml:space="preserve">Crear uns premis de recerca en matèria de patrimoni cultural que siguin publicables posteriorment. 
Fer recerca del Barranc de Lloret. </v>
      </c>
      <c r="E34" s="19" t="str">
        <f t="shared" si="0"/>
        <v xml:space="preserve">A.3.3. Programa de recuperació de la memòria artesana (ARTESAN)
Crear uns premis de recerca en matèria de patrimoni cultural que siguin publicables posteriorment. 
Fer recerca del Barranc de Lloret. </v>
      </c>
    </row>
    <row r="35" spans="1:5">
      <c r="A35" t="str">
        <v>04.1.2</v>
      </c>
      <c r="B35" t="str">
        <v/>
      </c>
      <c r="C35" t="str">
        <v/>
      </c>
      <c r="D35" t="str">
        <v>Elaborar el catàleg lingüístic (localismes) de patrimoni natural, geografia popular, festes i activitats tradicionals de l'ENP</v>
      </c>
      <c r="E35" s="19" t="str">
        <f t="shared" si="0"/>
        <v>Elaborar el catàleg lingüístic (localismes) de patrimoni natural, geografia popular, festes i activitats tradicionals de l'ENP</v>
      </c>
    </row>
    <row r="36" spans="1:5">
      <c r="A36" t="str">
        <v>04.1.3</v>
      </c>
      <c r="B36" t="str">
        <v/>
      </c>
      <c r="C36" t="str">
        <v/>
      </c>
      <c r="D36" t="str">
        <v>Elaborar la cartografia de la xarxa de camins ramaders i senders tradicionals de l'ENP</v>
      </c>
      <c r="E36" s="19" t="str">
        <f t="shared" si="0"/>
        <v>Elaborar la cartografia de la xarxa de camins ramaders i senders tradicionals de l'ENP</v>
      </c>
    </row>
    <row r="37" spans="1:5">
      <c r="A37" t="str">
        <v>04.2.1</v>
      </c>
      <c r="B37" t="str">
        <v>Identificar els ens de referència en patrimoni cultural (entitats, associacions, museus i ecomuseus, etc.) en l'àmbit de l'ENP, mitjançant el Museu de les Terres de l'Ebre</v>
      </c>
      <c r="C37" t="str">
        <v/>
      </c>
      <c r="D37" t="str">
        <v/>
      </c>
      <c r="E37" s="19" t="str">
        <f t="shared" ref="E37:E68" si="1">_xlfn.TEXTJOIN(CHAR(10),TRUE,B37,C37,D37)</f>
        <v>Identificar els ens de referència en patrimoni cultural (entitats, associacions, museus i ecomuseus, etc.) en l'àmbit de l'ENP, mitjançant el Museu de les Terres de l'Ebre</v>
      </c>
    </row>
    <row r="38" spans="1:5">
      <c r="A38" t="str">
        <v>04.2.2</v>
      </c>
      <c r="B38" t="str">
        <v>Continuar la línia de colaboració amb el Museu de les Terres de l'Ebre: A.4.2.4 Creació d'itineraris culturals (CETS)</v>
      </c>
      <c r="C38" t="str">
        <v/>
      </c>
      <c r="D38" t="str">
        <v/>
      </c>
      <c r="E38" s="19" t="str">
        <f t="shared" si="1"/>
        <v>Continuar la línia de colaboració amb el Museu de les Terres de l'Ebre: A.4.2.4 Creació d'itineraris culturals (CETS)</v>
      </c>
    </row>
    <row r="39" spans="1:5">
      <c r="A39" t="str">
        <v>04.2.3</v>
      </c>
      <c r="B39" t="str">
        <v>Organització jornada sobre les construccions de pedra en sec amb l'ajuntament del Mas de Barberans</v>
      </c>
      <c r="C39" t="str">
        <v/>
      </c>
      <c r="D39" t="str">
        <v/>
      </c>
      <c r="E39" s="19" t="str">
        <f t="shared" si="1"/>
        <v>Organització jornada sobre les construccions de pedra en sec amb l'ajuntament del Mas de Barberans</v>
      </c>
    </row>
    <row r="40" spans="1:5">
      <c r="A40" t="str">
        <v>04.2.4</v>
      </c>
      <c r="B40" t="str">
        <v/>
      </c>
      <c r="C40" t="str">
        <v/>
      </c>
      <c r="D40" t="str">
        <v>Formar al personal tècnic de l'ENP en patrimoni cultural</v>
      </c>
      <c r="E40" s="19" t="str">
        <f t="shared" si="1"/>
        <v>Formar al personal tècnic de l'ENP en patrimoni cultural</v>
      </c>
    </row>
    <row r="41" spans="1:5">
      <c r="A41" t="str">
        <v>04.3.1</v>
      </c>
      <c r="B41" t="str">
        <v/>
      </c>
      <c r="C41" t="str">
        <v/>
      </c>
      <c r="D41" t="str">
        <v>Recuperar i conservar el patrimoni cultural immaterial (associat a les activitats i aprofitaments rurals tradicionals) i els valors espirituals</v>
      </c>
      <c r="E41" s="19" t="str">
        <f t="shared" si="1"/>
        <v>Recuperar i conservar el patrimoni cultural immaterial (associat a les activitats i aprofitaments rurals tradicionals) i els valors espirituals</v>
      </c>
    </row>
    <row r="42" spans="1:5">
      <c r="A42" t="str">
        <v>04.3.2</v>
      </c>
      <c r="B42" t="str">
        <v>Treballs de recuperació i manteniment, amb brigada, d'elements de patrimoni cultural rural
Avaluació de l’estat de conservació de la sèquia dels Reguers i la seva reparació</v>
      </c>
      <c r="C42" t="str">
        <v/>
      </c>
      <c r="D42" t="str">
        <v/>
      </c>
      <c r="E42" s="19" t="str">
        <f t="shared" si="1"/>
        <v>Treballs de recuperació i manteniment, amb brigada, d'elements de patrimoni cultural rural
Avaluació de l’estat de conservació de la sèquia dels Reguers i la seva reparació</v>
      </c>
    </row>
    <row r="43" spans="1:5">
      <c r="A43" t="str">
        <v>04.3.3</v>
      </c>
      <c r="B43" t="str">
        <v>Introduir mesures de gestió preventiva en informes urbanístics per evitar impactes significatius en el patrimoni històric i cultural
Treballs de recuperació de l'antic Molí de Paüls</v>
      </c>
      <c r="C43" t="str">
        <v/>
      </c>
      <c r="D43" t="str">
        <v/>
      </c>
      <c r="E43" s="19" t="str">
        <f t="shared" si="1"/>
        <v>Introduir mesures de gestió preventiva en informes urbanístics per evitar impactes significatius en el patrimoni històric i cultural
Treballs de recuperació de l'antic Molí de Paüls</v>
      </c>
    </row>
    <row r="44" spans="1:5">
      <c r="A44" t="str">
        <v>04.3.4</v>
      </c>
      <c r="B44" t="str">
        <v>2.2.3. Estudi de la possibilitat de recuperar espècies agrícoles i ramaderes (PRODUCT)</v>
      </c>
      <c r="C44" t="str">
        <v/>
      </c>
      <c r="D44" t="str">
        <v/>
      </c>
      <c r="E44" s="19" t="str">
        <f t="shared" si="1"/>
        <v>2.2.3. Estudi de la possibilitat de recuperar espècies agrícoles i ramaderes (PRODUCT)</v>
      </c>
    </row>
    <row r="45" spans="1:5">
      <c r="A45" t="str">
        <v>04.4.1</v>
      </c>
      <c r="B45" t="str">
        <v>A.4.2.4. Disseny i desenvolupament d'itineraris culturals (CETS): Adequació de l'àrea interpretativa del Molí de Paüls
A.4.2.4. Disseny i desenvolupament d'itineraris culturals (CETS): Estudi de la viabilitat de la senyalització i publicació de l’itinerari del Cocó de la Gralla
A.4.2.4. Disseny i desenvolupament d'itineraris culturals (CETS): manteniment de l'Hosting i web Mas de Burot
A.4.1. Creació d'itineraris turístics a partir d'experiències entorn de l'artesania (ARTESAN)</v>
      </c>
      <c r="C45" t="str">
        <v/>
      </c>
      <c r="D45" t="str">
        <v/>
      </c>
      <c r="E45" s="19" t="str">
        <f t="shared" si="1"/>
        <v>A.4.2.4. Disseny i desenvolupament d'itineraris culturals (CETS): Adequació de l'àrea interpretativa del Molí de Paüls
A.4.2.4. Disseny i desenvolupament d'itineraris culturals (CETS): Estudi de la viabilitat de la senyalització i publicació de l’itinerari del Cocó de la Gralla
A.4.2.4. Disseny i desenvolupament d'itineraris culturals (CETS): manteniment de l'Hosting i web Mas de Burot
A.4.1. Creació d'itineraris turístics a partir d'experiències entorn de l'artesania (ARTESAN)</v>
      </c>
    </row>
    <row r="46" spans="1:5">
      <c r="A46" t="str">
        <v>04.4.2</v>
      </c>
      <c r="B46" t="str">
        <v>Tema clau 2: Paisatge i arquitectura rural tradicional (EDU): incorporar activitats d'educació ambiental al Mas de Burot</v>
      </c>
      <c r="C46" t="str">
        <v/>
      </c>
      <c r="D46" t="str">
        <v/>
      </c>
      <c r="E46" s="19" t="str">
        <f t="shared" si="1"/>
        <v>Tema clau 2: Paisatge i arquitectura rural tradicional (EDU): incorporar activitats d'educació ambiental al Mas de Burot</v>
      </c>
    </row>
    <row r="47" spans="1:5">
      <c r="A47" t="str">
        <v>04.4.3</v>
      </c>
      <c r="B47" t="str">
        <v/>
      </c>
      <c r="C47" t="str">
        <v>Formar el personal dels punts d’informació en els valors culturals de l'ENP</v>
      </c>
      <c r="D47" t="str">
        <v/>
      </c>
      <c r="E47" s="19" t="str">
        <f t="shared" si="1"/>
        <v>Formar el personal dels punts d’informació en els valors culturals de l'ENP</v>
      </c>
    </row>
    <row r="48" spans="1:5">
      <c r="A48" t="str">
        <v>05.1.1</v>
      </c>
      <c r="B48" t="str">
        <v/>
      </c>
      <c r="C48" t="str">
        <v xml:space="preserve">Elaborar un inventari d'elements d'interès paisatgístic de l'ENP d'acord amb el Catàleg de paisatge de la zona </v>
      </c>
      <c r="D48" t="str">
        <v/>
      </c>
      <c r="E48" s="19" t="str">
        <f t="shared" si="1"/>
        <v xml:space="preserve">Elaborar un inventari d'elements d'interès paisatgístic de l'ENP d'acord amb el Catàleg de paisatge de la zona </v>
      </c>
    </row>
    <row r="49" spans="1:5">
      <c r="A49" t="str">
        <v>05.2.1</v>
      </c>
      <c r="B49" t="str">
        <v>Redacció projecte executiu de l'àrea dels Ateus
Impulsar el grup de treball per a l'elaborar un manual de bones pràctiques de l'arranjament de camins
Introduir mesures de gestió preventiva en els informes del Parc per evitar una degradació dels valors paisatgístics</v>
      </c>
      <c r="C49" t="str">
        <v/>
      </c>
      <c r="D49" t="str">
        <v/>
      </c>
      <c r="E49" s="19" t="str">
        <f t="shared" si="1"/>
        <v>Redacció projecte executiu de l'àrea dels Ateus
Impulsar el grup de treball per a l'elaborar un manual de bones pràctiques de l'arranjament de camins
Introduir mesures de gestió preventiva en els informes del Parc per evitar una degradació dels valors paisatgístics</v>
      </c>
    </row>
    <row r="50" spans="1:5">
      <c r="A50" t="str">
        <v>05.2.2</v>
      </c>
      <c r="B50" t="str">
        <v/>
      </c>
      <c r="C50" t="str">
        <v/>
      </c>
      <c r="D50" t="str">
        <v/>
      </c>
      <c r="E50" s="19" t="str">
        <f t="shared" si="1"/>
        <v/>
      </c>
    </row>
    <row r="51" spans="1:5">
      <c r="A51" t="str">
        <v>05.2.3</v>
      </c>
      <c r="B51" t="str">
        <v>Participar en la campanya Let's Clean Up Europe, en coordinació amb l'Agència Catalana de Residus
Fer accions de sensibilització sobre els residus humans generats durant el descens de barrancs</v>
      </c>
      <c r="C51" t="str">
        <v/>
      </c>
      <c r="D51" t="str">
        <v/>
      </c>
      <c r="E51" s="19" t="str">
        <f t="shared" si="1"/>
        <v>Participar en la campanya Let's Clean Up Europe, en coordinació amb l'Agència Catalana de Residus
Fer accions de sensibilització sobre els residus humans generats durant el descens de barrancs</v>
      </c>
    </row>
    <row r="52" spans="1:5">
      <c r="A52" t="str">
        <v>05.3.1</v>
      </c>
      <c r="B52" t="str">
        <v xml:space="preserve">Seguiment de la qualitat lumínica del cel nocturn a Cova Avellanes en col·laboració amb la DGCCQA
Col·laboració en el projecte per reduir l’impacte ambiental de l’enllumenat en zones d’especial protecció envers la contaminació lumínica en col·laboració de la DGCCQA </v>
      </c>
      <c r="C52" t="str">
        <v/>
      </c>
      <c r="D52" t="str">
        <v/>
      </c>
      <c r="E52" s="19" t="str">
        <f t="shared" si="1"/>
        <v xml:space="preserve">Seguiment de la qualitat lumínica del cel nocturn a Cova Avellanes en col·laboració amb la DGCCQA
Col·laboració en el projecte per reduir l’impacte ambiental de l’enllumenat en zones d’especial protecció envers la contaminació lumínica en col·laboració de la DGCCQA </v>
      </c>
    </row>
    <row r="53" spans="1:5">
      <c r="A53" t="str">
        <v>05.3.2</v>
      </c>
      <c r="B53" t="str">
        <v/>
      </c>
      <c r="C53" t="str">
        <v/>
      </c>
      <c r="D53" t="str">
        <v>Promoure la certificació de zones d'especial protecció de la qualitat acústica</v>
      </c>
      <c r="E53" s="19" t="str">
        <f t="shared" si="1"/>
        <v>Promoure la certificació de zones d'especial protecció de la qualitat acústica</v>
      </c>
    </row>
    <row r="54" spans="1:5">
      <c r="A54" t="str">
        <v>06.1.1</v>
      </c>
      <c r="B54" t="str">
        <v>Millora del coneixement dels briòfits amenaçats i d'interès
Millora del coneixement dels líquens amenaçats i d'interès
Millora del coneixement dels fongs
Recollida de mostres Timon lepidus/nevadensis i d'observacions al PNP
Cartografia de detall dels HIC escassos (grevoleda, teixeda)
Participació en la Xarxa d'alerta d'espècies exòtiques invasores
Col·laboració amb la base de dades EXOCAT
Seguiment ecològic dels arbres monumentals i preparar la proposta de declaració de nous exemplars, segons el Decret 214/1987
Diagnosticar i planificar la millora de la biodiversitat de les parcel·les de Roquetes (Pol. 21, Parc. 64) i d'alfara de Carles (Pol.19, Parc. 4; Pol. 20, Parc. 52), herències abintestades i assignades al PNP</v>
      </c>
      <c r="C54" t="str">
        <v/>
      </c>
      <c r="D54" t="str">
        <v/>
      </c>
      <c r="E54" s="19" t="str">
        <f t="shared" si="1"/>
        <v>Millora del coneixement dels briòfits amenaçats i d'interès
Millora del coneixement dels líquens amenaçats i d'interès
Millora del coneixement dels fongs
Recollida de mostres Timon lepidus/nevadensis i d'observacions al PNP
Cartografia de detall dels HIC escassos (grevoleda, teixeda)
Participació en la Xarxa d'alerta d'espècies exòtiques invasores
Col·laboració amb la base de dades EXOCAT
Seguiment ecològic dels arbres monumentals i preparar la proposta de declaració de nous exemplars, segons el Decret 214/1987
Diagnosticar i planificar la millora de la biodiversitat de les parcel·les de Roquetes (Pol. 21, Parc. 64) i d'alfara de Carles (Pol.19, Parc. 4; Pol. 20, Parc. 52), herències abintestades i assignades al PNP</v>
      </c>
    </row>
    <row r="55" spans="1:5">
      <c r="A55" t="str">
        <v>06.1.2</v>
      </c>
      <c r="B55" t="str">
        <v>A.2.1.3. Estudi i seguiment d'espècies, hàbitats i ecosistemes que es poden veure afectats per l'ús públic (CETS)
A.2.2.1. Anàlisi de la capacitat de càrrega dels diferents espais més vulnerables i ordenació de fluxos en espais crítics (CETS): anàlisi de la capacitat de càrrega del riu Canaletes
Participar en l'actualització de l'Inventari de Zones Humides de Catalunya</v>
      </c>
      <c r="C55" t="str">
        <v/>
      </c>
      <c r="D55" t="str">
        <v/>
      </c>
      <c r="E55" s="19" t="str">
        <f t="shared" si="1"/>
        <v>A.2.1.3. Estudi i seguiment d'espècies, hàbitats i ecosistemes que es poden veure afectats per l'ús públic (CETS)
A.2.2.1. Anàlisi de la capacitat de càrrega dels diferents espais més vulnerables i ordenació de fluxos en espais crítics (CETS): anàlisi de la capacitat de càrrega del riu Canaletes
Participar en l'actualització de l'Inventari de Zones Humides de Catalunya</v>
      </c>
    </row>
    <row r="56" spans="1:5">
      <c r="A56" t="str">
        <v>06.2.1</v>
      </c>
      <c r="B56" t="str">
        <v>Actualització de les bases cartogràfiques del Parc (GIS)</v>
      </c>
      <c r="C56" t="str">
        <v/>
      </c>
      <c r="D56" t="str">
        <v/>
      </c>
      <c r="E56" s="19" t="str">
        <f t="shared" si="1"/>
        <v>Actualització de les bases cartogràfiques del Parc (GIS)</v>
      </c>
    </row>
    <row r="57" spans="1:5">
      <c r="A57" t="str">
        <v>06.2.3</v>
      </c>
      <c r="B57" t="str">
        <v>Seguiment de les actuacions del projecte de millora d'hàbitats i espècies PPO 23227, mitjançant rèpliques de vols de dron i parcel·les</v>
      </c>
      <c r="C57" t="str">
        <v/>
      </c>
      <c r="D57" t="str">
        <v/>
      </c>
      <c r="E57" s="19" t="str">
        <f t="shared" si="1"/>
        <v>Seguiment de les actuacions del projecte de millora d'hàbitats i espècies PPO 23227, mitjançant rèpliques de vols de dron i parcel·les</v>
      </c>
    </row>
    <row r="58" spans="1:5">
      <c r="A58" t="str">
        <v>06.2.4</v>
      </c>
      <c r="B58" t="str">
        <v>Assistència tècnica: Manteniment de la monitorització de zones humides per al control de la qualitat ambiental al Parc Natural dels Ports</v>
      </c>
      <c r="C58" t="str">
        <v/>
      </c>
      <c r="D58" t="str">
        <v/>
      </c>
      <c r="E58" s="19" t="str">
        <f t="shared" si="1"/>
        <v>Assistència tècnica: Manteniment de la monitorització de zones humides per al control de la qualitat ambiental al Parc Natural dels Ports</v>
      </c>
    </row>
    <row r="59" spans="1:5">
      <c r="A59" t="str">
        <v>06.2.5</v>
      </c>
      <c r="B59" t="str">
        <v/>
      </c>
      <c r="C59" t="str">
        <v/>
      </c>
      <c r="D59" t="str">
        <v/>
      </c>
      <c r="E59" s="19" t="str">
        <f t="shared" si="1"/>
        <v/>
      </c>
    </row>
    <row r="60" spans="1:5">
      <c r="A60" t="str">
        <v>06.2.6</v>
      </c>
      <c r="B60" t="str">
        <v>Seguiment de la papallona del boix Cydalima perspectalis</v>
      </c>
      <c r="C60" t="str">
        <v/>
      </c>
      <c r="D60" t="str">
        <v/>
      </c>
      <c r="E60" s="19" t="str">
        <f t="shared" si="1"/>
        <v>Seguiment de la papallona del boix Cydalima perspectalis</v>
      </c>
    </row>
    <row r="61" spans="1:5">
      <c r="A61" t="str">
        <v>06.2.7</v>
      </c>
      <c r="B61" t="str">
        <v/>
      </c>
      <c r="C61" t="str">
        <v/>
      </c>
      <c r="D61" t="str">
        <v/>
      </c>
      <c r="E61" s="19" t="str">
        <f t="shared" si="1"/>
        <v/>
      </c>
    </row>
    <row r="62" spans="1:5">
      <c r="A62" t="str">
        <v>06.3.1</v>
      </c>
      <c r="B62" t="str">
        <v>Participar en els GT de la DG i amb la UIC, per estandaritzar els seguiments dels elements clau de flora, fauna i hàbitats</v>
      </c>
      <c r="C62" t="str">
        <v/>
      </c>
      <c r="D62" t="str">
        <v/>
      </c>
      <c r="E62" s="19" t="str">
        <f t="shared" si="1"/>
        <v>Participar en els GT de la DG i amb la UIC, per estandaritzar els seguiments dels elements clau de flora, fauna i hàbitats</v>
      </c>
    </row>
    <row r="63" spans="1:5">
      <c r="A63" t="str">
        <v>06.3.2</v>
      </c>
      <c r="B63" t="str">
        <v>Material tècnic de recerca
Piles per a treballs de recerca
Material divers per a activitats de recerca
Seguiment de l'estació de lepidòpters CBMS Montsagres i Estrets
SLIC Estrets
Projecte de reintroducció de la tortuga mediterrània al PN Ports: seguiment de la reintroducció de la tortuga mediterrània 
Captura i col·locació emissors rapinyaires
Assegurança dron
Seguiments de flora amenaçada: Orchis cazorlensis, Asplenium sagittatum, Nepeta tuberosa, Lepidium hirtum, Ramonda myconi, Berberis garciae, Arenaria conimbricensis subsp. viridis, Jasione crispa s.l., Botrychium lunaria, Epipactis leptochila i Atropa baetica.
Seguiment anual de les poblacions d'invertebrats amenaçats: Saga pedo, Erebia epistygne, Iolana debilitata, Zygaena ignifera, Macromia splendens, Austropotamobius pallipes
Estudi dels pol·linitzadors al PNP
Seguiment anual de les poblacions reproductores d'àguila cuabarrada Aquila fasciata, àguila calçada Hieraaetus pennatus, àguila marcenca Circaetus gallicus, aufrany Neophron percnopterus, astor Accipiter gentilis, duc Bubo bubo
Seguiment de passeriformes amenaçats (còlit ros, cogullada fosca, botxí)
Projecte de reintroducció del trencalòs: Seguiment del trencalòs Gypaetus barbatus mitjançant fototrampeig als Punts d'alimentació suplementària
Participació en el pla de seguiment del gat fer i altres mesocarnívors (Felis-ICHN)
Participació en el Seguiment d’Ocells Comuns a Catalunya (SOCC)
Col·laboració en els projectes de seguiment de quiròpters (Museu de Ciències Naturals de Granollers)
Seguiment de la llúdriga als espais fluvials del Parc
Seguiment de la recuperació de la biodiversitat en l'àmbit de l'incendi de Paüls</v>
      </c>
      <c r="C63" t="str">
        <v/>
      </c>
      <c r="D63" t="str">
        <v/>
      </c>
      <c r="E63" s="19" t="str">
        <f t="shared" si="1"/>
        <v>Material tècnic de recerca
Piles per a treballs de recerca
Material divers per a activitats de recerca
Seguiment de l'estació de lepidòpters CBMS Montsagres i Estrets
SLIC Estrets
Projecte de reintroducció de la tortuga mediterrània al PN Ports: seguiment de la reintroducció de la tortuga mediterrània 
Captura i col·locació emissors rapinyaires
Assegurança dron
Seguiments de flora amenaçada: Orchis cazorlensis, Asplenium sagittatum, Nepeta tuberosa, Lepidium hirtum, Ramonda myconi, Berberis garciae, Arenaria conimbricensis subsp. viridis, Jasione crispa s.l., Botrychium lunaria, Epipactis leptochila i Atropa baetica.
Seguiment anual de les poblacions d'invertebrats amenaçats: Saga pedo, Erebia epistygne, Iolana debilitata, Zygaena ignifera, Macromia splendens, Austropotamobius pallipes
Estudi dels pol·linitzadors al PNP
Seguiment anual de les poblacions reproductores d'àguila cuabarrada Aquila fasciata, àguila calçada Hieraaetus pennatus, àguila marcenca Circaetus gallicus, aufrany Neophron percnopterus, astor Accipiter gentilis, duc Bubo bubo
Seguiment de passeriformes amenaçats (còlit ros, cogullada fosca, botxí)
Projecte de reintroducció del trencalòs: Seguiment del trencalòs Gypaetus barbatus mitjançant fototrampeig als Punts d'alimentació suplementària
Participació en el pla de seguiment del gat fer i altres mesocarnívors (Felis-ICHN)
Participació en el Seguiment d’Ocells Comuns a Catalunya (SOCC)
Col·laboració en els projectes de seguiment de quiròpters (Museu de Ciències Naturals de Granollers)
Seguiment de la llúdriga als espais fluvials del Parc
Seguiment de la recuperació de la biodiversitat en l'àmbit de l'incendi de Paüls</v>
      </c>
    </row>
    <row r="64" spans="1:5">
      <c r="A64" t="str">
        <v>06.3.3</v>
      </c>
      <c r="B64" t="str">
        <v>Actualitzar les bases de dades dels seguiments que realitza el ENP</v>
      </c>
      <c r="C64" t="str">
        <v/>
      </c>
      <c r="D64" t="str">
        <v/>
      </c>
      <c r="E64" s="19" t="str">
        <f t="shared" si="1"/>
        <v>Actualitzar les bases de dades dels seguiments que realitza el ENP</v>
      </c>
    </row>
    <row r="65" spans="1:5">
      <c r="A65" t="str">
        <v>06.3.4</v>
      </c>
      <c r="B65" t="str">
        <v>Participar en el grups de treball per a la definició i organització del SINATCAT</v>
      </c>
      <c r="C65" t="str">
        <v/>
      </c>
      <c r="D65" t="str">
        <v/>
      </c>
      <c r="E65" s="19" t="str">
        <f t="shared" si="1"/>
        <v>Participar en el grups de treball per a la definició i organització del SINATCAT</v>
      </c>
    </row>
    <row r="66" spans="1:5">
      <c r="A66" t="str">
        <v>06.4.1</v>
      </c>
      <c r="B66" t="str">
        <v>Col·laborar amb el Museu de les Terres de l'Ebre i el Museu de la Pauma de Mas de Barberans per definir línies d'actuació conjunta entre patrimoni cultural i natural</v>
      </c>
      <c r="C66" t="str">
        <v/>
      </c>
      <c r="D66" t="str">
        <v/>
      </c>
      <c r="E66" s="19" t="str">
        <f t="shared" si="1"/>
        <v>Col·laborar amb el Museu de les Terres de l'Ebre i el Museu de la Pauma de Mas de Barberans per definir línies d'actuació conjunta entre patrimoni cultural i natural</v>
      </c>
    </row>
    <row r="67" spans="1:5">
      <c r="A67" t="str">
        <v>06.4.2</v>
      </c>
      <c r="B67" t="str">
        <v>Acollir estudiants en pràctiques en el marc dels convenis amb universitat i centres de recerca</v>
      </c>
      <c r="C67" t="str">
        <v/>
      </c>
      <c r="D67" t="str">
        <v/>
      </c>
      <c r="E67" s="19" t="str">
        <f t="shared" si="1"/>
        <v>Acollir estudiants en pràctiques en el marc dels convenis amb universitat i centres de recerca</v>
      </c>
    </row>
    <row r="68" spans="1:5">
      <c r="A68" t="str">
        <v>06.4.3</v>
      </c>
      <c r="B68" t="str">
        <v/>
      </c>
      <c r="C68" t="str">
        <v/>
      </c>
      <c r="D68" t="str">
        <v xml:space="preserve">Potenciar la ciència ciutadana en l’ENP com a eina per generar coneixement </v>
      </c>
      <c r="E68" s="19" t="str">
        <f t="shared" si="1"/>
        <v xml:space="preserve">Potenciar la ciència ciutadana en l’ENP com a eina per generar coneixement </v>
      </c>
    </row>
    <row r="69" spans="1:5">
      <c r="A69" t="str">
        <v>06.4.4</v>
      </c>
      <c r="B69" t="str">
        <v/>
      </c>
      <c r="C69" t="str">
        <v/>
      </c>
      <c r="D69" t="str">
        <v xml:space="preserve">Crear i desenvolupar jornades de recerca de l'ENP de forma periòdica on els diferents centres mostrin els estudis realizats en l'ENP </v>
      </c>
      <c r="E69" s="19" t="str">
        <f t="shared" ref="E69:E100" si="2">_xlfn.TEXTJOIN(CHAR(10),TRUE,B69,C69,D69)</f>
        <v xml:space="preserve">Crear i desenvolupar jornades de recerca de l'ENP de forma periòdica on els diferents centres mostrin els estudis realizats en l'ENP </v>
      </c>
    </row>
    <row r="70" spans="1:5">
      <c r="A70" t="str">
        <v>06.4.5</v>
      </c>
      <c r="B70" t="str">
        <v>Posar a disposició la casa de Gànduls per a equips de recerca que treballen a l'ENP</v>
      </c>
      <c r="C70" t="str">
        <v/>
      </c>
      <c r="D70" t="str">
        <v/>
      </c>
      <c r="E70" s="19" t="str">
        <f t="shared" si="2"/>
        <v>Posar a disposició la casa de Gànduls per a equips de recerca que treballen a l'ENP</v>
      </c>
    </row>
    <row r="71" spans="1:5">
      <c r="A71" t="str">
        <v>06.4.6</v>
      </c>
      <c r="B71" t="str">
        <v/>
      </c>
      <c r="C71" t="str">
        <v/>
      </c>
      <c r="D71" t="str">
        <v xml:space="preserve">Crear l'Observatori de recerca de l'ENP vinculat a l'Observatori del Patrimoni natural i la biodiversitat </v>
      </c>
      <c r="E71" s="19" t="str">
        <f t="shared" si="2"/>
        <v xml:space="preserve">Crear l'Observatori de recerca de l'ENP vinculat a l'Observatori del Patrimoni natural i la biodiversitat </v>
      </c>
    </row>
    <row r="72" spans="1:5">
      <c r="A72" t="str">
        <v>06.5.1</v>
      </c>
      <c r="B72" t="str">
        <v>Participar en la definició del sistema estándard de seguiment de l'ús públic amb el SENP</v>
      </c>
      <c r="C72" t="str">
        <v/>
      </c>
      <c r="D72" t="str">
        <v/>
      </c>
      <c r="E72" s="19" t="str">
        <f t="shared" si="2"/>
        <v>Participar en la definició del sistema estándard de seguiment de l'ús públic amb el SENP</v>
      </c>
    </row>
    <row r="73" spans="1:5">
      <c r="A73" t="str">
        <v>06.5.2</v>
      </c>
      <c r="B73" t="str">
        <v>Manteniment dels comptadors de vehicles
Seguiment dels serveis d'informació i educació ambiental
A.3.5.1. Revisió i millora del sistema de recollida de dades turístiques dut a terme pel PN, les oficines de turisme i pels empresaris turístics a fi de sistematitzar el procés (CETS)
A.3.5.2. Estudi de viabilitat d'una eina 'big data' per al seguiment de visitants a determinats punts del PN (CETS)</v>
      </c>
      <c r="C73" t="str">
        <v/>
      </c>
      <c r="D73" t="str">
        <v/>
      </c>
      <c r="E73" s="19" t="str">
        <f t="shared" si="2"/>
        <v>Manteniment dels comptadors de vehicles
Seguiment dels serveis d'informació i educació ambiental
A.3.5.1. Revisió i millora del sistema de recollida de dades turístiques dut a terme pel PN, les oficines de turisme i pels empresaris turístics a fi de sistematitzar el procés (CETS)
A.3.5.2. Estudi de viabilitat d'una eina 'big data' per al seguiment de visitants a determinats punts del PN (CETS)</v>
      </c>
    </row>
    <row r="74" spans="1:5">
      <c r="A74" t="str">
        <v>06.5.3</v>
      </c>
      <c r="B74" t="str">
        <v/>
      </c>
      <c r="C74" t="str">
        <v/>
      </c>
      <c r="D74" t="str">
        <v/>
      </c>
      <c r="E74" s="19" t="str">
        <f t="shared" si="2"/>
        <v/>
      </c>
    </row>
    <row r="75" spans="1:5">
      <c r="A75" t="str">
        <v>06.5.4</v>
      </c>
      <c r="B75" t="str">
        <v/>
      </c>
      <c r="C75" t="str">
        <v/>
      </c>
      <c r="D75" t="str">
        <v/>
      </c>
      <c r="E75" s="19" t="str">
        <f t="shared" si="2"/>
        <v/>
      </c>
    </row>
    <row r="76" spans="1:5">
      <c r="A76" t="str">
        <v>06.5.5</v>
      </c>
      <c r="B76" t="str">
        <v/>
      </c>
      <c r="C76" t="str">
        <v/>
      </c>
      <c r="D76" t="str">
        <v>Adaptar i mantenir un registre i cartografia d'activitats, actors i inciències en ús públic (curses, conflictes, queixes, etc)</v>
      </c>
      <c r="E76" s="19" t="str">
        <f t="shared" si="2"/>
        <v>Adaptar i mantenir un registre i cartografia d'activitats, actors i inciències en ús públic (curses, conflictes, queixes, etc)</v>
      </c>
    </row>
    <row r="77" spans="1:5">
      <c r="A77" t="str">
        <v>06.5.6</v>
      </c>
      <c r="B77" t="str">
        <v>Diagnosi de la identificació dels impactes (positius i negatius) que generen les activitats d'ús públic dins l'ENP</v>
      </c>
      <c r="C77" t="str">
        <v/>
      </c>
      <c r="D77" t="str">
        <v/>
      </c>
      <c r="E77" s="19" t="str">
        <f t="shared" si="2"/>
        <v>Diagnosi de la identificació dels impactes (positius i negatius) que generen les activitats d'ús públic dins l'ENP</v>
      </c>
    </row>
    <row r="78" spans="1:5">
      <c r="A78" t="str">
        <v>07.1.1</v>
      </c>
      <c r="B78" t="str">
        <v>Col·laborar en el pla "Treball a les Comarques" Terra Alta Més del Servei d'Ocupació de Catalunya (SOC)
Col·laborar en el pla "Treball a les Comarques" Baix Ebre Avant del Servei d'Ocupació de Catalunya (SOC)
Col·laborar en el pla "Treball a les Comarques" Agència de desenvolupament del Montsià del Servei d'Ocupació de Catalunya (SOC)</v>
      </c>
      <c r="C78" t="str">
        <v/>
      </c>
      <c r="D78" t="str">
        <v>Promoure i/o col·laborar en la planificació i el desenvolupament sostenible en l’àmbit local</v>
      </c>
      <c r="E78" s="19" t="str">
        <f t="shared" si="2"/>
        <v>Col·laborar en el pla "Treball a les Comarques" Terra Alta Més del Servei d'Ocupació de Catalunya (SOC)
Col·laborar en el pla "Treball a les Comarques" Baix Ebre Avant del Servei d'Ocupació de Catalunya (SOC)
Col·laborar en el pla "Treball a les Comarques" Agència de desenvolupament del Montsià del Servei d'Ocupació de Catalunya (SOC)
Promoure i/o col·laborar en la planificació i el desenvolupament sostenible en l’àmbit local</v>
      </c>
    </row>
    <row r="79" spans="1:5">
      <c r="A79" t="str">
        <v>08.1.1</v>
      </c>
      <c r="B79" t="str">
        <v>2.1.3. Assessorament i acompanyament individualitzat (PRODUCT)
2.2.2. Elaborar estudis o diagnosis específiques sobre particularitats de la producció agroalimentària de l’àmbit del Parc (PRODUCT)
5.1.1. Assessorament en la gestió de la finca (PRODUCT)</v>
      </c>
      <c r="C79" t="str">
        <v/>
      </c>
      <c r="D79" t="str">
        <v/>
      </c>
      <c r="E79" s="19" t="str">
        <f t="shared" si="2"/>
        <v>2.1.3. Assessorament i acompanyament individualitzat (PRODUCT)
2.2.2. Elaborar estudis o diagnosis específiques sobre particularitats de la producció agroalimentària de l’àmbit del Parc (PRODUCT)
5.1.1. Assessorament en la gestió de la finca (PRODUCT)</v>
      </c>
    </row>
    <row r="80" spans="1:5">
      <c r="A80" t="str">
        <v>08.1.2</v>
      </c>
      <c r="B80" t="str">
        <v>2.1.1. Coordinació i/o impartició de formació especialitzada adreçada a productors agroalimentaris i artesans per aprendre a valoritzar el propi producte (PRODUCT)
2.1.2. Organització de jornades tècniques formatives (PRODUCT)</v>
      </c>
      <c r="C80" t="str">
        <v/>
      </c>
      <c r="D80" t="str">
        <v/>
      </c>
      <c r="E80" s="19" t="str">
        <f t="shared" si="2"/>
        <v>2.1.1. Coordinació i/o impartició de formació especialitzada adreçada a productors agroalimentaris i artesans per aprendre a valoritzar el propi producte (PRODUCT)
2.1.2. Organització de jornades tècniques formatives (PRODUCT)</v>
      </c>
    </row>
    <row r="81" spans="1:5">
      <c r="A81" t="str">
        <v>08.1.3</v>
      </c>
      <c r="B81" t="str">
        <v xml:space="preserve">Treballs de brigada per a la recuperació de marges i punts d'aigua d'interès per a la flora i la flora en explotacions ramaderes i agrícoles </v>
      </c>
      <c r="C81" t="str">
        <v/>
      </c>
      <c r="D81" t="str">
        <v/>
      </c>
      <c r="E81" s="19" t="str">
        <f t="shared" si="2"/>
        <v xml:space="preserve">Treballs de brigada per a la recuperació de marges i punts d'aigua d'interès per a la flora i la flora en explotacions ramaderes i agrícoles </v>
      </c>
    </row>
    <row r="82" spans="1:5">
      <c r="A82" t="str">
        <v>08.2.1</v>
      </c>
      <c r="B82" t="str">
        <v/>
      </c>
      <c r="C82" t="str">
        <v/>
      </c>
      <c r="D82" t="str">
        <v/>
      </c>
      <c r="E82" s="19" t="str">
        <f t="shared" si="2"/>
        <v/>
      </c>
    </row>
    <row r="83" spans="1:5">
      <c r="A83" t="str">
        <v>08.3.1</v>
      </c>
      <c r="B83" t="str">
        <v>3.2.1. Orientació sobre la normativa en l’etiquetatge dels productes (PRODUCT)</v>
      </c>
      <c r="C83" t="str">
        <v/>
      </c>
      <c r="D83" t="str">
        <v/>
      </c>
      <c r="E83" s="19" t="str">
        <f t="shared" si="2"/>
        <v>3.2.1. Orientació sobre la normativa en l’etiquetatge dels productes (PRODUCT)</v>
      </c>
    </row>
    <row r="84" spans="1:5">
      <c r="A84" t="str">
        <v>08.3.2</v>
      </c>
      <c r="B84" t="str">
        <v>A.3.1. Elaboració d'un directori digital de productes artesans (ARTESAN): manteniment del directori existent
A.4.4. Foment de la venda i comercialització de productes artesans als Punts d'informació del PNP (ARTESAN)
3.2.2. Potenciar els Centres de visitants del Parc Natural dels Ports a Roquetes, Prat de Comte i la Sénia, així com l'Alberg a Alfara de Carles per a la venda conjunta dels productes locals i artesanals (PRODUCT)
1.1.2. Crear un apartat específic sobre la producció local i artesana del Parc Natural al web oficial del Parc Natural dels Ports (PRODUCT): manteniment del directori existent
3.1.2. Elaborar material de marxandatge amb aquest segell o distintiu (PRODUCT)
1.1.3. Elaborar material divulgatiu sobre alguna particularitat de la producció local del Parc per fomentar el consum local o dels visitants (PRODUCT): col·laboració amb el LEADER i GAL per dissenyar i produir material divulgatiu
1.1.4. Crear un Catàleg d’experiències turístiques en base al producte local i l’artesania (PRODUCT)
2.1.4. Potenciar les experiències entorn de l’oleoturisme, en particular, ja que l’oli és el producte agroalimentari amb més presència en l’àmbit del Parc Natural dels Ports (PRODUCT)</v>
      </c>
      <c r="C84" t="str">
        <v/>
      </c>
      <c r="D84" t="str">
        <v/>
      </c>
      <c r="E84" s="19" t="str">
        <f t="shared" si="2"/>
        <v>A.3.1. Elaboració d'un directori digital de productes artesans (ARTESAN): manteniment del directori existent
A.4.4. Foment de la venda i comercialització de productes artesans als Punts d'informació del PNP (ARTESAN)
3.2.2. Potenciar els Centres de visitants del Parc Natural dels Ports a Roquetes, Prat de Comte i la Sénia, així com l'Alberg a Alfara de Carles per a la venda conjunta dels productes locals i artesanals (PRODUCT)
1.1.2. Crear un apartat específic sobre la producció local i artesana del Parc Natural al web oficial del Parc Natural dels Ports (PRODUCT): manteniment del directori existent
3.1.2. Elaborar material de marxandatge amb aquest segell o distintiu (PRODUCT)
1.1.3. Elaborar material divulgatiu sobre alguna particularitat de la producció local del Parc per fomentar el consum local o dels visitants (PRODUCT): col·laboració amb el LEADER i GAL per dissenyar i produir material divulgatiu
1.1.4. Crear un Catàleg d’experiències turístiques en base al producte local i l’artesania (PRODUCT)
2.1.4. Potenciar les experiències entorn de l’oleoturisme, en particular, ja que l’oli és el producte agroalimentari amb més presència en l’àmbit del Parc Natural dels Ports (PRODUCT)</v>
      </c>
    </row>
    <row r="85" spans="1:5">
      <c r="A85" t="str">
        <v>08.3.3</v>
      </c>
      <c r="B85" t="str">
        <v>A.4.1.2. Reforç de la presència del parc natural a les fires locals de l'àrea d'influència de l'espai protegit (CETS)
A.2.3. Creació d'una exposició itinerant de productes artesans que viatgés pels diferents punts d'informació dels Ports: itinerància de l'exposició als pobles de l'àmbit del Parc
A.4.3. Disseny, promoció i comercialització de productes artesans de marxandatge dels Ports (ARTESAN): creació de marxandatge artesà en motiu del 25è aniversari del Parc
1.2.5. Programa de tallers i activitats que es poguessin organitzar de forma conjunta entre el Parc Natural i les empreses productores i artesanes (PRODUCT): demostracions i tallers d'artesania en fires locals
3.3.1. Suport a la dinamització de fires especialitzades entorn dels productes agroalimentaris (PRODUCT): participació a FesTast amb els productors Fet al Parc
3.3.2. Suport a les empreses locals per participar en fires nacionals o internacionals (PRODUCT)</v>
      </c>
      <c r="C85" t="str">
        <v/>
      </c>
      <c r="D85" t="str">
        <v/>
      </c>
      <c r="E85" s="19" t="str">
        <f t="shared" si="2"/>
        <v>A.4.1.2. Reforç de la presència del parc natural a les fires locals de l'àrea d'influència de l'espai protegit (CETS)
A.2.3. Creació d'una exposició itinerant de productes artesans que viatgés pels diferents punts d'informació dels Ports: itinerància de l'exposició als pobles de l'àmbit del Parc
A.4.3. Disseny, promoció i comercialització de productes artesans de marxandatge dels Ports (ARTESAN): creació de marxandatge artesà en motiu del 25è aniversari del Parc
1.2.5. Programa de tallers i activitats que es poguessin organitzar de forma conjunta entre el Parc Natural i les empreses productores i artesanes (PRODUCT): demostracions i tallers d'artesania en fires locals
3.3.1. Suport a la dinamització de fires especialitzades entorn dels productes agroalimentaris (PRODUCT): participació a FesTast amb els productors Fet al Parc
3.3.2. Suport a les empreses locals per participar en fires nacionals o internacionals (PRODUCT)</v>
      </c>
    </row>
    <row r="86" spans="1:5">
      <c r="A86" t="str">
        <v>08.3.4</v>
      </c>
      <c r="B86" t="str">
        <v>4.2.1. Organització de networkings entre productors agroalimentaris i artesans amb comerços, restaurants i allotjaments turístics dels municipis de l’àmbit del Parc Natural (PRODUCT): reunions periòdiques de la comissió dels productors agroalimentaris Fet al Parc
4.2.2 Organització de jornades gastronòmiques amb producte elaborat/produït al Parc Natural i restaurants de municipis del Parc o de l’entorn proper (PRODUCT): organització en col·laboració amb els GAL del LEADER en l'organització de showcooking amb productes Fet al Parc</v>
      </c>
      <c r="C86" t="str">
        <v/>
      </c>
      <c r="D86" t="str">
        <v/>
      </c>
      <c r="E86" s="19" t="str">
        <f t="shared" si="2"/>
        <v>4.2.1. Organització de networkings entre productors agroalimentaris i artesans amb comerços, restaurants i allotjaments turístics dels municipis de l’àmbit del Parc Natural (PRODUCT): reunions periòdiques de la comissió dels productors agroalimentaris Fet al Parc
4.2.2 Organització de jornades gastronòmiques amb producte elaborat/produït al Parc Natural i restaurants de municipis del Parc o de l’entorn proper (PRODUCT): organització en col·laboració amb els GAL del LEADER en l'organització de showcooking amb productes Fet al Parc</v>
      </c>
    </row>
    <row r="87" spans="1:5">
      <c r="A87" t="str">
        <v>08.3.5</v>
      </c>
      <c r="B87" t="str">
        <v/>
      </c>
      <c r="C87" t="str">
        <v/>
      </c>
      <c r="D87" t="str">
        <v>Actualitzar la diagnosi del teixit productiu local i un pla d’acció amb línies de treball i actuacions concretes per donar-li suport</v>
      </c>
      <c r="E87" s="19" t="str">
        <f t="shared" si="2"/>
        <v>Actualitzar la diagnosi del teixit productiu local i un pla d’acció amb línies de treball i actuacions concretes per donar-li suport</v>
      </c>
    </row>
    <row r="88" spans="1:5">
      <c r="A88" t="str">
        <v>08.3.6</v>
      </c>
      <c r="B88" t="str">
        <v>1.1.1 Elaborar un Directori dels productors/es i artesans/es del Parc Natural dels Ports: manteniment del directori web
Promocionar l’artesania dins del programa lectiu de les escoles.
A.3.5. Elaboració d'un catàleg d'artesans/es a disposició del públic als punts d'informació (ARTESAN)</v>
      </c>
      <c r="C88" t="str">
        <v/>
      </c>
      <c r="D88" t="str">
        <v/>
      </c>
      <c r="E88" s="19" t="str">
        <f t="shared" si="2"/>
        <v>1.1.1 Elaborar un Directori dels productors/es i artesans/es del Parc Natural dels Ports: manteniment del directori web
Promocionar l’artesania dins del programa lectiu de les escoles.
A.3.5. Elaboració d'un catàleg d'artesans/es a disposició del públic als punts d'informació (ARTESAN)</v>
      </c>
    </row>
    <row r="89" spans="1:5">
      <c r="A89" t="str">
        <v>08.3.7</v>
      </c>
      <c r="B89" t="str">
        <v>0. Coordinació i seguiment del Pla d'artesania: Actualització del Pla d'artesania (ARTESAN)
A.3.10. Creació d'un canal directe de comunicació amb el PN per a la difusió de l'activitat artesana (ARTESAN): manteniment del canal de comunicació</v>
      </c>
      <c r="C89" t="str">
        <v/>
      </c>
      <c r="D89" t="str">
        <v/>
      </c>
      <c r="E89" s="19" t="str">
        <f t="shared" si="2"/>
        <v>0. Coordinació i seguiment del Pla d'artesania: Actualització del Pla d'artesania (ARTESAN)
A.3.10. Creació d'un canal directe de comunicació amb el PN per a la difusió de l'activitat artesana (ARTESAN): manteniment del canal de comunicació</v>
      </c>
    </row>
    <row r="90" spans="1:5">
      <c r="A90" t="str">
        <v>08.3.8</v>
      </c>
      <c r="B90" t="str">
        <v>0. Coordinació i seguiment del Pla d'acció de la Diagnosi dels productors i productores locals del PNP (PRODUCT)
2.2.4. Estudi de la traçabilitat de la producció agrícola i ramadera (PRODUCT)
4.1.1. Suport a la dinamització de col·lectius de productors i/o artesans (PRODUCT)</v>
      </c>
      <c r="C90" t="str">
        <v/>
      </c>
      <c r="D90" t="str">
        <v/>
      </c>
      <c r="E90" s="19" t="str">
        <f t="shared" si="2"/>
        <v>0. Coordinació i seguiment del Pla d'acció de la Diagnosi dels productors i productores locals del PNP (PRODUCT)
2.2.4. Estudi de la traçabilitat de la producció agrícola i ramadera (PRODUCT)
4.1.1. Suport a la dinamització de col·lectius de productors i/o artesans (PRODUCT)</v>
      </c>
    </row>
    <row r="91" spans="1:5">
      <c r="A91" t="str">
        <v>08.4.1</v>
      </c>
      <c r="B91" t="str">
        <v>Participar en la revisió i el desenvolupament del protocol de col·laboració entre la Direcció General d’Ecosistemes Forestals i Gestió del Medi i la Direcció General de Polítiques Ambientals i Medi Natural per la que s’estableixen els criteris de treball entre les Reserves Nacionals de Caça i els Espais Naturals Protegits
Elaborar els informes ambientals dels PTGC de les Àrees Privades de Caça
Regular les batudes de caça als territoris de reproducció dels rapinyaires
Instar a la Subdirecció General de Fauna Cinegètica, Caça i Pesca Continental a millorar la informació disponible a l'avançada i en temps real sobre les batudes de caça</v>
      </c>
      <c r="C91" t="str">
        <v/>
      </c>
      <c r="D91" t="str">
        <v/>
      </c>
      <c r="E91" s="19" t="str">
        <f t="shared" si="2"/>
        <v>Participar en la revisió i el desenvolupament del protocol de col·laboració entre la Direcció General d’Ecosistemes Forestals i Gestió del Medi i la Direcció General de Polítiques Ambientals i Medi Natural per la que s’estableixen els criteris de treball entre les Reserves Nacionals de Caça i els Espais Naturals Protegits
Elaborar els informes ambientals dels PTGC de les Àrees Privades de Caça
Regular les batudes de caça als territoris de reproducció dels rapinyaires
Instar a la Subdirecció General de Fauna Cinegètica, Caça i Pesca Continental a millorar la informació disponible a l'avançada i en temps real sobre les batudes de caça</v>
      </c>
    </row>
    <row r="92" spans="1:5">
      <c r="A92" t="str">
        <v>08.4.2</v>
      </c>
      <c r="B92" t="str">
        <v/>
      </c>
      <c r="C92" t="str">
        <v/>
      </c>
      <c r="D92" t="str">
        <v/>
      </c>
      <c r="E92" s="19" t="str">
        <f t="shared" si="2"/>
        <v/>
      </c>
    </row>
    <row r="93" spans="1:5">
      <c r="A93" t="str">
        <v>08.4.3</v>
      </c>
      <c r="B93" t="str">
        <v>Elaborar els informes ambientals de les autoritzacions de les batudes excepcionals per danys agrícoles i ramaders</v>
      </c>
      <c r="C93" t="str">
        <v/>
      </c>
      <c r="D93" t="str">
        <v/>
      </c>
      <c r="E93" s="19" t="str">
        <f t="shared" si="2"/>
        <v>Elaborar els informes ambientals de les autoritzacions de les batudes excepcionals per danys agrícoles i ramaders</v>
      </c>
    </row>
    <row r="94" spans="1:5">
      <c r="A94" t="str">
        <v>09.1.1</v>
      </c>
      <c r="B94" t="str">
        <v>A.1.1.1. Formalització del Fòrum Permanent com a instrument d'informació, participació i decisió de tots els agents turístics adherits a la CETS (CETS): gestió i manteniment de les reunions del Fòrum Permanent
A.1.1.2. Formalització del Grup de Treball com a instrument de seguiment, coordinació i decisió immediata de tots els agents turístics adherits a la CETS (CETS): gestió i manteniment de les reunions del GT
A.1.1.4. Dotació de recursos humans per realitzar les tasques de coordinació de la CETS al PN (CETS): Tasques de suport a l'Àrea d'ús públic (contracte Assistència tècnica de suport a la CETS)
A.1.2.1. Disseny i execució d'activitats d'intercanvi de coneixement entre el sector públic i privat per a la generació de xarxes i espais de treball comú (CETS)
A.1.2.2. Participació activa del PN a la xarxa de parcs adherits a la CETS (CETS): participar en la CETSCAT i en el Seminari permanent de la CETS d'EUROPARC.
A.1.3.1. Seguiment i avaluació del procés d'implantació de la CETS al PN durant el període 2022-2026 (CETS)
A.2.3.1. Impuls d'accions d'Educació i Voluntariat Ambiental en l'àmbit educatiu i de la població local (CETS)
A.5.1.1. Elaborar i executar el Pla de comunicació de la CETS (CETS): Servei de realització de fotografies i vídeos d'empreses adherides a la Carta Europea de Turisme Sostenible del Parc Natural dels Ports
A.3.2.1. Acreditació d'espais com a punts d'informació i acreditació de persones com a agents informadors del Parc Natural (CETS): Senyalització Espai informació CETS</v>
      </c>
      <c r="C94" t="str">
        <v/>
      </c>
      <c r="D94" t="str">
        <v/>
      </c>
      <c r="E94" s="19" t="str">
        <f t="shared" si="2"/>
        <v>A.1.1.1. Formalització del Fòrum Permanent com a instrument d'informació, participació i decisió de tots els agents turístics adherits a la CETS (CETS): gestió i manteniment de les reunions del Fòrum Permanent
A.1.1.2. Formalització del Grup de Treball com a instrument de seguiment, coordinació i decisió immediata de tots els agents turístics adherits a la CETS (CETS): gestió i manteniment de les reunions del GT
A.1.1.4. Dotació de recursos humans per realitzar les tasques de coordinació de la CETS al PN (CETS): Tasques de suport a l'Àrea d'ús públic (contracte Assistència tècnica de suport a la CETS)
A.1.2.1. Disseny i execució d'activitats d'intercanvi de coneixement entre el sector públic i privat per a la generació de xarxes i espais de treball comú (CETS)
A.1.2.2. Participació activa del PN a la xarxa de parcs adherits a la CETS (CETS): participar en la CETSCAT i en el Seminari permanent de la CETS d'EUROPARC.
A.1.3.1. Seguiment i avaluació del procés d'implantació de la CETS al PN durant el període 2022-2026 (CETS)
A.2.3.1. Impuls d'accions d'Educació i Voluntariat Ambiental en l'àmbit educatiu i de la població local (CETS)
A.5.1.1. Elaborar i executar el Pla de comunicació de la CETS (CETS): Servei de realització de fotografies i vídeos d'empreses adherides a la Carta Europea de Turisme Sostenible del Parc Natural dels Ports
A.3.2.1. Acreditació d'espais com a punts d'informació i acreditació de persones com a agents informadors del Parc Natural (CETS): Senyalització Espai informació CETS</v>
      </c>
    </row>
    <row r="95" spans="1:5">
      <c r="A95" t="str">
        <v>09.1.2</v>
      </c>
      <c r="B95" t="str">
        <v/>
      </c>
      <c r="C95" t="str">
        <v/>
      </c>
      <c r="D95" t="str">
        <v/>
      </c>
      <c r="E95" s="19" t="str">
        <f t="shared" si="2"/>
        <v/>
      </c>
    </row>
    <row r="96" spans="1:5">
      <c r="A96" t="str">
        <v>09.1.3</v>
      </c>
      <c r="B96" t="str">
        <v/>
      </c>
      <c r="C96" t="str">
        <v/>
      </c>
      <c r="D96" t="str">
        <v>Fomentar la creació d'allotjaments i altres recursos turístics d'acord amb les necessitats i els agents turístics del territori que es vinculin als valors naturals de l'espai</v>
      </c>
      <c r="E96" s="19" t="str">
        <f t="shared" si="2"/>
        <v>Fomentar la creació d'allotjaments i altres recursos turístics d'acord amb les necessitats i els agents turístics del territori que es vinculin als valors naturals de l'espai</v>
      </c>
    </row>
    <row r="97" spans="1:5">
      <c r="A97" t="str">
        <v>09.2.1</v>
      </c>
      <c r="B97" t="str">
        <v>Participar en el Consell de Marca "Terres de l'Ebre" de l'OA Patronat de Turisme de la Diputació de Tarragona
A.4.3.1. Realització de workshops entre centres de formació professional i empreses privades (CETS)</v>
      </c>
      <c r="C97" t="str">
        <v/>
      </c>
      <c r="D97" t="str">
        <v/>
      </c>
      <c r="E97" s="19" t="str">
        <f t="shared" si="2"/>
        <v>Participar en el Consell de Marca "Terres de l'Ebre" de l'OA Patronat de Turisme de la Diputació de Tarragona
A.4.3.1. Realització de workshops entre centres de formació professional i empreses privades (CETS)</v>
      </c>
    </row>
    <row r="98" spans="1:5">
      <c r="A98" t="str">
        <v>09.2.2</v>
      </c>
      <c r="B98" t="str">
        <v>A.4.2.6. Organització i execució de viatges de familiarització amb Aragó i Castelló per a la creació de productes turístics compartits (CETS)
A.4.2.7. Establir col·laboracions amb el PN Delta de l’Ebre per a impulsar nous productes turístics i millorar els existents (CETS)
A.3.4.2. Disseny i promoció d'un catàleg d'experiències turístiques (CETS)</v>
      </c>
      <c r="C98" t="str">
        <v/>
      </c>
      <c r="D98" t="str">
        <v/>
      </c>
      <c r="E98" s="19" t="str">
        <f t="shared" si="2"/>
        <v>A.4.2.6. Organització i execució de viatges de familiarització amb Aragó i Castelló per a la creació de productes turístics compartits (CETS)
A.4.2.7. Establir col·laboracions amb el PN Delta de l’Ebre per a impulsar nous productes turístics i millorar els existents (CETS)
A.3.4.2. Disseny i promoció d'un catàleg d'experiències turístiques (CETS)</v>
      </c>
    </row>
    <row r="99" spans="1:5">
      <c r="A99" t="str">
        <v>10.1.1</v>
      </c>
      <c r="B99" t="str">
        <v>Difondre la guia de bones pràctiques d'arquitectura tradicional entre propietaris, promotors i professionals de la construcció</v>
      </c>
      <c r="C99" t="str">
        <v/>
      </c>
      <c r="D99" t="str">
        <v/>
      </c>
      <c r="E99" s="19" t="str">
        <f t="shared" si="2"/>
        <v>Difondre la guia de bones pràctiques d'arquitectura tradicional entre propietaris, promotors i professionals de la construcció</v>
      </c>
    </row>
    <row r="100" spans="1:5">
      <c r="A100" t="str">
        <v>10.1.2</v>
      </c>
      <c r="B100" t="str">
        <v/>
      </c>
      <c r="C100" t="str">
        <v/>
      </c>
      <c r="D100" t="str">
        <v>Ordenar els aprofitaments i extraccions dins l'espai</v>
      </c>
      <c r="E100" s="19" t="str">
        <f t="shared" si="2"/>
        <v>Ordenar els aprofitaments i extraccions dins l'espai</v>
      </c>
    </row>
    <row r="101" spans="1:5">
      <c r="A101" t="str">
        <v>11.1.1</v>
      </c>
      <c r="B101" t="str">
        <v>Aplicar la regulació de l'acampada i la pernoctació segons el Decret 148/1992 i els acords de la Junta Rectora del Parc</v>
      </c>
      <c r="C101" t="str">
        <v/>
      </c>
      <c r="D101" t="str">
        <v/>
      </c>
      <c r="E101" s="19" t="str">
        <f t="shared" ref="E101:E132" si="3">_xlfn.TEXTJOIN(CHAR(10),TRUE,B101,C101,D101)</f>
        <v>Aplicar la regulació de l'acampada i la pernoctació segons el Decret 148/1992 i els acords de la Junta Rectora del Parc</v>
      </c>
    </row>
    <row r="102" spans="1:5">
      <c r="A102" t="str">
        <v>11.1.2</v>
      </c>
      <c r="B102" t="str">
        <v>A.2.1.4. Ordenació i planificació de l'activitat ciclista al PN (CETS): creació de la comissió de Junta rectora de regulació de la circulació rodada no motoritzada</v>
      </c>
      <c r="C102" t="str">
        <v/>
      </c>
      <c r="D102" t="str">
        <v/>
      </c>
      <c r="E102" s="19" t="str">
        <f t="shared" si="3"/>
        <v>A.2.1.4. Ordenació i planificació de l'activitat ciclista al PN (CETS): creació de la comissió de Junta rectora de regulació de la circulació rodada no motoritzada</v>
      </c>
    </row>
    <row r="103" spans="1:5">
      <c r="A103" t="str">
        <v>11.1.3</v>
      </c>
      <c r="B103" t="str">
        <v>Seguiment de la Comissió per a la regulació de l'escalada al Parc Natural dels Ports
Seguiment de la Comissió per a la Regulació del Descens de Barrancs al Parc Natural dels Ports
Seguiment de la Comissió per a la Regulació de l'Espeleologia al Parc Natural dels Ports
Tancament de la Comissió per a la Regulació de les Vies Ferrades al Parc Natural dels Ports i presentació a la Junta rectora
Aplicar la regulació de l'escalada, el barranquisme i l'espeleologia d'acord amb el Decret 148/1992 i els acords de la Junta rectora del Parc</v>
      </c>
      <c r="C103" t="str">
        <v/>
      </c>
      <c r="D103" t="str">
        <v/>
      </c>
      <c r="E103" s="19" t="str">
        <f t="shared" si="3"/>
        <v>Seguiment de la Comissió per a la regulació de l'escalada al Parc Natural dels Ports
Seguiment de la Comissió per a la Regulació del Descens de Barrancs al Parc Natural dels Ports
Seguiment de la Comissió per a la Regulació de l'Espeleologia al Parc Natural dels Ports
Tancament de la Comissió per a la Regulació de les Vies Ferrades al Parc Natural dels Ports i presentació a la Junta rectora
Aplicar la regulació de l'escalada, el barranquisme i l'espeleologia d'acord amb el Decret 148/1992 i els acords de la Junta rectora del Parc</v>
      </c>
    </row>
    <row r="104" spans="1:5">
      <c r="A104" t="str">
        <v>11.1.4</v>
      </c>
      <c r="B104" t="str">
        <v>Aplicar la regulació de les curses i altres activitats esportives organitzades d'acord amb el Decret 148/1992 i els acords de la Junta rectora del Parc</v>
      </c>
      <c r="C104" t="str">
        <v/>
      </c>
      <c r="D104" t="str">
        <v/>
      </c>
      <c r="E104" s="19" t="str">
        <f t="shared" si="3"/>
        <v>Aplicar la regulació de les curses i altres activitats esportives organitzades d'acord amb el Decret 148/1992 i els acords de la Junta rectora del Parc</v>
      </c>
    </row>
    <row r="105" spans="1:5">
      <c r="A105" t="str">
        <v>11.1.5</v>
      </c>
      <c r="B105" t="str">
        <v>Aplicar la regulació dels enregistraments i l'observació de fauna i natura d'acord amb el Decret 148/1992</v>
      </c>
      <c r="C105" t="str">
        <v/>
      </c>
      <c r="D105" t="str">
        <v/>
      </c>
      <c r="E105" s="19" t="str">
        <f t="shared" si="3"/>
        <v>Aplicar la regulació dels enregistraments i l'observació de fauna i natura d'acord amb el Decret 148/1992</v>
      </c>
    </row>
    <row r="106" spans="1:5">
      <c r="A106" t="str">
        <v>11.1.6</v>
      </c>
      <c r="B106" t="str">
        <v>Aplicar la regulació de les activitats científiques en base la normativa vigent</v>
      </c>
      <c r="C106" t="str">
        <v/>
      </c>
      <c r="D106" t="str">
        <v/>
      </c>
      <c r="E106" s="19" t="str">
        <f t="shared" si="3"/>
        <v>Aplicar la regulació de les activitats científiques en base la normativa vigent</v>
      </c>
    </row>
    <row r="107" spans="1:5">
      <c r="A107" t="str">
        <v>11.1.7</v>
      </c>
      <c r="B107" t="str">
        <v>Aplicar la regulació de les zones de bany d'acord amb el Decret 148/1992 i els acords de Junta rectora del Parc, i les ordenances municipals de regulació d'accessos a les zones de bany
A.1.1.3. Creació d'una taula de treball per a l'adequació i la concreció de mesures per controlar l'afluència de visitants en determinats punts (CETS): activació del Grup de treball de la regulació de les zones de bany en ENP a la Terra Alta</v>
      </c>
      <c r="C107" t="str">
        <v/>
      </c>
      <c r="D107" t="str">
        <v/>
      </c>
      <c r="E107" s="19" t="str">
        <f t="shared" si="3"/>
        <v>Aplicar la regulació de les zones de bany d'acord amb el Decret 148/1992 i els acords de Junta rectora del Parc, i les ordenances municipals de regulació d'accessos a les zones de bany
A.1.1.3. Creació d'una taula de treball per a l'adequació i la concreció de mesures per controlar l'afluència de visitants en determinats punts (CETS): activació del Grup de treball de la regulació de les zones de bany en ENP a la Terra Alta</v>
      </c>
    </row>
    <row r="108" spans="1:5">
      <c r="A108" t="str">
        <v>11.1.8</v>
      </c>
      <c r="B108" t="str">
        <v>Promoure la regulació de l'enlairament i aterratge sense motor</v>
      </c>
      <c r="C108" t="str">
        <v/>
      </c>
      <c r="D108" t="str">
        <v/>
      </c>
      <c r="E108" s="19" t="str">
        <f t="shared" si="3"/>
        <v>Promoure la regulació de l'enlairament i aterratge sense motor</v>
      </c>
    </row>
    <row r="109" spans="1:5">
      <c r="A109" t="str">
        <v>11.1.9</v>
      </c>
      <c r="B109" t="str">
        <v/>
      </c>
      <c r="C109" t="str">
        <v/>
      </c>
      <c r="D109" t="str">
        <v/>
      </c>
      <c r="E109" s="19" t="str">
        <f t="shared" si="3"/>
        <v/>
      </c>
    </row>
    <row r="110" spans="1:5">
      <c r="A110" t="str">
        <v>11.1.10</v>
      </c>
      <c r="B110" t="str">
        <v/>
      </c>
      <c r="C110" t="str">
        <v/>
      </c>
      <c r="D110" t="str">
        <v/>
      </c>
      <c r="E110" s="19" t="str">
        <f t="shared" si="3"/>
        <v/>
      </c>
    </row>
    <row r="111" spans="1:5">
      <c r="A111" t="str">
        <v>11.1.11</v>
      </c>
      <c r="B111" t="str">
        <v>Aplicar la regulació de la presència d'animals de companyia
Impulsar campanyes de sensibilització adreçades als visitants que accedeixen al Parc amb gossos, recordant que, en zones de protecció especial, els animals han d’anar lligats</v>
      </c>
      <c r="C111" t="str">
        <v/>
      </c>
      <c r="D111" t="str">
        <v/>
      </c>
      <c r="E111" s="19" t="str">
        <f t="shared" si="3"/>
        <v>Aplicar la regulació de la presència d'animals de companyia
Impulsar campanyes de sensibilització adreçades als visitants que accedeixen al Parc amb gossos, recordant que, en zones de protecció especial, els animals han d’anar lligats</v>
      </c>
    </row>
    <row r="112" spans="1:5">
      <c r="A112" t="str">
        <v>11.1.12</v>
      </c>
      <c r="B112" t="str">
        <v>A.3.1.1. Establiment d‟un model per a l'ordenació de l'activitat dels guies intèrprets del Parc Natural Parc (CETS)
Aplicar la regulació de les activitats d'educació ambiental i el lleure educatiu d'acord amb el Decret 148/1992 i els acords de Junta rectora del Parc en l'emissió de les autoritzacions</v>
      </c>
      <c r="C112" t="str">
        <v/>
      </c>
      <c r="D112" t="str">
        <v/>
      </c>
      <c r="E112" s="19" t="str">
        <f t="shared" si="3"/>
        <v>A.3.1.1. Establiment d‟un model per a l'ordenació de l'activitat dels guies intèrprets del Parc Natural Parc (CETS)
Aplicar la regulació de les activitats d'educació ambiental i el lleure educatiu d'acord amb el Decret 148/1992 i els acords de Junta rectora del Parc en l'emissió de les autoritzacions</v>
      </c>
    </row>
    <row r="113" spans="1:5">
      <c r="A113" t="str">
        <v>11.1.13</v>
      </c>
      <c r="B113" t="str">
        <v>Promoure la delimitació de les zones i les alçades de restricció aèria, amb o sense motor, a l'ENP</v>
      </c>
      <c r="C113" t="str">
        <v/>
      </c>
      <c r="D113" t="str">
        <v/>
      </c>
      <c r="E113" s="19" t="str">
        <f t="shared" si="3"/>
        <v>Promoure la delimitació de les zones i les alçades de restricció aèria, amb o sense motor, a l'ENP</v>
      </c>
    </row>
    <row r="114" spans="1:5">
      <c r="A114" t="str">
        <v>11.1.15</v>
      </c>
      <c r="B114" t="str">
        <v>A.2.1.2. Elaboració del Pla d'Ús Públic del PN (CETS)</v>
      </c>
      <c r="C114" t="str">
        <v/>
      </c>
      <c r="D114" t="str">
        <v/>
      </c>
      <c r="E114" s="19" t="str">
        <f t="shared" si="3"/>
        <v>A.2.1.2. Elaboració del Pla d'Ús Públic del PN (CETS)</v>
      </c>
    </row>
    <row r="115" spans="1:5">
      <c r="A115" t="str">
        <v>11.1.16</v>
      </c>
      <c r="B115" t="str">
        <v>Participar en les reunions periòdiques del GT d'Ús públic dels ENP</v>
      </c>
      <c r="C115" t="str">
        <v/>
      </c>
      <c r="D115" t="str">
        <v/>
      </c>
      <c r="E115" s="19" t="str">
        <f t="shared" si="3"/>
        <v>Participar en les reunions periòdiques del GT d'Ús públic dels ENP</v>
      </c>
    </row>
    <row r="116" spans="1:5">
      <c r="A116" t="str">
        <v>11.2.1</v>
      </c>
      <c r="B116" t="str">
        <v/>
      </c>
      <c r="C116" t="str">
        <v>Identificar i classificar la xarxa viària bàsica, secundària, senders i itineraris senyalitzats d'acord amb els titulars públics i privats</v>
      </c>
      <c r="D116" t="str">
        <v/>
      </c>
      <c r="E116" s="19" t="str">
        <f t="shared" si="3"/>
        <v>Identificar i classificar la xarxa viària bàsica, secundària, senders i itineraris senyalitzats d'acord amb els titulars públics i privats</v>
      </c>
    </row>
    <row r="117" spans="1:5">
      <c r="A117" t="str">
        <v>11.2.2</v>
      </c>
      <c r="B117" t="str">
        <v>Identificar i promoure l'eliminació o el posicionament de les rutes de les aplicacions per a mòbils en zones sensibles o que siguin il·legals</v>
      </c>
      <c r="C117" t="str">
        <v/>
      </c>
      <c r="D117" t="str">
        <v/>
      </c>
      <c r="E117" s="19" t="str">
        <f t="shared" si="3"/>
        <v>Identificar i promoure l'eliminació o el posicionament de les rutes de les aplicacions per a mòbils en zones sensibles o que siguin il·legals</v>
      </c>
    </row>
    <row r="118" spans="1:5">
      <c r="A118" t="str">
        <v>11.3.1</v>
      </c>
      <c r="B118" t="str">
        <v/>
      </c>
      <c r="C118" t="str">
        <v>Ordenar l'accés i la circulació</v>
      </c>
      <c r="D118" t="str">
        <v/>
      </c>
      <c r="E118" s="19" t="str">
        <f t="shared" si="3"/>
        <v>Ordenar l'accés i la circulació</v>
      </c>
    </row>
    <row r="119" spans="1:5">
      <c r="A119" t="str">
        <v>11.3.2</v>
      </c>
      <c r="B119" t="str">
        <v/>
      </c>
      <c r="C119" t="str">
        <v/>
      </c>
      <c r="D119" t="str">
        <v>Arreglar pista Tossal d' Engrilló.	Restaurar la pista , fer aigueres , s' está degradant i al final no es podrá accedir a dalt del Tossal d' Engrillo</v>
      </c>
      <c r="E119" s="19" t="str">
        <f t="shared" si="3"/>
        <v>Arreglar pista Tossal d' Engrilló.	Restaurar la pista , fer aigueres , s' está degradant i al final no es podrá accedir a dalt del Tossal d' Engrillo</v>
      </c>
    </row>
    <row r="120" spans="1:5">
      <c r="A120" t="str">
        <v>11.3.3</v>
      </c>
      <c r="B120" t="str">
        <v/>
      </c>
      <c r="C120" t="str">
        <v>Ordenar l'ús de drons, l'enlairament i l'aterratge</v>
      </c>
      <c r="D120" t="str">
        <v/>
      </c>
      <c r="E120" s="19" t="str">
        <f t="shared" si="3"/>
        <v>Ordenar l'ús de drons, l'enlairament i l'aterratge</v>
      </c>
    </row>
    <row r="121" spans="1:5">
      <c r="A121" t="str">
        <v>11.3.4</v>
      </c>
      <c r="B121" t="str">
        <v/>
      </c>
      <c r="C121" t="str">
        <v/>
      </c>
      <c r="D121" t="str">
        <v/>
      </c>
      <c r="E121" s="19" t="str">
        <f t="shared" si="3"/>
        <v/>
      </c>
    </row>
    <row r="122" spans="1:5">
      <c r="A122" t="str">
        <v>11.3.5</v>
      </c>
      <c r="B122" t="str">
        <v xml:space="preserve">Promoure i col·laborar, amb ajuntaments i propietaris particulars, la regulació de les zones d'estacionament de vehicles
</v>
      </c>
      <c r="C122" t="str">
        <v/>
      </c>
      <c r="D122" t="str">
        <v/>
      </c>
      <c r="E122" s="19" t="str">
        <f t="shared" si="3"/>
        <v xml:space="preserve">Promoure i col·laborar, amb ajuntaments i propietaris particulars, la regulació de les zones d'estacionament de vehicles
</v>
      </c>
    </row>
    <row r="123" spans="1:5">
      <c r="A123" t="str">
        <v>11.4.1</v>
      </c>
      <c r="B123" t="str">
        <v/>
      </c>
      <c r="C123" t="str">
        <v/>
      </c>
      <c r="D123" t="str">
        <v/>
      </c>
      <c r="E123" s="19" t="str">
        <f t="shared" si="3"/>
        <v/>
      </c>
    </row>
    <row r="124" spans="1:5">
      <c r="A124" t="str">
        <v>11.4.2</v>
      </c>
      <c r="B124" t="str">
        <v/>
      </c>
      <c r="C124" t="str">
        <v/>
      </c>
      <c r="D124" t="str">
        <v/>
      </c>
      <c r="E124" s="19" t="str">
        <f t="shared" si="3"/>
        <v/>
      </c>
    </row>
    <row r="125" spans="1:5">
      <c r="A125" t="str">
        <v>11.5.1</v>
      </c>
      <c r="B125" t="str">
        <v>Actualitzar la base de dades de senyalètica de l'ENP</v>
      </c>
      <c r="C125" t="str">
        <v/>
      </c>
      <c r="D125" t="str">
        <v/>
      </c>
      <c r="E125" s="19" t="str">
        <f t="shared" si="3"/>
        <v>Actualitzar la base de dades de senyalètica de l'ENP</v>
      </c>
    </row>
    <row r="126" spans="1:5">
      <c r="A126" t="str">
        <v>11.5.2</v>
      </c>
      <c r="B126" t="str">
        <v>Treballs de manteniment, amb brigada, de la senyalització de l'ENP
Renovació de senyals malmeses i actualització de continguts
Producció i instal·lació de la cartelleria dels itineraris CAMINAT 
Estudi de la viabilitat de la senyalització des d’Alfara de Carles fins a l’Espina 
Estudi de la viabilitat de la senyalització des del Toscar fins a les gúbies</v>
      </c>
      <c r="C126" t="str">
        <v/>
      </c>
      <c r="D126" t="str">
        <v/>
      </c>
      <c r="E126" s="19" t="str">
        <f t="shared" si="3"/>
        <v>Treballs de manteniment, amb brigada, de la senyalització de l'ENP
Renovació de senyals malmeses i actualització de continguts
Producció i instal·lació de la cartelleria dels itineraris CAMINAT 
Estudi de la viabilitat de la senyalització des d’Alfara de Carles fins a l’Espina 
Estudi de la viabilitat de la senyalització des del Toscar fins a les gúbies</v>
      </c>
    </row>
    <row r="127" spans="1:5">
      <c r="A127" t="str">
        <v>11.6.1</v>
      </c>
      <c r="B127" t="str">
        <v>Manteniment amb mitjans propis de les àrees d'ús públic i els itineraris de fora del Parc: Santa Madrona d'Arnes, Santa Bàrbara d'Horta, Vall de la Jepa, itineraris de Prat de Comte
Promure i col·laborar en la restauració i l'ús públic de l'antiga extractiva del Predio Montserrat (Prat de Comte)</v>
      </c>
      <c r="C127" t="str">
        <v/>
      </c>
      <c r="D127" t="str">
        <v/>
      </c>
      <c r="E127" s="19" t="str">
        <f t="shared" si="3"/>
        <v>Manteniment amb mitjans propis de les àrees d'ús públic i els itineraris de fora del Parc: Santa Madrona d'Arnes, Santa Bàrbara d'Horta, Vall de la Jepa, itineraris de Prat de Comte
Promure i col·laborar en la restauració i l'ús públic de l'antiga extractiva del Predio Montserrat (Prat de Comte)</v>
      </c>
    </row>
    <row r="128" spans="1:5">
      <c r="A128" t="str">
        <v>11.6.2</v>
      </c>
      <c r="B128" t="str">
        <v/>
      </c>
      <c r="C128" t="str">
        <v/>
      </c>
      <c r="D128" t="str">
        <v/>
      </c>
      <c r="E128" s="19" t="str">
        <f t="shared" si="3"/>
        <v/>
      </c>
    </row>
    <row r="129" spans="1:5">
      <c r="A129" t="str">
        <v>11.7.1</v>
      </c>
      <c r="B129" t="str">
        <v>Redacció del Projecte "Millora de les Àrees de recepció de Visitants i la millora de camins d’accés al Parc Natural als municipis d'Arnes i Roquetes", inclòs al PEA
Execucíó del projecte "Millora de les Àrees de recepció de Visitants i la millora de camins d’accés al Parc Natural al municipi d’Horta de Sant Joan. PPO-23228": millora d'accessos i àrees de recepció
Estudi de la viabilitat de l’arranjament de la pista al tossal d’Engrilló
Seguiment i manteniment de l'acreditació de "Turisme familiar" als equipaments del Parc sota la supervisió de l'Agència Catalana de Turisme</v>
      </c>
      <c r="C129" t="str">
        <v/>
      </c>
      <c r="D129" t="str">
        <v/>
      </c>
      <c r="E129" s="19" t="str">
        <f t="shared" si="3"/>
        <v>Redacció del Projecte "Millora de les Àrees de recepció de Visitants i la millora de camins d’accés al Parc Natural als municipis d'Arnes i Roquetes", inclòs al PEA
Execucíó del projecte "Millora de les Àrees de recepció de Visitants i la millora de camins d’accés al Parc Natural al municipi d’Horta de Sant Joan. PPO-23228": millora d'accessos i àrees de recepció
Estudi de la viabilitat de l’arranjament de la pista al tossal d’Engrilló
Seguiment i manteniment de l'acreditació de "Turisme familiar" als equipaments del Parc sota la supervisió de l'Agència Catalana de Turisme</v>
      </c>
    </row>
    <row r="130" spans="1:5">
      <c r="A130" t="str">
        <v>11.7.2</v>
      </c>
      <c r="B130" t="str">
        <v>Despeses d'electricitat de l'Alberg d'Alfara
Millora i manteniment del sistema de l'alarma a la Seu del Parc i els centres de visitants
Revisió i millora del sistema antiincendis de l'Alberg d'Alfara
Despeses de neteja de l'Alberg d'Alfara
Tractament de tèrmits del Centre de Visitants del Montsià
Renovació del sistema de calefacció/refrigeració del Centre de Visitants de la Terra Alta
Redacció del Pla d'accessibilitat dels equipaments del Parc
Taxes d'aigua i clavegueram ajuntament d'Alfara Alberg
Instal·lació de línies de vida o escales de gat per a l'accés als edificis del Parc (seu, CVMO)
Redacció del projecte "Construcció centre de natura del Mas de Barberans"
Redacció del projecte d'adeqüació de l'interior de l'edifici del carrer Bailen
Adeqüació de l'espai interior de la casa forestal de la Vall
Posta en funcionament de l'Alberg i Centre d'educació ambiental d'Alfara de Carles
ERP1. Garantir l’ús continuat dels equipaments específics d’educació ambiental (CEA d’Alfara de Carles, Cova Avellanes, etc.) i potenciar el paper pedagògic dels centres de visitants (PEEVA)
ERP2. Destinar equipaments (si cal establint acords amb altres agents) per organitzar campaments amb un component d’educació ambiental (PEEVA)
A.3.9. Creació d'expositors moderns i visuals per als Punts d'informació del PNP per mostrar productes artesans del territori (ARTESAN)
A.3.3.1. Millora de la visibilitat i la funcionalitat dels centres de visitants i punts d'informació (CETS): projecte de reordenació exterior del CVBE
A.4.4.1. Identificació dels nodes més rellevants amb la Via Verda per determinar punts de connexió per a la creació de rutes alternatives que donin accés al PN (CETS)
A.4.4.3. Estudi per a la creació d'una ruta cicloturística que enllaci la via verda a Roquetes amb els nuclis urbans de Mas de Barberans i La Sénia (CETS)
A.3.4.1. Adaptació de 2 itineraris interpretatius del PN a les necessitats d'accés universal (CETS): redacció projecte executiu de l'itinerari d'accés universal a Cova Picasso
A.3.4.1. Adaptació de 2 itineraris interpretatius del PN a les necessitats d'accés universal (CETS): redacció del projecte executiu de l'itinerari d'accés universal i adaptació de l'àrea de lleure de Cova Avellanes
Execucíó del projecte "Millora de les Àrees de recepció de Visitants i la millora de camins d’accés al Parc Natural al municipi d’Horta de Sant Joan. PPO-23228": adaptació de l'Àrea de la Franqueta a l'accés universal</v>
      </c>
      <c r="C130" t="str">
        <v>A.4.2.2. Disseny i desenvolupament d'itineraris d'observació de fauna i creació de punts d'observació (CETS). 
A.2.4.1. Instal·lació de carregadors de bicicletes i vehicles elèctrics al territori CETS del PN (CETS)
A.4.2.3. Disseny i desenvolupament d'elements relacionats amb el paisatge (CETS)
A.4.4.2. Adequació dels centres del PN per rebre ciclistes (CETS)</v>
      </c>
      <c r="D130" t="str">
        <v/>
      </c>
      <c r="E130" s="19" t="str">
        <f t="shared" si="3"/>
        <v>Despeses d'electricitat de l'Alberg d'Alfara
Millora i manteniment del sistema de l'alarma a la Seu del Parc i els centres de visitants
Revisió i millora del sistema antiincendis de l'Alberg d'Alfara
Despeses de neteja de l'Alberg d'Alfara
Tractament de tèrmits del Centre de Visitants del Montsià
Renovació del sistema de calefacció/refrigeració del Centre de Visitants de la Terra Alta
Redacció del Pla d'accessibilitat dels equipaments del Parc
Taxes d'aigua i clavegueram ajuntament d'Alfara Alberg
Instal·lació de línies de vida o escales de gat per a l'accés als edificis del Parc (seu, CVMO)
Redacció del projecte "Construcció centre de natura del Mas de Barberans"
Redacció del projecte d'adeqüació de l'interior de l'edifici del carrer Bailen
Adeqüació de l'espai interior de la casa forestal de la Vall
Posta en funcionament de l'Alberg i Centre d'educació ambiental d'Alfara de Carles
ERP1. Garantir l’ús continuat dels equipaments específics d’educació ambiental (CEA d’Alfara de Carles, Cova Avellanes, etc.) i potenciar el paper pedagògic dels centres de visitants (PEEVA)
ERP2. Destinar equipaments (si cal establint acords amb altres agents) per organitzar campaments amb un component d’educació ambiental (PEEVA)
A.3.9. Creació d'expositors moderns i visuals per als Punts d'informació del PNP per mostrar productes artesans del territori (ARTESAN)
A.3.3.1. Millora de la visibilitat i la funcionalitat dels centres de visitants i punts d'informació (CETS): projecte de reordenació exterior del CVBE
A.4.4.1. Identificació dels nodes més rellevants amb la Via Verda per determinar punts de connexió per a la creació de rutes alternatives que donin accés al PN (CETS)
A.4.4.3. Estudi per a la creació d'una ruta cicloturística que enllaci la via verda a Roquetes amb els nuclis urbans de Mas de Barberans i La Sénia (CETS)
A.3.4.1. Adaptació de 2 itineraris interpretatius del PN a les necessitats d'accés universal (CETS): redacció projecte executiu de l'itinerari d'accés universal a Cova Picasso
A.3.4.1. Adaptació de 2 itineraris interpretatius del PN a les necessitats d'accés universal (CETS): redacció del projecte executiu de l'itinerari d'accés universal i adaptació de l'àrea de lleure de Cova Avellanes
Execucíó del projecte "Millora de les Àrees de recepció de Visitants i la millora de camins d’accés al Parc Natural al municipi d’Horta de Sant Joan. PPO-23228": adaptació de l'Àrea de la Franqueta a l'accés universal
A.4.2.2. Disseny i desenvolupament d'itineraris d'observació de fauna i creació de punts d'observació (CETS). 
A.2.4.1. Instal·lació de carregadors de bicicletes i vehicles elèctrics al territori CETS del PN (CETS)
A.4.2.3. Disseny i desenvolupament d'elements relacionats amb el paisatge (CETS)
A.4.4.2. Adequació dels centres del PN per rebre ciclistes (CETS)</v>
      </c>
    </row>
    <row r="131" spans="1:5">
      <c r="A131" t="str">
        <v>11.7.3</v>
      </c>
      <c r="B131" t="str">
        <v/>
      </c>
      <c r="C131" t="str">
        <v/>
      </c>
      <c r="D131" t="str">
        <v/>
      </c>
      <c r="E131" s="19" t="str">
        <f t="shared" si="3"/>
        <v/>
      </c>
    </row>
    <row r="132" spans="1:5">
      <c r="A132" t="str">
        <v>11.7.4</v>
      </c>
      <c r="B132" t="str">
        <v>Formació continuada al personal dels centres d'informació</v>
      </c>
      <c r="C132" t="str">
        <v/>
      </c>
      <c r="D132" t="str">
        <v/>
      </c>
      <c r="E132" s="19" t="str">
        <f t="shared" si="3"/>
        <v>Formació continuada al personal dels centres d'informació</v>
      </c>
    </row>
    <row r="133" spans="1:5">
      <c r="A133" t="str">
        <v>11.7.5</v>
      </c>
      <c r="B133" t="str">
        <v>Serveis d'informació a l'Ecomuseu a Horta de Sant Joan
Serveis d'informació a Arnes
Serveis d'informació a Paüls
Serveis d'informació al Mas de Barberans
Serveis d'informació al Centre de Visitants del Baix Ebre (Roquetes)
Serveis d'informació al Centre de Visitants del Montsià (la Sénia)
Serveis d'informació al Centre de Visitants de la Terra Alta (Prat de Comte)
Col·laboració amb l'Oficina de Turisme de Terres de l'Ebre
Serveis d'informació en punts o àrees d'informació al Baix Ebre, durant Setmana Santa i la tardor (Àrea de lleure de Cova Avellanes, Àrea recreativa de Sant Roc i al Toscar), mitjançant el contracte de serveis d'informació, educació i voluntariat a l'ENP (AG-2024-17)
Serveis d'informació en punts o àrees d'informació al Montsià, durant Setmana Santa i la tardor (Coll de la Creu – Refalgarí, Àrea de lleure de la Fou i Àrea de lleure de la Vall – Aparcament del Cocó de la Gralla), mitjançant el contracte de serveis d'informació, educació i voluntariat a l'ENP (AG-2024-17)
Serveis d'informació en punts o àrees d'informació a la Terra Alta, durant la Setmana Santa i l'estiu (els Estrets d'Arnes: aparcaments de Lliberós i de Biarnets, riu Algars: aparcament del Toll del Vidre, la Franqueta i els Ateus, i aparcament del riu Canaleta), mitjançant el contracte de serveis d'informació, educació i voluntariat a l'ENP (AG-2024-17)</v>
      </c>
      <c r="C133" t="str">
        <v/>
      </c>
      <c r="D133" t="str">
        <v/>
      </c>
      <c r="E133" s="19" t="str">
        <f t="shared" ref="E133:E164" si="4">_xlfn.TEXTJOIN(CHAR(10),TRUE,B133,C133,D133)</f>
        <v>Serveis d'informació a l'Ecomuseu a Horta de Sant Joan
Serveis d'informació a Arnes
Serveis d'informació a Paüls
Serveis d'informació al Mas de Barberans
Serveis d'informació al Centre de Visitants del Baix Ebre (Roquetes)
Serveis d'informació al Centre de Visitants del Montsià (la Sénia)
Serveis d'informació al Centre de Visitants de la Terra Alta (Prat de Comte)
Col·laboració amb l'Oficina de Turisme de Terres de l'Ebre
Serveis d'informació en punts o àrees d'informació al Baix Ebre, durant Setmana Santa i la tardor (Àrea de lleure de Cova Avellanes, Àrea recreativa de Sant Roc i al Toscar), mitjançant el contracte de serveis d'informació, educació i voluntariat a l'ENP (AG-2024-17)
Serveis d'informació en punts o àrees d'informació al Montsià, durant Setmana Santa i la tardor (Coll de la Creu – Refalgarí, Àrea de lleure de la Fou i Àrea de lleure de la Vall – Aparcament del Cocó de la Gralla), mitjançant el contracte de serveis d'informació, educació i voluntariat a l'ENP (AG-2024-17)
Serveis d'informació en punts o àrees d'informació a la Terra Alta, durant la Setmana Santa i l'estiu (els Estrets d'Arnes: aparcaments de Lliberós i de Biarnets, riu Algars: aparcament del Toll del Vidre, la Franqueta i els Ateus, i aparcament del riu Canaleta), mitjançant el contracte de serveis d'informació, educació i voluntariat a l'ENP (AG-2024-17)</v>
      </c>
    </row>
    <row r="134" spans="1:5">
      <c r="A134" t="str">
        <v>11.8.1</v>
      </c>
      <c r="B134" t="str">
        <v>Coordinació dels serveis de vigilància del contracte, juntament amb ajuntaments, Mossos, CAR.
Coordinació i seguiment del contracte "Servei de vigilància per a la minimització d’afectacions per hiperfreqüentació al Parc Natural dels Aiguamolls de l’Empordà, al Parc Natural del Delta de l’Ebre i al Parc Natural dels Ports, PTOP-2025-357"</v>
      </c>
      <c r="C134" t="str">
        <v/>
      </c>
      <c r="D134" t="str">
        <v/>
      </c>
      <c r="E134" s="19" t="str">
        <f t="shared" si="4"/>
        <v>Coordinació dels serveis de vigilància del contracte, juntament amb ajuntaments, Mossos, CAR.
Coordinació i seguiment del contracte "Servei de vigilància per a la minimització d’afectacions per hiperfreqüentació al Parc Natural dels Aiguamolls de l’Empordà, al Parc Natural del Delta de l’Ebre i al Parc Natural dels Ports, PTOP-2025-357"</v>
      </c>
    </row>
    <row r="135" spans="1:5">
      <c r="A135" t="str">
        <v>11.8.2</v>
      </c>
      <c r="B135" t="str">
        <v>Coordinació, mitjançant reunions periòdiques, amb el Cos d'Agents Rurals, especialment pel que fa al control d'actuacions i activitats al medi natural
Coordinació d'actuacions amb els Mossos d'Esquadra, especialment pel que fa a les plantacions de cànnabis</v>
      </c>
      <c r="C135" t="str">
        <v/>
      </c>
      <c r="D135" t="str">
        <v/>
      </c>
      <c r="E135" s="19" t="str">
        <f t="shared" si="4"/>
        <v>Coordinació, mitjançant reunions periòdiques, amb el Cos d'Agents Rurals, especialment pel que fa al control d'actuacions i activitats al medi natural
Coordinació d'actuacions amb els Mossos d'Esquadra, especialment pel que fa a les plantacions de cànnabis</v>
      </c>
    </row>
    <row r="136" spans="1:5">
      <c r="A136" t="str">
        <v>11.8.3</v>
      </c>
      <c r="B136" t="str">
        <v/>
      </c>
      <c r="C136" t="str">
        <v/>
      </c>
      <c r="D136" t="str">
        <v/>
      </c>
      <c r="E136" s="19" t="str">
        <f t="shared" si="4"/>
        <v/>
      </c>
    </row>
    <row r="137" spans="1:5">
      <c r="A137" t="str">
        <v>12.1.1</v>
      </c>
      <c r="B137" t="str">
        <v>Col·laborar en la redacció i execució dels plans d’emergències amb les autoritats competents en la matèria
Col·laborar amb el Cos d'Agents Rurals en el tancament d'accés al Parc durant els períodes d'activació del nivell 4 del Pla Alfa</v>
      </c>
      <c r="C137" t="str">
        <v/>
      </c>
      <c r="D137" t="str">
        <v/>
      </c>
      <c r="E137" s="19" t="str">
        <f t="shared" si="4"/>
        <v>Col·laborar en la redacció i execució dels plans d’emergències amb les autoritats competents en la matèria
Col·laborar amb el Cos d'Agents Rurals en el tancament d'accés al Parc durant els períodes d'activació del nivell 4 del Pla Alfa</v>
      </c>
    </row>
    <row r="138" spans="1:5">
      <c r="A138" t="str">
        <v>12.1.2</v>
      </c>
      <c r="B138" t="str">
        <v/>
      </c>
      <c r="C138" t="str">
        <v/>
      </c>
      <c r="D138" t="str">
        <v/>
      </c>
      <c r="E138" s="19" t="str">
        <f t="shared" si="4"/>
        <v/>
      </c>
    </row>
    <row r="139" spans="1:5">
      <c r="A139" t="str">
        <v>13.1.1</v>
      </c>
      <c r="B139" t="str">
        <v>GOV4. Configurar i posar en marxa una taula d’educació ambiental per coordinar el Parc Natural amb els diversos agents educatius (PEEVA): Definir el model de Xarxa d'Escoles de l'Espai Natural (XEEN) a l'ENP amb els agents educatius del territori, mitjançant el contracte de serveis d'informació, educació i voluntariat a l'ENP (AG-2024-17)</v>
      </c>
      <c r="C139" t="str">
        <v/>
      </c>
      <c r="D139" t="str">
        <v/>
      </c>
      <c r="E139" s="19" t="str">
        <f t="shared" si="4"/>
        <v>GOV4. Configurar i posar en marxa una taula d’educació ambiental per coordinar el Parc Natural amb els diversos agents educatius (PEEVA): Definir el model de Xarxa d'Escoles de l'Espai Natural (XEEN) a l'ENP amb els agents educatius del territori, mitjançant el contracte de serveis d'informació, educació i voluntariat a l'ENP (AG-2024-17)</v>
      </c>
    </row>
    <row r="140" spans="1:5">
      <c r="A140" t="str">
        <v>13.1.2</v>
      </c>
      <c r="B140" t="str">
        <v>GOV4. Configurar i posar en marxa una taula d’educació ambiental per coordinar el Parc Natural amb els diversos agents educatius (PEEVA): Suport i dinamització a la Xarxa d’escoles de l’espai natural (13 al Baix Ebre, 12 al Montsià i 15 a la Terra Alta), mitjançant el contracte de serveis d'informació, educació i voluntariat a l'ENP (AG-2024-17)
GOV4. Configurar i posar en marxa una taula d’educació ambiental per coordinar el Parc Natural amb els diversos agents educatius (PEEVA): Trobades de la Xarxa d'escoles de l'espai natural, mitjançant el contracte de serveis d'informació, educació i voluntariat a l'ENP (AG-2024-17)</v>
      </c>
      <c r="C140" t="str">
        <v/>
      </c>
      <c r="D140" t="str">
        <v/>
      </c>
      <c r="E140" s="19" t="str">
        <f t="shared" si="4"/>
        <v>GOV4. Configurar i posar en marxa una taula d’educació ambiental per coordinar el Parc Natural amb els diversos agents educatius (PEEVA): Suport i dinamització a la Xarxa d’escoles de l’espai natural (13 al Baix Ebre, 12 al Montsià i 15 a la Terra Alta), mitjançant el contracte de serveis d'informació, educació i voluntariat a l'ENP (AG-2024-17)
GOV4. Configurar i posar en marxa una taula d’educació ambiental per coordinar el Parc Natural amb els diversos agents educatius (PEEVA): Trobades de la Xarxa d'escoles de l'espai natural, mitjançant el contracte de serveis d'informació, educació i voluntariat a l'ENP (AG-2024-17)</v>
      </c>
    </row>
    <row r="141" spans="1:5">
      <c r="A141" t="str">
        <v>13.1.3</v>
      </c>
      <c r="B141" t="str">
        <v>EA3. Programar accions formatives per al professorat dels centres educatius locals amb el suport dels CRP i el Programa Escoles Verdes (PEEVA), mitjançant el contracte de serveis d'informació, educació i voluntariat a l'ENP (AG-2024-17) mitjançant el contracte de serveis d'informació, educació i voluntariat a l'ENP (AG-2024-17)</v>
      </c>
      <c r="C141" t="str">
        <v/>
      </c>
      <c r="D141" t="str">
        <v/>
      </c>
      <c r="E141" s="19" t="str">
        <f t="shared" si="4"/>
        <v>EA3. Programar accions formatives per al professorat dels centres educatius locals amb el suport dels CRP i el Programa Escoles Verdes (PEEVA), mitjançant el contracte de serveis d'informació, educació i voluntariat a l'ENP (AG-2024-17) mitjançant el contracte de serveis d'informació, educació i voluntariat a l'ENP (AG-2024-17)</v>
      </c>
    </row>
    <row r="142" spans="1:5">
      <c r="A142" t="str">
        <v>13.2.1</v>
      </c>
      <c r="B142" t="str">
        <v>EA1. Elaborar i implementar un programa específic d’educació ambiental dirigit als centres educatius locals i avaluar-lo periòdicament (PEEVA): Contracte de serveis d'informació, educació i voluntariat a l'ENP (AG-2024-17)</v>
      </c>
      <c r="C142" t="str">
        <v/>
      </c>
      <c r="D142" t="str">
        <v/>
      </c>
      <c r="E142" s="19" t="str">
        <f t="shared" si="4"/>
        <v>EA1. Elaborar i implementar un programa específic d’educació ambiental dirigit als centres educatius locals i avaluar-lo periòdicament (PEEVA): Contracte de serveis d'informació, educació i voluntariat a l'ENP (AG-2024-17)</v>
      </c>
    </row>
    <row r="143" spans="1:5">
      <c r="A143" t="str">
        <v>13.2.2</v>
      </c>
      <c r="B143" t="str">
        <v/>
      </c>
      <c r="C143" t="str">
        <v/>
      </c>
      <c r="D143" t="str">
        <v/>
      </c>
      <c r="E143" s="19" t="str">
        <f t="shared" si="4"/>
        <v/>
      </c>
    </row>
    <row r="144" spans="1:5">
      <c r="A144" t="str">
        <v>13.2.3</v>
      </c>
      <c r="B144" t="str">
        <v>Elaboració de tres noves Propostes Educatives. Cada comarca haurà de dissenyar una proposta per cada àmbit. Es prioritzaran les Propostes per l’Educació Bàsica (EDU): Disseny de 3 activitats noves i millora de 6 activitats, mitjançant el Contracte de serveis d'informació, educació i voluntariat a l'ENP (AG-2024-17)
Redacció de l’oferta educativa seguint els criteris i directrius establerts en aquest PEA i incorporant les noves activitats en desenvolupament (EDU): Contracte de serveis d'informació, educació i voluntariat a l'ENP (AG-2024-17)</v>
      </c>
      <c r="C144" t="str">
        <v/>
      </c>
      <c r="D144" t="str">
        <v/>
      </c>
      <c r="E144" s="19" t="str">
        <f t="shared" si="4"/>
        <v>Elaboració de tres noves Propostes Educatives. Cada comarca haurà de dissenyar una proposta per cada àmbit. Es prioritzaran les Propostes per l’Educació Bàsica (EDU): Disseny de 3 activitats noves i millora de 6 activitats, mitjançant el Contracte de serveis d'informació, educació i voluntariat a l'ENP (AG-2024-17)
Redacció de l’oferta educativa seguint els criteris i directrius establerts en aquest PEA i incorporant les noves activitats en desenvolupament (EDU): Contracte de serveis d'informació, educació i voluntariat a l'ENP (AG-2024-17)</v>
      </c>
    </row>
    <row r="145" spans="1:5">
      <c r="A145" t="str">
        <v>13.2.4</v>
      </c>
      <c r="B145" t="str">
        <v>EA2. Promoure projectes en els centres educatius locals (crèdits de síntesi, treballs de recerca, servei comunitari, etc.) sobre temàtiques vinculades al Parc Natural, mitjançant el Contracte de serveis d'informació, educació i voluntariat a l'ENP (AG-2024-17) (PEEVA)</v>
      </c>
      <c r="C145" t="str">
        <v/>
      </c>
      <c r="D145" t="str">
        <v/>
      </c>
      <c r="E145" s="19" t="str">
        <f t="shared" si="4"/>
        <v>EA2. Promoure projectes en els centres educatius locals (crèdits de síntesi, treballs de recerca, servei comunitari, etc.) sobre temàtiques vinculades al Parc Natural, mitjançant el Contracte de serveis d'informació, educació i voluntariat a l'ENP (AG-2024-17) (PEEVA)</v>
      </c>
    </row>
    <row r="146" spans="1:5">
      <c r="A146" t="str">
        <v>13.2.5</v>
      </c>
      <c r="B146" t="str">
        <v xml:space="preserve">0. Coordinació i seguiment del Pla estratègic 2021-2030 d'educació i voluntariat ambiental: Educació ambiental (PEEVA)
GOV6. Garantir una coordinació eficaç entre el pla d’educació i voluntariat ambiental, els plans d’acció vinculats a la CETS i els programes d’ús públic (PEEVA)
Serveis d'Educació Ambiental al Baix Ebre: Contracte de serveis d'informació, educació i voluntariat a l'ENP (AG-2024-17)
Serveis d'Educació Ambiental al Montsià: Contracte de serveis d'informació, educació i voluntariat a l'ENP (AG-2024-17)
Serveis d'Educació Ambiental a la Terra Alta: Contracte de serveis d'informació, educació i voluntariat a l'ENP (AG-2024-17)
GOV2. Acordar i introduir millores viables en el servei d’educació ambiental que externalitza el Parc Natural, si escau amb algun tipus de protocol escrit, mitjançant el contracte de serveis d'informació, educació i voluntariat a l'ENP (AG-2024-17) (PEEVA)
</v>
      </c>
      <c r="C146" t="str">
        <v/>
      </c>
      <c r="D146" t="str">
        <v/>
      </c>
      <c r="E146" s="19" t="str">
        <f t="shared" si="4"/>
        <v xml:space="preserve">0. Coordinació i seguiment del Pla estratègic 2021-2030 d'educació i voluntariat ambiental: Educació ambiental (PEEVA)
GOV6. Garantir una coordinació eficaç entre el pla d’educació i voluntariat ambiental, els plans d’acció vinculats a la CETS i els programes d’ús públic (PEEVA)
Serveis d'Educació Ambiental al Baix Ebre: Contracte de serveis d'informació, educació i voluntariat a l'ENP (AG-2024-17)
Serveis d'Educació Ambiental al Montsià: Contracte de serveis d'informació, educació i voluntariat a l'ENP (AG-2024-17)
Serveis d'Educació Ambiental a la Terra Alta: Contracte de serveis d'informació, educació i voluntariat a l'ENP (AG-2024-17)
GOV2. Acordar i introduir millores viables en el servei d’educació ambiental que externalitza el Parc Natural, si escau amb algun tipus de protocol escrit, mitjançant el contracte de serveis d'informació, educació i voluntariat a l'ENP (AG-2024-17) (PEEVA)
</v>
      </c>
    </row>
    <row r="147" spans="1:5">
      <c r="A147" t="str">
        <v>13.3.1</v>
      </c>
      <c r="B147" t="str">
        <v>Suport i dinamització a la coordinació amb agents claus del territori, mitjançant el contracte de serveis d'informació, educació i voluntariat a l'ENP (AG-2024-17)
GOV3. Elaborar i mantenir actualitzat un inventari dels potencials agents col·laboradors en educació ambiental, mitjançant el contracte de serveis d'informació, educació i voluntariat a l'ENP (AG-2024-17) (PEEVA)</v>
      </c>
      <c r="C147" t="str">
        <v/>
      </c>
      <c r="D147" t="str">
        <v/>
      </c>
      <c r="E147" s="19" t="str">
        <f t="shared" si="4"/>
        <v>Suport i dinamització a la coordinació amb agents claus del territori, mitjançant el contracte de serveis d'informació, educació i voluntariat a l'ENP (AG-2024-17)
GOV3. Elaborar i mantenir actualitzat un inventari dels potencials agents col·laboradors en educació ambiental, mitjançant el contracte de serveis d'informació, educació i voluntariat a l'ENP (AG-2024-17) (PEEVA)</v>
      </c>
    </row>
    <row r="148" spans="1:5">
      <c r="A148" t="str">
        <v>13.3.2</v>
      </c>
      <c r="B148" t="str">
        <v>EA7. Dissenyar i executar un programa anual de trobades amb representants i personal tècnic de les administracions locals (PEEVA)
EA8. Establir aliances amb programes educatius o de lleure municipals per integrar continguts o propostes didàctiques del Parc Natural (PEEVA)
GOV5. Cercar i establir col·laboracions i projectes conjunts amb agents clau del territori (PEEVA), mitjançant el contracte de serveis d'informació, educació i voluntariat a l'ENP (AG-2024-17) (PEEVA)</v>
      </c>
      <c r="C148" t="str">
        <v/>
      </c>
      <c r="D148" t="str">
        <v/>
      </c>
      <c r="E148" s="19" t="str">
        <f t="shared" si="4"/>
        <v>EA7. Dissenyar i executar un programa anual de trobades amb representants i personal tècnic de les administracions locals (PEEVA)
EA8. Establir aliances amb programes educatius o de lleure municipals per integrar continguts o propostes didàctiques del Parc Natural (PEEVA)
GOV5. Cercar i establir col·laboracions i projectes conjunts amb agents clau del territori (PEEVA), mitjançant el contracte de serveis d'informació, educació i voluntariat a l'ENP (AG-2024-17) (PEEVA)</v>
      </c>
    </row>
    <row r="149" spans="1:5">
      <c r="A149" t="str">
        <v>13.3.3</v>
      </c>
      <c r="B149" t="str">
        <v>Realització d'activitats formatives, a través del contracte de serveis d'informació, educació i voluntariat a l'ENP (AG-2024-17)
A.3.2.1. Acreditació d'espais com a punts d'informació i acreditació de persones com a agents informadors del Parc Natural (CETS)
A.2.3.2. Disseny i execució d'accions de formació i divulgació sobre valors naturals i paisatgístics que aportin singularitat al PN (CETS): cursos de Picampall, odonats...
A.3.1.2. Formació, acreditació i promoció de guies intèrprets del PN mitjançant formació reglada (CETS): col·laboració en el curs del Coneixements del Parc Natural del Delta de l’Ebre i del Parc Natural dels Ports per formar guies acreditats dels Parcs Naturals (IEPAAC - FP Dual)</v>
      </c>
      <c r="C149" t="str">
        <v>EA9. Articular accions formatives i generar recursos per garantir que la informació turística i els guiatges turístics vinculats al Parc Natural incloguin elements interpretatius i pedagògics (PEEVA)
ERP5. Elaborar un manual de referència per a guies i educador/es ambientals amb tots els valors principals del Parc Natural (PEEVA).</v>
      </c>
      <c r="D149" t="str">
        <v/>
      </c>
      <c r="E149" s="19" t="str">
        <f t="shared" si="4"/>
        <v>Realització d'activitats formatives, a través del contracte de serveis d'informació, educació i voluntariat a l'ENP (AG-2024-17)
A.3.2.1. Acreditació d'espais com a punts d'informació i acreditació de persones com a agents informadors del Parc Natural (CETS)
A.2.3.2. Disseny i execució d'accions de formació i divulgació sobre valors naturals i paisatgístics que aportin singularitat al PN (CETS): cursos de Picampall, odonats...
A.3.1.2. Formació, acreditació i promoció de guies intèrprets del PN mitjançant formació reglada (CETS): col·laboració en el curs del Coneixements del Parc Natural del Delta de l’Ebre i del Parc Natural dels Ports per formar guies acreditats dels Parcs Naturals (IEPAAC - FP Dual)
EA9. Articular accions formatives i generar recursos per garantir que la informació turística i els guiatges turístics vinculats al Parc Natural incloguin elements interpretatius i pedagògics (PEEVA)
ERP5. Elaborar un manual de referència per a guies i educador/es ambientals amb tots els valors principals del Parc Natural (PEEVA).</v>
      </c>
    </row>
    <row r="150" spans="1:5">
      <c r="A150" t="str">
        <v>13.4.1</v>
      </c>
      <c r="B150" t="str">
        <v>Desplegar les campanyes de sensibilització i bones pràctiques que s'impulsin des de la DG (2025-2029)
A.4.1.4. Organització i celebració del "Dia Europeu dels Parcs" al PN dels Ports (CETS)</v>
      </c>
      <c r="C150" t="str">
        <v/>
      </c>
      <c r="D150" t="str">
        <v/>
      </c>
      <c r="E150" s="19" t="str">
        <f t="shared" si="4"/>
        <v>Desplegar les campanyes de sensibilització i bones pràctiques que s'impulsin des de la DG (2025-2029)
A.4.1.4. Organització i celebració del "Dia Europeu dels Parcs" al PN dels Ports (CETS)</v>
      </c>
    </row>
    <row r="151" spans="1:5">
      <c r="A151" t="str">
        <v>13.4.2</v>
      </c>
      <c r="B151" t="str">
        <v>EA5. Dissenyar una oferta d’activitats específica per a famílies en el marc dels programes dirigits als centres educatius locals i la població local (PEEVA): Realització d'activitats guiades adreçades a grups familiars o d'adults en temps de lleure, mitjançant el contracte de serveis d'informació, educació i voluntariat a l'ENP (AG-2024-17)</v>
      </c>
      <c r="C151" t="str">
        <v/>
      </c>
      <c r="D151" t="str">
        <v/>
      </c>
      <c r="E151" s="19" t="str">
        <f t="shared" si="4"/>
        <v>EA5. Dissenyar una oferta d’activitats específica per a famílies en el marc dels programes dirigits als centres educatius locals i la població local (PEEVA): Realització d'activitats guiades adreçades a grups familiars o d'adults en temps de lleure, mitjançant el contracte de serveis d'informació, educació i voluntariat a l'ENP (AG-2024-17)</v>
      </c>
    </row>
    <row r="152" spans="1:5">
      <c r="A152" t="str">
        <v>13.4.3</v>
      </c>
      <c r="B152" t="str">
        <v>Realització de xerrades, ja sigui en instal·lacions pròpies o externes, o virtuals, mitjançant el contracte de serveis d'informació, educació i voluntariat a l'ENP (AG-2024-17)
Realitzar activitats tècniques especialitzades, mitjançant el contracte de serveis d'informació, educació i voluntariat a l'ENP (AG-2024-17)</v>
      </c>
      <c r="C152" t="str">
        <v>A.4.4.4. Disseny i desenvolupament d'una jornada de cicloturisme al PN (CETS)</v>
      </c>
      <c r="D152" t="str">
        <v/>
      </c>
      <c r="E152" s="19" t="str">
        <f t="shared" si="4"/>
        <v>Realització de xerrades, ja sigui en instal·lacions pròpies o externes, o virtuals, mitjançant el contracte de serveis d'informació, educació i voluntariat a l'ENP (AG-2024-17)
Realitzar activitats tècniques especialitzades, mitjançant el contracte de serveis d'informació, educació i voluntariat a l'ENP (AG-2024-17)
A.4.4.4. Disseny i desenvolupament d'una jornada de cicloturisme al PN (CETS)</v>
      </c>
    </row>
    <row r="153" spans="1:5">
      <c r="A153" t="str">
        <v>13.4.4</v>
      </c>
      <c r="B153" t="str">
        <v>Realització de tallers educatius, ja sigui en equipaments propis, externs o a la natura, mitjançant el contracte de serveis d'informació, educació i voluntariat a l'ENP (AG-2024-17)
ERP3. Actualitzar i crear nous recursos pedagògics de suport a les activitats educatives (PEEVA): Realització d'activitats guiades adreçades a grups d'infants i joves en temps de lleure, mitjançant el contracte de serveis d'informació, educació i voluntariat a l'ENP (AG-2024-17)</v>
      </c>
      <c r="C153" t="str">
        <v/>
      </c>
      <c r="D153" t="str">
        <v/>
      </c>
      <c r="E153" s="19" t="str">
        <f t="shared" si="4"/>
        <v>Realització de tallers educatius, ja sigui en equipaments propis, externs o a la natura, mitjançant el contracte de serveis d'informació, educació i voluntariat a l'ENP (AG-2024-17)
ERP3. Actualitzar i crear nous recursos pedagògics de suport a les activitats educatives (PEEVA): Realització d'activitats guiades adreçades a grups d'infants i joves en temps de lleure, mitjançant el contracte de serveis d'informació, educació i voluntariat a l'ENP (AG-2024-17)</v>
      </c>
    </row>
    <row r="154" spans="1:5">
      <c r="A154" t="str">
        <v>13.5.1</v>
      </c>
      <c r="B154" t="str">
        <v/>
      </c>
      <c r="C154" t="str">
        <v>Identificar col·lectius estratègics implicats en la gestió i l'ús del territori</v>
      </c>
      <c r="D154" t="str">
        <v/>
      </c>
      <c r="E154" s="19" t="str">
        <f t="shared" si="4"/>
        <v>Identificar col·lectius estratègics implicats en la gestió i l'ús del territori</v>
      </c>
    </row>
    <row r="155" spans="1:5">
      <c r="A155" t="str">
        <v>13.5.2</v>
      </c>
      <c r="B155" t="str">
        <v/>
      </c>
      <c r="C155" t="str">
        <v/>
      </c>
      <c r="D155" t="str">
        <v/>
      </c>
      <c r="E155" s="19" t="str">
        <f t="shared" si="4"/>
        <v/>
      </c>
    </row>
    <row r="156" spans="1:5">
      <c r="A156" t="str">
        <v>13.5.3</v>
      </c>
      <c r="B156" t="str">
        <v/>
      </c>
      <c r="C156" t="str">
        <v/>
      </c>
      <c r="D156" t="str">
        <v/>
      </c>
      <c r="E156" s="19" t="str">
        <f t="shared" si="4"/>
        <v/>
      </c>
    </row>
    <row r="157" spans="1:5">
      <c r="A157" t="str">
        <v>13.5.4</v>
      </c>
      <c r="B157" t="str">
        <v/>
      </c>
      <c r="C157" t="str">
        <v>EA6. Articular estratègies de difusió i formació adreçades als agents socioeconòmics d’àmbit local per afrontar certes problemàtiques que afecten el Parc Natural (PEEVA)</v>
      </c>
      <c r="D157" t="str">
        <v/>
      </c>
      <c r="E157" s="19" t="str">
        <f t="shared" si="4"/>
        <v>EA6. Articular estratègies de difusió i formació adreçades als agents socioeconòmics d’àmbit local per afrontar certes problemàtiques que afecten el Parc Natural (PEEVA)</v>
      </c>
    </row>
    <row r="158" spans="1:5">
      <c r="A158" t="str">
        <v>13.5.5</v>
      </c>
      <c r="B158" t="str">
        <v xml:space="preserve">Tasques de suport a l'Àrea d'ús públic
Planificar, gestionar i executar el cicle estival de xerrades i activitats a Cova Avellanes
Participar en el curs “Ciència, projectes i investigacions amb accent ebrenc que milloren el món" de la UNED, amb la xerrada "La gestió dels hàbitats forestals al Parc Natural dels Ports: silvicultura de conservació de processos ecològics per adaptar els boscos en context de canvi"
</v>
      </c>
      <c r="C158" t="str">
        <v>EA4. Elaborar i implementar un programa específic d’educació ambiental per a la població i les entitats locals amb una oferta d’activitats atractiva i vinculada a esdeveniments locals (PEEVA): Elaborar i difondre una agenda trimestral d'activitats educatives dirigides a la població i les entitats locals.
Elaboració del calendari d’activitats de lleure, 2026 (EA Informal) (EDU)</v>
      </c>
      <c r="D158" t="str">
        <v/>
      </c>
      <c r="E158" s="19" t="str">
        <f t="shared" si="4"/>
        <v>Tasques de suport a l'Àrea d'ús públic
Planificar, gestionar i executar el cicle estival de xerrades i activitats a Cova Avellanes
Participar en el curs “Ciència, projectes i investigacions amb accent ebrenc que milloren el món" de la UNED, amb la xerrada "La gestió dels hàbitats forestals al Parc Natural dels Ports: silvicultura de conservació de processos ecològics per adaptar els boscos en context de canvi"
EA4. Elaborar i implementar un programa específic d’educació ambiental per a la població i les entitats locals amb una oferta d’activitats atractiva i vinculada a esdeveniments locals (PEEVA): Elaborar i difondre una agenda trimestral d'activitats educatives dirigides a la població i les entitats locals.
Elaboració del calendari d’activitats de lleure, 2026 (EA Informal) (EDU)</v>
      </c>
    </row>
    <row r="159" spans="1:5">
      <c r="A159" t="str">
        <v>13.6.1</v>
      </c>
      <c r="B159" t="str">
        <v>VA3. Gestionar les demandes de voluntariat i d’accions d’RSC d’empreses d’acord amb els procediments establerts per a tots els parcs naturals (PEEVA)</v>
      </c>
      <c r="C159" t="str">
        <v/>
      </c>
      <c r="D159" t="str">
        <v/>
      </c>
      <c r="E159" s="19" t="str">
        <f t="shared" si="4"/>
        <v>VA3. Gestionar les demandes de voluntariat i d’accions d’RSC d’empreses d’acord amb els procediments establerts per a tots els parcs naturals (PEEVA)</v>
      </c>
    </row>
    <row r="160" spans="1:5">
      <c r="A160" t="str">
        <v>13.6.2</v>
      </c>
      <c r="B160" t="str">
        <v>Cap</v>
      </c>
      <c r="C160" t="str">
        <v/>
      </c>
      <c r="D160" t="str">
        <v/>
      </c>
      <c r="E160" s="19" t="str">
        <f t="shared" si="4"/>
        <v>Cap</v>
      </c>
    </row>
    <row r="161" spans="1:5">
      <c r="A161" t="str">
        <v>13.6.3</v>
      </c>
      <c r="B161" t="str">
        <v>0. Coordinació i seguiment del Pla estratègic 2021-2030 d'educació i voluntariat ambiental: Taula Voluntariat Ambiental (PEEVA)
VA2. Facilitar orientacions tècniques i suport continuat a les entitats que demanin fer voluntariat en l’àmbit del Parc Natural (PEEVA)
Promoció del voluntariat, dins del marc de la Taula de Voluntariat dels parcs naturals de les Terres de l’Ebre, mitjançant el contracte de serveis d'informació, educació i voluntariat a l'ENP (AG-2024-17)</v>
      </c>
      <c r="C161" t="str">
        <v/>
      </c>
      <c r="D161" t="str">
        <v/>
      </c>
      <c r="E161" s="19" t="str">
        <f t="shared" si="4"/>
        <v>0. Coordinació i seguiment del Pla estratègic 2021-2030 d'educació i voluntariat ambiental: Taula Voluntariat Ambiental (PEEVA)
VA2. Facilitar orientacions tècniques i suport continuat a les entitats que demanin fer voluntariat en l’àmbit del Parc Natural (PEEVA)
Promoció del voluntariat, dins del marc de la Taula de Voluntariat dels parcs naturals de les Terres de l’Ebre, mitjançant el contracte de serveis d'informació, educació i voluntariat a l'ENP (AG-2024-17)</v>
      </c>
    </row>
    <row r="162" spans="1:5">
      <c r="A162" t="str">
        <v>13.7.1</v>
      </c>
      <c r="B162" t="str">
        <v>Implementar el protocol d'ús de les Joëlettes, a partir dels criteris de la DG</v>
      </c>
      <c r="C162" t="str">
        <v/>
      </c>
      <c r="D162" t="str">
        <v/>
      </c>
      <c r="E162" s="19" t="str">
        <f t="shared" si="4"/>
        <v>Implementar el protocol d'ús de les Joëlettes, a partir dels criteris de la DG</v>
      </c>
    </row>
    <row r="163" spans="1:5">
      <c r="A163" t="str">
        <v>13.7.2</v>
      </c>
      <c r="B163" t="str">
        <v/>
      </c>
      <c r="C163" t="str">
        <v>Formar el personal de l'ENP (informadors i personal que treballa de cara al públic) en accessibilitat, diversitat funcional i diversitat de gènere</v>
      </c>
      <c r="D163" t="str">
        <v/>
      </c>
      <c r="E163" s="19" t="str">
        <f t="shared" si="4"/>
        <v>Formar el personal de l'ENP (informadors i personal que treballa de cara al públic) en accessibilitat, diversitat funcional i diversitat de gènere</v>
      </c>
    </row>
    <row r="164" spans="1:5">
      <c r="A164" t="str">
        <v>13.7.3</v>
      </c>
      <c r="B164" t="str">
        <v>Revisió des de la perspectiva de gènere dels nous continguts i activitats de l'ENP</v>
      </c>
      <c r="C164" t="str">
        <v/>
      </c>
      <c r="D164" t="str">
        <v/>
      </c>
      <c r="E164" s="19" t="str">
        <f t="shared" si="4"/>
        <v>Revisió des de la perspectiva de gènere dels nous continguts i activitats de l'ENP</v>
      </c>
    </row>
    <row r="165" spans="1:5">
      <c r="A165" t="str">
        <v>13.8.1</v>
      </c>
      <c r="B165" t="str">
        <v>A.4.2.1. Disseny i desenvolupament d'itineraris saludables (CETS): Creació d’itinerari terapèutic a la forest d’utilitat publica de la Mola de Catí (Projecte: Creació de paisatges agroforestals resilients i la provisió de serveis ecosistèmics a Terres de l’Ebre)</v>
      </c>
      <c r="C165" t="str">
        <v>A.4.2.1. Disseny i desenvolupament d'itineraris saludables (CETS)</v>
      </c>
      <c r="D165" t="str">
        <v/>
      </c>
      <c r="E165" s="19" t="str">
        <f t="shared" ref="E165:E196" si="5">_xlfn.TEXTJOIN(CHAR(10),TRUE,B165,C165,D165)</f>
        <v>A.4.2.1. Disseny i desenvolupament d'itineraris saludables (CETS): Creació d’itinerari terapèutic a la forest d’utilitat publica de la Mola de Catí (Projecte: Creació de paisatges agroforestals resilients i la provisió de serveis ecosistèmics a Terres de l’Ebre)
A.4.2.1. Disseny i desenvolupament d'itineraris saludables (CETS)</v>
      </c>
    </row>
    <row r="166" spans="1:5">
      <c r="A166" t="str">
        <v>13.8.2</v>
      </c>
      <c r="B166" t="str">
        <v/>
      </c>
      <c r="C166" t="str">
        <v/>
      </c>
      <c r="D166" t="str">
        <v/>
      </c>
      <c r="E166" s="19" t="str">
        <f t="shared" si="5"/>
        <v/>
      </c>
    </row>
    <row r="167" spans="1:5">
      <c r="A167" t="str">
        <v>13.8.3</v>
      </c>
      <c r="B167" t="str">
        <v/>
      </c>
      <c r="C167" t="str">
        <v/>
      </c>
      <c r="D167" t="str">
        <v/>
      </c>
      <c r="E167" s="19" t="str">
        <f t="shared" si="5"/>
        <v/>
      </c>
    </row>
    <row r="168" spans="1:5">
      <c r="A168" t="str">
        <v>13.8.4</v>
      </c>
      <c r="B168" t="str">
        <v>Participar en les reunions de la Taula Natura i Salut de les Terres de l'Ebre
Participar en les reunions i els grups de treball de la Taula Natura de Catalunya
Promoure i participar en l'elaboració d'un pla d'acció de la Taula Natura i Salut de les Terres de l'Ebre</v>
      </c>
      <c r="C168" t="str">
        <v/>
      </c>
      <c r="D168" t="str">
        <v/>
      </c>
      <c r="E168" s="19" t="str">
        <f t="shared" si="5"/>
        <v>Participar en les reunions de la Taula Natura i Salut de les Terres de l'Ebre
Participar en les reunions i els grups de treball de la Taula Natura de Catalunya
Promoure i participar en l'elaboració d'un pla d'acció de la Taula Natura i Salut de les Terres de l'Ebre</v>
      </c>
    </row>
    <row r="169" spans="1:5">
      <c r="A169" t="str">
        <v>14.1.1</v>
      </c>
      <c r="B169" t="str">
        <v>Informar periòdicament als ajuntaments sobre les activitats i actuacions promogudes des del Parc
Cingles: Elaboració butlletí Cingles (disseny gràfic...)
A.3.7. Publicacions per posar en valor als diferents artesans/es al butlletí Cingles (ARTESAN)
Memòria d'actuacions: coordinació elaboració dels continguts de la Maquetació Memòria 2025
Memòria d'actuacions: Maquetació Memòria 2025
Cingles: Edició del butlletí Cingles (coordinació)
Cingles: Impressió Cingles
Memòria d'actuacions: Impressió Memòria 2023
Exposició en fires i festivals locals</v>
      </c>
      <c r="C169" t="str">
        <v>1.2.1. Organitzar accions comunicatives amb professionals externs que puguin fer difusió dels productes locals artesans i agroalimentaris (PRODUCT).
1.2.2. Campanya de comunicació conjunta amb la Reserva de la Biosfera Terres de l’Ebre (PRODUCT)
1.2.3. Programa d’entrevistes als productors/es i artesans/es (PRODUCT)</v>
      </c>
      <c r="D169" t="str">
        <v/>
      </c>
      <c r="E169" s="19" t="str">
        <f t="shared" si="5"/>
        <v>Informar periòdicament als ajuntaments sobre les activitats i actuacions promogudes des del Parc
Cingles: Elaboració butlletí Cingles (disseny gràfic...)
A.3.7. Publicacions per posar en valor als diferents artesans/es al butlletí Cingles (ARTESAN)
Memòria d'actuacions: coordinació elaboració dels continguts de la Maquetació Memòria 2025
Memòria d'actuacions: Maquetació Memòria 2025
Cingles: Edició del butlletí Cingles (coordinació)
Cingles: Impressió Cingles
Memòria d'actuacions: Impressió Memòria 2023
Exposició en fires i festivals locals
1.2.1. Organitzar accions comunicatives amb professionals externs que puguin fer difusió dels productes locals artesans i agroalimentaris (PRODUCT).
1.2.2. Campanya de comunicació conjunta amb la Reserva de la Biosfera Terres de l’Ebre (PRODUCT)
1.2.3. Programa d’entrevistes als productors/es i artesans/es (PRODUCT)</v>
      </c>
    </row>
    <row r="170" spans="1:5">
      <c r="A170" t="str">
        <v>14.2.1</v>
      </c>
      <c r="B170" t="str">
        <v>Cursos sobre patrimoni natural (Picampall i altres)
Webcam niu rapinyaires: Connexió internet niu rapinyaires
Webcam Webcam niu rapinyaires: Manteniment webcam niu rapinyaires
Webcam Webcam niu rapinyaires: Connexió internet casa Cova Avellanes
Elaboració de material de difusió sobre el voltor negre (marxandantge)
ERP4. Recopilar i modernitzar els recursos i materials divulgatius existents adreçats a visitants, en especial les exposicions interpretatives (PEEVA): edició o reedició, i publicació dels materials divulgatius associats a l'ús públic (mapa oficial, itineraris oficials del Parc, regulació d'activitats, etc.)
ERP4. Recopilar i modernitzar els recursos i materials divulgatius existents adreçats a visitants, en especial les exposicions interpretatives (PEEVA): col·laborar amb la DG per a la redacció del projecte museogràfic del CVMO i de l'equipament de Bailen, en el contracte global per lots
Realització d'una agenda d'activitats per a la celebració del 25è aniversari de la creació del Parc</v>
      </c>
      <c r="C170" t="str">
        <v>Rollers marcenca: il·lustracions, disseny , suports</v>
      </c>
      <c r="D170" t="str">
        <v/>
      </c>
      <c r="E170" s="19" t="str">
        <f t="shared" si="5"/>
        <v>Cursos sobre patrimoni natural (Picampall i altres)
Webcam niu rapinyaires: Connexió internet niu rapinyaires
Webcam Webcam niu rapinyaires: Manteniment webcam niu rapinyaires
Webcam Webcam niu rapinyaires: Connexió internet casa Cova Avellanes
Elaboració de material de difusió sobre el voltor negre (marxandantge)
ERP4. Recopilar i modernitzar els recursos i materials divulgatius existents adreçats a visitants, en especial les exposicions interpretatives (PEEVA): edició o reedició, i publicació dels materials divulgatius associats a l'ús públic (mapa oficial, itineraris oficials del Parc, regulació d'activitats, etc.)
ERP4. Recopilar i modernitzar els recursos i materials divulgatius existents adreçats a visitants, en especial les exposicions interpretatives (PEEVA): col·laborar amb la DG per a la redacció del projecte museogràfic del CVMO i de l'equipament de Bailen, en el contracte global per lots
Realització d'una agenda d'activitats per a la celebració del 25è aniversari de la creació del Parc
Rollers marcenca: il·lustracions, disseny , suports</v>
      </c>
    </row>
    <row r="171" spans="1:5">
      <c r="A171" t="str">
        <v>14.3.1</v>
      </c>
      <c r="B171" t="str">
        <v>Manteniment i actualització de la pàgina web
Manteniment i actualització de les xarxes socials
Elaborar notes de premsa en col·laboració de la DG</v>
      </c>
      <c r="C171" t="str">
        <v/>
      </c>
      <c r="D171" t="str">
        <v/>
      </c>
      <c r="E171" s="19" t="str">
        <f t="shared" si="5"/>
        <v>Manteniment i actualització de la pàgina web
Manteniment i actualització de les xarxes socials
Elaborar notes de premsa en col·laboració de la DG</v>
      </c>
    </row>
    <row r="172" spans="1:5">
      <c r="A172" t="str">
        <v>14.3.2</v>
      </c>
      <c r="B172" t="str">
        <v>Participar en les reunions de coordinació amb la DG sobre comunicació</v>
      </c>
      <c r="C172" t="str">
        <v/>
      </c>
      <c r="D172" t="str">
        <v/>
      </c>
      <c r="E172" s="19" t="str">
        <f t="shared" si="5"/>
        <v>Participar en les reunions de coordinació amb la DG sobre comunicació</v>
      </c>
    </row>
    <row r="173" spans="1:5">
      <c r="A173" t="str">
        <v>15.1.1</v>
      </c>
      <c r="B173" t="str">
        <v/>
      </c>
      <c r="C173" t="str">
        <v>Crear taules de treball temàtiques amb els agents prioritaris per a la gestió de l'ENP</v>
      </c>
      <c r="D173" t="str">
        <v/>
      </c>
      <c r="E173" s="19" t="str">
        <f t="shared" si="5"/>
        <v>Crear taules de treball temàtiques amb els agents prioritaris per a la gestió de l'ENP</v>
      </c>
    </row>
    <row r="174" spans="1:5">
      <c r="A174" t="str">
        <v>15.1.2</v>
      </c>
      <c r="B174" t="str">
        <v>Identificar els equips científics experts en àmbits temàtics clau en la gestió del Parc</v>
      </c>
      <c r="C174" t="str">
        <v/>
      </c>
      <c r="D174" t="str">
        <v/>
      </c>
      <c r="E174" s="19" t="str">
        <f t="shared" si="5"/>
        <v>Identificar els equips científics experts en àmbits temàtics clau en la gestió del Parc</v>
      </c>
    </row>
    <row r="175" spans="1:5">
      <c r="A175" t="str">
        <v>15.1.3</v>
      </c>
      <c r="B175" t="str">
        <v/>
      </c>
      <c r="C175" t="str">
        <v/>
      </c>
      <c r="D175" t="str">
        <v/>
      </c>
      <c r="E175" s="19" t="str">
        <f t="shared" si="5"/>
        <v/>
      </c>
    </row>
    <row r="176" spans="1:5">
      <c r="A176" t="str">
        <v>15.1.4</v>
      </c>
      <c r="B176" t="str">
        <v>Participar en la definició del model de governança dels espais naturals protegits per part de la DG</v>
      </c>
      <c r="C176" t="str">
        <v/>
      </c>
      <c r="D176" t="str">
        <v/>
      </c>
      <c r="E176" s="19" t="str">
        <f t="shared" si="5"/>
        <v>Participar en la definició del model de governança dels espais naturals protegits per part de la DG</v>
      </c>
    </row>
    <row r="177" spans="1:5">
      <c r="A177" t="str">
        <v>15.1.5</v>
      </c>
      <c r="B177" t="str">
        <v>Gestió del calendari i les convocatòries de les sessions, ordinàries i extraordinàries
Preparació de l'ordre del dia de cada sessió amb la presidència, les vicepresidències, la DG i els SSTT
Gestió i seguiment dels acords de Junta rectora 
Manteniment i actualització del canal TEAMS de la Junta rectora
Participació en la preparació del programa d'actuacions anual, dins del marc del Pla estratègic 2025-2029
Aprovació dels Programes i les Memòries d'actuacions anuals</v>
      </c>
      <c r="C177" t="str">
        <v/>
      </c>
      <c r="D177" t="str">
        <v/>
      </c>
      <c r="E177" s="19" t="str">
        <f t="shared" si="5"/>
        <v>Gestió del calendari i les convocatòries de les sessions, ordinàries i extraordinàries
Preparació de l'ordre del dia de cada sessió amb la presidència, les vicepresidències, la DG i els SSTT
Gestió i seguiment dels acords de Junta rectora 
Manteniment i actualització del canal TEAMS de la Junta rectora
Participació en la preparació del programa d'actuacions anual, dins del marc del Pla estratègic 2025-2029
Aprovació dels Programes i les Memòries d'actuacions anuals</v>
      </c>
    </row>
    <row r="178" spans="1:5">
      <c r="A178" t="str">
        <v>16.1.1</v>
      </c>
      <c r="B178" t="str">
        <v>Coordinació, d'acord amb els Serveis Centrals, el control de l'execució del pressupost
Despeses apartat de correus
Serveis de missatgeria
Organització de reunions i cursos
Despeses bancàries
Despeses desplaçaments, reunions i aparcaments
Elaboració del Programa d'actuacions anual, juntament amb les Àrees del Parc i la direcció
Elaboració del pressupost anual de despesa per RAE, juntament amb les Àrees del Parc i la direcció
Preparació i gestió administrativa de l'aportació anual de la Diputació de Tarragona
Gestió administrativa dels contractes inclosos en el Programa d'actuacions
Gestió administrativa dels ingressos per RAE
Elaboració de la Memòria anual del RAE
Participació en les reunions periòdiques del GT de RAE dels ENP
Seguiment dels contractes i encomanes de la DG: contracte de manteniment integral d'edificis (COMSA)
Seguiment dels contractes i encomanes de la DG: serveis de neteja
Seguiment dels contractes i encomanes de la DG: contracte de vehicles
Estudi de viabilitat econòmica de l'Alberg i Centre d'educació ambiental d'Alfara de Carles
Promoure l'expedient administratiu de la concessió de l'Alberg i Centre d'educació ambiental d'Alfara de Carles</v>
      </c>
      <c r="C178" t="str">
        <v/>
      </c>
      <c r="D178" t="str">
        <v/>
      </c>
      <c r="E178" s="19" t="str">
        <f t="shared" si="5"/>
        <v>Coordinació, d'acord amb els Serveis Centrals, el control de l'execució del pressupost
Despeses apartat de correus
Serveis de missatgeria
Organització de reunions i cursos
Despeses bancàries
Despeses desplaçaments, reunions i aparcaments
Elaboració del Programa d'actuacions anual, juntament amb les Àrees del Parc i la direcció
Elaboració del pressupost anual de despesa per RAE, juntament amb les Àrees del Parc i la direcció
Preparació i gestió administrativa de l'aportació anual de la Diputació de Tarragona
Gestió administrativa dels contractes inclosos en el Programa d'actuacions
Gestió administrativa dels ingressos per RAE
Elaboració de la Memòria anual del RAE
Participació en les reunions periòdiques del GT de RAE dels ENP
Seguiment dels contractes i encomanes de la DG: contracte de manteniment integral d'edificis (COMSA)
Seguiment dels contractes i encomanes de la DG: serveis de neteja
Seguiment dels contractes i encomanes de la DG: contracte de vehicles
Estudi de viabilitat econòmica de l'Alberg i Centre d'educació ambiental d'Alfara de Carles
Promoure l'expedient administratiu de la concessió de l'Alberg i Centre d'educació ambiental d'Alfara de Carles</v>
      </c>
    </row>
    <row r="179" spans="1:5">
      <c r="A179" t="str">
        <v>16.2.1</v>
      </c>
      <c r="B179" t="str">
        <v>Participar i promoure les necessitats de contractació del l'ENP per a l'optimització dels contractes a nivell de Xarxa</v>
      </c>
      <c r="C179" t="str">
        <v/>
      </c>
      <c r="D179" t="str">
        <v/>
      </c>
      <c r="E179" s="19" t="str">
        <f t="shared" si="5"/>
        <v>Participar i promoure les necessitats de contractació del l'ENP per a l'optimització dels contractes a nivell de Xarxa</v>
      </c>
    </row>
    <row r="180" spans="1:5">
      <c r="A180" t="str">
        <v>16.2.2</v>
      </c>
      <c r="B180" t="str">
        <v>Participació i revisió prèvia de les ordres de subvencions destinades als espais naturals de Catalunya, als hàbitats i espècies, en el marc del Programa de desenvolupament rural de Catalunya
5.1.2. Identificar actuacions subvencionables dins de l'ordre d'ajuts d'ENP de Catalunya (PRODUCT)</v>
      </c>
      <c r="C180" t="str">
        <v/>
      </c>
      <c r="D180" t="str">
        <v/>
      </c>
      <c r="E180" s="19" t="str">
        <f t="shared" si="5"/>
        <v>Participació i revisió prèvia de les ordres de subvencions destinades als espais naturals de Catalunya, als hàbitats i espècies, en el marc del Programa de desenvolupament rural de Catalunya
5.1.2. Identificar actuacions subvencionables dins de l'ordre d'ajuts d'ENP de Catalunya (PRODUCT)</v>
      </c>
    </row>
    <row r="181" spans="1:5">
      <c r="A181" t="str">
        <v>16.2.3</v>
      </c>
      <c r="B181" t="str">
        <v>Identificar els convenis de col·laboració, convenis marc, acords, protocols i altres instruments de col·laboració vigents, caducats o en vies de caducar properament
Promoure la renovació i, si escau, la modificació dels convenis caducats o en vies de caducitat
Promoure l'assignació d'ús al Parc Natural d'algunes cases forestals en forests públiques (casa de la Vall o del barranc de la Galera, caseta del planter de la Vall o del barranc de la Galera, casetó del Prat d’en Rubera i mas de l’Amat)</v>
      </c>
      <c r="C181" t="str">
        <v/>
      </c>
      <c r="D181" t="str">
        <v/>
      </c>
      <c r="E181" s="19" t="str">
        <f t="shared" si="5"/>
        <v>Identificar els convenis de col·laboració, convenis marc, acords, protocols i altres instruments de col·laboració vigents, caducats o en vies de caducar properament
Promoure la renovació i, si escau, la modificació dels convenis caducats o en vies de caducitat
Promoure l'assignació d'ús al Parc Natural d'algunes cases forestals en forests públiques (casa de la Vall o del barranc de la Galera, caseta del planter de la Vall o del barranc de la Galera, casetó del Prat d’en Rubera i mas de l’Amat)</v>
      </c>
    </row>
    <row r="182" spans="1:5">
      <c r="A182" t="str">
        <v>16.2.4</v>
      </c>
      <c r="B182" t="str">
        <v>Participació en la valoració, el seguiment i la gestió administrativa de les subvencions destinades als espais naturals de Catalunya, als hàbitats i espècies, en el marc del Programa de desenvolupament rural de Catalunya
Participació en la valoració, el seguiment i la gestió administrativa de les subvencions a entitats ambientals sense ànim de lucre de Catalunya per al finançament de projectes que millorin l'estat de conservació del patrimoni natural i la biodiversitat en els espais naturals protegits
Assessorament a entitats i persones interessades en els ajuts sobre el calendari de les convocatòries, la naturalesa de les actuacions subvencionables i el procediment adiministratiu</v>
      </c>
      <c r="C182" t="str">
        <v/>
      </c>
      <c r="D182" t="str">
        <v/>
      </c>
      <c r="E182" s="19" t="str">
        <f t="shared" si="5"/>
        <v>Participació en la valoració, el seguiment i la gestió administrativa de les subvencions destinades als espais naturals de Catalunya, als hàbitats i espècies, en el marc del Programa de desenvolupament rural de Catalunya
Participació en la valoració, el seguiment i la gestió administrativa de les subvencions a entitats ambientals sense ànim de lucre de Catalunya per al finançament de projectes que millorin l'estat de conservació del patrimoni natural i la biodiversitat en els espais naturals protegits
Assessorament a entitats i persones interessades en els ajuts sobre el calendari de les convocatòries, la naturalesa de les actuacions subvencionables i el procediment adiministratiu</v>
      </c>
    </row>
    <row r="183" spans="1:5">
      <c r="A183" t="str">
        <v>16.2.5</v>
      </c>
      <c r="B183" t="str">
        <v>Explorar les possibles col·laboracions en l'àmbit de la conservació de la natura o del patromoni cultural, i de l'ús públic amb el Parc Natural de la Tinença de Benifassà</v>
      </c>
      <c r="C183" t="str">
        <v/>
      </c>
      <c r="D183" t="str">
        <v/>
      </c>
      <c r="E183" s="19" t="str">
        <f t="shared" si="5"/>
        <v>Explorar les possibles col·laboracions en l'àmbit de la conservació de la natura o del patromoni cultural, i de l'ús públic amb el Parc Natural de la Tinença de Benifassà</v>
      </c>
    </row>
    <row r="184" spans="1:5">
      <c r="A184" t="str">
        <v>16.3.1</v>
      </c>
      <c r="B184" t="str">
        <v xml:space="preserve">Gestió administrativa dels informes dels vectors ambiental i cultural en l'àmbit del Parc Natural i de l'espai de la xarxa Natura 2000
Manteniment de la base de dades dels informes dels vectors ambiental i cultural en l'àmbit del Parc Natural i de l'espai de la xarxa Natura 2000
Gestió administrativa de les autoritzacions emeses en l'àmbit del Parc Natural i de l'espai de la xarxa Natura 2000
Facilitar la gestió administrativa establint de manera clara i detallada, des de l’inici del tràmit, la documentació necessària per a la sol·licitud d’informes o permisos al Parc. </v>
      </c>
      <c r="C184" t="str">
        <v/>
      </c>
      <c r="D184" t="str">
        <v/>
      </c>
      <c r="E184" s="19" t="str">
        <f t="shared" si="5"/>
        <v xml:space="preserve">Gestió administrativa dels informes dels vectors ambiental i cultural en l'àmbit del Parc Natural i de l'espai de la xarxa Natura 2000
Manteniment de la base de dades dels informes dels vectors ambiental i cultural en l'àmbit del Parc Natural i de l'espai de la xarxa Natura 2000
Gestió administrativa de les autoritzacions emeses en l'àmbit del Parc Natural i de l'espai de la xarxa Natura 2000
Facilitar la gestió administrativa establint de manera clara i detallada, des de l’inici del tràmit, la documentació necessària per a la sol·licitud d’informes o permisos al Parc. </v>
      </c>
    </row>
    <row r="185" spans="1:5">
      <c r="A185" t="str">
        <v>16.3.2</v>
      </c>
      <c r="B185" t="str">
        <v>Participar en les reunions periòdiques de coordinació dels ENP amb la DG
Participar en el Pla de Capacitació Digital del Departament
Desplegar i implementar el Sistema d'Informació de la Natura (SINATCAT)</v>
      </c>
      <c r="C185" t="str">
        <v/>
      </c>
      <c r="D185" t="str">
        <v/>
      </c>
      <c r="E185" s="19" t="str">
        <f t="shared" si="5"/>
        <v>Participar en les reunions periòdiques de coordinació dels ENP amb la DG
Participar en el Pla de Capacitació Digital del Departament
Desplegar i implementar el Sistema d'Informació de la Natura (SINATCAT)</v>
      </c>
    </row>
    <row r="186" spans="1:5">
      <c r="A186" t="str">
        <v>16.3.3</v>
      </c>
      <c r="B186" t="str">
        <v>Participar en cursos de formació de procediment administratiu per part de l'equip gestor</v>
      </c>
      <c r="C186" t="str">
        <v/>
      </c>
      <c r="D186" t="str">
        <v/>
      </c>
      <c r="E186" s="19" t="str">
        <f t="shared" si="5"/>
        <v>Participar en cursos de formació de procediment administratiu per part de l'equip gestor</v>
      </c>
    </row>
    <row r="187" spans="1:5">
      <c r="A187" t="str">
        <v>16.3.4</v>
      </c>
      <c r="B187" t="str">
        <v>Redacció i actualització del Pla estratègic del Parc Natural dels Ports (2026-2029)
Atendre les consultes i les sol·licituds d'informació (presencials, telèfon, correus electrònics i peticions mitjançant les plataformes electròniques) de la ciutadania, les entitats o les administracions
Gestió i control de les comunicacions oficials (correu genèric, SARCAT, EACAT...)</v>
      </c>
      <c r="C187" t="str">
        <v/>
      </c>
      <c r="D187" t="str">
        <v/>
      </c>
      <c r="E187" s="19" t="str">
        <f t="shared" si="5"/>
        <v>Redacció i actualització del Pla estratègic del Parc Natural dels Ports (2026-2029)
Atendre les consultes i les sol·licituds d'informació (presencials, telèfon, correus electrònics i peticions mitjançant les plataformes electròniques) de la ciutadania, les entitats o les administracions
Gestió i control de les comunicacions oficials (correu genèric, SARCAT, EACAT...)</v>
      </c>
    </row>
    <row r="188" spans="1:5">
      <c r="A188" t="str">
        <v>16.3.5</v>
      </c>
      <c r="B188" t="str">
        <v/>
      </c>
      <c r="C188" t="str">
        <v/>
      </c>
      <c r="D188" t="str">
        <v/>
      </c>
      <c r="E188" s="19" t="str">
        <f t="shared" si="5"/>
        <v/>
      </c>
    </row>
    <row r="189" spans="1:5">
      <c r="A189" t="str">
        <v>16.4.1</v>
      </c>
      <c r="B189" t="str">
        <v>Tramitar la cessió de domini de l'Ecomuseu dels Ports
Tramitar la cessió de domini l'aparcament del CVTA
Tramitar la cessió de domini del terreny del centre de natura del Mas de Barberans</v>
      </c>
      <c r="C189" t="str">
        <v/>
      </c>
      <c r="D189" t="str">
        <v/>
      </c>
      <c r="E189" s="19" t="str">
        <f t="shared" si="5"/>
        <v>Tramitar la cessió de domini de l'Ecomuseu dels Ports
Tramitar la cessió de domini l'aparcament del CVTA
Tramitar la cessió de domini del terreny del centre de natura del Mas de Barberans</v>
      </c>
    </row>
    <row r="190" spans="1:5">
      <c r="A190" t="str">
        <v>16.4.2</v>
      </c>
      <c r="B190" t="str">
        <v>Col·laborar en la tramitació i la definició dels riscos de pèrdues o danys materials del patrimoni de la Generalitat de Catalunya en l'àmbit territorial del Parc per part de les pòlisses d'assegurances</v>
      </c>
      <c r="C190" t="str">
        <v/>
      </c>
      <c r="D190" t="str">
        <v/>
      </c>
      <c r="E190" s="19" t="str">
        <f t="shared" si="5"/>
        <v>Col·laborar en la tramitació i la definició dels riscos de pèrdues o danys materials del patrimoni de la Generalitat de Catalunya en l'àmbit territorial del Parc per part de les pòlisses d'assegurances</v>
      </c>
    </row>
    <row r="191" spans="1:5">
      <c r="A191" t="str">
        <v>16.4.3</v>
      </c>
      <c r="B191" t="str">
        <v>Col·laborar en la tramitació i la definició dels riscos de les pòlisses d'assegurances de responsabilitat patrimonial i civil 
Control i seguiment dels protocols de riscos laborals d'empreses i entitats que treballen en equipaments del parc</v>
      </c>
      <c r="C191" t="str">
        <v/>
      </c>
      <c r="D191" t="str">
        <v/>
      </c>
      <c r="E191" s="19" t="str">
        <f t="shared" si="5"/>
        <v>Col·laborar en la tramitació i la definició dels riscos de les pòlisses d'assegurances de responsabilitat patrimonial i civil 
Control i seguiment dels protocols de riscos laborals d'empreses i entitats que treballen en equipaments del parc</v>
      </c>
    </row>
    <row r="192" spans="1:5">
      <c r="A192" t="str">
        <v>16.4.4</v>
      </c>
      <c r="B192" t="str">
        <v>Treballs de manteniment dels equipaments de gestió per part de la brigada del Parc, fora del contracte de manteniment integral d'edificis
Materials de ferreteria - fusta
Materials de construcció
Materials de ferreteria - instal·lacions
Materials de pintura
Manteniments diversos
Materials de fontaneria i electricitat
Manteniment de vehicles
Manteniment sistemes informàtics
Manteniment de maquinària
Combustible Baix Ebre-Montsià per a maquinària
Combustible Terra Alta per a maquinària
Altres despeses diverses
Manteniment sistemes audiovisuals
Material d'oficina</v>
      </c>
      <c r="C192" t="str">
        <v/>
      </c>
      <c r="D192" t="str">
        <v/>
      </c>
      <c r="E192" s="19" t="str">
        <f t="shared" si="5"/>
        <v>Treballs de manteniment dels equipaments de gestió per part de la brigada del Parc, fora del contracte de manteniment integral d'edificis
Materials de ferreteria - fusta
Materials de construcció
Materials de ferreteria - instal·lacions
Materials de pintura
Manteniments diversos
Materials de fontaneria i electricitat
Manteniment de vehicles
Manteniment sistemes informàtics
Manteniment de maquinària
Combustible Baix Ebre-Montsià per a maquinària
Combustible Terra Alta per a maquinària
Altres despeses diverses
Manteniment sistemes audiovisuals
Material d'oficina</v>
      </c>
    </row>
    <row r="193" spans="1:5">
      <c r="A193" t="str">
        <v>16.5.1</v>
      </c>
      <c r="B193" t="str">
        <v>Gestió del Centre de Documentació (catalogació, servei de prèstec, atenció a consultes, etc.)
Gestió del fons fotogràfic del Centre de Documentació (catalogació, cessió, identificar necessitats...)
Preparació i càrrega del material documental per al repositori del Departament (Medi Ambient)
Gestió de l'estoc de publicacions
Subscripció revista Quercus
Subscripció revista Montes
Subscripció setmanari l'Ebre
Material promocional (llibres)
Quota Flickr
Quota ICHN
Reportatge fotogràfic d'actes i activitats
Fons documental per al Centre de Documentació
Natura i Art fotos</v>
      </c>
      <c r="C193" t="str">
        <v/>
      </c>
      <c r="D193" t="str">
        <v/>
      </c>
      <c r="E193" s="19" t="str">
        <f t="shared" si="5"/>
        <v>Gestió del Centre de Documentació (catalogació, servei de prèstec, atenció a consultes, etc.)
Gestió del fons fotogràfic del Centre de Documentació (catalogació, cessió, identificar necessitats...)
Preparació i càrrega del material documental per al repositori del Departament (Medi Ambient)
Gestió de l'estoc de publicacions
Subscripció revista Quercus
Subscripció revista Montes
Subscripció setmanari l'Ebre
Material promocional (llibres)
Quota Flickr
Quota ICHN
Reportatge fotogràfic d'actes i activitats
Fons documental per al Centre de Documentació
Natura i Art fotos</v>
      </c>
    </row>
    <row r="194" spans="1:5">
      <c r="A194" t="str">
        <v>16.6.1</v>
      </c>
      <c r="B194" t="str">
        <v>Planificació i seguiment de les tasques de la brigada del Parc
Coordinació amb Forestal Catalana de les brigades del Baix Ebre-Montsià i Terra Alta
Manteniment de la base de dades de les tasques de brigada del Parc
Gestió de les sol·licituds d'actuacions amb brigada per part de les administracions locals i entitats privades
Participació en les reunions periòdiques del GT de Brigades i Millora rural dels ENP</v>
      </c>
      <c r="C194" t="str">
        <v/>
      </c>
      <c r="D194" t="str">
        <v/>
      </c>
      <c r="E194" s="19" t="str">
        <f t="shared" si="5"/>
        <v>Planificació i seguiment de les tasques de la brigada del Parc
Coordinació amb Forestal Catalana de les brigades del Baix Ebre-Montsià i Terra Alta
Manteniment de la base de dades de les tasques de brigada del Parc
Gestió de les sol·licituds d'actuacions amb brigada per part de les administracions locals i entitats privades
Participació en les reunions periòdiques del GT de Brigades i Millora rural dels ENP</v>
      </c>
    </row>
    <row r="195" spans="1:5">
      <c r="A195" t="str">
        <v>16.6.2</v>
      </c>
      <c r="B195" t="str">
        <v>Gestió de les sol·licituds de vehicles
Participació en els processos selectius de les places adscrites al Parc Natural
Gestió administrativa de les validacions per ATRI (fitxatges, plans de teletreball, validació de competències, etc.)
Promoure la contractació d'una persona responsable del Centre de Documentació i de les accions de comunicació de l'ENP
Consolidació laboral del personal temporal dedicat a les tasques de desplegament dels instruments de gestió de la Xarxa Natura 2000a Catalunya
Coordinació de les diferents àrees de l'equip gestor del Parc mitjançant reunions setmanals
Consolidació de l'equip de treball de l'òrgan gestor del Parc (nivells laborals, estabilització laboral...)
GOV1. Enfortir i consolidar l’àmbit de gestió de l’educació i el voluntariat ambiental en el funcionament de l’equip gestor del Parc Natural (PEEVA): Definició i clarificació dels rols de l'equip del parc i una correcta definició de les tasques de cada membre</v>
      </c>
      <c r="C195" t="str">
        <v/>
      </c>
      <c r="D195" t="str">
        <v/>
      </c>
      <c r="E195" s="19" t="str">
        <f t="shared" si="5"/>
        <v>Gestió de les sol·licituds de vehicles
Participació en els processos selectius de les places adscrites al Parc Natural
Gestió administrativa de les validacions per ATRI (fitxatges, plans de teletreball, validació de competències, etc.)
Promoure la contractació d'una persona responsable del Centre de Documentació i de les accions de comunicació de l'ENP
Consolidació laboral del personal temporal dedicat a les tasques de desplegament dels instruments de gestió de la Xarxa Natura 2000a Catalunya
Coordinació de les diferents àrees de l'equip gestor del Parc mitjançant reunions setmanals
Consolidació de l'equip de treball de l'òrgan gestor del Parc (nivells laborals, estabilització laboral...)
GOV1. Enfortir i consolidar l’àmbit de gestió de l’educació i el voluntariat ambiental en el funcionament de l’equip gestor del Parc Natural (PEEVA): Definició i clarificació dels rols de l'equip del parc i una correcta definició de les tasques de cada membre</v>
      </c>
    </row>
    <row r="196" spans="1:5">
      <c r="A196" t="str">
        <v>16.6.3</v>
      </c>
      <c r="B196" t="str">
        <v>Gestió ordinària i imprevistos no contemplats en cap dels Objectius opertatius anteriors</v>
      </c>
      <c r="C196" t="str">
        <v/>
      </c>
      <c r="D196" t="str">
        <v/>
      </c>
      <c r="E196" s="19" t="str">
        <f t="shared" si="5"/>
        <v>Gestió ordinària i imprevistos no contemplats en cap dels Objectius opertatius anteriors</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M937"/>
  <sheetViews>
    <sheetView topLeftCell="A31" zoomScale="120" zoomScaleNormal="120" workbookViewId="0">
      <selection activeCell="I36" sqref="I36"/>
    </sheetView>
  </sheetViews>
  <sheetFormatPr defaultColWidth="36.85546875" defaultRowHeight="11.45"/>
  <cols>
    <col min="1" max="1" width="18.42578125" style="223" customWidth="1"/>
    <col min="2" max="2" width="4.5703125" style="222" customWidth="1"/>
    <col min="3" max="3" width="17.140625" style="222" customWidth="1"/>
    <col min="4" max="4" width="6.140625" style="223" customWidth="1"/>
    <col min="5" max="5" width="18.5703125" style="223" customWidth="1"/>
    <col min="6" max="6" width="7.5703125" style="223" bestFit="1" customWidth="1"/>
    <col min="7" max="7" width="24.140625" style="223" customWidth="1"/>
    <col min="8" max="8" width="29.140625" style="222" customWidth="1"/>
    <col min="9" max="9" width="11.42578125" style="405" customWidth="1"/>
    <col min="10" max="10" width="8.140625" style="222" bestFit="1" customWidth="1"/>
    <col min="11" max="12" width="9" style="222" customWidth="1"/>
    <col min="13" max="13" width="9" style="223" customWidth="1"/>
    <col min="14" max="16384" width="36.85546875" style="223"/>
  </cols>
  <sheetData>
    <row r="1" spans="1:13" ht="34.5">
      <c r="A1" s="383" t="s">
        <v>328</v>
      </c>
      <c r="B1" s="223" t="s">
        <v>54</v>
      </c>
    </row>
    <row r="3" spans="1:13" ht="14.45">
      <c r="A3" s="383" t="s">
        <v>317</v>
      </c>
      <c r="B3" s="383" t="s">
        <v>318</v>
      </c>
      <c r="C3" s="383" t="s">
        <v>319</v>
      </c>
      <c r="D3" s="383" t="s">
        <v>320</v>
      </c>
      <c r="E3" s="383" t="s">
        <v>321</v>
      </c>
      <c r="F3" s="383" t="s">
        <v>322</v>
      </c>
      <c r="G3" s="383" t="s">
        <v>326</v>
      </c>
      <c r="H3" s="383" t="s">
        <v>333</v>
      </c>
      <c r="I3" s="405" t="s">
        <v>1885</v>
      </c>
      <c r="J3"/>
      <c r="K3"/>
      <c r="L3"/>
      <c r="M3"/>
    </row>
    <row r="4" spans="1:13" ht="80.45">
      <c r="A4" s="223" t="s">
        <v>308</v>
      </c>
      <c r="B4" s="223">
        <v>1</v>
      </c>
      <c r="C4" s="223" t="s">
        <v>343</v>
      </c>
      <c r="D4" s="223" t="s">
        <v>344</v>
      </c>
      <c r="E4" s="223" t="s">
        <v>345</v>
      </c>
      <c r="F4" s="223" t="s">
        <v>346</v>
      </c>
      <c r="G4" s="223" t="s">
        <v>350</v>
      </c>
      <c r="H4" s="223" t="s">
        <v>354</v>
      </c>
      <c r="I4" s="405">
        <v>1</v>
      </c>
      <c r="J4"/>
      <c r="K4"/>
      <c r="L4"/>
      <c r="M4"/>
    </row>
    <row r="5" spans="1:13" ht="80.45">
      <c r="B5" s="223"/>
      <c r="C5" s="223"/>
      <c r="F5" s="223" t="s">
        <v>365</v>
      </c>
      <c r="G5" s="223" t="s">
        <v>367</v>
      </c>
      <c r="H5" s="223" t="s">
        <v>370</v>
      </c>
      <c r="I5" s="405">
        <v>1</v>
      </c>
      <c r="J5"/>
      <c r="K5"/>
      <c r="L5"/>
      <c r="M5"/>
    </row>
    <row r="6" spans="1:13" ht="69">
      <c r="B6" s="223"/>
      <c r="C6" s="223"/>
      <c r="D6" s="223" t="s">
        <v>373</v>
      </c>
      <c r="E6" s="223" t="s">
        <v>374</v>
      </c>
      <c r="F6" s="223" t="s">
        <v>375</v>
      </c>
      <c r="G6" s="223" t="s">
        <v>376</v>
      </c>
      <c r="H6" s="223" t="s">
        <v>379</v>
      </c>
      <c r="I6" s="405">
        <v>1</v>
      </c>
      <c r="J6"/>
      <c r="K6"/>
      <c r="L6"/>
      <c r="M6"/>
    </row>
    <row r="7" spans="1:13" ht="172.5">
      <c r="B7" s="223"/>
      <c r="C7" s="223"/>
      <c r="F7" s="223" t="s">
        <v>383</v>
      </c>
      <c r="G7" s="223" t="s">
        <v>384</v>
      </c>
      <c r="H7" s="223" t="s">
        <v>387</v>
      </c>
      <c r="I7" s="405">
        <v>1</v>
      </c>
      <c r="J7"/>
      <c r="K7"/>
      <c r="L7"/>
      <c r="M7"/>
    </row>
    <row r="8" spans="1:13" ht="57.6">
      <c r="B8" s="223"/>
      <c r="C8" s="223"/>
      <c r="F8" s="223" t="s">
        <v>404</v>
      </c>
      <c r="G8" s="223" t="s">
        <v>406</v>
      </c>
      <c r="H8" s="223" t="s">
        <v>408</v>
      </c>
      <c r="I8" s="405">
        <v>1</v>
      </c>
      <c r="J8"/>
      <c r="K8"/>
      <c r="L8"/>
      <c r="M8"/>
    </row>
    <row r="9" spans="1:13" ht="34.5">
      <c r="B9" s="223"/>
      <c r="C9" s="223"/>
      <c r="F9" s="223" t="s">
        <v>414</v>
      </c>
      <c r="G9" s="223" t="s">
        <v>415</v>
      </c>
      <c r="H9" s="223" t="s">
        <v>420</v>
      </c>
      <c r="I9" s="405">
        <v>1</v>
      </c>
      <c r="J9"/>
      <c r="K9"/>
      <c r="L9"/>
      <c r="M9"/>
    </row>
    <row r="10" spans="1:13" ht="57.6">
      <c r="B10" s="223"/>
      <c r="C10" s="223"/>
      <c r="D10" s="223" t="s">
        <v>422</v>
      </c>
      <c r="E10" s="223" t="s">
        <v>423</v>
      </c>
      <c r="F10" s="223" t="s">
        <v>424</v>
      </c>
      <c r="G10" s="223" t="s">
        <v>426</v>
      </c>
      <c r="H10" s="223" t="s">
        <v>429</v>
      </c>
      <c r="I10" s="405">
        <v>1</v>
      </c>
      <c r="J10"/>
      <c r="K10"/>
      <c r="L10"/>
      <c r="M10"/>
    </row>
    <row r="11" spans="1:13" ht="57.6">
      <c r="B11" s="223"/>
      <c r="C11" s="223"/>
      <c r="F11" s="223" t="s">
        <v>434</v>
      </c>
      <c r="G11" s="223" t="s">
        <v>435</v>
      </c>
      <c r="H11" s="223" t="s">
        <v>1886</v>
      </c>
      <c r="I11" s="405">
        <v>1</v>
      </c>
      <c r="J11"/>
      <c r="K11"/>
      <c r="L11"/>
      <c r="M11"/>
    </row>
    <row r="12" spans="1:13" ht="69">
      <c r="B12" s="223"/>
      <c r="C12" s="223"/>
      <c r="F12" s="223" t="s">
        <v>443</v>
      </c>
      <c r="G12" s="223" t="s">
        <v>445</v>
      </c>
      <c r="H12" s="223" t="s">
        <v>447</v>
      </c>
      <c r="I12" s="405">
        <v>1</v>
      </c>
      <c r="J12"/>
      <c r="K12"/>
      <c r="L12"/>
      <c r="M12"/>
    </row>
    <row r="13" spans="1:13" ht="57.6">
      <c r="B13" s="223"/>
      <c r="C13" s="223"/>
      <c r="F13" s="223" t="s">
        <v>450</v>
      </c>
      <c r="G13" s="223" t="s">
        <v>452</v>
      </c>
      <c r="H13" s="223" t="s">
        <v>1887</v>
      </c>
      <c r="I13" s="405">
        <v>1</v>
      </c>
      <c r="J13"/>
      <c r="K13"/>
      <c r="L13"/>
      <c r="M13"/>
    </row>
    <row r="14" spans="1:13" ht="57.6">
      <c r="B14" s="223"/>
      <c r="C14" s="223"/>
      <c r="D14" s="223" t="s">
        <v>464</v>
      </c>
      <c r="E14" s="223" t="s">
        <v>465</v>
      </c>
      <c r="F14" s="223" t="s">
        <v>475</v>
      </c>
      <c r="G14" s="223" t="s">
        <v>477</v>
      </c>
      <c r="H14" s="223" t="s">
        <v>480</v>
      </c>
      <c r="I14" s="405">
        <v>1</v>
      </c>
      <c r="J14"/>
      <c r="K14"/>
      <c r="L14"/>
      <c r="M14"/>
    </row>
    <row r="15" spans="1:13" ht="57.6">
      <c r="B15" s="223">
        <v>2</v>
      </c>
      <c r="C15" s="223" t="s">
        <v>482</v>
      </c>
      <c r="D15" s="223" t="s">
        <v>483</v>
      </c>
      <c r="E15" s="223" t="s">
        <v>484</v>
      </c>
      <c r="F15" s="223" t="s">
        <v>485</v>
      </c>
      <c r="G15" s="223" t="s">
        <v>487</v>
      </c>
      <c r="H15" s="223" t="s">
        <v>490</v>
      </c>
      <c r="I15" s="405">
        <v>2</v>
      </c>
      <c r="J15"/>
      <c r="K15"/>
      <c r="L15"/>
      <c r="M15"/>
    </row>
    <row r="16" spans="1:13" ht="23.1">
      <c r="B16" s="223"/>
      <c r="C16" s="223"/>
      <c r="F16" s="223" t="s">
        <v>493</v>
      </c>
      <c r="G16" s="223" t="s">
        <v>495</v>
      </c>
      <c r="H16" s="223" t="s">
        <v>498</v>
      </c>
      <c r="I16" s="405">
        <v>2</v>
      </c>
      <c r="J16"/>
      <c r="K16"/>
      <c r="L16"/>
      <c r="M16"/>
    </row>
    <row r="17" spans="1:13" ht="45.95">
      <c r="B17" s="223"/>
      <c r="C17" s="223"/>
      <c r="F17" s="223" t="s">
        <v>501</v>
      </c>
      <c r="G17" s="223" t="s">
        <v>503</v>
      </c>
      <c r="H17" s="223" t="s">
        <v>506</v>
      </c>
      <c r="I17" s="405">
        <v>2</v>
      </c>
      <c r="J17"/>
      <c r="K17"/>
      <c r="L17"/>
      <c r="M17"/>
    </row>
    <row r="18" spans="1:13" ht="57.6">
      <c r="B18" s="223"/>
      <c r="C18" s="223"/>
      <c r="D18" s="223" t="s">
        <v>509</v>
      </c>
      <c r="E18" s="223" t="s">
        <v>510</v>
      </c>
      <c r="F18" s="223" t="s">
        <v>511</v>
      </c>
      <c r="G18" s="223" t="s">
        <v>513</v>
      </c>
      <c r="H18" s="223" t="s">
        <v>516</v>
      </c>
      <c r="I18" s="405">
        <v>2</v>
      </c>
      <c r="J18"/>
      <c r="K18"/>
      <c r="L18"/>
      <c r="M18"/>
    </row>
    <row r="19" spans="1:13" ht="34.5">
      <c r="B19" s="223"/>
      <c r="C19" s="223"/>
      <c r="F19" s="223" t="s">
        <v>519</v>
      </c>
      <c r="G19" s="223" t="s">
        <v>520</v>
      </c>
      <c r="H19" s="223" t="s">
        <v>522</v>
      </c>
      <c r="I19" s="405">
        <v>2</v>
      </c>
      <c r="J19"/>
      <c r="K19"/>
      <c r="L19"/>
      <c r="M19"/>
    </row>
    <row r="20" spans="1:13" ht="57.6">
      <c r="B20" s="223"/>
      <c r="C20" s="223"/>
      <c r="F20" s="223" t="s">
        <v>527</v>
      </c>
      <c r="G20" s="223" t="s">
        <v>529</v>
      </c>
      <c r="H20" s="223" t="s">
        <v>531</v>
      </c>
      <c r="I20" s="405">
        <v>2</v>
      </c>
      <c r="J20"/>
      <c r="K20"/>
      <c r="L20"/>
      <c r="M20"/>
    </row>
    <row r="21" spans="1:13" ht="80.45">
      <c r="B21" s="223">
        <v>3</v>
      </c>
      <c r="C21" s="223" t="s">
        <v>536</v>
      </c>
      <c r="D21" s="223" t="s">
        <v>537</v>
      </c>
      <c r="E21" s="223" t="s">
        <v>538</v>
      </c>
      <c r="F21" s="223" t="s">
        <v>539</v>
      </c>
      <c r="G21" s="223" t="s">
        <v>541</v>
      </c>
      <c r="H21" s="223" t="s">
        <v>544</v>
      </c>
      <c r="I21" s="405">
        <v>3</v>
      </c>
      <c r="J21"/>
      <c r="K21"/>
      <c r="L21"/>
      <c r="M21"/>
    </row>
    <row r="22" spans="1:13" ht="80.45">
      <c r="B22" s="223"/>
      <c r="C22" s="223"/>
      <c r="F22" s="223" t="s">
        <v>548</v>
      </c>
      <c r="G22" s="223" t="s">
        <v>550</v>
      </c>
      <c r="H22" s="223" t="s">
        <v>553</v>
      </c>
      <c r="I22" s="405">
        <v>3</v>
      </c>
      <c r="J22"/>
      <c r="K22"/>
      <c r="L22"/>
      <c r="M22"/>
    </row>
    <row r="23" spans="1:13" ht="80.45">
      <c r="B23" s="223"/>
      <c r="C23" s="223"/>
      <c r="D23" s="223" t="s">
        <v>557</v>
      </c>
      <c r="E23" s="223" t="s">
        <v>558</v>
      </c>
      <c r="F23" s="223" t="s">
        <v>559</v>
      </c>
      <c r="G23" s="223" t="s">
        <v>560</v>
      </c>
      <c r="H23" s="223" t="s">
        <v>563</v>
      </c>
      <c r="I23" s="405">
        <v>3</v>
      </c>
      <c r="J23"/>
      <c r="K23"/>
      <c r="L23"/>
      <c r="M23"/>
    </row>
    <row r="24" spans="1:13" ht="57.6">
      <c r="B24" s="223"/>
      <c r="C24" s="223"/>
      <c r="D24" s="223" t="s">
        <v>566</v>
      </c>
      <c r="E24" s="223" t="s">
        <v>567</v>
      </c>
      <c r="F24" s="223" t="s">
        <v>576</v>
      </c>
      <c r="G24" s="223" t="s">
        <v>577</v>
      </c>
      <c r="H24" s="223" t="s">
        <v>579</v>
      </c>
      <c r="I24" s="405">
        <v>3</v>
      </c>
      <c r="J24"/>
      <c r="K24"/>
      <c r="L24"/>
      <c r="M24"/>
    </row>
    <row r="25" spans="1:13" ht="57.6">
      <c r="B25" s="223"/>
      <c r="C25" s="223"/>
      <c r="F25" s="223" t="s">
        <v>581</v>
      </c>
      <c r="G25" s="223" t="s">
        <v>583</v>
      </c>
      <c r="H25" s="223" t="s">
        <v>585</v>
      </c>
      <c r="I25" s="405">
        <v>3</v>
      </c>
      <c r="J25"/>
      <c r="K25"/>
      <c r="L25"/>
      <c r="M25"/>
    </row>
    <row r="26" spans="1:13" ht="45.95">
      <c r="B26" s="223"/>
      <c r="C26" s="223"/>
      <c r="F26" s="223" t="s">
        <v>587</v>
      </c>
      <c r="G26" s="223" t="s">
        <v>588</v>
      </c>
      <c r="H26" s="223" t="s">
        <v>590</v>
      </c>
      <c r="I26" s="405">
        <v>3</v>
      </c>
      <c r="J26"/>
      <c r="K26"/>
      <c r="L26"/>
      <c r="M26"/>
    </row>
    <row r="27" spans="1:13" ht="34.5">
      <c r="B27" s="223"/>
      <c r="C27" s="223"/>
      <c r="D27" s="223" t="s">
        <v>591</v>
      </c>
      <c r="E27" s="223" t="s">
        <v>592</v>
      </c>
      <c r="F27" s="223" t="s">
        <v>593</v>
      </c>
      <c r="G27" s="223" t="s">
        <v>595</v>
      </c>
      <c r="H27" s="223" t="s">
        <v>1888</v>
      </c>
      <c r="I27" s="405">
        <v>3</v>
      </c>
      <c r="J27"/>
      <c r="K27"/>
      <c r="L27"/>
      <c r="M27"/>
    </row>
    <row r="28" spans="1:13" ht="14.45">
      <c r="A28" s="223" t="s">
        <v>303</v>
      </c>
      <c r="B28" s="223"/>
      <c r="C28" s="223"/>
      <c r="H28" s="223"/>
      <c r="I28" s="405">
        <v>60</v>
      </c>
      <c r="J28"/>
      <c r="K28"/>
      <c r="L28"/>
      <c r="M28"/>
    </row>
    <row r="29" spans="1:13" ht="14.45">
      <c r="A29" s="223" t="s">
        <v>304</v>
      </c>
      <c r="B29" s="223"/>
      <c r="C29" s="223"/>
      <c r="H29" s="223"/>
      <c r="I29" s="405">
        <v>108</v>
      </c>
      <c r="J29"/>
      <c r="K29"/>
      <c r="L29"/>
      <c r="M29"/>
    </row>
    <row r="30" spans="1:13" ht="23.1">
      <c r="A30" s="223" t="s">
        <v>305</v>
      </c>
      <c r="B30" s="223"/>
      <c r="C30" s="223"/>
      <c r="H30" s="223"/>
      <c r="I30" s="405">
        <v>129</v>
      </c>
      <c r="J30"/>
      <c r="K30"/>
      <c r="L30"/>
      <c r="M30"/>
    </row>
    <row r="31" spans="1:13" ht="14.45">
      <c r="A31" s="223" t="s">
        <v>309</v>
      </c>
      <c r="B31" s="223"/>
      <c r="C31" s="223"/>
      <c r="H31" s="223"/>
      <c r="I31" s="405">
        <v>329</v>
      </c>
      <c r="J31"/>
      <c r="K31"/>
      <c r="L31"/>
      <c r="M31"/>
    </row>
    <row r="32" spans="1:13" ht="23.1">
      <c r="A32" s="223" t="s">
        <v>306</v>
      </c>
      <c r="B32" s="223"/>
      <c r="C32" s="223"/>
      <c r="H32" s="223"/>
      <c r="I32" s="405">
        <v>342</v>
      </c>
      <c r="J32"/>
      <c r="K32"/>
      <c r="L32"/>
      <c r="M32"/>
    </row>
    <row r="33" spans="1:13" ht="45.95">
      <c r="A33" s="223" t="s">
        <v>307</v>
      </c>
      <c r="B33" s="223">
        <v>15</v>
      </c>
      <c r="C33" s="223" t="s">
        <v>1632</v>
      </c>
      <c r="D33" s="223" t="s">
        <v>1633</v>
      </c>
      <c r="E33" s="223" t="s">
        <v>1634</v>
      </c>
      <c r="F33" s="223" t="s">
        <v>1635</v>
      </c>
      <c r="G33" s="223" t="s">
        <v>1637</v>
      </c>
      <c r="H33" s="223" t="s">
        <v>1637</v>
      </c>
      <c r="I33" s="405">
        <v>15</v>
      </c>
      <c r="J33"/>
      <c r="K33"/>
      <c r="L33"/>
      <c r="M33"/>
    </row>
    <row r="34" spans="1:13" ht="23.1">
      <c r="B34" s="223"/>
      <c r="C34" s="223"/>
      <c r="F34" s="223" t="s">
        <v>1643</v>
      </c>
      <c r="G34" s="223" t="s">
        <v>1644</v>
      </c>
      <c r="H34" s="223" t="s">
        <v>1646</v>
      </c>
      <c r="I34" s="405">
        <v>15</v>
      </c>
      <c r="J34"/>
      <c r="K34"/>
      <c r="L34"/>
      <c r="M34"/>
    </row>
    <row r="35" spans="1:13" ht="34.5">
      <c r="B35" s="223"/>
      <c r="C35" s="223"/>
      <c r="F35" s="223" t="s">
        <v>1651</v>
      </c>
      <c r="G35" s="223" t="s">
        <v>1653</v>
      </c>
      <c r="H35" s="223" t="s">
        <v>1889</v>
      </c>
      <c r="I35" s="405">
        <v>15</v>
      </c>
      <c r="J35"/>
      <c r="K35"/>
      <c r="L35"/>
      <c r="M35"/>
    </row>
    <row r="36" spans="1:13" ht="149.44999999999999">
      <c r="B36" s="223"/>
      <c r="C36" s="223"/>
      <c r="F36" s="223" t="s">
        <v>1658</v>
      </c>
      <c r="G36" s="223" t="s">
        <v>1659</v>
      </c>
      <c r="H36" s="223" t="s">
        <v>1662</v>
      </c>
      <c r="I36" s="405">
        <v>15</v>
      </c>
      <c r="J36"/>
      <c r="K36"/>
      <c r="L36"/>
      <c r="M36"/>
    </row>
    <row r="37" spans="1:13" ht="356.45">
      <c r="B37" s="223">
        <v>16</v>
      </c>
      <c r="C37" s="223" t="s">
        <v>1673</v>
      </c>
      <c r="D37" s="223" t="s">
        <v>1674</v>
      </c>
      <c r="E37" s="223" t="s">
        <v>1675</v>
      </c>
      <c r="F37" s="223" t="s">
        <v>1676</v>
      </c>
      <c r="G37" s="223" t="s">
        <v>1677</v>
      </c>
      <c r="H37" s="223" t="s">
        <v>1679</v>
      </c>
      <c r="I37" s="405">
        <v>16</v>
      </c>
      <c r="J37"/>
      <c r="K37"/>
      <c r="L37"/>
      <c r="M37"/>
    </row>
    <row r="38" spans="1:13" ht="57.6">
      <c r="B38" s="223"/>
      <c r="C38" s="223"/>
      <c r="D38" s="223" t="s">
        <v>1704</v>
      </c>
      <c r="E38" s="223" t="s">
        <v>1705</v>
      </c>
      <c r="F38" s="223" t="s">
        <v>1706</v>
      </c>
      <c r="G38" s="223" t="s">
        <v>1707</v>
      </c>
      <c r="H38" s="223" t="s">
        <v>1709</v>
      </c>
      <c r="I38" s="405">
        <v>16</v>
      </c>
      <c r="J38"/>
      <c r="K38"/>
      <c r="L38"/>
      <c r="M38"/>
    </row>
    <row r="39" spans="1:13" ht="80.45">
      <c r="B39" s="223"/>
      <c r="C39" s="223"/>
      <c r="F39" s="223" t="s">
        <v>1712</v>
      </c>
      <c r="G39" s="223" t="s">
        <v>1713</v>
      </c>
      <c r="H39" s="223" t="s">
        <v>1715</v>
      </c>
      <c r="I39" s="405">
        <v>16</v>
      </c>
      <c r="J39"/>
      <c r="K39"/>
      <c r="L39"/>
      <c r="M39"/>
    </row>
    <row r="40" spans="1:13" ht="69">
      <c r="B40" s="223"/>
      <c r="C40" s="223"/>
      <c r="F40" s="223" t="s">
        <v>1718</v>
      </c>
      <c r="G40" s="223" t="s">
        <v>1720</v>
      </c>
      <c r="H40" s="223" t="s">
        <v>1722</v>
      </c>
      <c r="I40" s="405">
        <v>16</v>
      </c>
      <c r="J40"/>
      <c r="K40"/>
      <c r="L40"/>
      <c r="M40"/>
    </row>
    <row r="41" spans="1:13" ht="195.6">
      <c r="B41" s="223"/>
      <c r="C41" s="223"/>
      <c r="F41" s="223" t="s">
        <v>1729</v>
      </c>
      <c r="G41" s="223" t="s">
        <v>1730</v>
      </c>
      <c r="H41" s="223" t="s">
        <v>1733</v>
      </c>
      <c r="I41" s="405">
        <v>16</v>
      </c>
      <c r="J41"/>
      <c r="K41"/>
      <c r="L41"/>
      <c r="M41"/>
    </row>
    <row r="42" spans="1:13" ht="45.95">
      <c r="B42" s="223"/>
      <c r="C42" s="223"/>
      <c r="F42" s="223" t="s">
        <v>1738</v>
      </c>
      <c r="G42" s="223" t="s">
        <v>1739</v>
      </c>
      <c r="H42" s="223" t="s">
        <v>1742</v>
      </c>
      <c r="I42" s="405">
        <v>16</v>
      </c>
      <c r="J42"/>
      <c r="K42"/>
      <c r="L42"/>
      <c r="M42"/>
    </row>
    <row r="43" spans="1:13" ht="161.1">
      <c r="B43" s="223"/>
      <c r="C43" s="223"/>
      <c r="D43" s="223" t="s">
        <v>1744</v>
      </c>
      <c r="E43" s="223" t="s">
        <v>1745</v>
      </c>
      <c r="F43" s="223" t="s">
        <v>1746</v>
      </c>
      <c r="G43" s="223" t="s">
        <v>1748</v>
      </c>
      <c r="H43" s="223" t="s">
        <v>1751</v>
      </c>
      <c r="I43" s="405">
        <v>16</v>
      </c>
      <c r="J43"/>
      <c r="K43"/>
      <c r="L43"/>
      <c r="M43"/>
    </row>
    <row r="44" spans="1:13" ht="69">
      <c r="B44" s="223"/>
      <c r="C44" s="223"/>
      <c r="F44" s="223" t="s">
        <v>1759</v>
      </c>
      <c r="G44" s="223" t="s">
        <v>1760</v>
      </c>
      <c r="H44" s="223" t="s">
        <v>1762</v>
      </c>
      <c r="I44" s="405">
        <v>16</v>
      </c>
      <c r="J44"/>
      <c r="K44"/>
      <c r="L44"/>
      <c r="M44"/>
    </row>
    <row r="45" spans="1:13" ht="34.5">
      <c r="B45" s="223"/>
      <c r="C45" s="223"/>
      <c r="F45" s="223" t="s">
        <v>1768</v>
      </c>
      <c r="G45" s="223" t="s">
        <v>1769</v>
      </c>
      <c r="H45" s="223" t="s">
        <v>1771</v>
      </c>
      <c r="I45" s="405">
        <v>16</v>
      </c>
      <c r="J45"/>
      <c r="K45"/>
      <c r="L45"/>
      <c r="M45"/>
    </row>
    <row r="46" spans="1:13" ht="103.5">
      <c r="B46" s="223"/>
      <c r="C46" s="223"/>
      <c r="F46" s="223" t="s">
        <v>1774</v>
      </c>
      <c r="G46" s="223" t="s">
        <v>1776</v>
      </c>
      <c r="H46" s="223" t="s">
        <v>1779</v>
      </c>
      <c r="I46" s="405">
        <v>16</v>
      </c>
      <c r="J46"/>
      <c r="K46"/>
      <c r="L46"/>
      <c r="M46"/>
    </row>
    <row r="47" spans="1:13" ht="34.5">
      <c r="B47" s="223"/>
      <c r="C47" s="223"/>
      <c r="D47" s="223" t="s">
        <v>1786</v>
      </c>
      <c r="E47" s="223" t="s">
        <v>1787</v>
      </c>
      <c r="F47" s="223" t="s">
        <v>1788</v>
      </c>
      <c r="G47" s="223" t="s">
        <v>1789</v>
      </c>
      <c r="H47" s="223" t="s">
        <v>1791</v>
      </c>
      <c r="I47" s="405">
        <v>16</v>
      </c>
      <c r="J47"/>
      <c r="K47"/>
      <c r="L47"/>
      <c r="M47"/>
    </row>
    <row r="48" spans="1:13" ht="69">
      <c r="B48" s="223"/>
      <c r="C48" s="223"/>
      <c r="F48" s="223" t="s">
        <v>1796</v>
      </c>
      <c r="G48" s="223" t="s">
        <v>1798</v>
      </c>
      <c r="H48" s="223" t="s">
        <v>1800</v>
      </c>
      <c r="I48" s="405">
        <v>16</v>
      </c>
      <c r="J48"/>
      <c r="K48"/>
      <c r="L48"/>
      <c r="M48"/>
    </row>
    <row r="49" spans="1:13" ht="69">
      <c r="B49" s="223"/>
      <c r="C49" s="223"/>
      <c r="F49" s="223" t="s">
        <v>1803</v>
      </c>
      <c r="G49" s="223" t="s">
        <v>1804</v>
      </c>
      <c r="H49" s="223" t="s">
        <v>1806</v>
      </c>
      <c r="I49" s="405">
        <v>16</v>
      </c>
      <c r="J49"/>
      <c r="K49"/>
      <c r="L49"/>
      <c r="M49"/>
    </row>
    <row r="50" spans="1:13" ht="92.1">
      <c r="B50" s="223"/>
      <c r="C50" s="223"/>
      <c r="F50" s="223" t="s">
        <v>1810</v>
      </c>
      <c r="G50" s="223" t="s">
        <v>1811</v>
      </c>
      <c r="H50" s="223" t="s">
        <v>1814</v>
      </c>
      <c r="I50" s="405">
        <v>16</v>
      </c>
      <c r="J50"/>
      <c r="K50"/>
      <c r="L50"/>
      <c r="M50"/>
    </row>
    <row r="51" spans="1:13" ht="183.95">
      <c r="B51" s="223"/>
      <c r="C51" s="223"/>
      <c r="D51" s="223" t="s">
        <v>1830</v>
      </c>
      <c r="E51" s="223" t="s">
        <v>1831</v>
      </c>
      <c r="F51" s="223" t="s">
        <v>1832</v>
      </c>
      <c r="G51" s="223" t="s">
        <v>1833</v>
      </c>
      <c r="H51" s="223" t="s">
        <v>1835</v>
      </c>
      <c r="I51" s="405">
        <v>16</v>
      </c>
      <c r="J51"/>
      <c r="K51"/>
      <c r="L51"/>
      <c r="M51"/>
    </row>
    <row r="52" spans="1:13" ht="126.6">
      <c r="B52" s="223"/>
      <c r="C52" s="223"/>
      <c r="D52" s="223" t="s">
        <v>1852</v>
      </c>
      <c r="E52" s="223" t="s">
        <v>1853</v>
      </c>
      <c r="F52" s="223" t="s">
        <v>1854</v>
      </c>
      <c r="G52" s="223" t="s">
        <v>1856</v>
      </c>
      <c r="H52" s="223" t="s">
        <v>1858</v>
      </c>
      <c r="I52" s="405">
        <v>16</v>
      </c>
      <c r="J52"/>
      <c r="K52"/>
      <c r="L52"/>
      <c r="M52"/>
    </row>
    <row r="53" spans="1:13" ht="241.5">
      <c r="B53" s="223"/>
      <c r="C53" s="223"/>
      <c r="F53" s="223" t="s">
        <v>1867</v>
      </c>
      <c r="G53" s="223" t="s">
        <v>1868</v>
      </c>
      <c r="H53" s="223" t="s">
        <v>1870</v>
      </c>
      <c r="I53" s="405">
        <v>16</v>
      </c>
      <c r="J53"/>
      <c r="K53"/>
      <c r="L53"/>
      <c r="M53"/>
    </row>
    <row r="54" spans="1:13" ht="34.5">
      <c r="B54" s="223"/>
      <c r="C54" s="223"/>
      <c r="F54" s="223" t="s">
        <v>1881</v>
      </c>
      <c r="G54" s="223" t="s">
        <v>1882</v>
      </c>
      <c r="H54" s="223" t="s">
        <v>1883</v>
      </c>
      <c r="I54" s="405">
        <v>16</v>
      </c>
      <c r="J54"/>
      <c r="K54"/>
      <c r="L54"/>
      <c r="M54"/>
    </row>
    <row r="55" spans="1:13" ht="14.45">
      <c r="A55" s="223" t="s">
        <v>310</v>
      </c>
      <c r="B55" s="223"/>
      <c r="C55" s="223"/>
      <c r="H55" s="223"/>
      <c r="I55" s="405">
        <v>1360</v>
      </c>
      <c r="J55"/>
      <c r="K55"/>
      <c r="L55"/>
      <c r="M55"/>
    </row>
    <row r="56" spans="1:13" ht="14.45">
      <c r="A56"/>
      <c r="B56"/>
      <c r="C56"/>
      <c r="D56"/>
      <c r="E56"/>
      <c r="F56"/>
      <c r="G56"/>
      <c r="H56"/>
      <c r="I56"/>
      <c r="J56"/>
      <c r="K56"/>
      <c r="L56"/>
      <c r="M56"/>
    </row>
    <row r="57" spans="1:13" ht="14.45">
      <c r="A57"/>
      <c r="B57"/>
      <c r="C57"/>
      <c r="D57"/>
      <c r="E57"/>
      <c r="F57"/>
      <c r="G57"/>
      <c r="H57"/>
      <c r="I57"/>
      <c r="J57"/>
      <c r="K57"/>
      <c r="L57"/>
      <c r="M57"/>
    </row>
    <row r="58" spans="1:13" ht="14.45">
      <c r="A58"/>
      <c r="B58"/>
      <c r="C58"/>
      <c r="D58"/>
      <c r="E58"/>
      <c r="F58"/>
      <c r="G58"/>
      <c r="H58"/>
      <c r="I58"/>
      <c r="J58"/>
      <c r="K58"/>
      <c r="L58"/>
      <c r="M58"/>
    </row>
    <row r="59" spans="1:13" ht="14.45">
      <c r="A59"/>
      <c r="B59"/>
      <c r="C59"/>
      <c r="D59"/>
      <c r="E59"/>
      <c r="F59"/>
      <c r="G59"/>
      <c r="H59"/>
      <c r="I59"/>
      <c r="J59"/>
      <c r="K59"/>
      <c r="L59"/>
      <c r="M59"/>
    </row>
    <row r="60" spans="1:13" ht="14.45">
      <c r="A60"/>
      <c r="B60"/>
      <c r="C60"/>
      <c r="D60"/>
      <c r="E60"/>
      <c r="F60"/>
      <c r="G60"/>
      <c r="H60"/>
      <c r="I60"/>
      <c r="J60"/>
      <c r="K60"/>
      <c r="L60"/>
      <c r="M60"/>
    </row>
    <row r="61" spans="1:13" ht="14.45">
      <c r="A61"/>
      <c r="B61"/>
      <c r="C61"/>
      <c r="D61"/>
      <c r="E61"/>
      <c r="F61"/>
      <c r="G61"/>
      <c r="H61"/>
      <c r="I61"/>
      <c r="J61"/>
      <c r="K61"/>
      <c r="L61"/>
      <c r="M61"/>
    </row>
    <row r="62" spans="1:13" ht="14.45">
      <c r="A62"/>
      <c r="B62"/>
      <c r="C62"/>
      <c r="D62"/>
      <c r="E62"/>
      <c r="F62"/>
      <c r="G62"/>
      <c r="H62"/>
      <c r="I62"/>
      <c r="J62"/>
      <c r="K62"/>
      <c r="L62"/>
      <c r="M62"/>
    </row>
    <row r="63" spans="1:13" ht="14.45">
      <c r="A63"/>
      <c r="B63"/>
      <c r="C63"/>
      <c r="D63"/>
      <c r="E63"/>
      <c r="F63"/>
      <c r="G63"/>
      <c r="H63"/>
      <c r="I63"/>
      <c r="J63"/>
      <c r="K63"/>
      <c r="L63"/>
      <c r="M63"/>
    </row>
    <row r="64" spans="1:13" ht="14.45">
      <c r="A64"/>
      <c r="B64"/>
      <c r="C64"/>
      <c r="D64"/>
      <c r="E64"/>
      <c r="F64"/>
      <c r="G64"/>
      <c r="H64"/>
      <c r="I64"/>
      <c r="J64"/>
      <c r="K64"/>
      <c r="L64"/>
      <c r="M64"/>
    </row>
    <row r="65" spans="1:13" ht="14.45">
      <c r="A65"/>
      <c r="B65"/>
      <c r="C65"/>
      <c r="D65"/>
      <c r="E65"/>
      <c r="F65"/>
      <c r="G65"/>
      <c r="H65"/>
      <c r="I65"/>
      <c r="J65"/>
      <c r="K65"/>
      <c r="L65"/>
      <c r="M65"/>
    </row>
    <row r="66" spans="1:13" ht="14.45">
      <c r="A66"/>
      <c r="B66"/>
      <c r="C66"/>
      <c r="D66"/>
      <c r="E66"/>
      <c r="F66"/>
      <c r="G66"/>
      <c r="H66"/>
      <c r="I66"/>
      <c r="J66"/>
      <c r="K66"/>
      <c r="L66"/>
      <c r="M66"/>
    </row>
    <row r="67" spans="1:13" ht="14.45">
      <c r="A67"/>
      <c r="B67"/>
      <c r="C67"/>
      <c r="D67"/>
      <c r="E67"/>
      <c r="F67"/>
      <c r="G67"/>
      <c r="H67"/>
      <c r="I67"/>
      <c r="J67"/>
      <c r="K67"/>
      <c r="L67"/>
      <c r="M67"/>
    </row>
    <row r="68" spans="1:13" ht="14.45">
      <c r="A68"/>
      <c r="B68"/>
      <c r="C68"/>
      <c r="D68"/>
      <c r="E68"/>
      <c r="F68"/>
      <c r="G68"/>
      <c r="H68"/>
      <c r="I68"/>
      <c r="J68"/>
      <c r="K68"/>
      <c r="L68"/>
      <c r="M68"/>
    </row>
    <row r="69" spans="1:13" ht="14.45">
      <c r="A69"/>
      <c r="B69"/>
      <c r="C69"/>
      <c r="D69"/>
      <c r="E69"/>
      <c r="F69"/>
      <c r="G69"/>
      <c r="H69"/>
      <c r="I69"/>
      <c r="J69"/>
      <c r="K69"/>
      <c r="L69"/>
      <c r="M69"/>
    </row>
    <row r="70" spans="1:13" ht="14.45">
      <c r="A70"/>
      <c r="B70"/>
      <c r="C70"/>
      <c r="D70"/>
      <c r="E70"/>
      <c r="F70"/>
      <c r="G70"/>
      <c r="H70"/>
      <c r="I70"/>
      <c r="J70"/>
      <c r="K70"/>
      <c r="L70"/>
      <c r="M70"/>
    </row>
    <row r="71" spans="1:13" ht="14.45">
      <c r="A71"/>
      <c r="B71"/>
      <c r="C71"/>
      <c r="D71"/>
      <c r="E71"/>
      <c r="F71"/>
      <c r="G71"/>
      <c r="H71"/>
      <c r="I71"/>
      <c r="J71"/>
      <c r="K71"/>
      <c r="L71"/>
      <c r="M71"/>
    </row>
    <row r="72" spans="1:13" ht="14.45">
      <c r="A72"/>
      <c r="B72"/>
      <c r="C72"/>
      <c r="D72"/>
      <c r="E72"/>
      <c r="F72"/>
      <c r="G72"/>
      <c r="H72"/>
      <c r="I72"/>
      <c r="J72"/>
      <c r="K72"/>
      <c r="L72"/>
      <c r="M72"/>
    </row>
    <row r="73" spans="1:13" ht="14.45">
      <c r="A73"/>
      <c r="B73"/>
      <c r="C73"/>
      <c r="D73"/>
      <c r="E73"/>
      <c r="F73"/>
      <c r="G73"/>
      <c r="H73"/>
      <c r="I73"/>
      <c r="J73"/>
      <c r="K73"/>
      <c r="L73"/>
      <c r="M73"/>
    </row>
    <row r="74" spans="1:13" ht="14.45">
      <c r="A74"/>
      <c r="B74"/>
      <c r="C74"/>
      <c r="D74"/>
      <c r="E74"/>
      <c r="F74"/>
      <c r="G74"/>
      <c r="H74"/>
      <c r="I74"/>
      <c r="J74"/>
      <c r="K74"/>
      <c r="L74"/>
      <c r="M74"/>
    </row>
    <row r="75" spans="1:13" ht="14.45">
      <c r="A75"/>
      <c r="B75"/>
      <c r="C75"/>
      <c r="D75"/>
      <c r="E75"/>
      <c r="F75"/>
      <c r="G75"/>
      <c r="H75"/>
      <c r="I75"/>
      <c r="J75"/>
      <c r="K75"/>
      <c r="L75"/>
      <c r="M75"/>
    </row>
    <row r="76" spans="1:13" ht="14.45">
      <c r="A76"/>
      <c r="B76"/>
      <c r="C76"/>
      <c r="D76"/>
      <c r="E76"/>
      <c r="F76"/>
      <c r="G76"/>
      <c r="H76"/>
      <c r="I76"/>
      <c r="J76"/>
      <c r="K76"/>
      <c r="L76"/>
      <c r="M76"/>
    </row>
    <row r="77" spans="1:13" ht="14.45">
      <c r="A77"/>
      <c r="B77"/>
      <c r="C77"/>
      <c r="D77"/>
      <c r="E77"/>
      <c r="F77"/>
      <c r="G77"/>
      <c r="H77"/>
      <c r="I77"/>
      <c r="J77"/>
      <c r="K77"/>
      <c r="L77"/>
      <c r="M77"/>
    </row>
    <row r="78" spans="1:13" ht="14.45">
      <c r="A78"/>
      <c r="B78"/>
      <c r="C78"/>
      <c r="D78"/>
      <c r="E78"/>
      <c r="F78"/>
      <c r="G78"/>
      <c r="H78"/>
      <c r="I78"/>
      <c r="J78"/>
      <c r="K78"/>
      <c r="L78"/>
      <c r="M78"/>
    </row>
    <row r="79" spans="1:13" ht="14.45">
      <c r="A79"/>
      <c r="B79"/>
      <c r="C79"/>
      <c r="D79"/>
      <c r="E79"/>
      <c r="F79"/>
      <c r="G79"/>
      <c r="H79"/>
      <c r="I79"/>
      <c r="J79"/>
      <c r="K79"/>
      <c r="L79"/>
      <c r="M79"/>
    </row>
    <row r="80" spans="1:13" ht="14.45">
      <c r="A80"/>
      <c r="B80"/>
      <c r="C80"/>
      <c r="D80"/>
      <c r="E80"/>
      <c r="F80"/>
      <c r="G80"/>
      <c r="H80"/>
      <c r="I80"/>
      <c r="J80"/>
      <c r="K80"/>
      <c r="L80"/>
      <c r="M80"/>
    </row>
    <row r="81" spans="1:13" ht="14.45">
      <c r="A81"/>
      <c r="B81"/>
      <c r="C81"/>
      <c r="D81"/>
      <c r="E81"/>
      <c r="F81"/>
      <c r="G81"/>
      <c r="H81"/>
      <c r="I81"/>
      <c r="J81"/>
      <c r="K81"/>
      <c r="L81"/>
      <c r="M81"/>
    </row>
    <row r="82" spans="1:13" ht="14.45">
      <c r="A82"/>
      <c r="B82"/>
      <c r="C82"/>
      <c r="D82"/>
      <c r="E82"/>
      <c r="F82"/>
      <c r="G82"/>
      <c r="H82"/>
      <c r="I82"/>
      <c r="J82"/>
      <c r="K82"/>
      <c r="L82"/>
      <c r="M82"/>
    </row>
    <row r="83" spans="1:13" ht="14.45">
      <c r="A83"/>
      <c r="B83"/>
      <c r="C83"/>
      <c r="D83"/>
      <c r="E83"/>
      <c r="F83"/>
      <c r="G83"/>
      <c r="H83"/>
      <c r="I83"/>
      <c r="J83"/>
      <c r="K83"/>
      <c r="L83"/>
      <c r="M83"/>
    </row>
    <row r="84" spans="1:13" ht="14.45">
      <c r="A84"/>
      <c r="B84"/>
      <c r="C84"/>
      <c r="D84"/>
      <c r="E84"/>
      <c r="F84"/>
      <c r="G84"/>
      <c r="H84"/>
      <c r="I84"/>
      <c r="J84"/>
      <c r="K84"/>
      <c r="L84"/>
      <c r="M84"/>
    </row>
    <row r="85" spans="1:13" ht="14.45">
      <c r="A85"/>
      <c r="B85"/>
      <c r="C85"/>
      <c r="D85"/>
      <c r="E85"/>
      <c r="F85"/>
      <c r="G85"/>
      <c r="H85"/>
      <c r="I85"/>
      <c r="J85"/>
      <c r="K85"/>
      <c r="L85"/>
      <c r="M85"/>
    </row>
    <row r="86" spans="1:13" ht="14.45">
      <c r="A86"/>
      <c r="B86"/>
      <c r="C86"/>
      <c r="D86"/>
      <c r="E86"/>
      <c r="F86"/>
      <c r="G86"/>
      <c r="H86"/>
      <c r="I86"/>
      <c r="J86"/>
      <c r="K86"/>
      <c r="L86"/>
      <c r="M86"/>
    </row>
    <row r="87" spans="1:13" ht="14.45">
      <c r="A87"/>
      <c r="B87"/>
      <c r="C87"/>
      <c r="D87"/>
      <c r="E87"/>
      <c r="F87"/>
      <c r="G87"/>
      <c r="H87"/>
      <c r="I87"/>
      <c r="J87"/>
      <c r="K87"/>
      <c r="L87"/>
      <c r="M87"/>
    </row>
    <row r="88" spans="1:13" ht="14.45">
      <c r="A88"/>
      <c r="B88"/>
      <c r="C88"/>
      <c r="D88"/>
      <c r="E88"/>
      <c r="F88"/>
      <c r="G88"/>
      <c r="H88"/>
      <c r="I88"/>
      <c r="J88"/>
      <c r="K88"/>
      <c r="L88"/>
      <c r="M88"/>
    </row>
    <row r="89" spans="1:13" ht="14.45">
      <c r="A89"/>
      <c r="B89"/>
      <c r="C89"/>
      <c r="D89"/>
      <c r="E89"/>
      <c r="F89"/>
      <c r="G89"/>
      <c r="H89"/>
      <c r="I89"/>
      <c r="J89"/>
      <c r="K89"/>
      <c r="L89"/>
      <c r="M89"/>
    </row>
    <row r="90" spans="1:13" ht="14.45">
      <c r="A90"/>
      <c r="B90"/>
      <c r="C90"/>
      <c r="D90"/>
      <c r="E90"/>
      <c r="F90"/>
      <c r="G90"/>
      <c r="H90"/>
      <c r="I90"/>
      <c r="J90"/>
      <c r="K90"/>
      <c r="L90"/>
      <c r="M90"/>
    </row>
    <row r="91" spans="1:13" ht="14.45">
      <c r="A91"/>
      <c r="B91"/>
      <c r="C91"/>
      <c r="D91"/>
      <c r="E91"/>
      <c r="F91"/>
      <c r="G91"/>
      <c r="H91"/>
      <c r="I91"/>
      <c r="J91"/>
      <c r="K91"/>
      <c r="L91"/>
      <c r="M91"/>
    </row>
    <row r="92" spans="1:13" ht="14.45">
      <c r="A92"/>
      <c r="B92"/>
      <c r="C92"/>
      <c r="D92"/>
      <c r="E92"/>
      <c r="F92"/>
      <c r="G92"/>
      <c r="H92"/>
      <c r="I92"/>
      <c r="J92"/>
      <c r="K92"/>
      <c r="L92"/>
      <c r="M92"/>
    </row>
    <row r="93" spans="1:13" ht="14.45">
      <c r="A93"/>
      <c r="B93"/>
      <c r="C93"/>
      <c r="D93"/>
      <c r="E93"/>
      <c r="F93"/>
      <c r="G93"/>
      <c r="H93"/>
      <c r="I93"/>
      <c r="J93"/>
      <c r="K93"/>
      <c r="L93"/>
      <c r="M93"/>
    </row>
    <row r="94" spans="1:13" ht="14.45">
      <c r="A94"/>
      <c r="B94"/>
      <c r="C94"/>
      <c r="D94"/>
      <c r="E94"/>
      <c r="F94"/>
      <c r="G94"/>
      <c r="H94"/>
      <c r="I94"/>
      <c r="J94"/>
      <c r="K94"/>
      <c r="L94"/>
      <c r="M94"/>
    </row>
    <row r="95" spans="1:13" ht="14.45">
      <c r="A95"/>
      <c r="B95"/>
      <c r="C95"/>
      <c r="D95"/>
      <c r="E95"/>
      <c r="F95"/>
      <c r="G95"/>
      <c r="H95"/>
      <c r="I95"/>
      <c r="J95"/>
      <c r="K95"/>
      <c r="L95"/>
      <c r="M95"/>
    </row>
    <row r="96" spans="1:13" ht="14.45">
      <c r="A96"/>
      <c r="B96"/>
      <c r="C96"/>
      <c r="D96"/>
      <c r="E96"/>
      <c r="F96"/>
      <c r="G96"/>
      <c r="H96"/>
      <c r="I96"/>
      <c r="J96"/>
      <c r="K96"/>
      <c r="L96"/>
      <c r="M96"/>
    </row>
    <row r="97" spans="1:13" ht="14.45">
      <c r="A97"/>
      <c r="B97"/>
      <c r="C97"/>
      <c r="D97"/>
      <c r="E97"/>
      <c r="F97"/>
      <c r="G97"/>
      <c r="H97"/>
      <c r="I97"/>
      <c r="J97"/>
      <c r="K97"/>
      <c r="L97"/>
      <c r="M97"/>
    </row>
    <row r="98" spans="1:13" ht="14.45">
      <c r="A98"/>
      <c r="B98"/>
      <c r="C98"/>
      <c r="D98"/>
      <c r="E98"/>
      <c r="F98"/>
      <c r="G98"/>
      <c r="H98"/>
      <c r="I98"/>
      <c r="J98"/>
      <c r="K98"/>
      <c r="L98"/>
      <c r="M98"/>
    </row>
    <row r="99" spans="1:13" ht="14.45">
      <c r="A99"/>
      <c r="B99"/>
      <c r="C99"/>
      <c r="D99"/>
      <c r="E99"/>
      <c r="F99"/>
      <c r="G99"/>
      <c r="H99"/>
      <c r="I99"/>
      <c r="J99"/>
      <c r="K99"/>
      <c r="L99"/>
      <c r="M99"/>
    </row>
    <row r="100" spans="1:13" ht="14.45">
      <c r="A100"/>
      <c r="B100"/>
      <c r="C100"/>
      <c r="D100"/>
      <c r="E100"/>
      <c r="F100"/>
      <c r="G100"/>
      <c r="H100"/>
      <c r="I100"/>
      <c r="J100"/>
      <c r="K100"/>
      <c r="L100"/>
      <c r="M100"/>
    </row>
    <row r="101" spans="1:13" ht="14.45">
      <c r="A101"/>
      <c r="B101"/>
      <c r="C101"/>
      <c r="D101"/>
      <c r="E101"/>
      <c r="F101"/>
      <c r="G101"/>
      <c r="H101"/>
      <c r="I101"/>
      <c r="J101"/>
      <c r="K101"/>
      <c r="L101"/>
      <c r="M101"/>
    </row>
    <row r="102" spans="1:13" ht="14.45">
      <c r="A102"/>
      <c r="B102"/>
      <c r="C102"/>
      <c r="D102"/>
      <c r="E102"/>
      <c r="F102"/>
      <c r="G102"/>
      <c r="H102"/>
      <c r="I102"/>
      <c r="J102"/>
      <c r="K102"/>
      <c r="L102"/>
      <c r="M102"/>
    </row>
    <row r="103" spans="1:13" ht="14.45">
      <c r="A103"/>
      <c r="B103"/>
      <c r="C103"/>
      <c r="D103"/>
      <c r="E103"/>
      <c r="F103"/>
      <c r="G103"/>
      <c r="H103"/>
      <c r="I103"/>
      <c r="J103"/>
      <c r="K103"/>
      <c r="L103"/>
      <c r="M103"/>
    </row>
    <row r="104" spans="1:13" ht="14.45">
      <c r="A104"/>
      <c r="B104"/>
      <c r="C104"/>
      <c r="D104"/>
      <c r="E104"/>
      <c r="F104"/>
      <c r="G104"/>
      <c r="H104"/>
      <c r="I104"/>
      <c r="J104"/>
      <c r="K104"/>
      <c r="L104"/>
      <c r="M104"/>
    </row>
    <row r="105" spans="1:13" ht="14.45">
      <c r="A105"/>
      <c r="B105"/>
      <c r="C105"/>
      <c r="D105"/>
      <c r="E105"/>
      <c r="F105"/>
      <c r="G105"/>
      <c r="H105"/>
      <c r="I105"/>
      <c r="J105"/>
      <c r="K105"/>
      <c r="L105"/>
      <c r="M105"/>
    </row>
    <row r="106" spans="1:13" ht="14.45">
      <c r="A106"/>
      <c r="B106"/>
      <c r="C106"/>
      <c r="D106"/>
      <c r="E106"/>
      <c r="F106"/>
      <c r="G106"/>
      <c r="H106"/>
      <c r="I106"/>
      <c r="J106"/>
      <c r="K106"/>
      <c r="L106"/>
      <c r="M106"/>
    </row>
    <row r="107" spans="1:13" ht="14.45">
      <c r="A107"/>
      <c r="B107"/>
      <c r="C107"/>
      <c r="D107"/>
      <c r="E107"/>
      <c r="F107"/>
      <c r="G107"/>
      <c r="H107"/>
      <c r="I107"/>
      <c r="J107"/>
      <c r="K107"/>
      <c r="L107"/>
      <c r="M107"/>
    </row>
    <row r="108" spans="1:13" ht="14.45">
      <c r="A108"/>
      <c r="B108"/>
      <c r="C108"/>
      <c r="D108"/>
      <c r="E108"/>
      <c r="F108"/>
      <c r="G108"/>
      <c r="H108"/>
      <c r="I108"/>
      <c r="J108"/>
      <c r="K108"/>
      <c r="L108"/>
      <c r="M108"/>
    </row>
    <row r="109" spans="1:13" ht="14.45">
      <c r="A109"/>
      <c r="B109"/>
      <c r="C109"/>
      <c r="D109"/>
      <c r="E109"/>
      <c r="F109"/>
      <c r="G109"/>
      <c r="H109"/>
      <c r="I109"/>
      <c r="J109"/>
      <c r="K109"/>
      <c r="L109"/>
      <c r="M109"/>
    </row>
    <row r="110" spans="1:13" ht="14.45">
      <c r="A110"/>
      <c r="B110"/>
      <c r="C110"/>
      <c r="D110"/>
      <c r="E110"/>
      <c r="F110"/>
      <c r="G110"/>
      <c r="H110"/>
      <c r="I110"/>
      <c r="J110"/>
      <c r="K110"/>
      <c r="L110"/>
      <c r="M110"/>
    </row>
    <row r="111" spans="1:13" ht="14.45">
      <c r="A111"/>
      <c r="B111"/>
      <c r="C111"/>
      <c r="D111"/>
      <c r="E111"/>
      <c r="F111"/>
      <c r="G111"/>
      <c r="H111"/>
      <c r="I111"/>
      <c r="J111"/>
      <c r="K111"/>
      <c r="L111"/>
      <c r="M111"/>
    </row>
    <row r="112" spans="1:13" ht="14.45">
      <c r="A112"/>
      <c r="B112"/>
      <c r="C112"/>
      <c r="D112"/>
      <c r="E112"/>
      <c r="F112"/>
      <c r="G112"/>
      <c r="H112"/>
      <c r="I112"/>
      <c r="J112"/>
      <c r="K112"/>
      <c r="L112"/>
      <c r="M112"/>
    </row>
    <row r="113" spans="1:13" ht="14.45">
      <c r="A113"/>
      <c r="B113"/>
      <c r="C113"/>
      <c r="D113"/>
      <c r="E113"/>
      <c r="F113"/>
      <c r="G113"/>
      <c r="H113"/>
      <c r="I113"/>
      <c r="J113"/>
      <c r="K113"/>
      <c r="L113"/>
      <c r="M113"/>
    </row>
    <row r="114" spans="1:13" ht="14.45">
      <c r="A114"/>
      <c r="B114"/>
      <c r="C114"/>
      <c r="D114"/>
      <c r="E114"/>
      <c r="F114"/>
      <c r="G114"/>
      <c r="H114"/>
      <c r="I114"/>
      <c r="J114"/>
      <c r="K114"/>
      <c r="L114"/>
      <c r="M114"/>
    </row>
    <row r="115" spans="1:13" ht="14.45">
      <c r="A115"/>
      <c r="B115"/>
      <c r="C115"/>
      <c r="D115"/>
      <c r="E115"/>
      <c r="F115"/>
      <c r="G115"/>
      <c r="H115"/>
      <c r="I115"/>
      <c r="J115"/>
      <c r="K115"/>
      <c r="L115"/>
      <c r="M115"/>
    </row>
    <row r="116" spans="1:13" ht="14.45">
      <c r="A116"/>
      <c r="B116"/>
      <c r="C116"/>
      <c r="D116"/>
      <c r="E116"/>
      <c r="F116"/>
      <c r="G116"/>
      <c r="H116"/>
      <c r="I116"/>
      <c r="J116"/>
      <c r="K116"/>
      <c r="L116"/>
      <c r="M116"/>
    </row>
    <row r="117" spans="1:13" ht="14.45">
      <c r="A117"/>
      <c r="B117"/>
      <c r="C117"/>
      <c r="D117"/>
      <c r="E117"/>
      <c r="F117"/>
      <c r="G117"/>
      <c r="H117"/>
      <c r="I117"/>
      <c r="J117"/>
      <c r="K117"/>
      <c r="L117"/>
      <c r="M117"/>
    </row>
    <row r="118" spans="1:13" ht="14.45">
      <c r="A118"/>
      <c r="B118"/>
      <c r="C118"/>
      <c r="D118"/>
      <c r="E118"/>
      <c r="F118"/>
      <c r="G118"/>
      <c r="H118"/>
      <c r="I118"/>
      <c r="J118"/>
      <c r="K118"/>
      <c r="L118"/>
      <c r="M118"/>
    </row>
    <row r="119" spans="1:13" ht="14.45">
      <c r="A119"/>
      <c r="B119"/>
      <c r="C119"/>
      <c r="D119"/>
      <c r="E119"/>
      <c r="F119"/>
      <c r="G119"/>
      <c r="H119"/>
      <c r="I119"/>
      <c r="J119"/>
      <c r="K119"/>
      <c r="L119"/>
      <c r="M119"/>
    </row>
    <row r="120" spans="1:13" ht="14.45">
      <c r="A120"/>
      <c r="B120"/>
      <c r="C120"/>
      <c r="D120"/>
      <c r="E120"/>
      <c r="F120"/>
      <c r="G120"/>
      <c r="H120"/>
      <c r="I120"/>
      <c r="J120"/>
      <c r="K120"/>
      <c r="L120"/>
      <c r="M120"/>
    </row>
    <row r="121" spans="1:13" ht="14.45">
      <c r="A121"/>
      <c r="B121"/>
      <c r="C121"/>
      <c r="D121"/>
      <c r="E121"/>
      <c r="F121"/>
      <c r="G121"/>
      <c r="H121"/>
      <c r="I121"/>
      <c r="J121"/>
      <c r="K121"/>
      <c r="L121"/>
      <c r="M121"/>
    </row>
    <row r="122" spans="1:13" ht="14.45">
      <c r="A122"/>
      <c r="B122"/>
      <c r="C122"/>
      <c r="D122"/>
      <c r="E122"/>
      <c r="F122"/>
      <c r="G122"/>
      <c r="H122"/>
      <c r="I122"/>
      <c r="J122"/>
      <c r="K122"/>
      <c r="L122"/>
      <c r="M122"/>
    </row>
    <row r="123" spans="1:13" ht="14.45">
      <c r="A123"/>
      <c r="B123"/>
      <c r="C123"/>
      <c r="D123"/>
      <c r="E123"/>
      <c r="F123"/>
      <c r="G123"/>
      <c r="H123"/>
      <c r="I123"/>
      <c r="J123"/>
      <c r="K123"/>
      <c r="L123"/>
      <c r="M123"/>
    </row>
    <row r="124" spans="1:13" ht="14.45">
      <c r="A124"/>
      <c r="B124"/>
      <c r="C124"/>
      <c r="D124"/>
      <c r="E124"/>
      <c r="F124"/>
      <c r="G124"/>
      <c r="H124"/>
      <c r="I124"/>
      <c r="J124"/>
      <c r="K124"/>
      <c r="L124"/>
      <c r="M124"/>
    </row>
    <row r="125" spans="1:13" ht="14.45">
      <c r="A125"/>
      <c r="B125"/>
      <c r="C125"/>
      <c r="D125"/>
      <c r="E125"/>
      <c r="F125"/>
      <c r="G125"/>
      <c r="H125"/>
      <c r="I125"/>
      <c r="J125"/>
      <c r="K125"/>
      <c r="L125"/>
      <c r="M125"/>
    </row>
    <row r="126" spans="1:13" ht="14.45">
      <c r="A126"/>
      <c r="B126"/>
      <c r="C126"/>
      <c r="D126"/>
      <c r="E126"/>
      <c r="F126"/>
      <c r="G126"/>
      <c r="H126"/>
      <c r="I126"/>
      <c r="J126"/>
      <c r="K126"/>
      <c r="L126"/>
      <c r="M126"/>
    </row>
    <row r="127" spans="1:13" ht="14.45">
      <c r="A127"/>
      <c r="B127"/>
      <c r="C127"/>
      <c r="D127"/>
      <c r="E127"/>
      <c r="F127"/>
      <c r="G127"/>
      <c r="H127"/>
      <c r="I127"/>
      <c r="J127"/>
      <c r="K127"/>
      <c r="L127"/>
      <c r="M127"/>
    </row>
    <row r="128" spans="1:13" ht="14.45">
      <c r="A128"/>
      <c r="B128"/>
      <c r="C128"/>
      <c r="D128"/>
      <c r="E128"/>
      <c r="F128"/>
      <c r="G128"/>
      <c r="H128"/>
      <c r="I128"/>
      <c r="J128"/>
      <c r="K128"/>
      <c r="L128"/>
      <c r="M128"/>
    </row>
    <row r="129" spans="1:13" ht="14.45">
      <c r="A129"/>
      <c r="B129"/>
      <c r="C129"/>
      <c r="D129"/>
      <c r="E129"/>
      <c r="F129"/>
      <c r="G129"/>
      <c r="H129"/>
      <c r="I129"/>
      <c r="J129"/>
      <c r="K129"/>
      <c r="L129"/>
      <c r="M129"/>
    </row>
    <row r="130" spans="1:13" ht="14.45">
      <c r="A130"/>
      <c r="B130"/>
      <c r="C130"/>
      <c r="D130"/>
      <c r="E130"/>
      <c r="F130"/>
      <c r="G130"/>
      <c r="H130"/>
      <c r="I130"/>
      <c r="J130"/>
      <c r="K130"/>
      <c r="L130"/>
      <c r="M130"/>
    </row>
    <row r="131" spans="1:13" ht="14.45">
      <c r="A131"/>
      <c r="B131"/>
      <c r="C131"/>
      <c r="D131"/>
      <c r="E131"/>
      <c r="F131"/>
      <c r="G131"/>
      <c r="H131"/>
      <c r="I131"/>
      <c r="J131"/>
      <c r="K131"/>
      <c r="L131"/>
      <c r="M131"/>
    </row>
    <row r="132" spans="1:13" ht="14.45">
      <c r="A132"/>
      <c r="B132"/>
      <c r="C132"/>
      <c r="D132"/>
      <c r="E132"/>
      <c r="F132"/>
      <c r="G132"/>
      <c r="H132"/>
      <c r="I132"/>
      <c r="J132"/>
      <c r="K132"/>
      <c r="L132"/>
      <c r="M132"/>
    </row>
    <row r="133" spans="1:13" ht="14.45">
      <c r="A133"/>
      <c r="B133"/>
      <c r="C133"/>
      <c r="D133"/>
      <c r="E133"/>
      <c r="F133"/>
      <c r="G133"/>
      <c r="H133"/>
      <c r="I133"/>
      <c r="J133"/>
      <c r="K133"/>
      <c r="L133"/>
      <c r="M133"/>
    </row>
    <row r="134" spans="1:13" ht="14.45">
      <c r="A134"/>
      <c r="B134"/>
      <c r="C134"/>
      <c r="D134"/>
      <c r="E134"/>
      <c r="F134"/>
      <c r="G134"/>
      <c r="H134"/>
      <c r="I134"/>
      <c r="J134"/>
      <c r="K134"/>
      <c r="L134"/>
      <c r="M134"/>
    </row>
    <row r="135" spans="1:13" ht="14.45">
      <c r="A135"/>
      <c r="B135"/>
      <c r="C135"/>
      <c r="D135"/>
      <c r="E135"/>
      <c r="F135"/>
      <c r="G135"/>
      <c r="H135"/>
      <c r="I135"/>
      <c r="J135"/>
      <c r="K135"/>
      <c r="L135"/>
      <c r="M135"/>
    </row>
    <row r="136" spans="1:13" ht="14.45">
      <c r="A136"/>
      <c r="B136"/>
      <c r="C136"/>
      <c r="D136"/>
      <c r="E136"/>
      <c r="F136"/>
      <c r="G136"/>
      <c r="H136"/>
      <c r="I136"/>
      <c r="J136"/>
      <c r="K136"/>
      <c r="L136"/>
      <c r="M136"/>
    </row>
    <row r="137" spans="1:13" ht="14.45">
      <c r="A137"/>
      <c r="B137"/>
      <c r="C137"/>
      <c r="D137"/>
      <c r="E137"/>
      <c r="F137"/>
      <c r="G137"/>
      <c r="H137"/>
      <c r="I137"/>
      <c r="J137"/>
      <c r="K137"/>
      <c r="L137"/>
      <c r="M137"/>
    </row>
    <row r="138" spans="1:13" ht="14.45">
      <c r="A138"/>
      <c r="B138"/>
      <c r="C138"/>
      <c r="D138"/>
      <c r="E138"/>
      <c r="F138"/>
      <c r="G138"/>
      <c r="H138"/>
      <c r="I138"/>
      <c r="J138"/>
      <c r="K138"/>
      <c r="L138"/>
      <c r="M138"/>
    </row>
    <row r="139" spans="1:13" ht="14.45">
      <c r="A139"/>
      <c r="B139"/>
      <c r="C139"/>
      <c r="D139"/>
      <c r="E139"/>
      <c r="F139"/>
      <c r="G139"/>
      <c r="H139"/>
      <c r="I139"/>
      <c r="J139"/>
      <c r="K139"/>
      <c r="L139"/>
      <c r="M139"/>
    </row>
    <row r="140" spans="1:13" ht="14.45">
      <c r="A140"/>
      <c r="B140"/>
      <c r="C140"/>
      <c r="D140"/>
      <c r="E140"/>
      <c r="F140"/>
      <c r="G140"/>
      <c r="H140"/>
      <c r="I140"/>
      <c r="J140"/>
      <c r="K140"/>
      <c r="L140"/>
      <c r="M140"/>
    </row>
    <row r="141" spans="1:13" ht="14.45">
      <c r="A141"/>
      <c r="B141"/>
      <c r="C141"/>
      <c r="D141"/>
      <c r="E141"/>
      <c r="F141"/>
      <c r="G141"/>
      <c r="H141"/>
      <c r="I141"/>
      <c r="J141"/>
      <c r="K141"/>
      <c r="L141"/>
      <c r="M141"/>
    </row>
    <row r="142" spans="1:13" ht="14.45">
      <c r="A142"/>
      <c r="B142"/>
      <c r="C142"/>
      <c r="D142"/>
      <c r="E142"/>
      <c r="F142"/>
      <c r="G142"/>
      <c r="H142"/>
      <c r="I142"/>
      <c r="J142"/>
      <c r="K142"/>
      <c r="L142"/>
      <c r="M142"/>
    </row>
    <row r="143" spans="1:13" ht="14.45">
      <c r="A143"/>
      <c r="B143"/>
      <c r="C143"/>
      <c r="D143"/>
      <c r="E143"/>
      <c r="F143"/>
      <c r="G143"/>
      <c r="H143"/>
      <c r="I143"/>
      <c r="J143"/>
      <c r="K143"/>
      <c r="L143"/>
      <c r="M143"/>
    </row>
    <row r="144" spans="1:13" ht="14.45">
      <c r="A144"/>
      <c r="B144"/>
      <c r="C144"/>
      <c r="D144"/>
      <c r="E144"/>
      <c r="F144"/>
      <c r="G144"/>
      <c r="H144"/>
      <c r="I144"/>
      <c r="J144"/>
      <c r="K144"/>
      <c r="L144"/>
      <c r="M144"/>
    </row>
    <row r="145" spans="1:13" ht="14.45">
      <c r="A145"/>
      <c r="B145"/>
      <c r="C145"/>
      <c r="D145"/>
      <c r="E145"/>
      <c r="F145"/>
      <c r="G145"/>
      <c r="H145"/>
      <c r="I145"/>
      <c r="J145"/>
      <c r="K145"/>
      <c r="L145"/>
      <c r="M145"/>
    </row>
    <row r="146" spans="1:13" ht="14.45">
      <c r="A146"/>
      <c r="B146"/>
      <c r="C146"/>
      <c r="D146"/>
      <c r="E146"/>
      <c r="F146"/>
      <c r="G146"/>
      <c r="H146"/>
      <c r="I146"/>
      <c r="J146"/>
      <c r="K146"/>
      <c r="L146"/>
      <c r="M146"/>
    </row>
    <row r="147" spans="1:13" ht="14.45">
      <c r="A147"/>
      <c r="B147"/>
      <c r="C147"/>
      <c r="D147"/>
      <c r="E147"/>
      <c r="F147"/>
      <c r="G147"/>
      <c r="H147"/>
      <c r="I147"/>
      <c r="J147"/>
      <c r="K147"/>
      <c r="L147"/>
      <c r="M147"/>
    </row>
    <row r="148" spans="1:13" ht="14.45">
      <c r="A148"/>
      <c r="B148"/>
      <c r="C148"/>
      <c r="D148"/>
      <c r="E148"/>
      <c r="F148"/>
      <c r="G148"/>
      <c r="H148"/>
      <c r="I148"/>
      <c r="J148"/>
      <c r="K148"/>
      <c r="L148"/>
      <c r="M148"/>
    </row>
    <row r="149" spans="1:13" ht="14.45">
      <c r="A149"/>
      <c r="B149"/>
      <c r="C149"/>
      <c r="D149"/>
      <c r="E149"/>
      <c r="F149"/>
      <c r="G149"/>
      <c r="H149"/>
      <c r="I149"/>
      <c r="J149"/>
      <c r="K149"/>
      <c r="L149"/>
      <c r="M149"/>
    </row>
    <row r="150" spans="1:13" ht="14.45">
      <c r="A150"/>
      <c r="B150"/>
      <c r="C150"/>
      <c r="D150"/>
      <c r="E150"/>
      <c r="F150"/>
      <c r="G150"/>
      <c r="H150"/>
      <c r="I150"/>
      <c r="J150"/>
      <c r="K150"/>
      <c r="L150"/>
      <c r="M150"/>
    </row>
    <row r="151" spans="1:13" ht="14.45">
      <c r="A151"/>
      <c r="B151"/>
      <c r="C151"/>
      <c r="D151"/>
      <c r="E151"/>
      <c r="F151"/>
      <c r="G151"/>
      <c r="H151"/>
      <c r="I151"/>
      <c r="J151"/>
      <c r="K151"/>
      <c r="L151"/>
      <c r="M151"/>
    </row>
    <row r="152" spans="1:13" ht="14.45">
      <c r="A152"/>
      <c r="B152"/>
      <c r="C152"/>
      <c r="D152"/>
      <c r="E152"/>
      <c r="F152"/>
      <c r="G152"/>
      <c r="H152"/>
      <c r="I152"/>
      <c r="J152"/>
      <c r="K152"/>
      <c r="L152"/>
      <c r="M152"/>
    </row>
    <row r="153" spans="1:13" ht="14.45">
      <c r="A153"/>
      <c r="B153"/>
      <c r="C153"/>
      <c r="D153"/>
      <c r="E153"/>
      <c r="F153"/>
      <c r="G153"/>
      <c r="H153"/>
      <c r="I153"/>
      <c r="J153"/>
      <c r="K153"/>
      <c r="L153"/>
      <c r="M153"/>
    </row>
    <row r="154" spans="1:13" ht="14.45">
      <c r="A154"/>
      <c r="B154"/>
      <c r="C154"/>
      <c r="D154"/>
      <c r="E154"/>
      <c r="F154"/>
      <c r="G154"/>
      <c r="H154"/>
      <c r="I154"/>
      <c r="J154"/>
      <c r="K154"/>
      <c r="L154"/>
      <c r="M154"/>
    </row>
    <row r="155" spans="1:13" ht="14.45">
      <c r="A155"/>
      <c r="B155"/>
      <c r="C155"/>
      <c r="D155"/>
      <c r="E155"/>
      <c r="F155"/>
      <c r="G155"/>
      <c r="H155"/>
      <c r="I155"/>
      <c r="J155"/>
      <c r="K155"/>
      <c r="L155"/>
      <c r="M155"/>
    </row>
    <row r="156" spans="1:13" ht="14.45">
      <c r="A156"/>
      <c r="B156"/>
      <c r="C156"/>
      <c r="D156"/>
      <c r="E156"/>
      <c r="F156"/>
      <c r="G156"/>
      <c r="H156"/>
      <c r="I156"/>
      <c r="J156"/>
      <c r="K156"/>
      <c r="L156"/>
      <c r="M156"/>
    </row>
    <row r="157" spans="1:13" ht="14.45">
      <c r="A157"/>
      <c r="B157"/>
      <c r="C157"/>
      <c r="D157"/>
      <c r="E157"/>
      <c r="F157"/>
      <c r="G157"/>
      <c r="H157"/>
      <c r="I157"/>
      <c r="J157"/>
      <c r="K157"/>
      <c r="L157"/>
      <c r="M157"/>
    </row>
    <row r="158" spans="1:13" ht="14.45">
      <c r="A158"/>
      <c r="B158"/>
      <c r="C158"/>
      <c r="D158"/>
      <c r="E158"/>
      <c r="F158"/>
      <c r="G158"/>
      <c r="H158"/>
      <c r="I158"/>
      <c r="J158"/>
      <c r="K158"/>
      <c r="L158"/>
      <c r="M158"/>
    </row>
    <row r="159" spans="1:13" ht="14.45">
      <c r="A159"/>
      <c r="B159"/>
      <c r="C159"/>
      <c r="D159"/>
      <c r="E159"/>
      <c r="F159"/>
      <c r="G159"/>
      <c r="H159"/>
      <c r="I159"/>
      <c r="J159"/>
      <c r="K159"/>
      <c r="L159"/>
      <c r="M159"/>
    </row>
    <row r="160" spans="1:13" ht="14.45">
      <c r="A160"/>
      <c r="B160"/>
      <c r="C160"/>
      <c r="D160"/>
      <c r="E160"/>
      <c r="F160"/>
      <c r="G160"/>
      <c r="H160"/>
      <c r="I160"/>
      <c r="J160"/>
      <c r="K160"/>
      <c r="L160"/>
      <c r="M160"/>
    </row>
    <row r="161" spans="1:13" ht="14.45">
      <c r="A161"/>
      <c r="B161"/>
      <c r="C161"/>
      <c r="D161"/>
      <c r="E161"/>
      <c r="F161"/>
      <c r="G161"/>
      <c r="H161"/>
      <c r="I161"/>
      <c r="J161"/>
      <c r="K161"/>
      <c r="L161"/>
      <c r="M161"/>
    </row>
    <row r="162" spans="1:13" ht="14.45">
      <c r="A162"/>
      <c r="B162"/>
      <c r="C162"/>
      <c r="D162"/>
      <c r="E162"/>
      <c r="F162"/>
      <c r="G162"/>
      <c r="H162"/>
      <c r="I162"/>
      <c r="J162"/>
      <c r="K162"/>
      <c r="L162"/>
      <c r="M162"/>
    </row>
    <row r="163" spans="1:13" ht="14.45">
      <c r="A163"/>
      <c r="B163"/>
      <c r="C163"/>
      <c r="D163"/>
      <c r="E163"/>
      <c r="F163"/>
      <c r="G163"/>
      <c r="H163"/>
      <c r="I163"/>
      <c r="J163"/>
      <c r="K163"/>
      <c r="L163"/>
      <c r="M163"/>
    </row>
    <row r="164" spans="1:13" ht="14.45">
      <c r="A164"/>
      <c r="B164"/>
      <c r="C164"/>
      <c r="D164"/>
      <c r="E164"/>
      <c r="F164"/>
      <c r="G164"/>
      <c r="H164"/>
      <c r="I164"/>
      <c r="J164"/>
      <c r="K164"/>
      <c r="L164"/>
      <c r="M164"/>
    </row>
    <row r="165" spans="1:13" ht="14.45">
      <c r="A165"/>
      <c r="B165"/>
      <c r="C165"/>
      <c r="D165"/>
      <c r="E165"/>
      <c r="F165"/>
      <c r="G165"/>
      <c r="H165"/>
      <c r="I165"/>
      <c r="J165"/>
      <c r="K165"/>
      <c r="L165"/>
      <c r="M165"/>
    </row>
    <row r="166" spans="1:13" ht="14.45">
      <c r="A166"/>
      <c r="B166"/>
      <c r="C166"/>
      <c r="D166"/>
      <c r="E166"/>
      <c r="F166"/>
      <c r="G166"/>
      <c r="H166"/>
      <c r="I166"/>
      <c r="J166"/>
      <c r="K166"/>
      <c r="L166"/>
      <c r="M166"/>
    </row>
    <row r="167" spans="1:13" ht="14.45">
      <c r="A167"/>
      <c r="B167"/>
      <c r="C167"/>
      <c r="D167"/>
      <c r="E167"/>
      <c r="F167"/>
      <c r="G167"/>
      <c r="H167"/>
      <c r="I167"/>
      <c r="J167"/>
      <c r="K167"/>
      <c r="L167"/>
      <c r="M167"/>
    </row>
    <row r="168" spans="1:13" ht="14.45">
      <c r="A168"/>
      <c r="B168"/>
      <c r="C168"/>
      <c r="D168"/>
      <c r="E168"/>
      <c r="F168"/>
      <c r="G168"/>
      <c r="H168"/>
      <c r="I168"/>
      <c r="J168"/>
      <c r="K168"/>
      <c r="L168"/>
      <c r="M168"/>
    </row>
    <row r="169" spans="1:13" ht="14.45">
      <c r="A169"/>
      <c r="B169"/>
      <c r="C169"/>
      <c r="D169"/>
      <c r="E169"/>
      <c r="F169"/>
      <c r="G169"/>
      <c r="H169"/>
      <c r="I169"/>
      <c r="J169"/>
      <c r="K169"/>
      <c r="L169"/>
      <c r="M169"/>
    </row>
    <row r="170" spans="1:13" ht="14.45">
      <c r="A170"/>
      <c r="B170"/>
      <c r="C170"/>
      <c r="D170"/>
      <c r="E170"/>
      <c r="F170"/>
      <c r="G170"/>
      <c r="H170"/>
      <c r="I170"/>
      <c r="J170"/>
      <c r="K170"/>
      <c r="L170"/>
      <c r="M170"/>
    </row>
    <row r="171" spans="1:13" ht="14.45">
      <c r="A171"/>
      <c r="B171"/>
      <c r="C171"/>
      <c r="D171"/>
      <c r="E171"/>
      <c r="F171"/>
      <c r="G171"/>
      <c r="H171"/>
      <c r="I171"/>
      <c r="J171"/>
      <c r="K171"/>
      <c r="L171"/>
      <c r="M171"/>
    </row>
    <row r="172" spans="1:13" ht="14.45">
      <c r="A172"/>
      <c r="B172"/>
      <c r="C172"/>
      <c r="D172"/>
      <c r="E172"/>
      <c r="F172"/>
      <c r="G172"/>
      <c r="H172"/>
      <c r="I172"/>
      <c r="J172"/>
      <c r="K172"/>
      <c r="L172"/>
      <c r="M172"/>
    </row>
    <row r="173" spans="1:13" ht="14.45">
      <c r="A173"/>
      <c r="B173"/>
      <c r="C173"/>
      <c r="D173"/>
      <c r="E173"/>
      <c r="F173"/>
      <c r="G173"/>
      <c r="H173"/>
      <c r="I173"/>
      <c r="J173"/>
      <c r="K173"/>
      <c r="L173"/>
      <c r="M173"/>
    </row>
    <row r="174" spans="1:13" ht="14.45">
      <c r="A174"/>
      <c r="B174"/>
      <c r="C174"/>
      <c r="D174"/>
      <c r="E174"/>
      <c r="F174"/>
      <c r="G174"/>
      <c r="H174"/>
      <c r="I174"/>
      <c r="J174"/>
      <c r="K174"/>
      <c r="L174"/>
      <c r="M174"/>
    </row>
    <row r="175" spans="1:13" ht="14.45">
      <c r="A175"/>
      <c r="B175"/>
      <c r="C175"/>
      <c r="D175"/>
      <c r="E175"/>
      <c r="F175"/>
      <c r="G175"/>
      <c r="H175"/>
      <c r="I175"/>
      <c r="J175"/>
      <c r="K175"/>
      <c r="L175"/>
      <c r="M175"/>
    </row>
    <row r="176" spans="1:13" ht="14.45">
      <c r="A176"/>
      <c r="B176"/>
      <c r="C176"/>
      <c r="D176"/>
      <c r="E176"/>
      <c r="F176"/>
      <c r="G176"/>
      <c r="H176"/>
      <c r="I176"/>
      <c r="J176"/>
      <c r="K176"/>
      <c r="L176"/>
      <c r="M176"/>
    </row>
    <row r="177" spans="1:13" ht="14.45">
      <c r="A177"/>
      <c r="B177"/>
      <c r="C177"/>
      <c r="D177"/>
      <c r="E177"/>
      <c r="F177"/>
      <c r="G177"/>
      <c r="H177"/>
      <c r="I177"/>
      <c r="J177"/>
      <c r="K177"/>
      <c r="L177"/>
      <c r="M177"/>
    </row>
    <row r="178" spans="1:13" ht="14.45">
      <c r="A178"/>
      <c r="B178"/>
      <c r="C178"/>
      <c r="D178"/>
      <c r="E178"/>
      <c r="F178"/>
      <c r="G178"/>
      <c r="H178"/>
      <c r="I178"/>
      <c r="J178"/>
      <c r="K178"/>
      <c r="L178"/>
      <c r="M178"/>
    </row>
    <row r="179" spans="1:13" ht="14.45">
      <c r="A179"/>
      <c r="B179"/>
      <c r="C179"/>
      <c r="D179"/>
      <c r="E179"/>
      <c r="F179"/>
      <c r="G179"/>
      <c r="H179"/>
      <c r="I179"/>
      <c r="J179"/>
      <c r="K179"/>
      <c r="L179"/>
      <c r="M179"/>
    </row>
    <row r="180" spans="1:13" ht="14.45">
      <c r="A180"/>
      <c r="B180"/>
      <c r="C180"/>
      <c r="D180"/>
      <c r="E180"/>
      <c r="F180"/>
      <c r="G180"/>
      <c r="H180"/>
      <c r="I180"/>
      <c r="J180"/>
      <c r="K180"/>
      <c r="L180"/>
      <c r="M180"/>
    </row>
    <row r="181" spans="1:13" ht="14.45">
      <c r="A181"/>
      <c r="B181"/>
      <c r="C181"/>
      <c r="D181"/>
      <c r="E181"/>
      <c r="F181"/>
      <c r="G181"/>
      <c r="H181"/>
      <c r="I181"/>
      <c r="J181"/>
      <c r="K181"/>
      <c r="L181"/>
      <c r="M181"/>
    </row>
    <row r="182" spans="1:13" ht="14.45">
      <c r="A182"/>
      <c r="B182"/>
      <c r="C182"/>
      <c r="D182"/>
      <c r="E182"/>
      <c r="F182"/>
      <c r="G182"/>
      <c r="H182"/>
      <c r="I182"/>
      <c r="J182"/>
      <c r="K182"/>
      <c r="L182"/>
      <c r="M182"/>
    </row>
    <row r="183" spans="1:13" ht="14.45">
      <c r="A183"/>
      <c r="B183"/>
      <c r="C183"/>
      <c r="D183"/>
      <c r="E183"/>
      <c r="F183"/>
      <c r="G183"/>
      <c r="H183"/>
      <c r="I183"/>
      <c r="J183"/>
      <c r="K183"/>
      <c r="L183"/>
      <c r="M183"/>
    </row>
    <row r="184" spans="1:13" ht="14.45">
      <c r="A184"/>
      <c r="B184"/>
      <c r="C184"/>
      <c r="D184"/>
      <c r="E184"/>
      <c r="F184"/>
      <c r="G184"/>
      <c r="H184"/>
      <c r="I184"/>
      <c r="J184"/>
      <c r="K184"/>
      <c r="L184"/>
      <c r="M184"/>
    </row>
    <row r="185" spans="1:13" ht="14.45">
      <c r="A185"/>
      <c r="B185"/>
      <c r="C185"/>
      <c r="D185"/>
      <c r="E185"/>
      <c r="F185"/>
      <c r="G185"/>
      <c r="H185"/>
      <c r="I185"/>
      <c r="J185"/>
      <c r="K185"/>
      <c r="L185"/>
      <c r="M185"/>
    </row>
    <row r="186" spans="1:13" ht="14.45">
      <c r="A186"/>
      <c r="B186"/>
      <c r="C186"/>
      <c r="D186"/>
      <c r="E186"/>
      <c r="F186"/>
      <c r="G186"/>
      <c r="H186"/>
      <c r="I186"/>
      <c r="J186"/>
      <c r="K186"/>
      <c r="L186"/>
      <c r="M186"/>
    </row>
    <row r="187" spans="1:13" ht="14.45">
      <c r="A187"/>
      <c r="B187"/>
      <c r="C187"/>
      <c r="D187"/>
      <c r="E187"/>
      <c r="F187"/>
      <c r="G187"/>
      <c r="H187"/>
      <c r="I187"/>
      <c r="J187"/>
      <c r="K187"/>
      <c r="L187"/>
      <c r="M187"/>
    </row>
    <row r="188" spans="1:13" ht="14.45">
      <c r="A188"/>
      <c r="B188"/>
      <c r="C188"/>
      <c r="D188"/>
      <c r="E188"/>
      <c r="F188"/>
      <c r="G188"/>
      <c r="H188"/>
      <c r="I188"/>
      <c r="J188"/>
      <c r="K188"/>
      <c r="L188"/>
      <c r="M188"/>
    </row>
    <row r="189" spans="1:13" ht="14.45">
      <c r="A189"/>
      <c r="B189"/>
      <c r="C189"/>
      <c r="D189"/>
      <c r="E189"/>
      <c r="F189"/>
      <c r="G189"/>
      <c r="H189"/>
      <c r="I189"/>
      <c r="J189"/>
      <c r="K189"/>
      <c r="L189"/>
      <c r="M189"/>
    </row>
    <row r="190" spans="1:13" ht="14.45">
      <c r="A190"/>
      <c r="B190"/>
      <c r="C190"/>
      <c r="D190"/>
      <c r="E190"/>
      <c r="F190"/>
      <c r="G190"/>
      <c r="H190"/>
      <c r="I190"/>
      <c r="J190"/>
      <c r="K190"/>
      <c r="L190"/>
      <c r="M190"/>
    </row>
    <row r="191" spans="1:13" ht="14.45">
      <c r="A191"/>
      <c r="B191"/>
      <c r="C191"/>
      <c r="D191"/>
      <c r="E191"/>
      <c r="F191"/>
      <c r="G191"/>
      <c r="H191"/>
      <c r="I191"/>
      <c r="J191"/>
      <c r="K191"/>
      <c r="L191"/>
      <c r="M191"/>
    </row>
    <row r="192" spans="1:13" ht="14.45">
      <c r="A192"/>
      <c r="B192"/>
      <c r="C192"/>
      <c r="D192"/>
      <c r="E192"/>
      <c r="F192"/>
      <c r="G192"/>
      <c r="H192"/>
      <c r="I192"/>
      <c r="J192"/>
      <c r="K192"/>
      <c r="L192"/>
      <c r="M192"/>
    </row>
    <row r="193" spans="1:13" ht="14.45">
      <c r="A193"/>
      <c r="B193"/>
      <c r="C193"/>
      <c r="D193"/>
      <c r="E193"/>
      <c r="F193"/>
      <c r="G193"/>
      <c r="H193"/>
      <c r="I193"/>
      <c r="J193"/>
      <c r="K193"/>
      <c r="L193"/>
      <c r="M193"/>
    </row>
    <row r="194" spans="1:13" ht="14.45">
      <c r="A194"/>
      <c r="B194"/>
      <c r="C194"/>
      <c r="D194"/>
      <c r="E194"/>
      <c r="F194"/>
      <c r="G194"/>
      <c r="H194"/>
      <c r="I194"/>
      <c r="J194"/>
      <c r="K194"/>
      <c r="L194"/>
      <c r="M194"/>
    </row>
    <row r="195" spans="1:13" ht="14.45">
      <c r="A195"/>
      <c r="B195"/>
      <c r="C195"/>
      <c r="D195"/>
      <c r="E195"/>
      <c r="F195"/>
      <c r="G195"/>
      <c r="H195"/>
      <c r="I195"/>
      <c r="J195"/>
      <c r="K195"/>
      <c r="L195"/>
      <c r="M195"/>
    </row>
    <row r="196" spans="1:13" ht="14.45">
      <c r="A196"/>
      <c r="B196"/>
      <c r="C196"/>
      <c r="D196"/>
      <c r="E196"/>
      <c r="F196"/>
      <c r="G196"/>
      <c r="H196"/>
      <c r="I196"/>
      <c r="J196"/>
      <c r="K196"/>
      <c r="L196"/>
      <c r="M196"/>
    </row>
    <row r="197" spans="1:13" ht="14.45">
      <c r="A197"/>
      <c r="B197"/>
      <c r="C197"/>
      <c r="D197"/>
      <c r="E197"/>
      <c r="F197"/>
      <c r="G197"/>
      <c r="H197"/>
      <c r="I197"/>
      <c r="J197"/>
      <c r="K197"/>
      <c r="L197"/>
      <c r="M197"/>
    </row>
    <row r="198" spans="1:13" ht="14.45">
      <c r="A198"/>
      <c r="B198"/>
      <c r="C198"/>
      <c r="D198"/>
      <c r="E198"/>
      <c r="F198"/>
      <c r="G198"/>
      <c r="H198"/>
      <c r="I198"/>
      <c r="J198"/>
      <c r="K198"/>
      <c r="L198"/>
      <c r="M198"/>
    </row>
    <row r="199" spans="1:13" ht="14.45">
      <c r="A199"/>
      <c r="B199"/>
      <c r="C199"/>
      <c r="D199"/>
      <c r="E199"/>
      <c r="F199"/>
      <c r="G199"/>
      <c r="H199"/>
      <c r="I199"/>
      <c r="J199"/>
      <c r="K199"/>
      <c r="L199"/>
      <c r="M199"/>
    </row>
    <row r="200" spans="1:13" ht="14.45">
      <c r="A200"/>
      <c r="B200"/>
      <c r="C200"/>
      <c r="D200"/>
      <c r="E200"/>
      <c r="F200"/>
      <c r="G200"/>
      <c r="H200"/>
      <c r="I200"/>
      <c r="J200"/>
      <c r="K200"/>
      <c r="L200"/>
      <c r="M200"/>
    </row>
    <row r="201" spans="1:13" ht="14.45">
      <c r="A201"/>
      <c r="B201"/>
      <c r="C201"/>
      <c r="D201"/>
      <c r="E201"/>
      <c r="F201"/>
      <c r="G201"/>
      <c r="H201"/>
      <c r="I201"/>
      <c r="J201"/>
      <c r="K201"/>
      <c r="L201"/>
      <c r="M201"/>
    </row>
    <row r="202" spans="1:13" ht="14.45">
      <c r="A202"/>
      <c r="B202"/>
      <c r="C202"/>
      <c r="D202"/>
      <c r="E202"/>
      <c r="F202"/>
      <c r="G202"/>
      <c r="H202"/>
      <c r="I202"/>
      <c r="J202"/>
      <c r="K202"/>
      <c r="L202"/>
      <c r="M202"/>
    </row>
    <row r="203" spans="1:13" ht="14.45">
      <c r="A203"/>
      <c r="B203"/>
      <c r="C203"/>
      <c r="D203"/>
      <c r="E203"/>
      <c r="F203"/>
      <c r="G203"/>
      <c r="H203"/>
      <c r="I203"/>
      <c r="J203"/>
      <c r="K203"/>
      <c r="L203"/>
      <c r="M203"/>
    </row>
    <row r="204" spans="1:13" ht="14.45">
      <c r="A204"/>
      <c r="B204"/>
      <c r="C204"/>
      <c r="D204"/>
      <c r="E204"/>
      <c r="F204"/>
      <c r="G204"/>
      <c r="H204"/>
      <c r="I204"/>
      <c r="J204"/>
      <c r="K204"/>
      <c r="L204"/>
      <c r="M204"/>
    </row>
    <row r="205" spans="1:13" ht="14.45">
      <c r="A205"/>
      <c r="B205"/>
      <c r="C205"/>
      <c r="D205"/>
      <c r="E205"/>
      <c r="F205"/>
      <c r="G205"/>
      <c r="H205"/>
      <c r="I205"/>
      <c r="J205"/>
      <c r="K205"/>
      <c r="L205"/>
      <c r="M205"/>
    </row>
    <row r="206" spans="1:13" ht="14.45">
      <c r="A206"/>
      <c r="B206"/>
      <c r="C206"/>
      <c r="D206"/>
      <c r="E206"/>
      <c r="F206"/>
      <c r="G206"/>
      <c r="H206"/>
      <c r="I206"/>
      <c r="J206"/>
      <c r="K206"/>
      <c r="L206"/>
      <c r="M206"/>
    </row>
    <row r="207" spans="1:13" ht="14.45">
      <c r="A207"/>
      <c r="B207"/>
      <c r="C207"/>
      <c r="D207"/>
      <c r="E207"/>
      <c r="F207"/>
      <c r="G207"/>
      <c r="H207"/>
      <c r="I207"/>
      <c r="J207"/>
      <c r="K207"/>
      <c r="L207"/>
      <c r="M207"/>
    </row>
    <row r="208" spans="1:13" ht="14.45">
      <c r="A208"/>
      <c r="B208"/>
      <c r="C208"/>
      <c r="D208"/>
      <c r="E208"/>
      <c r="F208"/>
      <c r="G208"/>
      <c r="H208"/>
      <c r="I208"/>
      <c r="J208"/>
      <c r="K208"/>
      <c r="L208"/>
      <c r="M208"/>
    </row>
    <row r="209" spans="1:13" ht="14.45">
      <c r="A209"/>
      <c r="B209"/>
      <c r="C209"/>
      <c r="D209"/>
      <c r="E209"/>
      <c r="F209"/>
      <c r="G209"/>
      <c r="H209"/>
      <c r="I209"/>
      <c r="J209"/>
      <c r="K209"/>
      <c r="L209"/>
      <c r="M209"/>
    </row>
    <row r="210" spans="1:13" ht="14.45">
      <c r="A210"/>
      <c r="B210"/>
      <c r="C210"/>
      <c r="D210"/>
      <c r="E210"/>
      <c r="F210"/>
      <c r="G210"/>
      <c r="H210"/>
      <c r="I210"/>
      <c r="J210"/>
      <c r="K210"/>
      <c r="L210"/>
      <c r="M210"/>
    </row>
    <row r="211" spans="1:13" ht="14.45">
      <c r="A211"/>
      <c r="B211"/>
      <c r="C211"/>
      <c r="D211"/>
      <c r="E211"/>
      <c r="F211"/>
      <c r="G211"/>
      <c r="H211"/>
      <c r="I211"/>
      <c r="J211"/>
      <c r="K211"/>
      <c r="L211"/>
      <c r="M211"/>
    </row>
    <row r="212" spans="1:13" ht="14.45">
      <c r="A212"/>
      <c r="B212"/>
      <c r="C212"/>
      <c r="D212"/>
      <c r="E212"/>
      <c r="F212"/>
      <c r="G212"/>
      <c r="H212"/>
      <c r="I212"/>
      <c r="J212"/>
      <c r="K212"/>
      <c r="L212"/>
      <c r="M212"/>
    </row>
    <row r="213" spans="1:13" ht="14.45">
      <c r="A213"/>
      <c r="B213"/>
      <c r="C213"/>
      <c r="D213"/>
      <c r="E213"/>
      <c r="F213"/>
      <c r="G213"/>
      <c r="H213"/>
      <c r="I213"/>
      <c r="J213"/>
      <c r="K213"/>
      <c r="L213"/>
      <c r="M213"/>
    </row>
    <row r="214" spans="1:13" ht="14.45">
      <c r="A214"/>
      <c r="B214"/>
      <c r="C214"/>
      <c r="D214"/>
      <c r="E214"/>
      <c r="F214"/>
      <c r="G214"/>
      <c r="H214"/>
      <c r="I214"/>
      <c r="J214"/>
      <c r="K214"/>
      <c r="L214"/>
      <c r="M214"/>
    </row>
    <row r="215" spans="1:13" ht="14.45">
      <c r="A215"/>
      <c r="B215"/>
      <c r="C215"/>
      <c r="D215"/>
      <c r="E215"/>
      <c r="F215"/>
      <c r="G215"/>
      <c r="H215"/>
      <c r="I215"/>
      <c r="J215"/>
      <c r="K215"/>
      <c r="L215"/>
      <c r="M215"/>
    </row>
    <row r="216" spans="1:13" ht="14.45">
      <c r="A216"/>
      <c r="B216"/>
      <c r="C216"/>
      <c r="D216"/>
      <c r="E216"/>
      <c r="F216"/>
      <c r="G216"/>
      <c r="H216"/>
      <c r="I216"/>
      <c r="J216"/>
      <c r="K216"/>
      <c r="L216"/>
      <c r="M216"/>
    </row>
    <row r="217" spans="1:13" ht="14.45">
      <c r="A217"/>
      <c r="B217"/>
      <c r="C217"/>
      <c r="D217"/>
      <c r="E217"/>
      <c r="F217"/>
      <c r="G217"/>
      <c r="H217"/>
      <c r="I217"/>
      <c r="J217"/>
      <c r="K217"/>
      <c r="L217"/>
      <c r="M217"/>
    </row>
    <row r="218" spans="1:13" ht="14.45">
      <c r="A218"/>
      <c r="B218"/>
      <c r="C218"/>
      <c r="D218"/>
      <c r="E218"/>
      <c r="F218"/>
      <c r="G218"/>
      <c r="H218"/>
      <c r="I218"/>
      <c r="J218"/>
      <c r="K218"/>
      <c r="L218"/>
      <c r="M218"/>
    </row>
    <row r="219" spans="1:13" ht="14.45">
      <c r="A219"/>
      <c r="B219"/>
      <c r="C219"/>
      <c r="D219"/>
      <c r="E219"/>
      <c r="F219"/>
      <c r="G219"/>
      <c r="H219"/>
      <c r="I219"/>
      <c r="J219"/>
      <c r="K219"/>
      <c r="L219"/>
      <c r="M219"/>
    </row>
    <row r="220" spans="1:13" ht="14.45">
      <c r="A220"/>
      <c r="B220"/>
      <c r="C220"/>
      <c r="D220"/>
      <c r="E220"/>
      <c r="F220"/>
      <c r="G220"/>
      <c r="H220"/>
      <c r="I220"/>
      <c r="J220"/>
      <c r="K220"/>
      <c r="L220"/>
      <c r="M220"/>
    </row>
    <row r="221" spans="1:13" ht="14.45">
      <c r="A221"/>
      <c r="B221"/>
      <c r="C221"/>
      <c r="D221"/>
      <c r="E221"/>
      <c r="F221"/>
      <c r="G221"/>
      <c r="H221"/>
      <c r="I221"/>
      <c r="J221"/>
      <c r="K221"/>
      <c r="L221"/>
      <c r="M221"/>
    </row>
    <row r="222" spans="1:13" ht="14.45">
      <c r="A222"/>
      <c r="B222"/>
      <c r="C222"/>
      <c r="D222"/>
      <c r="E222"/>
      <c r="F222"/>
      <c r="G222"/>
      <c r="H222"/>
      <c r="I222"/>
      <c r="J222"/>
      <c r="K222"/>
      <c r="L222"/>
      <c r="M222"/>
    </row>
    <row r="223" spans="1:13" ht="14.45">
      <c r="A223"/>
      <c r="B223"/>
      <c r="C223"/>
      <c r="D223"/>
      <c r="E223"/>
      <c r="F223"/>
      <c r="G223"/>
      <c r="H223"/>
      <c r="I223"/>
      <c r="J223"/>
      <c r="K223"/>
      <c r="L223"/>
      <c r="M223"/>
    </row>
    <row r="224" spans="1:13" ht="14.45">
      <c r="A224"/>
      <c r="B224"/>
      <c r="C224"/>
      <c r="D224"/>
      <c r="E224"/>
      <c r="F224"/>
      <c r="G224"/>
      <c r="H224"/>
      <c r="I224"/>
      <c r="J224"/>
      <c r="K224"/>
      <c r="L224"/>
      <c r="M224"/>
    </row>
    <row r="225" spans="1:13" ht="14.45">
      <c r="A225"/>
      <c r="B225"/>
      <c r="C225"/>
      <c r="D225"/>
      <c r="E225"/>
      <c r="F225"/>
      <c r="G225"/>
      <c r="H225"/>
      <c r="I225"/>
      <c r="J225"/>
      <c r="K225"/>
      <c r="L225"/>
      <c r="M225"/>
    </row>
    <row r="226" spans="1:13" ht="14.45">
      <c r="A226"/>
      <c r="B226"/>
      <c r="C226"/>
      <c r="D226"/>
      <c r="E226"/>
      <c r="F226"/>
      <c r="G226"/>
      <c r="H226"/>
      <c r="I226"/>
      <c r="J226"/>
      <c r="K226"/>
      <c r="L226"/>
      <c r="M226"/>
    </row>
    <row r="227" spans="1:13" ht="14.45">
      <c r="A227"/>
      <c r="B227"/>
      <c r="C227"/>
      <c r="D227"/>
      <c r="E227"/>
      <c r="F227"/>
      <c r="G227"/>
      <c r="H227"/>
      <c r="I227"/>
      <c r="J227"/>
      <c r="K227"/>
      <c r="L227"/>
      <c r="M227"/>
    </row>
    <row r="228" spans="1:13" ht="14.45">
      <c r="A228"/>
      <c r="B228"/>
      <c r="C228"/>
      <c r="D228"/>
      <c r="E228"/>
      <c r="F228"/>
      <c r="G228"/>
      <c r="H228"/>
      <c r="I228"/>
      <c r="J228"/>
      <c r="K228"/>
      <c r="L228"/>
      <c r="M228"/>
    </row>
    <row r="229" spans="1:13" ht="14.45">
      <c r="A229"/>
      <c r="B229"/>
      <c r="C229"/>
      <c r="D229"/>
      <c r="E229"/>
      <c r="F229"/>
      <c r="G229"/>
      <c r="H229"/>
      <c r="I229"/>
      <c r="J229"/>
      <c r="K229"/>
      <c r="L229"/>
      <c r="M229"/>
    </row>
    <row r="230" spans="1:13" ht="14.45">
      <c r="A230"/>
      <c r="B230"/>
      <c r="C230"/>
      <c r="D230"/>
      <c r="E230"/>
      <c r="F230"/>
      <c r="G230"/>
      <c r="H230"/>
      <c r="I230"/>
      <c r="J230"/>
      <c r="K230"/>
      <c r="L230"/>
      <c r="M230"/>
    </row>
    <row r="231" spans="1:13" ht="14.45">
      <c r="A231"/>
      <c r="B231"/>
      <c r="C231"/>
      <c r="D231"/>
      <c r="E231"/>
      <c r="F231"/>
      <c r="G231"/>
      <c r="H231"/>
      <c r="I231"/>
      <c r="J231"/>
      <c r="K231"/>
      <c r="L231"/>
      <c r="M231"/>
    </row>
    <row r="232" spans="1:13" ht="14.45">
      <c r="A232"/>
      <c r="B232"/>
      <c r="C232"/>
      <c r="D232"/>
      <c r="E232"/>
      <c r="F232"/>
      <c r="G232"/>
      <c r="H232"/>
      <c r="I232"/>
      <c r="J232"/>
      <c r="K232"/>
      <c r="L232"/>
      <c r="M232"/>
    </row>
    <row r="233" spans="1:13" ht="14.45">
      <c r="A233"/>
      <c r="B233"/>
      <c r="C233"/>
      <c r="D233"/>
      <c r="E233"/>
      <c r="F233"/>
      <c r="G233"/>
      <c r="H233"/>
      <c r="I233"/>
      <c r="J233"/>
      <c r="K233"/>
      <c r="L233"/>
      <c r="M233"/>
    </row>
    <row r="234" spans="1:13" ht="14.45">
      <c r="A234"/>
      <c r="B234"/>
      <c r="C234"/>
      <c r="D234"/>
      <c r="E234"/>
      <c r="F234"/>
      <c r="G234"/>
      <c r="H234"/>
      <c r="I234"/>
      <c r="J234"/>
      <c r="K234"/>
      <c r="L234"/>
      <c r="M234"/>
    </row>
    <row r="235" spans="1:13" ht="14.45">
      <c r="A235"/>
      <c r="B235"/>
      <c r="C235"/>
      <c r="D235"/>
      <c r="E235"/>
      <c r="F235"/>
      <c r="G235"/>
      <c r="H235"/>
      <c r="I235"/>
      <c r="J235"/>
      <c r="K235"/>
      <c r="L235"/>
      <c r="M235"/>
    </row>
    <row r="236" spans="1:13" ht="14.45">
      <c r="A236"/>
      <c r="B236"/>
      <c r="C236"/>
      <c r="D236"/>
      <c r="E236"/>
      <c r="F236"/>
      <c r="G236"/>
      <c r="H236"/>
      <c r="I236"/>
      <c r="J236"/>
      <c r="K236"/>
      <c r="L236"/>
      <c r="M236"/>
    </row>
    <row r="237" spans="1:13" ht="14.45">
      <c r="A237"/>
      <c r="B237"/>
      <c r="C237"/>
      <c r="D237"/>
      <c r="E237"/>
      <c r="F237"/>
      <c r="G237"/>
      <c r="H237"/>
      <c r="I237"/>
      <c r="J237"/>
      <c r="K237"/>
      <c r="L237"/>
      <c r="M237"/>
    </row>
    <row r="238" spans="1:13" ht="14.45">
      <c r="A238"/>
      <c r="B238"/>
      <c r="C238"/>
      <c r="D238"/>
      <c r="E238"/>
      <c r="F238"/>
      <c r="G238"/>
      <c r="H238"/>
      <c r="I238"/>
      <c r="J238"/>
      <c r="K238"/>
      <c r="L238"/>
      <c r="M238"/>
    </row>
    <row r="239" spans="1:13" ht="14.45">
      <c r="A239"/>
      <c r="B239"/>
      <c r="C239"/>
      <c r="D239"/>
      <c r="E239"/>
      <c r="F239"/>
      <c r="G239"/>
      <c r="H239"/>
      <c r="I239"/>
      <c r="J239"/>
      <c r="K239"/>
      <c r="L239"/>
      <c r="M239"/>
    </row>
    <row r="240" spans="1:13" ht="14.45">
      <c r="A240"/>
      <c r="B240"/>
      <c r="C240"/>
      <c r="D240"/>
      <c r="E240"/>
      <c r="F240"/>
      <c r="G240"/>
      <c r="H240"/>
      <c r="I240"/>
      <c r="J240"/>
      <c r="K240"/>
      <c r="L240"/>
      <c r="M240"/>
    </row>
    <row r="241" spans="1:13" ht="14.45">
      <c r="A241"/>
      <c r="B241"/>
      <c r="C241"/>
      <c r="D241"/>
      <c r="E241"/>
      <c r="F241"/>
      <c r="G241"/>
      <c r="H241"/>
      <c r="I241"/>
      <c r="J241"/>
      <c r="K241"/>
      <c r="L241"/>
      <c r="M241"/>
    </row>
    <row r="242" spans="1:13" ht="14.45">
      <c r="A242"/>
      <c r="B242"/>
      <c r="C242"/>
      <c r="D242"/>
      <c r="E242"/>
      <c r="F242"/>
      <c r="G242"/>
      <c r="H242"/>
      <c r="I242"/>
      <c r="J242"/>
      <c r="K242"/>
      <c r="L242"/>
      <c r="M242"/>
    </row>
    <row r="243" spans="1:13" ht="14.45">
      <c r="A243"/>
      <c r="B243"/>
      <c r="C243"/>
      <c r="D243"/>
      <c r="E243"/>
      <c r="F243"/>
      <c r="G243"/>
      <c r="H243"/>
      <c r="I243"/>
      <c r="J243"/>
      <c r="K243"/>
      <c r="L243"/>
      <c r="M243"/>
    </row>
    <row r="244" spans="1:13" ht="14.45">
      <c r="A244"/>
      <c r="B244"/>
      <c r="C244"/>
      <c r="D244"/>
      <c r="E244"/>
      <c r="F244"/>
      <c r="G244"/>
      <c r="H244"/>
      <c r="I244"/>
      <c r="J244"/>
      <c r="K244"/>
      <c r="L244"/>
      <c r="M244"/>
    </row>
    <row r="245" spans="1:13" ht="14.45">
      <c r="A245"/>
      <c r="B245"/>
      <c r="C245"/>
      <c r="D245"/>
      <c r="E245"/>
      <c r="F245"/>
      <c r="G245"/>
      <c r="H245"/>
      <c r="I245"/>
      <c r="J245"/>
      <c r="K245"/>
      <c r="L245"/>
      <c r="M245"/>
    </row>
    <row r="246" spans="1:13" ht="14.45">
      <c r="A246"/>
      <c r="B246"/>
      <c r="C246"/>
      <c r="D246"/>
      <c r="E246"/>
      <c r="F246"/>
      <c r="G246"/>
      <c r="H246"/>
      <c r="I246"/>
      <c r="J246"/>
      <c r="K246"/>
      <c r="L246"/>
      <c r="M246"/>
    </row>
    <row r="247" spans="1:13" ht="14.45">
      <c r="A247"/>
      <c r="B247"/>
      <c r="C247"/>
      <c r="D247"/>
      <c r="E247"/>
      <c r="F247"/>
      <c r="G247"/>
      <c r="H247"/>
      <c r="I247"/>
      <c r="J247"/>
      <c r="K247"/>
      <c r="L247"/>
      <c r="M247"/>
    </row>
    <row r="248" spans="1:13" ht="14.45">
      <c r="A248"/>
      <c r="B248"/>
      <c r="C248"/>
      <c r="D248"/>
      <c r="E248"/>
      <c r="F248"/>
      <c r="G248"/>
      <c r="H248"/>
      <c r="I248"/>
      <c r="J248"/>
      <c r="K248"/>
      <c r="L248"/>
      <c r="M248"/>
    </row>
    <row r="249" spans="1:13" ht="14.45">
      <c r="A249"/>
      <c r="B249"/>
      <c r="C249"/>
      <c r="D249"/>
      <c r="E249"/>
      <c r="F249"/>
      <c r="G249"/>
      <c r="H249"/>
      <c r="I249"/>
      <c r="J249"/>
      <c r="K249"/>
      <c r="L249"/>
      <c r="M249"/>
    </row>
    <row r="250" spans="1:13" ht="14.45">
      <c r="A250"/>
      <c r="B250"/>
      <c r="C250"/>
      <c r="D250"/>
      <c r="E250"/>
      <c r="F250"/>
      <c r="G250"/>
      <c r="H250"/>
      <c r="I250"/>
      <c r="J250"/>
      <c r="K250"/>
      <c r="L250"/>
      <c r="M250"/>
    </row>
    <row r="251" spans="1:13" ht="14.45">
      <c r="A251"/>
      <c r="B251"/>
      <c r="C251"/>
      <c r="D251"/>
      <c r="E251"/>
      <c r="F251"/>
      <c r="G251"/>
      <c r="H251"/>
      <c r="I251"/>
      <c r="J251"/>
      <c r="K251"/>
      <c r="L251"/>
      <c r="M251"/>
    </row>
    <row r="252" spans="1:13" ht="14.45">
      <c r="A252"/>
      <c r="B252"/>
      <c r="C252"/>
      <c r="D252"/>
      <c r="E252"/>
      <c r="F252"/>
      <c r="G252"/>
      <c r="H252"/>
      <c r="I252"/>
      <c r="J252"/>
      <c r="K252"/>
      <c r="L252"/>
      <c r="M252"/>
    </row>
    <row r="253" spans="1:13" ht="14.45">
      <c r="A253"/>
      <c r="B253"/>
      <c r="C253"/>
      <c r="D253"/>
      <c r="E253"/>
      <c r="F253"/>
      <c r="G253"/>
      <c r="H253"/>
      <c r="I253"/>
      <c r="J253"/>
      <c r="K253"/>
      <c r="L253"/>
      <c r="M253"/>
    </row>
    <row r="254" spans="1:13" ht="14.45">
      <c r="A254"/>
      <c r="B254"/>
      <c r="C254"/>
      <c r="D254"/>
      <c r="E254"/>
      <c r="F254"/>
      <c r="G254"/>
      <c r="H254"/>
      <c r="I254"/>
      <c r="J254"/>
      <c r="K254"/>
      <c r="L254"/>
      <c r="M254"/>
    </row>
    <row r="255" spans="1:13" ht="14.45">
      <c r="A255"/>
      <c r="B255"/>
      <c r="C255"/>
      <c r="D255"/>
      <c r="E255"/>
      <c r="F255"/>
      <c r="G255"/>
      <c r="H255"/>
      <c r="I255"/>
      <c r="J255"/>
      <c r="K255"/>
      <c r="L255"/>
      <c r="M255"/>
    </row>
    <row r="256" spans="1:13" ht="14.45">
      <c r="A256"/>
      <c r="B256"/>
      <c r="C256"/>
      <c r="D256"/>
      <c r="E256"/>
      <c r="F256"/>
      <c r="G256"/>
      <c r="H256"/>
      <c r="I256"/>
      <c r="J256"/>
      <c r="K256"/>
      <c r="L256"/>
      <c r="M256"/>
    </row>
    <row r="257" spans="1:13" ht="14.45">
      <c r="A257"/>
      <c r="B257"/>
      <c r="C257"/>
      <c r="D257"/>
      <c r="E257"/>
      <c r="F257"/>
      <c r="G257"/>
      <c r="H257"/>
      <c r="I257"/>
      <c r="J257"/>
      <c r="K257"/>
      <c r="L257"/>
      <c r="M257"/>
    </row>
    <row r="258" spans="1:13" ht="14.45">
      <c r="A258"/>
      <c r="B258"/>
      <c r="C258"/>
      <c r="D258"/>
      <c r="E258"/>
      <c r="F258"/>
      <c r="G258"/>
      <c r="H258"/>
      <c r="I258"/>
      <c r="J258"/>
      <c r="K258"/>
      <c r="L258"/>
      <c r="M258"/>
    </row>
    <row r="259" spans="1:13" ht="14.45">
      <c r="A259"/>
      <c r="B259"/>
      <c r="C259"/>
      <c r="D259"/>
      <c r="E259"/>
      <c r="F259"/>
      <c r="G259"/>
      <c r="H259"/>
      <c r="I259"/>
      <c r="J259"/>
      <c r="K259"/>
      <c r="L259"/>
      <c r="M259"/>
    </row>
    <row r="260" spans="1:13" ht="14.45">
      <c r="A260"/>
      <c r="B260"/>
      <c r="C260"/>
      <c r="D260"/>
      <c r="E260"/>
      <c r="F260"/>
      <c r="G260"/>
      <c r="H260"/>
      <c r="I260"/>
      <c r="J260"/>
      <c r="K260"/>
      <c r="L260"/>
      <c r="M260"/>
    </row>
    <row r="261" spans="1:13" ht="14.45">
      <c r="A261"/>
      <c r="B261"/>
      <c r="C261"/>
      <c r="D261"/>
      <c r="E261"/>
      <c r="F261"/>
      <c r="G261"/>
      <c r="H261"/>
      <c r="I261"/>
      <c r="J261"/>
      <c r="K261"/>
      <c r="L261"/>
      <c r="M261"/>
    </row>
    <row r="262" spans="1:13" ht="14.45">
      <c r="A262"/>
      <c r="B262"/>
      <c r="C262"/>
      <c r="D262"/>
      <c r="E262"/>
      <c r="F262"/>
      <c r="G262"/>
      <c r="H262"/>
      <c r="I262"/>
      <c r="J262"/>
      <c r="K262"/>
      <c r="L262"/>
      <c r="M262"/>
    </row>
    <row r="263" spans="1:13" ht="14.45">
      <c r="A263"/>
      <c r="B263"/>
      <c r="C263"/>
      <c r="D263"/>
      <c r="E263"/>
      <c r="F263"/>
      <c r="G263"/>
      <c r="H263"/>
      <c r="I263"/>
      <c r="J263"/>
      <c r="K263"/>
      <c r="L263"/>
      <c r="M263"/>
    </row>
    <row r="264" spans="1:13" ht="14.45">
      <c r="A264"/>
      <c r="B264"/>
      <c r="C264"/>
      <c r="D264"/>
      <c r="E264"/>
      <c r="F264"/>
      <c r="G264"/>
      <c r="H264"/>
      <c r="I264"/>
      <c r="J264"/>
      <c r="K264"/>
      <c r="L264"/>
      <c r="M264"/>
    </row>
    <row r="265" spans="1:13" ht="14.45">
      <c r="A265"/>
      <c r="B265"/>
      <c r="C265"/>
      <c r="D265"/>
      <c r="E265"/>
      <c r="F265"/>
      <c r="G265"/>
      <c r="H265"/>
      <c r="I265"/>
      <c r="J265"/>
      <c r="K265"/>
      <c r="L265"/>
      <c r="M265"/>
    </row>
    <row r="266" spans="1:13" ht="14.45">
      <c r="A266"/>
      <c r="B266"/>
      <c r="C266"/>
      <c r="D266"/>
      <c r="E266"/>
      <c r="F266"/>
      <c r="G266"/>
      <c r="H266"/>
      <c r="I266"/>
      <c r="J266"/>
      <c r="K266"/>
      <c r="L266"/>
      <c r="M266"/>
    </row>
    <row r="267" spans="1:13" ht="14.45">
      <c r="A267"/>
      <c r="B267"/>
      <c r="C267"/>
      <c r="D267"/>
      <c r="E267"/>
      <c r="F267"/>
      <c r="G267"/>
      <c r="H267"/>
      <c r="I267"/>
      <c r="J267"/>
      <c r="K267"/>
      <c r="L267"/>
      <c r="M267"/>
    </row>
    <row r="268" spans="1:13" ht="14.45">
      <c r="A268"/>
      <c r="B268"/>
      <c r="C268"/>
      <c r="D268"/>
      <c r="E268"/>
      <c r="F268"/>
      <c r="G268"/>
      <c r="H268"/>
      <c r="I268"/>
      <c r="J268"/>
      <c r="K268"/>
      <c r="L268"/>
      <c r="M268"/>
    </row>
    <row r="269" spans="1:13" ht="14.45">
      <c r="A269"/>
      <c r="B269"/>
      <c r="C269"/>
      <c r="D269"/>
      <c r="E269"/>
      <c r="F269"/>
      <c r="G269"/>
      <c r="H269"/>
      <c r="I269"/>
      <c r="J269"/>
      <c r="K269"/>
      <c r="L269"/>
      <c r="M269"/>
    </row>
    <row r="270" spans="1:13" ht="14.45">
      <c r="A270"/>
      <c r="B270"/>
      <c r="C270"/>
      <c r="D270"/>
      <c r="E270"/>
      <c r="F270"/>
      <c r="G270"/>
      <c r="H270"/>
      <c r="I270"/>
      <c r="J270"/>
      <c r="K270"/>
      <c r="L270"/>
      <c r="M270"/>
    </row>
    <row r="271" spans="1:13" ht="14.45">
      <c r="A271"/>
      <c r="B271"/>
      <c r="C271"/>
      <c r="D271"/>
      <c r="E271"/>
      <c r="F271"/>
      <c r="G271"/>
      <c r="H271"/>
      <c r="I271"/>
      <c r="J271"/>
      <c r="K271"/>
      <c r="L271"/>
      <c r="M271"/>
    </row>
    <row r="272" spans="1:13" ht="14.45">
      <c r="A272"/>
      <c r="B272"/>
      <c r="C272"/>
      <c r="D272"/>
      <c r="E272"/>
      <c r="F272"/>
      <c r="G272"/>
      <c r="H272"/>
      <c r="I272"/>
      <c r="J272"/>
      <c r="K272"/>
      <c r="L272"/>
      <c r="M272"/>
    </row>
    <row r="273" spans="1:13" ht="14.45">
      <c r="A273"/>
      <c r="B273"/>
      <c r="C273"/>
      <c r="D273"/>
      <c r="E273"/>
      <c r="F273"/>
      <c r="G273"/>
      <c r="H273"/>
      <c r="I273"/>
      <c r="J273"/>
      <c r="K273"/>
      <c r="L273"/>
      <c r="M273"/>
    </row>
    <row r="274" spans="1:13" ht="14.45">
      <c r="A274"/>
      <c r="B274"/>
      <c r="C274"/>
      <c r="D274"/>
      <c r="E274"/>
      <c r="F274"/>
      <c r="G274"/>
      <c r="H274"/>
      <c r="I274"/>
      <c r="J274"/>
      <c r="K274"/>
      <c r="L274"/>
      <c r="M274"/>
    </row>
    <row r="275" spans="1:13" ht="14.45">
      <c r="A275"/>
      <c r="B275"/>
      <c r="C275"/>
      <c r="D275"/>
      <c r="E275"/>
      <c r="F275"/>
      <c r="G275"/>
      <c r="H275"/>
      <c r="I275"/>
      <c r="J275"/>
      <c r="K275"/>
      <c r="L275"/>
      <c r="M275"/>
    </row>
    <row r="276" spans="1:13" ht="14.45">
      <c r="A276"/>
      <c r="B276"/>
      <c r="C276"/>
      <c r="D276"/>
      <c r="E276"/>
      <c r="F276"/>
      <c r="G276"/>
      <c r="H276"/>
      <c r="I276"/>
      <c r="J276"/>
      <c r="K276"/>
      <c r="L276"/>
      <c r="M276"/>
    </row>
    <row r="277" spans="1:13" ht="14.45">
      <c r="A277"/>
      <c r="B277"/>
      <c r="C277"/>
      <c r="D277"/>
      <c r="E277"/>
      <c r="F277"/>
      <c r="G277"/>
      <c r="H277"/>
      <c r="I277"/>
      <c r="J277"/>
      <c r="K277"/>
      <c r="L277"/>
      <c r="M277"/>
    </row>
    <row r="278" spans="1:13" ht="14.45">
      <c r="A278"/>
      <c r="B278"/>
      <c r="C278"/>
      <c r="D278"/>
      <c r="E278"/>
      <c r="F278"/>
      <c r="G278"/>
      <c r="H278"/>
      <c r="I278"/>
      <c r="J278"/>
      <c r="K278"/>
      <c r="L278"/>
      <c r="M278"/>
    </row>
    <row r="279" spans="1:13" ht="14.45">
      <c r="A279"/>
      <c r="B279"/>
      <c r="C279"/>
      <c r="D279"/>
      <c r="E279"/>
      <c r="F279"/>
      <c r="G279"/>
      <c r="H279"/>
      <c r="I279"/>
      <c r="J279"/>
      <c r="K279"/>
      <c r="L279"/>
      <c r="M279"/>
    </row>
    <row r="280" spans="1:13" ht="14.45">
      <c r="A280"/>
      <c r="B280"/>
      <c r="C280"/>
      <c r="D280"/>
      <c r="E280"/>
      <c r="F280"/>
      <c r="G280"/>
      <c r="H280"/>
      <c r="I280"/>
      <c r="J280"/>
      <c r="K280"/>
      <c r="L280"/>
      <c r="M280"/>
    </row>
    <row r="281" spans="1:13" ht="14.45">
      <c r="A281"/>
      <c r="B281"/>
      <c r="C281"/>
      <c r="D281"/>
      <c r="E281"/>
      <c r="F281"/>
      <c r="G281"/>
      <c r="H281"/>
      <c r="I281"/>
      <c r="J281"/>
      <c r="K281"/>
      <c r="L281"/>
      <c r="M281"/>
    </row>
    <row r="282" spans="1:13" ht="14.45">
      <c r="A282"/>
      <c r="B282"/>
      <c r="C282"/>
      <c r="D282"/>
      <c r="E282"/>
      <c r="F282"/>
      <c r="G282"/>
      <c r="H282"/>
      <c r="I282"/>
      <c r="J282"/>
      <c r="K282"/>
      <c r="L282"/>
      <c r="M282"/>
    </row>
    <row r="283" spans="1:13" ht="14.45">
      <c r="A283"/>
      <c r="B283"/>
      <c r="C283"/>
      <c r="D283"/>
      <c r="E283"/>
      <c r="F283"/>
      <c r="G283"/>
      <c r="H283"/>
      <c r="I283"/>
      <c r="J283"/>
      <c r="K283"/>
      <c r="L283"/>
      <c r="M283"/>
    </row>
    <row r="284" spans="1:13" ht="14.45">
      <c r="A284"/>
      <c r="B284"/>
      <c r="C284"/>
      <c r="D284"/>
      <c r="E284"/>
      <c r="F284"/>
      <c r="G284"/>
      <c r="H284"/>
      <c r="I284"/>
      <c r="J284"/>
      <c r="K284"/>
      <c r="L284"/>
      <c r="M284"/>
    </row>
    <row r="285" spans="1:13" ht="14.45">
      <c r="A285"/>
      <c r="B285"/>
      <c r="C285"/>
      <c r="D285"/>
      <c r="E285"/>
      <c r="F285"/>
      <c r="G285"/>
      <c r="H285"/>
      <c r="I285"/>
      <c r="J285"/>
      <c r="K285"/>
      <c r="L285"/>
      <c r="M285"/>
    </row>
    <row r="286" spans="1:13" ht="14.45">
      <c r="A286"/>
      <c r="B286"/>
      <c r="C286"/>
      <c r="D286"/>
      <c r="E286"/>
      <c r="F286"/>
      <c r="G286"/>
      <c r="H286"/>
      <c r="I286"/>
      <c r="J286"/>
      <c r="K286"/>
      <c r="L286"/>
      <c r="M286"/>
    </row>
    <row r="287" spans="1:13" ht="14.45">
      <c r="A287"/>
      <c r="B287"/>
      <c r="C287"/>
      <c r="D287"/>
      <c r="E287"/>
      <c r="F287"/>
      <c r="G287"/>
      <c r="H287"/>
      <c r="I287"/>
      <c r="J287"/>
      <c r="K287"/>
      <c r="L287"/>
      <c r="M287"/>
    </row>
    <row r="288" spans="1:13" ht="14.45">
      <c r="A288"/>
      <c r="B288"/>
      <c r="C288"/>
      <c r="D288"/>
      <c r="E288"/>
      <c r="F288"/>
      <c r="G288"/>
      <c r="H288"/>
      <c r="I288"/>
      <c r="J288"/>
      <c r="K288"/>
      <c r="L288"/>
      <c r="M288"/>
    </row>
    <row r="289" spans="1:13" ht="14.45">
      <c r="A289"/>
      <c r="B289"/>
      <c r="C289"/>
      <c r="D289"/>
      <c r="E289"/>
      <c r="F289"/>
      <c r="G289"/>
      <c r="H289"/>
      <c r="I289"/>
      <c r="J289"/>
      <c r="K289"/>
      <c r="L289"/>
      <c r="M289"/>
    </row>
    <row r="290" spans="1:13" ht="14.45">
      <c r="A290"/>
      <c r="B290"/>
      <c r="C290"/>
      <c r="D290"/>
      <c r="E290"/>
      <c r="F290"/>
      <c r="G290"/>
      <c r="H290"/>
      <c r="I290"/>
      <c r="J290"/>
      <c r="K290"/>
      <c r="L290"/>
      <c r="M290"/>
    </row>
    <row r="291" spans="1:13" ht="14.45">
      <c r="A291"/>
      <c r="B291"/>
      <c r="C291"/>
      <c r="D291"/>
      <c r="E291"/>
      <c r="F291"/>
      <c r="G291"/>
      <c r="H291"/>
      <c r="I291"/>
      <c r="J291"/>
      <c r="K291"/>
      <c r="L291"/>
      <c r="M291"/>
    </row>
    <row r="292" spans="1:13" ht="14.45">
      <c r="A292"/>
      <c r="B292"/>
      <c r="C292"/>
      <c r="D292"/>
      <c r="E292"/>
      <c r="F292"/>
      <c r="G292"/>
      <c r="H292"/>
      <c r="I292"/>
      <c r="J292"/>
      <c r="K292"/>
      <c r="L292"/>
      <c r="M292"/>
    </row>
    <row r="293" spans="1:13" ht="14.45">
      <c r="A293"/>
      <c r="B293"/>
      <c r="C293"/>
      <c r="D293"/>
      <c r="E293"/>
      <c r="F293"/>
      <c r="G293"/>
      <c r="H293"/>
      <c r="I293"/>
      <c r="J293"/>
      <c r="K293"/>
      <c r="L293"/>
      <c r="M293"/>
    </row>
    <row r="294" spans="1:13" ht="14.45">
      <c r="A294"/>
      <c r="B294"/>
      <c r="C294"/>
      <c r="D294"/>
      <c r="E294"/>
      <c r="F294"/>
      <c r="G294"/>
      <c r="H294"/>
      <c r="I294"/>
      <c r="J294"/>
      <c r="K294"/>
      <c r="L294"/>
      <c r="M294"/>
    </row>
    <row r="295" spans="1:13" ht="14.45">
      <c r="A295"/>
      <c r="B295"/>
      <c r="C295"/>
      <c r="D295"/>
      <c r="E295"/>
      <c r="F295"/>
      <c r="G295"/>
      <c r="H295"/>
      <c r="I295"/>
      <c r="J295"/>
      <c r="K295"/>
      <c r="L295"/>
      <c r="M295"/>
    </row>
    <row r="296" spans="1:13" ht="14.45">
      <c r="A296"/>
      <c r="B296"/>
      <c r="C296"/>
      <c r="D296"/>
      <c r="E296"/>
      <c r="F296"/>
      <c r="G296"/>
      <c r="H296"/>
      <c r="I296"/>
      <c r="J296"/>
      <c r="K296"/>
      <c r="L296"/>
      <c r="M296"/>
    </row>
    <row r="297" spans="1:13" ht="14.45">
      <c r="A297"/>
      <c r="B297"/>
      <c r="C297"/>
      <c r="D297"/>
      <c r="E297"/>
      <c r="F297"/>
      <c r="G297"/>
      <c r="H297"/>
      <c r="I297"/>
      <c r="J297"/>
      <c r="K297"/>
      <c r="L297"/>
      <c r="M297"/>
    </row>
    <row r="298" spans="1:13" ht="14.45">
      <c r="A298"/>
      <c r="B298"/>
      <c r="C298"/>
      <c r="D298"/>
      <c r="E298"/>
      <c r="F298"/>
      <c r="G298"/>
      <c r="H298"/>
      <c r="I298"/>
      <c r="J298"/>
      <c r="K298"/>
      <c r="L298"/>
      <c r="M298"/>
    </row>
    <row r="299" spans="1:13" ht="14.45">
      <c r="A299"/>
      <c r="B299"/>
      <c r="C299"/>
      <c r="D299"/>
      <c r="E299"/>
      <c r="F299"/>
      <c r="G299"/>
      <c r="H299"/>
      <c r="I299"/>
      <c r="J299"/>
      <c r="K299"/>
      <c r="L299"/>
      <c r="M299"/>
    </row>
    <row r="300" spans="1:13" ht="14.45">
      <c r="A300"/>
      <c r="B300"/>
      <c r="C300"/>
      <c r="D300"/>
      <c r="E300"/>
      <c r="F300"/>
      <c r="G300"/>
      <c r="H300"/>
      <c r="I300"/>
      <c r="J300"/>
      <c r="K300"/>
      <c r="L300"/>
      <c r="M300"/>
    </row>
    <row r="301" spans="1:13" ht="14.45">
      <c r="A301"/>
      <c r="B301"/>
      <c r="C301"/>
      <c r="D301"/>
      <c r="E301"/>
      <c r="F301"/>
      <c r="G301"/>
      <c r="H301"/>
      <c r="I301"/>
      <c r="J301"/>
      <c r="K301"/>
      <c r="L301"/>
      <c r="M301"/>
    </row>
    <row r="302" spans="1:13" ht="14.45">
      <c r="A302"/>
      <c r="B302"/>
      <c r="C302"/>
      <c r="D302"/>
      <c r="E302"/>
      <c r="F302"/>
      <c r="G302"/>
      <c r="H302"/>
      <c r="I302"/>
      <c r="J302"/>
      <c r="K302"/>
      <c r="L302"/>
      <c r="M302"/>
    </row>
    <row r="303" spans="1:13" ht="14.45">
      <c r="A303"/>
      <c r="B303"/>
      <c r="C303"/>
      <c r="D303"/>
      <c r="E303"/>
      <c r="F303"/>
      <c r="G303"/>
      <c r="H303"/>
      <c r="I303"/>
      <c r="J303"/>
      <c r="K303"/>
      <c r="L303"/>
      <c r="M303"/>
    </row>
    <row r="304" spans="1:13" ht="14.45">
      <c r="A304"/>
      <c r="B304"/>
      <c r="C304"/>
      <c r="D304"/>
      <c r="E304"/>
      <c r="F304"/>
      <c r="G304"/>
      <c r="H304"/>
      <c r="I304"/>
      <c r="J304"/>
      <c r="K304"/>
      <c r="L304"/>
      <c r="M304"/>
    </row>
    <row r="305" spans="1:13" ht="14.45">
      <c r="A305"/>
      <c r="B305"/>
      <c r="C305"/>
      <c r="D305"/>
      <c r="E305"/>
      <c r="F305"/>
      <c r="G305"/>
      <c r="H305"/>
      <c r="I305"/>
      <c r="J305"/>
      <c r="K305"/>
      <c r="L305"/>
      <c r="M305"/>
    </row>
    <row r="306" spans="1:13" ht="14.45">
      <c r="A306"/>
      <c r="B306"/>
      <c r="C306"/>
      <c r="D306"/>
      <c r="E306"/>
      <c r="F306"/>
      <c r="G306"/>
      <c r="H306"/>
      <c r="I306"/>
      <c r="J306"/>
      <c r="K306"/>
      <c r="L306"/>
      <c r="M306"/>
    </row>
    <row r="307" spans="1:13" ht="14.45">
      <c r="A307"/>
      <c r="B307"/>
      <c r="C307"/>
      <c r="D307"/>
      <c r="E307"/>
      <c r="F307"/>
      <c r="G307"/>
      <c r="H307"/>
      <c r="I307"/>
      <c r="J307"/>
      <c r="K307"/>
      <c r="L307"/>
      <c r="M307"/>
    </row>
    <row r="308" spans="1:13" ht="14.45">
      <c r="A308"/>
      <c r="B308"/>
      <c r="C308"/>
      <c r="D308"/>
      <c r="E308"/>
      <c r="F308"/>
      <c r="G308"/>
      <c r="H308"/>
      <c r="I308"/>
      <c r="J308"/>
      <c r="K308"/>
      <c r="L308"/>
      <c r="M308"/>
    </row>
    <row r="309" spans="1:13" ht="14.45">
      <c r="A309"/>
      <c r="B309"/>
      <c r="C309"/>
      <c r="D309"/>
      <c r="E309"/>
      <c r="F309"/>
      <c r="G309"/>
      <c r="H309"/>
      <c r="I309"/>
      <c r="J309"/>
      <c r="K309"/>
      <c r="L309"/>
      <c r="M309"/>
    </row>
    <row r="310" spans="1:13" ht="14.45">
      <c r="A310"/>
      <c r="B310"/>
      <c r="C310"/>
      <c r="D310"/>
      <c r="E310"/>
      <c r="F310"/>
      <c r="G310"/>
      <c r="H310"/>
      <c r="I310"/>
      <c r="J310"/>
      <c r="K310"/>
      <c r="L310"/>
      <c r="M310"/>
    </row>
    <row r="311" spans="1:13" ht="14.45">
      <c r="A311"/>
      <c r="B311"/>
      <c r="C311"/>
      <c r="D311"/>
      <c r="E311"/>
      <c r="F311"/>
      <c r="G311"/>
      <c r="H311"/>
      <c r="I311"/>
      <c r="J311"/>
      <c r="K311"/>
      <c r="L311"/>
      <c r="M311"/>
    </row>
    <row r="312" spans="1:13" ht="14.45">
      <c r="A312"/>
      <c r="B312"/>
      <c r="C312"/>
      <c r="D312"/>
      <c r="E312"/>
      <c r="F312"/>
      <c r="G312"/>
      <c r="H312"/>
      <c r="I312"/>
      <c r="J312"/>
      <c r="K312"/>
      <c r="L312"/>
      <c r="M312"/>
    </row>
    <row r="313" spans="1:13" ht="14.45">
      <c r="A313"/>
      <c r="B313"/>
      <c r="C313"/>
      <c r="D313"/>
      <c r="E313"/>
      <c r="F313"/>
      <c r="G313"/>
      <c r="H313"/>
      <c r="I313"/>
      <c r="J313"/>
      <c r="K313"/>
      <c r="L313"/>
      <c r="M313"/>
    </row>
    <row r="314" spans="1:13" ht="14.45">
      <c r="A314"/>
      <c r="B314"/>
      <c r="C314"/>
      <c r="D314"/>
      <c r="E314"/>
      <c r="F314"/>
      <c r="G314"/>
      <c r="H314"/>
      <c r="I314"/>
      <c r="J314"/>
      <c r="K314"/>
      <c r="L314"/>
      <c r="M314"/>
    </row>
    <row r="315" spans="1:13" ht="14.45">
      <c r="A315"/>
      <c r="B315"/>
      <c r="C315"/>
      <c r="D315"/>
      <c r="E315"/>
      <c r="F315"/>
      <c r="G315"/>
      <c r="H315"/>
      <c r="I315"/>
      <c r="J315"/>
      <c r="K315"/>
      <c r="L315"/>
      <c r="M315"/>
    </row>
    <row r="316" spans="1:13" ht="14.45">
      <c r="A316"/>
      <c r="B316"/>
      <c r="C316"/>
      <c r="D316"/>
      <c r="E316"/>
      <c r="F316"/>
      <c r="G316"/>
      <c r="H316"/>
      <c r="I316"/>
      <c r="J316"/>
      <c r="K316"/>
      <c r="L316"/>
      <c r="M316"/>
    </row>
    <row r="317" spans="1:13" ht="14.45">
      <c r="A317"/>
      <c r="B317"/>
      <c r="C317"/>
      <c r="D317"/>
      <c r="E317"/>
      <c r="F317"/>
      <c r="G317"/>
      <c r="H317"/>
      <c r="I317"/>
      <c r="J317"/>
      <c r="K317"/>
      <c r="L317"/>
      <c r="M317"/>
    </row>
    <row r="318" spans="1:13" ht="14.45">
      <c r="A318"/>
      <c r="B318"/>
      <c r="C318"/>
      <c r="D318"/>
      <c r="E318"/>
      <c r="F318"/>
      <c r="G318"/>
      <c r="H318"/>
      <c r="I318"/>
      <c r="J318"/>
      <c r="K318"/>
      <c r="L318"/>
      <c r="M318"/>
    </row>
    <row r="319" spans="1:13" ht="14.45">
      <c r="A319"/>
      <c r="B319"/>
      <c r="C319"/>
      <c r="D319"/>
      <c r="E319"/>
      <c r="F319"/>
      <c r="G319"/>
      <c r="H319"/>
      <c r="I319"/>
      <c r="J319"/>
      <c r="K319"/>
      <c r="L319"/>
      <c r="M319"/>
    </row>
    <row r="320" spans="1:13" ht="14.45">
      <c r="A320"/>
      <c r="B320"/>
      <c r="C320"/>
      <c r="D320"/>
      <c r="E320"/>
      <c r="F320"/>
      <c r="G320"/>
      <c r="H320"/>
      <c r="I320"/>
      <c r="J320"/>
      <c r="K320"/>
      <c r="L320"/>
      <c r="M320"/>
    </row>
    <row r="321" spans="1:13" ht="14.45">
      <c r="A321"/>
      <c r="B321"/>
      <c r="C321"/>
      <c r="D321"/>
      <c r="E321"/>
      <c r="F321"/>
      <c r="G321"/>
      <c r="H321"/>
      <c r="I321"/>
      <c r="J321"/>
      <c r="K321"/>
      <c r="L321"/>
      <c r="M321"/>
    </row>
    <row r="322" spans="1:13" ht="14.45">
      <c r="A322"/>
      <c r="B322"/>
      <c r="C322"/>
      <c r="D322"/>
      <c r="E322"/>
      <c r="F322"/>
      <c r="G322"/>
      <c r="H322"/>
      <c r="I322"/>
      <c r="J322"/>
      <c r="K322"/>
      <c r="L322"/>
      <c r="M322"/>
    </row>
    <row r="323" spans="1:13" ht="14.45">
      <c r="A323"/>
      <c r="B323"/>
      <c r="C323"/>
      <c r="D323"/>
      <c r="E323"/>
      <c r="F323"/>
      <c r="G323"/>
      <c r="H323"/>
      <c r="I323"/>
      <c r="J323"/>
      <c r="K323"/>
      <c r="L323"/>
      <c r="M323"/>
    </row>
    <row r="324" spans="1:13" ht="14.45">
      <c r="A324"/>
      <c r="B324"/>
      <c r="C324"/>
      <c r="D324"/>
      <c r="E324"/>
      <c r="F324"/>
      <c r="G324"/>
      <c r="H324"/>
      <c r="I324"/>
      <c r="J324"/>
      <c r="K324"/>
      <c r="L324"/>
      <c r="M324"/>
    </row>
    <row r="325" spans="1:13" ht="14.45">
      <c r="A325"/>
      <c r="B325"/>
      <c r="C325"/>
      <c r="D325"/>
      <c r="E325"/>
      <c r="F325"/>
      <c r="G325"/>
      <c r="H325"/>
      <c r="I325"/>
      <c r="J325"/>
      <c r="K325"/>
      <c r="L325"/>
      <c r="M325"/>
    </row>
    <row r="326" spans="1:13" ht="14.45">
      <c r="A326"/>
      <c r="B326"/>
      <c r="C326"/>
      <c r="D326"/>
      <c r="E326"/>
      <c r="F326"/>
      <c r="G326"/>
      <c r="H326"/>
      <c r="I326"/>
      <c r="J326"/>
      <c r="K326"/>
      <c r="L326"/>
      <c r="M326"/>
    </row>
    <row r="327" spans="1:13" ht="14.45">
      <c r="A327"/>
      <c r="B327"/>
      <c r="C327"/>
      <c r="D327"/>
      <c r="E327"/>
      <c r="F327"/>
      <c r="G327"/>
      <c r="H327"/>
      <c r="I327"/>
      <c r="J327"/>
      <c r="K327"/>
      <c r="L327"/>
      <c r="M327"/>
    </row>
    <row r="328" spans="1:13" ht="14.45">
      <c r="A328"/>
      <c r="B328"/>
      <c r="C328"/>
      <c r="D328"/>
      <c r="E328"/>
      <c r="F328"/>
      <c r="G328"/>
      <c r="H328"/>
      <c r="I328"/>
      <c r="J328"/>
      <c r="K328"/>
      <c r="L328"/>
      <c r="M328"/>
    </row>
    <row r="329" spans="1:13" ht="14.45">
      <c r="A329"/>
      <c r="B329"/>
      <c r="C329"/>
      <c r="D329"/>
      <c r="E329"/>
      <c r="F329"/>
      <c r="G329"/>
      <c r="H329"/>
      <c r="I329"/>
      <c r="J329"/>
      <c r="K329"/>
      <c r="L329"/>
      <c r="M329"/>
    </row>
    <row r="330" spans="1:13" ht="14.45">
      <c r="A330"/>
      <c r="B330"/>
      <c r="C330"/>
      <c r="D330"/>
      <c r="E330"/>
      <c r="F330"/>
      <c r="G330"/>
      <c r="H330"/>
      <c r="I330"/>
      <c r="J330"/>
      <c r="K330"/>
      <c r="L330"/>
      <c r="M330"/>
    </row>
    <row r="331" spans="1:13" ht="14.45">
      <c r="A331"/>
      <c r="B331"/>
      <c r="C331"/>
      <c r="D331"/>
      <c r="E331"/>
      <c r="F331"/>
      <c r="G331"/>
      <c r="H331"/>
      <c r="I331"/>
      <c r="J331"/>
      <c r="K331"/>
      <c r="L331"/>
      <c r="M331"/>
    </row>
    <row r="332" spans="1:13" ht="14.45">
      <c r="A332"/>
      <c r="B332"/>
      <c r="C332"/>
      <c r="D332"/>
      <c r="E332"/>
      <c r="F332"/>
      <c r="G332"/>
      <c r="H332"/>
      <c r="I332"/>
      <c r="J332"/>
      <c r="K332"/>
      <c r="L332"/>
      <c r="M332"/>
    </row>
    <row r="333" spans="1:13" ht="14.45">
      <c r="A333"/>
      <c r="B333"/>
      <c r="C333"/>
      <c r="D333"/>
      <c r="E333"/>
      <c r="F333"/>
      <c r="G333"/>
      <c r="H333"/>
      <c r="I333"/>
      <c r="J333"/>
      <c r="K333"/>
      <c r="L333"/>
      <c r="M333"/>
    </row>
    <row r="334" spans="1:13" ht="14.45">
      <c r="A334"/>
      <c r="B334"/>
      <c r="C334"/>
      <c r="D334"/>
      <c r="E334"/>
      <c r="F334"/>
      <c r="G334"/>
      <c r="H334"/>
      <c r="I334"/>
      <c r="J334"/>
      <c r="K334"/>
      <c r="L334"/>
      <c r="M334"/>
    </row>
    <row r="335" spans="1:13" ht="14.45">
      <c r="A335"/>
      <c r="B335"/>
      <c r="C335"/>
      <c r="D335"/>
      <c r="E335"/>
      <c r="F335"/>
      <c r="G335"/>
      <c r="H335"/>
      <c r="I335"/>
      <c r="J335"/>
      <c r="K335"/>
      <c r="L335"/>
      <c r="M335"/>
    </row>
    <row r="336" spans="1:13" ht="14.45">
      <c r="A336"/>
      <c r="B336"/>
      <c r="C336"/>
      <c r="D336"/>
      <c r="E336"/>
      <c r="F336"/>
      <c r="G336"/>
      <c r="H336"/>
      <c r="I336"/>
      <c r="J336"/>
      <c r="K336"/>
      <c r="L336"/>
      <c r="M336"/>
    </row>
    <row r="337" spans="1:13" ht="14.45">
      <c r="A337"/>
      <c r="B337"/>
      <c r="C337"/>
      <c r="D337"/>
      <c r="E337"/>
      <c r="F337"/>
      <c r="G337"/>
      <c r="H337"/>
      <c r="I337"/>
      <c r="J337"/>
      <c r="K337"/>
      <c r="L337"/>
      <c r="M337"/>
    </row>
    <row r="338" spans="1:13" ht="14.45">
      <c r="A338"/>
      <c r="B338"/>
      <c r="C338"/>
      <c r="D338"/>
      <c r="E338"/>
      <c r="F338"/>
      <c r="G338"/>
      <c r="H338"/>
      <c r="I338"/>
      <c r="J338"/>
      <c r="K338"/>
      <c r="L338"/>
      <c r="M338"/>
    </row>
    <row r="339" spans="1:13" ht="14.45">
      <c r="A339"/>
      <c r="B339"/>
      <c r="C339"/>
      <c r="D339"/>
      <c r="E339"/>
      <c r="F339"/>
      <c r="G339"/>
      <c r="H339"/>
      <c r="I339"/>
      <c r="J339"/>
      <c r="K339"/>
      <c r="L339"/>
      <c r="M339"/>
    </row>
    <row r="340" spans="1:13" ht="14.45">
      <c r="A340"/>
      <c r="B340"/>
      <c r="C340"/>
      <c r="D340"/>
      <c r="E340"/>
      <c r="F340"/>
      <c r="G340"/>
      <c r="H340"/>
      <c r="I340"/>
      <c r="J340"/>
      <c r="K340"/>
      <c r="L340"/>
      <c r="M340"/>
    </row>
    <row r="341" spans="1:13" ht="14.45">
      <c r="A341"/>
      <c r="B341"/>
      <c r="C341"/>
      <c r="D341"/>
      <c r="E341"/>
      <c r="F341"/>
      <c r="G341"/>
      <c r="H341"/>
      <c r="I341"/>
      <c r="J341"/>
      <c r="K341"/>
      <c r="L341"/>
      <c r="M341"/>
    </row>
    <row r="342" spans="1:13" ht="14.45">
      <c r="A342"/>
      <c r="B342"/>
      <c r="C342"/>
      <c r="D342"/>
      <c r="E342"/>
      <c r="F342"/>
      <c r="G342"/>
      <c r="H342"/>
      <c r="I342"/>
      <c r="J342"/>
      <c r="K342"/>
      <c r="L342"/>
      <c r="M342"/>
    </row>
    <row r="343" spans="1:13" ht="14.45">
      <c r="A343"/>
      <c r="B343"/>
      <c r="C343"/>
      <c r="D343"/>
      <c r="E343"/>
      <c r="F343"/>
      <c r="G343"/>
      <c r="H343"/>
      <c r="I343"/>
      <c r="J343"/>
      <c r="K343"/>
      <c r="L343"/>
      <c r="M343"/>
    </row>
    <row r="344" spans="1:13" ht="14.45">
      <c r="A344"/>
      <c r="B344"/>
      <c r="C344"/>
      <c r="D344"/>
      <c r="E344"/>
      <c r="F344"/>
      <c r="G344"/>
      <c r="H344"/>
      <c r="I344"/>
      <c r="J344"/>
      <c r="K344"/>
      <c r="L344"/>
      <c r="M344"/>
    </row>
    <row r="345" spans="1:13" ht="14.45">
      <c r="A345"/>
      <c r="B345"/>
      <c r="C345"/>
      <c r="D345"/>
      <c r="E345"/>
      <c r="F345"/>
      <c r="G345"/>
      <c r="H345"/>
      <c r="I345"/>
      <c r="J345"/>
      <c r="K345"/>
      <c r="L345"/>
      <c r="M345"/>
    </row>
    <row r="346" spans="1:13" ht="14.45">
      <c r="A346"/>
      <c r="B346"/>
      <c r="C346"/>
      <c r="D346"/>
      <c r="E346"/>
      <c r="F346"/>
      <c r="G346"/>
      <c r="H346"/>
      <c r="I346"/>
      <c r="J346"/>
      <c r="K346"/>
      <c r="L346"/>
      <c r="M346"/>
    </row>
    <row r="347" spans="1:13" ht="14.45">
      <c r="A347"/>
      <c r="B347"/>
      <c r="C347"/>
      <c r="D347"/>
      <c r="E347"/>
      <c r="F347"/>
      <c r="G347"/>
      <c r="H347"/>
      <c r="I347"/>
      <c r="J347"/>
      <c r="K347"/>
      <c r="L347"/>
      <c r="M347"/>
    </row>
    <row r="348" spans="1:13" ht="14.45">
      <c r="A348"/>
      <c r="B348"/>
      <c r="C348"/>
      <c r="D348"/>
      <c r="E348"/>
      <c r="F348"/>
      <c r="G348"/>
      <c r="H348"/>
      <c r="I348"/>
      <c r="J348"/>
      <c r="K348"/>
      <c r="L348"/>
      <c r="M348"/>
    </row>
    <row r="349" spans="1:13" ht="14.45">
      <c r="A349"/>
      <c r="B349"/>
      <c r="C349"/>
      <c r="D349"/>
      <c r="E349"/>
      <c r="F349"/>
      <c r="G349"/>
      <c r="H349"/>
      <c r="I349"/>
      <c r="J349"/>
      <c r="K349"/>
      <c r="L349"/>
      <c r="M349"/>
    </row>
    <row r="350" spans="1:13" ht="14.45">
      <c r="A350"/>
      <c r="B350"/>
      <c r="C350"/>
      <c r="D350"/>
      <c r="E350"/>
      <c r="F350"/>
      <c r="G350"/>
      <c r="H350"/>
      <c r="I350"/>
      <c r="J350"/>
      <c r="K350"/>
      <c r="L350"/>
      <c r="M350"/>
    </row>
    <row r="351" spans="1:13" ht="14.45">
      <c r="A351"/>
      <c r="B351"/>
      <c r="C351"/>
      <c r="D351"/>
      <c r="E351"/>
      <c r="F351"/>
      <c r="G351"/>
      <c r="H351"/>
      <c r="I351"/>
      <c r="J351"/>
      <c r="K351"/>
      <c r="L351"/>
      <c r="M351"/>
    </row>
    <row r="352" spans="1:13" ht="14.45">
      <c r="A352"/>
      <c r="B352"/>
      <c r="C352"/>
      <c r="D352"/>
      <c r="E352"/>
      <c r="F352"/>
      <c r="G352"/>
      <c r="H352"/>
      <c r="I352"/>
      <c r="J352"/>
      <c r="K352"/>
      <c r="L352"/>
      <c r="M352"/>
    </row>
    <row r="353" spans="1:13" ht="14.45">
      <c r="A353"/>
      <c r="B353"/>
      <c r="C353"/>
      <c r="D353"/>
      <c r="E353"/>
      <c r="F353"/>
      <c r="G353"/>
      <c r="H353"/>
      <c r="I353"/>
      <c r="J353"/>
      <c r="K353"/>
      <c r="L353"/>
      <c r="M353"/>
    </row>
    <row r="354" spans="1:13" ht="14.45">
      <c r="A354"/>
      <c r="B354"/>
      <c r="C354"/>
      <c r="D354"/>
      <c r="E354"/>
      <c r="F354"/>
      <c r="G354"/>
      <c r="H354"/>
      <c r="I354"/>
      <c r="J354"/>
      <c r="K354"/>
      <c r="L354"/>
      <c r="M354"/>
    </row>
    <row r="355" spans="1:13" ht="14.45">
      <c r="A355"/>
      <c r="B355"/>
      <c r="C355"/>
      <c r="D355"/>
      <c r="E355"/>
      <c r="F355"/>
      <c r="G355"/>
      <c r="H355"/>
      <c r="I355"/>
      <c r="J355"/>
      <c r="K355"/>
      <c r="L355"/>
      <c r="M355"/>
    </row>
    <row r="356" spans="1:13" ht="14.45">
      <c r="A356"/>
      <c r="B356"/>
      <c r="C356"/>
      <c r="D356"/>
      <c r="E356"/>
      <c r="F356"/>
      <c r="G356"/>
      <c r="H356"/>
      <c r="I356"/>
      <c r="J356"/>
      <c r="K356"/>
      <c r="L356"/>
      <c r="M356"/>
    </row>
    <row r="357" spans="1:13" ht="14.45">
      <c r="A357"/>
      <c r="B357"/>
      <c r="C357"/>
      <c r="D357"/>
      <c r="E357"/>
      <c r="F357"/>
      <c r="G357"/>
      <c r="H357"/>
      <c r="I357"/>
      <c r="J357"/>
      <c r="K357"/>
      <c r="L357"/>
      <c r="M357"/>
    </row>
    <row r="358" spans="1:13" ht="14.45">
      <c r="A358"/>
      <c r="B358"/>
      <c r="C358"/>
      <c r="D358"/>
      <c r="E358"/>
      <c r="F358"/>
      <c r="G358"/>
      <c r="H358"/>
      <c r="I358"/>
      <c r="J358"/>
      <c r="K358"/>
      <c r="L358"/>
      <c r="M358"/>
    </row>
    <row r="359" spans="1:13" ht="14.45">
      <c r="A359"/>
      <c r="B359"/>
      <c r="C359"/>
      <c r="D359"/>
      <c r="E359"/>
      <c r="F359"/>
      <c r="G359"/>
      <c r="H359"/>
      <c r="I359"/>
      <c r="J359"/>
      <c r="K359"/>
      <c r="L359"/>
      <c r="M359"/>
    </row>
    <row r="360" spans="1:13" ht="14.45">
      <c r="A360"/>
      <c r="B360"/>
      <c r="C360"/>
      <c r="D360"/>
      <c r="E360"/>
      <c r="F360"/>
      <c r="G360"/>
      <c r="H360"/>
      <c r="I360"/>
      <c r="J360"/>
      <c r="K360"/>
      <c r="L360"/>
      <c r="M360"/>
    </row>
    <row r="361" spans="1:13" ht="14.45">
      <c r="A361"/>
      <c r="B361"/>
      <c r="C361"/>
      <c r="D361"/>
      <c r="E361"/>
      <c r="F361"/>
      <c r="G361"/>
      <c r="H361"/>
      <c r="I361"/>
      <c r="J361"/>
      <c r="K361"/>
      <c r="L361"/>
      <c r="M361"/>
    </row>
    <row r="362" spans="1:13" ht="14.45">
      <c r="A362"/>
      <c r="B362"/>
      <c r="C362"/>
      <c r="D362"/>
      <c r="E362"/>
      <c r="F362"/>
      <c r="G362"/>
      <c r="H362"/>
      <c r="I362"/>
      <c r="J362"/>
      <c r="K362"/>
      <c r="L362"/>
      <c r="M362"/>
    </row>
    <row r="363" spans="1:13" ht="14.45">
      <c r="A363"/>
      <c r="B363"/>
      <c r="C363"/>
      <c r="D363"/>
      <c r="E363"/>
      <c r="F363"/>
      <c r="G363"/>
      <c r="H363"/>
      <c r="I363"/>
      <c r="J363"/>
      <c r="K363"/>
      <c r="L363"/>
      <c r="M363"/>
    </row>
    <row r="364" spans="1:13" ht="14.45">
      <c r="A364"/>
      <c r="B364"/>
      <c r="C364"/>
      <c r="D364"/>
      <c r="E364"/>
      <c r="F364"/>
      <c r="G364"/>
      <c r="H364"/>
      <c r="I364"/>
      <c r="J364"/>
      <c r="K364"/>
      <c r="L364"/>
      <c r="M364"/>
    </row>
    <row r="365" spans="1:13" ht="14.45">
      <c r="A365"/>
      <c r="B365"/>
      <c r="C365"/>
      <c r="D365"/>
      <c r="E365"/>
      <c r="F365"/>
      <c r="G365"/>
      <c r="H365"/>
      <c r="I365"/>
      <c r="J365"/>
      <c r="K365"/>
      <c r="L365"/>
      <c r="M365"/>
    </row>
    <row r="366" spans="1:13" ht="14.45">
      <c r="A366"/>
      <c r="B366"/>
      <c r="C366"/>
      <c r="D366"/>
      <c r="E366"/>
      <c r="F366"/>
      <c r="G366"/>
      <c r="H366"/>
      <c r="I366"/>
      <c r="J366"/>
      <c r="K366"/>
      <c r="L366"/>
      <c r="M366"/>
    </row>
    <row r="367" spans="1:13" ht="14.45">
      <c r="A367"/>
      <c r="B367"/>
      <c r="C367"/>
      <c r="D367"/>
      <c r="E367"/>
      <c r="F367"/>
      <c r="G367"/>
      <c r="H367"/>
      <c r="I367"/>
      <c r="J367"/>
      <c r="K367"/>
      <c r="L367"/>
      <c r="M367"/>
    </row>
    <row r="368" spans="1:13" ht="14.45">
      <c r="A368"/>
      <c r="B368"/>
      <c r="C368"/>
      <c r="D368"/>
      <c r="E368"/>
      <c r="F368"/>
      <c r="G368"/>
      <c r="H368"/>
      <c r="I368"/>
      <c r="J368"/>
      <c r="K368"/>
      <c r="L368"/>
      <c r="M368"/>
    </row>
    <row r="369" spans="1:13" ht="14.45">
      <c r="A369"/>
      <c r="B369"/>
      <c r="C369"/>
      <c r="D369"/>
      <c r="E369"/>
      <c r="F369"/>
      <c r="G369"/>
      <c r="H369"/>
      <c r="I369"/>
      <c r="J369"/>
      <c r="K369"/>
      <c r="L369"/>
      <c r="M369"/>
    </row>
    <row r="370" spans="1:13" ht="14.45">
      <c r="A370"/>
      <c r="B370"/>
      <c r="C370"/>
      <c r="D370"/>
      <c r="E370"/>
      <c r="F370"/>
      <c r="G370"/>
      <c r="H370"/>
      <c r="I370"/>
      <c r="J370"/>
      <c r="K370"/>
      <c r="L370"/>
      <c r="M370"/>
    </row>
    <row r="371" spans="1:13" ht="14.45">
      <c r="A371"/>
      <c r="B371"/>
      <c r="C371"/>
      <c r="D371"/>
      <c r="E371"/>
      <c r="F371"/>
      <c r="G371"/>
      <c r="H371"/>
      <c r="I371"/>
      <c r="J371"/>
      <c r="K371"/>
      <c r="L371"/>
      <c r="M371"/>
    </row>
    <row r="372" spans="1:13" ht="14.45">
      <c r="A372"/>
      <c r="B372"/>
      <c r="C372"/>
      <c r="D372"/>
      <c r="E372"/>
      <c r="F372"/>
      <c r="G372"/>
      <c r="H372"/>
      <c r="I372"/>
      <c r="J372"/>
      <c r="K372"/>
      <c r="L372"/>
      <c r="M372"/>
    </row>
    <row r="373" spans="1:13" ht="14.45">
      <c r="A373"/>
      <c r="B373"/>
      <c r="C373"/>
      <c r="D373"/>
      <c r="E373"/>
      <c r="F373"/>
      <c r="G373"/>
      <c r="H373"/>
      <c r="I373"/>
      <c r="J373"/>
      <c r="K373"/>
      <c r="L373"/>
      <c r="M373"/>
    </row>
    <row r="374" spans="1:13" ht="14.45">
      <c r="A374"/>
      <c r="B374"/>
      <c r="C374"/>
      <c r="D374"/>
      <c r="E374"/>
      <c r="F374"/>
      <c r="G374"/>
      <c r="H374"/>
      <c r="I374"/>
      <c r="J374"/>
      <c r="K374"/>
      <c r="L374"/>
      <c r="M374"/>
    </row>
    <row r="375" spans="1:13" ht="14.45">
      <c r="A375"/>
      <c r="B375"/>
      <c r="C375"/>
      <c r="D375"/>
      <c r="E375"/>
      <c r="F375"/>
      <c r="G375"/>
      <c r="H375"/>
      <c r="I375"/>
      <c r="J375"/>
      <c r="K375"/>
      <c r="L375"/>
      <c r="M375"/>
    </row>
    <row r="376" spans="1:13" ht="14.45">
      <c r="A376"/>
      <c r="B376"/>
      <c r="C376"/>
      <c r="D376"/>
      <c r="E376"/>
      <c r="F376"/>
      <c r="G376"/>
      <c r="H376"/>
      <c r="I376"/>
      <c r="J376"/>
      <c r="K376"/>
      <c r="L376"/>
      <c r="M376"/>
    </row>
    <row r="377" spans="1:13" ht="14.45">
      <c r="A377"/>
      <c r="B377"/>
      <c r="C377"/>
      <c r="D377"/>
      <c r="E377"/>
      <c r="F377"/>
      <c r="G377"/>
      <c r="H377"/>
      <c r="I377"/>
      <c r="J377"/>
      <c r="K377"/>
      <c r="L377"/>
      <c r="M377"/>
    </row>
    <row r="378" spans="1:13" ht="14.45">
      <c r="A378"/>
      <c r="B378"/>
      <c r="C378"/>
      <c r="D378"/>
      <c r="E378"/>
      <c r="F378"/>
      <c r="G378"/>
      <c r="H378"/>
      <c r="I378"/>
      <c r="J378"/>
      <c r="K378"/>
      <c r="L378"/>
      <c r="M378"/>
    </row>
    <row r="379" spans="1:13" ht="14.45">
      <c r="A379"/>
      <c r="B379"/>
      <c r="C379"/>
      <c r="D379"/>
      <c r="E379"/>
      <c r="F379"/>
      <c r="G379"/>
      <c r="H379"/>
      <c r="I379"/>
      <c r="J379"/>
      <c r="K379"/>
      <c r="L379"/>
      <c r="M379"/>
    </row>
    <row r="380" spans="1:13" ht="14.45">
      <c r="A380"/>
      <c r="B380"/>
      <c r="C380"/>
      <c r="D380"/>
      <c r="E380"/>
      <c r="F380"/>
      <c r="G380"/>
      <c r="H380"/>
      <c r="I380"/>
      <c r="J380"/>
      <c r="K380"/>
      <c r="L380"/>
      <c r="M380"/>
    </row>
    <row r="381" spans="1:13" ht="14.45">
      <c r="A381"/>
      <c r="B381"/>
      <c r="C381"/>
      <c r="D381"/>
      <c r="E381"/>
      <c r="F381"/>
      <c r="G381"/>
      <c r="H381"/>
      <c r="I381"/>
      <c r="J381"/>
      <c r="K381"/>
      <c r="L381"/>
      <c r="M381"/>
    </row>
    <row r="382" spans="1:13" ht="14.45">
      <c r="A382"/>
      <c r="B382"/>
      <c r="C382"/>
      <c r="D382"/>
      <c r="E382"/>
      <c r="F382"/>
      <c r="G382"/>
      <c r="H382"/>
      <c r="I382"/>
      <c r="J382"/>
      <c r="K382"/>
      <c r="L382"/>
      <c r="M382"/>
    </row>
    <row r="383" spans="1:13" ht="14.45">
      <c r="A383"/>
      <c r="B383"/>
      <c r="C383"/>
      <c r="D383"/>
      <c r="E383"/>
      <c r="F383"/>
      <c r="G383"/>
      <c r="H383"/>
      <c r="I383"/>
      <c r="J383"/>
      <c r="K383"/>
      <c r="L383"/>
      <c r="M383"/>
    </row>
    <row r="384" spans="1:13" ht="14.45">
      <c r="A384"/>
      <c r="B384"/>
      <c r="C384"/>
      <c r="D384"/>
      <c r="E384"/>
      <c r="F384"/>
      <c r="G384"/>
      <c r="H384"/>
      <c r="I384"/>
      <c r="J384"/>
      <c r="K384"/>
      <c r="L384"/>
      <c r="M384"/>
    </row>
    <row r="385" spans="1:13" ht="14.45">
      <c r="A385"/>
      <c r="B385"/>
      <c r="C385"/>
      <c r="D385"/>
      <c r="E385"/>
      <c r="F385"/>
      <c r="G385"/>
      <c r="H385"/>
      <c r="I385"/>
      <c r="J385"/>
      <c r="K385"/>
      <c r="L385"/>
      <c r="M385"/>
    </row>
    <row r="386" spans="1:13" ht="14.45">
      <c r="A386"/>
      <c r="B386"/>
      <c r="C386"/>
      <c r="D386"/>
      <c r="E386"/>
      <c r="F386"/>
      <c r="G386"/>
      <c r="H386"/>
      <c r="I386"/>
      <c r="J386"/>
      <c r="K386"/>
      <c r="L386"/>
      <c r="M386"/>
    </row>
    <row r="387" spans="1:13" ht="14.45">
      <c r="A387"/>
      <c r="B387"/>
      <c r="C387"/>
      <c r="D387"/>
      <c r="E387"/>
      <c r="F387"/>
      <c r="G387"/>
      <c r="H387"/>
      <c r="I387"/>
      <c r="J387"/>
      <c r="K387"/>
      <c r="L387"/>
      <c r="M387"/>
    </row>
    <row r="388" spans="1:13" ht="14.45">
      <c r="A388"/>
      <c r="B388"/>
      <c r="C388"/>
      <c r="D388"/>
      <c r="E388"/>
      <c r="F388"/>
      <c r="G388"/>
      <c r="H388"/>
      <c r="I388"/>
      <c r="J388"/>
      <c r="K388"/>
      <c r="L388"/>
      <c r="M388"/>
    </row>
    <row r="389" spans="1:13" ht="14.45">
      <c r="A389"/>
      <c r="B389"/>
      <c r="C389"/>
      <c r="D389"/>
      <c r="E389"/>
      <c r="F389"/>
      <c r="G389"/>
      <c r="H389"/>
      <c r="I389"/>
      <c r="J389"/>
      <c r="K389"/>
      <c r="L389"/>
      <c r="M389"/>
    </row>
    <row r="390" spans="1:13" ht="14.45">
      <c r="A390"/>
      <c r="B390"/>
      <c r="C390"/>
      <c r="D390"/>
      <c r="E390"/>
      <c r="F390"/>
      <c r="G390"/>
      <c r="H390"/>
      <c r="I390"/>
      <c r="J390"/>
      <c r="K390"/>
      <c r="L390"/>
      <c r="M390"/>
    </row>
    <row r="391" spans="1:13" ht="14.45">
      <c r="A391"/>
      <c r="B391"/>
      <c r="C391"/>
      <c r="D391"/>
      <c r="E391"/>
      <c r="F391"/>
      <c r="G391"/>
      <c r="H391"/>
      <c r="I391"/>
      <c r="J391"/>
      <c r="K391"/>
      <c r="L391"/>
      <c r="M391"/>
    </row>
    <row r="392" spans="1:13" ht="14.45">
      <c r="A392"/>
      <c r="B392"/>
      <c r="C392"/>
      <c r="D392"/>
      <c r="E392"/>
      <c r="F392"/>
      <c r="G392"/>
      <c r="H392"/>
      <c r="I392"/>
      <c r="J392"/>
      <c r="K392"/>
      <c r="L392"/>
      <c r="M392"/>
    </row>
    <row r="393" spans="1:13" ht="14.45">
      <c r="A393"/>
      <c r="B393"/>
      <c r="C393"/>
      <c r="D393"/>
      <c r="E393"/>
      <c r="F393"/>
      <c r="G393"/>
      <c r="H393"/>
      <c r="I393"/>
      <c r="J393"/>
      <c r="K393"/>
      <c r="L393"/>
      <c r="M393"/>
    </row>
    <row r="394" spans="1:13" ht="14.45">
      <c r="A394"/>
      <c r="B394"/>
      <c r="C394"/>
      <c r="D394"/>
      <c r="E394"/>
      <c r="F394"/>
      <c r="G394"/>
      <c r="H394"/>
      <c r="I394" s="406"/>
      <c r="J394"/>
      <c r="K394"/>
      <c r="L394"/>
      <c r="M394"/>
    </row>
    <row r="395" spans="1:13" ht="14.45">
      <c r="A395"/>
      <c r="B395"/>
      <c r="C395"/>
      <c r="D395"/>
      <c r="E395"/>
      <c r="F395"/>
      <c r="G395"/>
      <c r="H395"/>
      <c r="I395" s="406"/>
      <c r="J395"/>
      <c r="K395"/>
      <c r="L395"/>
      <c r="M395"/>
    </row>
    <row r="396" spans="1:13" ht="14.45">
      <c r="A396"/>
      <c r="B396"/>
      <c r="C396"/>
      <c r="D396"/>
      <c r="E396"/>
      <c r="F396"/>
      <c r="G396"/>
      <c r="H396"/>
      <c r="I396" s="406"/>
      <c r="J396"/>
      <c r="K396"/>
      <c r="L396"/>
      <c r="M396"/>
    </row>
    <row r="397" spans="1:13" ht="14.45">
      <c r="A397"/>
      <c r="B397"/>
      <c r="C397"/>
      <c r="D397"/>
      <c r="E397"/>
      <c r="F397"/>
      <c r="G397"/>
      <c r="H397"/>
      <c r="I397" s="406"/>
      <c r="J397"/>
      <c r="K397"/>
      <c r="L397"/>
      <c r="M397"/>
    </row>
    <row r="398" spans="1:13" ht="14.45">
      <c r="A398"/>
      <c r="B398"/>
      <c r="C398"/>
      <c r="D398"/>
      <c r="E398"/>
      <c r="F398"/>
      <c r="G398"/>
      <c r="H398"/>
      <c r="I398" s="406"/>
      <c r="J398"/>
      <c r="K398"/>
      <c r="L398"/>
      <c r="M398"/>
    </row>
    <row r="399" spans="1:13" ht="14.45">
      <c r="A399"/>
      <c r="B399"/>
      <c r="C399"/>
      <c r="D399"/>
      <c r="E399"/>
      <c r="F399"/>
      <c r="G399"/>
      <c r="H399"/>
      <c r="I399" s="406"/>
      <c r="J399"/>
      <c r="K399"/>
      <c r="L399"/>
      <c r="M399"/>
    </row>
    <row r="400" spans="1:13" ht="14.45">
      <c r="A400"/>
      <c r="B400"/>
      <c r="C400"/>
      <c r="D400"/>
      <c r="E400"/>
      <c r="F400"/>
      <c r="G400"/>
      <c r="H400"/>
      <c r="I400" s="406"/>
      <c r="J400"/>
      <c r="K400"/>
      <c r="L400"/>
      <c r="M400"/>
    </row>
    <row r="401" spans="1:13" ht="14.45">
      <c r="A401"/>
      <c r="B401"/>
      <c r="C401"/>
      <c r="D401"/>
      <c r="E401"/>
      <c r="F401"/>
      <c r="G401"/>
      <c r="H401"/>
      <c r="I401" s="406"/>
      <c r="J401"/>
      <c r="K401"/>
      <c r="L401"/>
      <c r="M401"/>
    </row>
    <row r="402" spans="1:13" ht="14.45">
      <c r="A402"/>
      <c r="B402"/>
      <c r="C402"/>
      <c r="D402"/>
      <c r="E402"/>
      <c r="F402"/>
      <c r="G402"/>
      <c r="H402"/>
      <c r="I402" s="406"/>
      <c r="J402"/>
      <c r="K402"/>
      <c r="L402"/>
      <c r="M402"/>
    </row>
    <row r="403" spans="1:13" ht="14.45">
      <c r="A403"/>
      <c r="B403"/>
      <c r="C403"/>
      <c r="D403"/>
      <c r="E403"/>
      <c r="F403"/>
      <c r="G403"/>
      <c r="H403"/>
      <c r="I403" s="406"/>
      <c r="J403"/>
      <c r="K403"/>
      <c r="L403"/>
      <c r="M403"/>
    </row>
    <row r="404" spans="1:13" ht="14.45">
      <c r="A404"/>
      <c r="B404"/>
      <c r="C404"/>
      <c r="D404"/>
      <c r="E404"/>
      <c r="F404"/>
      <c r="G404"/>
      <c r="H404"/>
      <c r="I404" s="406"/>
      <c r="J404"/>
      <c r="K404"/>
      <c r="L404"/>
      <c r="M404"/>
    </row>
    <row r="405" spans="1:13" ht="14.45">
      <c r="A405"/>
      <c r="B405"/>
      <c r="C405"/>
      <c r="D405"/>
      <c r="E405"/>
      <c r="F405"/>
      <c r="G405"/>
      <c r="H405"/>
      <c r="I405" s="406"/>
      <c r="J405"/>
      <c r="K405"/>
      <c r="L405"/>
      <c r="M405"/>
    </row>
    <row r="406" spans="1:13" ht="14.45">
      <c r="A406"/>
      <c r="B406"/>
      <c r="C406"/>
      <c r="D406"/>
      <c r="E406"/>
      <c r="F406"/>
      <c r="G406"/>
      <c r="H406"/>
      <c r="I406" s="406"/>
      <c r="J406"/>
      <c r="K406"/>
      <c r="L406"/>
      <c r="M406"/>
    </row>
    <row r="407" spans="1:13" ht="14.45">
      <c r="A407"/>
      <c r="B407"/>
      <c r="C407"/>
      <c r="D407"/>
      <c r="E407"/>
      <c r="F407"/>
      <c r="G407"/>
      <c r="H407"/>
      <c r="I407" s="406"/>
      <c r="J407"/>
      <c r="K407"/>
    </row>
    <row r="408" spans="1:13" ht="14.45">
      <c r="A408"/>
      <c r="B408"/>
      <c r="C408"/>
      <c r="D408"/>
      <c r="E408"/>
      <c r="F408"/>
      <c r="G408"/>
      <c r="H408"/>
      <c r="I408" s="406"/>
      <c r="J408"/>
      <c r="K408"/>
    </row>
    <row r="409" spans="1:13" ht="14.45">
      <c r="A409"/>
      <c r="B409"/>
      <c r="C409"/>
      <c r="D409"/>
      <c r="E409"/>
      <c r="F409"/>
      <c r="G409"/>
      <c r="H409"/>
      <c r="I409" s="406"/>
      <c r="J409"/>
      <c r="K409"/>
    </row>
    <row r="410" spans="1:13" ht="14.45">
      <c r="A410"/>
      <c r="B410"/>
      <c r="C410"/>
      <c r="D410"/>
      <c r="E410"/>
      <c r="F410"/>
      <c r="G410"/>
      <c r="H410"/>
      <c r="I410" s="406"/>
      <c r="J410"/>
      <c r="K410"/>
    </row>
    <row r="411" spans="1:13" ht="14.45">
      <c r="A411"/>
      <c r="B411"/>
      <c r="C411"/>
      <c r="D411"/>
      <c r="E411"/>
      <c r="F411"/>
      <c r="G411"/>
      <c r="H411"/>
      <c r="I411" s="406"/>
      <c r="J411"/>
      <c r="K411"/>
    </row>
    <row r="412" spans="1:13" ht="14.45">
      <c r="A412"/>
      <c r="B412"/>
      <c r="C412"/>
      <c r="D412"/>
      <c r="E412"/>
      <c r="F412"/>
      <c r="G412"/>
      <c r="H412"/>
      <c r="I412" s="406"/>
      <c r="J412"/>
      <c r="K412"/>
    </row>
    <row r="413" spans="1:13" ht="14.45">
      <c r="A413"/>
      <c r="B413"/>
      <c r="C413"/>
      <c r="D413"/>
      <c r="E413"/>
      <c r="F413"/>
      <c r="G413"/>
      <c r="H413"/>
      <c r="I413" s="406"/>
      <c r="J413"/>
      <c r="K413"/>
    </row>
    <row r="414" spans="1:13" ht="14.45">
      <c r="A414"/>
      <c r="B414"/>
      <c r="C414"/>
      <c r="D414"/>
      <c r="E414"/>
      <c r="F414"/>
      <c r="G414"/>
      <c r="H414"/>
      <c r="I414" s="406"/>
      <c r="J414"/>
      <c r="K414"/>
    </row>
    <row r="415" spans="1:13" ht="14.45">
      <c r="A415"/>
      <c r="B415"/>
      <c r="C415"/>
      <c r="D415"/>
      <c r="E415"/>
      <c r="F415"/>
      <c r="G415"/>
      <c r="H415"/>
      <c r="I415" s="406"/>
      <c r="J415"/>
      <c r="K415"/>
    </row>
    <row r="416" spans="1:13" ht="14.45">
      <c r="A416"/>
      <c r="B416"/>
      <c r="C416"/>
      <c r="D416"/>
      <c r="E416"/>
      <c r="F416"/>
      <c r="G416"/>
      <c r="H416"/>
      <c r="I416" s="406"/>
      <c r="J416"/>
      <c r="K416"/>
    </row>
    <row r="417" spans="1:11" ht="14.45">
      <c r="A417"/>
      <c r="B417"/>
      <c r="C417"/>
      <c r="D417"/>
      <c r="E417"/>
      <c r="F417"/>
      <c r="G417"/>
      <c r="H417"/>
      <c r="I417" s="406"/>
      <c r="J417"/>
      <c r="K417"/>
    </row>
    <row r="418" spans="1:11" ht="14.45">
      <c r="A418"/>
      <c r="B418"/>
      <c r="C418"/>
      <c r="D418"/>
      <c r="E418"/>
      <c r="F418"/>
      <c r="G418"/>
      <c r="H418"/>
      <c r="I418" s="406"/>
      <c r="J418"/>
      <c r="K418"/>
    </row>
    <row r="419" spans="1:11" ht="14.45">
      <c r="A419"/>
      <c r="B419"/>
      <c r="C419"/>
      <c r="D419"/>
      <c r="E419"/>
      <c r="F419"/>
      <c r="G419"/>
      <c r="H419"/>
      <c r="I419" s="406"/>
      <c r="J419"/>
      <c r="K419"/>
    </row>
    <row r="420" spans="1:11" ht="14.45">
      <c r="A420"/>
      <c r="B420"/>
      <c r="C420"/>
      <c r="D420"/>
      <c r="E420"/>
      <c r="F420"/>
      <c r="G420"/>
      <c r="H420"/>
      <c r="I420" s="406"/>
      <c r="J420"/>
      <c r="K420"/>
    </row>
    <row r="421" spans="1:11" ht="14.45">
      <c r="A421"/>
      <c r="B421"/>
      <c r="C421"/>
      <c r="D421"/>
      <c r="E421"/>
      <c r="F421"/>
      <c r="G421"/>
      <c r="H421"/>
      <c r="I421" s="406"/>
      <c r="J421"/>
      <c r="K421"/>
    </row>
    <row r="422" spans="1:11" ht="14.45">
      <c r="A422"/>
      <c r="B422"/>
      <c r="C422"/>
      <c r="D422"/>
      <c r="E422"/>
      <c r="F422"/>
      <c r="G422"/>
      <c r="H422"/>
      <c r="I422" s="406"/>
      <c r="J422"/>
      <c r="K422"/>
    </row>
    <row r="423" spans="1:11" ht="14.45">
      <c r="A423"/>
      <c r="B423"/>
      <c r="C423"/>
      <c r="D423"/>
      <c r="E423"/>
      <c r="F423"/>
      <c r="G423"/>
      <c r="H423"/>
      <c r="I423" s="406"/>
      <c r="J423"/>
      <c r="K423"/>
    </row>
    <row r="424" spans="1:11" ht="14.45">
      <c r="A424"/>
      <c r="B424"/>
      <c r="C424"/>
      <c r="D424"/>
      <c r="E424"/>
      <c r="F424"/>
      <c r="G424"/>
      <c r="H424"/>
      <c r="I424" s="406"/>
      <c r="J424"/>
      <c r="K424"/>
    </row>
    <row r="425" spans="1:11" ht="14.45">
      <c r="A425"/>
      <c r="B425"/>
      <c r="C425"/>
      <c r="D425"/>
      <c r="E425"/>
      <c r="F425"/>
      <c r="G425"/>
      <c r="H425"/>
      <c r="I425" s="406"/>
      <c r="J425"/>
      <c r="K425"/>
    </row>
    <row r="426" spans="1:11" ht="14.45">
      <c r="A426"/>
      <c r="B426"/>
      <c r="C426"/>
      <c r="D426"/>
      <c r="E426"/>
      <c r="F426"/>
      <c r="G426"/>
      <c r="H426"/>
      <c r="I426" s="406"/>
      <c r="J426"/>
      <c r="K426"/>
    </row>
    <row r="427" spans="1:11" ht="14.45">
      <c r="A427"/>
      <c r="B427"/>
      <c r="C427"/>
      <c r="D427"/>
      <c r="E427"/>
      <c r="F427"/>
      <c r="G427"/>
      <c r="H427"/>
      <c r="I427" s="406"/>
      <c r="J427"/>
      <c r="K427"/>
    </row>
    <row r="428" spans="1:11" ht="14.45">
      <c r="A428"/>
      <c r="B428"/>
      <c r="C428"/>
      <c r="D428"/>
      <c r="E428"/>
      <c r="F428"/>
      <c r="G428"/>
      <c r="H428"/>
      <c r="I428" s="406"/>
      <c r="J428"/>
      <c r="K428"/>
    </row>
    <row r="429" spans="1:11" ht="14.45">
      <c r="A429"/>
      <c r="B429"/>
      <c r="C429"/>
      <c r="D429"/>
      <c r="E429"/>
      <c r="F429"/>
      <c r="G429"/>
      <c r="H429"/>
      <c r="I429" s="406"/>
      <c r="J429"/>
      <c r="K429"/>
    </row>
    <row r="430" spans="1:11" ht="14.45">
      <c r="A430"/>
      <c r="B430"/>
      <c r="C430"/>
      <c r="D430"/>
      <c r="E430"/>
      <c r="F430"/>
      <c r="G430"/>
      <c r="H430"/>
      <c r="I430" s="406"/>
      <c r="J430"/>
      <c r="K430"/>
    </row>
    <row r="431" spans="1:11" ht="14.45">
      <c r="A431"/>
      <c r="B431"/>
      <c r="C431"/>
      <c r="D431"/>
      <c r="E431"/>
      <c r="F431"/>
      <c r="G431"/>
      <c r="H431"/>
      <c r="I431" s="406"/>
      <c r="J431"/>
      <c r="K431"/>
    </row>
    <row r="432" spans="1:11" ht="14.45">
      <c r="A432"/>
      <c r="B432"/>
      <c r="C432"/>
      <c r="D432"/>
      <c r="E432"/>
      <c r="F432"/>
      <c r="G432"/>
      <c r="H432"/>
      <c r="I432" s="406"/>
      <c r="J432"/>
      <c r="K432"/>
    </row>
    <row r="433" spans="1:11" ht="14.45">
      <c r="A433"/>
      <c r="B433"/>
      <c r="C433"/>
      <c r="D433"/>
      <c r="E433"/>
      <c r="F433"/>
      <c r="G433"/>
      <c r="H433"/>
      <c r="I433" s="406"/>
      <c r="J433"/>
      <c r="K433"/>
    </row>
    <row r="434" spans="1:11" ht="14.45">
      <c r="A434"/>
      <c r="B434"/>
      <c r="C434"/>
      <c r="D434"/>
      <c r="E434"/>
      <c r="F434"/>
      <c r="G434"/>
      <c r="H434"/>
      <c r="I434" s="406"/>
      <c r="J434"/>
      <c r="K434"/>
    </row>
    <row r="435" spans="1:11" ht="14.45">
      <c r="A435"/>
      <c r="B435"/>
      <c r="C435"/>
      <c r="D435"/>
      <c r="E435"/>
      <c r="F435"/>
      <c r="G435"/>
      <c r="H435"/>
      <c r="I435" s="406"/>
      <c r="J435"/>
      <c r="K435"/>
    </row>
    <row r="436" spans="1:11" ht="14.45">
      <c r="A436"/>
      <c r="B436"/>
      <c r="C436"/>
      <c r="D436"/>
      <c r="E436"/>
      <c r="F436"/>
      <c r="G436"/>
      <c r="H436"/>
      <c r="I436" s="406"/>
      <c r="J436"/>
      <c r="K436"/>
    </row>
    <row r="437" spans="1:11" ht="14.45">
      <c r="A437"/>
      <c r="B437"/>
      <c r="C437"/>
      <c r="D437"/>
      <c r="E437"/>
      <c r="F437"/>
      <c r="G437"/>
      <c r="H437"/>
      <c r="I437" s="406"/>
      <c r="J437"/>
      <c r="K437"/>
    </row>
    <row r="438" spans="1:11" ht="14.45">
      <c r="A438"/>
      <c r="B438"/>
      <c r="C438"/>
      <c r="D438"/>
      <c r="E438"/>
      <c r="F438"/>
      <c r="G438"/>
      <c r="H438"/>
      <c r="I438" s="406"/>
      <c r="J438"/>
      <c r="K438"/>
    </row>
    <row r="439" spans="1:11" ht="14.45">
      <c r="A439"/>
      <c r="B439"/>
      <c r="C439"/>
      <c r="D439"/>
      <c r="E439"/>
      <c r="F439"/>
      <c r="G439"/>
      <c r="H439"/>
      <c r="I439" s="406"/>
      <c r="J439"/>
      <c r="K439"/>
    </row>
    <row r="440" spans="1:11" ht="14.45">
      <c r="A440"/>
      <c r="B440"/>
      <c r="C440"/>
      <c r="D440"/>
      <c r="E440"/>
      <c r="F440"/>
      <c r="G440"/>
      <c r="H440"/>
      <c r="I440" s="406"/>
      <c r="J440"/>
      <c r="K440"/>
    </row>
    <row r="441" spans="1:11" ht="14.45">
      <c r="A441"/>
      <c r="B441"/>
      <c r="C441"/>
      <c r="D441"/>
      <c r="E441"/>
      <c r="F441"/>
      <c r="G441"/>
      <c r="H441"/>
      <c r="I441" s="406"/>
      <c r="J441"/>
      <c r="K441"/>
    </row>
    <row r="442" spans="1:11" ht="14.45">
      <c r="A442"/>
      <c r="B442"/>
      <c r="C442"/>
      <c r="D442"/>
      <c r="E442"/>
      <c r="F442"/>
      <c r="G442"/>
      <c r="H442"/>
      <c r="I442" s="406"/>
      <c r="J442"/>
      <c r="K442"/>
    </row>
    <row r="443" spans="1:11" ht="14.45">
      <c r="A443"/>
      <c r="B443"/>
      <c r="C443"/>
      <c r="D443"/>
      <c r="E443"/>
      <c r="F443"/>
      <c r="G443"/>
      <c r="H443"/>
      <c r="I443" s="406"/>
      <c r="J443"/>
      <c r="K443"/>
    </row>
    <row r="444" spans="1:11" ht="14.45">
      <c r="A444"/>
      <c r="B444"/>
      <c r="C444"/>
      <c r="D444"/>
      <c r="E444"/>
      <c r="F444"/>
      <c r="G444"/>
      <c r="H444"/>
      <c r="I444" s="406"/>
      <c r="J444"/>
      <c r="K444"/>
    </row>
    <row r="445" spans="1:11" ht="14.45">
      <c r="A445"/>
      <c r="B445"/>
      <c r="C445"/>
      <c r="D445"/>
      <c r="E445"/>
      <c r="F445"/>
      <c r="G445"/>
      <c r="H445"/>
      <c r="I445" s="406"/>
      <c r="J445"/>
      <c r="K445"/>
    </row>
    <row r="446" spans="1:11" ht="14.45">
      <c r="A446"/>
      <c r="B446"/>
      <c r="C446"/>
      <c r="D446"/>
      <c r="E446"/>
      <c r="F446"/>
      <c r="G446"/>
      <c r="H446"/>
      <c r="I446" s="406"/>
      <c r="J446"/>
      <c r="K446"/>
    </row>
    <row r="447" spans="1:11" ht="14.45">
      <c r="A447"/>
      <c r="B447"/>
      <c r="C447"/>
      <c r="D447"/>
      <c r="E447"/>
      <c r="F447"/>
      <c r="G447"/>
      <c r="H447"/>
      <c r="I447" s="406"/>
      <c r="J447"/>
      <c r="K447"/>
    </row>
    <row r="448" spans="1:11" ht="14.45">
      <c r="A448"/>
      <c r="B448"/>
      <c r="C448"/>
      <c r="D448"/>
      <c r="E448"/>
      <c r="F448"/>
      <c r="G448"/>
      <c r="H448"/>
      <c r="I448" s="406"/>
      <c r="J448"/>
      <c r="K448"/>
    </row>
    <row r="449" spans="1:11" ht="14.45">
      <c r="A449"/>
      <c r="B449"/>
      <c r="C449"/>
      <c r="D449"/>
      <c r="E449"/>
      <c r="F449"/>
      <c r="G449"/>
      <c r="H449"/>
      <c r="I449" s="406"/>
      <c r="J449"/>
      <c r="K449"/>
    </row>
    <row r="450" spans="1:11" ht="14.45">
      <c r="A450"/>
      <c r="B450"/>
      <c r="C450"/>
      <c r="D450"/>
      <c r="E450"/>
      <c r="F450"/>
      <c r="G450"/>
      <c r="H450"/>
      <c r="I450" s="406"/>
      <c r="J450"/>
      <c r="K450"/>
    </row>
    <row r="451" spans="1:11" ht="14.45">
      <c r="A451"/>
      <c r="B451"/>
      <c r="C451"/>
      <c r="D451"/>
      <c r="E451"/>
      <c r="F451"/>
      <c r="G451"/>
      <c r="H451"/>
      <c r="I451" s="406"/>
      <c r="J451"/>
      <c r="K451"/>
    </row>
    <row r="452" spans="1:11" ht="14.45">
      <c r="A452"/>
      <c r="B452"/>
      <c r="C452"/>
      <c r="D452"/>
      <c r="E452"/>
      <c r="F452"/>
      <c r="G452"/>
      <c r="H452"/>
      <c r="I452" s="406"/>
      <c r="J452"/>
      <c r="K452"/>
    </row>
    <row r="453" spans="1:11" ht="14.45">
      <c r="A453"/>
      <c r="B453"/>
      <c r="C453"/>
      <c r="D453"/>
      <c r="E453"/>
      <c r="F453"/>
      <c r="G453"/>
      <c r="H453"/>
      <c r="I453" s="406"/>
      <c r="J453"/>
      <c r="K453"/>
    </row>
    <row r="454" spans="1:11" ht="14.45">
      <c r="A454"/>
      <c r="B454"/>
      <c r="C454"/>
      <c r="D454"/>
      <c r="E454"/>
      <c r="F454"/>
      <c r="G454"/>
      <c r="H454"/>
      <c r="I454" s="406"/>
      <c r="J454"/>
      <c r="K454"/>
    </row>
    <row r="455" spans="1:11" ht="14.45">
      <c r="A455"/>
      <c r="B455"/>
      <c r="C455"/>
      <c r="D455"/>
      <c r="E455"/>
      <c r="F455"/>
      <c r="G455"/>
      <c r="H455"/>
      <c r="I455" s="406"/>
      <c r="J455"/>
      <c r="K455"/>
    </row>
    <row r="456" spans="1:11" ht="14.45">
      <c r="A456"/>
      <c r="B456"/>
      <c r="C456"/>
      <c r="D456"/>
      <c r="E456"/>
      <c r="F456"/>
      <c r="G456"/>
      <c r="H456"/>
      <c r="I456" s="406"/>
      <c r="J456"/>
      <c r="K456"/>
    </row>
    <row r="457" spans="1:11" ht="14.45">
      <c r="A457"/>
      <c r="B457"/>
      <c r="C457"/>
      <c r="D457"/>
      <c r="E457"/>
      <c r="F457"/>
      <c r="G457"/>
      <c r="H457"/>
      <c r="I457" s="406"/>
      <c r="J457"/>
      <c r="K457"/>
    </row>
    <row r="458" spans="1:11" ht="14.45">
      <c r="A458"/>
      <c r="B458"/>
      <c r="C458"/>
      <c r="D458"/>
      <c r="E458"/>
      <c r="F458"/>
      <c r="G458"/>
      <c r="H458"/>
      <c r="I458" s="406"/>
      <c r="J458"/>
      <c r="K458"/>
    </row>
    <row r="459" spans="1:11" ht="14.45">
      <c r="A459"/>
      <c r="B459"/>
      <c r="C459"/>
      <c r="D459"/>
      <c r="E459"/>
      <c r="F459"/>
      <c r="G459"/>
      <c r="H459"/>
      <c r="I459" s="406"/>
      <c r="J459"/>
      <c r="K459"/>
    </row>
    <row r="460" spans="1:11" ht="14.45">
      <c r="A460"/>
      <c r="B460"/>
      <c r="C460"/>
      <c r="D460"/>
      <c r="E460"/>
      <c r="F460"/>
      <c r="G460"/>
      <c r="H460"/>
      <c r="I460" s="406"/>
      <c r="J460"/>
      <c r="K460"/>
    </row>
    <row r="461" spans="1:11" ht="14.45">
      <c r="A461"/>
      <c r="B461"/>
      <c r="C461"/>
      <c r="D461"/>
      <c r="E461"/>
      <c r="F461"/>
      <c r="G461"/>
      <c r="H461"/>
      <c r="I461" s="406"/>
      <c r="J461"/>
      <c r="K461"/>
    </row>
    <row r="462" spans="1:11" ht="14.45">
      <c r="A462"/>
      <c r="B462"/>
      <c r="C462"/>
      <c r="D462"/>
      <c r="E462"/>
      <c r="F462"/>
      <c r="G462"/>
      <c r="H462"/>
      <c r="I462" s="406"/>
      <c r="J462"/>
      <c r="K462"/>
    </row>
    <row r="463" spans="1:11" ht="14.45">
      <c r="A463"/>
      <c r="B463"/>
      <c r="C463"/>
      <c r="D463"/>
      <c r="E463"/>
      <c r="F463"/>
      <c r="G463"/>
      <c r="H463"/>
      <c r="I463" s="406"/>
      <c r="J463"/>
      <c r="K463"/>
    </row>
    <row r="464" spans="1:11" ht="14.45">
      <c r="A464"/>
      <c r="B464"/>
      <c r="C464"/>
      <c r="D464"/>
      <c r="E464"/>
      <c r="F464"/>
      <c r="G464"/>
      <c r="H464"/>
      <c r="I464" s="406"/>
      <c r="J464"/>
      <c r="K464"/>
    </row>
    <row r="465" spans="1:11" ht="14.45">
      <c r="A465"/>
      <c r="B465"/>
      <c r="C465"/>
      <c r="D465"/>
      <c r="E465"/>
      <c r="F465"/>
      <c r="G465"/>
      <c r="H465"/>
      <c r="I465" s="406"/>
      <c r="J465"/>
      <c r="K465"/>
    </row>
    <row r="466" spans="1:11" ht="14.45">
      <c r="A466"/>
      <c r="B466"/>
      <c r="C466"/>
      <c r="D466"/>
      <c r="E466"/>
      <c r="F466"/>
      <c r="G466"/>
      <c r="H466"/>
      <c r="I466" s="406"/>
      <c r="J466"/>
      <c r="K466"/>
    </row>
    <row r="467" spans="1:11" ht="14.45">
      <c r="A467"/>
      <c r="B467"/>
      <c r="C467"/>
      <c r="D467"/>
      <c r="E467"/>
      <c r="F467"/>
      <c r="G467"/>
      <c r="H467"/>
      <c r="I467" s="406"/>
      <c r="J467"/>
      <c r="K467"/>
    </row>
    <row r="468" spans="1:11" ht="14.45">
      <c r="A468"/>
      <c r="B468"/>
      <c r="C468"/>
      <c r="D468"/>
      <c r="E468"/>
      <c r="F468"/>
      <c r="G468"/>
      <c r="H468"/>
      <c r="I468" s="406"/>
      <c r="J468"/>
      <c r="K468"/>
    </row>
    <row r="469" spans="1:11" ht="14.45">
      <c r="A469"/>
      <c r="B469"/>
      <c r="C469"/>
      <c r="D469"/>
      <c r="E469"/>
      <c r="F469"/>
      <c r="G469"/>
      <c r="H469"/>
      <c r="I469" s="406"/>
      <c r="J469"/>
      <c r="K469"/>
    </row>
    <row r="470" spans="1:11" ht="14.45">
      <c r="A470"/>
      <c r="B470"/>
      <c r="C470"/>
      <c r="D470"/>
      <c r="E470"/>
      <c r="F470"/>
      <c r="G470"/>
      <c r="H470"/>
      <c r="I470" s="406"/>
      <c r="J470"/>
      <c r="K470"/>
    </row>
    <row r="471" spans="1:11" ht="14.45">
      <c r="A471"/>
      <c r="B471"/>
      <c r="C471"/>
      <c r="D471"/>
      <c r="E471"/>
      <c r="F471"/>
      <c r="G471"/>
      <c r="H471"/>
      <c r="I471" s="406"/>
      <c r="J471"/>
      <c r="K471"/>
    </row>
    <row r="472" spans="1:11" ht="14.45">
      <c r="A472"/>
      <c r="B472"/>
      <c r="C472"/>
      <c r="D472"/>
      <c r="E472"/>
      <c r="F472"/>
      <c r="G472"/>
      <c r="H472"/>
      <c r="I472" s="406"/>
      <c r="J472"/>
      <c r="K472"/>
    </row>
    <row r="473" spans="1:11" ht="14.45">
      <c r="A473"/>
      <c r="B473"/>
      <c r="C473"/>
      <c r="D473"/>
      <c r="E473"/>
      <c r="F473"/>
      <c r="G473"/>
      <c r="H473"/>
      <c r="I473" s="406"/>
      <c r="J473"/>
      <c r="K473"/>
    </row>
    <row r="474" spans="1:11" ht="14.45">
      <c r="A474"/>
      <c r="B474"/>
      <c r="C474"/>
      <c r="D474"/>
      <c r="E474"/>
      <c r="F474"/>
      <c r="G474"/>
      <c r="H474"/>
      <c r="I474" s="406"/>
      <c r="J474"/>
      <c r="K474"/>
    </row>
    <row r="475" spans="1:11" ht="14.45">
      <c r="A475"/>
      <c r="B475"/>
      <c r="C475"/>
      <c r="D475"/>
      <c r="E475"/>
      <c r="F475"/>
      <c r="G475"/>
      <c r="H475"/>
      <c r="I475" s="406"/>
      <c r="J475"/>
      <c r="K475"/>
    </row>
    <row r="476" spans="1:11" ht="14.45">
      <c r="A476"/>
      <c r="B476"/>
      <c r="C476"/>
      <c r="D476"/>
      <c r="E476"/>
      <c r="F476"/>
      <c r="G476"/>
      <c r="H476"/>
      <c r="I476" s="406"/>
      <c r="J476"/>
      <c r="K476"/>
    </row>
    <row r="477" spans="1:11" ht="14.45">
      <c r="A477"/>
      <c r="B477"/>
      <c r="C477"/>
      <c r="D477"/>
      <c r="E477"/>
      <c r="F477"/>
      <c r="G477"/>
      <c r="H477"/>
      <c r="I477" s="406"/>
      <c r="J477"/>
      <c r="K477"/>
    </row>
    <row r="478" spans="1:11" ht="14.45">
      <c r="A478"/>
      <c r="B478"/>
      <c r="C478"/>
      <c r="D478"/>
      <c r="E478"/>
      <c r="F478"/>
      <c r="G478"/>
      <c r="H478"/>
      <c r="I478" s="406"/>
      <c r="J478"/>
      <c r="K478"/>
    </row>
    <row r="479" spans="1:11" ht="14.45">
      <c r="A479"/>
      <c r="B479"/>
      <c r="C479"/>
      <c r="D479"/>
      <c r="E479"/>
      <c r="F479"/>
      <c r="G479"/>
      <c r="H479"/>
      <c r="I479" s="406"/>
      <c r="J479"/>
      <c r="K479"/>
    </row>
    <row r="480" spans="1:11" ht="14.45">
      <c r="A480"/>
      <c r="B480"/>
      <c r="C480"/>
      <c r="D480"/>
      <c r="E480"/>
      <c r="F480"/>
      <c r="G480"/>
      <c r="H480"/>
      <c r="I480" s="406"/>
      <c r="J480"/>
      <c r="K480"/>
    </row>
    <row r="481" spans="1:11" ht="14.45">
      <c r="A481"/>
      <c r="B481"/>
      <c r="C481"/>
      <c r="D481"/>
      <c r="E481"/>
      <c r="F481"/>
      <c r="G481"/>
      <c r="H481"/>
      <c r="I481" s="406"/>
      <c r="J481"/>
      <c r="K481"/>
    </row>
    <row r="482" spans="1:11" ht="14.45">
      <c r="A482"/>
      <c r="B482"/>
      <c r="C482"/>
      <c r="D482"/>
      <c r="E482"/>
      <c r="F482"/>
      <c r="G482"/>
      <c r="H482"/>
      <c r="I482" s="406"/>
      <c r="J482"/>
      <c r="K482"/>
    </row>
    <row r="483" spans="1:11" ht="14.45">
      <c r="A483"/>
      <c r="B483"/>
      <c r="C483"/>
      <c r="D483"/>
      <c r="E483"/>
      <c r="F483"/>
      <c r="G483"/>
      <c r="H483"/>
      <c r="I483" s="406"/>
      <c r="J483"/>
      <c r="K483"/>
    </row>
    <row r="484" spans="1:11" ht="14.45">
      <c r="A484"/>
      <c r="B484"/>
      <c r="C484"/>
      <c r="D484"/>
      <c r="E484"/>
      <c r="F484"/>
      <c r="G484"/>
      <c r="H484"/>
      <c r="I484" s="406"/>
      <c r="J484"/>
      <c r="K484"/>
    </row>
    <row r="485" spans="1:11" ht="14.45">
      <c r="A485"/>
      <c r="B485"/>
      <c r="C485"/>
      <c r="D485"/>
      <c r="E485"/>
      <c r="F485"/>
      <c r="G485"/>
      <c r="H485"/>
      <c r="I485" s="406"/>
      <c r="J485"/>
      <c r="K485"/>
    </row>
    <row r="486" spans="1:11" ht="14.45">
      <c r="A486"/>
      <c r="B486"/>
      <c r="C486"/>
      <c r="D486"/>
      <c r="E486"/>
      <c r="F486"/>
      <c r="G486"/>
      <c r="H486"/>
      <c r="I486" s="406"/>
      <c r="J486"/>
      <c r="K486"/>
    </row>
    <row r="487" spans="1:11" ht="14.45">
      <c r="A487"/>
      <c r="B487"/>
      <c r="C487"/>
      <c r="D487"/>
      <c r="E487"/>
      <c r="F487"/>
      <c r="G487"/>
      <c r="H487"/>
      <c r="I487" s="406"/>
      <c r="J487"/>
      <c r="K487"/>
    </row>
    <row r="488" spans="1:11" ht="14.45">
      <c r="A488"/>
      <c r="B488"/>
      <c r="C488"/>
      <c r="D488"/>
      <c r="E488"/>
      <c r="F488"/>
      <c r="G488"/>
      <c r="H488"/>
      <c r="I488" s="406"/>
      <c r="J488"/>
      <c r="K488"/>
    </row>
    <row r="489" spans="1:11" ht="14.45">
      <c r="A489"/>
      <c r="B489"/>
      <c r="C489"/>
      <c r="D489"/>
      <c r="E489"/>
      <c r="F489"/>
      <c r="G489"/>
      <c r="H489"/>
      <c r="I489" s="406"/>
      <c r="J489"/>
      <c r="K489"/>
    </row>
    <row r="490" spans="1:11" ht="14.45">
      <c r="A490"/>
      <c r="B490"/>
      <c r="C490"/>
      <c r="D490"/>
      <c r="E490"/>
      <c r="F490"/>
      <c r="G490"/>
      <c r="H490"/>
      <c r="I490" s="406"/>
      <c r="J490"/>
      <c r="K490"/>
    </row>
    <row r="491" spans="1:11" ht="14.45">
      <c r="A491"/>
      <c r="B491"/>
      <c r="C491"/>
      <c r="D491"/>
      <c r="E491"/>
      <c r="F491"/>
      <c r="G491"/>
      <c r="H491"/>
      <c r="I491" s="406"/>
      <c r="J491"/>
      <c r="K491"/>
    </row>
    <row r="492" spans="1:11" ht="14.45">
      <c r="A492"/>
      <c r="B492"/>
      <c r="C492"/>
      <c r="D492"/>
      <c r="E492"/>
      <c r="F492"/>
      <c r="G492"/>
      <c r="H492"/>
      <c r="I492" s="406"/>
      <c r="J492"/>
      <c r="K492"/>
    </row>
    <row r="493" spans="1:11" ht="14.45">
      <c r="A493"/>
      <c r="B493"/>
      <c r="C493"/>
      <c r="D493"/>
      <c r="E493"/>
      <c r="F493"/>
      <c r="G493"/>
      <c r="H493"/>
      <c r="I493" s="406"/>
      <c r="J493"/>
      <c r="K493"/>
    </row>
    <row r="494" spans="1:11" ht="14.45">
      <c r="A494"/>
      <c r="B494"/>
      <c r="C494"/>
      <c r="D494"/>
      <c r="E494"/>
      <c r="F494"/>
      <c r="G494"/>
      <c r="H494"/>
      <c r="I494" s="406"/>
      <c r="J494"/>
      <c r="K494"/>
    </row>
    <row r="495" spans="1:11" ht="14.45">
      <c r="A495"/>
      <c r="B495"/>
      <c r="C495"/>
      <c r="D495"/>
      <c r="E495"/>
      <c r="F495"/>
      <c r="G495"/>
      <c r="H495"/>
      <c r="I495" s="406"/>
      <c r="J495"/>
      <c r="K495"/>
    </row>
    <row r="496" spans="1:11" ht="14.45">
      <c r="A496"/>
      <c r="B496"/>
      <c r="C496"/>
      <c r="D496"/>
      <c r="E496"/>
      <c r="F496"/>
      <c r="G496"/>
      <c r="H496"/>
      <c r="I496" s="406"/>
      <c r="J496"/>
      <c r="K496"/>
    </row>
    <row r="497" spans="1:11" ht="14.45">
      <c r="A497"/>
      <c r="B497"/>
      <c r="C497"/>
      <c r="D497"/>
      <c r="E497"/>
      <c r="F497"/>
      <c r="G497"/>
      <c r="H497"/>
      <c r="I497" s="406"/>
      <c r="J497"/>
      <c r="K497"/>
    </row>
    <row r="498" spans="1:11" ht="14.45">
      <c r="A498"/>
      <c r="B498"/>
      <c r="C498"/>
      <c r="D498"/>
      <c r="E498"/>
      <c r="F498"/>
      <c r="G498"/>
      <c r="H498"/>
      <c r="I498" s="406"/>
      <c r="J498"/>
      <c r="K498"/>
    </row>
    <row r="499" spans="1:11" ht="14.45">
      <c r="A499"/>
      <c r="B499"/>
      <c r="C499"/>
      <c r="D499"/>
      <c r="E499"/>
      <c r="F499"/>
      <c r="G499"/>
      <c r="H499"/>
      <c r="I499" s="406"/>
      <c r="J499"/>
      <c r="K499"/>
    </row>
    <row r="500" spans="1:11" ht="14.45">
      <c r="A500"/>
      <c r="B500"/>
      <c r="C500"/>
      <c r="D500"/>
      <c r="E500"/>
      <c r="F500"/>
      <c r="G500"/>
      <c r="H500"/>
      <c r="I500" s="406"/>
      <c r="J500"/>
      <c r="K500"/>
    </row>
    <row r="501" spans="1:11" ht="14.45">
      <c r="A501"/>
      <c r="B501"/>
      <c r="C501"/>
      <c r="D501"/>
      <c r="E501"/>
      <c r="F501"/>
      <c r="G501"/>
      <c r="H501"/>
      <c r="I501" s="406"/>
      <c r="J501"/>
      <c r="K501"/>
    </row>
    <row r="502" spans="1:11" ht="14.45">
      <c r="A502"/>
      <c r="B502"/>
      <c r="C502"/>
      <c r="D502"/>
      <c r="E502"/>
      <c r="F502"/>
      <c r="G502"/>
      <c r="H502"/>
      <c r="I502" s="406"/>
      <c r="J502"/>
      <c r="K502"/>
    </row>
    <row r="503" spans="1:11" ht="14.45">
      <c r="A503"/>
      <c r="B503"/>
      <c r="C503"/>
      <c r="D503"/>
      <c r="E503"/>
      <c r="F503"/>
      <c r="G503"/>
      <c r="H503"/>
      <c r="I503" s="406"/>
      <c r="J503"/>
      <c r="K503"/>
    </row>
    <row r="504" spans="1:11" ht="14.45">
      <c r="A504"/>
      <c r="B504"/>
      <c r="C504"/>
      <c r="D504"/>
      <c r="E504"/>
      <c r="F504"/>
      <c r="G504"/>
      <c r="H504"/>
      <c r="I504" s="406"/>
      <c r="J504"/>
      <c r="K504"/>
    </row>
    <row r="505" spans="1:11" ht="14.45">
      <c r="A505"/>
      <c r="B505"/>
      <c r="C505"/>
      <c r="D505"/>
      <c r="E505"/>
      <c r="F505"/>
      <c r="G505"/>
      <c r="H505"/>
      <c r="I505" s="406"/>
      <c r="J505"/>
      <c r="K505"/>
    </row>
    <row r="506" spans="1:11" ht="14.45">
      <c r="A506"/>
      <c r="B506"/>
      <c r="C506"/>
      <c r="D506"/>
      <c r="E506"/>
      <c r="F506"/>
      <c r="G506"/>
      <c r="H506"/>
      <c r="I506" s="406"/>
      <c r="J506"/>
      <c r="K506"/>
    </row>
    <row r="507" spans="1:11" ht="14.45">
      <c r="A507"/>
      <c r="B507"/>
      <c r="C507"/>
      <c r="D507"/>
      <c r="E507"/>
      <c r="F507"/>
      <c r="G507"/>
      <c r="H507"/>
      <c r="I507" s="406"/>
      <c r="J507"/>
      <c r="K507"/>
    </row>
    <row r="508" spans="1:11" ht="14.45">
      <c r="A508"/>
      <c r="B508"/>
      <c r="C508"/>
      <c r="D508"/>
      <c r="E508"/>
      <c r="F508"/>
      <c r="G508"/>
      <c r="H508"/>
      <c r="I508" s="406"/>
      <c r="J508"/>
      <c r="K508"/>
    </row>
    <row r="509" spans="1:11" ht="14.45">
      <c r="A509"/>
      <c r="B509"/>
      <c r="C509"/>
      <c r="D509"/>
      <c r="E509"/>
      <c r="F509"/>
      <c r="G509"/>
      <c r="H509"/>
      <c r="I509" s="406"/>
      <c r="J509"/>
      <c r="K509"/>
    </row>
    <row r="510" spans="1:11" ht="14.45">
      <c r="A510"/>
      <c r="B510"/>
      <c r="C510"/>
      <c r="D510"/>
      <c r="E510"/>
      <c r="F510"/>
      <c r="G510"/>
      <c r="H510"/>
      <c r="I510" s="406"/>
      <c r="J510"/>
      <c r="K510"/>
    </row>
    <row r="511" spans="1:11" ht="14.45">
      <c r="A511"/>
      <c r="B511"/>
      <c r="C511"/>
      <c r="D511"/>
      <c r="E511"/>
      <c r="F511"/>
      <c r="G511"/>
      <c r="H511"/>
      <c r="I511" s="406"/>
      <c r="J511"/>
      <c r="K511"/>
    </row>
    <row r="512" spans="1:11" ht="14.45">
      <c r="A512"/>
      <c r="B512"/>
      <c r="C512"/>
      <c r="D512"/>
      <c r="E512"/>
      <c r="F512"/>
      <c r="G512"/>
      <c r="H512"/>
      <c r="I512" s="406"/>
      <c r="J512"/>
      <c r="K512"/>
    </row>
    <row r="513" spans="1:11" ht="14.45">
      <c r="A513"/>
      <c r="B513"/>
      <c r="C513"/>
      <c r="D513"/>
      <c r="E513"/>
      <c r="F513"/>
      <c r="G513"/>
      <c r="H513"/>
      <c r="I513" s="406"/>
      <c r="J513"/>
      <c r="K513"/>
    </row>
    <row r="514" spans="1:11" ht="14.45">
      <c r="A514"/>
      <c r="B514"/>
      <c r="C514"/>
      <c r="D514"/>
      <c r="E514"/>
      <c r="F514"/>
      <c r="G514"/>
      <c r="H514"/>
      <c r="I514" s="406"/>
      <c r="J514"/>
      <c r="K514"/>
    </row>
    <row r="515" spans="1:11" ht="14.45">
      <c r="A515"/>
      <c r="B515"/>
      <c r="C515"/>
      <c r="D515"/>
      <c r="E515"/>
      <c r="F515"/>
      <c r="G515"/>
      <c r="H515"/>
      <c r="I515" s="406"/>
      <c r="J515"/>
      <c r="K515"/>
    </row>
    <row r="516" spans="1:11" ht="14.45">
      <c r="A516"/>
      <c r="B516"/>
      <c r="C516"/>
      <c r="D516"/>
      <c r="E516"/>
      <c r="F516"/>
      <c r="G516"/>
      <c r="H516"/>
      <c r="I516" s="406"/>
      <c r="J516"/>
      <c r="K516"/>
    </row>
    <row r="517" spans="1:11" ht="14.45">
      <c r="A517"/>
      <c r="B517"/>
      <c r="C517"/>
      <c r="D517"/>
      <c r="E517"/>
      <c r="F517"/>
      <c r="G517"/>
      <c r="H517"/>
      <c r="I517" s="406"/>
      <c r="J517"/>
      <c r="K517"/>
    </row>
    <row r="518" spans="1:11" ht="14.45">
      <c r="A518"/>
      <c r="B518"/>
      <c r="C518"/>
      <c r="D518"/>
      <c r="E518"/>
      <c r="F518"/>
      <c r="G518"/>
      <c r="H518"/>
      <c r="I518" s="406"/>
      <c r="J518"/>
      <c r="K518"/>
    </row>
    <row r="519" spans="1:11" ht="14.45">
      <c r="A519"/>
      <c r="B519"/>
      <c r="C519"/>
      <c r="D519"/>
      <c r="E519"/>
      <c r="F519"/>
      <c r="G519"/>
      <c r="H519"/>
      <c r="I519" s="406"/>
      <c r="J519"/>
      <c r="K519"/>
    </row>
    <row r="520" spans="1:11" ht="14.45">
      <c r="A520"/>
      <c r="B520"/>
      <c r="C520"/>
      <c r="D520"/>
      <c r="E520"/>
      <c r="F520"/>
      <c r="G520"/>
      <c r="H520"/>
      <c r="I520" s="406"/>
      <c r="J520"/>
      <c r="K520"/>
    </row>
    <row r="521" spans="1:11" ht="14.45">
      <c r="A521"/>
      <c r="B521"/>
      <c r="C521"/>
      <c r="D521"/>
      <c r="E521"/>
      <c r="F521"/>
      <c r="G521"/>
      <c r="H521"/>
      <c r="I521" s="406"/>
      <c r="J521"/>
      <c r="K521"/>
    </row>
    <row r="522" spans="1:11" ht="14.45">
      <c r="A522"/>
      <c r="B522"/>
      <c r="C522"/>
      <c r="D522"/>
      <c r="E522"/>
      <c r="F522"/>
      <c r="G522"/>
      <c r="H522"/>
      <c r="I522" s="406"/>
      <c r="J522"/>
      <c r="K522"/>
    </row>
    <row r="523" spans="1:11" ht="14.45">
      <c r="A523"/>
      <c r="B523"/>
      <c r="C523"/>
      <c r="D523"/>
      <c r="E523"/>
      <c r="F523"/>
      <c r="G523"/>
      <c r="H523"/>
      <c r="I523" s="406"/>
      <c r="J523"/>
      <c r="K523"/>
    </row>
    <row r="524" spans="1:11" ht="14.45">
      <c r="A524"/>
      <c r="B524"/>
      <c r="C524"/>
      <c r="D524"/>
      <c r="E524"/>
      <c r="F524"/>
      <c r="G524"/>
      <c r="H524"/>
      <c r="I524" s="406"/>
      <c r="J524"/>
      <c r="K524"/>
    </row>
    <row r="525" spans="1:11" ht="14.45">
      <c r="A525"/>
      <c r="B525"/>
      <c r="C525"/>
      <c r="D525"/>
      <c r="E525"/>
      <c r="F525"/>
      <c r="G525"/>
      <c r="H525"/>
      <c r="I525" s="406"/>
      <c r="J525"/>
      <c r="K525"/>
    </row>
    <row r="526" spans="1:11" ht="14.45">
      <c r="A526"/>
      <c r="B526"/>
      <c r="C526"/>
      <c r="D526"/>
      <c r="E526"/>
      <c r="F526"/>
      <c r="G526"/>
      <c r="H526"/>
      <c r="I526" s="406"/>
      <c r="J526"/>
      <c r="K526"/>
    </row>
    <row r="527" spans="1:11" ht="14.45">
      <c r="A527"/>
      <c r="B527"/>
      <c r="C527"/>
      <c r="D527"/>
      <c r="E527"/>
      <c r="F527"/>
      <c r="G527"/>
      <c r="H527"/>
      <c r="I527" s="406"/>
      <c r="J527"/>
      <c r="K527"/>
    </row>
    <row r="528" spans="1:11" ht="14.45">
      <c r="A528"/>
      <c r="B528"/>
      <c r="C528"/>
      <c r="D528"/>
      <c r="E528"/>
      <c r="F528"/>
      <c r="G528"/>
      <c r="H528"/>
      <c r="I528" s="406"/>
      <c r="J528"/>
      <c r="K528"/>
    </row>
    <row r="529" spans="1:11" ht="14.45">
      <c r="A529"/>
      <c r="B529"/>
      <c r="C529"/>
      <c r="D529"/>
      <c r="E529"/>
      <c r="F529"/>
      <c r="G529"/>
      <c r="H529"/>
      <c r="I529" s="406"/>
      <c r="J529"/>
      <c r="K529"/>
    </row>
    <row r="530" spans="1:11" ht="14.45">
      <c r="A530"/>
      <c r="B530"/>
      <c r="C530"/>
      <c r="D530"/>
      <c r="E530"/>
      <c r="F530"/>
      <c r="G530"/>
      <c r="H530"/>
      <c r="I530" s="406"/>
      <c r="J530"/>
      <c r="K530"/>
    </row>
    <row r="531" spans="1:11" ht="14.45">
      <c r="A531"/>
      <c r="B531"/>
      <c r="C531"/>
      <c r="D531"/>
      <c r="E531"/>
      <c r="F531"/>
      <c r="G531"/>
      <c r="H531"/>
      <c r="I531" s="406"/>
      <c r="J531"/>
      <c r="K531"/>
    </row>
    <row r="532" spans="1:11" ht="14.45">
      <c r="A532"/>
      <c r="B532"/>
      <c r="C532"/>
      <c r="D532"/>
      <c r="E532"/>
      <c r="F532"/>
      <c r="G532"/>
      <c r="H532"/>
      <c r="I532" s="406"/>
      <c r="J532"/>
      <c r="K532"/>
    </row>
    <row r="533" spans="1:11" ht="14.45">
      <c r="A533"/>
      <c r="B533"/>
      <c r="C533"/>
      <c r="D533"/>
      <c r="E533"/>
      <c r="F533"/>
      <c r="G533"/>
      <c r="H533"/>
      <c r="I533" s="406"/>
      <c r="J533"/>
      <c r="K533"/>
    </row>
    <row r="534" spans="1:11" ht="14.45">
      <c r="A534"/>
      <c r="B534"/>
      <c r="C534"/>
      <c r="D534"/>
      <c r="E534"/>
      <c r="F534"/>
      <c r="G534"/>
      <c r="H534"/>
      <c r="I534" s="406"/>
      <c r="J534"/>
      <c r="K534"/>
    </row>
    <row r="535" spans="1:11" ht="14.45">
      <c r="A535"/>
      <c r="B535"/>
      <c r="C535"/>
      <c r="D535"/>
      <c r="E535"/>
      <c r="F535"/>
      <c r="G535"/>
      <c r="H535"/>
      <c r="I535" s="406"/>
      <c r="J535"/>
      <c r="K535"/>
    </row>
    <row r="536" spans="1:11" ht="14.45">
      <c r="A536"/>
      <c r="B536"/>
      <c r="C536"/>
      <c r="D536"/>
      <c r="E536"/>
      <c r="F536"/>
      <c r="G536"/>
      <c r="H536"/>
      <c r="I536" s="406"/>
      <c r="J536"/>
      <c r="K536"/>
    </row>
    <row r="537" spans="1:11" ht="14.45">
      <c r="A537"/>
      <c r="B537"/>
      <c r="C537"/>
      <c r="D537"/>
      <c r="E537"/>
      <c r="F537"/>
      <c r="G537"/>
      <c r="H537"/>
      <c r="I537" s="406"/>
      <c r="J537"/>
      <c r="K537"/>
    </row>
    <row r="538" spans="1:11" ht="14.45">
      <c r="A538"/>
      <c r="B538"/>
      <c r="C538"/>
      <c r="D538"/>
      <c r="E538"/>
      <c r="F538"/>
      <c r="G538"/>
      <c r="H538"/>
      <c r="I538" s="406"/>
      <c r="J538"/>
      <c r="K538"/>
    </row>
    <row r="539" spans="1:11" ht="14.45">
      <c r="A539"/>
      <c r="B539"/>
      <c r="C539"/>
      <c r="D539"/>
      <c r="E539"/>
      <c r="F539"/>
      <c r="G539"/>
      <c r="H539"/>
      <c r="I539" s="406"/>
      <c r="J539"/>
      <c r="K539"/>
    </row>
    <row r="540" spans="1:11" ht="14.45">
      <c r="A540"/>
      <c r="B540"/>
      <c r="C540"/>
      <c r="D540"/>
      <c r="E540"/>
      <c r="F540"/>
      <c r="G540"/>
      <c r="H540"/>
      <c r="I540" s="406"/>
      <c r="J540"/>
      <c r="K540"/>
    </row>
    <row r="541" spans="1:11" ht="14.45">
      <c r="A541"/>
      <c r="B541"/>
      <c r="C541"/>
      <c r="D541"/>
      <c r="E541"/>
      <c r="F541"/>
      <c r="G541"/>
      <c r="H541"/>
      <c r="I541" s="406"/>
      <c r="J541"/>
      <c r="K541"/>
    </row>
    <row r="542" spans="1:11" ht="14.45">
      <c r="A542"/>
      <c r="B542"/>
      <c r="C542"/>
      <c r="D542"/>
      <c r="E542"/>
      <c r="F542"/>
      <c r="G542"/>
      <c r="H542"/>
      <c r="I542" s="406"/>
      <c r="J542"/>
      <c r="K542"/>
    </row>
    <row r="543" spans="1:11" ht="14.45">
      <c r="A543"/>
      <c r="B543"/>
      <c r="C543"/>
      <c r="D543"/>
      <c r="E543"/>
      <c r="F543"/>
      <c r="G543"/>
      <c r="H543"/>
      <c r="I543" s="406"/>
      <c r="J543"/>
      <c r="K543"/>
    </row>
    <row r="544" spans="1:11" ht="14.45">
      <c r="A544"/>
      <c r="B544"/>
      <c r="C544"/>
      <c r="D544"/>
      <c r="E544"/>
      <c r="F544"/>
      <c r="G544"/>
      <c r="H544"/>
      <c r="I544" s="406"/>
      <c r="J544"/>
      <c r="K544"/>
    </row>
    <row r="545" spans="1:11" ht="14.45">
      <c r="A545"/>
      <c r="B545"/>
      <c r="C545"/>
      <c r="D545"/>
      <c r="E545"/>
      <c r="F545"/>
      <c r="G545"/>
      <c r="H545"/>
      <c r="I545" s="406"/>
      <c r="J545"/>
      <c r="K545"/>
    </row>
    <row r="546" spans="1:11" ht="14.45">
      <c r="A546"/>
      <c r="B546"/>
      <c r="C546"/>
      <c r="D546"/>
      <c r="E546"/>
      <c r="F546"/>
      <c r="G546"/>
      <c r="H546"/>
      <c r="I546" s="406"/>
      <c r="J546"/>
      <c r="K546"/>
    </row>
    <row r="547" spans="1:11" ht="14.45">
      <c r="A547"/>
      <c r="B547"/>
      <c r="C547"/>
      <c r="D547"/>
      <c r="E547"/>
      <c r="F547"/>
      <c r="G547"/>
      <c r="H547"/>
      <c r="I547" s="406"/>
      <c r="J547"/>
      <c r="K547"/>
    </row>
    <row r="548" spans="1:11" ht="14.45">
      <c r="A548"/>
      <c r="B548"/>
      <c r="C548"/>
      <c r="D548"/>
      <c r="E548"/>
      <c r="F548"/>
      <c r="G548"/>
      <c r="H548"/>
      <c r="I548" s="406"/>
      <c r="J548"/>
      <c r="K548"/>
    </row>
    <row r="549" spans="1:11" ht="14.45">
      <c r="A549"/>
      <c r="B549"/>
      <c r="C549"/>
      <c r="D549"/>
      <c r="E549"/>
      <c r="F549"/>
      <c r="G549"/>
      <c r="H549"/>
      <c r="I549" s="406"/>
      <c r="J549"/>
      <c r="K549"/>
    </row>
    <row r="550" spans="1:11" ht="14.45">
      <c r="A550"/>
      <c r="B550"/>
      <c r="C550"/>
      <c r="D550"/>
      <c r="E550"/>
      <c r="F550"/>
      <c r="G550"/>
      <c r="H550"/>
      <c r="I550" s="406"/>
      <c r="J550"/>
      <c r="K550"/>
    </row>
    <row r="551" spans="1:11" ht="14.45">
      <c r="A551"/>
      <c r="B551"/>
      <c r="C551"/>
      <c r="D551"/>
      <c r="E551"/>
      <c r="F551"/>
      <c r="G551"/>
      <c r="H551"/>
      <c r="I551" s="406"/>
      <c r="J551"/>
      <c r="K551"/>
    </row>
    <row r="552" spans="1:11" ht="14.45">
      <c r="A552"/>
      <c r="B552"/>
      <c r="C552"/>
      <c r="D552"/>
      <c r="E552"/>
      <c r="F552"/>
      <c r="G552"/>
      <c r="H552"/>
      <c r="I552" s="406"/>
      <c r="J552"/>
      <c r="K552"/>
    </row>
    <row r="553" spans="1:11" ht="14.45">
      <c r="A553"/>
      <c r="B553"/>
      <c r="C553"/>
      <c r="D553"/>
      <c r="E553"/>
      <c r="F553"/>
      <c r="G553"/>
      <c r="H553"/>
      <c r="I553" s="406"/>
      <c r="J553"/>
      <c r="K553"/>
    </row>
    <row r="554" spans="1:11" ht="14.45">
      <c r="A554"/>
      <c r="B554"/>
      <c r="C554"/>
      <c r="D554"/>
      <c r="E554"/>
      <c r="F554"/>
      <c r="G554"/>
      <c r="H554"/>
      <c r="I554" s="406"/>
      <c r="J554"/>
      <c r="K554"/>
    </row>
    <row r="555" spans="1:11" ht="14.45">
      <c r="A555"/>
      <c r="B555"/>
      <c r="C555"/>
      <c r="D555"/>
      <c r="E555"/>
      <c r="F555"/>
      <c r="G555"/>
      <c r="H555"/>
      <c r="I555" s="406"/>
      <c r="J555"/>
      <c r="K555"/>
    </row>
    <row r="556" spans="1:11" ht="14.45">
      <c r="A556"/>
      <c r="B556"/>
      <c r="C556"/>
      <c r="D556"/>
      <c r="E556"/>
      <c r="F556"/>
      <c r="G556"/>
      <c r="H556"/>
      <c r="I556" s="406"/>
      <c r="J556"/>
      <c r="K556"/>
    </row>
    <row r="557" spans="1:11" ht="14.45">
      <c r="A557"/>
      <c r="B557"/>
      <c r="C557"/>
      <c r="D557"/>
      <c r="E557"/>
      <c r="F557"/>
      <c r="G557"/>
      <c r="H557"/>
      <c r="I557" s="406"/>
      <c r="J557"/>
      <c r="K557"/>
    </row>
    <row r="558" spans="1:11" ht="14.45">
      <c r="A558"/>
      <c r="B558"/>
      <c r="C558"/>
      <c r="D558"/>
      <c r="E558"/>
      <c r="F558"/>
      <c r="G558"/>
      <c r="H558"/>
      <c r="I558" s="406"/>
      <c r="J558"/>
      <c r="K558"/>
    </row>
    <row r="559" spans="1:11" ht="14.45">
      <c r="A559"/>
      <c r="B559"/>
      <c r="C559"/>
      <c r="D559"/>
      <c r="E559"/>
      <c r="F559"/>
      <c r="G559"/>
      <c r="H559"/>
      <c r="I559" s="406"/>
      <c r="J559"/>
      <c r="K559"/>
    </row>
    <row r="560" spans="1:11" ht="14.45">
      <c r="A560"/>
      <c r="B560"/>
      <c r="C560"/>
      <c r="D560"/>
      <c r="E560"/>
      <c r="F560"/>
      <c r="G560"/>
      <c r="H560"/>
      <c r="I560" s="406"/>
      <c r="J560"/>
      <c r="K560"/>
    </row>
    <row r="561" spans="1:11" ht="14.45">
      <c r="A561"/>
      <c r="B561"/>
      <c r="C561"/>
      <c r="D561"/>
      <c r="E561"/>
      <c r="F561"/>
      <c r="G561"/>
      <c r="H561"/>
      <c r="I561" s="406"/>
      <c r="J561"/>
      <c r="K561"/>
    </row>
    <row r="562" spans="1:11" ht="14.45">
      <c r="A562"/>
      <c r="B562"/>
      <c r="C562"/>
      <c r="D562"/>
      <c r="E562"/>
      <c r="F562"/>
      <c r="G562"/>
      <c r="H562"/>
      <c r="I562" s="406"/>
      <c r="J562"/>
      <c r="K562"/>
    </row>
    <row r="563" spans="1:11" ht="14.45">
      <c r="A563"/>
      <c r="B563"/>
      <c r="C563"/>
      <c r="D563"/>
      <c r="E563"/>
      <c r="F563"/>
      <c r="G563"/>
      <c r="H563"/>
      <c r="I563" s="406"/>
      <c r="J563"/>
      <c r="K563"/>
    </row>
    <row r="564" spans="1:11" ht="14.45">
      <c r="A564"/>
      <c r="B564"/>
      <c r="C564"/>
      <c r="D564"/>
      <c r="E564"/>
      <c r="F564"/>
      <c r="G564"/>
      <c r="H564"/>
      <c r="I564" s="406"/>
      <c r="J564"/>
      <c r="K564"/>
    </row>
    <row r="565" spans="1:11" ht="14.45">
      <c r="A565"/>
      <c r="B565"/>
      <c r="C565"/>
      <c r="D565"/>
      <c r="E565"/>
      <c r="F565"/>
      <c r="G565"/>
      <c r="H565"/>
      <c r="I565" s="406"/>
      <c r="J565"/>
      <c r="K565"/>
    </row>
    <row r="566" spans="1:11" ht="14.45">
      <c r="A566"/>
      <c r="B566"/>
      <c r="C566"/>
      <c r="D566"/>
      <c r="E566"/>
      <c r="F566"/>
      <c r="G566"/>
      <c r="H566"/>
      <c r="I566" s="406"/>
      <c r="J566"/>
      <c r="K566"/>
    </row>
    <row r="567" spans="1:11" ht="14.45">
      <c r="A567"/>
      <c r="B567"/>
      <c r="C567"/>
      <c r="D567"/>
      <c r="E567"/>
      <c r="F567"/>
      <c r="G567"/>
      <c r="H567"/>
      <c r="I567" s="406"/>
      <c r="J567"/>
      <c r="K567"/>
    </row>
    <row r="568" spans="1:11" ht="14.45">
      <c r="A568"/>
      <c r="B568"/>
      <c r="C568"/>
      <c r="D568"/>
      <c r="E568"/>
      <c r="F568"/>
      <c r="G568"/>
      <c r="H568"/>
      <c r="I568" s="406"/>
      <c r="J568"/>
      <c r="K568"/>
    </row>
    <row r="569" spans="1:11" ht="14.45">
      <c r="A569"/>
      <c r="B569"/>
      <c r="C569"/>
      <c r="D569"/>
      <c r="E569"/>
      <c r="F569"/>
      <c r="G569"/>
      <c r="H569"/>
      <c r="I569" s="406"/>
      <c r="J569"/>
      <c r="K569"/>
    </row>
    <row r="570" spans="1:11" ht="14.45">
      <c r="A570"/>
      <c r="B570"/>
      <c r="C570"/>
      <c r="D570"/>
      <c r="E570"/>
      <c r="F570"/>
      <c r="G570"/>
      <c r="H570"/>
      <c r="I570" s="406"/>
      <c r="J570"/>
      <c r="K570"/>
    </row>
    <row r="571" spans="1:11" ht="14.45">
      <c r="A571"/>
      <c r="B571"/>
      <c r="C571"/>
      <c r="D571"/>
      <c r="E571"/>
      <c r="F571"/>
      <c r="G571"/>
      <c r="H571"/>
      <c r="I571" s="406"/>
      <c r="J571"/>
      <c r="K571"/>
    </row>
    <row r="572" spans="1:11" ht="14.45">
      <c r="A572"/>
      <c r="B572"/>
      <c r="C572"/>
      <c r="D572"/>
      <c r="E572"/>
      <c r="F572"/>
      <c r="G572"/>
      <c r="H572"/>
      <c r="I572" s="406"/>
      <c r="J572"/>
      <c r="K572"/>
    </row>
    <row r="573" spans="1:11" ht="14.45">
      <c r="A573"/>
      <c r="B573"/>
      <c r="C573"/>
      <c r="D573"/>
      <c r="E573"/>
      <c r="F573"/>
      <c r="G573"/>
      <c r="H573"/>
      <c r="I573" s="406"/>
      <c r="J573"/>
      <c r="K573"/>
    </row>
    <row r="574" spans="1:11" ht="14.45">
      <c r="A574"/>
      <c r="B574"/>
      <c r="C574"/>
      <c r="D574"/>
      <c r="E574"/>
      <c r="F574"/>
      <c r="G574"/>
      <c r="H574"/>
      <c r="I574" s="406"/>
      <c r="J574"/>
      <c r="K574"/>
    </row>
    <row r="575" spans="1:11" ht="14.45">
      <c r="A575"/>
      <c r="B575"/>
      <c r="C575"/>
      <c r="D575"/>
      <c r="E575"/>
      <c r="F575"/>
      <c r="G575"/>
      <c r="H575"/>
      <c r="I575" s="406"/>
      <c r="J575"/>
      <c r="K575"/>
    </row>
    <row r="576" spans="1:11" ht="14.45">
      <c r="A576"/>
      <c r="B576"/>
      <c r="C576"/>
      <c r="D576"/>
      <c r="E576"/>
      <c r="F576"/>
      <c r="G576"/>
      <c r="H576"/>
      <c r="I576" s="406"/>
      <c r="J576"/>
      <c r="K576"/>
    </row>
    <row r="577" spans="1:11" ht="14.45">
      <c r="A577"/>
      <c r="B577"/>
      <c r="C577"/>
      <c r="D577"/>
      <c r="E577"/>
      <c r="F577"/>
      <c r="G577"/>
      <c r="H577"/>
      <c r="I577" s="406"/>
      <c r="J577"/>
      <c r="K577"/>
    </row>
    <row r="578" spans="1:11" ht="14.45">
      <c r="A578"/>
      <c r="B578"/>
      <c r="C578"/>
      <c r="D578"/>
      <c r="E578"/>
      <c r="F578"/>
      <c r="G578"/>
      <c r="H578"/>
      <c r="I578" s="406"/>
      <c r="J578"/>
      <c r="K578"/>
    </row>
    <row r="579" spans="1:11" ht="14.45">
      <c r="A579"/>
      <c r="B579"/>
      <c r="C579"/>
      <c r="D579"/>
      <c r="E579"/>
      <c r="F579"/>
      <c r="G579"/>
      <c r="H579"/>
      <c r="I579" s="406"/>
      <c r="J579"/>
      <c r="K579"/>
    </row>
    <row r="580" spans="1:11" ht="14.45">
      <c r="A580"/>
      <c r="B580"/>
      <c r="C580"/>
      <c r="D580"/>
      <c r="E580"/>
      <c r="F580"/>
      <c r="G580"/>
      <c r="H580"/>
      <c r="I580" s="406"/>
      <c r="J580"/>
      <c r="K580"/>
    </row>
    <row r="581" spans="1:11" ht="14.45">
      <c r="A581"/>
      <c r="B581"/>
      <c r="C581"/>
      <c r="D581"/>
      <c r="E581"/>
      <c r="F581"/>
      <c r="G581"/>
      <c r="H581"/>
      <c r="I581" s="406"/>
      <c r="J581"/>
      <c r="K581"/>
    </row>
    <row r="582" spans="1:11" ht="14.45">
      <c r="A582"/>
      <c r="B582"/>
      <c r="C582"/>
      <c r="D582"/>
      <c r="E582"/>
      <c r="F582"/>
      <c r="G582"/>
      <c r="H582"/>
      <c r="I582" s="406"/>
      <c r="J582"/>
      <c r="K582"/>
    </row>
    <row r="583" spans="1:11" ht="14.45">
      <c r="A583"/>
      <c r="B583"/>
      <c r="C583"/>
      <c r="D583"/>
      <c r="E583"/>
      <c r="F583"/>
      <c r="G583"/>
      <c r="H583"/>
      <c r="I583" s="406"/>
      <c r="J583"/>
      <c r="K583"/>
    </row>
    <row r="584" spans="1:11" ht="14.45">
      <c r="A584"/>
      <c r="B584"/>
      <c r="C584"/>
      <c r="D584"/>
      <c r="E584"/>
      <c r="F584"/>
      <c r="G584"/>
      <c r="H584"/>
      <c r="I584" s="406"/>
      <c r="J584"/>
      <c r="K584"/>
    </row>
    <row r="585" spans="1:11" ht="14.45">
      <c r="A585"/>
      <c r="B585"/>
      <c r="C585"/>
      <c r="D585"/>
      <c r="E585"/>
      <c r="F585"/>
      <c r="G585"/>
      <c r="H585"/>
      <c r="I585" s="406"/>
      <c r="J585"/>
      <c r="K585"/>
    </row>
    <row r="586" spans="1:11" ht="14.45">
      <c r="A586"/>
      <c r="B586"/>
      <c r="C586"/>
      <c r="D586"/>
      <c r="E586"/>
      <c r="F586"/>
      <c r="G586"/>
      <c r="H586"/>
      <c r="I586" s="406"/>
      <c r="J586"/>
      <c r="K586"/>
    </row>
    <row r="587" spans="1:11" ht="14.45">
      <c r="A587"/>
      <c r="B587"/>
      <c r="C587"/>
      <c r="D587"/>
      <c r="E587"/>
      <c r="F587"/>
      <c r="G587"/>
      <c r="H587"/>
      <c r="I587" s="406"/>
      <c r="J587"/>
      <c r="K587"/>
    </row>
    <row r="588" spans="1:11" ht="14.45">
      <c r="A588"/>
      <c r="B588"/>
      <c r="C588"/>
      <c r="D588"/>
      <c r="E588"/>
      <c r="F588"/>
      <c r="G588"/>
      <c r="H588"/>
      <c r="I588" s="406"/>
      <c r="J588"/>
      <c r="K588"/>
    </row>
    <row r="589" spans="1:11" ht="14.45">
      <c r="A589"/>
      <c r="B589"/>
      <c r="C589"/>
      <c r="D589"/>
      <c r="E589"/>
      <c r="F589"/>
      <c r="G589"/>
      <c r="H589"/>
      <c r="I589" s="406"/>
      <c r="J589"/>
      <c r="K589"/>
    </row>
    <row r="590" spans="1:11" ht="14.45">
      <c r="A590"/>
      <c r="B590"/>
      <c r="C590"/>
      <c r="D590"/>
      <c r="E590"/>
      <c r="F590"/>
      <c r="G590"/>
      <c r="H590"/>
      <c r="I590" s="406"/>
      <c r="J590"/>
      <c r="K590"/>
    </row>
    <row r="591" spans="1:11" ht="14.45">
      <c r="A591"/>
      <c r="B591"/>
      <c r="C591"/>
      <c r="D591"/>
      <c r="E591"/>
      <c r="F591"/>
      <c r="G591"/>
      <c r="H591"/>
      <c r="I591" s="406"/>
      <c r="J591"/>
      <c r="K591"/>
    </row>
    <row r="592" spans="1:11" ht="14.45">
      <c r="A592"/>
      <c r="B592"/>
      <c r="C592"/>
      <c r="D592"/>
      <c r="E592"/>
      <c r="F592"/>
      <c r="G592"/>
      <c r="H592"/>
      <c r="I592" s="406"/>
      <c r="J592"/>
      <c r="K592"/>
    </row>
    <row r="593" spans="1:11" ht="14.45">
      <c r="A593"/>
      <c r="B593"/>
      <c r="C593"/>
      <c r="D593"/>
      <c r="E593"/>
      <c r="F593"/>
      <c r="G593"/>
      <c r="H593"/>
      <c r="I593" s="406"/>
      <c r="J593"/>
      <c r="K593"/>
    </row>
    <row r="594" spans="1:11" ht="14.45">
      <c r="A594"/>
      <c r="B594"/>
      <c r="C594"/>
      <c r="D594"/>
      <c r="E594"/>
      <c r="F594"/>
      <c r="G594"/>
      <c r="H594"/>
      <c r="I594" s="406"/>
      <c r="J594"/>
      <c r="K594"/>
    </row>
    <row r="595" spans="1:11" ht="14.45">
      <c r="A595"/>
      <c r="B595"/>
      <c r="C595"/>
      <c r="D595"/>
      <c r="E595"/>
      <c r="F595"/>
      <c r="G595"/>
      <c r="H595"/>
      <c r="I595" s="406"/>
      <c r="J595"/>
      <c r="K595"/>
    </row>
    <row r="596" spans="1:11" ht="14.45">
      <c r="A596"/>
      <c r="B596"/>
      <c r="C596"/>
      <c r="D596"/>
      <c r="E596"/>
      <c r="F596"/>
      <c r="G596"/>
      <c r="H596"/>
      <c r="I596" s="406"/>
      <c r="J596"/>
      <c r="K596"/>
    </row>
    <row r="597" spans="1:11" ht="14.45">
      <c r="A597"/>
      <c r="B597"/>
      <c r="C597"/>
      <c r="D597"/>
      <c r="E597"/>
      <c r="F597"/>
      <c r="G597"/>
      <c r="H597"/>
      <c r="I597" s="406"/>
      <c r="J597"/>
      <c r="K597"/>
    </row>
    <row r="598" spans="1:11" ht="14.45">
      <c r="A598"/>
      <c r="B598"/>
      <c r="C598"/>
      <c r="D598"/>
      <c r="E598"/>
      <c r="F598"/>
      <c r="G598"/>
      <c r="H598"/>
      <c r="I598" s="406"/>
      <c r="J598"/>
      <c r="K598"/>
    </row>
    <row r="599" spans="1:11" ht="14.45">
      <c r="A599"/>
      <c r="B599"/>
      <c r="C599"/>
      <c r="D599"/>
      <c r="E599"/>
      <c r="F599"/>
      <c r="G599"/>
      <c r="H599"/>
      <c r="I599" s="406"/>
      <c r="J599"/>
      <c r="K599"/>
    </row>
    <row r="600" spans="1:11" ht="14.45">
      <c r="A600"/>
      <c r="B600"/>
      <c r="C600"/>
      <c r="D600"/>
      <c r="E600"/>
      <c r="F600"/>
      <c r="G600"/>
      <c r="H600"/>
      <c r="I600" s="406"/>
      <c r="J600"/>
      <c r="K600"/>
    </row>
    <row r="601" spans="1:11" ht="14.45">
      <c r="A601"/>
      <c r="B601"/>
      <c r="C601"/>
      <c r="D601"/>
      <c r="E601"/>
      <c r="F601"/>
      <c r="G601"/>
      <c r="H601"/>
      <c r="I601" s="406"/>
      <c r="J601"/>
      <c r="K601"/>
    </row>
    <row r="602" spans="1:11" ht="14.45">
      <c r="A602"/>
      <c r="B602"/>
      <c r="C602"/>
      <c r="D602"/>
      <c r="E602"/>
      <c r="F602"/>
      <c r="G602"/>
      <c r="H602"/>
      <c r="I602" s="406"/>
      <c r="J602"/>
      <c r="K602"/>
    </row>
    <row r="603" spans="1:11" ht="14.45">
      <c r="A603"/>
      <c r="B603"/>
      <c r="C603"/>
      <c r="D603"/>
      <c r="E603"/>
      <c r="F603"/>
      <c r="G603"/>
      <c r="H603"/>
      <c r="I603" s="406"/>
      <c r="J603"/>
      <c r="K603"/>
    </row>
    <row r="604" spans="1:11" ht="14.45">
      <c r="A604"/>
      <c r="B604"/>
      <c r="C604"/>
      <c r="D604"/>
      <c r="E604"/>
      <c r="F604"/>
      <c r="G604"/>
      <c r="H604"/>
      <c r="I604" s="406"/>
      <c r="J604"/>
      <c r="K604"/>
    </row>
    <row r="605" spans="1:11" ht="14.45">
      <c r="A605"/>
      <c r="B605"/>
      <c r="C605"/>
      <c r="D605"/>
      <c r="E605"/>
      <c r="F605"/>
      <c r="G605"/>
      <c r="H605"/>
      <c r="I605" s="406"/>
      <c r="J605"/>
      <c r="K605"/>
    </row>
    <row r="606" spans="1:11" ht="14.45">
      <c r="A606"/>
      <c r="B606"/>
      <c r="C606"/>
      <c r="D606"/>
      <c r="E606"/>
      <c r="F606"/>
      <c r="G606"/>
      <c r="H606"/>
      <c r="I606" s="406"/>
      <c r="J606"/>
      <c r="K606"/>
    </row>
    <row r="607" spans="1:11" ht="14.45">
      <c r="A607"/>
      <c r="B607"/>
      <c r="C607"/>
      <c r="D607"/>
      <c r="E607"/>
      <c r="F607"/>
      <c r="G607"/>
      <c r="H607"/>
      <c r="I607" s="406"/>
      <c r="J607"/>
      <c r="K607"/>
    </row>
    <row r="608" spans="1:11" ht="14.45">
      <c r="A608"/>
      <c r="B608"/>
      <c r="C608"/>
      <c r="D608"/>
      <c r="E608"/>
      <c r="F608"/>
      <c r="G608"/>
      <c r="H608"/>
      <c r="I608" s="406"/>
      <c r="J608"/>
      <c r="K608"/>
    </row>
    <row r="609" spans="1:11" ht="14.45">
      <c r="A609"/>
      <c r="B609"/>
      <c r="C609"/>
      <c r="D609"/>
      <c r="E609"/>
      <c r="F609"/>
      <c r="G609"/>
      <c r="H609"/>
      <c r="I609" s="406"/>
      <c r="J609"/>
      <c r="K609"/>
    </row>
    <row r="610" spans="1:11" ht="14.45">
      <c r="A610"/>
      <c r="B610"/>
      <c r="C610"/>
      <c r="D610"/>
      <c r="E610"/>
      <c r="F610"/>
      <c r="G610"/>
      <c r="H610"/>
      <c r="I610" s="406"/>
      <c r="J610"/>
      <c r="K610"/>
    </row>
    <row r="611" spans="1:11" ht="14.45">
      <c r="A611"/>
      <c r="B611"/>
      <c r="C611"/>
      <c r="D611"/>
      <c r="E611"/>
      <c r="F611"/>
      <c r="G611"/>
      <c r="H611"/>
      <c r="I611" s="406"/>
      <c r="J611"/>
      <c r="K611"/>
    </row>
    <row r="612" spans="1:11" ht="14.45">
      <c r="A612"/>
      <c r="B612"/>
      <c r="C612"/>
      <c r="D612"/>
      <c r="E612"/>
      <c r="F612"/>
      <c r="G612"/>
      <c r="H612"/>
      <c r="I612" s="406"/>
      <c r="J612"/>
      <c r="K612"/>
    </row>
    <row r="613" spans="1:11" ht="14.45">
      <c r="A613"/>
      <c r="B613"/>
      <c r="C613"/>
      <c r="D613"/>
      <c r="E613"/>
      <c r="F613"/>
      <c r="G613"/>
      <c r="H613"/>
      <c r="I613" s="406"/>
      <c r="J613"/>
      <c r="K613"/>
    </row>
    <row r="614" spans="1:11" ht="14.45">
      <c r="A614"/>
      <c r="B614"/>
      <c r="C614"/>
      <c r="D614"/>
      <c r="E614"/>
      <c r="F614"/>
      <c r="G614"/>
      <c r="H614"/>
      <c r="I614" s="406"/>
      <c r="J614"/>
      <c r="K614"/>
    </row>
    <row r="615" spans="1:11" ht="14.45">
      <c r="A615"/>
      <c r="B615"/>
      <c r="C615"/>
      <c r="D615"/>
      <c r="E615"/>
      <c r="F615"/>
      <c r="G615"/>
      <c r="H615"/>
      <c r="I615" s="406"/>
      <c r="J615"/>
      <c r="K615"/>
    </row>
    <row r="616" spans="1:11" ht="14.45">
      <c r="A616"/>
      <c r="B616"/>
      <c r="C616"/>
      <c r="D616"/>
      <c r="E616"/>
      <c r="F616"/>
      <c r="G616"/>
      <c r="H616"/>
      <c r="I616" s="406"/>
      <c r="J616"/>
      <c r="K616"/>
    </row>
    <row r="617" spans="1:11" ht="14.45">
      <c r="A617"/>
      <c r="B617"/>
      <c r="C617"/>
      <c r="D617"/>
      <c r="E617"/>
      <c r="F617"/>
      <c r="G617"/>
      <c r="H617"/>
      <c r="I617" s="406"/>
      <c r="J617"/>
      <c r="K617"/>
    </row>
    <row r="618" spans="1:11" ht="14.45">
      <c r="A618"/>
      <c r="B618"/>
      <c r="C618"/>
      <c r="D618"/>
      <c r="E618"/>
      <c r="F618"/>
      <c r="G618"/>
      <c r="H618"/>
      <c r="I618" s="406"/>
      <c r="J618"/>
      <c r="K618"/>
    </row>
    <row r="619" spans="1:11" ht="14.45">
      <c r="A619"/>
      <c r="B619"/>
      <c r="C619"/>
      <c r="D619"/>
      <c r="E619"/>
      <c r="F619"/>
      <c r="G619"/>
      <c r="H619"/>
      <c r="I619" s="406"/>
      <c r="J619"/>
      <c r="K619"/>
    </row>
    <row r="620" spans="1:11" ht="14.45">
      <c r="A620"/>
      <c r="B620"/>
      <c r="C620"/>
      <c r="D620"/>
      <c r="E620"/>
      <c r="F620"/>
      <c r="G620"/>
      <c r="H620"/>
      <c r="I620" s="406"/>
      <c r="J620"/>
      <c r="K620"/>
    </row>
    <row r="621" spans="1:11" ht="14.45">
      <c r="A621"/>
      <c r="B621"/>
      <c r="C621"/>
      <c r="D621"/>
      <c r="E621"/>
      <c r="F621"/>
      <c r="G621"/>
      <c r="H621"/>
      <c r="I621" s="406"/>
      <c r="J621"/>
      <c r="K621"/>
    </row>
    <row r="622" spans="1:11" ht="14.45">
      <c r="A622"/>
      <c r="B622"/>
      <c r="C622"/>
      <c r="D622"/>
      <c r="E622"/>
      <c r="F622"/>
      <c r="G622"/>
      <c r="H622"/>
      <c r="I622" s="406"/>
      <c r="J622"/>
      <c r="K622"/>
    </row>
    <row r="623" spans="1:11" ht="14.45">
      <c r="A623"/>
      <c r="B623"/>
      <c r="C623"/>
      <c r="D623"/>
      <c r="E623"/>
      <c r="F623"/>
      <c r="G623"/>
      <c r="H623"/>
      <c r="I623" s="406"/>
      <c r="J623"/>
      <c r="K623"/>
    </row>
    <row r="624" spans="1:11" ht="14.45">
      <c r="A624"/>
      <c r="B624"/>
      <c r="C624"/>
      <c r="D624"/>
      <c r="E624"/>
      <c r="F624"/>
      <c r="G624"/>
      <c r="H624"/>
      <c r="I624" s="406"/>
      <c r="J624"/>
      <c r="K624"/>
    </row>
    <row r="625" spans="1:11" ht="14.45">
      <c r="A625"/>
      <c r="B625"/>
      <c r="C625"/>
      <c r="D625"/>
      <c r="E625"/>
      <c r="F625"/>
      <c r="G625"/>
      <c r="H625"/>
      <c r="I625" s="406"/>
      <c r="J625"/>
      <c r="K625"/>
    </row>
    <row r="626" spans="1:11" ht="14.45">
      <c r="A626"/>
      <c r="B626"/>
      <c r="C626"/>
      <c r="D626"/>
      <c r="E626"/>
      <c r="F626"/>
      <c r="G626"/>
      <c r="H626"/>
      <c r="I626" s="406"/>
      <c r="J626"/>
      <c r="K626"/>
    </row>
    <row r="627" spans="1:11" ht="14.45">
      <c r="A627"/>
      <c r="B627"/>
      <c r="C627"/>
      <c r="D627"/>
      <c r="E627"/>
      <c r="F627"/>
      <c r="G627"/>
      <c r="H627"/>
      <c r="I627" s="406"/>
      <c r="J627"/>
      <c r="K627"/>
    </row>
    <row r="628" spans="1:11" ht="14.45">
      <c r="A628"/>
      <c r="B628"/>
      <c r="C628"/>
      <c r="D628"/>
      <c r="E628"/>
      <c r="F628"/>
      <c r="G628"/>
      <c r="H628"/>
      <c r="I628" s="406"/>
      <c r="J628"/>
      <c r="K628"/>
    </row>
    <row r="629" spans="1:11" ht="14.45">
      <c r="A629"/>
      <c r="B629"/>
      <c r="C629"/>
      <c r="D629"/>
      <c r="E629"/>
      <c r="F629"/>
      <c r="G629"/>
      <c r="H629"/>
      <c r="I629" s="406"/>
      <c r="J629"/>
      <c r="K629"/>
    </row>
    <row r="630" spans="1:11" ht="14.45">
      <c r="A630"/>
      <c r="B630"/>
      <c r="C630"/>
      <c r="D630"/>
      <c r="E630"/>
      <c r="F630"/>
      <c r="G630"/>
      <c r="H630"/>
      <c r="I630" s="406"/>
      <c r="J630"/>
      <c r="K630"/>
    </row>
    <row r="631" spans="1:11" ht="14.45">
      <c r="A631"/>
      <c r="B631"/>
      <c r="C631"/>
      <c r="D631"/>
      <c r="E631"/>
      <c r="F631"/>
      <c r="G631"/>
      <c r="H631"/>
      <c r="I631" s="406"/>
      <c r="J631"/>
      <c r="K631"/>
    </row>
    <row r="632" spans="1:11" ht="14.45">
      <c r="A632"/>
      <c r="B632"/>
      <c r="C632"/>
      <c r="D632"/>
      <c r="E632"/>
      <c r="F632"/>
      <c r="G632"/>
      <c r="H632"/>
      <c r="I632" s="406"/>
      <c r="J632"/>
      <c r="K632"/>
    </row>
    <row r="633" spans="1:11" ht="14.45">
      <c r="A633"/>
      <c r="B633"/>
      <c r="C633"/>
      <c r="D633"/>
      <c r="E633"/>
      <c r="F633"/>
      <c r="G633"/>
      <c r="H633"/>
      <c r="I633" s="406"/>
      <c r="J633"/>
      <c r="K633"/>
    </row>
    <row r="634" spans="1:11" ht="14.45">
      <c r="A634"/>
      <c r="B634"/>
      <c r="C634"/>
      <c r="D634"/>
      <c r="E634"/>
      <c r="F634"/>
      <c r="G634"/>
      <c r="H634"/>
      <c r="I634" s="406"/>
      <c r="J634"/>
      <c r="K634"/>
    </row>
    <row r="635" spans="1:11" ht="14.45">
      <c r="A635"/>
      <c r="B635"/>
      <c r="C635"/>
      <c r="D635"/>
      <c r="E635"/>
      <c r="F635"/>
      <c r="G635"/>
      <c r="H635"/>
      <c r="I635" s="406"/>
      <c r="J635"/>
      <c r="K635"/>
    </row>
    <row r="636" spans="1:11" ht="14.45">
      <c r="A636"/>
      <c r="B636"/>
      <c r="C636"/>
      <c r="D636"/>
      <c r="E636"/>
      <c r="F636"/>
      <c r="G636"/>
      <c r="H636"/>
      <c r="I636" s="406"/>
      <c r="J636"/>
      <c r="K636"/>
    </row>
    <row r="637" spans="1:11" ht="14.45">
      <c r="A637"/>
      <c r="B637"/>
      <c r="C637"/>
      <c r="D637"/>
      <c r="E637"/>
      <c r="F637"/>
      <c r="G637"/>
      <c r="H637"/>
      <c r="I637" s="406"/>
      <c r="J637"/>
      <c r="K637"/>
    </row>
    <row r="638" spans="1:11" ht="14.45">
      <c r="A638"/>
      <c r="B638"/>
      <c r="C638"/>
      <c r="D638"/>
      <c r="E638"/>
      <c r="F638"/>
      <c r="G638"/>
      <c r="H638"/>
      <c r="I638" s="406"/>
      <c r="J638"/>
      <c r="K638"/>
    </row>
    <row r="639" spans="1:11" ht="14.45">
      <c r="A639"/>
      <c r="B639"/>
      <c r="C639"/>
      <c r="D639"/>
      <c r="E639"/>
      <c r="F639"/>
      <c r="G639"/>
      <c r="H639"/>
      <c r="I639" s="406"/>
      <c r="J639"/>
      <c r="K639"/>
    </row>
    <row r="640" spans="1:11" ht="14.45">
      <c r="A640"/>
      <c r="B640"/>
      <c r="C640"/>
      <c r="D640"/>
      <c r="E640"/>
      <c r="F640"/>
      <c r="G640"/>
      <c r="H640"/>
      <c r="I640" s="406"/>
      <c r="J640"/>
      <c r="K640"/>
    </row>
    <row r="641" spans="1:11" ht="14.45">
      <c r="A641"/>
      <c r="B641"/>
      <c r="C641"/>
      <c r="D641"/>
      <c r="E641"/>
      <c r="F641"/>
      <c r="G641"/>
      <c r="H641"/>
      <c r="I641" s="406"/>
      <c r="J641"/>
      <c r="K641"/>
    </row>
    <row r="642" spans="1:11" ht="14.45">
      <c r="A642"/>
      <c r="B642"/>
      <c r="C642"/>
      <c r="D642"/>
      <c r="E642"/>
      <c r="F642"/>
      <c r="G642"/>
      <c r="H642"/>
      <c r="I642" s="406"/>
      <c r="J642"/>
      <c r="K642"/>
    </row>
    <row r="643" spans="1:11" ht="14.45">
      <c r="A643"/>
      <c r="B643"/>
      <c r="C643"/>
      <c r="D643"/>
      <c r="E643"/>
      <c r="F643"/>
      <c r="G643"/>
      <c r="H643"/>
      <c r="I643" s="406"/>
      <c r="J643"/>
      <c r="K643"/>
    </row>
    <row r="644" spans="1:11" ht="14.45">
      <c r="A644"/>
      <c r="B644"/>
      <c r="C644"/>
      <c r="D644"/>
      <c r="E644"/>
      <c r="F644"/>
      <c r="G644"/>
      <c r="H644"/>
      <c r="I644" s="406"/>
      <c r="J644"/>
      <c r="K644"/>
    </row>
    <row r="645" spans="1:11" ht="14.45">
      <c r="A645"/>
      <c r="B645"/>
      <c r="C645"/>
      <c r="D645"/>
      <c r="E645"/>
      <c r="F645"/>
      <c r="G645"/>
      <c r="H645"/>
      <c r="I645" s="406"/>
      <c r="J645"/>
      <c r="K645"/>
    </row>
    <row r="646" spans="1:11" ht="14.45">
      <c r="A646"/>
      <c r="B646"/>
      <c r="C646"/>
      <c r="D646"/>
      <c r="E646"/>
      <c r="F646"/>
      <c r="G646"/>
      <c r="H646"/>
      <c r="I646" s="406"/>
      <c r="J646"/>
      <c r="K646"/>
    </row>
    <row r="647" spans="1:11" ht="14.45">
      <c r="A647"/>
      <c r="B647"/>
      <c r="C647"/>
      <c r="D647"/>
      <c r="E647"/>
      <c r="F647"/>
      <c r="G647"/>
      <c r="H647"/>
      <c r="I647" s="406"/>
      <c r="J647"/>
      <c r="K647"/>
    </row>
    <row r="648" spans="1:11" ht="14.45">
      <c r="A648"/>
      <c r="B648"/>
      <c r="C648"/>
      <c r="D648"/>
      <c r="E648"/>
      <c r="F648"/>
      <c r="G648"/>
      <c r="H648"/>
      <c r="I648" s="406"/>
      <c r="J648"/>
      <c r="K648"/>
    </row>
    <row r="649" spans="1:11" ht="14.45">
      <c r="A649"/>
      <c r="B649"/>
      <c r="C649"/>
      <c r="D649"/>
      <c r="E649"/>
      <c r="F649"/>
      <c r="G649"/>
      <c r="H649"/>
      <c r="I649" s="406"/>
      <c r="J649"/>
      <c r="K649"/>
    </row>
    <row r="650" spans="1:11" ht="14.45">
      <c r="A650"/>
      <c r="B650"/>
      <c r="C650"/>
      <c r="D650"/>
      <c r="E650"/>
      <c r="F650"/>
      <c r="G650"/>
      <c r="H650"/>
      <c r="I650" s="406"/>
      <c r="J650"/>
      <c r="K650"/>
    </row>
    <row r="651" spans="1:11" ht="14.45">
      <c r="A651"/>
      <c r="B651"/>
      <c r="C651"/>
      <c r="D651"/>
      <c r="E651"/>
      <c r="F651"/>
      <c r="G651"/>
      <c r="H651"/>
      <c r="I651" s="406"/>
      <c r="J651"/>
      <c r="K651"/>
    </row>
    <row r="652" spans="1:11" ht="14.45">
      <c r="A652"/>
      <c r="B652"/>
      <c r="C652"/>
      <c r="D652"/>
      <c r="E652"/>
      <c r="F652"/>
      <c r="G652"/>
      <c r="H652"/>
      <c r="I652" s="406"/>
      <c r="J652"/>
      <c r="K652"/>
    </row>
    <row r="653" spans="1:11" ht="14.45">
      <c r="A653"/>
      <c r="B653"/>
      <c r="C653"/>
      <c r="D653"/>
      <c r="E653"/>
      <c r="F653"/>
      <c r="G653"/>
      <c r="H653"/>
      <c r="I653" s="406"/>
      <c r="J653"/>
      <c r="K653"/>
    </row>
    <row r="654" spans="1:11" ht="14.45">
      <c r="A654"/>
      <c r="B654"/>
      <c r="C654"/>
      <c r="D654"/>
      <c r="E654"/>
      <c r="F654"/>
      <c r="G654"/>
      <c r="H654"/>
      <c r="I654" s="406"/>
      <c r="J654"/>
      <c r="K654"/>
    </row>
    <row r="655" spans="1:11" ht="14.45">
      <c r="A655"/>
      <c r="B655"/>
      <c r="C655"/>
      <c r="D655"/>
      <c r="E655"/>
      <c r="F655"/>
      <c r="G655"/>
      <c r="H655"/>
      <c r="I655" s="406"/>
      <c r="J655"/>
      <c r="K655"/>
    </row>
    <row r="656" spans="1:11" ht="14.45">
      <c r="A656"/>
      <c r="B656"/>
      <c r="C656"/>
      <c r="D656"/>
      <c r="E656"/>
      <c r="F656"/>
      <c r="G656"/>
      <c r="H656"/>
      <c r="I656" s="406"/>
      <c r="J656"/>
      <c r="K656"/>
    </row>
    <row r="657" spans="1:11" ht="14.45">
      <c r="A657"/>
      <c r="B657"/>
      <c r="C657"/>
      <c r="D657"/>
      <c r="E657"/>
      <c r="F657"/>
      <c r="G657"/>
      <c r="H657"/>
      <c r="I657" s="406"/>
      <c r="J657"/>
      <c r="K657"/>
    </row>
    <row r="658" spans="1:11" ht="14.45">
      <c r="A658"/>
      <c r="B658"/>
      <c r="C658"/>
      <c r="D658"/>
      <c r="E658"/>
      <c r="F658"/>
      <c r="G658"/>
      <c r="H658"/>
      <c r="I658" s="406"/>
      <c r="J658"/>
      <c r="K658"/>
    </row>
    <row r="659" spans="1:11" ht="14.45">
      <c r="A659"/>
      <c r="B659"/>
      <c r="C659"/>
      <c r="D659"/>
      <c r="E659"/>
      <c r="F659"/>
      <c r="G659"/>
      <c r="H659"/>
      <c r="I659" s="406"/>
      <c r="J659"/>
      <c r="K659"/>
    </row>
    <row r="660" spans="1:11" ht="14.45">
      <c r="A660"/>
      <c r="B660"/>
      <c r="C660"/>
      <c r="D660"/>
      <c r="E660"/>
      <c r="F660"/>
      <c r="G660"/>
      <c r="H660"/>
      <c r="I660" s="406"/>
      <c r="J660"/>
      <c r="K660"/>
    </row>
    <row r="661" spans="1:11" ht="14.45">
      <c r="A661"/>
      <c r="B661"/>
      <c r="C661"/>
      <c r="D661"/>
      <c r="E661"/>
      <c r="F661"/>
      <c r="G661"/>
      <c r="H661"/>
      <c r="I661" s="406"/>
      <c r="J661"/>
      <c r="K661"/>
    </row>
    <row r="662" spans="1:11" ht="14.45">
      <c r="A662"/>
      <c r="B662"/>
      <c r="C662"/>
      <c r="D662"/>
      <c r="E662"/>
      <c r="F662"/>
      <c r="G662"/>
      <c r="H662"/>
      <c r="I662" s="406"/>
      <c r="J662"/>
      <c r="K662"/>
    </row>
    <row r="663" spans="1:11" ht="14.45">
      <c r="A663"/>
      <c r="B663"/>
      <c r="C663"/>
      <c r="D663"/>
      <c r="E663"/>
      <c r="F663"/>
      <c r="G663"/>
      <c r="H663"/>
      <c r="I663" s="406"/>
      <c r="J663"/>
      <c r="K663"/>
    </row>
    <row r="664" spans="1:11" ht="14.45">
      <c r="A664"/>
      <c r="B664"/>
      <c r="C664"/>
      <c r="D664"/>
      <c r="E664"/>
      <c r="F664"/>
      <c r="G664"/>
      <c r="H664"/>
      <c r="I664" s="406"/>
      <c r="J664"/>
      <c r="K664"/>
    </row>
    <row r="665" spans="1:11" ht="14.45">
      <c r="A665"/>
      <c r="B665"/>
      <c r="C665"/>
      <c r="D665"/>
      <c r="E665"/>
      <c r="F665"/>
      <c r="G665"/>
      <c r="H665"/>
      <c r="I665" s="406"/>
      <c r="J665"/>
      <c r="K665"/>
    </row>
    <row r="666" spans="1:11" ht="14.45">
      <c r="A666"/>
      <c r="B666"/>
      <c r="C666"/>
      <c r="D666"/>
      <c r="E666"/>
      <c r="F666"/>
      <c r="G666"/>
      <c r="H666"/>
      <c r="I666" s="406"/>
      <c r="J666"/>
      <c r="K666"/>
    </row>
    <row r="667" spans="1:11" ht="14.45">
      <c r="A667"/>
      <c r="B667"/>
      <c r="C667"/>
      <c r="D667"/>
      <c r="E667"/>
      <c r="F667"/>
      <c r="G667"/>
      <c r="H667"/>
      <c r="I667" s="406"/>
      <c r="J667"/>
      <c r="K667"/>
    </row>
    <row r="668" spans="1:11" ht="14.45">
      <c r="A668"/>
      <c r="B668"/>
      <c r="C668"/>
      <c r="D668"/>
      <c r="E668"/>
      <c r="F668"/>
      <c r="G668"/>
      <c r="H668"/>
      <c r="I668" s="406"/>
      <c r="J668"/>
      <c r="K668"/>
    </row>
    <row r="669" spans="1:11" ht="14.45">
      <c r="A669"/>
      <c r="B669"/>
      <c r="C669"/>
      <c r="D669"/>
      <c r="E669"/>
      <c r="F669"/>
      <c r="G669"/>
      <c r="H669"/>
      <c r="I669" s="406"/>
      <c r="J669"/>
      <c r="K669"/>
    </row>
    <row r="670" spans="1:11" ht="14.45">
      <c r="A670"/>
      <c r="B670"/>
      <c r="C670"/>
      <c r="D670"/>
      <c r="E670"/>
      <c r="F670"/>
      <c r="G670"/>
      <c r="H670"/>
      <c r="I670" s="406"/>
      <c r="J670"/>
      <c r="K670"/>
    </row>
    <row r="671" spans="1:11" ht="14.45">
      <c r="A671"/>
      <c r="B671"/>
      <c r="C671"/>
      <c r="D671"/>
      <c r="E671"/>
      <c r="F671"/>
      <c r="G671"/>
      <c r="H671"/>
      <c r="I671" s="406"/>
      <c r="J671"/>
      <c r="K671"/>
    </row>
    <row r="672" spans="1:11" ht="14.45">
      <c r="A672"/>
      <c r="B672"/>
      <c r="C672"/>
      <c r="D672"/>
      <c r="E672"/>
      <c r="F672"/>
      <c r="G672"/>
      <c r="H672"/>
      <c r="I672" s="406"/>
      <c r="J672"/>
      <c r="K672"/>
    </row>
    <row r="673" spans="1:11" ht="14.45">
      <c r="A673"/>
      <c r="B673"/>
      <c r="C673"/>
      <c r="D673"/>
      <c r="E673"/>
      <c r="F673"/>
      <c r="G673"/>
      <c r="H673"/>
      <c r="I673" s="406"/>
      <c r="J673"/>
      <c r="K673"/>
    </row>
    <row r="674" spans="1:11" ht="14.45">
      <c r="A674"/>
      <c r="B674"/>
      <c r="C674"/>
      <c r="D674"/>
      <c r="E674"/>
      <c r="F674"/>
      <c r="G674"/>
      <c r="H674"/>
      <c r="I674" s="406"/>
      <c r="J674"/>
      <c r="K674"/>
    </row>
    <row r="675" spans="1:11" ht="14.45">
      <c r="A675"/>
      <c r="B675"/>
      <c r="C675"/>
      <c r="D675"/>
      <c r="E675"/>
      <c r="F675"/>
      <c r="G675"/>
      <c r="H675"/>
      <c r="I675" s="406"/>
      <c r="J675"/>
      <c r="K675"/>
    </row>
    <row r="676" spans="1:11" ht="14.45">
      <c r="A676"/>
      <c r="B676"/>
      <c r="C676"/>
      <c r="D676"/>
      <c r="E676"/>
      <c r="F676"/>
      <c r="G676"/>
      <c r="H676"/>
      <c r="I676" s="406"/>
      <c r="J676"/>
      <c r="K676"/>
    </row>
    <row r="677" spans="1:11" ht="14.45">
      <c r="A677"/>
      <c r="B677"/>
      <c r="C677"/>
      <c r="D677"/>
      <c r="E677"/>
      <c r="F677"/>
      <c r="G677"/>
      <c r="H677"/>
      <c r="I677" s="406"/>
      <c r="J677"/>
      <c r="K677"/>
    </row>
    <row r="678" spans="1:11" ht="14.45">
      <c r="A678"/>
      <c r="B678"/>
      <c r="C678"/>
      <c r="D678"/>
      <c r="E678"/>
      <c r="F678"/>
      <c r="G678"/>
      <c r="H678"/>
      <c r="I678" s="406"/>
      <c r="J678"/>
      <c r="K678"/>
    </row>
    <row r="679" spans="1:11" ht="14.45">
      <c r="A679"/>
      <c r="B679"/>
      <c r="C679"/>
      <c r="D679"/>
      <c r="E679"/>
      <c r="F679"/>
      <c r="G679"/>
      <c r="H679"/>
      <c r="I679" s="406"/>
      <c r="J679"/>
      <c r="K679"/>
    </row>
    <row r="680" spans="1:11" ht="14.45">
      <c r="A680"/>
      <c r="B680"/>
      <c r="C680"/>
      <c r="D680"/>
      <c r="E680"/>
      <c r="F680"/>
      <c r="G680"/>
      <c r="H680"/>
      <c r="I680" s="406"/>
      <c r="J680"/>
      <c r="K680"/>
    </row>
    <row r="681" spans="1:11" ht="14.45">
      <c r="A681"/>
      <c r="B681"/>
      <c r="C681"/>
      <c r="D681"/>
      <c r="E681"/>
      <c r="F681"/>
      <c r="G681"/>
      <c r="H681"/>
      <c r="I681" s="406"/>
      <c r="J681"/>
      <c r="K681"/>
    </row>
    <row r="682" spans="1:11" ht="14.45">
      <c r="A682"/>
      <c r="B682"/>
      <c r="C682"/>
      <c r="D682"/>
      <c r="E682"/>
      <c r="F682"/>
      <c r="G682"/>
      <c r="H682"/>
      <c r="I682" s="406"/>
      <c r="J682"/>
      <c r="K682"/>
    </row>
    <row r="683" spans="1:11" ht="14.45">
      <c r="A683"/>
      <c r="B683"/>
      <c r="C683"/>
      <c r="D683"/>
      <c r="E683"/>
      <c r="F683"/>
      <c r="G683"/>
      <c r="H683"/>
      <c r="I683" s="406"/>
      <c r="J683"/>
      <c r="K683"/>
    </row>
    <row r="684" spans="1:11" ht="14.45">
      <c r="A684"/>
      <c r="B684"/>
      <c r="C684"/>
      <c r="D684"/>
      <c r="E684"/>
      <c r="F684"/>
      <c r="G684"/>
      <c r="H684"/>
      <c r="I684" s="406"/>
      <c r="J684"/>
      <c r="K684"/>
    </row>
    <row r="685" spans="1:11" ht="14.45">
      <c r="A685"/>
      <c r="B685"/>
      <c r="C685"/>
      <c r="D685"/>
      <c r="E685"/>
      <c r="F685"/>
      <c r="G685"/>
      <c r="H685"/>
      <c r="I685" s="406"/>
      <c r="J685"/>
      <c r="K685"/>
    </row>
    <row r="686" spans="1:11" ht="14.45">
      <c r="A686"/>
      <c r="B686"/>
      <c r="C686"/>
      <c r="D686"/>
      <c r="E686"/>
      <c r="F686"/>
      <c r="G686"/>
      <c r="H686"/>
      <c r="I686" s="406"/>
      <c r="J686"/>
      <c r="K686"/>
    </row>
    <row r="687" spans="1:11" ht="14.45">
      <c r="A687"/>
      <c r="B687"/>
      <c r="C687"/>
      <c r="D687"/>
      <c r="E687"/>
      <c r="F687"/>
      <c r="G687"/>
      <c r="H687"/>
      <c r="I687" s="406"/>
      <c r="J687"/>
      <c r="K687"/>
    </row>
    <row r="688" spans="1:11" ht="14.45">
      <c r="A688"/>
      <c r="B688"/>
      <c r="C688"/>
      <c r="D688"/>
      <c r="E688"/>
      <c r="F688"/>
      <c r="G688"/>
      <c r="H688"/>
      <c r="I688" s="406"/>
      <c r="J688"/>
      <c r="K688"/>
    </row>
    <row r="689" spans="1:11" ht="14.45">
      <c r="A689"/>
      <c r="B689"/>
      <c r="C689"/>
      <c r="D689"/>
      <c r="E689"/>
      <c r="F689"/>
      <c r="G689"/>
      <c r="H689"/>
      <c r="I689" s="406"/>
      <c r="J689"/>
      <c r="K689"/>
    </row>
    <row r="690" spans="1:11" ht="14.45">
      <c r="A690"/>
      <c r="B690"/>
      <c r="C690"/>
      <c r="D690"/>
      <c r="E690"/>
      <c r="F690"/>
      <c r="G690"/>
      <c r="H690"/>
      <c r="I690" s="406"/>
      <c r="J690"/>
      <c r="K690"/>
    </row>
    <row r="691" spans="1:11" ht="14.45">
      <c r="A691"/>
      <c r="B691"/>
      <c r="C691"/>
      <c r="D691"/>
      <c r="E691"/>
      <c r="F691"/>
      <c r="G691"/>
      <c r="H691"/>
      <c r="I691" s="406"/>
      <c r="J691"/>
      <c r="K691"/>
    </row>
    <row r="692" spans="1:11" ht="14.45">
      <c r="A692"/>
      <c r="B692"/>
      <c r="C692"/>
      <c r="D692"/>
      <c r="E692"/>
      <c r="F692"/>
      <c r="G692"/>
      <c r="H692"/>
      <c r="I692" s="406"/>
      <c r="J692"/>
      <c r="K692"/>
    </row>
    <row r="693" spans="1:11" ht="14.45">
      <c r="A693"/>
      <c r="B693"/>
      <c r="C693"/>
      <c r="D693"/>
      <c r="E693"/>
      <c r="F693"/>
      <c r="G693"/>
      <c r="H693"/>
      <c r="I693" s="406"/>
      <c r="J693"/>
      <c r="K693"/>
    </row>
    <row r="694" spans="1:11" ht="14.45">
      <c r="A694"/>
      <c r="B694"/>
      <c r="C694"/>
      <c r="D694"/>
      <c r="E694"/>
      <c r="F694"/>
      <c r="G694"/>
      <c r="H694"/>
      <c r="I694" s="406"/>
      <c r="J694"/>
      <c r="K694"/>
    </row>
    <row r="695" spans="1:11" ht="14.45">
      <c r="A695"/>
      <c r="B695"/>
      <c r="C695"/>
      <c r="D695"/>
      <c r="E695"/>
      <c r="F695"/>
      <c r="G695"/>
      <c r="H695"/>
      <c r="I695" s="406"/>
      <c r="J695"/>
      <c r="K695"/>
    </row>
    <row r="696" spans="1:11" ht="14.45">
      <c r="A696"/>
      <c r="B696"/>
      <c r="C696"/>
      <c r="D696"/>
      <c r="E696"/>
      <c r="F696"/>
      <c r="G696"/>
      <c r="H696"/>
      <c r="I696" s="406"/>
      <c r="J696"/>
      <c r="K696"/>
    </row>
    <row r="697" spans="1:11" ht="14.45">
      <c r="A697"/>
      <c r="B697"/>
      <c r="C697"/>
      <c r="D697"/>
      <c r="E697"/>
      <c r="F697"/>
      <c r="G697"/>
      <c r="H697"/>
      <c r="I697" s="406"/>
      <c r="J697"/>
      <c r="K697"/>
    </row>
    <row r="698" spans="1:11" ht="14.45">
      <c r="A698"/>
      <c r="B698"/>
      <c r="C698"/>
      <c r="D698"/>
      <c r="E698"/>
      <c r="F698"/>
      <c r="G698"/>
      <c r="H698"/>
      <c r="I698" s="406"/>
      <c r="J698"/>
      <c r="K698"/>
    </row>
    <row r="699" spans="1:11" ht="14.45">
      <c r="A699"/>
      <c r="B699"/>
      <c r="C699"/>
      <c r="D699"/>
      <c r="E699"/>
      <c r="F699"/>
      <c r="G699"/>
      <c r="H699"/>
      <c r="I699" s="406"/>
      <c r="J699"/>
      <c r="K699"/>
    </row>
    <row r="700" spans="1:11" ht="14.45">
      <c r="A700"/>
      <c r="B700"/>
      <c r="C700"/>
      <c r="D700"/>
      <c r="E700"/>
      <c r="F700"/>
      <c r="G700"/>
      <c r="H700"/>
      <c r="I700" s="406"/>
      <c r="J700"/>
      <c r="K700"/>
    </row>
    <row r="701" spans="1:11" ht="14.45">
      <c r="A701"/>
      <c r="B701"/>
      <c r="C701"/>
      <c r="D701"/>
      <c r="E701"/>
      <c r="F701"/>
      <c r="G701"/>
      <c r="H701"/>
      <c r="I701" s="406"/>
      <c r="J701"/>
      <c r="K701"/>
    </row>
    <row r="702" spans="1:11" ht="14.45">
      <c r="A702"/>
      <c r="B702"/>
      <c r="C702"/>
      <c r="D702"/>
      <c r="E702"/>
      <c r="F702"/>
      <c r="G702"/>
      <c r="H702"/>
      <c r="I702" s="406"/>
      <c r="J702"/>
      <c r="K702"/>
    </row>
    <row r="703" spans="1:11" ht="14.45">
      <c r="A703"/>
      <c r="B703"/>
      <c r="C703"/>
      <c r="D703"/>
      <c r="E703"/>
      <c r="F703"/>
      <c r="G703"/>
      <c r="H703"/>
      <c r="I703" s="406"/>
      <c r="J703"/>
      <c r="K703"/>
    </row>
    <row r="704" spans="1:11" ht="14.45">
      <c r="A704"/>
      <c r="B704"/>
      <c r="C704"/>
      <c r="D704"/>
      <c r="E704"/>
      <c r="F704"/>
      <c r="G704"/>
      <c r="H704"/>
      <c r="I704" s="406"/>
      <c r="J704"/>
      <c r="K704"/>
    </row>
    <row r="705" spans="1:11" ht="14.45">
      <c r="A705"/>
      <c r="B705"/>
      <c r="C705"/>
      <c r="D705"/>
      <c r="E705"/>
      <c r="F705"/>
      <c r="G705"/>
      <c r="H705"/>
      <c r="I705" s="406"/>
      <c r="J705"/>
      <c r="K705"/>
    </row>
    <row r="706" spans="1:11" ht="14.45">
      <c r="A706"/>
      <c r="B706"/>
      <c r="C706"/>
      <c r="D706"/>
      <c r="E706"/>
      <c r="F706"/>
      <c r="G706"/>
      <c r="H706"/>
      <c r="I706" s="406"/>
      <c r="J706"/>
      <c r="K706"/>
    </row>
    <row r="707" spans="1:11" ht="14.45">
      <c r="A707"/>
      <c r="B707"/>
      <c r="C707"/>
      <c r="D707"/>
      <c r="E707"/>
      <c r="F707"/>
      <c r="G707"/>
      <c r="H707"/>
      <c r="I707" s="406"/>
      <c r="J707"/>
      <c r="K707"/>
    </row>
    <row r="708" spans="1:11" ht="14.45">
      <c r="A708"/>
      <c r="B708"/>
      <c r="C708"/>
      <c r="D708"/>
      <c r="E708"/>
      <c r="F708"/>
      <c r="G708"/>
      <c r="H708"/>
      <c r="I708" s="406"/>
      <c r="J708"/>
      <c r="K708"/>
    </row>
    <row r="709" spans="1:11" ht="14.45">
      <c r="A709"/>
      <c r="B709"/>
      <c r="C709"/>
      <c r="D709"/>
      <c r="E709"/>
      <c r="F709"/>
      <c r="G709"/>
      <c r="H709"/>
      <c r="I709" s="406"/>
      <c r="J709"/>
      <c r="K709"/>
    </row>
    <row r="710" spans="1:11" ht="14.45">
      <c r="A710"/>
      <c r="B710"/>
      <c r="C710"/>
      <c r="D710"/>
      <c r="E710"/>
      <c r="F710"/>
      <c r="G710"/>
      <c r="H710"/>
      <c r="I710" s="406"/>
      <c r="J710"/>
      <c r="K710"/>
    </row>
    <row r="711" spans="1:11" ht="14.45">
      <c r="A711"/>
      <c r="B711"/>
      <c r="C711"/>
      <c r="D711"/>
      <c r="E711"/>
      <c r="F711"/>
      <c r="G711"/>
      <c r="H711"/>
      <c r="I711" s="406"/>
      <c r="J711"/>
      <c r="K711"/>
    </row>
    <row r="712" spans="1:11" ht="14.45">
      <c r="A712"/>
      <c r="B712"/>
      <c r="C712"/>
      <c r="D712"/>
      <c r="E712"/>
      <c r="F712"/>
      <c r="G712"/>
      <c r="H712"/>
      <c r="I712" s="406"/>
      <c r="J712"/>
      <c r="K712"/>
    </row>
    <row r="713" spans="1:11" ht="14.45">
      <c r="A713"/>
      <c r="B713"/>
      <c r="C713"/>
      <c r="D713"/>
      <c r="E713"/>
      <c r="F713"/>
      <c r="G713"/>
      <c r="H713"/>
      <c r="I713" s="406"/>
      <c r="J713"/>
      <c r="K713"/>
    </row>
    <row r="714" spans="1:11" ht="14.45">
      <c r="A714"/>
      <c r="B714"/>
      <c r="C714"/>
      <c r="D714"/>
      <c r="E714"/>
      <c r="F714"/>
      <c r="G714"/>
      <c r="H714"/>
      <c r="I714" s="406"/>
      <c r="J714"/>
      <c r="K714"/>
    </row>
    <row r="715" spans="1:11" ht="14.45">
      <c r="A715"/>
      <c r="B715"/>
      <c r="C715"/>
      <c r="D715"/>
      <c r="E715"/>
      <c r="F715"/>
      <c r="G715"/>
      <c r="H715"/>
      <c r="I715" s="406"/>
      <c r="J715"/>
      <c r="K715"/>
    </row>
    <row r="716" spans="1:11" ht="14.45">
      <c r="A716"/>
      <c r="B716"/>
      <c r="C716"/>
      <c r="D716"/>
      <c r="E716"/>
      <c r="F716"/>
      <c r="G716"/>
      <c r="H716"/>
      <c r="I716" s="406"/>
      <c r="J716"/>
      <c r="K716"/>
    </row>
    <row r="717" spans="1:11" ht="14.45">
      <c r="A717"/>
      <c r="B717"/>
      <c r="C717"/>
      <c r="D717"/>
      <c r="E717"/>
      <c r="F717"/>
      <c r="G717"/>
      <c r="H717"/>
      <c r="I717" s="406"/>
      <c r="J717"/>
      <c r="K717"/>
    </row>
    <row r="718" spans="1:11" ht="14.45">
      <c r="A718"/>
      <c r="B718"/>
      <c r="C718"/>
      <c r="D718"/>
      <c r="E718"/>
      <c r="F718"/>
      <c r="G718"/>
      <c r="H718"/>
      <c r="I718" s="406"/>
      <c r="J718"/>
      <c r="K718"/>
    </row>
    <row r="719" spans="1:11" ht="14.45">
      <c r="A719"/>
      <c r="B719"/>
      <c r="C719"/>
      <c r="D719"/>
      <c r="E719"/>
      <c r="F719"/>
      <c r="G719"/>
      <c r="H719"/>
      <c r="I719" s="406"/>
      <c r="J719"/>
      <c r="K719"/>
    </row>
    <row r="720" spans="1:11" ht="14.45">
      <c r="A720"/>
      <c r="B720"/>
      <c r="C720"/>
      <c r="D720"/>
      <c r="E720"/>
      <c r="F720"/>
      <c r="G720"/>
      <c r="H720"/>
      <c r="I720" s="406"/>
      <c r="J720"/>
      <c r="K720"/>
    </row>
    <row r="721" spans="1:11" ht="14.45">
      <c r="A721"/>
      <c r="B721"/>
      <c r="C721"/>
      <c r="D721"/>
      <c r="E721"/>
      <c r="F721"/>
      <c r="G721"/>
      <c r="H721"/>
      <c r="I721" s="406"/>
      <c r="J721"/>
      <c r="K721"/>
    </row>
    <row r="722" spans="1:11" ht="14.45">
      <c r="A722"/>
      <c r="B722"/>
      <c r="C722"/>
      <c r="D722"/>
      <c r="E722"/>
      <c r="F722"/>
      <c r="G722"/>
      <c r="H722"/>
      <c r="I722" s="406"/>
      <c r="J722"/>
      <c r="K722"/>
    </row>
    <row r="723" spans="1:11" ht="14.45">
      <c r="A723"/>
      <c r="B723"/>
      <c r="C723"/>
      <c r="D723"/>
      <c r="E723"/>
      <c r="F723"/>
      <c r="G723"/>
      <c r="H723"/>
      <c r="I723" s="406"/>
      <c r="J723"/>
      <c r="K723"/>
    </row>
    <row r="724" spans="1:11" ht="14.45">
      <c r="A724"/>
      <c r="B724"/>
      <c r="C724"/>
      <c r="D724"/>
      <c r="E724"/>
      <c r="F724"/>
      <c r="G724"/>
      <c r="H724"/>
      <c r="I724" s="406"/>
      <c r="J724"/>
      <c r="K724"/>
    </row>
    <row r="725" spans="1:11" ht="14.45">
      <c r="A725"/>
      <c r="B725"/>
      <c r="C725"/>
      <c r="D725"/>
      <c r="E725"/>
      <c r="F725"/>
      <c r="G725"/>
      <c r="H725"/>
      <c r="I725" s="406"/>
      <c r="J725"/>
      <c r="K725"/>
    </row>
    <row r="726" spans="1:11" ht="14.45">
      <c r="A726"/>
      <c r="B726"/>
      <c r="C726"/>
      <c r="D726"/>
      <c r="E726"/>
      <c r="F726"/>
      <c r="G726"/>
      <c r="H726"/>
      <c r="I726" s="406"/>
      <c r="J726"/>
      <c r="K726"/>
    </row>
    <row r="727" spans="1:11" ht="14.45">
      <c r="A727"/>
      <c r="B727"/>
      <c r="C727"/>
      <c r="D727"/>
      <c r="E727"/>
      <c r="F727"/>
      <c r="G727"/>
      <c r="H727"/>
      <c r="I727" s="406"/>
      <c r="J727"/>
      <c r="K727"/>
    </row>
    <row r="728" spans="1:11" ht="14.45">
      <c r="A728"/>
      <c r="B728"/>
      <c r="C728"/>
      <c r="D728"/>
      <c r="E728"/>
      <c r="F728"/>
      <c r="G728"/>
      <c r="H728"/>
      <c r="I728" s="406"/>
      <c r="J728"/>
      <c r="K728"/>
    </row>
    <row r="729" spans="1:11" ht="14.45">
      <c r="A729"/>
      <c r="B729"/>
      <c r="C729"/>
      <c r="D729"/>
      <c r="E729"/>
      <c r="F729"/>
      <c r="G729"/>
      <c r="H729"/>
      <c r="I729" s="406"/>
      <c r="J729"/>
      <c r="K729"/>
    </row>
    <row r="730" spans="1:11" ht="14.45">
      <c r="A730"/>
      <c r="B730"/>
      <c r="C730"/>
      <c r="D730"/>
      <c r="E730"/>
      <c r="F730"/>
      <c r="G730"/>
      <c r="H730"/>
      <c r="I730" s="406"/>
      <c r="J730"/>
      <c r="K730"/>
    </row>
    <row r="731" spans="1:11" ht="14.45">
      <c r="A731"/>
      <c r="B731"/>
      <c r="C731"/>
      <c r="D731"/>
      <c r="E731"/>
      <c r="F731"/>
      <c r="G731"/>
      <c r="H731"/>
      <c r="I731" s="406"/>
      <c r="J731"/>
      <c r="K731"/>
    </row>
    <row r="732" spans="1:11" ht="14.45">
      <c r="A732"/>
      <c r="B732"/>
      <c r="C732"/>
      <c r="D732"/>
      <c r="E732"/>
      <c r="F732"/>
      <c r="G732"/>
      <c r="H732"/>
      <c r="I732" s="406"/>
      <c r="J732"/>
      <c r="K732"/>
    </row>
    <row r="733" spans="1:11" ht="14.45">
      <c r="A733"/>
      <c r="B733"/>
      <c r="C733"/>
      <c r="D733"/>
      <c r="E733"/>
      <c r="F733"/>
      <c r="G733"/>
      <c r="H733"/>
      <c r="I733" s="406"/>
      <c r="J733"/>
      <c r="K733"/>
    </row>
    <row r="734" spans="1:11" ht="14.45">
      <c r="A734"/>
      <c r="B734"/>
      <c r="C734"/>
      <c r="D734"/>
      <c r="E734"/>
      <c r="F734"/>
      <c r="G734"/>
      <c r="H734"/>
      <c r="I734" s="406"/>
      <c r="J734"/>
      <c r="K734"/>
    </row>
    <row r="735" spans="1:11" ht="14.45">
      <c r="A735"/>
      <c r="B735"/>
      <c r="C735"/>
      <c r="D735"/>
      <c r="E735"/>
      <c r="F735"/>
      <c r="G735"/>
      <c r="H735"/>
      <c r="I735" s="406"/>
      <c r="J735"/>
      <c r="K735"/>
    </row>
    <row r="736" spans="1:11" ht="14.45">
      <c r="A736"/>
      <c r="B736"/>
      <c r="C736"/>
      <c r="D736"/>
      <c r="E736"/>
      <c r="F736"/>
      <c r="G736"/>
      <c r="H736"/>
      <c r="I736" s="406"/>
      <c r="J736"/>
      <c r="K736"/>
    </row>
    <row r="737" spans="1:11" ht="14.45">
      <c r="A737"/>
      <c r="B737"/>
      <c r="C737"/>
      <c r="D737"/>
      <c r="E737"/>
      <c r="F737"/>
      <c r="G737"/>
      <c r="H737"/>
      <c r="I737" s="406"/>
      <c r="J737"/>
      <c r="K737"/>
    </row>
    <row r="738" spans="1:11" ht="14.45">
      <c r="A738"/>
      <c r="B738"/>
      <c r="C738"/>
      <c r="D738"/>
      <c r="E738"/>
      <c r="F738"/>
      <c r="G738"/>
      <c r="H738"/>
      <c r="I738" s="406"/>
      <c r="J738"/>
      <c r="K738"/>
    </row>
    <row r="739" spans="1:11" ht="14.45">
      <c r="A739"/>
      <c r="B739"/>
      <c r="C739"/>
      <c r="D739"/>
      <c r="E739"/>
      <c r="F739"/>
      <c r="G739"/>
      <c r="H739"/>
      <c r="I739" s="406"/>
      <c r="J739"/>
      <c r="K739"/>
    </row>
    <row r="740" spans="1:11" ht="14.45">
      <c r="A740"/>
      <c r="B740"/>
      <c r="C740"/>
      <c r="D740"/>
      <c r="E740"/>
      <c r="F740"/>
      <c r="G740"/>
      <c r="H740"/>
      <c r="I740" s="406"/>
      <c r="J740"/>
      <c r="K740"/>
    </row>
    <row r="741" spans="1:11" ht="14.45">
      <c r="A741"/>
      <c r="B741"/>
      <c r="C741"/>
      <c r="D741"/>
      <c r="E741"/>
      <c r="F741"/>
      <c r="G741"/>
      <c r="H741"/>
      <c r="I741" s="406"/>
      <c r="J741"/>
      <c r="K741"/>
    </row>
    <row r="742" spans="1:11" ht="14.45">
      <c r="A742"/>
      <c r="B742"/>
      <c r="C742"/>
      <c r="D742"/>
      <c r="E742"/>
      <c r="F742"/>
      <c r="G742"/>
      <c r="H742"/>
      <c r="I742" s="406"/>
      <c r="J742"/>
      <c r="K742"/>
    </row>
    <row r="743" spans="1:11" ht="14.45">
      <c r="A743"/>
      <c r="B743"/>
      <c r="C743"/>
      <c r="D743"/>
      <c r="E743"/>
      <c r="F743"/>
      <c r="G743"/>
      <c r="H743"/>
      <c r="I743" s="406"/>
      <c r="J743"/>
      <c r="K743"/>
    </row>
    <row r="744" spans="1:11" ht="14.45">
      <c r="A744"/>
      <c r="B744"/>
      <c r="C744"/>
      <c r="D744"/>
      <c r="E744"/>
      <c r="F744"/>
      <c r="G744"/>
      <c r="H744"/>
      <c r="I744" s="406"/>
      <c r="J744"/>
      <c r="K744"/>
    </row>
    <row r="745" spans="1:11" ht="14.45">
      <c r="A745"/>
      <c r="B745"/>
      <c r="C745"/>
      <c r="D745"/>
      <c r="E745"/>
      <c r="F745"/>
      <c r="G745"/>
      <c r="H745"/>
      <c r="I745" s="406"/>
      <c r="J745"/>
      <c r="K745"/>
    </row>
    <row r="746" spans="1:11" ht="14.45">
      <c r="A746"/>
      <c r="B746"/>
      <c r="C746"/>
      <c r="D746"/>
      <c r="E746"/>
      <c r="F746"/>
      <c r="G746"/>
      <c r="H746"/>
      <c r="I746" s="406"/>
      <c r="J746"/>
      <c r="K746"/>
    </row>
    <row r="747" spans="1:11" ht="14.45">
      <c r="A747"/>
      <c r="B747"/>
      <c r="C747"/>
      <c r="D747"/>
      <c r="E747"/>
      <c r="F747"/>
      <c r="G747"/>
      <c r="H747"/>
      <c r="I747" s="406"/>
      <c r="J747"/>
      <c r="K747"/>
    </row>
    <row r="748" spans="1:11" ht="14.45">
      <c r="A748"/>
      <c r="B748"/>
      <c r="C748"/>
      <c r="D748"/>
      <c r="E748"/>
      <c r="F748"/>
      <c r="G748"/>
      <c r="H748"/>
      <c r="I748" s="406"/>
      <c r="J748"/>
      <c r="K748"/>
    </row>
    <row r="749" spans="1:11" ht="14.45">
      <c r="A749"/>
      <c r="B749"/>
      <c r="C749"/>
      <c r="D749"/>
      <c r="E749"/>
      <c r="F749"/>
      <c r="G749"/>
      <c r="H749"/>
      <c r="I749" s="406"/>
      <c r="J749"/>
      <c r="K749"/>
    </row>
    <row r="750" spans="1:11" ht="14.45">
      <c r="A750"/>
      <c r="B750"/>
      <c r="C750"/>
      <c r="D750"/>
      <c r="E750"/>
      <c r="F750"/>
      <c r="G750"/>
      <c r="H750"/>
      <c r="I750" s="406"/>
      <c r="J750"/>
      <c r="K750"/>
    </row>
    <row r="751" spans="1:11" ht="14.45">
      <c r="A751"/>
      <c r="B751"/>
      <c r="C751"/>
      <c r="D751"/>
      <c r="E751"/>
      <c r="F751"/>
      <c r="G751"/>
      <c r="H751"/>
      <c r="I751" s="406"/>
      <c r="J751"/>
      <c r="K751"/>
    </row>
    <row r="752" spans="1:11" ht="14.45">
      <c r="A752"/>
      <c r="B752"/>
      <c r="C752"/>
      <c r="D752"/>
      <c r="E752"/>
      <c r="F752"/>
      <c r="G752"/>
      <c r="H752"/>
      <c r="I752" s="406"/>
      <c r="J752"/>
      <c r="K752"/>
    </row>
    <row r="753" spans="1:11" ht="14.45">
      <c r="A753"/>
      <c r="B753"/>
      <c r="C753"/>
      <c r="D753"/>
      <c r="E753"/>
      <c r="F753"/>
      <c r="G753"/>
      <c r="H753"/>
      <c r="I753" s="406"/>
      <c r="J753"/>
      <c r="K753"/>
    </row>
    <row r="754" spans="1:11" ht="14.45">
      <c r="A754"/>
      <c r="B754"/>
      <c r="C754"/>
      <c r="D754"/>
      <c r="E754"/>
      <c r="F754"/>
      <c r="G754"/>
      <c r="H754"/>
      <c r="I754" s="406"/>
      <c r="J754"/>
      <c r="K754"/>
    </row>
    <row r="755" spans="1:11" ht="14.45">
      <c r="A755"/>
      <c r="B755"/>
      <c r="C755"/>
      <c r="D755"/>
      <c r="E755"/>
      <c r="F755"/>
      <c r="G755"/>
      <c r="H755"/>
      <c r="I755" s="406"/>
      <c r="J755"/>
      <c r="K755"/>
    </row>
    <row r="756" spans="1:11" ht="14.45">
      <c r="A756"/>
      <c r="B756"/>
      <c r="C756"/>
      <c r="D756"/>
      <c r="E756"/>
      <c r="F756"/>
      <c r="G756"/>
      <c r="H756"/>
      <c r="I756" s="406"/>
      <c r="J756"/>
      <c r="K756"/>
    </row>
    <row r="757" spans="1:11" ht="14.45">
      <c r="A757"/>
      <c r="B757"/>
      <c r="C757"/>
      <c r="D757"/>
      <c r="E757"/>
      <c r="F757"/>
      <c r="G757"/>
      <c r="H757"/>
      <c r="I757" s="406"/>
      <c r="J757"/>
      <c r="K757"/>
    </row>
    <row r="758" spans="1:11" ht="14.45">
      <c r="A758"/>
      <c r="B758"/>
      <c r="C758"/>
      <c r="D758"/>
      <c r="E758"/>
      <c r="F758"/>
      <c r="G758"/>
      <c r="H758"/>
      <c r="I758" s="406"/>
      <c r="J758"/>
      <c r="K758"/>
    </row>
    <row r="759" spans="1:11" ht="14.45">
      <c r="A759"/>
      <c r="B759"/>
      <c r="C759"/>
      <c r="D759"/>
      <c r="E759"/>
      <c r="F759"/>
      <c r="G759"/>
      <c r="H759"/>
      <c r="I759" s="406"/>
      <c r="J759"/>
      <c r="K759"/>
    </row>
    <row r="760" spans="1:11" ht="14.45">
      <c r="A760"/>
      <c r="B760"/>
      <c r="C760"/>
      <c r="D760"/>
      <c r="E760"/>
      <c r="F760"/>
      <c r="G760"/>
      <c r="H760"/>
      <c r="I760" s="406"/>
      <c r="J760"/>
      <c r="K760"/>
    </row>
    <row r="761" spans="1:11" ht="14.45">
      <c r="A761"/>
      <c r="B761"/>
      <c r="C761"/>
      <c r="D761"/>
      <c r="E761"/>
      <c r="F761"/>
      <c r="G761"/>
      <c r="H761"/>
      <c r="I761" s="406"/>
      <c r="J761"/>
      <c r="K761"/>
    </row>
    <row r="762" spans="1:11" ht="14.45">
      <c r="A762"/>
      <c r="B762"/>
      <c r="C762"/>
      <c r="D762"/>
      <c r="E762"/>
      <c r="F762"/>
      <c r="G762"/>
      <c r="H762"/>
      <c r="I762" s="406"/>
      <c r="J762"/>
      <c r="K762"/>
    </row>
    <row r="763" spans="1:11" ht="14.45">
      <c r="A763"/>
      <c r="B763"/>
      <c r="C763"/>
      <c r="D763"/>
      <c r="E763"/>
      <c r="F763"/>
      <c r="G763"/>
      <c r="H763"/>
      <c r="I763" s="406"/>
      <c r="J763"/>
      <c r="K763"/>
    </row>
    <row r="764" spans="1:11" ht="14.45">
      <c r="A764"/>
      <c r="B764"/>
      <c r="C764"/>
      <c r="D764"/>
      <c r="E764"/>
      <c r="F764"/>
      <c r="G764"/>
      <c r="H764"/>
      <c r="I764" s="406"/>
      <c r="J764"/>
      <c r="K764"/>
    </row>
    <row r="765" spans="1:11" ht="14.45">
      <c r="A765"/>
      <c r="B765"/>
      <c r="C765"/>
      <c r="D765"/>
      <c r="E765"/>
      <c r="F765"/>
      <c r="G765"/>
      <c r="H765"/>
      <c r="I765" s="406"/>
      <c r="J765"/>
      <c r="K765"/>
    </row>
    <row r="766" spans="1:11" ht="14.45">
      <c r="A766"/>
      <c r="B766"/>
      <c r="C766"/>
      <c r="D766"/>
      <c r="E766"/>
      <c r="F766"/>
      <c r="G766"/>
      <c r="H766"/>
      <c r="I766" s="406"/>
      <c r="J766"/>
      <c r="K766"/>
    </row>
    <row r="767" spans="1:11" ht="14.45">
      <c r="A767"/>
      <c r="B767"/>
      <c r="C767"/>
      <c r="D767"/>
      <c r="E767"/>
      <c r="F767"/>
      <c r="G767"/>
      <c r="H767"/>
      <c r="I767" s="406"/>
      <c r="J767"/>
      <c r="K767"/>
    </row>
    <row r="768" spans="1:11" ht="14.45">
      <c r="A768"/>
      <c r="B768"/>
      <c r="C768"/>
      <c r="D768"/>
      <c r="E768"/>
      <c r="F768"/>
      <c r="G768"/>
      <c r="H768"/>
      <c r="I768" s="406"/>
      <c r="J768"/>
      <c r="K768"/>
    </row>
    <row r="769" spans="1:11" ht="14.45">
      <c r="A769"/>
      <c r="B769"/>
      <c r="C769"/>
      <c r="D769"/>
      <c r="E769"/>
      <c r="F769"/>
      <c r="G769"/>
      <c r="H769"/>
      <c r="I769" s="406"/>
      <c r="J769"/>
      <c r="K769"/>
    </row>
    <row r="770" spans="1:11" ht="14.45">
      <c r="A770"/>
      <c r="B770"/>
      <c r="C770"/>
      <c r="D770"/>
      <c r="E770"/>
      <c r="F770"/>
      <c r="G770"/>
      <c r="H770"/>
      <c r="I770" s="406"/>
      <c r="J770"/>
      <c r="K770"/>
    </row>
    <row r="771" spans="1:11" ht="14.45">
      <c r="A771"/>
      <c r="B771"/>
      <c r="C771"/>
      <c r="D771"/>
      <c r="E771"/>
      <c r="F771"/>
      <c r="G771"/>
      <c r="H771"/>
      <c r="I771" s="406"/>
      <c r="J771"/>
      <c r="K771"/>
    </row>
    <row r="772" spans="1:11" ht="14.45">
      <c r="A772"/>
      <c r="B772"/>
      <c r="C772"/>
      <c r="D772"/>
      <c r="E772"/>
      <c r="F772"/>
      <c r="G772"/>
      <c r="H772"/>
      <c r="I772" s="406"/>
      <c r="J772"/>
      <c r="K772"/>
    </row>
    <row r="773" spans="1:11" ht="14.45">
      <c r="A773"/>
      <c r="B773"/>
      <c r="C773"/>
      <c r="D773"/>
      <c r="E773"/>
      <c r="F773"/>
      <c r="G773"/>
      <c r="H773"/>
      <c r="I773" s="406"/>
      <c r="J773"/>
      <c r="K773"/>
    </row>
    <row r="774" spans="1:11" ht="14.45">
      <c r="A774"/>
      <c r="B774"/>
      <c r="C774"/>
      <c r="D774"/>
      <c r="E774"/>
      <c r="F774"/>
      <c r="G774"/>
      <c r="H774"/>
      <c r="I774" s="406"/>
      <c r="J774"/>
      <c r="K774"/>
    </row>
    <row r="775" spans="1:11" ht="14.45">
      <c r="A775"/>
      <c r="B775"/>
      <c r="C775"/>
      <c r="D775"/>
      <c r="E775"/>
      <c r="F775"/>
      <c r="G775"/>
      <c r="H775"/>
      <c r="I775" s="406"/>
      <c r="J775"/>
      <c r="K775"/>
    </row>
    <row r="776" spans="1:11" ht="14.45">
      <c r="A776"/>
      <c r="B776"/>
      <c r="C776"/>
      <c r="D776"/>
      <c r="E776"/>
      <c r="F776"/>
      <c r="G776"/>
      <c r="H776"/>
      <c r="I776" s="406"/>
      <c r="J776"/>
      <c r="K776"/>
    </row>
    <row r="777" spans="1:11" ht="14.45">
      <c r="A777"/>
      <c r="B777"/>
      <c r="C777"/>
      <c r="D777"/>
      <c r="E777"/>
      <c r="F777"/>
      <c r="G777"/>
      <c r="H777"/>
      <c r="I777" s="406"/>
      <c r="J777"/>
      <c r="K777"/>
    </row>
    <row r="778" spans="1:11" ht="14.45">
      <c r="A778"/>
      <c r="B778"/>
      <c r="C778"/>
      <c r="D778"/>
      <c r="E778"/>
      <c r="F778"/>
      <c r="G778"/>
      <c r="H778"/>
      <c r="I778" s="406"/>
      <c r="J778"/>
      <c r="K778"/>
    </row>
    <row r="779" spans="1:11" ht="14.45">
      <c r="A779"/>
      <c r="B779"/>
      <c r="C779"/>
      <c r="D779"/>
      <c r="E779"/>
      <c r="F779"/>
      <c r="G779"/>
      <c r="H779"/>
      <c r="I779" s="406"/>
      <c r="J779"/>
      <c r="K779"/>
    </row>
    <row r="780" spans="1:11" ht="14.45">
      <c r="A780"/>
      <c r="B780"/>
      <c r="C780"/>
      <c r="D780"/>
      <c r="E780"/>
      <c r="F780"/>
      <c r="G780"/>
      <c r="H780"/>
      <c r="I780" s="406"/>
      <c r="J780"/>
      <c r="K780"/>
    </row>
    <row r="781" spans="1:11" ht="14.45">
      <c r="A781"/>
      <c r="B781"/>
      <c r="C781"/>
      <c r="D781"/>
      <c r="E781"/>
      <c r="F781"/>
      <c r="G781"/>
      <c r="H781"/>
      <c r="I781" s="406"/>
      <c r="J781"/>
      <c r="K781"/>
    </row>
    <row r="782" spans="1:11" ht="14.45">
      <c r="A782"/>
      <c r="B782"/>
      <c r="C782"/>
      <c r="D782"/>
      <c r="E782"/>
      <c r="F782"/>
      <c r="G782"/>
      <c r="H782"/>
      <c r="I782" s="406"/>
      <c r="J782"/>
      <c r="K782"/>
    </row>
    <row r="783" spans="1:11" ht="14.45">
      <c r="A783"/>
      <c r="B783"/>
      <c r="C783"/>
      <c r="D783"/>
      <c r="E783"/>
      <c r="F783"/>
      <c r="G783"/>
      <c r="H783"/>
      <c r="I783" s="406"/>
      <c r="J783"/>
      <c r="K783"/>
    </row>
    <row r="784" spans="1:11" ht="14.45">
      <c r="A784"/>
      <c r="B784"/>
      <c r="C784"/>
      <c r="D784"/>
      <c r="E784"/>
      <c r="F784"/>
      <c r="G784"/>
      <c r="H784"/>
      <c r="I784" s="406"/>
      <c r="J784"/>
      <c r="K784"/>
    </row>
    <row r="785" spans="1:11" ht="14.45">
      <c r="A785"/>
      <c r="B785"/>
      <c r="C785"/>
      <c r="D785"/>
      <c r="E785"/>
      <c r="F785"/>
      <c r="G785"/>
      <c r="H785"/>
      <c r="I785" s="406"/>
      <c r="J785"/>
      <c r="K785"/>
    </row>
    <row r="786" spans="1:11" ht="14.45">
      <c r="A786"/>
      <c r="B786"/>
      <c r="C786"/>
      <c r="D786"/>
      <c r="E786"/>
      <c r="F786"/>
      <c r="G786"/>
      <c r="H786"/>
      <c r="I786" s="406"/>
      <c r="J786"/>
      <c r="K786"/>
    </row>
    <row r="787" spans="1:11" ht="14.45">
      <c r="A787"/>
      <c r="B787"/>
      <c r="C787"/>
      <c r="D787"/>
      <c r="E787"/>
      <c r="F787"/>
      <c r="G787"/>
      <c r="H787"/>
      <c r="I787" s="406"/>
      <c r="J787"/>
      <c r="K787"/>
    </row>
    <row r="788" spans="1:11" ht="14.45">
      <c r="A788"/>
      <c r="B788"/>
      <c r="C788"/>
      <c r="D788"/>
      <c r="E788"/>
      <c r="F788"/>
      <c r="G788"/>
      <c r="H788"/>
      <c r="I788" s="406"/>
      <c r="J788"/>
      <c r="K788"/>
    </row>
    <row r="789" spans="1:11" ht="14.45">
      <c r="A789"/>
      <c r="B789"/>
      <c r="C789"/>
      <c r="D789"/>
      <c r="E789"/>
      <c r="F789"/>
      <c r="G789"/>
      <c r="H789"/>
      <c r="I789" s="406"/>
      <c r="J789"/>
      <c r="K789"/>
    </row>
    <row r="790" spans="1:11" ht="14.45">
      <c r="A790"/>
      <c r="B790"/>
      <c r="C790"/>
      <c r="D790"/>
      <c r="E790"/>
      <c r="F790"/>
      <c r="G790"/>
      <c r="H790"/>
      <c r="I790" s="406"/>
      <c r="J790"/>
      <c r="K790"/>
    </row>
    <row r="791" spans="1:11" ht="14.45">
      <c r="A791"/>
      <c r="B791"/>
      <c r="C791"/>
      <c r="D791"/>
      <c r="E791"/>
      <c r="F791"/>
      <c r="G791"/>
      <c r="H791"/>
      <c r="I791" s="406"/>
      <c r="J791"/>
      <c r="K791"/>
    </row>
    <row r="792" spans="1:11" ht="14.45">
      <c r="A792"/>
      <c r="B792"/>
      <c r="C792"/>
      <c r="D792"/>
      <c r="E792"/>
      <c r="F792"/>
      <c r="G792"/>
      <c r="H792"/>
      <c r="I792" s="406"/>
      <c r="J792"/>
      <c r="K792"/>
    </row>
    <row r="793" spans="1:11" ht="14.45">
      <c r="A793"/>
      <c r="B793"/>
      <c r="C793"/>
      <c r="D793"/>
      <c r="E793"/>
      <c r="F793"/>
      <c r="G793"/>
      <c r="H793"/>
      <c r="I793" s="406"/>
      <c r="J793"/>
      <c r="K793"/>
    </row>
    <row r="794" spans="1:11" ht="14.45">
      <c r="A794"/>
      <c r="B794"/>
      <c r="C794"/>
      <c r="D794"/>
      <c r="E794"/>
      <c r="F794"/>
      <c r="G794"/>
      <c r="H794"/>
      <c r="I794" s="406"/>
      <c r="J794"/>
      <c r="K794"/>
    </row>
    <row r="795" spans="1:11" ht="14.45">
      <c r="A795"/>
      <c r="B795"/>
      <c r="C795"/>
      <c r="D795"/>
      <c r="E795"/>
      <c r="F795"/>
      <c r="G795"/>
      <c r="H795"/>
      <c r="I795" s="406"/>
      <c r="J795"/>
      <c r="K795"/>
    </row>
    <row r="796" spans="1:11" ht="14.45">
      <c r="A796"/>
      <c r="B796"/>
      <c r="C796"/>
      <c r="D796"/>
      <c r="E796"/>
      <c r="F796"/>
      <c r="G796"/>
      <c r="H796"/>
      <c r="I796" s="406"/>
      <c r="J796"/>
      <c r="K796"/>
    </row>
    <row r="797" spans="1:11" ht="14.45">
      <c r="A797"/>
      <c r="B797"/>
      <c r="C797"/>
      <c r="D797"/>
      <c r="E797"/>
      <c r="F797"/>
      <c r="G797"/>
      <c r="H797"/>
      <c r="I797" s="406"/>
      <c r="J797"/>
      <c r="K797"/>
    </row>
    <row r="798" spans="1:11" ht="14.45">
      <c r="A798"/>
      <c r="B798"/>
      <c r="C798"/>
      <c r="D798"/>
      <c r="E798"/>
      <c r="F798"/>
      <c r="G798"/>
      <c r="H798"/>
      <c r="I798" s="406"/>
      <c r="J798"/>
      <c r="K798"/>
    </row>
    <row r="799" spans="1:11" ht="14.45">
      <c r="A799"/>
      <c r="B799"/>
      <c r="C799"/>
      <c r="D799"/>
      <c r="E799"/>
      <c r="F799"/>
      <c r="G799"/>
      <c r="H799"/>
      <c r="I799" s="406"/>
      <c r="J799"/>
      <c r="K799"/>
    </row>
    <row r="800" spans="1:11" ht="14.45">
      <c r="A800"/>
      <c r="B800"/>
      <c r="C800"/>
      <c r="D800"/>
      <c r="E800"/>
      <c r="F800"/>
      <c r="G800"/>
      <c r="H800"/>
      <c r="I800" s="406"/>
      <c r="J800"/>
      <c r="K800"/>
    </row>
    <row r="801" spans="1:11" ht="14.45">
      <c r="A801"/>
      <c r="B801"/>
      <c r="C801"/>
      <c r="D801"/>
      <c r="E801"/>
      <c r="F801"/>
      <c r="G801"/>
      <c r="H801"/>
      <c r="I801" s="406"/>
      <c r="J801"/>
      <c r="K801"/>
    </row>
    <row r="802" spans="1:11" ht="14.45">
      <c r="A802"/>
      <c r="B802"/>
      <c r="C802"/>
      <c r="D802"/>
      <c r="E802"/>
      <c r="F802"/>
      <c r="G802"/>
      <c r="H802"/>
      <c r="I802" s="406"/>
      <c r="J802"/>
      <c r="K802"/>
    </row>
    <row r="803" spans="1:11" ht="14.45">
      <c r="A803"/>
      <c r="B803"/>
      <c r="C803"/>
      <c r="D803"/>
      <c r="E803"/>
      <c r="F803"/>
      <c r="G803"/>
      <c r="H803"/>
      <c r="I803" s="406"/>
      <c r="J803"/>
      <c r="K803"/>
    </row>
    <row r="804" spans="1:11" ht="14.45">
      <c r="A804"/>
      <c r="B804"/>
      <c r="C804"/>
      <c r="D804"/>
      <c r="E804"/>
      <c r="F804"/>
      <c r="G804"/>
      <c r="H804"/>
      <c r="I804" s="406"/>
      <c r="J804"/>
      <c r="K804"/>
    </row>
    <row r="805" spans="1:11" ht="14.45">
      <c r="A805"/>
      <c r="B805"/>
      <c r="C805"/>
      <c r="D805"/>
      <c r="E805"/>
      <c r="F805"/>
      <c r="G805"/>
      <c r="H805"/>
      <c r="I805" s="406"/>
      <c r="J805"/>
      <c r="K805"/>
    </row>
    <row r="806" spans="1:11" ht="14.45">
      <c r="A806"/>
      <c r="B806"/>
      <c r="C806"/>
      <c r="D806"/>
      <c r="E806"/>
      <c r="F806"/>
      <c r="G806"/>
      <c r="H806"/>
      <c r="I806" s="406"/>
      <c r="J806"/>
      <c r="K806"/>
    </row>
    <row r="807" spans="1:11" ht="14.45">
      <c r="A807"/>
      <c r="B807"/>
      <c r="C807"/>
      <c r="D807"/>
      <c r="E807"/>
      <c r="F807"/>
      <c r="G807"/>
      <c r="H807"/>
      <c r="I807" s="406"/>
      <c r="J807"/>
      <c r="K807"/>
    </row>
    <row r="808" spans="1:11" ht="14.45">
      <c r="A808"/>
      <c r="B808"/>
      <c r="C808"/>
      <c r="D808"/>
      <c r="E808"/>
      <c r="F808"/>
      <c r="G808"/>
      <c r="H808"/>
      <c r="I808" s="406"/>
      <c r="J808"/>
      <c r="K808"/>
    </row>
    <row r="809" spans="1:11" ht="14.45">
      <c r="A809"/>
      <c r="B809"/>
      <c r="C809"/>
      <c r="D809"/>
      <c r="E809"/>
      <c r="F809"/>
      <c r="G809"/>
      <c r="H809"/>
      <c r="I809" s="406"/>
      <c r="J809"/>
      <c r="K809"/>
    </row>
    <row r="810" spans="1:11" ht="14.45">
      <c r="A810"/>
      <c r="B810"/>
      <c r="C810"/>
      <c r="D810"/>
      <c r="E810"/>
      <c r="F810"/>
      <c r="G810"/>
      <c r="H810"/>
      <c r="I810" s="406"/>
      <c r="J810"/>
      <c r="K810"/>
    </row>
    <row r="811" spans="1:11" ht="14.45">
      <c r="A811"/>
      <c r="B811"/>
      <c r="C811"/>
      <c r="D811"/>
      <c r="E811"/>
      <c r="F811"/>
      <c r="G811"/>
      <c r="H811"/>
      <c r="I811" s="406"/>
      <c r="J811"/>
      <c r="K811"/>
    </row>
    <row r="812" spans="1:11" ht="14.45">
      <c r="A812"/>
      <c r="B812"/>
      <c r="C812"/>
      <c r="D812"/>
      <c r="E812"/>
      <c r="F812"/>
      <c r="G812"/>
      <c r="H812"/>
      <c r="I812" s="406"/>
      <c r="J812"/>
      <c r="K812"/>
    </row>
    <row r="813" spans="1:11" ht="14.45">
      <c r="A813"/>
      <c r="B813"/>
      <c r="C813"/>
      <c r="D813"/>
      <c r="E813"/>
      <c r="F813"/>
      <c r="G813"/>
      <c r="H813"/>
      <c r="I813" s="406"/>
      <c r="J813"/>
      <c r="K813"/>
    </row>
    <row r="814" spans="1:11" ht="14.45">
      <c r="A814"/>
      <c r="B814"/>
      <c r="C814"/>
      <c r="D814"/>
      <c r="E814"/>
      <c r="F814"/>
      <c r="G814"/>
      <c r="H814"/>
      <c r="I814" s="406"/>
      <c r="J814"/>
      <c r="K814"/>
    </row>
    <row r="815" spans="1:11" ht="14.45">
      <c r="A815"/>
      <c r="B815"/>
      <c r="C815"/>
      <c r="D815"/>
      <c r="E815"/>
      <c r="F815"/>
      <c r="G815"/>
      <c r="H815"/>
      <c r="I815" s="406"/>
      <c r="J815"/>
      <c r="K815"/>
    </row>
    <row r="816" spans="1:11" ht="14.45">
      <c r="A816"/>
      <c r="B816"/>
      <c r="C816"/>
      <c r="D816"/>
      <c r="E816"/>
      <c r="F816"/>
      <c r="G816"/>
      <c r="H816"/>
      <c r="I816" s="406"/>
      <c r="J816"/>
      <c r="K816"/>
    </row>
    <row r="817" spans="1:11" ht="14.45">
      <c r="A817"/>
      <c r="B817"/>
      <c r="C817"/>
      <c r="D817"/>
      <c r="E817"/>
      <c r="F817"/>
      <c r="G817"/>
      <c r="H817"/>
      <c r="I817" s="406"/>
      <c r="J817"/>
      <c r="K817"/>
    </row>
    <row r="818" spans="1:11" ht="14.45">
      <c r="A818"/>
      <c r="B818"/>
      <c r="C818"/>
      <c r="D818"/>
      <c r="E818"/>
      <c r="F818"/>
      <c r="G818"/>
      <c r="H818"/>
      <c r="I818" s="406"/>
      <c r="J818"/>
      <c r="K818"/>
    </row>
    <row r="819" spans="1:11" ht="14.45">
      <c r="A819"/>
      <c r="B819"/>
      <c r="C819"/>
      <c r="D819"/>
      <c r="E819"/>
      <c r="F819"/>
      <c r="G819"/>
      <c r="H819"/>
      <c r="I819" s="406"/>
      <c r="J819"/>
      <c r="K819"/>
    </row>
    <row r="820" spans="1:11" ht="14.45">
      <c r="A820"/>
      <c r="B820"/>
      <c r="C820"/>
      <c r="D820"/>
      <c r="E820"/>
      <c r="F820"/>
      <c r="G820"/>
      <c r="H820"/>
      <c r="I820" s="406"/>
      <c r="J820"/>
      <c r="K820"/>
    </row>
    <row r="821" spans="1:11" ht="14.45">
      <c r="A821"/>
      <c r="B821"/>
      <c r="C821"/>
      <c r="D821"/>
      <c r="E821"/>
      <c r="F821"/>
      <c r="G821"/>
      <c r="H821"/>
      <c r="I821" s="406"/>
      <c r="J821"/>
      <c r="K821"/>
    </row>
    <row r="822" spans="1:11" ht="14.45">
      <c r="A822"/>
      <c r="B822"/>
      <c r="C822"/>
      <c r="D822"/>
      <c r="E822"/>
      <c r="F822"/>
      <c r="G822"/>
      <c r="H822"/>
      <c r="I822" s="406"/>
      <c r="J822"/>
      <c r="K822"/>
    </row>
    <row r="823" spans="1:11" ht="14.45">
      <c r="A823"/>
      <c r="B823"/>
      <c r="C823"/>
      <c r="D823"/>
      <c r="E823"/>
      <c r="F823"/>
      <c r="G823"/>
      <c r="H823"/>
      <c r="I823" s="406"/>
      <c r="J823"/>
      <c r="K823"/>
    </row>
    <row r="824" spans="1:11" ht="14.45">
      <c r="A824"/>
      <c r="B824"/>
      <c r="C824"/>
      <c r="D824"/>
      <c r="E824"/>
      <c r="F824"/>
      <c r="G824"/>
      <c r="H824"/>
      <c r="I824" s="406"/>
      <c r="J824"/>
      <c r="K824"/>
    </row>
    <row r="825" spans="1:11" ht="14.45">
      <c r="A825"/>
      <c r="B825"/>
      <c r="C825"/>
      <c r="D825"/>
      <c r="E825"/>
      <c r="F825"/>
      <c r="G825"/>
      <c r="H825"/>
      <c r="I825" s="406"/>
      <c r="J825"/>
      <c r="K825"/>
    </row>
    <row r="826" spans="1:11" ht="14.45">
      <c r="A826"/>
      <c r="B826"/>
      <c r="C826"/>
      <c r="D826"/>
      <c r="E826"/>
      <c r="F826"/>
      <c r="G826"/>
      <c r="H826"/>
      <c r="I826" s="406"/>
      <c r="J826"/>
      <c r="K826"/>
    </row>
    <row r="827" spans="1:11" ht="14.45">
      <c r="A827"/>
      <c r="B827"/>
      <c r="C827"/>
      <c r="D827"/>
      <c r="E827"/>
      <c r="F827"/>
      <c r="G827"/>
      <c r="H827"/>
      <c r="I827" s="406"/>
      <c r="J827"/>
      <c r="K827"/>
    </row>
    <row r="828" spans="1:11" ht="14.45">
      <c r="A828"/>
      <c r="B828"/>
      <c r="C828"/>
      <c r="D828"/>
      <c r="E828"/>
      <c r="F828"/>
      <c r="G828"/>
      <c r="H828"/>
      <c r="I828" s="406"/>
      <c r="J828"/>
      <c r="K828"/>
    </row>
    <row r="829" spans="1:11" ht="14.45">
      <c r="A829"/>
      <c r="B829"/>
      <c r="C829"/>
      <c r="D829"/>
      <c r="E829"/>
      <c r="F829"/>
      <c r="G829"/>
      <c r="H829"/>
      <c r="I829" s="406"/>
      <c r="J829"/>
      <c r="K829"/>
    </row>
    <row r="830" spans="1:11" ht="14.45">
      <c r="A830"/>
      <c r="B830"/>
      <c r="C830"/>
      <c r="D830"/>
      <c r="E830"/>
      <c r="F830"/>
      <c r="G830"/>
      <c r="H830"/>
      <c r="I830" s="406"/>
      <c r="J830"/>
      <c r="K830"/>
    </row>
    <row r="831" spans="1:11" ht="14.45">
      <c r="A831"/>
      <c r="B831"/>
      <c r="C831"/>
      <c r="D831"/>
      <c r="E831"/>
      <c r="F831"/>
      <c r="G831"/>
      <c r="H831"/>
      <c r="I831" s="406"/>
      <c r="J831"/>
      <c r="K831"/>
    </row>
    <row r="832" spans="1:11" ht="14.45">
      <c r="A832"/>
      <c r="B832"/>
      <c r="C832"/>
      <c r="D832"/>
      <c r="E832"/>
      <c r="F832"/>
      <c r="G832"/>
      <c r="H832"/>
      <c r="I832" s="406"/>
      <c r="J832"/>
      <c r="K832"/>
    </row>
    <row r="833" spans="1:11" ht="14.45">
      <c r="A833"/>
      <c r="B833"/>
      <c r="C833"/>
      <c r="D833"/>
      <c r="E833"/>
      <c r="F833"/>
      <c r="G833"/>
      <c r="H833"/>
      <c r="I833" s="406"/>
      <c r="J833"/>
      <c r="K833"/>
    </row>
    <row r="834" spans="1:11" ht="14.45">
      <c r="A834"/>
      <c r="B834"/>
      <c r="C834"/>
      <c r="D834"/>
      <c r="E834"/>
      <c r="F834"/>
      <c r="G834"/>
      <c r="H834"/>
      <c r="I834" s="406"/>
      <c r="J834"/>
      <c r="K834"/>
    </row>
    <row r="835" spans="1:11" ht="14.45">
      <c r="A835"/>
      <c r="B835"/>
      <c r="C835"/>
      <c r="D835"/>
      <c r="E835"/>
      <c r="F835"/>
      <c r="G835"/>
      <c r="H835"/>
      <c r="I835" s="406"/>
      <c r="J835"/>
      <c r="K835"/>
    </row>
    <row r="836" spans="1:11" ht="14.45">
      <c r="A836"/>
      <c r="B836"/>
      <c r="C836"/>
      <c r="D836"/>
      <c r="E836"/>
      <c r="F836"/>
      <c r="G836"/>
      <c r="H836"/>
      <c r="I836" s="406"/>
      <c r="J836"/>
      <c r="K836"/>
    </row>
    <row r="837" spans="1:11" ht="14.45">
      <c r="A837"/>
      <c r="B837"/>
      <c r="C837"/>
      <c r="D837"/>
      <c r="E837"/>
      <c r="F837"/>
      <c r="G837"/>
      <c r="H837"/>
      <c r="I837" s="406"/>
      <c r="J837"/>
      <c r="K837"/>
    </row>
    <row r="838" spans="1:11" ht="14.45">
      <c r="A838"/>
      <c r="B838"/>
      <c r="C838"/>
      <c r="D838"/>
      <c r="E838"/>
      <c r="F838"/>
      <c r="G838"/>
      <c r="H838"/>
      <c r="I838" s="406"/>
      <c r="J838"/>
      <c r="K838"/>
    </row>
    <row r="839" spans="1:11" ht="14.45">
      <c r="A839"/>
      <c r="B839"/>
      <c r="C839"/>
      <c r="D839"/>
      <c r="E839"/>
      <c r="F839"/>
      <c r="G839"/>
      <c r="H839"/>
      <c r="I839" s="406"/>
      <c r="J839"/>
      <c r="K839"/>
    </row>
    <row r="840" spans="1:11" ht="14.45">
      <c r="A840"/>
      <c r="B840"/>
      <c r="C840"/>
      <c r="D840"/>
      <c r="E840"/>
      <c r="F840"/>
      <c r="G840"/>
      <c r="H840"/>
      <c r="I840" s="406"/>
      <c r="J840"/>
      <c r="K840"/>
    </row>
    <row r="841" spans="1:11" ht="14.45">
      <c r="A841"/>
      <c r="B841"/>
      <c r="C841"/>
      <c r="D841"/>
      <c r="E841"/>
      <c r="F841"/>
      <c r="G841"/>
      <c r="H841"/>
      <c r="I841" s="406"/>
      <c r="J841"/>
      <c r="K841"/>
    </row>
    <row r="842" spans="1:11" ht="14.45">
      <c r="A842"/>
      <c r="B842"/>
      <c r="C842"/>
      <c r="D842"/>
      <c r="E842"/>
      <c r="F842"/>
      <c r="G842"/>
      <c r="H842"/>
      <c r="I842" s="406"/>
      <c r="J842"/>
      <c r="K842"/>
    </row>
    <row r="843" spans="1:11" ht="14.45">
      <c r="A843"/>
      <c r="B843"/>
      <c r="C843"/>
      <c r="D843"/>
      <c r="E843"/>
      <c r="F843"/>
      <c r="G843"/>
      <c r="H843"/>
      <c r="I843" s="406"/>
      <c r="J843"/>
      <c r="K843"/>
    </row>
    <row r="844" spans="1:11" ht="14.45">
      <c r="A844"/>
      <c r="B844"/>
      <c r="C844"/>
      <c r="D844"/>
      <c r="E844"/>
      <c r="F844"/>
      <c r="G844"/>
      <c r="H844"/>
      <c r="I844" s="406"/>
      <c r="J844"/>
      <c r="K844"/>
    </row>
    <row r="845" spans="1:11" ht="14.45">
      <c r="A845"/>
      <c r="B845"/>
      <c r="C845"/>
      <c r="D845"/>
      <c r="E845"/>
      <c r="F845"/>
      <c r="G845"/>
      <c r="H845"/>
      <c r="I845" s="406"/>
      <c r="J845"/>
      <c r="K845"/>
    </row>
    <row r="846" spans="1:11" ht="14.45">
      <c r="A846"/>
      <c r="B846"/>
      <c r="C846"/>
      <c r="D846"/>
      <c r="E846"/>
      <c r="F846"/>
      <c r="G846"/>
      <c r="H846"/>
      <c r="I846" s="406"/>
      <c r="J846"/>
      <c r="K846"/>
    </row>
    <row r="847" spans="1:11" ht="14.45">
      <c r="A847"/>
      <c r="B847"/>
      <c r="C847"/>
      <c r="D847"/>
      <c r="E847"/>
      <c r="F847"/>
      <c r="G847"/>
      <c r="H847"/>
      <c r="I847" s="406"/>
      <c r="J847"/>
      <c r="K847"/>
    </row>
    <row r="848" spans="1:11" ht="14.45">
      <c r="A848"/>
      <c r="B848"/>
      <c r="C848"/>
      <c r="D848"/>
      <c r="E848"/>
      <c r="F848"/>
      <c r="G848"/>
      <c r="H848"/>
      <c r="I848" s="406"/>
      <c r="J848"/>
      <c r="K848"/>
    </row>
    <row r="849" spans="1:11" ht="14.45">
      <c r="A849"/>
      <c r="B849"/>
      <c r="C849"/>
      <c r="D849"/>
      <c r="E849"/>
      <c r="F849"/>
      <c r="G849"/>
      <c r="H849"/>
      <c r="I849" s="406"/>
      <c r="J849"/>
      <c r="K849"/>
    </row>
    <row r="850" spans="1:11" ht="14.45">
      <c r="A850"/>
      <c r="B850"/>
      <c r="C850"/>
      <c r="D850"/>
      <c r="E850"/>
      <c r="F850"/>
      <c r="G850"/>
      <c r="H850"/>
      <c r="I850" s="406"/>
      <c r="J850"/>
      <c r="K850"/>
    </row>
    <row r="851" spans="1:11" ht="14.45">
      <c r="A851"/>
      <c r="B851"/>
      <c r="C851"/>
      <c r="D851"/>
      <c r="E851"/>
      <c r="F851"/>
      <c r="G851"/>
      <c r="H851"/>
      <c r="I851" s="406"/>
      <c r="J851"/>
      <c r="K851"/>
    </row>
    <row r="852" spans="1:11" ht="14.45">
      <c r="A852"/>
      <c r="B852"/>
      <c r="C852"/>
      <c r="D852"/>
      <c r="E852"/>
      <c r="F852"/>
      <c r="G852"/>
      <c r="H852"/>
      <c r="I852" s="406"/>
      <c r="J852"/>
      <c r="K852"/>
    </row>
    <row r="853" spans="1:11" ht="14.45">
      <c r="A853"/>
      <c r="B853"/>
      <c r="C853"/>
      <c r="D853"/>
      <c r="E853"/>
      <c r="F853"/>
      <c r="G853"/>
      <c r="H853"/>
      <c r="I853" s="406"/>
      <c r="J853"/>
      <c r="K853"/>
    </row>
    <row r="854" spans="1:11" ht="14.45">
      <c r="A854"/>
      <c r="B854"/>
      <c r="C854"/>
      <c r="D854"/>
      <c r="E854"/>
      <c r="F854"/>
      <c r="G854"/>
      <c r="H854"/>
      <c r="I854" s="406"/>
      <c r="J854"/>
      <c r="K854"/>
    </row>
    <row r="855" spans="1:11" ht="14.45">
      <c r="A855"/>
      <c r="B855"/>
      <c r="C855"/>
      <c r="D855"/>
      <c r="E855"/>
      <c r="F855"/>
      <c r="G855"/>
      <c r="H855"/>
      <c r="I855" s="406"/>
      <c r="J855"/>
      <c r="K855"/>
    </row>
    <row r="856" spans="1:11" ht="14.45">
      <c r="A856"/>
      <c r="B856"/>
      <c r="C856"/>
      <c r="D856"/>
      <c r="E856"/>
      <c r="F856"/>
      <c r="G856"/>
      <c r="H856"/>
      <c r="I856" s="406"/>
      <c r="J856"/>
      <c r="K856"/>
    </row>
    <row r="857" spans="1:11" ht="14.45">
      <c r="A857"/>
      <c r="B857"/>
      <c r="C857"/>
      <c r="D857"/>
      <c r="E857"/>
      <c r="F857"/>
      <c r="G857"/>
      <c r="H857"/>
      <c r="I857" s="406"/>
      <c r="J857"/>
      <c r="K857"/>
    </row>
    <row r="858" spans="1:11" ht="14.45">
      <c r="A858"/>
      <c r="B858"/>
      <c r="C858"/>
      <c r="D858"/>
      <c r="E858"/>
      <c r="F858"/>
      <c r="G858"/>
      <c r="H858"/>
      <c r="I858" s="406"/>
      <c r="J858"/>
      <c r="K858"/>
    </row>
    <row r="859" spans="1:11" ht="14.45">
      <c r="A859"/>
      <c r="B859"/>
      <c r="C859"/>
      <c r="D859"/>
      <c r="E859"/>
      <c r="F859"/>
      <c r="G859"/>
      <c r="H859"/>
      <c r="I859" s="406"/>
      <c r="J859"/>
      <c r="K859"/>
    </row>
    <row r="860" spans="1:11" ht="14.45">
      <c r="A860"/>
      <c r="B860"/>
      <c r="C860"/>
      <c r="D860"/>
      <c r="E860"/>
      <c r="F860"/>
      <c r="G860"/>
      <c r="H860"/>
      <c r="I860" s="406"/>
      <c r="J860"/>
      <c r="K860"/>
    </row>
    <row r="861" spans="1:11" ht="14.45">
      <c r="A861"/>
      <c r="B861"/>
      <c r="C861"/>
      <c r="D861"/>
      <c r="E861"/>
      <c r="F861"/>
      <c r="G861"/>
      <c r="H861"/>
      <c r="I861" s="406"/>
      <c r="J861"/>
      <c r="K861"/>
    </row>
    <row r="862" spans="1:11" ht="14.45">
      <c r="A862"/>
      <c r="B862"/>
      <c r="C862"/>
      <c r="D862"/>
      <c r="E862"/>
      <c r="F862"/>
      <c r="G862"/>
      <c r="H862"/>
      <c r="I862" s="406"/>
      <c r="J862"/>
      <c r="K862"/>
    </row>
    <row r="863" spans="1:11" ht="14.45">
      <c r="A863"/>
      <c r="B863"/>
      <c r="C863"/>
      <c r="D863"/>
      <c r="E863"/>
      <c r="F863"/>
      <c r="G863"/>
      <c r="H863"/>
      <c r="I863" s="406"/>
      <c r="J863"/>
      <c r="K863"/>
    </row>
    <row r="864" spans="1:11" ht="14.45">
      <c r="A864"/>
      <c r="B864"/>
      <c r="C864"/>
      <c r="D864"/>
      <c r="E864"/>
      <c r="F864"/>
      <c r="G864"/>
      <c r="H864"/>
      <c r="I864" s="406"/>
      <c r="J864"/>
      <c r="K864"/>
    </row>
    <row r="865" spans="1:11" ht="14.45">
      <c r="A865"/>
      <c r="B865"/>
      <c r="C865"/>
      <c r="D865"/>
      <c r="E865"/>
      <c r="F865"/>
      <c r="G865"/>
      <c r="H865"/>
      <c r="I865" s="406"/>
      <c r="J865"/>
      <c r="K865"/>
    </row>
    <row r="866" spans="1:11" ht="14.45">
      <c r="A866"/>
      <c r="B866"/>
      <c r="C866"/>
      <c r="D866"/>
      <c r="E866"/>
      <c r="F866"/>
      <c r="G866"/>
      <c r="H866"/>
      <c r="I866" s="406"/>
      <c r="J866"/>
      <c r="K866"/>
    </row>
    <row r="867" spans="1:11" ht="14.45">
      <c r="A867"/>
      <c r="B867"/>
      <c r="C867"/>
      <c r="D867"/>
      <c r="E867"/>
      <c r="F867"/>
      <c r="G867"/>
      <c r="H867"/>
      <c r="I867" s="406"/>
      <c r="J867"/>
      <c r="K867"/>
    </row>
    <row r="868" spans="1:11" ht="14.45">
      <c r="A868"/>
      <c r="B868"/>
      <c r="C868"/>
      <c r="D868"/>
      <c r="E868"/>
      <c r="F868"/>
      <c r="G868"/>
      <c r="H868"/>
      <c r="I868" s="406"/>
      <c r="J868"/>
      <c r="K868"/>
    </row>
    <row r="869" spans="1:11" ht="14.45">
      <c r="A869"/>
      <c r="B869"/>
      <c r="C869"/>
      <c r="D869"/>
      <c r="E869"/>
      <c r="F869"/>
      <c r="G869"/>
      <c r="H869"/>
      <c r="I869" s="406"/>
      <c r="J869"/>
      <c r="K869"/>
    </row>
    <row r="870" spans="1:11" ht="14.45">
      <c r="A870"/>
      <c r="B870"/>
      <c r="C870"/>
      <c r="D870"/>
      <c r="E870"/>
      <c r="F870"/>
      <c r="G870"/>
      <c r="H870"/>
      <c r="I870" s="406"/>
      <c r="J870"/>
      <c r="K870"/>
    </row>
    <row r="871" spans="1:11" ht="14.45">
      <c r="A871"/>
      <c r="B871"/>
      <c r="C871"/>
      <c r="D871"/>
      <c r="E871"/>
      <c r="F871"/>
      <c r="G871"/>
      <c r="H871"/>
      <c r="I871" s="406"/>
      <c r="J871"/>
      <c r="K871"/>
    </row>
    <row r="872" spans="1:11" ht="14.45">
      <c r="A872"/>
      <c r="B872"/>
      <c r="C872"/>
      <c r="D872"/>
      <c r="E872"/>
      <c r="F872"/>
      <c r="G872"/>
      <c r="H872"/>
      <c r="I872" s="406"/>
      <c r="J872"/>
      <c r="K872"/>
    </row>
    <row r="873" spans="1:11" ht="14.45">
      <c r="A873"/>
      <c r="B873"/>
      <c r="C873"/>
      <c r="D873"/>
      <c r="E873"/>
      <c r="F873"/>
      <c r="G873"/>
      <c r="H873"/>
      <c r="I873" s="406"/>
      <c r="J873"/>
      <c r="K873"/>
    </row>
    <row r="874" spans="1:11" ht="14.45">
      <c r="A874"/>
      <c r="B874"/>
      <c r="C874"/>
      <c r="D874"/>
      <c r="E874"/>
      <c r="F874"/>
      <c r="G874"/>
      <c r="H874"/>
      <c r="I874" s="406"/>
      <c r="J874"/>
      <c r="K874"/>
    </row>
    <row r="875" spans="1:11" ht="14.45">
      <c r="A875"/>
      <c r="B875"/>
      <c r="C875"/>
      <c r="D875"/>
      <c r="E875"/>
      <c r="F875"/>
      <c r="G875"/>
      <c r="H875"/>
      <c r="I875" s="406"/>
      <c r="J875"/>
      <c r="K875"/>
    </row>
    <row r="876" spans="1:11" ht="14.45">
      <c r="A876"/>
      <c r="B876"/>
      <c r="C876"/>
      <c r="D876"/>
      <c r="E876"/>
      <c r="F876"/>
      <c r="G876"/>
      <c r="H876"/>
      <c r="I876" s="406"/>
      <c r="J876"/>
      <c r="K876"/>
    </row>
    <row r="877" spans="1:11" ht="14.45">
      <c r="A877"/>
      <c r="B877"/>
      <c r="C877"/>
      <c r="D877"/>
      <c r="E877"/>
      <c r="F877"/>
      <c r="G877"/>
      <c r="H877"/>
      <c r="I877" s="406"/>
      <c r="J877"/>
      <c r="K877"/>
    </row>
    <row r="878" spans="1:11" ht="14.45">
      <c r="A878"/>
      <c r="B878"/>
      <c r="C878"/>
      <c r="D878"/>
      <c r="E878"/>
      <c r="F878"/>
      <c r="G878"/>
      <c r="H878"/>
      <c r="I878" s="406"/>
      <c r="J878"/>
      <c r="K878"/>
    </row>
    <row r="879" spans="1:11" ht="14.45">
      <c r="A879"/>
      <c r="B879"/>
      <c r="C879"/>
      <c r="D879"/>
      <c r="E879"/>
      <c r="F879"/>
      <c r="G879"/>
      <c r="H879"/>
      <c r="I879" s="406"/>
      <c r="J879"/>
      <c r="K879"/>
    </row>
    <row r="880" spans="1:11" ht="14.45">
      <c r="A880"/>
      <c r="B880"/>
      <c r="C880"/>
      <c r="D880"/>
      <c r="E880"/>
      <c r="F880"/>
      <c r="G880"/>
      <c r="H880"/>
      <c r="I880" s="406"/>
      <c r="J880"/>
      <c r="K880"/>
    </row>
    <row r="881" spans="1:11" ht="14.45">
      <c r="A881"/>
      <c r="B881"/>
      <c r="C881"/>
      <c r="D881"/>
      <c r="E881"/>
      <c r="F881"/>
      <c r="G881"/>
      <c r="H881"/>
      <c r="I881" s="406"/>
      <c r="J881"/>
      <c r="K881"/>
    </row>
    <row r="882" spans="1:11" ht="14.45">
      <c r="A882"/>
      <c r="B882"/>
      <c r="C882"/>
      <c r="D882"/>
      <c r="E882"/>
      <c r="F882"/>
      <c r="G882"/>
      <c r="H882"/>
      <c r="I882" s="406"/>
      <c r="J882"/>
      <c r="K882"/>
    </row>
    <row r="883" spans="1:11" ht="14.45">
      <c r="A883"/>
      <c r="B883"/>
      <c r="C883"/>
      <c r="D883"/>
      <c r="E883"/>
      <c r="F883"/>
      <c r="G883"/>
      <c r="H883"/>
      <c r="I883" s="406"/>
      <c r="J883"/>
      <c r="K883"/>
    </row>
    <row r="884" spans="1:11" ht="14.45">
      <c r="A884"/>
      <c r="B884"/>
      <c r="C884"/>
      <c r="D884"/>
      <c r="E884"/>
      <c r="F884"/>
      <c r="G884"/>
      <c r="H884"/>
      <c r="I884" s="406"/>
      <c r="J884"/>
      <c r="K884"/>
    </row>
    <row r="885" spans="1:11" ht="14.45">
      <c r="A885"/>
      <c r="B885"/>
      <c r="C885"/>
      <c r="D885"/>
      <c r="E885"/>
      <c r="F885"/>
      <c r="G885"/>
      <c r="H885"/>
      <c r="I885" s="406"/>
      <c r="J885"/>
      <c r="K885"/>
    </row>
    <row r="886" spans="1:11" ht="14.45">
      <c r="A886"/>
      <c r="B886"/>
      <c r="C886"/>
      <c r="D886"/>
      <c r="E886"/>
      <c r="F886"/>
      <c r="G886"/>
      <c r="H886"/>
      <c r="I886" s="406"/>
      <c r="J886"/>
      <c r="K886"/>
    </row>
    <row r="887" spans="1:11" ht="14.45">
      <c r="A887"/>
      <c r="B887"/>
      <c r="C887"/>
      <c r="D887"/>
      <c r="E887"/>
      <c r="F887"/>
      <c r="G887"/>
      <c r="H887"/>
      <c r="I887" s="406"/>
      <c r="J887"/>
      <c r="K887"/>
    </row>
    <row r="888" spans="1:11" ht="14.45">
      <c r="A888"/>
      <c r="B888"/>
      <c r="C888"/>
      <c r="D888"/>
      <c r="E888"/>
      <c r="F888"/>
      <c r="G888"/>
      <c r="H888"/>
      <c r="I888" s="406"/>
      <c r="J888"/>
      <c r="K888"/>
    </row>
    <row r="889" spans="1:11" ht="14.45">
      <c r="A889"/>
      <c r="B889"/>
      <c r="C889"/>
      <c r="D889"/>
      <c r="E889"/>
      <c r="F889"/>
      <c r="G889"/>
      <c r="H889"/>
      <c r="I889" s="406"/>
      <c r="J889"/>
      <c r="K889"/>
    </row>
    <row r="890" spans="1:11" ht="14.45">
      <c r="A890"/>
      <c r="B890"/>
      <c r="C890"/>
      <c r="D890"/>
      <c r="E890"/>
      <c r="F890"/>
      <c r="G890"/>
      <c r="H890"/>
      <c r="I890" s="406"/>
      <c r="J890"/>
      <c r="K890"/>
    </row>
    <row r="891" spans="1:11" ht="14.45">
      <c r="A891"/>
      <c r="B891"/>
      <c r="C891"/>
      <c r="D891"/>
      <c r="E891"/>
      <c r="F891"/>
      <c r="G891"/>
      <c r="H891"/>
      <c r="I891" s="406"/>
      <c r="J891"/>
      <c r="K891"/>
    </row>
    <row r="892" spans="1:11" ht="14.45">
      <c r="A892"/>
      <c r="B892"/>
      <c r="C892"/>
      <c r="D892"/>
      <c r="E892"/>
      <c r="F892"/>
      <c r="G892"/>
      <c r="H892"/>
      <c r="I892" s="406"/>
      <c r="J892"/>
      <c r="K892"/>
    </row>
    <row r="893" spans="1:11" ht="14.45">
      <c r="A893"/>
      <c r="B893"/>
      <c r="C893"/>
      <c r="D893"/>
      <c r="E893"/>
      <c r="F893"/>
      <c r="G893"/>
      <c r="H893"/>
      <c r="I893" s="406"/>
      <c r="J893"/>
      <c r="K893"/>
    </row>
    <row r="894" spans="1:11" ht="14.45">
      <c r="A894"/>
      <c r="B894"/>
      <c r="C894"/>
      <c r="D894"/>
      <c r="E894"/>
      <c r="F894"/>
      <c r="G894"/>
      <c r="H894"/>
      <c r="I894" s="406"/>
      <c r="J894"/>
      <c r="K894"/>
    </row>
    <row r="895" spans="1:11" ht="14.45">
      <c r="A895"/>
      <c r="B895"/>
      <c r="C895"/>
      <c r="D895"/>
      <c r="E895"/>
      <c r="F895"/>
      <c r="G895"/>
      <c r="H895"/>
      <c r="I895" s="406"/>
      <c r="J895"/>
      <c r="K895"/>
    </row>
    <row r="896" spans="1:11" ht="14.45">
      <c r="A896"/>
      <c r="B896"/>
      <c r="C896"/>
      <c r="D896"/>
      <c r="E896"/>
      <c r="F896"/>
      <c r="G896"/>
      <c r="H896"/>
      <c r="I896" s="406"/>
      <c r="J896"/>
      <c r="K896"/>
    </row>
    <row r="897" spans="1:11" ht="14.45">
      <c r="A897"/>
      <c r="B897"/>
      <c r="C897"/>
      <c r="D897"/>
      <c r="E897"/>
      <c r="F897"/>
      <c r="G897"/>
      <c r="H897"/>
      <c r="I897" s="406"/>
      <c r="J897"/>
      <c r="K897"/>
    </row>
    <row r="898" spans="1:11" ht="14.45">
      <c r="A898"/>
      <c r="B898"/>
      <c r="C898"/>
      <c r="D898"/>
      <c r="E898"/>
      <c r="F898"/>
      <c r="G898"/>
      <c r="H898"/>
      <c r="I898" s="406"/>
      <c r="J898"/>
      <c r="K898"/>
    </row>
    <row r="899" spans="1:11" ht="14.45">
      <c r="A899"/>
      <c r="B899"/>
      <c r="C899"/>
      <c r="D899"/>
      <c r="E899"/>
      <c r="F899"/>
      <c r="G899"/>
      <c r="H899"/>
      <c r="I899" s="406"/>
      <c r="J899"/>
      <c r="K899"/>
    </row>
    <row r="900" spans="1:11" ht="14.45">
      <c r="A900"/>
      <c r="B900"/>
      <c r="C900"/>
      <c r="D900"/>
      <c r="E900"/>
      <c r="F900"/>
      <c r="G900"/>
      <c r="H900"/>
      <c r="I900" s="406"/>
      <c r="J900"/>
      <c r="K900"/>
    </row>
    <row r="901" spans="1:11" ht="14.45">
      <c r="A901"/>
      <c r="B901"/>
      <c r="C901"/>
      <c r="D901"/>
      <c r="E901"/>
      <c r="F901"/>
      <c r="G901"/>
      <c r="H901"/>
      <c r="I901" s="406"/>
      <c r="J901"/>
      <c r="K901"/>
    </row>
    <row r="902" spans="1:11" ht="14.45">
      <c r="A902"/>
      <c r="B902"/>
      <c r="C902"/>
      <c r="D902"/>
      <c r="E902"/>
      <c r="F902"/>
      <c r="G902"/>
      <c r="H902"/>
      <c r="I902" s="406"/>
      <c r="J902"/>
      <c r="K902"/>
    </row>
    <row r="903" spans="1:11" ht="14.45">
      <c r="A903"/>
      <c r="B903"/>
      <c r="C903"/>
      <c r="D903"/>
      <c r="E903"/>
      <c r="F903"/>
      <c r="G903"/>
      <c r="H903"/>
      <c r="I903" s="406"/>
      <c r="J903"/>
      <c r="K903"/>
    </row>
    <row r="904" spans="1:11" ht="14.45">
      <c r="A904"/>
      <c r="B904"/>
      <c r="C904"/>
      <c r="D904"/>
      <c r="E904"/>
      <c r="F904"/>
      <c r="G904"/>
      <c r="H904"/>
      <c r="I904" s="406"/>
      <c r="J904"/>
      <c r="K904"/>
    </row>
    <row r="905" spans="1:11" ht="14.45">
      <c r="A905"/>
      <c r="B905"/>
      <c r="C905"/>
      <c r="D905"/>
      <c r="E905"/>
      <c r="F905"/>
      <c r="G905"/>
      <c r="H905"/>
      <c r="I905" s="406"/>
      <c r="J905"/>
      <c r="K905"/>
    </row>
    <row r="906" spans="1:11" ht="14.45">
      <c r="A906"/>
      <c r="B906"/>
      <c r="C906"/>
      <c r="D906"/>
      <c r="E906"/>
      <c r="F906"/>
      <c r="G906"/>
      <c r="H906"/>
      <c r="I906" s="406"/>
      <c r="J906"/>
      <c r="K906"/>
    </row>
    <row r="907" spans="1:11" ht="14.45">
      <c r="A907"/>
      <c r="B907"/>
      <c r="C907"/>
      <c r="D907"/>
      <c r="E907"/>
      <c r="F907"/>
      <c r="G907"/>
      <c r="H907"/>
      <c r="I907" s="406"/>
      <c r="J907"/>
      <c r="K907"/>
    </row>
    <row r="908" spans="1:11" ht="14.45">
      <c r="A908"/>
      <c r="B908"/>
      <c r="C908"/>
      <c r="D908"/>
      <c r="E908"/>
      <c r="F908"/>
      <c r="G908"/>
      <c r="H908"/>
      <c r="I908" s="406"/>
      <c r="J908"/>
      <c r="K908"/>
    </row>
    <row r="909" spans="1:11" ht="14.45">
      <c r="A909"/>
      <c r="B909"/>
      <c r="C909"/>
      <c r="D909"/>
      <c r="E909"/>
      <c r="F909"/>
      <c r="G909"/>
      <c r="H909"/>
      <c r="I909" s="406"/>
      <c r="J909"/>
      <c r="K909"/>
    </row>
    <row r="910" spans="1:11" ht="14.45">
      <c r="A910"/>
      <c r="B910"/>
      <c r="C910"/>
      <c r="D910"/>
      <c r="E910"/>
      <c r="F910"/>
      <c r="G910"/>
      <c r="H910"/>
      <c r="I910" s="406"/>
      <c r="J910"/>
      <c r="K910"/>
    </row>
    <row r="911" spans="1:11" ht="14.45">
      <c r="A911"/>
      <c r="B911"/>
      <c r="C911"/>
      <c r="D911"/>
      <c r="E911"/>
      <c r="F911"/>
      <c r="G911"/>
      <c r="H911"/>
      <c r="I911" s="406"/>
      <c r="J911"/>
      <c r="K911"/>
    </row>
    <row r="912" spans="1:11" ht="14.45">
      <c r="A912"/>
      <c r="B912"/>
      <c r="C912"/>
      <c r="D912"/>
      <c r="E912"/>
      <c r="F912"/>
      <c r="G912"/>
      <c r="H912"/>
      <c r="I912" s="406"/>
      <c r="J912"/>
      <c r="K912"/>
    </row>
    <row r="913" spans="1:11" ht="14.45">
      <c r="A913"/>
      <c r="B913"/>
      <c r="C913"/>
      <c r="D913"/>
      <c r="E913"/>
      <c r="F913"/>
      <c r="G913"/>
      <c r="H913"/>
      <c r="I913" s="406"/>
      <c r="J913"/>
      <c r="K913"/>
    </row>
    <row r="914" spans="1:11" ht="14.45">
      <c r="A914"/>
      <c r="B914"/>
      <c r="C914"/>
      <c r="D914"/>
      <c r="E914"/>
      <c r="F914"/>
      <c r="G914"/>
      <c r="H914"/>
      <c r="I914" s="406"/>
      <c r="J914"/>
      <c r="K914"/>
    </row>
    <row r="915" spans="1:11" ht="14.45">
      <c r="A915"/>
      <c r="B915"/>
      <c r="C915"/>
      <c r="D915"/>
      <c r="E915"/>
      <c r="F915"/>
      <c r="G915"/>
      <c r="H915"/>
      <c r="I915" s="406"/>
      <c r="J915"/>
      <c r="K915"/>
    </row>
    <row r="916" spans="1:11" ht="14.45">
      <c r="A916"/>
      <c r="B916"/>
      <c r="C916"/>
      <c r="D916"/>
      <c r="E916"/>
      <c r="F916"/>
      <c r="G916"/>
      <c r="H916"/>
      <c r="I916" s="406"/>
      <c r="J916"/>
      <c r="K916"/>
    </row>
    <row r="917" spans="1:11" ht="14.45">
      <c r="A917"/>
      <c r="B917"/>
      <c r="C917"/>
      <c r="D917"/>
      <c r="E917"/>
      <c r="F917"/>
      <c r="G917"/>
      <c r="H917"/>
      <c r="I917" s="406"/>
      <c r="J917"/>
      <c r="K917"/>
    </row>
    <row r="918" spans="1:11" ht="14.45">
      <c r="A918"/>
      <c r="B918"/>
      <c r="C918"/>
      <c r="D918"/>
      <c r="E918"/>
      <c r="F918"/>
      <c r="G918"/>
      <c r="H918"/>
      <c r="I918" s="406"/>
      <c r="J918"/>
      <c r="K918"/>
    </row>
    <row r="919" spans="1:11" ht="14.45">
      <c r="A919"/>
      <c r="B919"/>
      <c r="C919"/>
      <c r="D919"/>
      <c r="E919"/>
      <c r="F919"/>
      <c r="G919"/>
      <c r="H919"/>
      <c r="I919" s="406"/>
      <c r="J919"/>
      <c r="K919"/>
    </row>
    <row r="920" spans="1:11" ht="14.45">
      <c r="A920"/>
      <c r="B920"/>
      <c r="C920"/>
      <c r="D920"/>
      <c r="E920"/>
      <c r="F920"/>
      <c r="G920"/>
      <c r="H920"/>
      <c r="I920" s="406"/>
      <c r="J920"/>
      <c r="K920"/>
    </row>
    <row r="921" spans="1:11" ht="14.45">
      <c r="A921"/>
      <c r="B921"/>
      <c r="C921"/>
      <c r="D921"/>
      <c r="E921"/>
      <c r="F921"/>
      <c r="G921"/>
      <c r="H921"/>
      <c r="I921" s="406"/>
      <c r="J921"/>
      <c r="K921"/>
    </row>
    <row r="922" spans="1:11" ht="14.45">
      <c r="A922"/>
      <c r="B922"/>
      <c r="C922"/>
      <c r="D922"/>
      <c r="E922"/>
      <c r="F922"/>
      <c r="G922"/>
      <c r="H922"/>
      <c r="I922" s="406"/>
      <c r="J922"/>
      <c r="K922"/>
    </row>
    <row r="923" spans="1:11" ht="14.45">
      <c r="A923"/>
      <c r="B923"/>
      <c r="C923"/>
      <c r="D923"/>
      <c r="E923"/>
      <c r="F923"/>
      <c r="G923"/>
      <c r="H923"/>
      <c r="I923" s="406"/>
      <c r="J923"/>
      <c r="K923"/>
    </row>
    <row r="924" spans="1:11" ht="14.45">
      <c r="A924"/>
      <c r="B924"/>
      <c r="C924"/>
      <c r="D924"/>
      <c r="E924"/>
      <c r="F924"/>
      <c r="G924"/>
      <c r="H924"/>
      <c r="I924" s="406"/>
      <c r="J924"/>
      <c r="K924"/>
    </row>
    <row r="925" spans="1:11" ht="14.45">
      <c r="A925"/>
      <c r="B925"/>
      <c r="C925"/>
      <c r="D925"/>
      <c r="E925"/>
      <c r="F925"/>
      <c r="G925"/>
      <c r="H925"/>
      <c r="I925" s="406"/>
      <c r="J925"/>
      <c r="K925"/>
    </row>
    <row r="926" spans="1:11" ht="14.45">
      <c r="A926"/>
      <c r="B926"/>
      <c r="C926"/>
      <c r="D926"/>
      <c r="E926"/>
      <c r="F926"/>
      <c r="G926"/>
      <c r="H926"/>
      <c r="I926" s="406"/>
      <c r="J926"/>
      <c r="K926"/>
    </row>
    <row r="927" spans="1:11" ht="14.45">
      <c r="A927"/>
      <c r="B927"/>
      <c r="C927"/>
      <c r="D927"/>
      <c r="E927"/>
      <c r="F927"/>
      <c r="G927"/>
      <c r="H927"/>
      <c r="I927" s="406"/>
      <c r="J927"/>
      <c r="K927"/>
    </row>
    <row r="928" spans="1:11" ht="14.45">
      <c r="A928"/>
      <c r="B928"/>
      <c r="C928"/>
      <c r="D928"/>
      <c r="E928"/>
      <c r="F928"/>
      <c r="G928"/>
      <c r="H928"/>
      <c r="I928" s="406"/>
      <c r="J928"/>
      <c r="K928"/>
    </row>
    <row r="929" spans="1:11" ht="14.45">
      <c r="A929"/>
      <c r="B929"/>
      <c r="C929"/>
      <c r="D929"/>
      <c r="E929"/>
      <c r="F929"/>
      <c r="G929"/>
      <c r="H929"/>
      <c r="I929" s="406"/>
      <c r="J929"/>
      <c r="K929"/>
    </row>
    <row r="930" spans="1:11" ht="14.45">
      <c r="A930"/>
      <c r="B930"/>
      <c r="C930"/>
      <c r="D930"/>
      <c r="E930"/>
      <c r="F930"/>
      <c r="G930"/>
      <c r="H930"/>
      <c r="I930" s="406"/>
      <c r="J930"/>
      <c r="K930"/>
    </row>
    <row r="931" spans="1:11" ht="14.45">
      <c r="A931"/>
      <c r="B931"/>
      <c r="C931"/>
      <c r="D931"/>
      <c r="E931"/>
      <c r="F931"/>
      <c r="G931"/>
      <c r="H931"/>
      <c r="I931" s="406"/>
      <c r="J931"/>
      <c r="K931"/>
    </row>
    <row r="932" spans="1:11" ht="14.45">
      <c r="A932"/>
      <c r="B932"/>
      <c r="C932"/>
      <c r="D932"/>
      <c r="E932"/>
      <c r="F932"/>
      <c r="G932"/>
      <c r="H932"/>
      <c r="I932" s="406"/>
      <c r="J932"/>
      <c r="K932"/>
    </row>
    <row r="933" spans="1:11" ht="14.45">
      <c r="A933"/>
      <c r="B933"/>
      <c r="C933"/>
      <c r="D933"/>
      <c r="E933"/>
      <c r="F933"/>
      <c r="G933"/>
      <c r="H933"/>
      <c r="I933" s="406"/>
      <c r="J933"/>
      <c r="K933"/>
    </row>
    <row r="934" spans="1:11" ht="14.45">
      <c r="A934"/>
      <c r="B934"/>
      <c r="C934"/>
      <c r="D934"/>
      <c r="E934"/>
      <c r="F934"/>
      <c r="G934"/>
      <c r="H934"/>
      <c r="I934" s="406"/>
      <c r="J934"/>
      <c r="K934"/>
    </row>
    <row r="935" spans="1:11" ht="14.45">
      <c r="A935"/>
      <c r="B935"/>
      <c r="C935"/>
      <c r="D935"/>
      <c r="E935"/>
      <c r="F935"/>
      <c r="G935"/>
      <c r="H935"/>
      <c r="I935" s="406"/>
      <c r="J935"/>
      <c r="K935"/>
    </row>
    <row r="936" spans="1:11" ht="14.45">
      <c r="A936"/>
      <c r="B936"/>
      <c r="C936"/>
      <c r="D936"/>
      <c r="E936"/>
      <c r="F936"/>
      <c r="G936"/>
      <c r="H936"/>
      <c r="I936" s="406"/>
      <c r="J936"/>
      <c r="K936"/>
    </row>
    <row r="937" spans="1:11" ht="14.45">
      <c r="A937"/>
      <c r="B937"/>
      <c r="C937"/>
      <c r="D937"/>
      <c r="E937"/>
      <c r="F937"/>
      <c r="G937"/>
      <c r="H937"/>
      <c r="I937" s="406"/>
      <c r="J937"/>
      <c r="K937"/>
    </row>
  </sheetData>
  <pageMargins left="0.39" right="0.2" top="0.74803149606299213" bottom="0.43307086614173229" header="0.31496062992125984" footer="0.31496062992125984"/>
  <pageSetup paperSize="9" scale="79" fitToHeight="50"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6"/>
  <sheetViews>
    <sheetView workbookViewId="0">
      <selection activeCell="C5" sqref="C5"/>
    </sheetView>
  </sheetViews>
  <sheetFormatPr defaultColWidth="8.85546875" defaultRowHeight="14.45"/>
  <cols>
    <col min="1" max="1" width="6.42578125" customWidth="1"/>
    <col min="2" max="2" width="57.140625" customWidth="1"/>
    <col min="3" max="3" width="45" customWidth="1"/>
    <col min="4" max="4" width="61" style="19" customWidth="1"/>
    <col min="8" max="8" width="26.42578125" customWidth="1"/>
  </cols>
  <sheetData>
    <row r="1" spans="1:4" ht="15.6">
      <c r="A1" s="33" t="s">
        <v>1890</v>
      </c>
    </row>
    <row r="2" spans="1:4" ht="15.6">
      <c r="A2" s="33"/>
    </row>
    <row r="3" spans="1:4" ht="15.95" thickBot="1">
      <c r="A3" s="33" t="s">
        <v>1891</v>
      </c>
    </row>
    <row r="4" spans="1:4" ht="15.95" thickBot="1">
      <c r="A4" s="37" t="s">
        <v>1892</v>
      </c>
      <c r="B4" s="60" t="s">
        <v>1893</v>
      </c>
      <c r="C4" s="39" t="s">
        <v>1894</v>
      </c>
      <c r="D4" s="38" t="s">
        <v>1895</v>
      </c>
    </row>
    <row r="5" spans="1:4" ht="29.1">
      <c r="A5" s="24" t="s">
        <v>346</v>
      </c>
      <c r="B5" s="59" t="s">
        <v>347</v>
      </c>
      <c r="C5" s="59" t="s">
        <v>241</v>
      </c>
      <c r="D5" s="36"/>
    </row>
    <row r="6" spans="1:4" ht="29.1">
      <c r="A6" s="24" t="s">
        <v>365</v>
      </c>
      <c r="B6" s="35" t="s">
        <v>366</v>
      </c>
      <c r="C6" s="59" t="s">
        <v>241</v>
      </c>
      <c r="D6" s="34"/>
    </row>
    <row r="7" spans="1:4" ht="43.5">
      <c r="A7" s="23" t="s">
        <v>375</v>
      </c>
      <c r="B7" s="35" t="s">
        <v>376</v>
      </c>
      <c r="C7" s="59" t="s">
        <v>241</v>
      </c>
      <c r="D7" s="34"/>
    </row>
    <row r="8" spans="1:4" ht="43.5">
      <c r="A8" s="23" t="s">
        <v>383</v>
      </c>
      <c r="B8" s="35" t="s">
        <v>384</v>
      </c>
      <c r="C8" s="59" t="s">
        <v>241</v>
      </c>
      <c r="D8" s="34"/>
    </row>
    <row r="9" spans="1:4" ht="43.5">
      <c r="A9" s="23" t="s">
        <v>404</v>
      </c>
      <c r="B9" s="35" t="s">
        <v>405</v>
      </c>
      <c r="C9" s="59" t="s">
        <v>1896</v>
      </c>
      <c r="D9" s="34"/>
    </row>
    <row r="10" spans="1:4" ht="29.1">
      <c r="A10" s="23" t="s">
        <v>414</v>
      </c>
      <c r="B10" s="35" t="s">
        <v>415</v>
      </c>
      <c r="C10" s="59" t="s">
        <v>241</v>
      </c>
      <c r="D10" s="34"/>
    </row>
    <row r="11" spans="1:4" ht="29.1">
      <c r="A11" s="24" t="s">
        <v>424</v>
      </c>
      <c r="B11" s="35" t="s">
        <v>425</v>
      </c>
      <c r="C11" s="59" t="s">
        <v>1897</v>
      </c>
      <c r="D11" s="34"/>
    </row>
    <row r="12" spans="1:4">
      <c r="A12" s="24" t="s">
        <v>434</v>
      </c>
      <c r="B12" s="35" t="s">
        <v>435</v>
      </c>
      <c r="C12" s="59" t="s">
        <v>1897</v>
      </c>
      <c r="D12" s="34"/>
    </row>
    <row r="13" spans="1:4">
      <c r="A13" s="24" t="s">
        <v>439</v>
      </c>
      <c r="B13" s="35" t="s">
        <v>440</v>
      </c>
      <c r="C13" s="59" t="s">
        <v>1897</v>
      </c>
      <c r="D13" s="34"/>
    </row>
    <row r="14" spans="1:4">
      <c r="A14" s="24" t="s">
        <v>443</v>
      </c>
      <c r="B14" s="35" t="s">
        <v>444</v>
      </c>
      <c r="C14" s="59" t="s">
        <v>1897</v>
      </c>
      <c r="D14" s="34"/>
    </row>
    <row r="15" spans="1:4">
      <c r="A15" s="24" t="s">
        <v>450</v>
      </c>
      <c r="B15" s="35" t="s">
        <v>451</v>
      </c>
      <c r="C15" s="59" t="s">
        <v>1897</v>
      </c>
      <c r="D15" s="34"/>
    </row>
    <row r="16" spans="1:4" ht="29.1">
      <c r="A16" s="24" t="s">
        <v>458</v>
      </c>
      <c r="B16" s="35" t="s">
        <v>459</v>
      </c>
      <c r="C16" s="59" t="s">
        <v>1897</v>
      </c>
      <c r="D16" s="34"/>
    </row>
    <row r="17" spans="1:4" ht="29.1">
      <c r="A17" s="24" t="s">
        <v>466</v>
      </c>
      <c r="B17" s="35" t="s">
        <v>467</v>
      </c>
      <c r="C17" s="59" t="s">
        <v>241</v>
      </c>
      <c r="D17" s="34"/>
    </row>
    <row r="18" spans="1:4" ht="29.1">
      <c r="A18" s="24" t="s">
        <v>473</v>
      </c>
      <c r="B18" s="35" t="s">
        <v>474</v>
      </c>
      <c r="C18" s="59" t="s">
        <v>241</v>
      </c>
      <c r="D18" s="34"/>
    </row>
    <row r="19" spans="1:4" ht="29.1">
      <c r="A19" s="24" t="s">
        <v>475</v>
      </c>
      <c r="B19" s="35" t="s">
        <v>476</v>
      </c>
      <c r="C19" s="59" t="s">
        <v>241</v>
      </c>
      <c r="D19" s="34"/>
    </row>
    <row r="20" spans="1:4">
      <c r="A20" s="24" t="s">
        <v>485</v>
      </c>
      <c r="B20" s="35" t="s">
        <v>486</v>
      </c>
      <c r="C20" s="59" t="s">
        <v>1898</v>
      </c>
      <c r="D20" s="34"/>
    </row>
    <row r="21" spans="1:4">
      <c r="A21" s="24" t="s">
        <v>493</v>
      </c>
      <c r="B21" s="35" t="s">
        <v>494</v>
      </c>
      <c r="C21" s="59" t="s">
        <v>1899</v>
      </c>
      <c r="D21" s="34"/>
    </row>
    <row r="22" spans="1:4" ht="29.1">
      <c r="A22" s="24" t="s">
        <v>501</v>
      </c>
      <c r="B22" s="35" t="s">
        <v>502</v>
      </c>
      <c r="C22" s="59" t="s">
        <v>1900</v>
      </c>
      <c r="D22" s="34"/>
    </row>
    <row r="23" spans="1:4" ht="43.5">
      <c r="A23" s="24" t="s">
        <v>1901</v>
      </c>
      <c r="B23" s="35" t="s">
        <v>1902</v>
      </c>
      <c r="C23" s="59" t="s">
        <v>1900</v>
      </c>
      <c r="D23" s="34"/>
    </row>
    <row r="24" spans="1:4">
      <c r="A24" s="24" t="s">
        <v>511</v>
      </c>
      <c r="B24" s="35" t="s">
        <v>512</v>
      </c>
      <c r="C24" s="59" t="s">
        <v>1903</v>
      </c>
      <c r="D24" s="34"/>
    </row>
    <row r="25" spans="1:4">
      <c r="A25" s="24" t="s">
        <v>519</v>
      </c>
      <c r="B25" s="35" t="s">
        <v>520</v>
      </c>
      <c r="C25" s="59" t="s">
        <v>1903</v>
      </c>
      <c r="D25" s="34"/>
    </row>
    <row r="26" spans="1:4" ht="29.1">
      <c r="A26" s="24" t="s">
        <v>527</v>
      </c>
      <c r="B26" s="35" t="s">
        <v>528</v>
      </c>
      <c r="C26" s="59" t="s">
        <v>1903</v>
      </c>
      <c r="D26" s="34"/>
    </row>
    <row r="27" spans="1:4" ht="29.1">
      <c r="A27" s="24" t="s">
        <v>539</v>
      </c>
      <c r="B27" s="35" t="s">
        <v>540</v>
      </c>
      <c r="C27" s="59" t="s">
        <v>1904</v>
      </c>
      <c r="D27" s="34"/>
    </row>
    <row r="28" spans="1:4" ht="43.5">
      <c r="A28" s="24" t="s">
        <v>548</v>
      </c>
      <c r="B28" s="35" t="s">
        <v>549</v>
      </c>
      <c r="C28" s="59" t="s">
        <v>241</v>
      </c>
      <c r="D28" s="34"/>
    </row>
    <row r="29" spans="1:4" ht="43.5">
      <c r="A29" s="24" t="s">
        <v>555</v>
      </c>
      <c r="B29" s="35" t="s">
        <v>556</v>
      </c>
      <c r="C29" s="59" t="s">
        <v>1904</v>
      </c>
      <c r="D29" s="34"/>
    </row>
    <row r="30" spans="1:4">
      <c r="A30" s="24" t="s">
        <v>559</v>
      </c>
      <c r="B30" s="35" t="s">
        <v>560</v>
      </c>
      <c r="C30" s="59" t="s">
        <v>241</v>
      </c>
      <c r="D30" s="34"/>
    </row>
    <row r="31" spans="1:4" ht="29.1">
      <c r="A31" s="24" t="s">
        <v>568</v>
      </c>
      <c r="B31" s="35" t="s">
        <v>569</v>
      </c>
      <c r="C31" s="59" t="s">
        <v>1899</v>
      </c>
      <c r="D31" s="34"/>
    </row>
    <row r="32" spans="1:4" ht="43.5">
      <c r="A32" s="24" t="s">
        <v>573</v>
      </c>
      <c r="B32" s="35" t="s">
        <v>574</v>
      </c>
      <c r="C32" s="59" t="s">
        <v>1899</v>
      </c>
      <c r="D32" s="34"/>
    </row>
    <row r="33" spans="1:4" ht="43.5">
      <c r="A33" s="24" t="s">
        <v>576</v>
      </c>
      <c r="B33" s="35" t="s">
        <v>577</v>
      </c>
      <c r="C33" s="59" t="s">
        <v>1899</v>
      </c>
      <c r="D33" s="34"/>
    </row>
    <row r="34" spans="1:4" ht="43.5">
      <c r="A34" s="24" t="s">
        <v>581</v>
      </c>
      <c r="B34" s="35" t="s">
        <v>582</v>
      </c>
      <c r="C34" s="59" t="s">
        <v>1905</v>
      </c>
      <c r="D34" s="34"/>
    </row>
    <row r="35" spans="1:4" ht="29.1">
      <c r="A35" s="24" t="s">
        <v>593</v>
      </c>
      <c r="B35" s="35" t="s">
        <v>594</v>
      </c>
      <c r="C35" s="59" t="s">
        <v>241</v>
      </c>
      <c r="D35" s="34"/>
    </row>
    <row r="36" spans="1:4">
      <c r="A36" s="24" t="s">
        <v>601</v>
      </c>
      <c r="B36" s="35" t="s">
        <v>602</v>
      </c>
      <c r="C36" s="59" t="s">
        <v>241</v>
      </c>
      <c r="D36" s="34"/>
    </row>
    <row r="37" spans="1:4">
      <c r="B37" s="61" t="s">
        <v>1906</v>
      </c>
      <c r="C37" s="59"/>
      <c r="D37"/>
    </row>
    <row r="38" spans="1:4">
      <c r="C38" s="59"/>
      <c r="D38"/>
    </row>
    <row r="39" spans="1:4">
      <c r="D39" s="59"/>
    </row>
    <row r="40" spans="1:4">
      <c r="D40" s="59"/>
    </row>
    <row r="41" spans="1:4">
      <c r="D41" s="59"/>
    </row>
    <row r="42" spans="1:4">
      <c r="D42" s="59"/>
    </row>
    <row r="43" spans="1:4">
      <c r="D43" s="59"/>
    </row>
    <row r="44" spans="1:4">
      <c r="D44" s="59"/>
    </row>
    <row r="45" spans="1:4">
      <c r="D45" s="59"/>
    </row>
    <row r="46" spans="1:4">
      <c r="D46" s="59"/>
    </row>
    <row r="47" spans="1:4">
      <c r="D47" s="59"/>
    </row>
    <row r="48" spans="1:4">
      <c r="D48" s="59"/>
    </row>
    <row r="49" spans="4:4">
      <c r="D49" s="59"/>
    </row>
    <row r="50" spans="4:4">
      <c r="D50" s="59"/>
    </row>
    <row r="51" spans="4:4">
      <c r="D51" s="59"/>
    </row>
    <row r="52" spans="4:4">
      <c r="D52" s="59"/>
    </row>
    <row r="53" spans="4:4">
      <c r="D53" s="59"/>
    </row>
    <row r="54" spans="4:4">
      <c r="D54" s="59"/>
    </row>
    <row r="55" spans="4:4">
      <c r="D55" s="59"/>
    </row>
    <row r="56" spans="4:4">
      <c r="D56" s="59"/>
    </row>
    <row r="57" spans="4:4">
      <c r="D57" s="59"/>
    </row>
    <row r="58" spans="4:4">
      <c r="D58" s="59"/>
    </row>
    <row r="59" spans="4:4">
      <c r="D59" s="59"/>
    </row>
    <row r="60" spans="4:4">
      <c r="D60" s="59"/>
    </row>
    <row r="61" spans="4:4">
      <c r="D61" s="59"/>
    </row>
    <row r="62" spans="4:4">
      <c r="D62" s="59"/>
    </row>
    <row r="63" spans="4:4">
      <c r="D63" s="59"/>
    </row>
    <row r="64" spans="4:4">
      <c r="D64" s="59"/>
    </row>
    <row r="65" spans="4:4">
      <c r="D65" s="59"/>
    </row>
    <row r="66" spans="4:4">
      <c r="D66" s="59"/>
    </row>
    <row r="67" spans="4:4">
      <c r="D67" s="59"/>
    </row>
    <row r="68" spans="4:4">
      <c r="D68" s="59"/>
    </row>
    <row r="69" spans="4:4">
      <c r="D69" s="59"/>
    </row>
    <row r="70" spans="4:4">
      <c r="D70" s="59"/>
    </row>
    <row r="71" spans="4:4">
      <c r="D71" s="59"/>
    </row>
    <row r="72" spans="4:4">
      <c r="D72" s="59"/>
    </row>
    <row r="73" spans="4:4">
      <c r="D73" s="59"/>
    </row>
    <row r="74" spans="4:4">
      <c r="D74" s="59"/>
    </row>
    <row r="75" spans="4:4">
      <c r="D75" s="59"/>
    </row>
    <row r="76" spans="4:4">
      <c r="D76" s="59"/>
    </row>
    <row r="77" spans="4:4">
      <c r="D77" s="59"/>
    </row>
    <row r="78" spans="4:4">
      <c r="D78" s="59"/>
    </row>
    <row r="79" spans="4:4">
      <c r="D79" s="59"/>
    </row>
    <row r="80" spans="4:4">
      <c r="D80" s="59"/>
    </row>
    <row r="81" spans="4:4">
      <c r="D81" s="59"/>
    </row>
    <row r="82" spans="4:4">
      <c r="D82" s="59"/>
    </row>
    <row r="83" spans="4:4">
      <c r="D83" s="59"/>
    </row>
    <row r="84" spans="4:4">
      <c r="D84" s="59"/>
    </row>
    <row r="85" spans="4:4">
      <c r="D85" s="59"/>
    </row>
    <row r="86" spans="4:4">
      <c r="D86" s="59"/>
    </row>
    <row r="87" spans="4:4">
      <c r="D87" s="59"/>
    </row>
    <row r="88" spans="4:4">
      <c r="D88" s="59"/>
    </row>
    <row r="89" spans="4:4">
      <c r="D89" s="59"/>
    </row>
    <row r="90" spans="4:4">
      <c r="D90" s="59"/>
    </row>
    <row r="91" spans="4:4">
      <c r="D91" s="59"/>
    </row>
    <row r="92" spans="4:4">
      <c r="D92" s="59"/>
    </row>
    <row r="93" spans="4:4">
      <c r="D93" s="59"/>
    </row>
    <row r="94" spans="4:4">
      <c r="D94" s="59"/>
    </row>
    <row r="95" spans="4:4">
      <c r="D95" s="59"/>
    </row>
    <row r="96" spans="4:4">
      <c r="D96" s="59"/>
    </row>
    <row r="97" spans="4:4">
      <c r="D97" s="59"/>
    </row>
    <row r="98" spans="4:4">
      <c r="D98" s="59"/>
    </row>
    <row r="99" spans="4:4">
      <c r="D99" s="59"/>
    </row>
    <row r="100" spans="4:4">
      <c r="D100" s="59"/>
    </row>
    <row r="101" spans="4:4">
      <c r="D101" s="59"/>
    </row>
    <row r="102" spans="4:4">
      <c r="D102" s="59"/>
    </row>
    <row r="103" spans="4:4">
      <c r="D103" s="59"/>
    </row>
    <row r="104" spans="4:4">
      <c r="D104" s="59"/>
    </row>
    <row r="105" spans="4:4">
      <c r="D105" s="59"/>
    </row>
    <row r="106" spans="4:4">
      <c r="D106" s="59"/>
    </row>
  </sheetData>
  <pageMargins left="0.7" right="0.7" top="0.75" bottom="0.75" header="0.3" footer="0.3"/>
  <pageSetup paperSize="9" orientation="portrait" horizontalDpi="200" verticalDpi="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700-000000000000}">
          <x14:formula1>
            <xm:f>Llistes!$B$2:$B$12</xm:f>
          </x14:formula1>
          <xm:sqref>D39:D105</xm:sqref>
        </x14:dataValidation>
        <x14:dataValidation type="list" showInputMessage="1" showErrorMessage="1" xr:uid="{00000000-0002-0000-0700-000001000000}">
          <x14:formula1>
            <xm:f>Llistes!$B$2:$B$13</xm:f>
          </x14:formula1>
          <xm:sqref>C5:C77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pageSetUpPr fitToPage="1"/>
  </sheetPr>
  <dimension ref="A1:Y842"/>
  <sheetViews>
    <sheetView workbookViewId="0">
      <selection activeCell="D37" sqref="D37"/>
    </sheetView>
  </sheetViews>
  <sheetFormatPr defaultColWidth="12.5703125" defaultRowHeight="15.75" customHeight="1"/>
  <cols>
    <col min="1" max="1" width="11.5703125" style="44" customWidth="1"/>
    <col min="2" max="2" width="24.85546875" style="44" customWidth="1"/>
    <col min="3" max="3" width="9.85546875" style="44" customWidth="1"/>
    <col min="4" max="4" width="33.42578125" style="44" customWidth="1"/>
    <col min="5" max="5" width="60.42578125" style="44" customWidth="1"/>
    <col min="6" max="16384" width="12.5703125" style="44"/>
  </cols>
  <sheetData>
    <row r="1" spans="1:25" ht="21.95">
      <c r="A1" s="40" t="s">
        <v>1907</v>
      </c>
      <c r="B1" s="41"/>
      <c r="C1" s="42"/>
      <c r="D1" s="43"/>
      <c r="E1" s="42"/>
      <c r="F1" s="42"/>
      <c r="G1" s="42"/>
      <c r="H1" s="42"/>
      <c r="I1" s="42"/>
      <c r="J1" s="42"/>
      <c r="K1" s="42"/>
      <c r="L1" s="42"/>
      <c r="M1" s="42"/>
      <c r="N1" s="42"/>
      <c r="O1" s="42"/>
      <c r="P1" s="42"/>
      <c r="Q1" s="42"/>
      <c r="R1" s="42"/>
      <c r="S1" s="42"/>
      <c r="T1" s="42"/>
      <c r="U1" s="42"/>
      <c r="V1" s="42"/>
      <c r="W1" s="42"/>
      <c r="X1" s="42"/>
      <c r="Y1" s="42"/>
    </row>
    <row r="2" spans="1:25" ht="12.95">
      <c r="A2" s="42" t="s">
        <v>1908</v>
      </c>
      <c r="B2" s="41"/>
      <c r="C2" s="42"/>
      <c r="D2" s="43"/>
      <c r="E2" s="42"/>
      <c r="F2" s="42"/>
      <c r="G2" s="42"/>
      <c r="H2" s="42"/>
      <c r="I2" s="42"/>
      <c r="J2" s="42"/>
      <c r="K2" s="42"/>
      <c r="L2" s="42"/>
      <c r="M2" s="42"/>
      <c r="N2" s="42"/>
      <c r="O2" s="42"/>
      <c r="P2" s="42"/>
      <c r="Q2" s="42"/>
      <c r="R2" s="42"/>
      <c r="S2" s="42"/>
      <c r="T2" s="42"/>
      <c r="U2" s="42"/>
      <c r="V2" s="42"/>
      <c r="W2" s="42"/>
      <c r="X2" s="42"/>
      <c r="Y2" s="42"/>
    </row>
    <row r="3" spans="1:25" ht="12.95">
      <c r="A3" s="45" t="s">
        <v>1909</v>
      </c>
      <c r="B3" s="41"/>
      <c r="C3" s="42"/>
      <c r="D3" s="43"/>
      <c r="E3" s="42"/>
      <c r="F3" s="42"/>
      <c r="G3" s="42"/>
      <c r="H3" s="42"/>
      <c r="I3" s="42"/>
      <c r="J3" s="42"/>
      <c r="K3" s="42"/>
      <c r="L3" s="42"/>
      <c r="M3" s="42"/>
      <c r="N3" s="42"/>
      <c r="O3" s="42"/>
      <c r="P3" s="42"/>
      <c r="Q3" s="42"/>
      <c r="R3" s="42"/>
      <c r="S3" s="42"/>
      <c r="T3" s="42"/>
      <c r="U3" s="42"/>
      <c r="V3" s="42"/>
      <c r="W3" s="42"/>
      <c r="X3" s="42"/>
      <c r="Y3" s="42"/>
    </row>
    <row r="4" spans="1:25" ht="12.95">
      <c r="A4" s="41" t="s">
        <v>1910</v>
      </c>
      <c r="B4" s="41"/>
      <c r="C4" s="42"/>
      <c r="D4" s="43"/>
      <c r="E4" s="42"/>
      <c r="F4" s="42"/>
      <c r="G4" s="42"/>
      <c r="H4" s="42"/>
      <c r="I4" s="42"/>
      <c r="J4" s="42"/>
      <c r="K4" s="42"/>
      <c r="L4" s="42"/>
      <c r="M4" s="42"/>
      <c r="N4" s="42"/>
      <c r="O4" s="42"/>
      <c r="P4" s="42"/>
      <c r="Q4" s="42"/>
      <c r="R4" s="42"/>
      <c r="S4" s="42"/>
      <c r="T4" s="42"/>
      <c r="U4" s="42"/>
      <c r="V4" s="42"/>
      <c r="W4" s="42"/>
      <c r="X4" s="42"/>
      <c r="Y4" s="42"/>
    </row>
    <row r="5" spans="1:25" ht="17.25" customHeight="1">
      <c r="A5" s="46" t="s">
        <v>1911</v>
      </c>
      <c r="B5" s="41"/>
      <c r="C5" s="42"/>
      <c r="D5" s="43"/>
      <c r="E5" s="42"/>
      <c r="F5" s="42"/>
      <c r="G5" s="42"/>
      <c r="H5" s="42"/>
      <c r="I5" s="42"/>
      <c r="J5" s="42"/>
      <c r="K5" s="42"/>
      <c r="L5" s="42"/>
      <c r="M5" s="42"/>
      <c r="N5" s="42"/>
      <c r="O5" s="42"/>
      <c r="P5" s="42"/>
      <c r="Q5" s="42"/>
      <c r="R5" s="42"/>
      <c r="S5" s="42"/>
      <c r="T5" s="42"/>
      <c r="U5" s="42"/>
      <c r="V5" s="42"/>
      <c r="W5" s="42"/>
      <c r="X5" s="42"/>
      <c r="Y5" s="42"/>
    </row>
    <row r="6" spans="1:25" ht="17.25" customHeight="1">
      <c r="A6" s="42"/>
      <c r="B6" s="41"/>
      <c r="C6" s="42"/>
      <c r="D6" s="43"/>
      <c r="E6" s="42"/>
      <c r="F6" s="42"/>
      <c r="G6" s="42"/>
      <c r="H6" s="42"/>
      <c r="I6" s="42"/>
      <c r="J6" s="42"/>
      <c r="K6" s="42"/>
      <c r="L6" s="42"/>
      <c r="M6" s="42"/>
      <c r="N6" s="42"/>
      <c r="O6" s="42"/>
      <c r="P6" s="42"/>
      <c r="Q6" s="42"/>
      <c r="R6" s="42"/>
      <c r="S6" s="42"/>
      <c r="T6" s="42"/>
      <c r="U6" s="42"/>
      <c r="V6" s="42"/>
      <c r="W6" s="42"/>
      <c r="X6" s="42"/>
      <c r="Y6" s="42"/>
    </row>
    <row r="7" spans="1:25" ht="17.25" customHeight="1">
      <c r="A7" s="42"/>
      <c r="B7" s="41"/>
      <c r="C7" s="42"/>
      <c r="D7" s="43"/>
      <c r="E7" s="42"/>
      <c r="F7" s="42"/>
      <c r="G7" s="42"/>
      <c r="H7" s="42"/>
      <c r="I7" s="42"/>
      <c r="J7" s="42"/>
      <c r="K7" s="42"/>
      <c r="L7" s="42"/>
      <c r="M7" s="42"/>
      <c r="N7" s="42"/>
      <c r="O7" s="42"/>
      <c r="P7" s="42"/>
      <c r="Q7" s="42"/>
      <c r="R7" s="42"/>
      <c r="S7" s="42"/>
      <c r="T7" s="42"/>
      <c r="U7" s="42"/>
      <c r="V7" s="42"/>
      <c r="W7" s="42"/>
      <c r="X7" s="42"/>
      <c r="Y7" s="42"/>
    </row>
    <row r="8" spans="1:25" ht="29.1">
      <c r="A8" s="47" t="s">
        <v>1912</v>
      </c>
      <c r="B8" s="48" t="s">
        <v>1913</v>
      </c>
      <c r="C8" s="47" t="s">
        <v>1912</v>
      </c>
      <c r="D8" s="49" t="s">
        <v>1914</v>
      </c>
      <c r="E8" s="49" t="s">
        <v>1915</v>
      </c>
      <c r="F8" s="42"/>
      <c r="G8" s="42"/>
      <c r="H8" s="42"/>
      <c r="I8" s="42"/>
      <c r="J8" s="42"/>
      <c r="K8" s="42"/>
      <c r="L8" s="42"/>
      <c r="M8" s="42"/>
      <c r="N8" s="42"/>
      <c r="O8" s="42"/>
      <c r="P8" s="42"/>
      <c r="Q8" s="42"/>
      <c r="R8" s="42"/>
      <c r="S8" s="42"/>
      <c r="T8" s="42"/>
      <c r="U8" s="42"/>
      <c r="V8" s="42"/>
      <c r="W8" s="42"/>
      <c r="X8" s="42"/>
      <c r="Y8" s="42"/>
    </row>
    <row r="9" spans="1:25" ht="78">
      <c r="A9" s="456">
        <v>1</v>
      </c>
      <c r="B9" s="457" t="s">
        <v>1916</v>
      </c>
      <c r="C9" s="50" t="s">
        <v>1917</v>
      </c>
      <c r="D9" s="51" t="s">
        <v>285</v>
      </c>
      <c r="E9" s="51" t="s">
        <v>1918</v>
      </c>
      <c r="F9" s="42"/>
      <c r="G9" s="42"/>
      <c r="H9" s="42"/>
      <c r="I9" s="42"/>
      <c r="J9" s="42"/>
      <c r="K9" s="42"/>
      <c r="L9" s="42"/>
      <c r="M9" s="42"/>
      <c r="N9" s="42"/>
      <c r="O9" s="42"/>
      <c r="P9" s="42"/>
      <c r="Q9" s="42"/>
      <c r="R9" s="42"/>
      <c r="S9" s="42"/>
      <c r="T9" s="42"/>
      <c r="U9" s="42"/>
      <c r="V9" s="42"/>
      <c r="W9" s="42"/>
      <c r="X9" s="42"/>
      <c r="Y9" s="42"/>
    </row>
    <row r="10" spans="1:25" ht="12.95">
      <c r="A10" s="464"/>
      <c r="B10" s="464"/>
      <c r="C10" s="50" t="s">
        <v>1919</v>
      </c>
      <c r="D10" s="51" t="s">
        <v>1920</v>
      </c>
      <c r="E10" s="52"/>
      <c r="F10" s="42"/>
      <c r="G10" s="42"/>
      <c r="H10" s="42"/>
      <c r="I10" s="42"/>
      <c r="J10" s="42"/>
      <c r="K10" s="42"/>
      <c r="L10" s="42"/>
      <c r="M10" s="42"/>
      <c r="N10" s="42"/>
      <c r="O10" s="42"/>
      <c r="P10" s="42"/>
      <c r="Q10" s="42"/>
      <c r="R10" s="42"/>
      <c r="S10" s="42"/>
      <c r="T10" s="42"/>
      <c r="U10" s="42"/>
      <c r="V10" s="42"/>
      <c r="W10" s="42"/>
      <c r="X10" s="42"/>
      <c r="Y10" s="42"/>
    </row>
    <row r="11" spans="1:25" ht="12.95">
      <c r="A11" s="464"/>
      <c r="B11" s="464"/>
      <c r="C11" s="50" t="s">
        <v>1921</v>
      </c>
      <c r="D11" s="51" t="s">
        <v>1922</v>
      </c>
      <c r="E11" s="51" t="s">
        <v>1923</v>
      </c>
      <c r="F11" s="42"/>
      <c r="G11" s="42"/>
      <c r="H11" s="42"/>
      <c r="I11" s="42"/>
      <c r="J11" s="42"/>
      <c r="K11" s="42"/>
      <c r="L11" s="42"/>
      <c r="M11" s="42"/>
      <c r="N11" s="42"/>
      <c r="O11" s="42"/>
      <c r="P11" s="42"/>
      <c r="Q11" s="42"/>
      <c r="R11" s="42"/>
      <c r="S11" s="42"/>
      <c r="T11" s="42"/>
      <c r="U11" s="42"/>
      <c r="V11" s="42"/>
      <c r="W11" s="42"/>
      <c r="X11" s="42"/>
      <c r="Y11" s="42"/>
    </row>
    <row r="12" spans="1:25" ht="39">
      <c r="A12" s="456">
        <v>2</v>
      </c>
      <c r="B12" s="457" t="s">
        <v>1900</v>
      </c>
      <c r="C12" s="50" t="s">
        <v>1924</v>
      </c>
      <c r="D12" s="51" t="s">
        <v>97</v>
      </c>
      <c r="E12" s="51" t="s">
        <v>1925</v>
      </c>
      <c r="F12" s="42"/>
      <c r="G12" s="42"/>
      <c r="H12" s="42"/>
      <c r="I12" s="42"/>
      <c r="J12" s="42"/>
      <c r="K12" s="42"/>
      <c r="L12" s="42"/>
      <c r="M12" s="42"/>
      <c r="N12" s="42"/>
      <c r="O12" s="42"/>
      <c r="P12" s="42"/>
      <c r="Q12" s="42"/>
      <c r="R12" s="42"/>
      <c r="S12" s="42"/>
      <c r="T12" s="42"/>
      <c r="U12" s="42"/>
      <c r="V12" s="42"/>
      <c r="W12" s="42"/>
      <c r="X12" s="42"/>
      <c r="Y12" s="42"/>
    </row>
    <row r="13" spans="1:25" ht="12.95">
      <c r="A13" s="464"/>
      <c r="B13" s="464"/>
      <c r="C13" s="50" t="s">
        <v>1926</v>
      </c>
      <c r="D13" s="51" t="s">
        <v>1927</v>
      </c>
      <c r="E13" s="52"/>
      <c r="F13" s="42"/>
      <c r="G13" s="42"/>
      <c r="H13" s="42"/>
      <c r="I13" s="42"/>
      <c r="J13" s="42"/>
      <c r="K13" s="42"/>
      <c r="L13" s="42"/>
      <c r="M13" s="42"/>
      <c r="N13" s="42"/>
      <c r="O13" s="42"/>
      <c r="P13" s="42"/>
      <c r="Q13" s="42"/>
      <c r="R13" s="42"/>
      <c r="S13" s="42"/>
      <c r="T13" s="42"/>
      <c r="U13" s="42"/>
      <c r="V13" s="42"/>
      <c r="W13" s="42"/>
      <c r="X13" s="42"/>
      <c r="Y13" s="42"/>
    </row>
    <row r="14" spans="1:25" ht="26.1">
      <c r="A14" s="464"/>
      <c r="B14" s="464"/>
      <c r="C14" s="50" t="s">
        <v>1928</v>
      </c>
      <c r="D14" s="51" t="s">
        <v>62</v>
      </c>
      <c r="E14" s="51" t="s">
        <v>1929</v>
      </c>
      <c r="F14" s="42"/>
      <c r="G14" s="42"/>
      <c r="H14" s="42"/>
      <c r="I14" s="42"/>
      <c r="J14" s="42"/>
      <c r="K14" s="42"/>
      <c r="L14" s="42"/>
      <c r="M14" s="42"/>
      <c r="N14" s="42"/>
      <c r="O14" s="42"/>
      <c r="P14" s="42"/>
      <c r="Q14" s="42"/>
      <c r="R14" s="42"/>
      <c r="S14" s="42"/>
      <c r="T14" s="42"/>
      <c r="U14" s="42"/>
      <c r="V14" s="42"/>
      <c r="W14" s="42"/>
      <c r="X14" s="42"/>
      <c r="Y14" s="42"/>
    </row>
    <row r="15" spans="1:25" ht="12.95">
      <c r="A15" s="464"/>
      <c r="B15" s="464"/>
      <c r="C15" s="50" t="s">
        <v>1930</v>
      </c>
      <c r="D15" s="51" t="s">
        <v>1931</v>
      </c>
      <c r="E15" s="51" t="s">
        <v>1932</v>
      </c>
      <c r="F15" s="42"/>
      <c r="G15" s="42"/>
      <c r="H15" s="42"/>
      <c r="I15" s="42"/>
      <c r="J15" s="42"/>
      <c r="K15" s="42"/>
      <c r="L15" s="42"/>
      <c r="M15" s="42"/>
      <c r="N15" s="42"/>
      <c r="O15" s="42"/>
      <c r="P15" s="42"/>
      <c r="Q15" s="42"/>
      <c r="R15" s="42"/>
      <c r="S15" s="42"/>
      <c r="T15" s="42"/>
      <c r="U15" s="42"/>
      <c r="V15" s="42"/>
      <c r="W15" s="42"/>
      <c r="X15" s="42"/>
      <c r="Y15" s="42"/>
    </row>
    <row r="16" spans="1:25" ht="39">
      <c r="A16" s="456">
        <v>3</v>
      </c>
      <c r="B16" s="457" t="s">
        <v>1933</v>
      </c>
      <c r="C16" s="50" t="s">
        <v>1934</v>
      </c>
      <c r="D16" s="51" t="s">
        <v>1935</v>
      </c>
      <c r="E16" s="51" t="s">
        <v>1936</v>
      </c>
      <c r="F16" s="42"/>
      <c r="G16" s="42"/>
      <c r="H16" s="42"/>
      <c r="I16" s="42"/>
      <c r="J16" s="42"/>
      <c r="K16" s="42"/>
      <c r="L16" s="42"/>
      <c r="M16" s="42"/>
      <c r="N16" s="42"/>
      <c r="O16" s="42"/>
      <c r="P16" s="42"/>
      <c r="Q16" s="42"/>
      <c r="R16" s="42"/>
      <c r="S16" s="42"/>
      <c r="T16" s="42"/>
      <c r="U16" s="42"/>
      <c r="V16" s="42"/>
      <c r="W16" s="42"/>
      <c r="X16" s="42"/>
      <c r="Y16" s="42"/>
    </row>
    <row r="17" spans="1:25" ht="51.95">
      <c r="A17" s="464"/>
      <c r="B17" s="464"/>
      <c r="C17" s="50" t="s">
        <v>1937</v>
      </c>
      <c r="D17" s="51" t="s">
        <v>121</v>
      </c>
      <c r="E17" s="51" t="s">
        <v>1938</v>
      </c>
      <c r="F17" s="42"/>
      <c r="G17" s="42"/>
      <c r="H17" s="42"/>
      <c r="I17" s="42"/>
      <c r="J17" s="42"/>
      <c r="K17" s="42"/>
      <c r="L17" s="42"/>
      <c r="M17" s="42"/>
      <c r="N17" s="42"/>
      <c r="O17" s="42"/>
      <c r="P17" s="42"/>
      <c r="Q17" s="42"/>
      <c r="R17" s="42"/>
      <c r="S17" s="42"/>
      <c r="T17" s="42"/>
      <c r="U17" s="42"/>
      <c r="V17" s="42"/>
      <c r="W17" s="42"/>
      <c r="X17" s="42"/>
      <c r="Y17" s="42"/>
    </row>
    <row r="18" spans="1:25" ht="12.95">
      <c r="A18" s="456">
        <v>4</v>
      </c>
      <c r="B18" s="457" t="s">
        <v>1904</v>
      </c>
      <c r="C18" s="50" t="s">
        <v>1939</v>
      </c>
      <c r="D18" s="51" t="s">
        <v>224</v>
      </c>
      <c r="E18" s="51" t="s">
        <v>1940</v>
      </c>
      <c r="F18" s="42"/>
      <c r="G18" s="42"/>
      <c r="H18" s="42"/>
      <c r="I18" s="42"/>
      <c r="J18" s="42"/>
      <c r="K18" s="42"/>
      <c r="L18" s="42"/>
      <c r="M18" s="42"/>
      <c r="N18" s="42"/>
      <c r="O18" s="42"/>
      <c r="P18" s="42"/>
      <c r="Q18" s="42"/>
      <c r="R18" s="42"/>
      <c r="S18" s="42"/>
      <c r="T18" s="42"/>
      <c r="U18" s="42"/>
      <c r="V18" s="42"/>
      <c r="W18" s="42"/>
      <c r="X18" s="42"/>
      <c r="Y18" s="42"/>
    </row>
    <row r="19" spans="1:25" ht="26.1">
      <c r="A19" s="464"/>
      <c r="B19" s="464"/>
      <c r="C19" s="50" t="s">
        <v>1941</v>
      </c>
      <c r="D19" s="51" t="s">
        <v>120</v>
      </c>
      <c r="E19" s="51" t="s">
        <v>1942</v>
      </c>
      <c r="F19" s="42"/>
      <c r="G19" s="42"/>
      <c r="H19" s="42"/>
      <c r="I19" s="42"/>
      <c r="J19" s="42"/>
      <c r="K19" s="42"/>
      <c r="L19" s="42"/>
      <c r="M19" s="42"/>
      <c r="N19" s="42"/>
      <c r="O19" s="42"/>
      <c r="P19" s="42"/>
      <c r="Q19" s="42"/>
      <c r="R19" s="42"/>
      <c r="S19" s="42"/>
      <c r="T19" s="42"/>
      <c r="U19" s="42"/>
      <c r="V19" s="42"/>
      <c r="W19" s="42"/>
      <c r="X19" s="42"/>
      <c r="Y19" s="42"/>
    </row>
    <row r="20" spans="1:25" ht="26.1">
      <c r="A20" s="464"/>
      <c r="B20" s="464"/>
      <c r="C20" s="50" t="s">
        <v>1943</v>
      </c>
      <c r="D20" s="51" t="s">
        <v>1944</v>
      </c>
      <c r="E20" s="51" t="s">
        <v>1945</v>
      </c>
      <c r="F20" s="42"/>
      <c r="G20" s="42"/>
      <c r="H20" s="42"/>
      <c r="I20" s="42"/>
      <c r="J20" s="42"/>
      <c r="K20" s="42"/>
      <c r="L20" s="42"/>
      <c r="M20" s="42"/>
      <c r="N20" s="42"/>
      <c r="O20" s="42"/>
      <c r="P20" s="42"/>
      <c r="Q20" s="42"/>
      <c r="R20" s="42"/>
      <c r="S20" s="42"/>
      <c r="T20" s="42"/>
      <c r="U20" s="42"/>
      <c r="V20" s="42"/>
      <c r="W20" s="42"/>
      <c r="X20" s="42"/>
      <c r="Y20" s="42"/>
    </row>
    <row r="21" spans="1:25" ht="26.1">
      <c r="A21" s="464"/>
      <c r="B21" s="464"/>
      <c r="C21" s="50" t="s">
        <v>1946</v>
      </c>
      <c r="D21" s="51" t="s">
        <v>1947</v>
      </c>
      <c r="E21" s="51" t="s">
        <v>1948</v>
      </c>
      <c r="F21" s="42"/>
      <c r="G21" s="42"/>
      <c r="H21" s="42"/>
      <c r="I21" s="42"/>
      <c r="J21" s="42"/>
      <c r="K21" s="42"/>
      <c r="L21" s="42"/>
      <c r="M21" s="42"/>
      <c r="N21" s="42"/>
      <c r="O21" s="42"/>
      <c r="P21" s="42"/>
      <c r="Q21" s="42"/>
      <c r="R21" s="42"/>
      <c r="S21" s="42"/>
      <c r="T21" s="42"/>
      <c r="U21" s="42"/>
      <c r="V21" s="42"/>
      <c r="W21" s="42"/>
      <c r="X21" s="42"/>
      <c r="Y21" s="42"/>
    </row>
    <row r="22" spans="1:25" ht="26.1">
      <c r="A22" s="456">
        <v>5</v>
      </c>
      <c r="B22" s="457" t="s">
        <v>1899</v>
      </c>
      <c r="C22" s="50" t="s">
        <v>1949</v>
      </c>
      <c r="D22" s="51" t="s">
        <v>174</v>
      </c>
      <c r="E22" s="51" t="s">
        <v>1950</v>
      </c>
      <c r="F22" s="42"/>
      <c r="G22" s="42"/>
      <c r="H22" s="42"/>
      <c r="I22" s="42"/>
      <c r="J22" s="42"/>
      <c r="K22" s="42"/>
      <c r="L22" s="42"/>
      <c r="M22" s="42"/>
      <c r="N22" s="42"/>
      <c r="O22" s="42"/>
      <c r="P22" s="42"/>
      <c r="Q22" s="42"/>
      <c r="R22" s="42"/>
      <c r="S22" s="42"/>
      <c r="T22" s="42"/>
      <c r="U22" s="42"/>
      <c r="V22" s="42"/>
      <c r="W22" s="42"/>
      <c r="X22" s="42"/>
      <c r="Y22" s="42"/>
    </row>
    <row r="23" spans="1:25" ht="12.95">
      <c r="A23" s="464"/>
      <c r="B23" s="464"/>
      <c r="C23" s="53" t="s">
        <v>1951</v>
      </c>
      <c r="D23" s="51" t="s">
        <v>200</v>
      </c>
      <c r="E23" s="51" t="s">
        <v>1952</v>
      </c>
      <c r="F23" s="42"/>
      <c r="G23" s="42"/>
      <c r="H23" s="42"/>
      <c r="I23" s="42"/>
      <c r="J23" s="42"/>
      <c r="K23" s="42"/>
      <c r="L23" s="42"/>
      <c r="M23" s="42"/>
      <c r="N23" s="42"/>
      <c r="O23" s="42"/>
      <c r="P23" s="42"/>
      <c r="Q23" s="42"/>
      <c r="R23" s="42"/>
      <c r="S23" s="42"/>
      <c r="T23" s="42"/>
      <c r="U23" s="42"/>
      <c r="V23" s="42"/>
      <c r="W23" s="42"/>
      <c r="X23" s="42"/>
      <c r="Y23" s="42"/>
    </row>
    <row r="24" spans="1:25" ht="12.95">
      <c r="A24" s="464"/>
      <c r="B24" s="464"/>
      <c r="C24" s="50" t="s">
        <v>1953</v>
      </c>
      <c r="D24" s="51" t="s">
        <v>56</v>
      </c>
      <c r="E24" s="51" t="s">
        <v>1954</v>
      </c>
      <c r="F24" s="42"/>
      <c r="G24" s="42"/>
      <c r="H24" s="42"/>
      <c r="I24" s="42"/>
      <c r="J24" s="42"/>
      <c r="K24" s="42"/>
      <c r="L24" s="42"/>
      <c r="M24" s="42"/>
      <c r="N24" s="42"/>
      <c r="O24" s="42"/>
      <c r="P24" s="42"/>
      <c r="Q24" s="42"/>
      <c r="R24" s="42"/>
      <c r="S24" s="42"/>
      <c r="T24" s="42"/>
      <c r="U24" s="42"/>
      <c r="V24" s="42"/>
      <c r="W24" s="42"/>
      <c r="X24" s="42"/>
      <c r="Y24" s="42"/>
    </row>
    <row r="25" spans="1:25" ht="39">
      <c r="A25" s="464"/>
      <c r="B25" s="464"/>
      <c r="C25" s="50" t="s">
        <v>1955</v>
      </c>
      <c r="D25" s="51" t="s">
        <v>1956</v>
      </c>
      <c r="E25" s="51" t="s">
        <v>1957</v>
      </c>
      <c r="F25" s="42"/>
      <c r="G25" s="42"/>
      <c r="H25" s="42"/>
      <c r="I25" s="42"/>
      <c r="J25" s="42"/>
      <c r="K25" s="42"/>
      <c r="L25" s="42"/>
      <c r="M25" s="42"/>
      <c r="N25" s="42"/>
      <c r="O25" s="42"/>
      <c r="P25" s="42"/>
      <c r="Q25" s="42"/>
      <c r="R25" s="42"/>
      <c r="S25" s="42"/>
      <c r="T25" s="42"/>
      <c r="U25" s="42"/>
      <c r="V25" s="42"/>
      <c r="W25" s="42"/>
      <c r="X25" s="42"/>
      <c r="Y25" s="42"/>
    </row>
    <row r="26" spans="1:25" ht="78">
      <c r="A26" s="456">
        <v>6</v>
      </c>
      <c r="B26" s="457" t="s">
        <v>1958</v>
      </c>
      <c r="C26" s="50" t="s">
        <v>1959</v>
      </c>
      <c r="D26" s="51" t="s">
        <v>74</v>
      </c>
      <c r="E26" s="51" t="s">
        <v>1960</v>
      </c>
      <c r="F26" s="42"/>
      <c r="G26" s="42"/>
      <c r="H26" s="42"/>
      <c r="I26" s="42"/>
      <c r="J26" s="42"/>
      <c r="K26" s="42"/>
      <c r="L26" s="42"/>
      <c r="M26" s="42"/>
      <c r="N26" s="42"/>
      <c r="O26" s="42"/>
      <c r="P26" s="42"/>
      <c r="Q26" s="42"/>
      <c r="R26" s="42"/>
      <c r="S26" s="42"/>
      <c r="T26" s="42"/>
      <c r="U26" s="42"/>
      <c r="V26" s="42"/>
      <c r="W26" s="42"/>
      <c r="X26" s="42"/>
      <c r="Y26" s="42"/>
    </row>
    <row r="27" spans="1:25" ht="26.1">
      <c r="A27" s="464"/>
      <c r="B27" s="464"/>
      <c r="C27" s="50" t="s">
        <v>1961</v>
      </c>
      <c r="D27" s="51" t="s">
        <v>1962</v>
      </c>
      <c r="E27" s="51" t="s">
        <v>1963</v>
      </c>
      <c r="F27" s="42"/>
      <c r="G27" s="42"/>
      <c r="H27" s="42"/>
      <c r="I27" s="42"/>
      <c r="J27" s="42"/>
      <c r="K27" s="42"/>
      <c r="L27" s="42"/>
      <c r="M27" s="42"/>
      <c r="N27" s="42"/>
      <c r="O27" s="42"/>
      <c r="P27" s="42"/>
      <c r="Q27" s="42"/>
      <c r="R27" s="42"/>
      <c r="S27" s="42"/>
      <c r="T27" s="42"/>
      <c r="U27" s="42"/>
      <c r="V27" s="42"/>
      <c r="W27" s="42"/>
      <c r="X27" s="42"/>
      <c r="Y27" s="42"/>
    </row>
    <row r="28" spans="1:25" ht="39">
      <c r="A28" s="464"/>
      <c r="B28" s="464"/>
      <c r="C28" s="50" t="s">
        <v>1964</v>
      </c>
      <c r="D28" s="51" t="s">
        <v>68</v>
      </c>
      <c r="E28" s="51" t="s">
        <v>1965</v>
      </c>
      <c r="F28" s="42"/>
      <c r="G28" s="42"/>
      <c r="H28" s="42"/>
      <c r="I28" s="42"/>
      <c r="J28" s="42"/>
      <c r="K28" s="42"/>
      <c r="L28" s="42"/>
      <c r="M28" s="42"/>
      <c r="N28" s="42"/>
      <c r="O28" s="42"/>
      <c r="P28" s="42"/>
      <c r="Q28" s="42"/>
      <c r="R28" s="42"/>
      <c r="S28" s="42"/>
      <c r="T28" s="42"/>
      <c r="U28" s="42"/>
      <c r="V28" s="42"/>
      <c r="W28" s="42"/>
      <c r="X28" s="42"/>
      <c r="Y28" s="42"/>
    </row>
    <row r="29" spans="1:25" ht="26.1">
      <c r="A29" s="464"/>
      <c r="B29" s="464"/>
      <c r="C29" s="50" t="s">
        <v>1966</v>
      </c>
      <c r="D29" s="51" t="s">
        <v>1967</v>
      </c>
      <c r="E29" s="51" t="s">
        <v>1968</v>
      </c>
      <c r="F29" s="42"/>
      <c r="G29" s="42"/>
      <c r="H29" s="42"/>
      <c r="I29" s="42"/>
      <c r="J29" s="42"/>
      <c r="K29" s="42"/>
      <c r="L29" s="42"/>
      <c r="M29" s="42"/>
      <c r="N29" s="42"/>
      <c r="O29" s="42"/>
      <c r="P29" s="42"/>
      <c r="Q29" s="42"/>
      <c r="R29" s="42"/>
      <c r="S29" s="42"/>
      <c r="T29" s="42"/>
      <c r="U29" s="42"/>
      <c r="V29" s="42"/>
      <c r="W29" s="42"/>
      <c r="X29" s="42"/>
      <c r="Y29" s="42"/>
    </row>
    <row r="30" spans="1:25" ht="26.1">
      <c r="A30" s="456">
        <v>7</v>
      </c>
      <c r="B30" s="457" t="s">
        <v>1897</v>
      </c>
      <c r="C30" s="50" t="s">
        <v>1969</v>
      </c>
      <c r="D30" s="51" t="s">
        <v>76</v>
      </c>
      <c r="E30" s="51" t="s">
        <v>1970</v>
      </c>
      <c r="F30" s="42"/>
      <c r="G30" s="42"/>
      <c r="H30" s="42"/>
      <c r="I30" s="42"/>
      <c r="J30" s="42"/>
      <c r="K30" s="42"/>
      <c r="L30" s="42"/>
      <c r="M30" s="42"/>
      <c r="N30" s="42"/>
      <c r="O30" s="42"/>
      <c r="P30" s="42"/>
      <c r="Q30" s="42"/>
      <c r="R30" s="42"/>
      <c r="S30" s="42"/>
      <c r="T30" s="42"/>
      <c r="U30" s="42"/>
      <c r="V30" s="42"/>
      <c r="W30" s="42"/>
      <c r="X30" s="42"/>
      <c r="Y30" s="42"/>
    </row>
    <row r="31" spans="1:25" ht="65.099999999999994">
      <c r="A31" s="464"/>
      <c r="B31" s="464"/>
      <c r="C31" s="50" t="s">
        <v>1971</v>
      </c>
      <c r="D31" s="51" t="s">
        <v>78</v>
      </c>
      <c r="E31" s="51" t="s">
        <v>1972</v>
      </c>
      <c r="F31" s="42"/>
      <c r="G31" s="42"/>
      <c r="H31" s="42"/>
      <c r="I31" s="42"/>
      <c r="J31" s="42"/>
      <c r="K31" s="42"/>
      <c r="L31" s="42"/>
      <c r="M31" s="42"/>
      <c r="N31" s="42"/>
      <c r="O31" s="42"/>
      <c r="P31" s="42"/>
      <c r="Q31" s="42"/>
      <c r="R31" s="42"/>
      <c r="S31" s="42"/>
      <c r="T31" s="42"/>
      <c r="U31" s="42"/>
      <c r="V31" s="42"/>
      <c r="W31" s="42"/>
      <c r="X31" s="42"/>
      <c r="Y31" s="42"/>
    </row>
    <row r="32" spans="1:25" ht="39">
      <c r="A32" s="464"/>
      <c r="B32" s="464"/>
      <c r="C32" s="50" t="s">
        <v>1973</v>
      </c>
      <c r="D32" s="51" t="s">
        <v>1974</v>
      </c>
      <c r="E32" s="54" t="s">
        <v>1975</v>
      </c>
      <c r="F32" s="42"/>
      <c r="G32" s="42"/>
      <c r="H32" s="42"/>
      <c r="I32" s="42"/>
      <c r="J32" s="42"/>
      <c r="K32" s="42"/>
      <c r="L32" s="42"/>
      <c r="M32" s="42"/>
      <c r="N32" s="42"/>
      <c r="O32" s="42"/>
      <c r="P32" s="42"/>
      <c r="Q32" s="42"/>
      <c r="R32" s="42"/>
      <c r="S32" s="42"/>
      <c r="T32" s="42"/>
      <c r="U32" s="42"/>
      <c r="V32" s="42"/>
      <c r="W32" s="42"/>
      <c r="X32" s="42"/>
      <c r="Y32" s="42"/>
    </row>
    <row r="33" spans="1:25" ht="26.1">
      <c r="A33" s="464"/>
      <c r="B33" s="464"/>
      <c r="C33" s="50" t="s">
        <v>1976</v>
      </c>
      <c r="D33" s="51" t="s">
        <v>1977</v>
      </c>
      <c r="E33" s="51" t="s">
        <v>1978</v>
      </c>
      <c r="F33" s="42"/>
      <c r="G33" s="42"/>
      <c r="H33" s="42"/>
      <c r="I33" s="42"/>
      <c r="J33" s="42"/>
      <c r="K33" s="42"/>
      <c r="L33" s="42"/>
      <c r="M33" s="42"/>
      <c r="N33" s="42"/>
      <c r="O33" s="42"/>
      <c r="P33" s="42"/>
      <c r="Q33" s="42"/>
      <c r="R33" s="42"/>
      <c r="S33" s="42"/>
      <c r="T33" s="42"/>
      <c r="U33" s="42"/>
      <c r="V33" s="42"/>
      <c r="W33" s="42"/>
      <c r="X33" s="42"/>
      <c r="Y33" s="42"/>
    </row>
    <row r="34" spans="1:25" ht="39">
      <c r="A34" s="464"/>
      <c r="B34" s="464"/>
      <c r="C34" s="50" t="s">
        <v>1979</v>
      </c>
      <c r="D34" s="51" t="s">
        <v>59</v>
      </c>
      <c r="E34" s="51" t="s">
        <v>1980</v>
      </c>
      <c r="F34" s="42"/>
      <c r="G34" s="42"/>
      <c r="H34" s="42"/>
      <c r="I34" s="42"/>
      <c r="J34" s="42"/>
      <c r="K34" s="42"/>
      <c r="L34" s="42"/>
      <c r="M34" s="42"/>
      <c r="N34" s="42"/>
      <c r="O34" s="42"/>
      <c r="P34" s="42"/>
      <c r="Q34" s="42"/>
      <c r="R34" s="42"/>
      <c r="S34" s="42"/>
      <c r="T34" s="42"/>
      <c r="U34" s="42"/>
      <c r="V34" s="42"/>
      <c r="W34" s="42"/>
      <c r="X34" s="42"/>
      <c r="Y34" s="42"/>
    </row>
    <row r="35" spans="1:25" ht="39">
      <c r="A35" s="464"/>
      <c r="B35" s="464"/>
      <c r="C35" s="50" t="s">
        <v>1981</v>
      </c>
      <c r="D35" s="51" t="s">
        <v>91</v>
      </c>
      <c r="E35" s="51" t="s">
        <v>1982</v>
      </c>
      <c r="F35" s="42"/>
      <c r="G35" s="42"/>
      <c r="H35" s="42"/>
      <c r="I35" s="42"/>
      <c r="J35" s="42"/>
      <c r="K35" s="42"/>
      <c r="L35" s="42"/>
      <c r="M35" s="42"/>
      <c r="N35" s="42"/>
      <c r="O35" s="42"/>
      <c r="P35" s="42"/>
      <c r="Q35" s="42"/>
      <c r="R35" s="42"/>
      <c r="S35" s="42"/>
      <c r="T35" s="42"/>
      <c r="U35" s="42"/>
      <c r="V35" s="42"/>
      <c r="W35" s="42"/>
      <c r="X35" s="42"/>
      <c r="Y35" s="42"/>
    </row>
    <row r="36" spans="1:25" ht="39">
      <c r="A36" s="456">
        <v>8</v>
      </c>
      <c r="B36" s="457" t="s">
        <v>1896</v>
      </c>
      <c r="C36" s="50" t="s">
        <v>1983</v>
      </c>
      <c r="D36" s="51" t="s">
        <v>114</v>
      </c>
      <c r="E36" s="51" t="s">
        <v>1984</v>
      </c>
      <c r="F36" s="42"/>
      <c r="G36" s="42"/>
      <c r="H36" s="42"/>
      <c r="I36" s="42"/>
      <c r="J36" s="42"/>
      <c r="K36" s="42"/>
      <c r="L36" s="42"/>
      <c r="M36" s="42"/>
      <c r="N36" s="42"/>
      <c r="O36" s="42"/>
      <c r="P36" s="42"/>
      <c r="Q36" s="42"/>
      <c r="R36" s="42"/>
      <c r="S36" s="42"/>
      <c r="T36" s="42"/>
      <c r="U36" s="42"/>
      <c r="V36" s="42"/>
      <c r="W36" s="42"/>
      <c r="X36" s="42"/>
      <c r="Y36" s="42"/>
    </row>
    <row r="37" spans="1:25" ht="51.95">
      <c r="A37" s="464"/>
      <c r="B37" s="464"/>
      <c r="C37" s="50" t="s">
        <v>1985</v>
      </c>
      <c r="D37" s="51" t="s">
        <v>92</v>
      </c>
      <c r="E37" s="51" t="s">
        <v>1986</v>
      </c>
      <c r="F37" s="42"/>
      <c r="G37" s="42"/>
      <c r="H37" s="42"/>
      <c r="I37" s="42"/>
      <c r="J37" s="42"/>
      <c r="K37" s="42"/>
      <c r="L37" s="42"/>
      <c r="M37" s="42"/>
      <c r="N37" s="42"/>
      <c r="O37" s="42"/>
      <c r="P37" s="42"/>
      <c r="Q37" s="42"/>
      <c r="R37" s="42"/>
      <c r="S37" s="42"/>
      <c r="T37" s="42"/>
      <c r="U37" s="42"/>
      <c r="V37" s="42"/>
      <c r="W37" s="42"/>
      <c r="X37" s="42"/>
      <c r="Y37" s="42"/>
    </row>
    <row r="38" spans="1:25" ht="51.95">
      <c r="A38" s="464"/>
      <c r="B38" s="464"/>
      <c r="C38" s="50" t="s">
        <v>1987</v>
      </c>
      <c r="D38" s="51" t="s">
        <v>1988</v>
      </c>
      <c r="E38" s="51" t="s">
        <v>1989</v>
      </c>
      <c r="F38" s="42"/>
      <c r="G38" s="42"/>
      <c r="H38" s="42"/>
      <c r="I38" s="42"/>
      <c r="J38" s="42"/>
      <c r="K38" s="42"/>
      <c r="L38" s="42"/>
      <c r="M38" s="42"/>
      <c r="N38" s="42"/>
      <c r="O38" s="42"/>
      <c r="P38" s="42"/>
      <c r="Q38" s="42"/>
      <c r="R38" s="42"/>
      <c r="S38" s="42"/>
      <c r="T38" s="42"/>
      <c r="U38" s="42"/>
      <c r="V38" s="42"/>
      <c r="W38" s="42"/>
      <c r="X38" s="42"/>
      <c r="Y38" s="42"/>
    </row>
    <row r="39" spans="1:25" ht="26.1">
      <c r="A39" s="464"/>
      <c r="B39" s="464"/>
      <c r="C39" s="50" t="s">
        <v>1990</v>
      </c>
      <c r="D39" s="51" t="s">
        <v>239</v>
      </c>
      <c r="E39" s="51" t="s">
        <v>1991</v>
      </c>
      <c r="F39" s="42"/>
      <c r="G39" s="42"/>
      <c r="H39" s="42"/>
      <c r="I39" s="42"/>
      <c r="J39" s="42"/>
      <c r="K39" s="42"/>
      <c r="L39" s="42"/>
      <c r="M39" s="42"/>
      <c r="N39" s="42"/>
      <c r="O39" s="42"/>
      <c r="P39" s="42"/>
      <c r="Q39" s="42"/>
      <c r="R39" s="42"/>
      <c r="S39" s="42"/>
      <c r="T39" s="42"/>
      <c r="U39" s="42"/>
      <c r="V39" s="42"/>
      <c r="W39" s="42"/>
      <c r="X39" s="42"/>
      <c r="Y39" s="42"/>
    </row>
    <row r="40" spans="1:25" ht="39">
      <c r="A40" s="456">
        <v>9</v>
      </c>
      <c r="B40" s="457" t="s">
        <v>1905</v>
      </c>
      <c r="C40" s="50" t="s">
        <v>1992</v>
      </c>
      <c r="D40" s="51" t="s">
        <v>139</v>
      </c>
      <c r="E40" s="51" t="s">
        <v>1993</v>
      </c>
      <c r="F40" s="42"/>
      <c r="G40" s="42"/>
      <c r="H40" s="42"/>
      <c r="I40" s="42"/>
      <c r="J40" s="42"/>
      <c r="K40" s="42"/>
      <c r="L40" s="42"/>
      <c r="M40" s="42"/>
      <c r="N40" s="42"/>
      <c r="O40" s="42"/>
      <c r="P40" s="42"/>
      <c r="Q40" s="42"/>
      <c r="R40" s="42"/>
      <c r="S40" s="42"/>
      <c r="T40" s="42"/>
      <c r="U40" s="42"/>
      <c r="V40" s="42"/>
      <c r="W40" s="42"/>
      <c r="X40" s="42"/>
      <c r="Y40" s="42"/>
    </row>
    <row r="41" spans="1:25" ht="39">
      <c r="A41" s="464"/>
      <c r="B41" s="464"/>
      <c r="C41" s="50" t="s">
        <v>1994</v>
      </c>
      <c r="D41" s="51" t="s">
        <v>1995</v>
      </c>
      <c r="E41" s="51" t="s">
        <v>1996</v>
      </c>
      <c r="F41" s="42"/>
      <c r="G41" s="42"/>
      <c r="H41" s="42"/>
      <c r="I41" s="42"/>
      <c r="J41" s="42"/>
      <c r="K41" s="42"/>
      <c r="L41" s="42"/>
      <c r="M41" s="42"/>
      <c r="N41" s="42"/>
      <c r="O41" s="42"/>
      <c r="P41" s="42"/>
      <c r="Q41" s="42"/>
      <c r="R41" s="42"/>
      <c r="S41" s="42"/>
      <c r="T41" s="42"/>
      <c r="U41" s="42"/>
      <c r="V41" s="42"/>
      <c r="W41" s="42"/>
      <c r="X41" s="42"/>
      <c r="Y41" s="42"/>
    </row>
    <row r="42" spans="1:25" ht="12.95">
      <c r="A42" s="464"/>
      <c r="B42" s="464"/>
      <c r="C42" s="50" t="s">
        <v>1997</v>
      </c>
      <c r="D42" s="51" t="s">
        <v>1998</v>
      </c>
      <c r="E42" s="51" t="s">
        <v>1999</v>
      </c>
      <c r="F42" s="42"/>
      <c r="G42" s="42"/>
      <c r="H42" s="42"/>
      <c r="I42" s="42"/>
      <c r="J42" s="42"/>
      <c r="K42" s="42"/>
      <c r="L42" s="42"/>
      <c r="M42" s="42"/>
      <c r="N42" s="42"/>
      <c r="O42" s="42"/>
      <c r="P42" s="42"/>
      <c r="Q42" s="42"/>
      <c r="R42" s="42"/>
      <c r="S42" s="42"/>
      <c r="T42" s="42"/>
      <c r="U42" s="42"/>
      <c r="V42" s="42"/>
      <c r="W42" s="42"/>
      <c r="X42" s="42"/>
      <c r="Y42" s="42"/>
    </row>
    <row r="43" spans="1:25" ht="78">
      <c r="A43" s="464"/>
      <c r="B43" s="464"/>
      <c r="C43" s="50" t="s">
        <v>2000</v>
      </c>
      <c r="D43" s="51" t="s">
        <v>2001</v>
      </c>
      <c r="E43" s="51" t="s">
        <v>2002</v>
      </c>
      <c r="F43" s="42"/>
      <c r="G43" s="42"/>
      <c r="H43" s="42"/>
      <c r="I43" s="42"/>
      <c r="J43" s="42"/>
      <c r="K43" s="42"/>
      <c r="L43" s="42"/>
      <c r="M43" s="42"/>
      <c r="N43" s="42"/>
      <c r="O43" s="42"/>
      <c r="P43" s="42"/>
      <c r="Q43" s="42"/>
      <c r="R43" s="42"/>
      <c r="S43" s="42"/>
      <c r="T43" s="42"/>
      <c r="U43" s="42"/>
      <c r="V43" s="42"/>
      <c r="W43" s="42"/>
      <c r="X43" s="42"/>
      <c r="Y43" s="42"/>
    </row>
    <row r="44" spans="1:25" ht="26.1">
      <c r="A44" s="456">
        <v>10</v>
      </c>
      <c r="B44" s="457" t="s">
        <v>1903</v>
      </c>
      <c r="C44" s="50" t="s">
        <v>1100</v>
      </c>
      <c r="D44" s="51" t="s">
        <v>205</v>
      </c>
      <c r="E44" s="51" t="s">
        <v>2003</v>
      </c>
      <c r="F44" s="42"/>
      <c r="G44" s="42"/>
      <c r="H44" s="42"/>
      <c r="I44" s="42"/>
      <c r="J44" s="42"/>
      <c r="K44" s="42"/>
      <c r="L44" s="42"/>
      <c r="M44" s="42"/>
      <c r="N44" s="42"/>
      <c r="O44" s="42"/>
      <c r="P44" s="42"/>
      <c r="Q44" s="42"/>
      <c r="R44" s="42"/>
      <c r="S44" s="42"/>
      <c r="T44" s="42"/>
      <c r="U44" s="42"/>
      <c r="V44" s="42"/>
      <c r="W44" s="42"/>
      <c r="X44" s="42"/>
      <c r="Y44" s="42"/>
    </row>
    <row r="45" spans="1:25" ht="12.95">
      <c r="A45" s="464"/>
      <c r="B45" s="464"/>
      <c r="C45" s="50" t="s">
        <v>2004</v>
      </c>
      <c r="D45" s="51" t="s">
        <v>2005</v>
      </c>
      <c r="E45" s="51" t="s">
        <v>2006</v>
      </c>
      <c r="F45" s="42"/>
      <c r="G45" s="42"/>
      <c r="H45" s="42"/>
      <c r="I45" s="42"/>
      <c r="J45" s="42"/>
      <c r="K45" s="42"/>
      <c r="L45" s="42"/>
      <c r="M45" s="42"/>
      <c r="N45" s="42"/>
      <c r="O45" s="42"/>
      <c r="P45" s="42"/>
      <c r="Q45" s="42"/>
      <c r="R45" s="42"/>
      <c r="S45" s="42"/>
      <c r="T45" s="42"/>
      <c r="U45" s="42"/>
      <c r="V45" s="42"/>
      <c r="W45" s="42"/>
      <c r="X45" s="42"/>
      <c r="Y45" s="42"/>
    </row>
    <row r="46" spans="1:25" ht="51.95">
      <c r="A46" s="456">
        <v>11</v>
      </c>
      <c r="B46" s="457" t="s">
        <v>1898</v>
      </c>
      <c r="C46" s="50" t="s">
        <v>1113</v>
      </c>
      <c r="D46" s="51" t="s">
        <v>193</v>
      </c>
      <c r="E46" s="51" t="s">
        <v>2007</v>
      </c>
      <c r="F46" s="42"/>
      <c r="G46" s="42"/>
      <c r="H46" s="42"/>
      <c r="I46" s="42"/>
      <c r="J46" s="42"/>
      <c r="K46" s="42"/>
      <c r="L46" s="42"/>
      <c r="M46" s="42"/>
      <c r="N46" s="42"/>
      <c r="O46" s="42"/>
      <c r="P46" s="42"/>
      <c r="Q46" s="42"/>
      <c r="R46" s="42"/>
      <c r="S46" s="42"/>
      <c r="T46" s="42"/>
      <c r="U46" s="42"/>
      <c r="V46" s="42"/>
      <c r="W46" s="42"/>
      <c r="X46" s="42"/>
      <c r="Y46" s="42"/>
    </row>
    <row r="47" spans="1:25" ht="26.1">
      <c r="A47" s="464"/>
      <c r="B47" s="464"/>
      <c r="C47" s="50" t="s">
        <v>1198</v>
      </c>
      <c r="D47" s="51" t="s">
        <v>65</v>
      </c>
      <c r="E47" s="51" t="s">
        <v>2008</v>
      </c>
      <c r="F47" s="42"/>
      <c r="G47" s="42"/>
      <c r="H47" s="42"/>
      <c r="I47" s="42"/>
      <c r="J47" s="42"/>
      <c r="K47" s="42"/>
      <c r="L47" s="42"/>
      <c r="M47" s="42"/>
      <c r="N47" s="42"/>
      <c r="O47" s="42"/>
      <c r="P47" s="42"/>
      <c r="Q47" s="42"/>
      <c r="R47" s="42"/>
      <c r="S47" s="42"/>
      <c r="T47" s="42"/>
      <c r="U47" s="42"/>
      <c r="V47" s="42"/>
      <c r="W47" s="42"/>
      <c r="X47" s="42"/>
      <c r="Y47" s="42"/>
    </row>
    <row r="48" spans="1:25" ht="39">
      <c r="A48" s="464"/>
      <c r="B48" s="464"/>
      <c r="C48" s="50" t="s">
        <v>1213</v>
      </c>
      <c r="D48" s="51" t="s">
        <v>69</v>
      </c>
      <c r="E48" s="51" t="s">
        <v>2009</v>
      </c>
      <c r="F48" s="42"/>
      <c r="G48" s="42"/>
      <c r="H48" s="42"/>
      <c r="I48" s="42"/>
      <c r="J48" s="42"/>
      <c r="K48" s="42"/>
      <c r="L48" s="42"/>
      <c r="M48" s="42"/>
      <c r="N48" s="42"/>
      <c r="O48" s="42"/>
      <c r="P48" s="42"/>
      <c r="Q48" s="42"/>
      <c r="R48" s="42"/>
      <c r="S48" s="42"/>
      <c r="T48" s="42"/>
      <c r="U48" s="42"/>
      <c r="V48" s="42"/>
      <c r="W48" s="42"/>
      <c r="X48" s="42"/>
      <c r="Y48" s="42"/>
    </row>
    <row r="49" spans="1:25" ht="12.95">
      <c r="A49" s="464"/>
      <c r="B49" s="464"/>
      <c r="C49" s="50" t="s">
        <v>1233</v>
      </c>
      <c r="D49" s="51" t="s">
        <v>2010</v>
      </c>
      <c r="E49" s="52"/>
      <c r="F49" s="42"/>
      <c r="G49" s="42"/>
      <c r="H49" s="42"/>
      <c r="I49" s="42"/>
      <c r="J49" s="42"/>
      <c r="K49" s="42"/>
      <c r="L49" s="42"/>
      <c r="M49" s="42"/>
      <c r="N49" s="42"/>
      <c r="O49" s="42"/>
      <c r="P49" s="42"/>
      <c r="Q49" s="42"/>
      <c r="R49" s="42"/>
      <c r="S49" s="42"/>
      <c r="T49" s="42"/>
      <c r="U49" s="42"/>
      <c r="V49" s="42"/>
      <c r="W49" s="42"/>
      <c r="X49" s="42"/>
      <c r="Y49" s="42"/>
    </row>
    <row r="50" spans="1:25" ht="12.95">
      <c r="A50" s="55"/>
      <c r="B50" s="56"/>
      <c r="C50" s="57"/>
      <c r="D50" s="43"/>
      <c r="E50" s="42"/>
      <c r="F50" s="42"/>
      <c r="G50" s="42"/>
      <c r="H50" s="42"/>
      <c r="I50" s="42"/>
      <c r="J50" s="42"/>
      <c r="K50" s="42"/>
      <c r="L50" s="42"/>
      <c r="M50" s="42"/>
      <c r="N50" s="42"/>
      <c r="O50" s="42"/>
      <c r="P50" s="42"/>
      <c r="Q50" s="42"/>
      <c r="R50" s="42"/>
      <c r="S50" s="42"/>
      <c r="T50" s="42"/>
      <c r="U50" s="42"/>
      <c r="V50" s="42"/>
      <c r="W50" s="42"/>
      <c r="X50" s="42"/>
      <c r="Y50" s="42"/>
    </row>
    <row r="51" spans="1:25" ht="12.95">
      <c r="A51" s="55"/>
      <c r="B51" s="56"/>
      <c r="C51" s="57"/>
      <c r="D51" s="43"/>
      <c r="E51" s="42"/>
      <c r="F51" s="42"/>
      <c r="G51" s="42"/>
      <c r="H51" s="42"/>
      <c r="I51" s="42"/>
      <c r="J51" s="42"/>
      <c r="K51" s="42"/>
      <c r="L51" s="42"/>
      <c r="M51" s="42"/>
      <c r="N51" s="42"/>
      <c r="O51" s="42"/>
      <c r="P51" s="42"/>
      <c r="Q51" s="42"/>
      <c r="R51" s="42"/>
      <c r="S51" s="42"/>
      <c r="T51" s="42"/>
      <c r="U51" s="42"/>
      <c r="V51" s="42"/>
      <c r="W51" s="42"/>
      <c r="X51" s="42"/>
      <c r="Y51" s="42"/>
    </row>
    <row r="52" spans="1:25" ht="12.95">
      <c r="A52" s="55"/>
      <c r="B52" s="56"/>
      <c r="C52" s="57"/>
      <c r="D52" s="43"/>
      <c r="E52" s="42"/>
      <c r="F52" s="42"/>
      <c r="G52" s="42"/>
      <c r="H52" s="42"/>
      <c r="I52" s="42"/>
      <c r="J52" s="42"/>
      <c r="K52" s="42"/>
      <c r="L52" s="42"/>
      <c r="M52" s="42"/>
      <c r="N52" s="42"/>
      <c r="O52" s="42"/>
      <c r="P52" s="42"/>
      <c r="Q52" s="42"/>
      <c r="R52" s="42"/>
      <c r="S52" s="42"/>
      <c r="T52" s="42"/>
      <c r="U52" s="42"/>
      <c r="V52" s="42"/>
      <c r="W52" s="42"/>
      <c r="X52" s="42"/>
      <c r="Y52" s="42"/>
    </row>
    <row r="53" spans="1:25" ht="12.95">
      <c r="A53" s="41"/>
      <c r="B53" s="56"/>
      <c r="C53" s="57"/>
      <c r="D53" s="43"/>
      <c r="E53" s="42"/>
      <c r="F53" s="42"/>
      <c r="G53" s="42"/>
      <c r="H53" s="42"/>
      <c r="I53" s="42"/>
      <c r="J53" s="42"/>
      <c r="K53" s="42"/>
      <c r="L53" s="42"/>
      <c r="M53" s="42"/>
      <c r="N53" s="42"/>
      <c r="O53" s="42"/>
      <c r="P53" s="42"/>
      <c r="Q53" s="42"/>
      <c r="R53" s="42"/>
      <c r="S53" s="42"/>
      <c r="T53" s="42"/>
      <c r="U53" s="42"/>
      <c r="V53" s="42"/>
      <c r="W53" s="42"/>
      <c r="X53" s="42"/>
      <c r="Y53" s="42"/>
    </row>
    <row r="54" spans="1:25" ht="12.95">
      <c r="A54" s="55"/>
      <c r="B54" s="56"/>
      <c r="C54" s="57"/>
      <c r="D54" s="43"/>
      <c r="E54" s="42"/>
      <c r="F54" s="42"/>
      <c r="G54" s="42"/>
      <c r="H54" s="42"/>
      <c r="I54" s="42"/>
      <c r="J54" s="42"/>
      <c r="K54" s="42"/>
      <c r="L54" s="42"/>
      <c r="M54" s="42"/>
      <c r="N54" s="42"/>
      <c r="O54" s="42"/>
      <c r="P54" s="42"/>
      <c r="Q54" s="42"/>
      <c r="R54" s="42"/>
      <c r="S54" s="42"/>
      <c r="T54" s="42"/>
      <c r="U54" s="42"/>
      <c r="V54" s="42"/>
      <c r="W54" s="42"/>
      <c r="X54" s="42"/>
      <c r="Y54" s="42"/>
    </row>
    <row r="55" spans="1:25" ht="12.95">
      <c r="A55" s="55"/>
      <c r="B55" s="56"/>
      <c r="C55" s="57"/>
      <c r="D55" s="43"/>
      <c r="E55" s="42"/>
      <c r="F55" s="42"/>
      <c r="G55" s="42"/>
      <c r="H55" s="42"/>
      <c r="I55" s="42"/>
      <c r="J55" s="42"/>
      <c r="K55" s="42"/>
      <c r="L55" s="42"/>
      <c r="M55" s="42"/>
      <c r="N55" s="42"/>
      <c r="O55" s="42"/>
      <c r="P55" s="42"/>
      <c r="Q55" s="42"/>
      <c r="R55" s="42"/>
      <c r="S55" s="42"/>
      <c r="T55" s="42"/>
      <c r="U55" s="42"/>
      <c r="V55" s="42"/>
      <c r="W55" s="42"/>
      <c r="X55" s="42"/>
      <c r="Y55" s="42"/>
    </row>
    <row r="56" spans="1:25" ht="12.95">
      <c r="A56" s="55"/>
      <c r="B56" s="56"/>
      <c r="C56" s="57"/>
      <c r="D56" s="43"/>
      <c r="E56" s="42"/>
      <c r="F56" s="42"/>
      <c r="G56" s="42"/>
      <c r="H56" s="42"/>
      <c r="I56" s="42"/>
      <c r="J56" s="42"/>
      <c r="K56" s="42"/>
      <c r="L56" s="42"/>
      <c r="M56" s="42"/>
      <c r="N56" s="42"/>
      <c r="O56" s="42"/>
      <c r="P56" s="42"/>
      <c r="Q56" s="42"/>
      <c r="R56" s="42"/>
      <c r="S56" s="42"/>
      <c r="T56" s="42"/>
      <c r="U56" s="42"/>
      <c r="V56" s="42"/>
      <c r="W56" s="42"/>
      <c r="X56" s="42"/>
      <c r="Y56" s="42"/>
    </row>
    <row r="57" spans="1:25" ht="12.95">
      <c r="A57" s="55"/>
      <c r="B57" s="56"/>
      <c r="C57" s="57"/>
      <c r="D57" s="43"/>
      <c r="E57" s="42"/>
      <c r="F57" s="42"/>
      <c r="G57" s="42"/>
      <c r="H57" s="42"/>
      <c r="I57" s="42"/>
      <c r="J57" s="42"/>
      <c r="K57" s="42"/>
      <c r="L57" s="42"/>
      <c r="M57" s="42"/>
      <c r="N57" s="42"/>
      <c r="O57" s="42"/>
      <c r="P57" s="42"/>
      <c r="Q57" s="42"/>
      <c r="R57" s="42"/>
      <c r="S57" s="42"/>
      <c r="T57" s="42"/>
      <c r="U57" s="42"/>
      <c r="V57" s="42"/>
      <c r="W57" s="42"/>
      <c r="X57" s="42"/>
      <c r="Y57" s="42"/>
    </row>
    <row r="58" spans="1:25" ht="12.95">
      <c r="A58" s="55"/>
      <c r="B58" s="43"/>
      <c r="C58" s="57"/>
      <c r="D58" s="56"/>
      <c r="E58" s="42"/>
      <c r="F58" s="42"/>
      <c r="G58" s="42"/>
      <c r="H58" s="42"/>
      <c r="I58" s="42"/>
      <c r="J58" s="42"/>
      <c r="K58" s="42"/>
      <c r="L58" s="42"/>
      <c r="M58" s="42"/>
      <c r="N58" s="42"/>
      <c r="O58" s="42"/>
      <c r="P58" s="42"/>
      <c r="Q58" s="42"/>
      <c r="R58" s="42"/>
      <c r="S58" s="42"/>
      <c r="T58" s="42"/>
      <c r="U58" s="42"/>
      <c r="V58" s="42"/>
      <c r="W58" s="42"/>
      <c r="X58" s="42"/>
      <c r="Y58" s="42"/>
    </row>
    <row r="59" spans="1:25" ht="12.95">
      <c r="A59" s="55"/>
      <c r="B59" s="56"/>
      <c r="C59" s="57"/>
      <c r="D59" s="43"/>
      <c r="E59" s="42"/>
      <c r="F59" s="42"/>
      <c r="G59" s="42"/>
      <c r="H59" s="42"/>
      <c r="I59" s="42"/>
      <c r="J59" s="42"/>
      <c r="K59" s="42"/>
      <c r="L59" s="42"/>
      <c r="M59" s="42"/>
      <c r="N59" s="42"/>
      <c r="O59" s="42"/>
      <c r="P59" s="42"/>
      <c r="Q59" s="42"/>
      <c r="R59" s="42"/>
      <c r="S59" s="42"/>
      <c r="T59" s="42"/>
      <c r="U59" s="42"/>
      <c r="V59" s="42"/>
      <c r="W59" s="42"/>
      <c r="X59" s="42"/>
      <c r="Y59" s="42"/>
    </row>
    <row r="60" spans="1:25" ht="12.95">
      <c r="A60" s="55"/>
      <c r="B60" s="56"/>
      <c r="C60" s="57"/>
      <c r="D60" s="43"/>
      <c r="E60" s="42"/>
      <c r="F60" s="42"/>
      <c r="G60" s="42"/>
      <c r="H60" s="42"/>
      <c r="I60" s="42"/>
      <c r="J60" s="42"/>
      <c r="K60" s="42"/>
      <c r="L60" s="42"/>
      <c r="M60" s="42"/>
      <c r="N60" s="42"/>
      <c r="O60" s="42"/>
      <c r="P60" s="42"/>
      <c r="Q60" s="42"/>
      <c r="R60" s="42"/>
      <c r="S60" s="42"/>
      <c r="T60" s="42"/>
      <c r="U60" s="42"/>
      <c r="V60" s="42"/>
      <c r="W60" s="42"/>
      <c r="X60" s="42"/>
      <c r="Y60" s="42"/>
    </row>
    <row r="61" spans="1:25" ht="12.95">
      <c r="A61" s="55"/>
      <c r="B61" s="56"/>
      <c r="C61" s="57"/>
      <c r="D61" s="43"/>
      <c r="E61" s="42"/>
      <c r="F61" s="42"/>
      <c r="G61" s="42"/>
      <c r="H61" s="42"/>
      <c r="I61" s="42"/>
      <c r="J61" s="42"/>
      <c r="K61" s="42"/>
      <c r="L61" s="42"/>
      <c r="M61" s="42"/>
      <c r="N61" s="42"/>
      <c r="O61" s="42"/>
      <c r="P61" s="42"/>
      <c r="Q61" s="42"/>
      <c r="R61" s="42"/>
      <c r="S61" s="42"/>
      <c r="T61" s="42"/>
      <c r="U61" s="42"/>
      <c r="V61" s="42"/>
      <c r="W61" s="42"/>
      <c r="X61" s="42"/>
      <c r="Y61" s="42"/>
    </row>
    <row r="62" spans="1:25" ht="12.95">
      <c r="A62" s="55"/>
      <c r="B62" s="56"/>
      <c r="C62" s="57"/>
      <c r="D62" s="43"/>
      <c r="E62" s="42"/>
      <c r="F62" s="42"/>
      <c r="G62" s="42"/>
      <c r="H62" s="42"/>
      <c r="I62" s="42"/>
      <c r="J62" s="42"/>
      <c r="K62" s="42"/>
      <c r="L62" s="42"/>
      <c r="M62" s="42"/>
      <c r="N62" s="42"/>
      <c r="O62" s="42"/>
      <c r="P62" s="42"/>
      <c r="Q62" s="42"/>
      <c r="R62" s="42"/>
      <c r="S62" s="42"/>
      <c r="T62" s="42"/>
      <c r="U62" s="42"/>
      <c r="V62" s="42"/>
      <c r="W62" s="42"/>
      <c r="X62" s="42"/>
      <c r="Y62" s="42"/>
    </row>
    <row r="63" spans="1:25" ht="12.95">
      <c r="A63" s="55"/>
      <c r="B63" s="56"/>
      <c r="C63" s="57"/>
      <c r="D63" s="43"/>
      <c r="E63" s="42"/>
      <c r="F63" s="42"/>
      <c r="G63" s="42"/>
      <c r="H63" s="42"/>
      <c r="I63" s="42"/>
      <c r="J63" s="42"/>
      <c r="K63" s="42"/>
      <c r="L63" s="42"/>
      <c r="M63" s="42"/>
      <c r="N63" s="42"/>
      <c r="O63" s="42"/>
      <c r="P63" s="42"/>
      <c r="Q63" s="42"/>
      <c r="R63" s="42"/>
      <c r="S63" s="42"/>
      <c r="T63" s="42"/>
      <c r="U63" s="42"/>
      <c r="V63" s="42"/>
      <c r="W63" s="42"/>
      <c r="X63" s="42"/>
      <c r="Y63" s="42"/>
    </row>
    <row r="64" spans="1:25" ht="12.95">
      <c r="A64" s="55"/>
      <c r="B64" s="56"/>
      <c r="C64" s="57"/>
      <c r="D64" s="43"/>
      <c r="E64" s="42"/>
      <c r="F64" s="42"/>
      <c r="G64" s="42"/>
      <c r="H64" s="42"/>
      <c r="I64" s="42"/>
      <c r="J64" s="42"/>
      <c r="K64" s="42"/>
      <c r="L64" s="42"/>
      <c r="M64" s="42"/>
      <c r="N64" s="42"/>
      <c r="O64" s="42"/>
      <c r="P64" s="42"/>
      <c r="Q64" s="42"/>
      <c r="R64" s="42"/>
      <c r="S64" s="42"/>
      <c r="T64" s="42"/>
      <c r="U64" s="42"/>
      <c r="V64" s="42"/>
      <c r="W64" s="42"/>
      <c r="X64" s="42"/>
      <c r="Y64" s="42"/>
    </row>
    <row r="65" spans="1:25" ht="12.95">
      <c r="A65" s="55"/>
      <c r="B65" s="56"/>
      <c r="C65" s="57"/>
      <c r="D65" s="43"/>
      <c r="E65" s="42"/>
      <c r="F65" s="42"/>
      <c r="G65" s="42"/>
      <c r="H65" s="42"/>
      <c r="I65" s="42"/>
      <c r="J65" s="42"/>
      <c r="K65" s="42"/>
      <c r="L65" s="42"/>
      <c r="M65" s="42"/>
      <c r="N65" s="42"/>
      <c r="O65" s="42"/>
      <c r="P65" s="42"/>
      <c r="Q65" s="42"/>
      <c r="R65" s="42"/>
      <c r="S65" s="42"/>
      <c r="T65" s="42"/>
      <c r="U65" s="42"/>
      <c r="V65" s="42"/>
      <c r="W65" s="42"/>
      <c r="X65" s="42"/>
      <c r="Y65" s="42"/>
    </row>
    <row r="66" spans="1:25" ht="12.95">
      <c r="A66" s="55"/>
      <c r="B66" s="56"/>
      <c r="C66" s="57"/>
      <c r="D66" s="43"/>
      <c r="E66" s="42"/>
      <c r="F66" s="42"/>
      <c r="G66" s="42"/>
      <c r="H66" s="42"/>
      <c r="I66" s="42"/>
      <c r="J66" s="42"/>
      <c r="K66" s="42"/>
      <c r="L66" s="42"/>
      <c r="M66" s="42"/>
      <c r="N66" s="42"/>
      <c r="O66" s="42"/>
      <c r="P66" s="42"/>
      <c r="Q66" s="42"/>
      <c r="R66" s="42"/>
      <c r="S66" s="42"/>
      <c r="T66" s="42"/>
      <c r="U66" s="42"/>
      <c r="V66" s="42"/>
      <c r="W66" s="42"/>
      <c r="X66" s="42"/>
      <c r="Y66" s="42"/>
    </row>
    <row r="67" spans="1:25" ht="12.95">
      <c r="A67" s="55"/>
      <c r="B67" s="56"/>
      <c r="C67" s="57"/>
      <c r="D67" s="43"/>
      <c r="E67" s="42"/>
      <c r="F67" s="42"/>
      <c r="G67" s="42"/>
      <c r="H67" s="42"/>
      <c r="I67" s="42"/>
      <c r="J67" s="42"/>
      <c r="K67" s="42"/>
      <c r="L67" s="42"/>
      <c r="M67" s="42"/>
      <c r="N67" s="42"/>
      <c r="O67" s="42"/>
      <c r="P67" s="42"/>
      <c r="Q67" s="42"/>
      <c r="R67" s="42"/>
      <c r="S67" s="42"/>
      <c r="T67" s="42"/>
      <c r="U67" s="42"/>
      <c r="V67" s="42"/>
      <c r="W67" s="42"/>
      <c r="X67" s="42"/>
      <c r="Y67" s="42"/>
    </row>
    <row r="68" spans="1:25" ht="12.95">
      <c r="A68" s="55"/>
      <c r="B68" s="56"/>
      <c r="C68" s="57"/>
      <c r="D68" s="43"/>
      <c r="E68" s="42"/>
      <c r="F68" s="42"/>
      <c r="G68" s="42"/>
      <c r="H68" s="42"/>
      <c r="I68" s="42"/>
      <c r="J68" s="42"/>
      <c r="K68" s="42"/>
      <c r="L68" s="42"/>
      <c r="M68" s="42"/>
      <c r="N68" s="42"/>
      <c r="O68" s="42"/>
      <c r="P68" s="42"/>
      <c r="Q68" s="42"/>
      <c r="R68" s="42"/>
      <c r="S68" s="42"/>
      <c r="T68" s="42"/>
      <c r="U68" s="42"/>
      <c r="V68" s="42"/>
      <c r="W68" s="42"/>
      <c r="X68" s="42"/>
      <c r="Y68" s="42"/>
    </row>
    <row r="69" spans="1:25" ht="12.95">
      <c r="A69" s="55"/>
      <c r="B69" s="56"/>
      <c r="C69" s="57"/>
      <c r="D69" s="43"/>
      <c r="E69" s="42"/>
      <c r="F69" s="42"/>
      <c r="G69" s="42"/>
      <c r="H69" s="42"/>
      <c r="I69" s="42"/>
      <c r="J69" s="42"/>
      <c r="K69" s="42"/>
      <c r="L69" s="42"/>
      <c r="M69" s="42"/>
      <c r="N69" s="42"/>
      <c r="O69" s="42"/>
      <c r="P69" s="42"/>
      <c r="Q69" s="42"/>
      <c r="R69" s="42"/>
      <c r="S69" s="42"/>
      <c r="T69" s="42"/>
      <c r="U69" s="42"/>
      <c r="V69" s="42"/>
      <c r="W69" s="42"/>
      <c r="X69" s="42"/>
      <c r="Y69" s="42"/>
    </row>
    <row r="70" spans="1:25" ht="12.95">
      <c r="A70" s="55"/>
      <c r="B70" s="56"/>
      <c r="C70" s="57"/>
      <c r="D70" s="43"/>
      <c r="E70" s="42"/>
      <c r="F70" s="42"/>
      <c r="G70" s="42"/>
      <c r="H70" s="42"/>
      <c r="I70" s="42"/>
      <c r="J70" s="42"/>
      <c r="K70" s="42"/>
      <c r="L70" s="42"/>
      <c r="M70" s="42"/>
      <c r="N70" s="42"/>
      <c r="O70" s="42"/>
      <c r="P70" s="42"/>
      <c r="Q70" s="42"/>
      <c r="R70" s="42"/>
      <c r="S70" s="42"/>
      <c r="T70" s="42"/>
      <c r="U70" s="42"/>
      <c r="V70" s="42"/>
      <c r="W70" s="42"/>
      <c r="X70" s="42"/>
      <c r="Y70" s="42"/>
    </row>
    <row r="71" spans="1:25" ht="12.95">
      <c r="A71" s="55"/>
      <c r="B71" s="56"/>
      <c r="C71" s="57"/>
      <c r="D71" s="43"/>
      <c r="E71" s="42"/>
      <c r="F71" s="42"/>
      <c r="G71" s="42"/>
      <c r="H71" s="42"/>
      <c r="I71" s="42"/>
      <c r="J71" s="42"/>
      <c r="K71" s="42"/>
      <c r="L71" s="42"/>
      <c r="M71" s="42"/>
      <c r="N71" s="42"/>
      <c r="O71" s="42"/>
      <c r="P71" s="42"/>
      <c r="Q71" s="42"/>
      <c r="R71" s="42"/>
      <c r="S71" s="42"/>
      <c r="T71" s="42"/>
      <c r="U71" s="42"/>
      <c r="V71" s="42"/>
      <c r="W71" s="42"/>
      <c r="X71" s="42"/>
      <c r="Y71" s="42"/>
    </row>
    <row r="72" spans="1:25" ht="12.95">
      <c r="A72" s="55"/>
      <c r="B72" s="56"/>
      <c r="C72" s="57"/>
      <c r="D72" s="43"/>
      <c r="E72" s="42"/>
      <c r="F72" s="42"/>
      <c r="G72" s="42"/>
      <c r="H72" s="42"/>
      <c r="I72" s="42"/>
      <c r="J72" s="42"/>
      <c r="K72" s="42"/>
      <c r="L72" s="42"/>
      <c r="M72" s="42"/>
      <c r="N72" s="42"/>
      <c r="O72" s="42"/>
      <c r="P72" s="42"/>
      <c r="Q72" s="42"/>
      <c r="R72" s="42"/>
      <c r="S72" s="42"/>
      <c r="T72" s="42"/>
      <c r="U72" s="42"/>
      <c r="V72" s="42"/>
      <c r="W72" s="42"/>
      <c r="X72" s="42"/>
      <c r="Y72" s="42"/>
    </row>
    <row r="73" spans="1:25" ht="12.95">
      <c r="A73" s="55"/>
      <c r="B73" s="56"/>
      <c r="C73" s="57"/>
      <c r="D73" s="43"/>
      <c r="E73" s="42"/>
      <c r="F73" s="42"/>
      <c r="G73" s="42"/>
      <c r="H73" s="42"/>
      <c r="I73" s="42"/>
      <c r="J73" s="42"/>
      <c r="K73" s="42"/>
      <c r="L73" s="42"/>
      <c r="M73" s="42"/>
      <c r="N73" s="42"/>
      <c r="O73" s="42"/>
      <c r="P73" s="42"/>
      <c r="Q73" s="42"/>
      <c r="R73" s="42"/>
      <c r="S73" s="42"/>
      <c r="T73" s="42"/>
      <c r="U73" s="42"/>
      <c r="V73" s="42"/>
      <c r="W73" s="42"/>
      <c r="X73" s="42"/>
      <c r="Y73" s="42"/>
    </row>
    <row r="74" spans="1:25" ht="12.95">
      <c r="A74" s="55"/>
      <c r="B74" s="56"/>
      <c r="C74" s="58"/>
      <c r="D74" s="43"/>
      <c r="E74" s="42"/>
      <c r="F74" s="42"/>
      <c r="G74" s="42"/>
      <c r="H74" s="42"/>
      <c r="I74" s="42"/>
      <c r="J74" s="42"/>
      <c r="K74" s="42"/>
      <c r="L74" s="42"/>
      <c r="M74" s="42"/>
      <c r="N74" s="42"/>
      <c r="O74" s="42"/>
      <c r="P74" s="42"/>
      <c r="Q74" s="42"/>
      <c r="R74" s="42"/>
      <c r="S74" s="42"/>
      <c r="T74" s="42"/>
      <c r="U74" s="42"/>
      <c r="V74" s="42"/>
      <c r="W74" s="42"/>
      <c r="X74" s="42"/>
      <c r="Y74" s="42"/>
    </row>
    <row r="75" spans="1:25" ht="12.95">
      <c r="A75" s="55"/>
      <c r="B75" s="56"/>
      <c r="C75" s="57"/>
      <c r="D75" s="43"/>
      <c r="E75" s="42"/>
      <c r="F75" s="42"/>
      <c r="G75" s="42"/>
      <c r="H75" s="42"/>
      <c r="I75" s="42"/>
      <c r="J75" s="42"/>
      <c r="K75" s="42"/>
      <c r="L75" s="42"/>
      <c r="M75" s="42"/>
      <c r="N75" s="42"/>
      <c r="O75" s="42"/>
      <c r="P75" s="42"/>
      <c r="Q75" s="42"/>
      <c r="R75" s="42"/>
      <c r="S75" s="42"/>
      <c r="T75" s="42"/>
      <c r="U75" s="42"/>
      <c r="V75" s="42"/>
      <c r="W75" s="42"/>
      <c r="X75" s="42"/>
      <c r="Y75" s="42"/>
    </row>
    <row r="76" spans="1:25" ht="12.95">
      <c r="A76" s="55"/>
      <c r="B76" s="56"/>
      <c r="C76" s="57"/>
      <c r="D76" s="43"/>
      <c r="E76" s="42"/>
      <c r="F76" s="42"/>
      <c r="G76" s="42"/>
      <c r="H76" s="42"/>
      <c r="I76" s="42"/>
      <c r="J76" s="42"/>
      <c r="K76" s="42"/>
      <c r="L76" s="42"/>
      <c r="M76" s="42"/>
      <c r="N76" s="42"/>
      <c r="O76" s="42"/>
      <c r="P76" s="42"/>
      <c r="Q76" s="42"/>
      <c r="R76" s="42"/>
      <c r="S76" s="42"/>
      <c r="T76" s="42"/>
      <c r="U76" s="42"/>
      <c r="V76" s="42"/>
      <c r="W76" s="42"/>
      <c r="X76" s="42"/>
      <c r="Y76" s="42"/>
    </row>
    <row r="77" spans="1:25" ht="12.95">
      <c r="A77" s="55"/>
      <c r="B77" s="56"/>
      <c r="C77" s="57"/>
      <c r="D77" s="43"/>
      <c r="E77" s="42"/>
      <c r="F77" s="42"/>
      <c r="G77" s="42"/>
      <c r="H77" s="42"/>
      <c r="I77" s="42"/>
      <c r="J77" s="42"/>
      <c r="K77" s="42"/>
      <c r="L77" s="42"/>
      <c r="M77" s="42"/>
      <c r="N77" s="42"/>
      <c r="O77" s="42"/>
      <c r="P77" s="42"/>
      <c r="Q77" s="42"/>
      <c r="R77" s="42"/>
      <c r="S77" s="42"/>
      <c r="T77" s="42"/>
      <c r="U77" s="42"/>
      <c r="V77" s="42"/>
      <c r="W77" s="42"/>
      <c r="X77" s="42"/>
      <c r="Y77" s="42"/>
    </row>
    <row r="78" spans="1:25" ht="12.95">
      <c r="A78" s="55"/>
      <c r="B78" s="56"/>
      <c r="C78" s="57"/>
      <c r="D78" s="43"/>
      <c r="E78" s="42"/>
      <c r="F78" s="42"/>
      <c r="G78" s="42"/>
      <c r="H78" s="42"/>
      <c r="I78" s="42"/>
      <c r="J78" s="42"/>
      <c r="K78" s="42"/>
      <c r="L78" s="42"/>
      <c r="M78" s="42"/>
      <c r="N78" s="42"/>
      <c r="O78" s="42"/>
      <c r="P78" s="42"/>
      <c r="Q78" s="42"/>
      <c r="R78" s="42"/>
      <c r="S78" s="42"/>
      <c r="T78" s="42"/>
      <c r="U78" s="42"/>
      <c r="V78" s="42"/>
      <c r="W78" s="42"/>
      <c r="X78" s="42"/>
      <c r="Y78" s="42"/>
    </row>
    <row r="79" spans="1:25" ht="12.95">
      <c r="A79" s="55"/>
      <c r="B79" s="56"/>
      <c r="C79" s="57"/>
      <c r="D79" s="43"/>
      <c r="E79" s="42"/>
      <c r="F79" s="42"/>
      <c r="G79" s="42"/>
      <c r="H79" s="42"/>
      <c r="I79" s="42"/>
      <c r="J79" s="42"/>
      <c r="K79" s="42"/>
      <c r="L79" s="42"/>
      <c r="M79" s="42"/>
      <c r="N79" s="42"/>
      <c r="O79" s="42"/>
      <c r="P79" s="42"/>
      <c r="Q79" s="42"/>
      <c r="R79" s="42"/>
      <c r="S79" s="42"/>
      <c r="T79" s="42"/>
      <c r="U79" s="42"/>
      <c r="V79" s="42"/>
      <c r="W79" s="42"/>
      <c r="X79" s="42"/>
      <c r="Y79" s="42"/>
    </row>
    <row r="80" spans="1:25" ht="12.95">
      <c r="A80" s="55"/>
      <c r="B80" s="56"/>
      <c r="C80" s="57"/>
      <c r="D80" s="43"/>
      <c r="E80" s="42"/>
      <c r="F80" s="42"/>
      <c r="G80" s="42"/>
      <c r="H80" s="42"/>
      <c r="I80" s="42"/>
      <c r="J80" s="42"/>
      <c r="K80" s="42"/>
      <c r="L80" s="42"/>
      <c r="M80" s="42"/>
      <c r="N80" s="42"/>
      <c r="O80" s="42"/>
      <c r="P80" s="42"/>
      <c r="Q80" s="42"/>
      <c r="R80" s="42"/>
      <c r="S80" s="42"/>
      <c r="T80" s="42"/>
      <c r="U80" s="42"/>
      <c r="V80" s="42"/>
      <c r="W80" s="42"/>
      <c r="X80" s="42"/>
      <c r="Y80" s="42"/>
    </row>
    <row r="81" spans="1:25" ht="12.95">
      <c r="A81" s="55"/>
      <c r="B81" s="56"/>
      <c r="C81" s="57"/>
      <c r="D81" s="43"/>
      <c r="E81" s="42"/>
      <c r="F81" s="42"/>
      <c r="G81" s="42"/>
      <c r="H81" s="42"/>
      <c r="I81" s="42"/>
      <c r="J81" s="42"/>
      <c r="K81" s="42"/>
      <c r="L81" s="42"/>
      <c r="M81" s="42"/>
      <c r="N81" s="42"/>
      <c r="O81" s="42"/>
      <c r="P81" s="42"/>
      <c r="Q81" s="42"/>
      <c r="R81" s="42"/>
      <c r="S81" s="42"/>
      <c r="T81" s="42"/>
      <c r="U81" s="42"/>
      <c r="V81" s="42"/>
      <c r="W81" s="42"/>
      <c r="X81" s="42"/>
      <c r="Y81" s="42"/>
    </row>
    <row r="82" spans="1:25" ht="12.95">
      <c r="A82" s="55"/>
      <c r="B82" s="56"/>
      <c r="C82" s="57"/>
      <c r="D82" s="43"/>
      <c r="E82" s="42"/>
      <c r="F82" s="42"/>
      <c r="G82" s="42"/>
      <c r="H82" s="42"/>
      <c r="I82" s="42"/>
      <c r="J82" s="42"/>
      <c r="K82" s="42"/>
      <c r="L82" s="42"/>
      <c r="M82" s="42"/>
      <c r="N82" s="42"/>
      <c r="O82" s="42"/>
      <c r="P82" s="42"/>
      <c r="Q82" s="42"/>
      <c r="R82" s="42"/>
      <c r="S82" s="42"/>
      <c r="T82" s="42"/>
      <c r="U82" s="42"/>
      <c r="V82" s="42"/>
      <c r="W82" s="42"/>
      <c r="X82" s="42"/>
      <c r="Y82" s="42"/>
    </row>
    <row r="83" spans="1:25" ht="12.95">
      <c r="A83" s="55"/>
      <c r="B83" s="56"/>
      <c r="C83" s="57"/>
      <c r="D83" s="43"/>
      <c r="E83" s="42"/>
      <c r="F83" s="42"/>
      <c r="G83" s="42"/>
      <c r="H83" s="42"/>
      <c r="I83" s="42"/>
      <c r="J83" s="42"/>
      <c r="K83" s="42"/>
      <c r="L83" s="42"/>
      <c r="M83" s="42"/>
      <c r="N83" s="42"/>
      <c r="O83" s="42"/>
      <c r="P83" s="42"/>
      <c r="Q83" s="42"/>
      <c r="R83" s="42"/>
      <c r="S83" s="42"/>
      <c r="T83" s="42"/>
      <c r="U83" s="42"/>
      <c r="V83" s="42"/>
      <c r="W83" s="42"/>
      <c r="X83" s="42"/>
      <c r="Y83" s="42"/>
    </row>
    <row r="84" spans="1:25" ht="12.95">
      <c r="A84" s="55"/>
      <c r="B84" s="56"/>
      <c r="C84" s="57"/>
      <c r="D84" s="43"/>
      <c r="E84" s="42"/>
      <c r="F84" s="42"/>
      <c r="G84" s="42"/>
      <c r="H84" s="42"/>
      <c r="I84" s="42"/>
      <c r="J84" s="42"/>
      <c r="K84" s="42"/>
      <c r="L84" s="42"/>
      <c r="M84" s="42"/>
      <c r="N84" s="42"/>
      <c r="O84" s="42"/>
      <c r="P84" s="42"/>
      <c r="Q84" s="42"/>
      <c r="R84" s="42"/>
      <c r="S84" s="42"/>
      <c r="T84" s="42"/>
      <c r="U84" s="42"/>
      <c r="V84" s="42"/>
      <c r="W84" s="42"/>
      <c r="X84" s="42"/>
      <c r="Y84" s="42"/>
    </row>
    <row r="85" spans="1:25" ht="12.95">
      <c r="A85" s="55"/>
      <c r="B85" s="56"/>
      <c r="C85" s="57"/>
      <c r="D85" s="56"/>
      <c r="E85" s="42"/>
      <c r="F85" s="42"/>
      <c r="G85" s="42"/>
      <c r="H85" s="42"/>
      <c r="I85" s="42"/>
      <c r="J85" s="42"/>
      <c r="K85" s="42"/>
      <c r="L85" s="42"/>
      <c r="M85" s="42"/>
      <c r="N85" s="42"/>
      <c r="O85" s="42"/>
      <c r="P85" s="42"/>
      <c r="Q85" s="42"/>
      <c r="R85" s="42"/>
      <c r="S85" s="42"/>
      <c r="T85" s="42"/>
      <c r="U85" s="42"/>
      <c r="V85" s="42"/>
      <c r="W85" s="42"/>
      <c r="X85" s="42"/>
      <c r="Y85" s="42"/>
    </row>
    <row r="86" spans="1:25" ht="12.95">
      <c r="A86" s="55"/>
      <c r="B86" s="56"/>
      <c r="C86" s="57"/>
      <c r="D86" s="43"/>
      <c r="E86" s="42"/>
      <c r="F86" s="42"/>
      <c r="G86" s="42"/>
      <c r="H86" s="42"/>
      <c r="I86" s="42"/>
      <c r="J86" s="42"/>
      <c r="K86" s="42"/>
      <c r="L86" s="42"/>
      <c r="M86" s="42"/>
      <c r="N86" s="42"/>
      <c r="O86" s="42"/>
      <c r="P86" s="42"/>
      <c r="Q86" s="42"/>
      <c r="R86" s="42"/>
      <c r="S86" s="42"/>
      <c r="T86" s="42"/>
      <c r="U86" s="42"/>
      <c r="V86" s="42"/>
      <c r="W86" s="42"/>
      <c r="X86" s="42"/>
      <c r="Y86" s="42"/>
    </row>
    <row r="87" spans="1:25" ht="12.95">
      <c r="A87" s="55"/>
      <c r="B87" s="56"/>
      <c r="C87" s="57"/>
      <c r="D87" s="43"/>
      <c r="E87" s="42"/>
      <c r="F87" s="42"/>
      <c r="G87" s="42"/>
      <c r="H87" s="42"/>
      <c r="I87" s="42"/>
      <c r="J87" s="42"/>
      <c r="K87" s="42"/>
      <c r="L87" s="42"/>
      <c r="M87" s="42"/>
      <c r="N87" s="42"/>
      <c r="O87" s="42"/>
      <c r="P87" s="42"/>
      <c r="Q87" s="42"/>
      <c r="R87" s="42"/>
      <c r="S87" s="42"/>
      <c r="T87" s="42"/>
      <c r="U87" s="42"/>
      <c r="V87" s="42"/>
      <c r="W87" s="42"/>
      <c r="X87" s="42"/>
      <c r="Y87" s="42"/>
    </row>
    <row r="88" spans="1:25" ht="12.95">
      <c r="A88" s="55"/>
      <c r="B88" s="56"/>
      <c r="C88" s="57"/>
      <c r="D88" s="43"/>
      <c r="E88" s="42"/>
      <c r="F88" s="42"/>
      <c r="G88" s="42"/>
      <c r="H88" s="42"/>
      <c r="I88" s="42"/>
      <c r="J88" s="42"/>
      <c r="K88" s="42"/>
      <c r="L88" s="42"/>
      <c r="M88" s="42"/>
      <c r="N88" s="42"/>
      <c r="O88" s="42"/>
      <c r="P88" s="42"/>
      <c r="Q88" s="42"/>
      <c r="R88" s="42"/>
      <c r="S88" s="42"/>
      <c r="T88" s="42"/>
      <c r="U88" s="42"/>
      <c r="V88" s="42"/>
      <c r="W88" s="42"/>
      <c r="X88" s="42"/>
      <c r="Y88" s="42"/>
    </row>
    <row r="89" spans="1:25" ht="12.95">
      <c r="A89" s="55"/>
      <c r="B89" s="56"/>
      <c r="C89" s="57"/>
      <c r="D89" s="43"/>
      <c r="E89" s="42"/>
      <c r="F89" s="42"/>
      <c r="G89" s="42"/>
      <c r="H89" s="42"/>
      <c r="I89" s="42"/>
      <c r="J89" s="42"/>
      <c r="K89" s="42"/>
      <c r="L89" s="42"/>
      <c r="M89" s="42"/>
      <c r="N89" s="42"/>
      <c r="O89" s="42"/>
      <c r="P89" s="42"/>
      <c r="Q89" s="42"/>
      <c r="R89" s="42"/>
      <c r="S89" s="42"/>
      <c r="T89" s="42"/>
      <c r="U89" s="42"/>
      <c r="V89" s="42"/>
      <c r="W89" s="42"/>
      <c r="X89" s="42"/>
      <c r="Y89" s="42"/>
    </row>
    <row r="90" spans="1:25" ht="12.95">
      <c r="A90" s="55"/>
      <c r="B90" s="56"/>
      <c r="C90" s="57"/>
      <c r="D90" s="43"/>
      <c r="E90" s="42"/>
      <c r="F90" s="42"/>
      <c r="G90" s="42"/>
      <c r="H90" s="42"/>
      <c r="I90" s="42"/>
      <c r="J90" s="42"/>
      <c r="K90" s="42"/>
      <c r="L90" s="42"/>
      <c r="M90" s="42"/>
      <c r="N90" s="42"/>
      <c r="O90" s="42"/>
      <c r="P90" s="42"/>
      <c r="Q90" s="42"/>
      <c r="R90" s="42"/>
      <c r="S90" s="42"/>
      <c r="T90" s="42"/>
      <c r="U90" s="42"/>
      <c r="V90" s="42"/>
      <c r="W90" s="42"/>
      <c r="X90" s="42"/>
      <c r="Y90" s="42"/>
    </row>
    <row r="91" spans="1:25" ht="12.95">
      <c r="A91" s="55"/>
      <c r="B91" s="56"/>
      <c r="C91" s="57"/>
      <c r="D91" s="43"/>
      <c r="E91" s="42"/>
      <c r="F91" s="42"/>
      <c r="G91" s="42"/>
      <c r="H91" s="42"/>
      <c r="I91" s="42"/>
      <c r="J91" s="42"/>
      <c r="K91" s="42"/>
      <c r="L91" s="42"/>
      <c r="M91" s="42"/>
      <c r="N91" s="42"/>
      <c r="O91" s="42"/>
      <c r="P91" s="42"/>
      <c r="Q91" s="42"/>
      <c r="R91" s="42"/>
      <c r="S91" s="42"/>
      <c r="T91" s="42"/>
      <c r="U91" s="42"/>
      <c r="V91" s="42"/>
      <c r="W91" s="42"/>
      <c r="X91" s="42"/>
      <c r="Y91" s="42"/>
    </row>
    <row r="92" spans="1:25" ht="12.95">
      <c r="A92" s="55"/>
      <c r="B92" s="56"/>
      <c r="C92" s="57"/>
      <c r="D92" s="43"/>
      <c r="E92" s="42"/>
      <c r="F92" s="42"/>
      <c r="G92" s="42"/>
      <c r="H92" s="42"/>
      <c r="I92" s="42"/>
      <c r="J92" s="42"/>
      <c r="K92" s="42"/>
      <c r="L92" s="42"/>
      <c r="M92" s="42"/>
      <c r="N92" s="42"/>
      <c r="O92" s="42"/>
      <c r="P92" s="42"/>
      <c r="Q92" s="42"/>
      <c r="R92" s="42"/>
      <c r="S92" s="42"/>
      <c r="T92" s="42"/>
      <c r="U92" s="42"/>
      <c r="V92" s="42"/>
      <c r="W92" s="42"/>
      <c r="X92" s="42"/>
      <c r="Y92" s="42"/>
    </row>
    <row r="93" spans="1:25" ht="12.95">
      <c r="A93" s="55"/>
      <c r="B93" s="56"/>
      <c r="C93" s="57"/>
      <c r="D93" s="43"/>
      <c r="E93" s="42"/>
      <c r="F93" s="42"/>
      <c r="G93" s="42"/>
      <c r="H93" s="42"/>
      <c r="I93" s="42"/>
      <c r="J93" s="42"/>
      <c r="K93" s="42"/>
      <c r="L93" s="42"/>
      <c r="M93" s="42"/>
      <c r="N93" s="42"/>
      <c r="O93" s="42"/>
      <c r="P93" s="42"/>
      <c r="Q93" s="42"/>
      <c r="R93" s="42"/>
      <c r="S93" s="42"/>
      <c r="T93" s="42"/>
      <c r="U93" s="42"/>
      <c r="V93" s="42"/>
      <c r="W93" s="42"/>
      <c r="X93" s="42"/>
      <c r="Y93" s="42"/>
    </row>
    <row r="94" spans="1:25" ht="12.95">
      <c r="A94" s="55"/>
      <c r="B94" s="56"/>
      <c r="C94" s="57"/>
      <c r="D94" s="43"/>
      <c r="E94" s="42"/>
      <c r="F94" s="42"/>
      <c r="G94" s="42"/>
      <c r="H94" s="42"/>
      <c r="I94" s="42"/>
      <c r="J94" s="42"/>
      <c r="K94" s="42"/>
      <c r="L94" s="42"/>
      <c r="M94" s="42"/>
      <c r="N94" s="42"/>
      <c r="O94" s="42"/>
      <c r="P94" s="42"/>
      <c r="Q94" s="42"/>
      <c r="R94" s="42"/>
      <c r="S94" s="42"/>
      <c r="T94" s="42"/>
      <c r="U94" s="42"/>
      <c r="V94" s="42"/>
      <c r="W94" s="42"/>
      <c r="X94" s="42"/>
      <c r="Y94" s="42"/>
    </row>
    <row r="95" spans="1:25" ht="12.95">
      <c r="A95" s="55"/>
      <c r="B95" s="56"/>
      <c r="C95" s="57"/>
      <c r="D95" s="43"/>
      <c r="E95" s="42"/>
      <c r="F95" s="42"/>
      <c r="G95" s="42"/>
      <c r="H95" s="42"/>
      <c r="I95" s="42"/>
      <c r="J95" s="42"/>
      <c r="K95" s="42"/>
      <c r="L95" s="42"/>
      <c r="M95" s="42"/>
      <c r="N95" s="42"/>
      <c r="O95" s="42"/>
      <c r="P95" s="42"/>
      <c r="Q95" s="42"/>
      <c r="R95" s="42"/>
      <c r="S95" s="42"/>
      <c r="T95" s="42"/>
      <c r="U95" s="42"/>
      <c r="V95" s="42"/>
      <c r="W95" s="42"/>
      <c r="X95" s="42"/>
      <c r="Y95" s="42"/>
    </row>
    <row r="96" spans="1:25" ht="12.95">
      <c r="A96" s="55"/>
      <c r="B96" s="56"/>
      <c r="C96" s="57"/>
      <c r="D96" s="43"/>
      <c r="E96" s="42"/>
      <c r="F96" s="42"/>
      <c r="G96" s="42"/>
      <c r="H96" s="42"/>
      <c r="I96" s="42"/>
      <c r="J96" s="42"/>
      <c r="K96" s="42"/>
      <c r="L96" s="42"/>
      <c r="M96" s="42"/>
      <c r="N96" s="42"/>
      <c r="O96" s="42"/>
      <c r="P96" s="42"/>
      <c r="Q96" s="42"/>
      <c r="R96" s="42"/>
      <c r="S96" s="42"/>
      <c r="T96" s="42"/>
      <c r="U96" s="42"/>
      <c r="V96" s="42"/>
      <c r="W96" s="42"/>
      <c r="X96" s="42"/>
      <c r="Y96" s="42"/>
    </row>
    <row r="97" spans="1:25" ht="12.95">
      <c r="A97" s="55"/>
      <c r="B97" s="56"/>
      <c r="C97" s="57"/>
      <c r="D97" s="43"/>
      <c r="E97" s="42"/>
      <c r="F97" s="42"/>
      <c r="G97" s="42"/>
      <c r="H97" s="42"/>
      <c r="I97" s="42"/>
      <c r="J97" s="42"/>
      <c r="K97" s="42"/>
      <c r="L97" s="42"/>
      <c r="M97" s="42"/>
      <c r="N97" s="42"/>
      <c r="O97" s="42"/>
      <c r="P97" s="42"/>
      <c r="Q97" s="42"/>
      <c r="R97" s="42"/>
      <c r="S97" s="42"/>
      <c r="T97" s="42"/>
      <c r="U97" s="42"/>
      <c r="V97" s="42"/>
      <c r="W97" s="42"/>
      <c r="X97" s="42"/>
      <c r="Y97" s="42"/>
    </row>
    <row r="98" spans="1:25" ht="12.95">
      <c r="A98" s="55"/>
      <c r="B98" s="56"/>
      <c r="C98" s="57"/>
      <c r="D98" s="43"/>
      <c r="E98" s="42"/>
      <c r="F98" s="42"/>
      <c r="G98" s="42"/>
      <c r="H98" s="42"/>
      <c r="I98" s="42"/>
      <c r="J98" s="42"/>
      <c r="K98" s="42"/>
      <c r="L98" s="42"/>
      <c r="M98" s="42"/>
      <c r="N98" s="42"/>
      <c r="O98" s="42"/>
      <c r="P98" s="42"/>
      <c r="Q98" s="42"/>
      <c r="R98" s="42"/>
      <c r="S98" s="42"/>
      <c r="T98" s="42"/>
      <c r="U98" s="42"/>
      <c r="V98" s="42"/>
      <c r="W98" s="42"/>
      <c r="X98" s="42"/>
      <c r="Y98" s="42"/>
    </row>
    <row r="99" spans="1:25" ht="12.95">
      <c r="A99" s="55"/>
      <c r="B99" s="56"/>
      <c r="C99" s="57"/>
      <c r="D99" s="43"/>
      <c r="E99" s="42"/>
      <c r="F99" s="42"/>
      <c r="G99" s="42"/>
      <c r="H99" s="42"/>
      <c r="I99" s="42"/>
      <c r="J99" s="42"/>
      <c r="K99" s="42"/>
      <c r="L99" s="42"/>
      <c r="M99" s="42"/>
      <c r="N99" s="42"/>
      <c r="O99" s="42"/>
      <c r="P99" s="42"/>
      <c r="Q99" s="42"/>
      <c r="R99" s="42"/>
      <c r="S99" s="42"/>
      <c r="T99" s="42"/>
      <c r="U99" s="42"/>
      <c r="V99" s="42"/>
      <c r="W99" s="42"/>
      <c r="X99" s="42"/>
      <c r="Y99" s="42"/>
    </row>
    <row r="100" spans="1:25" ht="12.95">
      <c r="A100" s="55"/>
      <c r="B100" s="56"/>
      <c r="C100" s="57"/>
      <c r="D100" s="43"/>
      <c r="E100" s="42"/>
      <c r="F100" s="42"/>
      <c r="G100" s="42"/>
      <c r="H100" s="42"/>
      <c r="I100" s="42"/>
      <c r="J100" s="42"/>
      <c r="K100" s="42"/>
      <c r="L100" s="42"/>
      <c r="M100" s="42"/>
      <c r="N100" s="42"/>
      <c r="O100" s="42"/>
      <c r="P100" s="42"/>
      <c r="Q100" s="42"/>
      <c r="R100" s="42"/>
      <c r="S100" s="42"/>
      <c r="T100" s="42"/>
      <c r="U100" s="42"/>
      <c r="V100" s="42"/>
      <c r="W100" s="42"/>
      <c r="X100" s="42"/>
      <c r="Y100" s="42"/>
    </row>
    <row r="101" spans="1:25" ht="12.95">
      <c r="A101" s="55"/>
      <c r="B101" s="56"/>
      <c r="C101" s="57"/>
      <c r="D101" s="43"/>
      <c r="E101" s="42"/>
      <c r="F101" s="42"/>
      <c r="G101" s="42"/>
      <c r="H101" s="42"/>
      <c r="I101" s="42"/>
      <c r="J101" s="42"/>
      <c r="K101" s="42"/>
      <c r="L101" s="42"/>
      <c r="M101" s="42"/>
      <c r="N101" s="42"/>
      <c r="O101" s="42"/>
      <c r="P101" s="42"/>
      <c r="Q101" s="42"/>
      <c r="R101" s="42"/>
      <c r="S101" s="42"/>
      <c r="T101" s="42"/>
      <c r="U101" s="42"/>
      <c r="V101" s="42"/>
      <c r="W101" s="42"/>
      <c r="X101" s="42"/>
      <c r="Y101" s="42"/>
    </row>
    <row r="102" spans="1:25" ht="12.95">
      <c r="A102" s="55"/>
      <c r="B102" s="56"/>
      <c r="C102" s="57"/>
      <c r="D102" s="43"/>
      <c r="E102" s="42"/>
      <c r="F102" s="42"/>
      <c r="G102" s="42"/>
      <c r="H102" s="42"/>
      <c r="I102" s="42"/>
      <c r="J102" s="42"/>
      <c r="K102" s="42"/>
      <c r="L102" s="42"/>
      <c r="M102" s="42"/>
      <c r="N102" s="42"/>
      <c r="O102" s="42"/>
      <c r="P102" s="42"/>
      <c r="Q102" s="42"/>
      <c r="R102" s="42"/>
      <c r="S102" s="42"/>
      <c r="T102" s="42"/>
      <c r="U102" s="42"/>
      <c r="V102" s="42"/>
      <c r="W102" s="42"/>
      <c r="X102" s="42"/>
      <c r="Y102" s="42"/>
    </row>
    <row r="103" spans="1:25" ht="12.95">
      <c r="A103" s="55"/>
      <c r="B103" s="56"/>
      <c r="C103" s="57"/>
      <c r="D103" s="43"/>
      <c r="E103" s="42"/>
      <c r="F103" s="42"/>
      <c r="G103" s="42"/>
      <c r="H103" s="42"/>
      <c r="I103" s="42"/>
      <c r="J103" s="42"/>
      <c r="K103" s="42"/>
      <c r="L103" s="42"/>
      <c r="M103" s="42"/>
      <c r="N103" s="42"/>
      <c r="O103" s="42"/>
      <c r="P103" s="42"/>
      <c r="Q103" s="42"/>
      <c r="R103" s="42"/>
      <c r="S103" s="42"/>
      <c r="T103" s="42"/>
      <c r="U103" s="42"/>
      <c r="V103" s="42"/>
      <c r="W103" s="42"/>
      <c r="X103" s="42"/>
      <c r="Y103" s="42"/>
    </row>
    <row r="104" spans="1:25" ht="12.95">
      <c r="A104" s="55"/>
      <c r="B104" s="56"/>
      <c r="C104" s="57"/>
      <c r="D104" s="43"/>
      <c r="E104" s="42"/>
      <c r="F104" s="42"/>
      <c r="G104" s="42"/>
      <c r="H104" s="42"/>
      <c r="I104" s="42"/>
      <c r="J104" s="42"/>
      <c r="K104" s="42"/>
      <c r="L104" s="42"/>
      <c r="M104" s="42"/>
      <c r="N104" s="42"/>
      <c r="O104" s="42"/>
      <c r="P104" s="42"/>
      <c r="Q104" s="42"/>
      <c r="R104" s="42"/>
      <c r="S104" s="42"/>
      <c r="T104" s="42"/>
      <c r="U104" s="42"/>
      <c r="V104" s="42"/>
      <c r="W104" s="42"/>
      <c r="X104" s="42"/>
      <c r="Y104" s="42"/>
    </row>
    <row r="105" spans="1:25" ht="12.95">
      <c r="A105" s="55"/>
      <c r="B105" s="56"/>
      <c r="C105" s="57"/>
      <c r="D105" s="43"/>
      <c r="E105" s="42"/>
      <c r="F105" s="42"/>
      <c r="G105" s="42"/>
      <c r="H105" s="42"/>
      <c r="I105" s="42"/>
      <c r="J105" s="42"/>
      <c r="K105" s="42"/>
      <c r="L105" s="42"/>
      <c r="M105" s="42"/>
      <c r="N105" s="42"/>
      <c r="O105" s="42"/>
      <c r="P105" s="42"/>
      <c r="Q105" s="42"/>
      <c r="R105" s="42"/>
      <c r="S105" s="42"/>
      <c r="T105" s="42"/>
      <c r="U105" s="42"/>
      <c r="V105" s="42"/>
      <c r="W105" s="42"/>
      <c r="X105" s="42"/>
      <c r="Y105" s="42"/>
    </row>
    <row r="106" spans="1:25" ht="12.95">
      <c r="A106" s="55"/>
      <c r="B106" s="56"/>
      <c r="C106" s="57"/>
      <c r="D106" s="43"/>
      <c r="E106" s="42"/>
      <c r="F106" s="42"/>
      <c r="G106" s="42"/>
      <c r="H106" s="42"/>
      <c r="I106" s="42"/>
      <c r="J106" s="42"/>
      <c r="K106" s="42"/>
      <c r="L106" s="42"/>
      <c r="M106" s="42"/>
      <c r="N106" s="42"/>
      <c r="O106" s="42"/>
      <c r="P106" s="42"/>
      <c r="Q106" s="42"/>
      <c r="R106" s="42"/>
      <c r="S106" s="42"/>
      <c r="T106" s="42"/>
      <c r="U106" s="42"/>
      <c r="V106" s="42"/>
      <c r="W106" s="42"/>
      <c r="X106" s="42"/>
      <c r="Y106" s="42"/>
    </row>
    <row r="107" spans="1:25" ht="12.95">
      <c r="A107" s="55"/>
      <c r="B107" s="56"/>
      <c r="C107" s="57"/>
      <c r="D107" s="43"/>
      <c r="E107" s="42"/>
      <c r="F107" s="42"/>
      <c r="G107" s="42"/>
      <c r="H107" s="42"/>
      <c r="I107" s="42"/>
      <c r="J107" s="42"/>
      <c r="K107" s="42"/>
      <c r="L107" s="42"/>
      <c r="M107" s="42"/>
      <c r="N107" s="42"/>
      <c r="O107" s="42"/>
      <c r="P107" s="42"/>
      <c r="Q107" s="42"/>
      <c r="R107" s="42"/>
      <c r="S107" s="42"/>
      <c r="T107" s="42"/>
      <c r="U107" s="42"/>
      <c r="V107" s="42"/>
      <c r="W107" s="42"/>
      <c r="X107" s="42"/>
      <c r="Y107" s="42"/>
    </row>
    <row r="108" spans="1:25" ht="12.95">
      <c r="A108" s="55"/>
      <c r="B108" s="56"/>
      <c r="C108" s="57"/>
      <c r="D108" s="43"/>
      <c r="E108" s="42"/>
      <c r="F108" s="42"/>
      <c r="G108" s="42"/>
      <c r="H108" s="42"/>
      <c r="I108" s="42"/>
      <c r="J108" s="42"/>
      <c r="K108" s="42"/>
      <c r="L108" s="42"/>
      <c r="M108" s="42"/>
      <c r="N108" s="42"/>
      <c r="O108" s="42"/>
      <c r="P108" s="42"/>
      <c r="Q108" s="42"/>
      <c r="R108" s="42"/>
      <c r="S108" s="42"/>
      <c r="T108" s="42"/>
      <c r="U108" s="42"/>
      <c r="V108" s="42"/>
      <c r="W108" s="42"/>
      <c r="X108" s="42"/>
      <c r="Y108" s="42"/>
    </row>
    <row r="109" spans="1:25" ht="12.95">
      <c r="A109" s="55"/>
      <c r="B109" s="56"/>
      <c r="C109" s="57"/>
      <c r="D109" s="43"/>
      <c r="E109" s="42"/>
      <c r="F109" s="42"/>
      <c r="G109" s="42"/>
      <c r="H109" s="42"/>
      <c r="I109" s="42"/>
      <c r="J109" s="42"/>
      <c r="K109" s="42"/>
      <c r="L109" s="42"/>
      <c r="M109" s="42"/>
      <c r="N109" s="42"/>
      <c r="O109" s="42"/>
      <c r="P109" s="42"/>
      <c r="Q109" s="42"/>
      <c r="R109" s="42"/>
      <c r="S109" s="42"/>
      <c r="T109" s="42"/>
      <c r="U109" s="42"/>
      <c r="V109" s="42"/>
      <c r="W109" s="42"/>
      <c r="X109" s="42"/>
      <c r="Y109" s="42"/>
    </row>
    <row r="110" spans="1:25" ht="12.95">
      <c r="A110" s="55"/>
      <c r="B110" s="56"/>
      <c r="C110" s="57"/>
      <c r="D110" s="43"/>
      <c r="E110" s="42"/>
      <c r="F110" s="42"/>
      <c r="G110" s="42"/>
      <c r="H110" s="42"/>
      <c r="I110" s="42"/>
      <c r="J110" s="42"/>
      <c r="K110" s="42"/>
      <c r="L110" s="42"/>
      <c r="M110" s="42"/>
      <c r="N110" s="42"/>
      <c r="O110" s="42"/>
      <c r="P110" s="42"/>
      <c r="Q110" s="42"/>
      <c r="R110" s="42"/>
      <c r="S110" s="42"/>
      <c r="T110" s="42"/>
      <c r="U110" s="42"/>
      <c r="V110" s="42"/>
      <c r="W110" s="42"/>
      <c r="X110" s="42"/>
      <c r="Y110" s="42"/>
    </row>
    <row r="111" spans="1:25" ht="12.95">
      <c r="A111" s="55"/>
      <c r="B111" s="56"/>
      <c r="C111" s="57"/>
      <c r="D111" s="43"/>
      <c r="E111" s="42"/>
      <c r="F111" s="42"/>
      <c r="G111" s="42"/>
      <c r="H111" s="42"/>
      <c r="I111" s="42"/>
      <c r="J111" s="42"/>
      <c r="K111" s="42"/>
      <c r="L111" s="42"/>
      <c r="M111" s="42"/>
      <c r="N111" s="42"/>
      <c r="O111" s="42"/>
      <c r="P111" s="42"/>
      <c r="Q111" s="42"/>
      <c r="R111" s="42"/>
      <c r="S111" s="42"/>
      <c r="T111" s="42"/>
      <c r="U111" s="42"/>
      <c r="V111" s="42"/>
      <c r="W111" s="42"/>
      <c r="X111" s="42"/>
      <c r="Y111" s="42"/>
    </row>
    <row r="112" spans="1:25" ht="12.95">
      <c r="A112" s="55"/>
      <c r="B112" s="56"/>
      <c r="C112" s="57"/>
      <c r="D112" s="43"/>
      <c r="E112" s="42"/>
      <c r="F112" s="42"/>
      <c r="G112" s="42"/>
      <c r="H112" s="42"/>
      <c r="I112" s="42"/>
      <c r="J112" s="42"/>
      <c r="K112" s="42"/>
      <c r="L112" s="42"/>
      <c r="M112" s="42"/>
      <c r="N112" s="42"/>
      <c r="O112" s="42"/>
      <c r="P112" s="42"/>
      <c r="Q112" s="42"/>
      <c r="R112" s="42"/>
      <c r="S112" s="42"/>
      <c r="T112" s="42"/>
      <c r="U112" s="42"/>
      <c r="V112" s="42"/>
      <c r="W112" s="42"/>
      <c r="X112" s="42"/>
      <c r="Y112" s="42"/>
    </row>
    <row r="113" spans="1:25" ht="12.95">
      <c r="A113" s="55"/>
      <c r="B113" s="56"/>
      <c r="C113" s="57"/>
      <c r="D113" s="43"/>
      <c r="E113" s="42"/>
      <c r="F113" s="42"/>
      <c r="G113" s="42"/>
      <c r="H113" s="42"/>
      <c r="I113" s="42"/>
      <c r="J113" s="42"/>
      <c r="K113" s="42"/>
      <c r="L113" s="42"/>
      <c r="M113" s="42"/>
      <c r="N113" s="42"/>
      <c r="O113" s="42"/>
      <c r="P113" s="42"/>
      <c r="Q113" s="42"/>
      <c r="R113" s="42"/>
      <c r="S113" s="42"/>
      <c r="T113" s="42"/>
      <c r="U113" s="42"/>
      <c r="V113" s="42"/>
      <c r="W113" s="42"/>
      <c r="X113" s="42"/>
      <c r="Y113" s="42"/>
    </row>
    <row r="114" spans="1:25" ht="12.95">
      <c r="A114" s="55"/>
      <c r="B114" s="56"/>
      <c r="C114" s="57"/>
      <c r="D114" s="43"/>
      <c r="E114" s="42"/>
      <c r="F114" s="42"/>
      <c r="G114" s="42"/>
      <c r="H114" s="42"/>
      <c r="I114" s="42"/>
      <c r="J114" s="42"/>
      <c r="K114" s="42"/>
      <c r="L114" s="42"/>
      <c r="M114" s="42"/>
      <c r="N114" s="42"/>
      <c r="O114" s="42"/>
      <c r="P114" s="42"/>
      <c r="Q114" s="42"/>
      <c r="R114" s="42"/>
      <c r="S114" s="42"/>
      <c r="T114" s="42"/>
      <c r="U114" s="42"/>
      <c r="V114" s="42"/>
      <c r="W114" s="42"/>
      <c r="X114" s="42"/>
      <c r="Y114" s="42"/>
    </row>
    <row r="115" spans="1:25" ht="12.95">
      <c r="A115" s="55"/>
      <c r="B115" s="56"/>
      <c r="C115" s="57"/>
      <c r="D115" s="43"/>
      <c r="E115" s="42"/>
      <c r="F115" s="42"/>
      <c r="G115" s="42"/>
      <c r="H115" s="42"/>
      <c r="I115" s="42"/>
      <c r="J115" s="42"/>
      <c r="K115" s="42"/>
      <c r="L115" s="42"/>
      <c r="M115" s="42"/>
      <c r="N115" s="42"/>
      <c r="O115" s="42"/>
      <c r="P115" s="42"/>
      <c r="Q115" s="42"/>
      <c r="R115" s="42"/>
      <c r="S115" s="42"/>
      <c r="T115" s="42"/>
      <c r="U115" s="42"/>
      <c r="V115" s="42"/>
      <c r="W115" s="42"/>
      <c r="X115" s="42"/>
      <c r="Y115" s="42"/>
    </row>
    <row r="116" spans="1:25" ht="12.95">
      <c r="A116" s="55"/>
      <c r="B116" s="56"/>
      <c r="C116" s="57"/>
      <c r="D116" s="43"/>
      <c r="E116" s="42"/>
      <c r="F116" s="42"/>
      <c r="G116" s="42"/>
      <c r="H116" s="42"/>
      <c r="I116" s="42"/>
      <c r="J116" s="42"/>
      <c r="K116" s="42"/>
      <c r="L116" s="42"/>
      <c r="M116" s="42"/>
      <c r="N116" s="42"/>
      <c r="O116" s="42"/>
      <c r="P116" s="42"/>
      <c r="Q116" s="42"/>
      <c r="R116" s="42"/>
      <c r="S116" s="42"/>
      <c r="T116" s="42"/>
      <c r="U116" s="42"/>
      <c r="V116" s="42"/>
      <c r="W116" s="42"/>
      <c r="X116" s="42"/>
      <c r="Y116" s="42"/>
    </row>
    <row r="117" spans="1:25" ht="12.95">
      <c r="A117" s="55"/>
      <c r="B117" s="56"/>
      <c r="C117" s="57"/>
      <c r="D117" s="43"/>
      <c r="E117" s="42"/>
      <c r="F117" s="42"/>
      <c r="G117" s="42"/>
      <c r="H117" s="42"/>
      <c r="I117" s="42"/>
      <c r="J117" s="42"/>
      <c r="K117" s="42"/>
      <c r="L117" s="42"/>
      <c r="M117" s="42"/>
      <c r="N117" s="42"/>
      <c r="O117" s="42"/>
      <c r="P117" s="42"/>
      <c r="Q117" s="42"/>
      <c r="R117" s="42"/>
      <c r="S117" s="42"/>
      <c r="T117" s="42"/>
      <c r="U117" s="42"/>
      <c r="V117" s="42"/>
      <c r="W117" s="42"/>
      <c r="X117" s="42"/>
      <c r="Y117" s="42"/>
    </row>
    <row r="118" spans="1:25" ht="12.95">
      <c r="A118" s="55"/>
      <c r="B118" s="56"/>
      <c r="C118" s="57"/>
      <c r="D118" s="43"/>
      <c r="E118" s="42"/>
      <c r="F118" s="42"/>
      <c r="G118" s="42"/>
      <c r="H118" s="42"/>
      <c r="I118" s="42"/>
      <c r="J118" s="42"/>
      <c r="K118" s="42"/>
      <c r="L118" s="42"/>
      <c r="M118" s="42"/>
      <c r="N118" s="42"/>
      <c r="O118" s="42"/>
      <c r="P118" s="42"/>
      <c r="Q118" s="42"/>
      <c r="R118" s="42"/>
      <c r="S118" s="42"/>
      <c r="T118" s="42"/>
      <c r="U118" s="42"/>
      <c r="V118" s="42"/>
      <c r="W118" s="42"/>
      <c r="X118" s="42"/>
      <c r="Y118" s="42"/>
    </row>
    <row r="119" spans="1:25" ht="12.95">
      <c r="A119" s="55"/>
      <c r="B119" s="56"/>
      <c r="C119" s="57"/>
      <c r="D119" s="43"/>
      <c r="E119" s="42"/>
      <c r="F119" s="42"/>
      <c r="G119" s="42"/>
      <c r="H119" s="42"/>
      <c r="I119" s="42"/>
      <c r="J119" s="42"/>
      <c r="K119" s="42"/>
      <c r="L119" s="42"/>
      <c r="M119" s="42"/>
      <c r="N119" s="42"/>
      <c r="O119" s="42"/>
      <c r="P119" s="42"/>
      <c r="Q119" s="42"/>
      <c r="R119" s="42"/>
      <c r="S119" s="42"/>
      <c r="T119" s="42"/>
      <c r="U119" s="42"/>
      <c r="V119" s="42"/>
      <c r="W119" s="42"/>
      <c r="X119" s="42"/>
      <c r="Y119" s="42"/>
    </row>
    <row r="120" spans="1:25" ht="12.95">
      <c r="A120" s="55"/>
      <c r="B120" s="56"/>
      <c r="C120" s="57"/>
      <c r="D120" s="43"/>
      <c r="E120" s="42"/>
      <c r="F120" s="42"/>
      <c r="G120" s="42"/>
      <c r="H120" s="42"/>
      <c r="I120" s="42"/>
      <c r="J120" s="42"/>
      <c r="K120" s="42"/>
      <c r="L120" s="42"/>
      <c r="M120" s="42"/>
      <c r="N120" s="42"/>
      <c r="O120" s="42"/>
      <c r="P120" s="42"/>
      <c r="Q120" s="42"/>
      <c r="R120" s="42"/>
      <c r="S120" s="42"/>
      <c r="T120" s="42"/>
      <c r="U120" s="42"/>
      <c r="V120" s="42"/>
      <c r="W120" s="42"/>
      <c r="X120" s="42"/>
      <c r="Y120" s="42"/>
    </row>
    <row r="121" spans="1:25" ht="12.95">
      <c r="A121" s="55"/>
      <c r="B121" s="56"/>
      <c r="C121" s="57"/>
      <c r="D121" s="43"/>
      <c r="E121" s="42"/>
      <c r="F121" s="42"/>
      <c r="G121" s="42"/>
      <c r="H121" s="42"/>
      <c r="I121" s="42"/>
      <c r="J121" s="42"/>
      <c r="K121" s="42"/>
      <c r="L121" s="42"/>
      <c r="M121" s="42"/>
      <c r="N121" s="42"/>
      <c r="O121" s="42"/>
      <c r="P121" s="42"/>
      <c r="Q121" s="42"/>
      <c r="R121" s="42"/>
      <c r="S121" s="42"/>
      <c r="T121" s="42"/>
      <c r="U121" s="42"/>
      <c r="V121" s="42"/>
      <c r="W121" s="42"/>
      <c r="X121" s="42"/>
      <c r="Y121" s="42"/>
    </row>
    <row r="122" spans="1:25" ht="12.95">
      <c r="A122" s="55"/>
      <c r="B122" s="56"/>
      <c r="C122" s="57"/>
      <c r="D122" s="43"/>
      <c r="E122" s="42"/>
      <c r="F122" s="42"/>
      <c r="G122" s="42"/>
      <c r="H122" s="42"/>
      <c r="I122" s="42"/>
      <c r="J122" s="42"/>
      <c r="K122" s="42"/>
      <c r="L122" s="42"/>
      <c r="M122" s="42"/>
      <c r="N122" s="42"/>
      <c r="O122" s="42"/>
      <c r="P122" s="42"/>
      <c r="Q122" s="42"/>
      <c r="R122" s="42"/>
      <c r="S122" s="42"/>
      <c r="T122" s="42"/>
      <c r="U122" s="42"/>
      <c r="V122" s="42"/>
      <c r="W122" s="42"/>
      <c r="X122" s="42"/>
      <c r="Y122" s="42"/>
    </row>
    <row r="123" spans="1:25" ht="12.95">
      <c r="A123" s="55"/>
      <c r="B123" s="56"/>
      <c r="C123" s="57"/>
      <c r="D123" s="43"/>
      <c r="E123" s="42"/>
      <c r="F123" s="42"/>
      <c r="G123" s="42"/>
      <c r="H123" s="42"/>
      <c r="I123" s="42"/>
      <c r="J123" s="42"/>
      <c r="K123" s="42"/>
      <c r="L123" s="42"/>
      <c r="M123" s="42"/>
      <c r="N123" s="42"/>
      <c r="O123" s="42"/>
      <c r="P123" s="42"/>
      <c r="Q123" s="42"/>
      <c r="R123" s="42"/>
      <c r="S123" s="42"/>
      <c r="T123" s="42"/>
      <c r="U123" s="42"/>
      <c r="V123" s="42"/>
      <c r="W123" s="42"/>
      <c r="X123" s="42"/>
      <c r="Y123" s="42"/>
    </row>
    <row r="124" spans="1:25" ht="12.95">
      <c r="A124" s="55"/>
      <c r="B124" s="56"/>
      <c r="C124" s="57"/>
      <c r="D124" s="43"/>
      <c r="E124" s="42"/>
      <c r="F124" s="42"/>
      <c r="G124" s="42"/>
      <c r="H124" s="42"/>
      <c r="I124" s="42"/>
      <c r="J124" s="42"/>
      <c r="K124" s="42"/>
      <c r="L124" s="42"/>
      <c r="M124" s="42"/>
      <c r="N124" s="42"/>
      <c r="O124" s="42"/>
      <c r="P124" s="42"/>
      <c r="Q124" s="42"/>
      <c r="R124" s="42"/>
      <c r="S124" s="42"/>
      <c r="T124" s="42"/>
      <c r="U124" s="42"/>
      <c r="V124" s="42"/>
      <c r="W124" s="42"/>
      <c r="X124" s="42"/>
      <c r="Y124" s="42"/>
    </row>
    <row r="125" spans="1:25" ht="12.95">
      <c r="A125" s="55"/>
      <c r="B125" s="56"/>
      <c r="C125" s="57"/>
      <c r="D125" s="43"/>
      <c r="E125" s="42"/>
      <c r="F125" s="42"/>
      <c r="G125" s="42"/>
      <c r="H125" s="42"/>
      <c r="I125" s="42"/>
      <c r="J125" s="42"/>
      <c r="K125" s="42"/>
      <c r="L125" s="42"/>
      <c r="M125" s="42"/>
      <c r="N125" s="42"/>
      <c r="O125" s="42"/>
      <c r="P125" s="42"/>
      <c r="Q125" s="42"/>
      <c r="R125" s="42"/>
      <c r="S125" s="42"/>
      <c r="T125" s="42"/>
      <c r="U125" s="42"/>
      <c r="V125" s="42"/>
      <c r="W125" s="42"/>
      <c r="X125" s="42"/>
      <c r="Y125" s="42"/>
    </row>
    <row r="126" spans="1:25" ht="12.95">
      <c r="A126" s="55"/>
      <c r="B126" s="56"/>
      <c r="C126" s="57"/>
      <c r="D126" s="43"/>
      <c r="E126" s="42"/>
      <c r="F126" s="42"/>
      <c r="G126" s="42"/>
      <c r="H126" s="42"/>
      <c r="I126" s="42"/>
      <c r="J126" s="42"/>
      <c r="K126" s="42"/>
      <c r="L126" s="42"/>
      <c r="M126" s="42"/>
      <c r="N126" s="42"/>
      <c r="O126" s="42"/>
      <c r="P126" s="42"/>
      <c r="Q126" s="42"/>
      <c r="R126" s="42"/>
      <c r="S126" s="42"/>
      <c r="T126" s="42"/>
      <c r="U126" s="42"/>
      <c r="V126" s="42"/>
      <c r="W126" s="42"/>
      <c r="X126" s="42"/>
      <c r="Y126" s="42"/>
    </row>
    <row r="127" spans="1:25" ht="12.95">
      <c r="A127" s="55"/>
      <c r="B127" s="56"/>
      <c r="C127" s="57"/>
      <c r="D127" s="43"/>
      <c r="E127" s="42"/>
      <c r="F127" s="42"/>
      <c r="G127" s="42"/>
      <c r="H127" s="42"/>
      <c r="I127" s="42"/>
      <c r="J127" s="42"/>
      <c r="K127" s="42"/>
      <c r="L127" s="42"/>
      <c r="M127" s="42"/>
      <c r="N127" s="42"/>
      <c r="O127" s="42"/>
      <c r="P127" s="42"/>
      <c r="Q127" s="42"/>
      <c r="R127" s="42"/>
      <c r="S127" s="42"/>
      <c r="T127" s="42"/>
      <c r="U127" s="42"/>
      <c r="V127" s="42"/>
      <c r="W127" s="42"/>
      <c r="X127" s="42"/>
      <c r="Y127" s="42"/>
    </row>
    <row r="128" spans="1:25" ht="12.95">
      <c r="A128" s="55"/>
      <c r="B128" s="56"/>
      <c r="C128" s="57"/>
      <c r="D128" s="43"/>
      <c r="E128" s="42"/>
      <c r="F128" s="42"/>
      <c r="G128" s="42"/>
      <c r="H128" s="42"/>
      <c r="I128" s="42"/>
      <c r="J128" s="42"/>
      <c r="K128" s="42"/>
      <c r="L128" s="42"/>
      <c r="M128" s="42"/>
      <c r="N128" s="42"/>
      <c r="O128" s="42"/>
      <c r="P128" s="42"/>
      <c r="Q128" s="42"/>
      <c r="R128" s="42"/>
      <c r="S128" s="42"/>
      <c r="T128" s="42"/>
      <c r="U128" s="42"/>
      <c r="V128" s="42"/>
      <c r="W128" s="42"/>
      <c r="X128" s="42"/>
      <c r="Y128" s="42"/>
    </row>
    <row r="129" spans="1:25" ht="12.95">
      <c r="A129" s="55"/>
      <c r="B129" s="41"/>
      <c r="C129" s="42"/>
      <c r="D129" s="43"/>
      <c r="E129" s="42"/>
      <c r="F129" s="42"/>
      <c r="G129" s="42"/>
      <c r="H129" s="42"/>
      <c r="I129" s="42"/>
      <c r="J129" s="42"/>
      <c r="K129" s="42"/>
      <c r="L129" s="42"/>
      <c r="M129" s="42"/>
      <c r="N129" s="42"/>
      <c r="O129" s="42"/>
      <c r="P129" s="42"/>
      <c r="Q129" s="42"/>
      <c r="R129" s="42"/>
      <c r="S129" s="42"/>
      <c r="T129" s="42"/>
      <c r="U129" s="42"/>
      <c r="V129" s="42"/>
      <c r="W129" s="42"/>
      <c r="X129" s="42"/>
      <c r="Y129" s="42"/>
    </row>
    <row r="130" spans="1:25" ht="12.95">
      <c r="A130" s="55"/>
      <c r="B130" s="41"/>
      <c r="C130" s="42"/>
      <c r="D130" s="43"/>
      <c r="E130" s="42"/>
      <c r="F130" s="42"/>
      <c r="G130" s="42"/>
      <c r="H130" s="42"/>
      <c r="I130" s="42"/>
      <c r="J130" s="42"/>
      <c r="K130" s="42"/>
      <c r="L130" s="42"/>
      <c r="M130" s="42"/>
      <c r="N130" s="42"/>
      <c r="O130" s="42"/>
      <c r="P130" s="42"/>
      <c r="Q130" s="42"/>
      <c r="R130" s="42"/>
      <c r="S130" s="42"/>
      <c r="T130" s="42"/>
      <c r="U130" s="42"/>
      <c r="V130" s="42"/>
      <c r="W130" s="42"/>
      <c r="X130" s="42"/>
      <c r="Y130" s="42"/>
    </row>
    <row r="131" spans="1:25" ht="12.95">
      <c r="A131" s="55"/>
      <c r="B131" s="41"/>
      <c r="C131" s="42"/>
      <c r="D131" s="43"/>
      <c r="E131" s="42"/>
      <c r="F131" s="42"/>
      <c r="G131" s="42"/>
      <c r="H131" s="42"/>
      <c r="I131" s="42"/>
      <c r="J131" s="42"/>
      <c r="K131" s="42"/>
      <c r="L131" s="42"/>
      <c r="M131" s="42"/>
      <c r="N131" s="42"/>
      <c r="O131" s="42"/>
      <c r="P131" s="42"/>
      <c r="Q131" s="42"/>
      <c r="R131" s="42"/>
      <c r="S131" s="42"/>
      <c r="T131" s="42"/>
      <c r="U131" s="42"/>
      <c r="V131" s="42"/>
      <c r="W131" s="42"/>
      <c r="X131" s="42"/>
      <c r="Y131" s="42"/>
    </row>
    <row r="132" spans="1:25" ht="12.95">
      <c r="A132" s="55"/>
      <c r="B132" s="41"/>
      <c r="C132" s="42"/>
      <c r="D132" s="43"/>
      <c r="E132" s="42"/>
      <c r="F132" s="42"/>
      <c r="G132" s="42"/>
      <c r="H132" s="42"/>
      <c r="I132" s="42"/>
      <c r="J132" s="42"/>
      <c r="K132" s="42"/>
      <c r="L132" s="42"/>
      <c r="M132" s="42"/>
      <c r="N132" s="42"/>
      <c r="O132" s="42"/>
      <c r="P132" s="42"/>
      <c r="Q132" s="42"/>
      <c r="R132" s="42"/>
      <c r="S132" s="42"/>
      <c r="T132" s="42"/>
      <c r="U132" s="42"/>
      <c r="V132" s="42"/>
      <c r="W132" s="42"/>
      <c r="X132" s="42"/>
      <c r="Y132" s="42"/>
    </row>
    <row r="133" spans="1:25" ht="12.95">
      <c r="A133" s="55"/>
      <c r="B133" s="41"/>
      <c r="C133" s="42"/>
      <c r="D133" s="43"/>
      <c r="E133" s="42"/>
      <c r="F133" s="42"/>
      <c r="G133" s="42"/>
      <c r="H133" s="42"/>
      <c r="I133" s="42"/>
      <c r="J133" s="42"/>
      <c r="K133" s="42"/>
      <c r="L133" s="42"/>
      <c r="M133" s="42"/>
      <c r="N133" s="42"/>
      <c r="O133" s="42"/>
      <c r="P133" s="42"/>
      <c r="Q133" s="42"/>
      <c r="R133" s="42"/>
      <c r="S133" s="42"/>
      <c r="T133" s="42"/>
      <c r="U133" s="42"/>
      <c r="V133" s="42"/>
      <c r="W133" s="42"/>
      <c r="X133" s="42"/>
      <c r="Y133" s="42"/>
    </row>
    <row r="134" spans="1:25" ht="12.95">
      <c r="A134" s="55"/>
      <c r="B134" s="41"/>
      <c r="C134" s="42"/>
      <c r="D134" s="43"/>
      <c r="E134" s="42"/>
      <c r="F134" s="42"/>
      <c r="G134" s="42"/>
      <c r="H134" s="42"/>
      <c r="I134" s="42"/>
      <c r="J134" s="42"/>
      <c r="K134" s="42"/>
      <c r="L134" s="42"/>
      <c r="M134" s="42"/>
      <c r="N134" s="42"/>
      <c r="O134" s="42"/>
      <c r="P134" s="42"/>
      <c r="Q134" s="42"/>
      <c r="R134" s="42"/>
      <c r="S134" s="42"/>
      <c r="T134" s="42"/>
      <c r="U134" s="42"/>
      <c r="V134" s="42"/>
      <c r="W134" s="42"/>
      <c r="X134" s="42"/>
      <c r="Y134" s="42"/>
    </row>
    <row r="135" spans="1:25" ht="12.95">
      <c r="A135" s="55"/>
      <c r="B135" s="41"/>
      <c r="C135" s="42"/>
      <c r="D135" s="43"/>
      <c r="E135" s="42"/>
      <c r="F135" s="42"/>
      <c r="G135" s="42"/>
      <c r="H135" s="42"/>
      <c r="I135" s="42"/>
      <c r="J135" s="42"/>
      <c r="K135" s="42"/>
      <c r="L135" s="42"/>
      <c r="M135" s="42"/>
      <c r="N135" s="42"/>
      <c r="O135" s="42"/>
      <c r="P135" s="42"/>
      <c r="Q135" s="42"/>
      <c r="R135" s="42"/>
      <c r="S135" s="42"/>
      <c r="T135" s="42"/>
      <c r="U135" s="42"/>
      <c r="V135" s="42"/>
      <c r="W135" s="42"/>
      <c r="X135" s="42"/>
      <c r="Y135" s="42"/>
    </row>
    <row r="136" spans="1:25" ht="12.95">
      <c r="A136" s="55"/>
      <c r="B136" s="41"/>
      <c r="C136" s="42"/>
      <c r="D136" s="43"/>
      <c r="E136" s="42"/>
      <c r="F136" s="42"/>
      <c r="G136" s="42"/>
      <c r="H136" s="42"/>
      <c r="I136" s="42"/>
      <c r="J136" s="42"/>
      <c r="K136" s="42"/>
      <c r="L136" s="42"/>
      <c r="M136" s="42"/>
      <c r="N136" s="42"/>
      <c r="O136" s="42"/>
      <c r="P136" s="42"/>
      <c r="Q136" s="42"/>
      <c r="R136" s="42"/>
      <c r="S136" s="42"/>
      <c r="T136" s="42"/>
      <c r="U136" s="42"/>
      <c r="V136" s="42"/>
      <c r="W136" s="42"/>
      <c r="X136" s="42"/>
      <c r="Y136" s="42"/>
    </row>
    <row r="137" spans="1:25" ht="12.95">
      <c r="A137" s="55"/>
      <c r="B137" s="41"/>
      <c r="C137" s="42"/>
      <c r="D137" s="43"/>
      <c r="E137" s="42"/>
      <c r="F137" s="42"/>
      <c r="G137" s="42"/>
      <c r="H137" s="42"/>
      <c r="I137" s="42"/>
      <c r="J137" s="42"/>
      <c r="K137" s="42"/>
      <c r="L137" s="42"/>
      <c r="M137" s="42"/>
      <c r="N137" s="42"/>
      <c r="O137" s="42"/>
      <c r="P137" s="42"/>
      <c r="Q137" s="42"/>
      <c r="R137" s="42"/>
      <c r="S137" s="42"/>
      <c r="T137" s="42"/>
      <c r="U137" s="42"/>
      <c r="V137" s="42"/>
      <c r="W137" s="42"/>
      <c r="X137" s="42"/>
      <c r="Y137" s="42"/>
    </row>
    <row r="138" spans="1:25" ht="12.95">
      <c r="A138" s="55"/>
      <c r="B138" s="41"/>
      <c r="C138" s="42"/>
      <c r="D138" s="43"/>
      <c r="E138" s="42"/>
      <c r="F138" s="42"/>
      <c r="G138" s="42"/>
      <c r="H138" s="42"/>
      <c r="I138" s="42"/>
      <c r="J138" s="42"/>
      <c r="K138" s="42"/>
      <c r="L138" s="42"/>
      <c r="M138" s="42"/>
      <c r="N138" s="42"/>
      <c r="O138" s="42"/>
      <c r="P138" s="42"/>
      <c r="Q138" s="42"/>
      <c r="R138" s="42"/>
      <c r="S138" s="42"/>
      <c r="T138" s="42"/>
      <c r="U138" s="42"/>
      <c r="V138" s="42"/>
      <c r="W138" s="42"/>
      <c r="X138" s="42"/>
      <c r="Y138" s="42"/>
    </row>
    <row r="139" spans="1:25" ht="12.95">
      <c r="A139" s="55"/>
      <c r="B139" s="41"/>
      <c r="C139" s="42"/>
      <c r="D139" s="43"/>
      <c r="E139" s="42"/>
      <c r="F139" s="42"/>
      <c r="G139" s="42"/>
      <c r="H139" s="42"/>
      <c r="I139" s="42"/>
      <c r="J139" s="42"/>
      <c r="K139" s="42"/>
      <c r="L139" s="42"/>
      <c r="M139" s="42"/>
      <c r="N139" s="42"/>
      <c r="O139" s="42"/>
      <c r="P139" s="42"/>
      <c r="Q139" s="42"/>
      <c r="R139" s="42"/>
      <c r="S139" s="42"/>
      <c r="T139" s="42"/>
      <c r="U139" s="42"/>
      <c r="V139" s="42"/>
      <c r="W139" s="42"/>
      <c r="X139" s="42"/>
      <c r="Y139" s="42"/>
    </row>
    <row r="140" spans="1:25" ht="12.95">
      <c r="A140" s="55"/>
      <c r="B140" s="41"/>
      <c r="C140" s="42"/>
      <c r="D140" s="43"/>
      <c r="E140" s="42"/>
      <c r="F140" s="42"/>
      <c r="G140" s="42"/>
      <c r="H140" s="42"/>
      <c r="I140" s="42"/>
      <c r="J140" s="42"/>
      <c r="K140" s="42"/>
      <c r="L140" s="42"/>
      <c r="M140" s="42"/>
      <c r="N140" s="42"/>
      <c r="O140" s="42"/>
      <c r="P140" s="42"/>
      <c r="Q140" s="42"/>
      <c r="R140" s="42"/>
      <c r="S140" s="42"/>
      <c r="T140" s="42"/>
      <c r="U140" s="42"/>
      <c r="V140" s="42"/>
      <c r="W140" s="42"/>
      <c r="X140" s="42"/>
      <c r="Y140" s="42"/>
    </row>
    <row r="141" spans="1:25" ht="12.95">
      <c r="A141" s="55"/>
      <c r="B141" s="41"/>
      <c r="C141" s="42"/>
      <c r="D141" s="43"/>
      <c r="E141" s="42"/>
      <c r="F141" s="42"/>
      <c r="G141" s="42"/>
      <c r="H141" s="42"/>
      <c r="I141" s="42"/>
      <c r="J141" s="42"/>
      <c r="K141" s="42"/>
      <c r="L141" s="42"/>
      <c r="M141" s="42"/>
      <c r="N141" s="42"/>
      <c r="O141" s="42"/>
      <c r="P141" s="42"/>
      <c r="Q141" s="42"/>
      <c r="R141" s="42"/>
      <c r="S141" s="42"/>
      <c r="T141" s="42"/>
      <c r="U141" s="42"/>
      <c r="V141" s="42"/>
      <c r="W141" s="42"/>
      <c r="X141" s="42"/>
      <c r="Y141" s="42"/>
    </row>
    <row r="142" spans="1:25" ht="12.95">
      <c r="A142" s="55"/>
      <c r="B142" s="41"/>
      <c r="C142" s="42"/>
      <c r="D142" s="43"/>
      <c r="E142" s="42"/>
      <c r="F142" s="42"/>
      <c r="G142" s="42"/>
      <c r="H142" s="42"/>
      <c r="I142" s="42"/>
      <c r="J142" s="42"/>
      <c r="K142" s="42"/>
      <c r="L142" s="42"/>
      <c r="M142" s="42"/>
      <c r="N142" s="42"/>
      <c r="O142" s="42"/>
      <c r="P142" s="42"/>
      <c r="Q142" s="42"/>
      <c r="R142" s="42"/>
      <c r="S142" s="42"/>
      <c r="T142" s="42"/>
      <c r="U142" s="42"/>
      <c r="V142" s="42"/>
      <c r="W142" s="42"/>
      <c r="X142" s="42"/>
      <c r="Y142" s="42"/>
    </row>
    <row r="143" spans="1:25" ht="12.95">
      <c r="A143" s="55"/>
      <c r="B143" s="41"/>
      <c r="C143" s="42"/>
      <c r="D143" s="43"/>
      <c r="E143" s="42"/>
      <c r="F143" s="42"/>
      <c r="G143" s="42"/>
      <c r="H143" s="42"/>
      <c r="I143" s="42"/>
      <c r="J143" s="42"/>
      <c r="K143" s="42"/>
      <c r="L143" s="42"/>
      <c r="M143" s="42"/>
      <c r="N143" s="42"/>
      <c r="O143" s="42"/>
      <c r="P143" s="42"/>
      <c r="Q143" s="42"/>
      <c r="R143" s="42"/>
      <c r="S143" s="42"/>
      <c r="T143" s="42"/>
      <c r="U143" s="42"/>
      <c r="V143" s="42"/>
      <c r="W143" s="42"/>
      <c r="X143" s="42"/>
      <c r="Y143" s="42"/>
    </row>
    <row r="144" spans="1:25" ht="12.95">
      <c r="A144" s="55"/>
      <c r="B144" s="41"/>
      <c r="C144" s="42"/>
      <c r="D144" s="43"/>
      <c r="E144" s="42"/>
      <c r="F144" s="42"/>
      <c r="G144" s="42"/>
      <c r="H144" s="42"/>
      <c r="I144" s="42"/>
      <c r="J144" s="42"/>
      <c r="K144" s="42"/>
      <c r="L144" s="42"/>
      <c r="M144" s="42"/>
      <c r="N144" s="42"/>
      <c r="O144" s="42"/>
      <c r="P144" s="42"/>
      <c r="Q144" s="42"/>
      <c r="R144" s="42"/>
      <c r="S144" s="42"/>
      <c r="T144" s="42"/>
      <c r="U144" s="42"/>
      <c r="V144" s="42"/>
      <c r="W144" s="42"/>
      <c r="X144" s="42"/>
      <c r="Y144" s="42"/>
    </row>
    <row r="145" spans="1:25" ht="12.95">
      <c r="A145" s="55"/>
      <c r="B145" s="41"/>
      <c r="C145" s="42"/>
      <c r="D145" s="43"/>
      <c r="E145" s="42"/>
      <c r="F145" s="42"/>
      <c r="G145" s="42"/>
      <c r="H145" s="42"/>
      <c r="I145" s="42"/>
      <c r="J145" s="42"/>
      <c r="K145" s="42"/>
      <c r="L145" s="42"/>
      <c r="M145" s="42"/>
      <c r="N145" s="42"/>
      <c r="O145" s="42"/>
      <c r="P145" s="42"/>
      <c r="Q145" s="42"/>
      <c r="R145" s="42"/>
      <c r="S145" s="42"/>
      <c r="T145" s="42"/>
      <c r="U145" s="42"/>
      <c r="V145" s="42"/>
      <c r="W145" s="42"/>
      <c r="X145" s="42"/>
      <c r="Y145" s="42"/>
    </row>
    <row r="146" spans="1:25" ht="12.95">
      <c r="A146" s="55"/>
      <c r="B146" s="41"/>
      <c r="C146" s="42"/>
      <c r="D146" s="43"/>
      <c r="E146" s="42"/>
      <c r="F146" s="42"/>
      <c r="G146" s="42"/>
      <c r="H146" s="42"/>
      <c r="I146" s="42"/>
      <c r="J146" s="42"/>
      <c r="K146" s="42"/>
      <c r="L146" s="42"/>
      <c r="M146" s="42"/>
      <c r="N146" s="42"/>
      <c r="O146" s="42"/>
      <c r="P146" s="42"/>
      <c r="Q146" s="42"/>
      <c r="R146" s="42"/>
      <c r="S146" s="42"/>
      <c r="T146" s="42"/>
      <c r="U146" s="42"/>
      <c r="V146" s="42"/>
      <c r="W146" s="42"/>
      <c r="X146" s="42"/>
      <c r="Y146" s="42"/>
    </row>
    <row r="147" spans="1:25" ht="12.95">
      <c r="A147" s="55"/>
      <c r="B147" s="41"/>
      <c r="C147" s="42"/>
      <c r="D147" s="43"/>
      <c r="E147" s="42"/>
      <c r="F147" s="42"/>
      <c r="G147" s="42"/>
      <c r="H147" s="42"/>
      <c r="I147" s="42"/>
      <c r="J147" s="42"/>
      <c r="K147" s="42"/>
      <c r="L147" s="42"/>
      <c r="M147" s="42"/>
      <c r="N147" s="42"/>
      <c r="O147" s="42"/>
      <c r="P147" s="42"/>
      <c r="Q147" s="42"/>
      <c r="R147" s="42"/>
      <c r="S147" s="42"/>
      <c r="T147" s="42"/>
      <c r="U147" s="42"/>
      <c r="V147" s="42"/>
      <c r="W147" s="42"/>
      <c r="X147" s="42"/>
      <c r="Y147" s="42"/>
    </row>
    <row r="148" spans="1:25" ht="12.95">
      <c r="A148" s="55"/>
      <c r="B148" s="41"/>
      <c r="C148" s="42"/>
      <c r="D148" s="43"/>
      <c r="E148" s="42"/>
      <c r="F148" s="42"/>
      <c r="G148" s="42"/>
      <c r="H148" s="42"/>
      <c r="I148" s="42"/>
      <c r="J148" s="42"/>
      <c r="K148" s="42"/>
      <c r="L148" s="42"/>
      <c r="M148" s="42"/>
      <c r="N148" s="42"/>
      <c r="O148" s="42"/>
      <c r="P148" s="42"/>
      <c r="Q148" s="42"/>
      <c r="R148" s="42"/>
      <c r="S148" s="42"/>
      <c r="T148" s="42"/>
      <c r="U148" s="42"/>
      <c r="V148" s="42"/>
      <c r="W148" s="42"/>
      <c r="X148" s="42"/>
      <c r="Y148" s="42"/>
    </row>
    <row r="149" spans="1:25" ht="12.95">
      <c r="A149" s="55"/>
      <c r="B149" s="41"/>
      <c r="C149" s="42"/>
      <c r="D149" s="43"/>
      <c r="E149" s="42"/>
      <c r="F149" s="42"/>
      <c r="G149" s="42"/>
      <c r="H149" s="42"/>
      <c r="I149" s="42"/>
      <c r="J149" s="42"/>
      <c r="K149" s="42"/>
      <c r="L149" s="42"/>
      <c r="M149" s="42"/>
      <c r="N149" s="42"/>
      <c r="O149" s="42"/>
      <c r="P149" s="42"/>
      <c r="Q149" s="42"/>
      <c r="R149" s="42"/>
      <c r="S149" s="42"/>
      <c r="T149" s="42"/>
      <c r="U149" s="42"/>
      <c r="V149" s="42"/>
      <c r="W149" s="42"/>
      <c r="X149" s="42"/>
      <c r="Y149" s="42"/>
    </row>
    <row r="150" spans="1:25" ht="12.95">
      <c r="A150" s="55"/>
      <c r="B150" s="41"/>
      <c r="C150" s="42"/>
      <c r="D150" s="43"/>
      <c r="E150" s="42"/>
      <c r="F150" s="42"/>
      <c r="G150" s="42"/>
      <c r="H150" s="42"/>
      <c r="I150" s="42"/>
      <c r="J150" s="42"/>
      <c r="K150" s="42"/>
      <c r="L150" s="42"/>
      <c r="M150" s="42"/>
      <c r="N150" s="42"/>
      <c r="O150" s="42"/>
      <c r="P150" s="42"/>
      <c r="Q150" s="42"/>
      <c r="R150" s="42"/>
      <c r="S150" s="42"/>
      <c r="T150" s="42"/>
      <c r="U150" s="42"/>
      <c r="V150" s="42"/>
      <c r="W150" s="42"/>
      <c r="X150" s="42"/>
      <c r="Y150" s="42"/>
    </row>
    <row r="151" spans="1:25" ht="12.95">
      <c r="A151" s="55"/>
      <c r="B151" s="41"/>
      <c r="C151" s="42"/>
      <c r="D151" s="43"/>
      <c r="E151" s="42"/>
      <c r="F151" s="42"/>
      <c r="G151" s="42"/>
      <c r="H151" s="42"/>
      <c r="I151" s="42"/>
      <c r="J151" s="42"/>
      <c r="K151" s="42"/>
      <c r="L151" s="42"/>
      <c r="M151" s="42"/>
      <c r="N151" s="42"/>
      <c r="O151" s="42"/>
      <c r="P151" s="42"/>
      <c r="Q151" s="42"/>
      <c r="R151" s="42"/>
      <c r="S151" s="42"/>
      <c r="T151" s="42"/>
      <c r="U151" s="42"/>
      <c r="V151" s="42"/>
      <c r="W151" s="42"/>
      <c r="X151" s="42"/>
      <c r="Y151" s="42"/>
    </row>
    <row r="152" spans="1:25" ht="12.95">
      <c r="A152" s="55"/>
      <c r="B152" s="41"/>
      <c r="C152" s="42"/>
      <c r="D152" s="43"/>
      <c r="E152" s="42"/>
      <c r="F152" s="42"/>
      <c r="G152" s="42"/>
      <c r="H152" s="42"/>
      <c r="I152" s="42"/>
      <c r="J152" s="42"/>
      <c r="K152" s="42"/>
      <c r="L152" s="42"/>
      <c r="M152" s="42"/>
      <c r="N152" s="42"/>
      <c r="O152" s="42"/>
      <c r="P152" s="42"/>
      <c r="Q152" s="42"/>
      <c r="R152" s="42"/>
      <c r="S152" s="42"/>
      <c r="T152" s="42"/>
      <c r="U152" s="42"/>
      <c r="V152" s="42"/>
      <c r="W152" s="42"/>
      <c r="X152" s="42"/>
      <c r="Y152" s="42"/>
    </row>
    <row r="153" spans="1:25" ht="12.95">
      <c r="A153" s="55"/>
      <c r="B153" s="41"/>
      <c r="C153" s="42"/>
      <c r="D153" s="43"/>
      <c r="E153" s="42"/>
      <c r="F153" s="42"/>
      <c r="G153" s="42"/>
      <c r="H153" s="42"/>
      <c r="I153" s="42"/>
      <c r="J153" s="42"/>
      <c r="K153" s="42"/>
      <c r="L153" s="42"/>
      <c r="M153" s="42"/>
      <c r="N153" s="42"/>
      <c r="O153" s="42"/>
      <c r="P153" s="42"/>
      <c r="Q153" s="42"/>
      <c r="R153" s="42"/>
      <c r="S153" s="42"/>
      <c r="T153" s="42"/>
      <c r="U153" s="42"/>
      <c r="V153" s="42"/>
      <c r="W153" s="42"/>
      <c r="X153" s="42"/>
      <c r="Y153" s="42"/>
    </row>
    <row r="154" spans="1:25" ht="12.95">
      <c r="A154" s="55"/>
      <c r="B154" s="41"/>
      <c r="C154" s="42"/>
      <c r="D154" s="43"/>
      <c r="E154" s="42"/>
      <c r="F154" s="42"/>
      <c r="G154" s="42"/>
      <c r="H154" s="42"/>
      <c r="I154" s="42"/>
      <c r="J154" s="42"/>
      <c r="K154" s="42"/>
      <c r="L154" s="42"/>
      <c r="M154" s="42"/>
      <c r="N154" s="42"/>
      <c r="O154" s="42"/>
      <c r="P154" s="42"/>
      <c r="Q154" s="42"/>
      <c r="R154" s="42"/>
      <c r="S154" s="42"/>
      <c r="T154" s="42"/>
      <c r="U154" s="42"/>
      <c r="V154" s="42"/>
      <c r="W154" s="42"/>
      <c r="X154" s="42"/>
      <c r="Y154" s="42"/>
    </row>
    <row r="155" spans="1:25" ht="12.95">
      <c r="A155" s="55"/>
      <c r="B155" s="41"/>
      <c r="C155" s="42"/>
      <c r="D155" s="43"/>
      <c r="E155" s="42"/>
      <c r="F155" s="42"/>
      <c r="G155" s="42"/>
      <c r="H155" s="42"/>
      <c r="I155" s="42"/>
      <c r="J155" s="42"/>
      <c r="K155" s="42"/>
      <c r="L155" s="42"/>
      <c r="M155" s="42"/>
      <c r="N155" s="42"/>
      <c r="O155" s="42"/>
      <c r="P155" s="42"/>
      <c r="Q155" s="42"/>
      <c r="R155" s="42"/>
      <c r="S155" s="42"/>
      <c r="T155" s="42"/>
      <c r="U155" s="42"/>
      <c r="V155" s="42"/>
      <c r="W155" s="42"/>
      <c r="X155" s="42"/>
      <c r="Y155" s="42"/>
    </row>
    <row r="156" spans="1:25" ht="12.95">
      <c r="A156" s="55"/>
      <c r="B156" s="41"/>
      <c r="C156" s="42"/>
      <c r="D156" s="43"/>
      <c r="E156" s="42"/>
      <c r="F156" s="42"/>
      <c r="G156" s="42"/>
      <c r="H156" s="42"/>
      <c r="I156" s="42"/>
      <c r="J156" s="42"/>
      <c r="K156" s="42"/>
      <c r="L156" s="42"/>
      <c r="M156" s="42"/>
      <c r="N156" s="42"/>
      <c r="O156" s="42"/>
      <c r="P156" s="42"/>
      <c r="Q156" s="42"/>
      <c r="R156" s="42"/>
      <c r="S156" s="42"/>
      <c r="T156" s="42"/>
      <c r="U156" s="42"/>
      <c r="V156" s="42"/>
      <c r="W156" s="42"/>
      <c r="X156" s="42"/>
      <c r="Y156" s="42"/>
    </row>
    <row r="157" spans="1:25" ht="12.95">
      <c r="A157" s="55"/>
      <c r="B157" s="41"/>
      <c r="C157" s="42"/>
      <c r="D157" s="43"/>
      <c r="E157" s="42"/>
      <c r="F157" s="42"/>
      <c r="G157" s="42"/>
      <c r="H157" s="42"/>
      <c r="I157" s="42"/>
      <c r="J157" s="42"/>
      <c r="K157" s="42"/>
      <c r="L157" s="42"/>
      <c r="M157" s="42"/>
      <c r="N157" s="42"/>
      <c r="O157" s="42"/>
      <c r="P157" s="42"/>
      <c r="Q157" s="42"/>
      <c r="R157" s="42"/>
      <c r="S157" s="42"/>
      <c r="T157" s="42"/>
      <c r="U157" s="42"/>
      <c r="V157" s="42"/>
      <c r="W157" s="42"/>
      <c r="X157" s="42"/>
      <c r="Y157" s="42"/>
    </row>
    <row r="158" spans="1:25" ht="12.95">
      <c r="A158" s="55"/>
      <c r="B158" s="41"/>
      <c r="C158" s="42"/>
      <c r="D158" s="43"/>
      <c r="E158" s="42"/>
      <c r="F158" s="42"/>
      <c r="G158" s="42"/>
      <c r="H158" s="42"/>
      <c r="I158" s="42"/>
      <c r="J158" s="42"/>
      <c r="K158" s="42"/>
      <c r="L158" s="42"/>
      <c r="M158" s="42"/>
      <c r="N158" s="42"/>
      <c r="O158" s="42"/>
      <c r="P158" s="42"/>
      <c r="Q158" s="42"/>
      <c r="R158" s="42"/>
      <c r="S158" s="42"/>
      <c r="T158" s="42"/>
      <c r="U158" s="42"/>
      <c r="V158" s="42"/>
      <c r="W158" s="42"/>
      <c r="X158" s="42"/>
      <c r="Y158" s="42"/>
    </row>
    <row r="159" spans="1:25" ht="12.95">
      <c r="A159" s="55"/>
      <c r="B159" s="41"/>
      <c r="C159" s="42"/>
      <c r="D159" s="43"/>
      <c r="E159" s="42"/>
      <c r="F159" s="42"/>
      <c r="G159" s="42"/>
      <c r="H159" s="42"/>
      <c r="I159" s="42"/>
      <c r="J159" s="42"/>
      <c r="K159" s="42"/>
      <c r="L159" s="42"/>
      <c r="M159" s="42"/>
      <c r="N159" s="42"/>
      <c r="O159" s="42"/>
      <c r="P159" s="42"/>
      <c r="Q159" s="42"/>
      <c r="R159" s="42"/>
      <c r="S159" s="42"/>
      <c r="T159" s="42"/>
      <c r="U159" s="42"/>
      <c r="V159" s="42"/>
      <c r="W159" s="42"/>
      <c r="X159" s="42"/>
      <c r="Y159" s="42"/>
    </row>
    <row r="160" spans="1:25" ht="12.95">
      <c r="A160" s="55"/>
      <c r="B160" s="41"/>
      <c r="C160" s="42"/>
      <c r="D160" s="43"/>
      <c r="E160" s="42"/>
      <c r="F160" s="42"/>
      <c r="G160" s="42"/>
      <c r="H160" s="42"/>
      <c r="I160" s="42"/>
      <c r="J160" s="42"/>
      <c r="K160" s="42"/>
      <c r="L160" s="42"/>
      <c r="M160" s="42"/>
      <c r="N160" s="42"/>
      <c r="O160" s="42"/>
      <c r="P160" s="42"/>
      <c r="Q160" s="42"/>
      <c r="R160" s="42"/>
      <c r="S160" s="42"/>
      <c r="T160" s="42"/>
      <c r="U160" s="42"/>
      <c r="V160" s="42"/>
      <c r="W160" s="42"/>
      <c r="X160" s="42"/>
      <c r="Y160" s="42"/>
    </row>
    <row r="161" spans="1:25" ht="12.95">
      <c r="A161" s="55"/>
      <c r="B161" s="41"/>
      <c r="C161" s="42"/>
      <c r="D161" s="43"/>
      <c r="E161" s="42"/>
      <c r="F161" s="42"/>
      <c r="G161" s="42"/>
      <c r="H161" s="42"/>
      <c r="I161" s="42"/>
      <c r="J161" s="42"/>
      <c r="K161" s="42"/>
      <c r="L161" s="42"/>
      <c r="M161" s="42"/>
      <c r="N161" s="42"/>
      <c r="O161" s="42"/>
      <c r="P161" s="42"/>
      <c r="Q161" s="42"/>
      <c r="R161" s="42"/>
      <c r="S161" s="42"/>
      <c r="T161" s="42"/>
      <c r="U161" s="42"/>
      <c r="V161" s="42"/>
      <c r="W161" s="42"/>
      <c r="X161" s="42"/>
      <c r="Y161" s="42"/>
    </row>
    <row r="162" spans="1:25" ht="12.95">
      <c r="A162" s="55"/>
      <c r="B162" s="41"/>
      <c r="C162" s="42"/>
      <c r="D162" s="43"/>
      <c r="E162" s="42"/>
      <c r="F162" s="42"/>
      <c r="G162" s="42"/>
      <c r="H162" s="42"/>
      <c r="I162" s="42"/>
      <c r="J162" s="42"/>
      <c r="K162" s="42"/>
      <c r="L162" s="42"/>
      <c r="M162" s="42"/>
      <c r="N162" s="42"/>
      <c r="O162" s="42"/>
      <c r="P162" s="42"/>
      <c r="Q162" s="42"/>
      <c r="R162" s="42"/>
      <c r="S162" s="42"/>
      <c r="T162" s="42"/>
      <c r="U162" s="42"/>
      <c r="V162" s="42"/>
      <c r="W162" s="42"/>
      <c r="X162" s="42"/>
      <c r="Y162" s="42"/>
    </row>
    <row r="163" spans="1:25" ht="12.95">
      <c r="A163" s="55"/>
      <c r="B163" s="41"/>
      <c r="C163" s="42"/>
      <c r="D163" s="43"/>
      <c r="E163" s="42"/>
      <c r="F163" s="42"/>
      <c r="G163" s="42"/>
      <c r="H163" s="42"/>
      <c r="I163" s="42"/>
      <c r="J163" s="42"/>
      <c r="K163" s="42"/>
      <c r="L163" s="42"/>
      <c r="M163" s="42"/>
      <c r="N163" s="42"/>
      <c r="O163" s="42"/>
      <c r="P163" s="42"/>
      <c r="Q163" s="42"/>
      <c r="R163" s="42"/>
      <c r="S163" s="42"/>
      <c r="T163" s="42"/>
      <c r="U163" s="42"/>
      <c r="V163" s="42"/>
      <c r="W163" s="42"/>
      <c r="X163" s="42"/>
      <c r="Y163" s="42"/>
    </row>
    <row r="164" spans="1:25" ht="12.95">
      <c r="A164" s="55"/>
      <c r="B164" s="41"/>
      <c r="C164" s="42"/>
      <c r="D164" s="43"/>
      <c r="E164" s="42"/>
      <c r="F164" s="42"/>
      <c r="G164" s="42"/>
      <c r="H164" s="42"/>
      <c r="I164" s="42"/>
      <c r="J164" s="42"/>
      <c r="K164" s="42"/>
      <c r="L164" s="42"/>
      <c r="M164" s="42"/>
      <c r="N164" s="42"/>
      <c r="O164" s="42"/>
      <c r="P164" s="42"/>
      <c r="Q164" s="42"/>
      <c r="R164" s="42"/>
      <c r="S164" s="42"/>
      <c r="T164" s="42"/>
      <c r="U164" s="42"/>
      <c r="V164" s="42"/>
      <c r="W164" s="42"/>
      <c r="X164" s="42"/>
      <c r="Y164" s="42"/>
    </row>
    <row r="165" spans="1:25" ht="12.95">
      <c r="A165" s="55"/>
      <c r="B165" s="41"/>
      <c r="C165" s="42"/>
      <c r="D165" s="43"/>
      <c r="E165" s="42"/>
      <c r="F165" s="42"/>
      <c r="G165" s="42"/>
      <c r="H165" s="42"/>
      <c r="I165" s="42"/>
      <c r="J165" s="42"/>
      <c r="K165" s="42"/>
      <c r="L165" s="42"/>
      <c r="M165" s="42"/>
      <c r="N165" s="42"/>
      <c r="O165" s="42"/>
      <c r="P165" s="42"/>
      <c r="Q165" s="42"/>
      <c r="R165" s="42"/>
      <c r="S165" s="42"/>
      <c r="T165" s="42"/>
      <c r="U165" s="42"/>
      <c r="V165" s="42"/>
      <c r="W165" s="42"/>
      <c r="X165" s="42"/>
      <c r="Y165" s="42"/>
    </row>
    <row r="166" spans="1:25" ht="12.95">
      <c r="A166" s="55"/>
      <c r="B166" s="41"/>
      <c r="C166" s="42"/>
      <c r="D166" s="43"/>
      <c r="E166" s="42"/>
      <c r="F166" s="42"/>
      <c r="G166" s="42"/>
      <c r="H166" s="42"/>
      <c r="I166" s="42"/>
      <c r="J166" s="42"/>
      <c r="K166" s="42"/>
      <c r="L166" s="42"/>
      <c r="M166" s="42"/>
      <c r="N166" s="42"/>
      <c r="O166" s="42"/>
      <c r="P166" s="42"/>
      <c r="Q166" s="42"/>
      <c r="R166" s="42"/>
      <c r="S166" s="42"/>
      <c r="T166" s="42"/>
      <c r="U166" s="42"/>
      <c r="V166" s="42"/>
      <c r="W166" s="42"/>
      <c r="X166" s="42"/>
      <c r="Y166" s="42"/>
    </row>
    <row r="167" spans="1:25" ht="12.95">
      <c r="A167" s="55"/>
      <c r="B167" s="41"/>
      <c r="C167" s="42"/>
      <c r="D167" s="43"/>
      <c r="E167" s="42"/>
      <c r="F167" s="42"/>
      <c r="G167" s="42"/>
      <c r="H167" s="42"/>
      <c r="I167" s="42"/>
      <c r="J167" s="42"/>
      <c r="K167" s="42"/>
      <c r="L167" s="42"/>
      <c r="M167" s="42"/>
      <c r="N167" s="42"/>
      <c r="O167" s="42"/>
      <c r="P167" s="42"/>
      <c r="Q167" s="42"/>
      <c r="R167" s="42"/>
      <c r="S167" s="42"/>
      <c r="T167" s="42"/>
      <c r="U167" s="42"/>
      <c r="V167" s="42"/>
      <c r="W167" s="42"/>
      <c r="X167" s="42"/>
      <c r="Y167" s="42"/>
    </row>
    <row r="168" spans="1:25" ht="12.95">
      <c r="A168" s="55"/>
      <c r="B168" s="41"/>
      <c r="C168" s="42"/>
      <c r="D168" s="43"/>
      <c r="E168" s="42"/>
      <c r="F168" s="42"/>
      <c r="G168" s="42"/>
      <c r="H168" s="42"/>
      <c r="I168" s="42"/>
      <c r="J168" s="42"/>
      <c r="K168" s="42"/>
      <c r="L168" s="42"/>
      <c r="M168" s="42"/>
      <c r="N168" s="42"/>
      <c r="O168" s="42"/>
      <c r="P168" s="42"/>
      <c r="Q168" s="42"/>
      <c r="R168" s="42"/>
      <c r="S168" s="42"/>
      <c r="T168" s="42"/>
      <c r="U168" s="42"/>
      <c r="V168" s="42"/>
      <c r="W168" s="42"/>
      <c r="X168" s="42"/>
      <c r="Y168" s="42"/>
    </row>
    <row r="169" spans="1:25" ht="12.95">
      <c r="A169" s="55"/>
      <c r="B169" s="41"/>
      <c r="C169" s="42"/>
      <c r="D169" s="43"/>
      <c r="E169" s="42"/>
      <c r="F169" s="42"/>
      <c r="G169" s="42"/>
      <c r="H169" s="42"/>
      <c r="I169" s="42"/>
      <c r="J169" s="42"/>
      <c r="K169" s="42"/>
      <c r="L169" s="42"/>
      <c r="M169" s="42"/>
      <c r="N169" s="42"/>
      <c r="O169" s="42"/>
      <c r="P169" s="42"/>
      <c r="Q169" s="42"/>
      <c r="R169" s="42"/>
      <c r="S169" s="42"/>
      <c r="T169" s="42"/>
      <c r="U169" s="42"/>
      <c r="V169" s="42"/>
      <c r="W169" s="42"/>
      <c r="X169" s="42"/>
      <c r="Y169" s="42"/>
    </row>
    <row r="170" spans="1:25" ht="12.95">
      <c r="A170" s="55"/>
      <c r="B170" s="41"/>
      <c r="C170" s="42"/>
      <c r="D170" s="43"/>
      <c r="E170" s="42"/>
      <c r="F170" s="42"/>
      <c r="G170" s="42"/>
      <c r="H170" s="42"/>
      <c r="I170" s="42"/>
      <c r="J170" s="42"/>
      <c r="K170" s="42"/>
      <c r="L170" s="42"/>
      <c r="M170" s="42"/>
      <c r="N170" s="42"/>
      <c r="O170" s="42"/>
      <c r="P170" s="42"/>
      <c r="Q170" s="42"/>
      <c r="R170" s="42"/>
      <c r="S170" s="42"/>
      <c r="T170" s="42"/>
      <c r="U170" s="42"/>
      <c r="V170" s="42"/>
      <c r="W170" s="42"/>
      <c r="X170" s="42"/>
      <c r="Y170" s="42"/>
    </row>
    <row r="171" spans="1:25" ht="12.95">
      <c r="A171" s="55"/>
      <c r="B171" s="41"/>
      <c r="C171" s="42"/>
      <c r="D171" s="43"/>
      <c r="E171" s="42"/>
      <c r="F171" s="42"/>
      <c r="G171" s="42"/>
      <c r="H171" s="42"/>
      <c r="I171" s="42"/>
      <c r="J171" s="42"/>
      <c r="K171" s="42"/>
      <c r="L171" s="42"/>
      <c r="M171" s="42"/>
      <c r="N171" s="42"/>
      <c r="O171" s="42"/>
      <c r="P171" s="42"/>
      <c r="Q171" s="42"/>
      <c r="R171" s="42"/>
      <c r="S171" s="42"/>
      <c r="T171" s="42"/>
      <c r="U171" s="42"/>
      <c r="V171" s="42"/>
      <c r="W171" s="42"/>
      <c r="X171" s="42"/>
      <c r="Y171" s="42"/>
    </row>
    <row r="172" spans="1:25" ht="12.95">
      <c r="A172" s="55"/>
      <c r="B172" s="41"/>
      <c r="C172" s="42"/>
      <c r="D172" s="43"/>
      <c r="E172" s="42"/>
      <c r="F172" s="42"/>
      <c r="G172" s="42"/>
      <c r="H172" s="42"/>
      <c r="I172" s="42"/>
      <c r="J172" s="42"/>
      <c r="K172" s="42"/>
      <c r="L172" s="42"/>
      <c r="M172" s="42"/>
      <c r="N172" s="42"/>
      <c r="O172" s="42"/>
      <c r="P172" s="42"/>
      <c r="Q172" s="42"/>
      <c r="R172" s="42"/>
      <c r="S172" s="42"/>
      <c r="T172" s="42"/>
      <c r="U172" s="42"/>
      <c r="V172" s="42"/>
      <c r="W172" s="42"/>
      <c r="X172" s="42"/>
      <c r="Y172" s="42"/>
    </row>
    <row r="173" spans="1:25" ht="12.95">
      <c r="A173" s="55"/>
      <c r="B173" s="41"/>
      <c r="C173" s="42"/>
      <c r="D173" s="43"/>
      <c r="E173" s="42"/>
      <c r="F173" s="42"/>
      <c r="G173" s="42"/>
      <c r="H173" s="42"/>
      <c r="I173" s="42"/>
      <c r="J173" s="42"/>
      <c r="K173" s="42"/>
      <c r="L173" s="42"/>
      <c r="M173" s="42"/>
      <c r="N173" s="42"/>
      <c r="O173" s="42"/>
      <c r="P173" s="42"/>
      <c r="Q173" s="42"/>
      <c r="R173" s="42"/>
      <c r="S173" s="42"/>
      <c r="T173" s="42"/>
      <c r="U173" s="42"/>
      <c r="V173" s="42"/>
      <c r="W173" s="42"/>
      <c r="X173" s="42"/>
      <c r="Y173" s="42"/>
    </row>
    <row r="174" spans="1:25" ht="12.95">
      <c r="A174" s="55"/>
      <c r="B174" s="41"/>
      <c r="C174" s="42"/>
      <c r="D174" s="43"/>
      <c r="E174" s="42"/>
      <c r="F174" s="42"/>
      <c r="G174" s="42"/>
      <c r="H174" s="42"/>
      <c r="I174" s="42"/>
      <c r="J174" s="42"/>
      <c r="K174" s="42"/>
      <c r="L174" s="42"/>
      <c r="M174" s="42"/>
      <c r="N174" s="42"/>
      <c r="O174" s="42"/>
      <c r="P174" s="42"/>
      <c r="Q174" s="42"/>
      <c r="R174" s="42"/>
      <c r="S174" s="42"/>
      <c r="T174" s="42"/>
      <c r="U174" s="42"/>
      <c r="V174" s="42"/>
      <c r="W174" s="42"/>
      <c r="X174" s="42"/>
      <c r="Y174" s="42"/>
    </row>
    <row r="175" spans="1:25" ht="12.95">
      <c r="A175" s="55"/>
      <c r="B175" s="41"/>
      <c r="C175" s="42"/>
      <c r="D175" s="43"/>
      <c r="E175" s="42"/>
      <c r="F175" s="42"/>
      <c r="G175" s="42"/>
      <c r="H175" s="42"/>
      <c r="I175" s="42"/>
      <c r="J175" s="42"/>
      <c r="K175" s="42"/>
      <c r="L175" s="42"/>
      <c r="M175" s="42"/>
      <c r="N175" s="42"/>
      <c r="O175" s="42"/>
      <c r="P175" s="42"/>
      <c r="Q175" s="42"/>
      <c r="R175" s="42"/>
      <c r="S175" s="42"/>
      <c r="T175" s="42"/>
      <c r="U175" s="42"/>
      <c r="V175" s="42"/>
      <c r="W175" s="42"/>
      <c r="X175" s="42"/>
      <c r="Y175" s="42"/>
    </row>
    <row r="176" spans="1:25" ht="12.95">
      <c r="A176" s="55"/>
      <c r="B176" s="41"/>
      <c r="C176" s="42"/>
      <c r="D176" s="43"/>
      <c r="E176" s="42"/>
      <c r="F176" s="42"/>
      <c r="G176" s="42"/>
      <c r="H176" s="42"/>
      <c r="I176" s="42"/>
      <c r="J176" s="42"/>
      <c r="K176" s="42"/>
      <c r="L176" s="42"/>
      <c r="M176" s="42"/>
      <c r="N176" s="42"/>
      <c r="O176" s="42"/>
      <c r="P176" s="42"/>
      <c r="Q176" s="42"/>
      <c r="R176" s="42"/>
      <c r="S176" s="42"/>
      <c r="T176" s="42"/>
      <c r="U176" s="42"/>
      <c r="V176" s="42"/>
      <c r="W176" s="42"/>
      <c r="X176" s="42"/>
      <c r="Y176" s="42"/>
    </row>
    <row r="177" spans="1:25" ht="12.95">
      <c r="A177" s="55"/>
      <c r="B177" s="41"/>
      <c r="C177" s="42"/>
      <c r="D177" s="43"/>
      <c r="E177" s="42"/>
      <c r="F177" s="42"/>
      <c r="G177" s="42"/>
      <c r="H177" s="42"/>
      <c r="I177" s="42"/>
      <c r="J177" s="42"/>
      <c r="K177" s="42"/>
      <c r="L177" s="42"/>
      <c r="M177" s="42"/>
      <c r="N177" s="42"/>
      <c r="O177" s="42"/>
      <c r="P177" s="42"/>
      <c r="Q177" s="42"/>
      <c r="R177" s="42"/>
      <c r="S177" s="42"/>
      <c r="T177" s="42"/>
      <c r="U177" s="42"/>
      <c r="V177" s="42"/>
      <c r="W177" s="42"/>
      <c r="X177" s="42"/>
      <c r="Y177" s="42"/>
    </row>
    <row r="178" spans="1:25" ht="12.95">
      <c r="A178" s="55"/>
      <c r="B178" s="41"/>
      <c r="C178" s="42"/>
      <c r="D178" s="43"/>
      <c r="E178" s="42"/>
      <c r="F178" s="42"/>
      <c r="G178" s="42"/>
      <c r="H178" s="42"/>
      <c r="I178" s="42"/>
      <c r="J178" s="42"/>
      <c r="K178" s="42"/>
      <c r="L178" s="42"/>
      <c r="M178" s="42"/>
      <c r="N178" s="42"/>
      <c r="O178" s="42"/>
      <c r="P178" s="42"/>
      <c r="Q178" s="42"/>
      <c r="R178" s="42"/>
      <c r="S178" s="42"/>
      <c r="T178" s="42"/>
      <c r="U178" s="42"/>
      <c r="V178" s="42"/>
      <c r="W178" s="42"/>
      <c r="X178" s="42"/>
      <c r="Y178" s="42"/>
    </row>
    <row r="179" spans="1:25" ht="12.95">
      <c r="A179" s="55"/>
      <c r="B179" s="41"/>
      <c r="C179" s="42"/>
      <c r="D179" s="43"/>
      <c r="E179" s="42"/>
      <c r="F179" s="42"/>
      <c r="G179" s="42"/>
      <c r="H179" s="42"/>
      <c r="I179" s="42"/>
      <c r="J179" s="42"/>
      <c r="K179" s="42"/>
      <c r="L179" s="42"/>
      <c r="M179" s="42"/>
      <c r="N179" s="42"/>
      <c r="O179" s="42"/>
      <c r="P179" s="42"/>
      <c r="Q179" s="42"/>
      <c r="R179" s="42"/>
      <c r="S179" s="42"/>
      <c r="T179" s="42"/>
      <c r="U179" s="42"/>
      <c r="V179" s="42"/>
      <c r="W179" s="42"/>
      <c r="X179" s="42"/>
      <c r="Y179" s="42"/>
    </row>
    <row r="180" spans="1:25" ht="12.95">
      <c r="A180" s="55"/>
      <c r="B180" s="41"/>
      <c r="C180" s="42"/>
      <c r="D180" s="43"/>
      <c r="E180" s="42"/>
      <c r="F180" s="42"/>
      <c r="G180" s="42"/>
      <c r="H180" s="42"/>
      <c r="I180" s="42"/>
      <c r="J180" s="42"/>
      <c r="K180" s="42"/>
      <c r="L180" s="42"/>
      <c r="M180" s="42"/>
      <c r="N180" s="42"/>
      <c r="O180" s="42"/>
      <c r="P180" s="42"/>
      <c r="Q180" s="42"/>
      <c r="R180" s="42"/>
      <c r="S180" s="42"/>
      <c r="T180" s="42"/>
      <c r="U180" s="42"/>
      <c r="V180" s="42"/>
      <c r="W180" s="42"/>
      <c r="X180" s="42"/>
      <c r="Y180" s="42"/>
    </row>
    <row r="181" spans="1:25" ht="12.95">
      <c r="A181" s="55"/>
      <c r="B181" s="41"/>
      <c r="C181" s="42"/>
      <c r="D181" s="43"/>
      <c r="E181" s="42"/>
      <c r="F181" s="42"/>
      <c r="G181" s="42"/>
      <c r="H181" s="42"/>
      <c r="I181" s="42"/>
      <c r="J181" s="42"/>
      <c r="K181" s="42"/>
      <c r="L181" s="42"/>
      <c r="M181" s="42"/>
      <c r="N181" s="42"/>
      <c r="O181" s="42"/>
      <c r="P181" s="42"/>
      <c r="Q181" s="42"/>
      <c r="R181" s="42"/>
      <c r="S181" s="42"/>
      <c r="T181" s="42"/>
      <c r="U181" s="42"/>
      <c r="V181" s="42"/>
      <c r="W181" s="42"/>
      <c r="X181" s="42"/>
      <c r="Y181" s="42"/>
    </row>
    <row r="182" spans="1:25" ht="12.95">
      <c r="A182" s="55"/>
      <c r="B182" s="41"/>
      <c r="C182" s="42"/>
      <c r="D182" s="43"/>
      <c r="E182" s="42"/>
      <c r="F182" s="42"/>
      <c r="G182" s="42"/>
      <c r="H182" s="42"/>
      <c r="I182" s="42"/>
      <c r="J182" s="42"/>
      <c r="K182" s="42"/>
      <c r="L182" s="42"/>
      <c r="M182" s="42"/>
      <c r="N182" s="42"/>
      <c r="O182" s="42"/>
      <c r="P182" s="42"/>
      <c r="Q182" s="42"/>
      <c r="R182" s="42"/>
      <c r="S182" s="42"/>
      <c r="T182" s="42"/>
      <c r="U182" s="42"/>
      <c r="V182" s="42"/>
      <c r="W182" s="42"/>
      <c r="X182" s="42"/>
      <c r="Y182" s="42"/>
    </row>
    <row r="183" spans="1:25" ht="12.95">
      <c r="A183" s="55"/>
      <c r="B183" s="41"/>
      <c r="C183" s="42"/>
      <c r="D183" s="43"/>
      <c r="E183" s="42"/>
      <c r="F183" s="42"/>
      <c r="G183" s="42"/>
      <c r="H183" s="42"/>
      <c r="I183" s="42"/>
      <c r="J183" s="42"/>
      <c r="K183" s="42"/>
      <c r="L183" s="42"/>
      <c r="M183" s="42"/>
      <c r="N183" s="42"/>
      <c r="O183" s="42"/>
      <c r="P183" s="42"/>
      <c r="Q183" s="42"/>
      <c r="R183" s="42"/>
      <c r="S183" s="42"/>
      <c r="T183" s="42"/>
      <c r="U183" s="42"/>
      <c r="V183" s="42"/>
      <c r="W183" s="42"/>
      <c r="X183" s="42"/>
      <c r="Y183" s="42"/>
    </row>
    <row r="184" spans="1:25" ht="12.95">
      <c r="A184" s="55"/>
      <c r="B184" s="41"/>
      <c r="C184" s="42"/>
      <c r="D184" s="43"/>
      <c r="E184" s="42"/>
      <c r="F184" s="42"/>
      <c r="G184" s="42"/>
      <c r="H184" s="42"/>
      <c r="I184" s="42"/>
      <c r="J184" s="42"/>
      <c r="K184" s="42"/>
      <c r="L184" s="42"/>
      <c r="M184" s="42"/>
      <c r="N184" s="42"/>
      <c r="O184" s="42"/>
      <c r="P184" s="42"/>
      <c r="Q184" s="42"/>
      <c r="R184" s="42"/>
      <c r="S184" s="42"/>
      <c r="T184" s="42"/>
      <c r="U184" s="42"/>
      <c r="V184" s="42"/>
      <c r="W184" s="42"/>
      <c r="X184" s="42"/>
      <c r="Y184" s="42"/>
    </row>
    <row r="185" spans="1:25" ht="12.95">
      <c r="A185" s="55"/>
      <c r="B185" s="41"/>
      <c r="C185" s="42"/>
      <c r="D185" s="43"/>
      <c r="E185" s="42"/>
      <c r="F185" s="42"/>
      <c r="G185" s="42"/>
      <c r="H185" s="42"/>
      <c r="I185" s="42"/>
      <c r="J185" s="42"/>
      <c r="K185" s="42"/>
      <c r="L185" s="42"/>
      <c r="M185" s="42"/>
      <c r="N185" s="42"/>
      <c r="O185" s="42"/>
      <c r="P185" s="42"/>
      <c r="Q185" s="42"/>
      <c r="R185" s="42"/>
      <c r="S185" s="42"/>
      <c r="T185" s="42"/>
      <c r="U185" s="42"/>
      <c r="V185" s="42"/>
      <c r="W185" s="42"/>
      <c r="X185" s="42"/>
      <c r="Y185" s="42"/>
    </row>
    <row r="186" spans="1:25" ht="12.95">
      <c r="A186" s="55"/>
      <c r="B186" s="41"/>
      <c r="C186" s="42"/>
      <c r="D186" s="43"/>
      <c r="E186" s="42"/>
      <c r="F186" s="42"/>
      <c r="G186" s="42"/>
      <c r="H186" s="42"/>
      <c r="I186" s="42"/>
      <c r="J186" s="42"/>
      <c r="K186" s="42"/>
      <c r="L186" s="42"/>
      <c r="M186" s="42"/>
      <c r="N186" s="42"/>
      <c r="O186" s="42"/>
      <c r="P186" s="42"/>
      <c r="Q186" s="42"/>
      <c r="R186" s="42"/>
      <c r="S186" s="42"/>
      <c r="T186" s="42"/>
      <c r="U186" s="42"/>
      <c r="V186" s="42"/>
      <c r="W186" s="42"/>
      <c r="X186" s="42"/>
      <c r="Y186" s="42"/>
    </row>
    <row r="187" spans="1:25" ht="12.95">
      <c r="A187" s="55"/>
      <c r="B187" s="41"/>
      <c r="C187" s="42"/>
      <c r="D187" s="43"/>
      <c r="E187" s="42"/>
      <c r="F187" s="42"/>
      <c r="G187" s="42"/>
      <c r="H187" s="42"/>
      <c r="I187" s="42"/>
      <c r="J187" s="42"/>
      <c r="K187" s="42"/>
      <c r="L187" s="42"/>
      <c r="M187" s="42"/>
      <c r="N187" s="42"/>
      <c r="O187" s="42"/>
      <c r="P187" s="42"/>
      <c r="Q187" s="42"/>
      <c r="R187" s="42"/>
      <c r="S187" s="42"/>
      <c r="T187" s="42"/>
      <c r="U187" s="42"/>
      <c r="V187" s="42"/>
      <c r="W187" s="42"/>
      <c r="X187" s="42"/>
      <c r="Y187" s="42"/>
    </row>
    <row r="188" spans="1:25" ht="12.95">
      <c r="A188" s="55"/>
      <c r="B188" s="41"/>
      <c r="C188" s="42"/>
      <c r="D188" s="43"/>
      <c r="E188" s="42"/>
      <c r="F188" s="42"/>
      <c r="G188" s="42"/>
      <c r="H188" s="42"/>
      <c r="I188" s="42"/>
      <c r="J188" s="42"/>
      <c r="K188" s="42"/>
      <c r="L188" s="42"/>
      <c r="M188" s="42"/>
      <c r="N188" s="42"/>
      <c r="O188" s="42"/>
      <c r="P188" s="42"/>
      <c r="Q188" s="42"/>
      <c r="R188" s="42"/>
      <c r="S188" s="42"/>
      <c r="T188" s="42"/>
      <c r="U188" s="42"/>
      <c r="V188" s="42"/>
      <c r="W188" s="42"/>
      <c r="X188" s="42"/>
      <c r="Y188" s="42"/>
    </row>
    <row r="189" spans="1:25" ht="12.95">
      <c r="A189" s="55"/>
      <c r="B189" s="41"/>
      <c r="C189" s="42"/>
      <c r="D189" s="43"/>
      <c r="E189" s="42"/>
      <c r="F189" s="42"/>
      <c r="G189" s="42"/>
      <c r="H189" s="42"/>
      <c r="I189" s="42"/>
      <c r="J189" s="42"/>
      <c r="K189" s="42"/>
      <c r="L189" s="42"/>
      <c r="M189" s="42"/>
      <c r="N189" s="42"/>
      <c r="O189" s="42"/>
      <c r="P189" s="42"/>
      <c r="Q189" s="42"/>
      <c r="R189" s="42"/>
      <c r="S189" s="42"/>
      <c r="T189" s="42"/>
      <c r="U189" s="42"/>
      <c r="V189" s="42"/>
      <c r="W189" s="42"/>
      <c r="X189" s="42"/>
      <c r="Y189" s="42"/>
    </row>
    <row r="190" spans="1:25" ht="12.95">
      <c r="A190" s="55"/>
      <c r="B190" s="41"/>
      <c r="C190" s="42"/>
      <c r="D190" s="43"/>
      <c r="E190" s="42"/>
      <c r="F190" s="42"/>
      <c r="G190" s="42"/>
      <c r="H190" s="42"/>
      <c r="I190" s="42"/>
      <c r="J190" s="42"/>
      <c r="K190" s="42"/>
      <c r="L190" s="42"/>
      <c r="M190" s="42"/>
      <c r="N190" s="42"/>
      <c r="O190" s="42"/>
      <c r="P190" s="42"/>
      <c r="Q190" s="42"/>
      <c r="R190" s="42"/>
      <c r="S190" s="42"/>
      <c r="T190" s="42"/>
      <c r="U190" s="42"/>
      <c r="V190" s="42"/>
      <c r="W190" s="42"/>
      <c r="X190" s="42"/>
      <c r="Y190" s="42"/>
    </row>
    <row r="191" spans="1:25" ht="12.95">
      <c r="A191" s="55"/>
      <c r="B191" s="41"/>
      <c r="C191" s="42"/>
      <c r="D191" s="43"/>
      <c r="E191" s="42"/>
      <c r="F191" s="42"/>
      <c r="G191" s="42"/>
      <c r="H191" s="42"/>
      <c r="I191" s="42"/>
      <c r="J191" s="42"/>
      <c r="K191" s="42"/>
      <c r="L191" s="42"/>
      <c r="M191" s="42"/>
      <c r="N191" s="42"/>
      <c r="O191" s="42"/>
      <c r="P191" s="42"/>
      <c r="Q191" s="42"/>
      <c r="R191" s="42"/>
      <c r="S191" s="42"/>
      <c r="T191" s="42"/>
      <c r="U191" s="42"/>
      <c r="V191" s="42"/>
      <c r="W191" s="42"/>
      <c r="X191" s="42"/>
      <c r="Y191" s="42"/>
    </row>
    <row r="192" spans="1:25" ht="12.95">
      <c r="A192" s="55"/>
      <c r="B192" s="41"/>
      <c r="C192" s="42"/>
      <c r="D192" s="43"/>
      <c r="E192" s="42"/>
      <c r="F192" s="42"/>
      <c r="G192" s="42"/>
      <c r="H192" s="42"/>
      <c r="I192" s="42"/>
      <c r="J192" s="42"/>
      <c r="K192" s="42"/>
      <c r="L192" s="42"/>
      <c r="M192" s="42"/>
      <c r="N192" s="42"/>
      <c r="O192" s="42"/>
      <c r="P192" s="42"/>
      <c r="Q192" s="42"/>
      <c r="R192" s="42"/>
      <c r="S192" s="42"/>
      <c r="T192" s="42"/>
      <c r="U192" s="42"/>
      <c r="V192" s="42"/>
      <c r="W192" s="42"/>
      <c r="X192" s="42"/>
      <c r="Y192" s="42"/>
    </row>
    <row r="193" spans="1:25" ht="12.95">
      <c r="A193" s="55"/>
      <c r="B193" s="41"/>
      <c r="C193" s="42"/>
      <c r="D193" s="43"/>
      <c r="E193" s="42"/>
      <c r="F193" s="42"/>
      <c r="G193" s="42"/>
      <c r="H193" s="42"/>
      <c r="I193" s="42"/>
      <c r="J193" s="42"/>
      <c r="K193" s="42"/>
      <c r="L193" s="42"/>
      <c r="M193" s="42"/>
      <c r="N193" s="42"/>
      <c r="O193" s="42"/>
      <c r="P193" s="42"/>
      <c r="Q193" s="42"/>
      <c r="R193" s="42"/>
      <c r="S193" s="42"/>
      <c r="T193" s="42"/>
      <c r="U193" s="42"/>
      <c r="V193" s="42"/>
      <c r="W193" s="42"/>
      <c r="X193" s="42"/>
      <c r="Y193" s="42"/>
    </row>
    <row r="194" spans="1:25" ht="12.95">
      <c r="A194" s="55"/>
      <c r="B194" s="41"/>
      <c r="C194" s="42"/>
      <c r="D194" s="43"/>
      <c r="E194" s="42"/>
      <c r="F194" s="42"/>
      <c r="G194" s="42"/>
      <c r="H194" s="42"/>
      <c r="I194" s="42"/>
      <c r="J194" s="42"/>
      <c r="K194" s="42"/>
      <c r="L194" s="42"/>
      <c r="M194" s="42"/>
      <c r="N194" s="42"/>
      <c r="O194" s="42"/>
      <c r="P194" s="42"/>
      <c r="Q194" s="42"/>
      <c r="R194" s="42"/>
      <c r="S194" s="42"/>
      <c r="T194" s="42"/>
      <c r="U194" s="42"/>
      <c r="V194" s="42"/>
      <c r="W194" s="42"/>
      <c r="X194" s="42"/>
      <c r="Y194" s="42"/>
    </row>
    <row r="195" spans="1:25" ht="12.95">
      <c r="A195" s="55"/>
      <c r="B195" s="41"/>
      <c r="C195" s="42"/>
      <c r="D195" s="43"/>
      <c r="E195" s="42"/>
      <c r="F195" s="42"/>
      <c r="G195" s="42"/>
      <c r="H195" s="42"/>
      <c r="I195" s="42"/>
      <c r="J195" s="42"/>
      <c r="K195" s="42"/>
      <c r="L195" s="42"/>
      <c r="M195" s="42"/>
      <c r="N195" s="42"/>
      <c r="O195" s="42"/>
      <c r="P195" s="42"/>
      <c r="Q195" s="42"/>
      <c r="R195" s="42"/>
      <c r="S195" s="42"/>
      <c r="T195" s="42"/>
      <c r="U195" s="42"/>
      <c r="V195" s="42"/>
      <c r="W195" s="42"/>
      <c r="X195" s="42"/>
      <c r="Y195" s="42"/>
    </row>
    <row r="196" spans="1:25" ht="12.95">
      <c r="A196" s="55"/>
      <c r="B196" s="41"/>
      <c r="C196" s="42"/>
      <c r="D196" s="43"/>
      <c r="E196" s="42"/>
      <c r="F196" s="42"/>
      <c r="G196" s="42"/>
      <c r="H196" s="42"/>
      <c r="I196" s="42"/>
      <c r="J196" s="42"/>
      <c r="K196" s="42"/>
      <c r="L196" s="42"/>
      <c r="M196" s="42"/>
      <c r="N196" s="42"/>
      <c r="O196" s="42"/>
      <c r="P196" s="42"/>
      <c r="Q196" s="42"/>
      <c r="R196" s="42"/>
      <c r="S196" s="42"/>
      <c r="T196" s="42"/>
      <c r="U196" s="42"/>
      <c r="V196" s="42"/>
      <c r="W196" s="42"/>
      <c r="X196" s="42"/>
      <c r="Y196" s="42"/>
    </row>
    <row r="197" spans="1:25" ht="12.95">
      <c r="A197" s="55"/>
      <c r="B197" s="41"/>
      <c r="C197" s="42"/>
      <c r="D197" s="43"/>
      <c r="E197" s="42"/>
      <c r="F197" s="42"/>
      <c r="G197" s="42"/>
      <c r="H197" s="42"/>
      <c r="I197" s="42"/>
      <c r="J197" s="42"/>
      <c r="K197" s="42"/>
      <c r="L197" s="42"/>
      <c r="M197" s="42"/>
      <c r="N197" s="42"/>
      <c r="O197" s="42"/>
      <c r="P197" s="42"/>
      <c r="Q197" s="42"/>
      <c r="R197" s="42"/>
      <c r="S197" s="42"/>
      <c r="T197" s="42"/>
      <c r="U197" s="42"/>
      <c r="V197" s="42"/>
      <c r="W197" s="42"/>
      <c r="X197" s="42"/>
      <c r="Y197" s="42"/>
    </row>
    <row r="198" spans="1:25" ht="12.95">
      <c r="A198" s="55"/>
      <c r="B198" s="41"/>
      <c r="C198" s="42"/>
      <c r="D198" s="43"/>
      <c r="E198" s="42"/>
      <c r="F198" s="42"/>
      <c r="G198" s="42"/>
      <c r="H198" s="42"/>
      <c r="I198" s="42"/>
      <c r="J198" s="42"/>
      <c r="K198" s="42"/>
      <c r="L198" s="42"/>
      <c r="M198" s="42"/>
      <c r="N198" s="42"/>
      <c r="O198" s="42"/>
      <c r="P198" s="42"/>
      <c r="Q198" s="42"/>
      <c r="R198" s="42"/>
      <c r="S198" s="42"/>
      <c r="T198" s="42"/>
      <c r="U198" s="42"/>
      <c r="V198" s="42"/>
      <c r="W198" s="42"/>
      <c r="X198" s="42"/>
      <c r="Y198" s="42"/>
    </row>
    <row r="199" spans="1:25" ht="12.95">
      <c r="A199" s="55"/>
      <c r="B199" s="41"/>
      <c r="C199" s="42"/>
      <c r="D199" s="43"/>
      <c r="E199" s="42"/>
      <c r="F199" s="42"/>
      <c r="G199" s="42"/>
      <c r="H199" s="42"/>
      <c r="I199" s="42"/>
      <c r="J199" s="42"/>
      <c r="K199" s="42"/>
      <c r="L199" s="42"/>
      <c r="M199" s="42"/>
      <c r="N199" s="42"/>
      <c r="O199" s="42"/>
      <c r="P199" s="42"/>
      <c r="Q199" s="42"/>
      <c r="R199" s="42"/>
      <c r="S199" s="42"/>
      <c r="T199" s="42"/>
      <c r="U199" s="42"/>
      <c r="V199" s="42"/>
      <c r="W199" s="42"/>
      <c r="X199" s="42"/>
      <c r="Y199" s="42"/>
    </row>
    <row r="200" spans="1:25" ht="12.95">
      <c r="A200" s="55"/>
      <c r="B200" s="41"/>
      <c r="C200" s="42"/>
      <c r="D200" s="43"/>
      <c r="E200" s="42"/>
      <c r="F200" s="42"/>
      <c r="G200" s="42"/>
      <c r="H200" s="42"/>
      <c r="I200" s="42"/>
      <c r="J200" s="42"/>
      <c r="K200" s="42"/>
      <c r="L200" s="42"/>
      <c r="M200" s="42"/>
      <c r="N200" s="42"/>
      <c r="O200" s="42"/>
      <c r="P200" s="42"/>
      <c r="Q200" s="42"/>
      <c r="R200" s="42"/>
      <c r="S200" s="42"/>
      <c r="T200" s="42"/>
      <c r="U200" s="42"/>
      <c r="V200" s="42"/>
      <c r="W200" s="42"/>
      <c r="X200" s="42"/>
      <c r="Y200" s="42"/>
    </row>
    <row r="201" spans="1:25" ht="12.95">
      <c r="A201" s="55"/>
      <c r="B201" s="41"/>
      <c r="C201" s="42"/>
      <c r="D201" s="43"/>
      <c r="E201" s="42"/>
      <c r="F201" s="42"/>
      <c r="G201" s="42"/>
      <c r="H201" s="42"/>
      <c r="I201" s="42"/>
      <c r="J201" s="42"/>
      <c r="K201" s="42"/>
      <c r="L201" s="42"/>
      <c r="M201" s="42"/>
      <c r="N201" s="42"/>
      <c r="O201" s="42"/>
      <c r="P201" s="42"/>
      <c r="Q201" s="42"/>
      <c r="R201" s="42"/>
      <c r="S201" s="42"/>
      <c r="T201" s="42"/>
      <c r="U201" s="42"/>
      <c r="V201" s="42"/>
      <c r="W201" s="42"/>
      <c r="X201" s="42"/>
      <c r="Y201" s="42"/>
    </row>
    <row r="202" spans="1:25" ht="12.95">
      <c r="A202" s="55"/>
      <c r="B202" s="41"/>
      <c r="C202" s="42"/>
      <c r="D202" s="43"/>
      <c r="E202" s="42"/>
      <c r="F202" s="42"/>
      <c r="G202" s="42"/>
      <c r="H202" s="42"/>
      <c r="I202" s="42"/>
      <c r="J202" s="42"/>
      <c r="K202" s="42"/>
      <c r="L202" s="42"/>
      <c r="M202" s="42"/>
      <c r="N202" s="42"/>
      <c r="O202" s="42"/>
      <c r="P202" s="42"/>
      <c r="Q202" s="42"/>
      <c r="R202" s="42"/>
      <c r="S202" s="42"/>
      <c r="T202" s="42"/>
      <c r="U202" s="42"/>
      <c r="V202" s="42"/>
      <c r="W202" s="42"/>
      <c r="X202" s="42"/>
      <c r="Y202" s="42"/>
    </row>
    <row r="203" spans="1:25" ht="12.95">
      <c r="A203" s="55"/>
      <c r="B203" s="41"/>
      <c r="C203" s="42"/>
      <c r="D203" s="43"/>
      <c r="E203" s="42"/>
      <c r="F203" s="42"/>
      <c r="G203" s="42"/>
      <c r="H203" s="42"/>
      <c r="I203" s="42"/>
      <c r="J203" s="42"/>
      <c r="K203" s="42"/>
      <c r="L203" s="42"/>
      <c r="M203" s="42"/>
      <c r="N203" s="42"/>
      <c r="O203" s="42"/>
      <c r="P203" s="42"/>
      <c r="Q203" s="42"/>
      <c r="R203" s="42"/>
      <c r="S203" s="42"/>
      <c r="T203" s="42"/>
      <c r="U203" s="42"/>
      <c r="V203" s="42"/>
      <c r="W203" s="42"/>
      <c r="X203" s="42"/>
      <c r="Y203" s="42"/>
    </row>
    <row r="204" spans="1:25" ht="12.95">
      <c r="A204" s="55"/>
      <c r="B204" s="41"/>
      <c r="C204" s="42"/>
      <c r="D204" s="43"/>
      <c r="E204" s="42"/>
      <c r="F204" s="42"/>
      <c r="G204" s="42"/>
      <c r="H204" s="42"/>
      <c r="I204" s="42"/>
      <c r="J204" s="42"/>
      <c r="K204" s="42"/>
      <c r="L204" s="42"/>
      <c r="M204" s="42"/>
      <c r="N204" s="42"/>
      <c r="O204" s="42"/>
      <c r="P204" s="42"/>
      <c r="Q204" s="42"/>
      <c r="R204" s="42"/>
      <c r="S204" s="42"/>
      <c r="T204" s="42"/>
      <c r="U204" s="42"/>
      <c r="V204" s="42"/>
      <c r="W204" s="42"/>
      <c r="X204" s="42"/>
      <c r="Y204" s="42"/>
    </row>
    <row r="205" spans="1:25" ht="12.95">
      <c r="A205" s="55"/>
      <c r="B205" s="41"/>
      <c r="C205" s="42"/>
      <c r="D205" s="43"/>
      <c r="E205" s="42"/>
      <c r="F205" s="42"/>
      <c r="G205" s="42"/>
      <c r="H205" s="42"/>
      <c r="I205" s="42"/>
      <c r="J205" s="42"/>
      <c r="K205" s="42"/>
      <c r="L205" s="42"/>
      <c r="M205" s="42"/>
      <c r="N205" s="42"/>
      <c r="O205" s="42"/>
      <c r="P205" s="42"/>
      <c r="Q205" s="42"/>
      <c r="R205" s="42"/>
      <c r="S205" s="42"/>
      <c r="T205" s="42"/>
      <c r="U205" s="42"/>
      <c r="V205" s="42"/>
      <c r="W205" s="42"/>
      <c r="X205" s="42"/>
      <c r="Y205" s="42"/>
    </row>
    <row r="206" spans="1:25" ht="12.95">
      <c r="A206" s="55"/>
      <c r="B206" s="41"/>
      <c r="C206" s="42"/>
      <c r="D206" s="43"/>
      <c r="E206" s="42"/>
      <c r="F206" s="42"/>
      <c r="G206" s="42"/>
      <c r="H206" s="42"/>
      <c r="I206" s="42"/>
      <c r="J206" s="42"/>
      <c r="K206" s="42"/>
      <c r="L206" s="42"/>
      <c r="M206" s="42"/>
      <c r="N206" s="42"/>
      <c r="O206" s="42"/>
      <c r="P206" s="42"/>
      <c r="Q206" s="42"/>
      <c r="R206" s="42"/>
      <c r="S206" s="42"/>
      <c r="T206" s="42"/>
      <c r="U206" s="42"/>
      <c r="V206" s="42"/>
      <c r="W206" s="42"/>
      <c r="X206" s="42"/>
      <c r="Y206" s="42"/>
    </row>
    <row r="207" spans="1:25" ht="12.95">
      <c r="A207" s="55"/>
      <c r="B207" s="41"/>
      <c r="C207" s="42"/>
      <c r="D207" s="43"/>
      <c r="E207" s="42"/>
      <c r="F207" s="42"/>
      <c r="G207" s="42"/>
      <c r="H207" s="42"/>
      <c r="I207" s="42"/>
      <c r="J207" s="42"/>
      <c r="K207" s="42"/>
      <c r="L207" s="42"/>
      <c r="M207" s="42"/>
      <c r="N207" s="42"/>
      <c r="O207" s="42"/>
      <c r="P207" s="42"/>
      <c r="Q207" s="42"/>
      <c r="R207" s="42"/>
      <c r="S207" s="42"/>
      <c r="T207" s="42"/>
      <c r="U207" s="42"/>
      <c r="V207" s="42"/>
      <c r="W207" s="42"/>
      <c r="X207" s="42"/>
      <c r="Y207" s="42"/>
    </row>
    <row r="208" spans="1:25" ht="12.95">
      <c r="A208" s="55"/>
      <c r="B208" s="41"/>
      <c r="C208" s="42"/>
      <c r="D208" s="43"/>
      <c r="E208" s="42"/>
      <c r="F208" s="42"/>
      <c r="G208" s="42"/>
      <c r="H208" s="42"/>
      <c r="I208" s="42"/>
      <c r="J208" s="42"/>
      <c r="K208" s="42"/>
      <c r="L208" s="42"/>
      <c r="M208" s="42"/>
      <c r="N208" s="42"/>
      <c r="O208" s="42"/>
      <c r="P208" s="42"/>
      <c r="Q208" s="42"/>
      <c r="R208" s="42"/>
      <c r="S208" s="42"/>
      <c r="T208" s="42"/>
      <c r="U208" s="42"/>
      <c r="V208" s="42"/>
      <c r="W208" s="42"/>
      <c r="X208" s="42"/>
      <c r="Y208" s="42"/>
    </row>
    <row r="209" spans="1:25" ht="12.95">
      <c r="A209" s="55"/>
      <c r="B209" s="41"/>
      <c r="C209" s="42"/>
      <c r="D209" s="43"/>
      <c r="E209" s="42"/>
      <c r="F209" s="42"/>
      <c r="G209" s="42"/>
      <c r="H209" s="42"/>
      <c r="I209" s="42"/>
      <c r="J209" s="42"/>
      <c r="K209" s="42"/>
      <c r="L209" s="42"/>
      <c r="M209" s="42"/>
      <c r="N209" s="42"/>
      <c r="O209" s="42"/>
      <c r="P209" s="42"/>
      <c r="Q209" s="42"/>
      <c r="R209" s="42"/>
      <c r="S209" s="42"/>
      <c r="T209" s="42"/>
      <c r="U209" s="42"/>
      <c r="V209" s="42"/>
      <c r="W209" s="42"/>
      <c r="X209" s="42"/>
      <c r="Y209" s="42"/>
    </row>
    <row r="210" spans="1:25" ht="12.95">
      <c r="A210" s="55"/>
      <c r="B210" s="41"/>
      <c r="C210" s="42"/>
      <c r="D210" s="43"/>
      <c r="E210" s="42"/>
      <c r="F210" s="42"/>
      <c r="G210" s="42"/>
      <c r="H210" s="42"/>
      <c r="I210" s="42"/>
      <c r="J210" s="42"/>
      <c r="K210" s="42"/>
      <c r="L210" s="42"/>
      <c r="M210" s="42"/>
      <c r="N210" s="42"/>
      <c r="O210" s="42"/>
      <c r="P210" s="42"/>
      <c r="Q210" s="42"/>
      <c r="R210" s="42"/>
      <c r="S210" s="42"/>
      <c r="T210" s="42"/>
      <c r="U210" s="42"/>
      <c r="V210" s="42"/>
      <c r="W210" s="42"/>
      <c r="X210" s="42"/>
      <c r="Y210" s="42"/>
    </row>
    <row r="211" spans="1:25" ht="12.95">
      <c r="A211" s="55"/>
      <c r="B211" s="41"/>
      <c r="C211" s="42"/>
      <c r="D211" s="43"/>
      <c r="E211" s="42"/>
      <c r="F211" s="42"/>
      <c r="G211" s="42"/>
      <c r="H211" s="42"/>
      <c r="I211" s="42"/>
      <c r="J211" s="42"/>
      <c r="K211" s="42"/>
      <c r="L211" s="42"/>
      <c r="M211" s="42"/>
      <c r="N211" s="42"/>
      <c r="O211" s="42"/>
      <c r="P211" s="42"/>
      <c r="Q211" s="42"/>
      <c r="R211" s="42"/>
      <c r="S211" s="42"/>
      <c r="T211" s="42"/>
      <c r="U211" s="42"/>
      <c r="V211" s="42"/>
      <c r="W211" s="42"/>
      <c r="X211" s="42"/>
      <c r="Y211" s="42"/>
    </row>
    <row r="212" spans="1:25" ht="12.95">
      <c r="A212" s="55"/>
      <c r="B212" s="41"/>
      <c r="C212" s="42"/>
      <c r="D212" s="43"/>
      <c r="E212" s="42"/>
      <c r="F212" s="42"/>
      <c r="G212" s="42"/>
      <c r="H212" s="42"/>
      <c r="I212" s="42"/>
      <c r="J212" s="42"/>
      <c r="K212" s="42"/>
      <c r="L212" s="42"/>
      <c r="M212" s="42"/>
      <c r="N212" s="42"/>
      <c r="O212" s="42"/>
      <c r="P212" s="42"/>
      <c r="Q212" s="42"/>
      <c r="R212" s="42"/>
      <c r="S212" s="42"/>
      <c r="T212" s="42"/>
      <c r="U212" s="42"/>
      <c r="V212" s="42"/>
      <c r="W212" s="42"/>
      <c r="X212" s="42"/>
      <c r="Y212" s="42"/>
    </row>
    <row r="213" spans="1:25" ht="12.95">
      <c r="A213" s="55"/>
      <c r="B213" s="41"/>
      <c r="C213" s="42"/>
      <c r="D213" s="43"/>
      <c r="E213" s="42"/>
      <c r="F213" s="42"/>
      <c r="G213" s="42"/>
      <c r="H213" s="42"/>
      <c r="I213" s="42"/>
      <c r="J213" s="42"/>
      <c r="K213" s="42"/>
      <c r="L213" s="42"/>
      <c r="M213" s="42"/>
      <c r="N213" s="42"/>
      <c r="O213" s="42"/>
      <c r="P213" s="42"/>
      <c r="Q213" s="42"/>
      <c r="R213" s="42"/>
      <c r="S213" s="42"/>
      <c r="T213" s="42"/>
      <c r="U213" s="42"/>
      <c r="V213" s="42"/>
      <c r="W213" s="42"/>
      <c r="X213" s="42"/>
      <c r="Y213" s="42"/>
    </row>
    <row r="214" spans="1:25" ht="12.95">
      <c r="A214" s="55"/>
      <c r="B214" s="41"/>
      <c r="C214" s="42"/>
      <c r="D214" s="43"/>
      <c r="E214" s="42"/>
      <c r="F214" s="42"/>
      <c r="G214" s="42"/>
      <c r="H214" s="42"/>
      <c r="I214" s="42"/>
      <c r="J214" s="42"/>
      <c r="K214" s="42"/>
      <c r="L214" s="42"/>
      <c r="M214" s="42"/>
      <c r="N214" s="42"/>
      <c r="O214" s="42"/>
      <c r="P214" s="42"/>
      <c r="Q214" s="42"/>
      <c r="R214" s="42"/>
      <c r="S214" s="42"/>
      <c r="T214" s="42"/>
      <c r="U214" s="42"/>
      <c r="V214" s="42"/>
      <c r="W214" s="42"/>
      <c r="X214" s="42"/>
      <c r="Y214" s="42"/>
    </row>
    <row r="215" spans="1:25" ht="12.95">
      <c r="A215" s="55"/>
      <c r="B215" s="41"/>
      <c r="C215" s="42"/>
      <c r="D215" s="43"/>
      <c r="E215" s="42"/>
      <c r="F215" s="42"/>
      <c r="G215" s="42"/>
      <c r="H215" s="42"/>
      <c r="I215" s="42"/>
      <c r="J215" s="42"/>
      <c r="K215" s="42"/>
      <c r="L215" s="42"/>
      <c r="M215" s="42"/>
      <c r="N215" s="42"/>
      <c r="O215" s="42"/>
      <c r="P215" s="42"/>
      <c r="Q215" s="42"/>
      <c r="R215" s="42"/>
      <c r="S215" s="42"/>
      <c r="T215" s="42"/>
      <c r="U215" s="42"/>
      <c r="V215" s="42"/>
      <c r="W215" s="42"/>
      <c r="X215" s="42"/>
      <c r="Y215" s="42"/>
    </row>
    <row r="216" spans="1:25" ht="12.95">
      <c r="A216" s="55"/>
      <c r="B216" s="41"/>
      <c r="C216" s="42"/>
      <c r="D216" s="43"/>
      <c r="E216" s="42"/>
      <c r="F216" s="42"/>
      <c r="G216" s="42"/>
      <c r="H216" s="42"/>
      <c r="I216" s="42"/>
      <c r="J216" s="42"/>
      <c r="K216" s="42"/>
      <c r="L216" s="42"/>
      <c r="M216" s="42"/>
      <c r="N216" s="42"/>
      <c r="O216" s="42"/>
      <c r="P216" s="42"/>
      <c r="Q216" s="42"/>
      <c r="R216" s="42"/>
      <c r="S216" s="42"/>
      <c r="T216" s="42"/>
      <c r="U216" s="42"/>
      <c r="V216" s="42"/>
      <c r="W216" s="42"/>
      <c r="X216" s="42"/>
      <c r="Y216" s="42"/>
    </row>
    <row r="217" spans="1:25" ht="12.95">
      <c r="A217" s="55"/>
      <c r="B217" s="41"/>
      <c r="C217" s="42"/>
      <c r="D217" s="43"/>
      <c r="E217" s="42"/>
      <c r="F217" s="42"/>
      <c r="G217" s="42"/>
      <c r="H217" s="42"/>
      <c r="I217" s="42"/>
      <c r="J217" s="42"/>
      <c r="K217" s="42"/>
      <c r="L217" s="42"/>
      <c r="M217" s="42"/>
      <c r="N217" s="42"/>
      <c r="O217" s="42"/>
      <c r="P217" s="42"/>
      <c r="Q217" s="42"/>
      <c r="R217" s="42"/>
      <c r="S217" s="42"/>
      <c r="T217" s="42"/>
      <c r="U217" s="42"/>
      <c r="V217" s="42"/>
      <c r="W217" s="42"/>
      <c r="X217" s="42"/>
      <c r="Y217" s="42"/>
    </row>
    <row r="218" spans="1:25" ht="12.95">
      <c r="A218" s="55"/>
      <c r="B218" s="41"/>
      <c r="C218" s="42"/>
      <c r="D218" s="43"/>
      <c r="E218" s="42"/>
      <c r="F218" s="42"/>
      <c r="G218" s="42"/>
      <c r="H218" s="42"/>
      <c r="I218" s="42"/>
      <c r="J218" s="42"/>
      <c r="K218" s="42"/>
      <c r="L218" s="42"/>
      <c r="M218" s="42"/>
      <c r="N218" s="42"/>
      <c r="O218" s="42"/>
      <c r="P218" s="42"/>
      <c r="Q218" s="42"/>
      <c r="R218" s="42"/>
      <c r="S218" s="42"/>
      <c r="T218" s="42"/>
      <c r="U218" s="42"/>
      <c r="V218" s="42"/>
      <c r="W218" s="42"/>
      <c r="X218" s="42"/>
      <c r="Y218" s="42"/>
    </row>
    <row r="219" spans="1:25" ht="12.95">
      <c r="A219" s="55"/>
      <c r="B219" s="41"/>
      <c r="C219" s="42"/>
      <c r="D219" s="43"/>
      <c r="E219" s="42"/>
      <c r="F219" s="42"/>
      <c r="G219" s="42"/>
      <c r="H219" s="42"/>
      <c r="I219" s="42"/>
      <c r="J219" s="42"/>
      <c r="K219" s="42"/>
      <c r="L219" s="42"/>
      <c r="M219" s="42"/>
      <c r="N219" s="42"/>
      <c r="O219" s="42"/>
      <c r="P219" s="42"/>
      <c r="Q219" s="42"/>
      <c r="R219" s="42"/>
      <c r="S219" s="42"/>
      <c r="T219" s="42"/>
      <c r="U219" s="42"/>
      <c r="V219" s="42"/>
      <c r="W219" s="42"/>
      <c r="X219" s="42"/>
      <c r="Y219" s="42"/>
    </row>
    <row r="220" spans="1:25" ht="12.95">
      <c r="A220" s="55"/>
      <c r="B220" s="41"/>
      <c r="C220" s="42"/>
      <c r="D220" s="43"/>
      <c r="E220" s="42"/>
      <c r="F220" s="42"/>
      <c r="G220" s="42"/>
      <c r="H220" s="42"/>
      <c r="I220" s="42"/>
      <c r="J220" s="42"/>
      <c r="K220" s="42"/>
      <c r="L220" s="42"/>
      <c r="M220" s="42"/>
      <c r="N220" s="42"/>
      <c r="O220" s="42"/>
      <c r="P220" s="42"/>
      <c r="Q220" s="42"/>
      <c r="R220" s="42"/>
      <c r="S220" s="42"/>
      <c r="T220" s="42"/>
      <c r="U220" s="42"/>
      <c r="V220" s="42"/>
      <c r="W220" s="42"/>
      <c r="X220" s="42"/>
      <c r="Y220" s="42"/>
    </row>
    <row r="221" spans="1:25" ht="12.95">
      <c r="A221" s="55"/>
      <c r="B221" s="41"/>
      <c r="C221" s="42"/>
      <c r="D221" s="43"/>
      <c r="E221" s="42"/>
      <c r="F221" s="42"/>
      <c r="G221" s="42"/>
      <c r="H221" s="42"/>
      <c r="I221" s="42"/>
      <c r="J221" s="42"/>
      <c r="K221" s="42"/>
      <c r="L221" s="42"/>
      <c r="M221" s="42"/>
      <c r="N221" s="42"/>
      <c r="O221" s="42"/>
      <c r="P221" s="42"/>
      <c r="Q221" s="42"/>
      <c r="R221" s="42"/>
      <c r="S221" s="42"/>
      <c r="T221" s="42"/>
      <c r="U221" s="42"/>
      <c r="V221" s="42"/>
      <c r="W221" s="42"/>
      <c r="X221" s="42"/>
      <c r="Y221" s="42"/>
    </row>
    <row r="222" spans="1:25" ht="12.95">
      <c r="A222" s="55"/>
      <c r="B222" s="41"/>
      <c r="C222" s="42"/>
      <c r="D222" s="43"/>
      <c r="E222" s="42"/>
      <c r="F222" s="42"/>
      <c r="G222" s="42"/>
      <c r="H222" s="42"/>
      <c r="I222" s="42"/>
      <c r="J222" s="42"/>
      <c r="K222" s="42"/>
      <c r="L222" s="42"/>
      <c r="M222" s="42"/>
      <c r="N222" s="42"/>
      <c r="O222" s="42"/>
      <c r="P222" s="42"/>
      <c r="Q222" s="42"/>
      <c r="R222" s="42"/>
      <c r="S222" s="42"/>
      <c r="T222" s="42"/>
      <c r="U222" s="42"/>
      <c r="V222" s="42"/>
      <c r="W222" s="42"/>
      <c r="X222" s="42"/>
      <c r="Y222" s="42"/>
    </row>
    <row r="223" spans="1:25" ht="12.95">
      <c r="A223" s="55"/>
      <c r="B223" s="41"/>
      <c r="C223" s="42"/>
      <c r="D223" s="43"/>
      <c r="E223" s="42"/>
      <c r="F223" s="42"/>
      <c r="G223" s="42"/>
      <c r="H223" s="42"/>
      <c r="I223" s="42"/>
      <c r="J223" s="42"/>
      <c r="K223" s="42"/>
      <c r="L223" s="42"/>
      <c r="M223" s="42"/>
      <c r="N223" s="42"/>
      <c r="O223" s="42"/>
      <c r="P223" s="42"/>
      <c r="Q223" s="42"/>
      <c r="R223" s="42"/>
      <c r="S223" s="42"/>
      <c r="T223" s="42"/>
      <c r="U223" s="42"/>
      <c r="V223" s="42"/>
      <c r="W223" s="42"/>
      <c r="X223" s="42"/>
      <c r="Y223" s="42"/>
    </row>
    <row r="224" spans="1:25" ht="12.95">
      <c r="A224" s="55"/>
      <c r="B224" s="41"/>
      <c r="C224" s="42"/>
      <c r="D224" s="43"/>
      <c r="E224" s="42"/>
      <c r="F224" s="42"/>
      <c r="G224" s="42"/>
      <c r="H224" s="42"/>
      <c r="I224" s="42"/>
      <c r="J224" s="42"/>
      <c r="K224" s="42"/>
      <c r="L224" s="42"/>
      <c r="M224" s="42"/>
      <c r="N224" s="42"/>
      <c r="O224" s="42"/>
      <c r="P224" s="42"/>
      <c r="Q224" s="42"/>
      <c r="R224" s="42"/>
      <c r="S224" s="42"/>
      <c r="T224" s="42"/>
      <c r="U224" s="42"/>
      <c r="V224" s="42"/>
      <c r="W224" s="42"/>
      <c r="X224" s="42"/>
      <c r="Y224" s="42"/>
    </row>
    <row r="225" spans="1:25" ht="12.95">
      <c r="A225" s="55"/>
      <c r="B225" s="41"/>
      <c r="C225" s="42"/>
      <c r="D225" s="43"/>
      <c r="E225" s="42"/>
      <c r="F225" s="42"/>
      <c r="G225" s="42"/>
      <c r="H225" s="42"/>
      <c r="I225" s="42"/>
      <c r="J225" s="42"/>
      <c r="K225" s="42"/>
      <c r="L225" s="42"/>
      <c r="M225" s="42"/>
      <c r="N225" s="42"/>
      <c r="O225" s="42"/>
      <c r="P225" s="42"/>
      <c r="Q225" s="42"/>
      <c r="R225" s="42"/>
      <c r="S225" s="42"/>
      <c r="T225" s="42"/>
      <c r="U225" s="42"/>
      <c r="V225" s="42"/>
      <c r="W225" s="42"/>
      <c r="X225" s="42"/>
      <c r="Y225" s="42"/>
    </row>
    <row r="226" spans="1:25" ht="12.95">
      <c r="A226" s="55"/>
      <c r="B226" s="41"/>
      <c r="C226" s="42"/>
      <c r="D226" s="43"/>
      <c r="E226" s="42"/>
      <c r="F226" s="42"/>
      <c r="G226" s="42"/>
      <c r="H226" s="42"/>
      <c r="I226" s="42"/>
      <c r="J226" s="42"/>
      <c r="K226" s="42"/>
      <c r="L226" s="42"/>
      <c r="M226" s="42"/>
      <c r="N226" s="42"/>
      <c r="O226" s="42"/>
      <c r="P226" s="42"/>
      <c r="Q226" s="42"/>
      <c r="R226" s="42"/>
      <c r="S226" s="42"/>
      <c r="T226" s="42"/>
      <c r="U226" s="42"/>
      <c r="V226" s="42"/>
      <c r="W226" s="42"/>
      <c r="X226" s="42"/>
      <c r="Y226" s="42"/>
    </row>
    <row r="227" spans="1:25" ht="12.95">
      <c r="A227" s="55"/>
      <c r="B227" s="41"/>
      <c r="C227" s="42"/>
      <c r="D227" s="43"/>
      <c r="E227" s="42"/>
      <c r="F227" s="42"/>
      <c r="G227" s="42"/>
      <c r="H227" s="42"/>
      <c r="I227" s="42"/>
      <c r="J227" s="42"/>
      <c r="K227" s="42"/>
      <c r="L227" s="42"/>
      <c r="M227" s="42"/>
      <c r="N227" s="42"/>
      <c r="O227" s="42"/>
      <c r="P227" s="42"/>
      <c r="Q227" s="42"/>
      <c r="R227" s="42"/>
      <c r="S227" s="42"/>
      <c r="T227" s="42"/>
      <c r="U227" s="42"/>
      <c r="V227" s="42"/>
      <c r="W227" s="42"/>
      <c r="X227" s="42"/>
      <c r="Y227" s="42"/>
    </row>
    <row r="228" spans="1:25" ht="12.95">
      <c r="A228" s="55"/>
      <c r="B228" s="41"/>
      <c r="C228" s="42"/>
      <c r="D228" s="43"/>
      <c r="E228" s="42"/>
      <c r="F228" s="42"/>
      <c r="G228" s="42"/>
      <c r="H228" s="42"/>
      <c r="I228" s="42"/>
      <c r="J228" s="42"/>
      <c r="K228" s="42"/>
      <c r="L228" s="42"/>
      <c r="M228" s="42"/>
      <c r="N228" s="42"/>
      <c r="O228" s="42"/>
      <c r="P228" s="42"/>
      <c r="Q228" s="42"/>
      <c r="R228" s="42"/>
      <c r="S228" s="42"/>
      <c r="T228" s="42"/>
      <c r="U228" s="42"/>
      <c r="V228" s="42"/>
      <c r="W228" s="42"/>
      <c r="X228" s="42"/>
      <c r="Y228" s="42"/>
    </row>
    <row r="229" spans="1:25" ht="12.95">
      <c r="A229" s="55"/>
      <c r="B229" s="41"/>
      <c r="C229" s="42"/>
      <c r="D229" s="43"/>
      <c r="E229" s="42"/>
      <c r="F229" s="42"/>
      <c r="G229" s="42"/>
      <c r="H229" s="42"/>
      <c r="I229" s="42"/>
      <c r="J229" s="42"/>
      <c r="K229" s="42"/>
      <c r="L229" s="42"/>
      <c r="M229" s="42"/>
      <c r="N229" s="42"/>
      <c r="O229" s="42"/>
      <c r="P229" s="42"/>
      <c r="Q229" s="42"/>
      <c r="R229" s="42"/>
      <c r="S229" s="42"/>
      <c r="T229" s="42"/>
      <c r="U229" s="42"/>
      <c r="V229" s="42"/>
      <c r="W229" s="42"/>
      <c r="X229" s="42"/>
      <c r="Y229" s="42"/>
    </row>
    <row r="230" spans="1:25" ht="12.95">
      <c r="A230" s="55"/>
      <c r="B230" s="41"/>
      <c r="C230" s="42"/>
      <c r="D230" s="43"/>
      <c r="E230" s="42"/>
      <c r="F230" s="42"/>
      <c r="G230" s="42"/>
      <c r="H230" s="42"/>
      <c r="I230" s="42"/>
      <c r="J230" s="42"/>
      <c r="K230" s="42"/>
      <c r="L230" s="42"/>
      <c r="M230" s="42"/>
      <c r="N230" s="42"/>
      <c r="O230" s="42"/>
      <c r="P230" s="42"/>
      <c r="Q230" s="42"/>
      <c r="R230" s="42"/>
      <c r="S230" s="42"/>
      <c r="T230" s="42"/>
      <c r="U230" s="42"/>
      <c r="V230" s="42"/>
      <c r="W230" s="42"/>
      <c r="X230" s="42"/>
      <c r="Y230" s="42"/>
    </row>
    <row r="231" spans="1:25" ht="12.95">
      <c r="A231" s="55"/>
      <c r="B231" s="41"/>
      <c r="C231" s="42"/>
      <c r="D231" s="43"/>
      <c r="E231" s="42"/>
      <c r="F231" s="42"/>
      <c r="G231" s="42"/>
      <c r="H231" s="42"/>
      <c r="I231" s="42"/>
      <c r="J231" s="42"/>
      <c r="K231" s="42"/>
      <c r="L231" s="42"/>
      <c r="M231" s="42"/>
      <c r="N231" s="42"/>
      <c r="O231" s="42"/>
      <c r="P231" s="42"/>
      <c r="Q231" s="42"/>
      <c r="R231" s="42"/>
      <c r="S231" s="42"/>
      <c r="T231" s="42"/>
      <c r="U231" s="42"/>
      <c r="V231" s="42"/>
      <c r="W231" s="42"/>
      <c r="X231" s="42"/>
      <c r="Y231" s="42"/>
    </row>
    <row r="232" spans="1:25" ht="12.95">
      <c r="A232" s="55"/>
      <c r="B232" s="41"/>
      <c r="C232" s="42"/>
      <c r="D232" s="43"/>
      <c r="E232" s="42"/>
      <c r="F232" s="42"/>
      <c r="G232" s="42"/>
      <c r="H232" s="42"/>
      <c r="I232" s="42"/>
      <c r="J232" s="42"/>
      <c r="K232" s="42"/>
      <c r="L232" s="42"/>
      <c r="M232" s="42"/>
      <c r="N232" s="42"/>
      <c r="O232" s="42"/>
      <c r="P232" s="42"/>
      <c r="Q232" s="42"/>
      <c r="R232" s="42"/>
      <c r="S232" s="42"/>
      <c r="T232" s="42"/>
      <c r="U232" s="42"/>
      <c r="V232" s="42"/>
      <c r="W232" s="42"/>
      <c r="X232" s="42"/>
      <c r="Y232" s="42"/>
    </row>
    <row r="233" spans="1:25" ht="12.95">
      <c r="A233" s="55"/>
      <c r="B233" s="41"/>
      <c r="C233" s="42"/>
      <c r="D233" s="43"/>
      <c r="E233" s="42"/>
      <c r="F233" s="42"/>
      <c r="G233" s="42"/>
      <c r="H233" s="42"/>
      <c r="I233" s="42"/>
      <c r="J233" s="42"/>
      <c r="K233" s="42"/>
      <c r="L233" s="42"/>
      <c r="M233" s="42"/>
      <c r="N233" s="42"/>
      <c r="O233" s="42"/>
      <c r="P233" s="42"/>
      <c r="Q233" s="42"/>
      <c r="R233" s="42"/>
      <c r="S233" s="42"/>
      <c r="T233" s="42"/>
      <c r="U233" s="42"/>
      <c r="V233" s="42"/>
      <c r="W233" s="42"/>
      <c r="X233" s="42"/>
      <c r="Y233" s="42"/>
    </row>
    <row r="234" spans="1:25" ht="12.95">
      <c r="A234" s="55"/>
      <c r="B234" s="41"/>
      <c r="C234" s="42"/>
      <c r="D234" s="43"/>
      <c r="E234" s="42"/>
      <c r="F234" s="42"/>
      <c r="G234" s="42"/>
      <c r="H234" s="42"/>
      <c r="I234" s="42"/>
      <c r="J234" s="42"/>
      <c r="K234" s="42"/>
      <c r="L234" s="42"/>
      <c r="M234" s="42"/>
      <c r="N234" s="42"/>
      <c r="O234" s="42"/>
      <c r="P234" s="42"/>
      <c r="Q234" s="42"/>
      <c r="R234" s="42"/>
      <c r="S234" s="42"/>
      <c r="T234" s="42"/>
      <c r="U234" s="42"/>
      <c r="V234" s="42"/>
      <c r="W234" s="42"/>
      <c r="X234" s="42"/>
      <c r="Y234" s="42"/>
    </row>
    <row r="235" spans="1:25" ht="12.95">
      <c r="A235" s="55"/>
      <c r="B235" s="41"/>
      <c r="C235" s="42"/>
      <c r="D235" s="43"/>
      <c r="E235" s="42"/>
      <c r="F235" s="42"/>
      <c r="G235" s="42"/>
      <c r="H235" s="42"/>
      <c r="I235" s="42"/>
      <c r="J235" s="42"/>
      <c r="K235" s="42"/>
      <c r="L235" s="42"/>
      <c r="M235" s="42"/>
      <c r="N235" s="42"/>
      <c r="O235" s="42"/>
      <c r="P235" s="42"/>
      <c r="Q235" s="42"/>
      <c r="R235" s="42"/>
      <c r="S235" s="42"/>
      <c r="T235" s="42"/>
      <c r="U235" s="42"/>
      <c r="V235" s="42"/>
      <c r="W235" s="42"/>
      <c r="X235" s="42"/>
      <c r="Y235" s="42"/>
    </row>
    <row r="236" spans="1:25" ht="12.95">
      <c r="A236" s="55"/>
      <c r="B236" s="41"/>
      <c r="C236" s="42"/>
      <c r="D236" s="43"/>
      <c r="E236" s="42"/>
      <c r="F236" s="42"/>
      <c r="G236" s="42"/>
      <c r="H236" s="42"/>
      <c r="I236" s="42"/>
      <c r="J236" s="42"/>
      <c r="K236" s="42"/>
      <c r="L236" s="42"/>
      <c r="M236" s="42"/>
      <c r="N236" s="42"/>
      <c r="O236" s="42"/>
      <c r="P236" s="42"/>
      <c r="Q236" s="42"/>
      <c r="R236" s="42"/>
      <c r="S236" s="42"/>
      <c r="T236" s="42"/>
      <c r="U236" s="42"/>
      <c r="V236" s="42"/>
      <c r="W236" s="42"/>
      <c r="X236" s="42"/>
      <c r="Y236" s="42"/>
    </row>
    <row r="237" spans="1:25" ht="12.95">
      <c r="A237" s="55"/>
      <c r="B237" s="41"/>
      <c r="C237" s="42"/>
      <c r="D237" s="43"/>
      <c r="E237" s="42"/>
      <c r="F237" s="42"/>
      <c r="G237" s="42"/>
      <c r="H237" s="42"/>
      <c r="I237" s="42"/>
      <c r="J237" s="42"/>
      <c r="K237" s="42"/>
      <c r="L237" s="42"/>
      <c r="M237" s="42"/>
      <c r="N237" s="42"/>
      <c r="O237" s="42"/>
      <c r="P237" s="42"/>
      <c r="Q237" s="42"/>
      <c r="R237" s="42"/>
      <c r="S237" s="42"/>
      <c r="T237" s="42"/>
      <c r="U237" s="42"/>
      <c r="V237" s="42"/>
      <c r="W237" s="42"/>
      <c r="X237" s="42"/>
      <c r="Y237" s="42"/>
    </row>
    <row r="238" spans="1:25" ht="12.95">
      <c r="A238" s="55"/>
      <c r="B238" s="41"/>
      <c r="C238" s="42"/>
      <c r="D238" s="43"/>
      <c r="E238" s="42"/>
      <c r="F238" s="42"/>
      <c r="G238" s="42"/>
      <c r="H238" s="42"/>
      <c r="I238" s="42"/>
      <c r="J238" s="42"/>
      <c r="K238" s="42"/>
      <c r="L238" s="42"/>
      <c r="M238" s="42"/>
      <c r="N238" s="42"/>
      <c r="O238" s="42"/>
      <c r="P238" s="42"/>
      <c r="Q238" s="42"/>
      <c r="R238" s="42"/>
      <c r="S238" s="42"/>
      <c r="T238" s="42"/>
      <c r="U238" s="42"/>
      <c r="V238" s="42"/>
      <c r="W238" s="42"/>
      <c r="X238" s="42"/>
      <c r="Y238" s="42"/>
    </row>
    <row r="239" spans="1:25" ht="12.95">
      <c r="A239" s="55"/>
      <c r="B239" s="41"/>
      <c r="C239" s="42"/>
      <c r="D239" s="43"/>
      <c r="E239" s="42"/>
      <c r="F239" s="42"/>
      <c r="G239" s="42"/>
      <c r="H239" s="42"/>
      <c r="I239" s="42"/>
      <c r="J239" s="42"/>
      <c r="K239" s="42"/>
      <c r="L239" s="42"/>
      <c r="M239" s="42"/>
      <c r="N239" s="42"/>
      <c r="O239" s="42"/>
      <c r="P239" s="42"/>
      <c r="Q239" s="42"/>
      <c r="R239" s="42"/>
      <c r="S239" s="42"/>
      <c r="T239" s="42"/>
      <c r="U239" s="42"/>
      <c r="V239" s="42"/>
      <c r="W239" s="42"/>
      <c r="X239" s="42"/>
      <c r="Y239" s="42"/>
    </row>
    <row r="240" spans="1:25" ht="12.95">
      <c r="A240" s="55"/>
      <c r="B240" s="41"/>
      <c r="C240" s="42"/>
      <c r="D240" s="43"/>
      <c r="E240" s="42"/>
      <c r="F240" s="42"/>
      <c r="G240" s="42"/>
      <c r="H240" s="42"/>
      <c r="I240" s="42"/>
      <c r="J240" s="42"/>
      <c r="K240" s="42"/>
      <c r="L240" s="42"/>
      <c r="M240" s="42"/>
      <c r="N240" s="42"/>
      <c r="O240" s="42"/>
      <c r="P240" s="42"/>
      <c r="Q240" s="42"/>
      <c r="R240" s="42"/>
      <c r="S240" s="42"/>
      <c r="T240" s="42"/>
      <c r="U240" s="42"/>
      <c r="V240" s="42"/>
      <c r="W240" s="42"/>
      <c r="X240" s="42"/>
      <c r="Y240" s="42"/>
    </row>
    <row r="241" spans="1:25" ht="12.95">
      <c r="A241" s="55"/>
      <c r="B241" s="41"/>
      <c r="C241" s="42"/>
      <c r="D241" s="43"/>
      <c r="E241" s="42"/>
      <c r="F241" s="42"/>
      <c r="G241" s="42"/>
      <c r="H241" s="42"/>
      <c r="I241" s="42"/>
      <c r="J241" s="42"/>
      <c r="K241" s="42"/>
      <c r="L241" s="42"/>
      <c r="M241" s="42"/>
      <c r="N241" s="42"/>
      <c r="O241" s="42"/>
      <c r="P241" s="42"/>
      <c r="Q241" s="42"/>
      <c r="R241" s="42"/>
      <c r="S241" s="42"/>
      <c r="T241" s="42"/>
      <c r="U241" s="42"/>
      <c r="V241" s="42"/>
      <c r="W241" s="42"/>
      <c r="X241" s="42"/>
      <c r="Y241" s="42"/>
    </row>
    <row r="242" spans="1:25" ht="12.95">
      <c r="A242" s="55"/>
      <c r="B242" s="41"/>
      <c r="C242" s="42"/>
      <c r="D242" s="43"/>
      <c r="E242" s="42"/>
      <c r="F242" s="42"/>
      <c r="G242" s="42"/>
      <c r="H242" s="42"/>
      <c r="I242" s="42"/>
      <c r="J242" s="42"/>
      <c r="K242" s="42"/>
      <c r="L242" s="42"/>
      <c r="M242" s="42"/>
      <c r="N242" s="42"/>
      <c r="O242" s="42"/>
      <c r="P242" s="42"/>
      <c r="Q242" s="42"/>
      <c r="R242" s="42"/>
      <c r="S242" s="42"/>
      <c r="T242" s="42"/>
      <c r="U242" s="42"/>
      <c r="V242" s="42"/>
      <c r="W242" s="42"/>
      <c r="X242" s="42"/>
      <c r="Y242" s="42"/>
    </row>
    <row r="243" spans="1:25" ht="12.95">
      <c r="A243" s="55"/>
      <c r="B243" s="41"/>
      <c r="C243" s="42"/>
      <c r="D243" s="43"/>
      <c r="E243" s="42"/>
      <c r="F243" s="42"/>
      <c r="G243" s="42"/>
      <c r="H243" s="42"/>
      <c r="I243" s="42"/>
      <c r="J243" s="42"/>
      <c r="K243" s="42"/>
      <c r="L243" s="42"/>
      <c r="M243" s="42"/>
      <c r="N243" s="42"/>
      <c r="O243" s="42"/>
      <c r="P243" s="42"/>
      <c r="Q243" s="42"/>
      <c r="R243" s="42"/>
      <c r="S243" s="42"/>
      <c r="T243" s="42"/>
      <c r="U243" s="42"/>
      <c r="V243" s="42"/>
      <c r="W243" s="42"/>
      <c r="X243" s="42"/>
      <c r="Y243" s="42"/>
    </row>
    <row r="244" spans="1:25" ht="12.95">
      <c r="A244" s="55"/>
      <c r="B244" s="41"/>
      <c r="C244" s="42"/>
      <c r="D244" s="43"/>
      <c r="E244" s="42"/>
      <c r="F244" s="42"/>
      <c r="G244" s="42"/>
      <c r="H244" s="42"/>
      <c r="I244" s="42"/>
      <c r="J244" s="42"/>
      <c r="K244" s="42"/>
      <c r="L244" s="42"/>
      <c r="M244" s="42"/>
      <c r="N244" s="42"/>
      <c r="O244" s="42"/>
      <c r="P244" s="42"/>
      <c r="Q244" s="42"/>
      <c r="R244" s="42"/>
      <c r="S244" s="42"/>
      <c r="T244" s="42"/>
      <c r="U244" s="42"/>
      <c r="V244" s="42"/>
      <c r="W244" s="42"/>
      <c r="X244" s="42"/>
      <c r="Y244" s="42"/>
    </row>
    <row r="245" spans="1:25" ht="12.95">
      <c r="A245" s="55"/>
      <c r="B245" s="41"/>
      <c r="C245" s="42"/>
      <c r="D245" s="43"/>
      <c r="E245" s="42"/>
      <c r="F245" s="42"/>
      <c r="G245" s="42"/>
      <c r="H245" s="42"/>
      <c r="I245" s="42"/>
      <c r="J245" s="42"/>
      <c r="K245" s="42"/>
      <c r="L245" s="42"/>
      <c r="M245" s="42"/>
      <c r="N245" s="42"/>
      <c r="O245" s="42"/>
      <c r="P245" s="42"/>
      <c r="Q245" s="42"/>
      <c r="R245" s="42"/>
      <c r="S245" s="42"/>
      <c r="T245" s="42"/>
      <c r="U245" s="42"/>
      <c r="V245" s="42"/>
      <c r="W245" s="42"/>
      <c r="X245" s="42"/>
      <c r="Y245" s="42"/>
    </row>
    <row r="246" spans="1:25" ht="12.95">
      <c r="A246" s="55"/>
      <c r="B246" s="41"/>
      <c r="C246" s="42"/>
      <c r="D246" s="43"/>
      <c r="E246" s="42"/>
      <c r="F246" s="42"/>
      <c r="G246" s="42"/>
      <c r="H246" s="42"/>
      <c r="I246" s="42"/>
      <c r="J246" s="42"/>
      <c r="K246" s="42"/>
      <c r="L246" s="42"/>
      <c r="M246" s="42"/>
      <c r="N246" s="42"/>
      <c r="O246" s="42"/>
      <c r="P246" s="42"/>
      <c r="Q246" s="42"/>
      <c r="R246" s="42"/>
      <c r="S246" s="42"/>
      <c r="T246" s="42"/>
      <c r="U246" s="42"/>
      <c r="V246" s="42"/>
      <c r="W246" s="42"/>
      <c r="X246" s="42"/>
      <c r="Y246" s="42"/>
    </row>
    <row r="247" spans="1:25" ht="12.95">
      <c r="A247" s="55"/>
      <c r="B247" s="41"/>
      <c r="C247" s="42"/>
      <c r="D247" s="43"/>
      <c r="E247" s="42"/>
      <c r="F247" s="42"/>
      <c r="G247" s="42"/>
      <c r="H247" s="42"/>
      <c r="I247" s="42"/>
      <c r="J247" s="42"/>
      <c r="K247" s="42"/>
      <c r="L247" s="42"/>
      <c r="M247" s="42"/>
      <c r="N247" s="42"/>
      <c r="O247" s="42"/>
      <c r="P247" s="42"/>
      <c r="Q247" s="42"/>
      <c r="R247" s="42"/>
      <c r="S247" s="42"/>
      <c r="T247" s="42"/>
      <c r="U247" s="42"/>
      <c r="V247" s="42"/>
      <c r="W247" s="42"/>
      <c r="X247" s="42"/>
      <c r="Y247" s="42"/>
    </row>
    <row r="248" spans="1:25" ht="12.95">
      <c r="A248" s="55"/>
      <c r="B248" s="41"/>
      <c r="C248" s="42"/>
      <c r="D248" s="43"/>
      <c r="E248" s="42"/>
      <c r="F248" s="42"/>
      <c r="G248" s="42"/>
      <c r="H248" s="42"/>
      <c r="I248" s="42"/>
      <c r="J248" s="42"/>
      <c r="K248" s="42"/>
      <c r="L248" s="42"/>
      <c r="M248" s="42"/>
      <c r="N248" s="42"/>
      <c r="O248" s="42"/>
      <c r="P248" s="42"/>
      <c r="Q248" s="42"/>
      <c r="R248" s="42"/>
      <c r="S248" s="42"/>
      <c r="T248" s="42"/>
      <c r="U248" s="42"/>
      <c r="V248" s="42"/>
      <c r="W248" s="42"/>
      <c r="X248" s="42"/>
      <c r="Y248" s="42"/>
    </row>
    <row r="249" spans="1:25" ht="12.95">
      <c r="A249" s="55"/>
      <c r="B249" s="41"/>
      <c r="C249" s="42"/>
      <c r="D249" s="43"/>
      <c r="E249" s="42"/>
      <c r="F249" s="42"/>
      <c r="G249" s="42"/>
      <c r="H249" s="42"/>
      <c r="I249" s="42"/>
      <c r="J249" s="42"/>
      <c r="K249" s="42"/>
      <c r="L249" s="42"/>
      <c r="M249" s="42"/>
      <c r="N249" s="42"/>
      <c r="O249" s="42"/>
      <c r="P249" s="42"/>
      <c r="Q249" s="42"/>
      <c r="R249" s="42"/>
      <c r="S249" s="42"/>
      <c r="T249" s="42"/>
      <c r="U249" s="42"/>
      <c r="V249" s="42"/>
      <c r="W249" s="42"/>
      <c r="X249" s="42"/>
      <c r="Y249" s="42"/>
    </row>
    <row r="250" spans="1:25" ht="12.95">
      <c r="A250" s="55"/>
      <c r="B250" s="41"/>
      <c r="C250" s="42"/>
      <c r="D250" s="43"/>
      <c r="E250" s="42"/>
      <c r="F250" s="42"/>
      <c r="G250" s="42"/>
      <c r="H250" s="42"/>
      <c r="I250" s="42"/>
      <c r="J250" s="42"/>
      <c r="K250" s="42"/>
      <c r="L250" s="42"/>
      <c r="M250" s="42"/>
      <c r="N250" s="42"/>
      <c r="O250" s="42"/>
      <c r="P250" s="42"/>
      <c r="Q250" s="42"/>
      <c r="R250" s="42"/>
      <c r="S250" s="42"/>
      <c r="T250" s="42"/>
      <c r="U250" s="42"/>
      <c r="V250" s="42"/>
      <c r="W250" s="42"/>
      <c r="X250" s="42"/>
      <c r="Y250" s="42"/>
    </row>
    <row r="251" spans="1:25" ht="12.95">
      <c r="A251" s="55"/>
      <c r="B251" s="41"/>
      <c r="C251" s="42"/>
      <c r="D251" s="43"/>
      <c r="E251" s="42"/>
      <c r="F251" s="42"/>
      <c r="G251" s="42"/>
      <c r="H251" s="42"/>
      <c r="I251" s="42"/>
      <c r="J251" s="42"/>
      <c r="K251" s="42"/>
      <c r="L251" s="42"/>
      <c r="M251" s="42"/>
      <c r="N251" s="42"/>
      <c r="O251" s="42"/>
      <c r="P251" s="42"/>
      <c r="Q251" s="42"/>
      <c r="R251" s="42"/>
      <c r="S251" s="42"/>
      <c r="T251" s="42"/>
      <c r="U251" s="42"/>
      <c r="V251" s="42"/>
      <c r="W251" s="42"/>
      <c r="X251" s="42"/>
      <c r="Y251" s="42"/>
    </row>
    <row r="252" spans="1:25" ht="12.95">
      <c r="A252" s="55"/>
      <c r="B252" s="41"/>
      <c r="C252" s="42"/>
      <c r="D252" s="43"/>
      <c r="E252" s="42"/>
      <c r="F252" s="42"/>
      <c r="G252" s="42"/>
      <c r="H252" s="42"/>
      <c r="I252" s="42"/>
      <c r="J252" s="42"/>
      <c r="K252" s="42"/>
      <c r="L252" s="42"/>
      <c r="M252" s="42"/>
      <c r="N252" s="42"/>
      <c r="O252" s="42"/>
      <c r="P252" s="42"/>
      <c r="Q252" s="42"/>
      <c r="R252" s="42"/>
      <c r="S252" s="42"/>
      <c r="T252" s="42"/>
      <c r="U252" s="42"/>
      <c r="V252" s="42"/>
      <c r="W252" s="42"/>
      <c r="X252" s="42"/>
      <c r="Y252" s="42"/>
    </row>
    <row r="253" spans="1:25" ht="12.95">
      <c r="A253" s="55"/>
      <c r="B253" s="41"/>
      <c r="C253" s="42"/>
      <c r="D253" s="43"/>
      <c r="E253" s="42"/>
      <c r="F253" s="42"/>
      <c r="G253" s="42"/>
      <c r="H253" s="42"/>
      <c r="I253" s="42"/>
      <c r="J253" s="42"/>
      <c r="K253" s="42"/>
      <c r="L253" s="42"/>
      <c r="M253" s="42"/>
      <c r="N253" s="42"/>
      <c r="O253" s="42"/>
      <c r="P253" s="42"/>
      <c r="Q253" s="42"/>
      <c r="R253" s="42"/>
      <c r="S253" s="42"/>
      <c r="T253" s="42"/>
      <c r="U253" s="42"/>
      <c r="V253" s="42"/>
      <c r="W253" s="42"/>
      <c r="X253" s="42"/>
      <c r="Y253" s="42"/>
    </row>
    <row r="254" spans="1:25" ht="12.95">
      <c r="A254" s="55"/>
      <c r="B254" s="41"/>
      <c r="C254" s="42"/>
      <c r="D254" s="43"/>
      <c r="E254" s="42"/>
      <c r="F254" s="42"/>
      <c r="G254" s="42"/>
      <c r="H254" s="42"/>
      <c r="I254" s="42"/>
      <c r="J254" s="42"/>
      <c r="K254" s="42"/>
      <c r="L254" s="42"/>
      <c r="M254" s="42"/>
      <c r="N254" s="42"/>
      <c r="O254" s="42"/>
      <c r="P254" s="42"/>
      <c r="Q254" s="42"/>
      <c r="R254" s="42"/>
      <c r="S254" s="42"/>
      <c r="T254" s="42"/>
      <c r="U254" s="42"/>
      <c r="V254" s="42"/>
      <c r="W254" s="42"/>
      <c r="X254" s="42"/>
      <c r="Y254" s="42"/>
    </row>
    <row r="255" spans="1:25" ht="12.95">
      <c r="A255" s="55"/>
      <c r="B255" s="41"/>
      <c r="C255" s="42"/>
      <c r="D255" s="43"/>
      <c r="E255" s="42"/>
      <c r="F255" s="42"/>
      <c r="G255" s="42"/>
      <c r="H255" s="42"/>
      <c r="I255" s="42"/>
      <c r="J255" s="42"/>
      <c r="K255" s="42"/>
      <c r="L255" s="42"/>
      <c r="M255" s="42"/>
      <c r="N255" s="42"/>
      <c r="O255" s="42"/>
      <c r="P255" s="42"/>
      <c r="Q255" s="42"/>
      <c r="R255" s="42"/>
      <c r="S255" s="42"/>
      <c r="T255" s="42"/>
      <c r="U255" s="42"/>
      <c r="V255" s="42"/>
      <c r="W255" s="42"/>
      <c r="X255" s="42"/>
      <c r="Y255" s="42"/>
    </row>
    <row r="256" spans="1:25" ht="12.95">
      <c r="A256" s="55"/>
      <c r="B256" s="41"/>
      <c r="C256" s="42"/>
      <c r="D256" s="43"/>
      <c r="E256" s="42"/>
      <c r="F256" s="42"/>
      <c r="G256" s="42"/>
      <c r="H256" s="42"/>
      <c r="I256" s="42"/>
      <c r="J256" s="42"/>
      <c r="K256" s="42"/>
      <c r="L256" s="42"/>
      <c r="M256" s="42"/>
      <c r="N256" s="42"/>
      <c r="O256" s="42"/>
      <c r="P256" s="42"/>
      <c r="Q256" s="42"/>
      <c r="R256" s="42"/>
      <c r="S256" s="42"/>
      <c r="T256" s="42"/>
      <c r="U256" s="42"/>
      <c r="V256" s="42"/>
      <c r="W256" s="42"/>
      <c r="X256" s="42"/>
      <c r="Y256" s="42"/>
    </row>
    <row r="257" spans="1:25" ht="12.95">
      <c r="A257" s="55"/>
      <c r="B257" s="41"/>
      <c r="C257" s="42"/>
      <c r="D257" s="43"/>
      <c r="E257" s="42"/>
      <c r="F257" s="42"/>
      <c r="G257" s="42"/>
      <c r="H257" s="42"/>
      <c r="I257" s="42"/>
      <c r="J257" s="42"/>
      <c r="K257" s="42"/>
      <c r="L257" s="42"/>
      <c r="M257" s="42"/>
      <c r="N257" s="42"/>
      <c r="O257" s="42"/>
      <c r="P257" s="42"/>
      <c r="Q257" s="42"/>
      <c r="R257" s="42"/>
      <c r="S257" s="42"/>
      <c r="T257" s="42"/>
      <c r="U257" s="42"/>
      <c r="V257" s="42"/>
      <c r="W257" s="42"/>
      <c r="X257" s="42"/>
      <c r="Y257" s="42"/>
    </row>
    <row r="258" spans="1:25" ht="12.95">
      <c r="A258" s="55"/>
      <c r="B258" s="41"/>
      <c r="C258" s="42"/>
      <c r="D258" s="43"/>
      <c r="E258" s="42"/>
      <c r="F258" s="42"/>
      <c r="G258" s="42"/>
      <c r="H258" s="42"/>
      <c r="I258" s="42"/>
      <c r="J258" s="42"/>
      <c r="K258" s="42"/>
      <c r="L258" s="42"/>
      <c r="M258" s="42"/>
      <c r="N258" s="42"/>
      <c r="O258" s="42"/>
      <c r="P258" s="42"/>
      <c r="Q258" s="42"/>
      <c r="R258" s="42"/>
      <c r="S258" s="42"/>
      <c r="T258" s="42"/>
      <c r="U258" s="42"/>
      <c r="V258" s="42"/>
      <c r="W258" s="42"/>
      <c r="X258" s="42"/>
      <c r="Y258" s="42"/>
    </row>
    <row r="259" spans="1:25" ht="12.95">
      <c r="A259" s="55"/>
      <c r="B259" s="41"/>
      <c r="C259" s="42"/>
      <c r="D259" s="43"/>
      <c r="E259" s="42"/>
      <c r="F259" s="42"/>
      <c r="G259" s="42"/>
      <c r="H259" s="42"/>
      <c r="I259" s="42"/>
      <c r="J259" s="42"/>
      <c r="K259" s="42"/>
      <c r="L259" s="42"/>
      <c r="M259" s="42"/>
      <c r="N259" s="42"/>
      <c r="O259" s="42"/>
      <c r="P259" s="42"/>
      <c r="Q259" s="42"/>
      <c r="R259" s="42"/>
      <c r="S259" s="42"/>
      <c r="T259" s="42"/>
      <c r="U259" s="42"/>
      <c r="V259" s="42"/>
      <c r="W259" s="42"/>
      <c r="X259" s="42"/>
      <c r="Y259" s="42"/>
    </row>
    <row r="260" spans="1:25" ht="12.95">
      <c r="A260" s="55"/>
      <c r="B260" s="41"/>
      <c r="C260" s="42"/>
      <c r="D260" s="43"/>
      <c r="E260" s="42"/>
      <c r="F260" s="42"/>
      <c r="G260" s="42"/>
      <c r="H260" s="42"/>
      <c r="I260" s="42"/>
      <c r="J260" s="42"/>
      <c r="K260" s="42"/>
      <c r="L260" s="42"/>
      <c r="M260" s="42"/>
      <c r="N260" s="42"/>
      <c r="O260" s="42"/>
      <c r="P260" s="42"/>
      <c r="Q260" s="42"/>
      <c r="R260" s="42"/>
      <c r="S260" s="42"/>
      <c r="T260" s="42"/>
      <c r="U260" s="42"/>
      <c r="V260" s="42"/>
      <c r="W260" s="42"/>
      <c r="X260" s="42"/>
      <c r="Y260" s="42"/>
    </row>
    <row r="261" spans="1:25" ht="12.95">
      <c r="A261" s="55"/>
      <c r="B261" s="41"/>
      <c r="C261" s="42"/>
      <c r="D261" s="43"/>
      <c r="E261" s="42"/>
      <c r="F261" s="42"/>
      <c r="G261" s="42"/>
      <c r="H261" s="42"/>
      <c r="I261" s="42"/>
      <c r="J261" s="42"/>
      <c r="K261" s="42"/>
      <c r="L261" s="42"/>
      <c r="M261" s="42"/>
      <c r="N261" s="42"/>
      <c r="O261" s="42"/>
      <c r="P261" s="42"/>
      <c r="Q261" s="42"/>
      <c r="R261" s="42"/>
      <c r="S261" s="42"/>
      <c r="T261" s="42"/>
      <c r="U261" s="42"/>
      <c r="V261" s="42"/>
      <c r="W261" s="42"/>
      <c r="X261" s="42"/>
      <c r="Y261" s="42"/>
    </row>
    <row r="262" spans="1:25" ht="12.95">
      <c r="A262" s="55"/>
      <c r="B262" s="41"/>
      <c r="C262" s="42"/>
      <c r="D262" s="43"/>
      <c r="E262" s="42"/>
      <c r="F262" s="42"/>
      <c r="G262" s="42"/>
      <c r="H262" s="42"/>
      <c r="I262" s="42"/>
      <c r="J262" s="42"/>
      <c r="K262" s="42"/>
      <c r="L262" s="42"/>
      <c r="M262" s="42"/>
      <c r="N262" s="42"/>
      <c r="O262" s="42"/>
      <c r="P262" s="42"/>
      <c r="Q262" s="42"/>
      <c r="R262" s="42"/>
      <c r="S262" s="42"/>
      <c r="T262" s="42"/>
      <c r="U262" s="42"/>
      <c r="V262" s="42"/>
      <c r="W262" s="42"/>
      <c r="X262" s="42"/>
      <c r="Y262" s="42"/>
    </row>
    <row r="263" spans="1:25" ht="12.95">
      <c r="A263" s="55"/>
      <c r="B263" s="41"/>
      <c r="C263" s="42"/>
      <c r="D263" s="43"/>
      <c r="E263" s="42"/>
      <c r="F263" s="42"/>
      <c r="G263" s="42"/>
      <c r="H263" s="42"/>
      <c r="I263" s="42"/>
      <c r="J263" s="42"/>
      <c r="K263" s="42"/>
      <c r="L263" s="42"/>
      <c r="M263" s="42"/>
      <c r="N263" s="42"/>
      <c r="O263" s="42"/>
      <c r="P263" s="42"/>
      <c r="Q263" s="42"/>
      <c r="R263" s="42"/>
      <c r="S263" s="42"/>
      <c r="T263" s="42"/>
      <c r="U263" s="42"/>
      <c r="V263" s="42"/>
      <c r="W263" s="42"/>
      <c r="X263" s="42"/>
      <c r="Y263" s="42"/>
    </row>
    <row r="264" spans="1:25" ht="12.95">
      <c r="A264" s="55"/>
      <c r="B264" s="41"/>
      <c r="C264" s="42"/>
      <c r="D264" s="43"/>
      <c r="E264" s="42"/>
      <c r="F264" s="42"/>
      <c r="G264" s="42"/>
      <c r="H264" s="42"/>
      <c r="I264" s="42"/>
      <c r="J264" s="42"/>
      <c r="K264" s="42"/>
      <c r="L264" s="42"/>
      <c r="M264" s="42"/>
      <c r="N264" s="42"/>
      <c r="O264" s="42"/>
      <c r="P264" s="42"/>
      <c r="Q264" s="42"/>
      <c r="R264" s="42"/>
      <c r="S264" s="42"/>
      <c r="T264" s="42"/>
      <c r="U264" s="42"/>
      <c r="V264" s="42"/>
      <c r="W264" s="42"/>
      <c r="X264" s="42"/>
      <c r="Y264" s="42"/>
    </row>
    <row r="265" spans="1:25" ht="12.95">
      <c r="A265" s="55"/>
      <c r="B265" s="41"/>
      <c r="C265" s="42"/>
      <c r="D265" s="43"/>
      <c r="E265" s="42"/>
      <c r="F265" s="42"/>
      <c r="G265" s="42"/>
      <c r="H265" s="42"/>
      <c r="I265" s="42"/>
      <c r="J265" s="42"/>
      <c r="K265" s="42"/>
      <c r="L265" s="42"/>
      <c r="M265" s="42"/>
      <c r="N265" s="42"/>
      <c r="O265" s="42"/>
      <c r="P265" s="42"/>
      <c r="Q265" s="42"/>
      <c r="R265" s="42"/>
      <c r="S265" s="42"/>
      <c r="T265" s="42"/>
      <c r="U265" s="42"/>
      <c r="V265" s="42"/>
      <c r="W265" s="42"/>
      <c r="X265" s="42"/>
      <c r="Y265" s="42"/>
    </row>
    <row r="266" spans="1:25" ht="12.95">
      <c r="A266" s="55"/>
      <c r="B266" s="41"/>
      <c r="C266" s="42"/>
      <c r="D266" s="43"/>
      <c r="E266" s="42"/>
      <c r="F266" s="42"/>
      <c r="G266" s="42"/>
      <c r="H266" s="42"/>
      <c r="I266" s="42"/>
      <c r="J266" s="42"/>
      <c r="K266" s="42"/>
      <c r="L266" s="42"/>
      <c r="M266" s="42"/>
      <c r="N266" s="42"/>
      <c r="O266" s="42"/>
      <c r="P266" s="42"/>
      <c r="Q266" s="42"/>
      <c r="R266" s="42"/>
      <c r="S266" s="42"/>
      <c r="T266" s="42"/>
      <c r="U266" s="42"/>
      <c r="V266" s="42"/>
      <c r="W266" s="42"/>
      <c r="X266" s="42"/>
      <c r="Y266" s="42"/>
    </row>
    <row r="267" spans="1:25" ht="12.95">
      <c r="A267" s="55"/>
      <c r="B267" s="41"/>
      <c r="C267" s="42"/>
      <c r="D267" s="43"/>
      <c r="E267" s="42"/>
      <c r="F267" s="42"/>
      <c r="G267" s="42"/>
      <c r="H267" s="42"/>
      <c r="I267" s="42"/>
      <c r="J267" s="42"/>
      <c r="K267" s="42"/>
      <c r="L267" s="42"/>
      <c r="M267" s="42"/>
      <c r="N267" s="42"/>
      <c r="O267" s="42"/>
      <c r="P267" s="42"/>
      <c r="Q267" s="42"/>
      <c r="R267" s="42"/>
      <c r="S267" s="42"/>
      <c r="T267" s="42"/>
      <c r="U267" s="42"/>
      <c r="V267" s="42"/>
      <c r="W267" s="42"/>
      <c r="X267" s="42"/>
      <c r="Y267" s="42"/>
    </row>
    <row r="268" spans="1:25" ht="12.95">
      <c r="A268" s="55"/>
      <c r="B268" s="41"/>
      <c r="C268" s="42"/>
      <c r="D268" s="43"/>
      <c r="E268" s="42"/>
      <c r="F268" s="42"/>
      <c r="G268" s="42"/>
      <c r="H268" s="42"/>
      <c r="I268" s="42"/>
      <c r="J268" s="42"/>
      <c r="K268" s="42"/>
      <c r="L268" s="42"/>
      <c r="M268" s="42"/>
      <c r="N268" s="42"/>
      <c r="O268" s="42"/>
      <c r="P268" s="42"/>
      <c r="Q268" s="42"/>
      <c r="R268" s="42"/>
      <c r="S268" s="42"/>
      <c r="T268" s="42"/>
      <c r="U268" s="42"/>
      <c r="V268" s="42"/>
      <c r="W268" s="42"/>
      <c r="X268" s="42"/>
      <c r="Y268" s="42"/>
    </row>
    <row r="269" spans="1:25" ht="12.95">
      <c r="A269" s="55"/>
      <c r="B269" s="41"/>
      <c r="C269" s="42"/>
      <c r="D269" s="43"/>
      <c r="E269" s="42"/>
      <c r="F269" s="42"/>
      <c r="G269" s="42"/>
      <c r="H269" s="42"/>
      <c r="I269" s="42"/>
      <c r="J269" s="42"/>
      <c r="K269" s="42"/>
      <c r="L269" s="42"/>
      <c r="M269" s="42"/>
      <c r="N269" s="42"/>
      <c r="O269" s="42"/>
      <c r="P269" s="42"/>
      <c r="Q269" s="42"/>
      <c r="R269" s="42"/>
      <c r="S269" s="42"/>
      <c r="T269" s="42"/>
      <c r="U269" s="42"/>
      <c r="V269" s="42"/>
      <c r="W269" s="42"/>
      <c r="X269" s="42"/>
      <c r="Y269" s="42"/>
    </row>
    <row r="270" spans="1:25" ht="12.95">
      <c r="A270" s="55"/>
      <c r="B270" s="41"/>
      <c r="C270" s="42"/>
      <c r="D270" s="43"/>
      <c r="E270" s="42"/>
      <c r="F270" s="42"/>
      <c r="G270" s="42"/>
      <c r="H270" s="42"/>
      <c r="I270" s="42"/>
      <c r="J270" s="42"/>
      <c r="K270" s="42"/>
      <c r="L270" s="42"/>
      <c r="M270" s="42"/>
      <c r="N270" s="42"/>
      <c r="O270" s="42"/>
      <c r="P270" s="42"/>
      <c r="Q270" s="42"/>
      <c r="R270" s="42"/>
      <c r="S270" s="42"/>
      <c r="T270" s="42"/>
      <c r="U270" s="42"/>
      <c r="V270" s="42"/>
      <c r="W270" s="42"/>
      <c r="X270" s="42"/>
      <c r="Y270" s="42"/>
    </row>
    <row r="271" spans="1:25" ht="12.95">
      <c r="A271" s="55"/>
      <c r="B271" s="41"/>
      <c r="C271" s="42"/>
      <c r="D271" s="43"/>
      <c r="E271" s="42"/>
      <c r="F271" s="42"/>
      <c r="G271" s="42"/>
      <c r="H271" s="42"/>
      <c r="I271" s="42"/>
      <c r="J271" s="42"/>
      <c r="K271" s="42"/>
      <c r="L271" s="42"/>
      <c r="M271" s="42"/>
      <c r="N271" s="42"/>
      <c r="O271" s="42"/>
      <c r="P271" s="42"/>
      <c r="Q271" s="42"/>
      <c r="R271" s="42"/>
      <c r="S271" s="42"/>
      <c r="T271" s="42"/>
      <c r="U271" s="42"/>
      <c r="V271" s="42"/>
      <c r="W271" s="42"/>
      <c r="X271" s="42"/>
      <c r="Y271" s="42"/>
    </row>
    <row r="272" spans="1:25" ht="12.95">
      <c r="A272" s="55"/>
      <c r="B272" s="41"/>
      <c r="C272" s="42"/>
      <c r="D272" s="43"/>
      <c r="E272" s="42"/>
      <c r="F272" s="42"/>
      <c r="G272" s="42"/>
      <c r="H272" s="42"/>
      <c r="I272" s="42"/>
      <c r="J272" s="42"/>
      <c r="K272" s="42"/>
      <c r="L272" s="42"/>
      <c r="M272" s="42"/>
      <c r="N272" s="42"/>
      <c r="O272" s="42"/>
      <c r="P272" s="42"/>
      <c r="Q272" s="42"/>
      <c r="R272" s="42"/>
      <c r="S272" s="42"/>
      <c r="T272" s="42"/>
      <c r="U272" s="42"/>
      <c r="V272" s="42"/>
      <c r="W272" s="42"/>
      <c r="X272" s="42"/>
      <c r="Y272" s="42"/>
    </row>
    <row r="273" spans="1:25" ht="12.95">
      <c r="A273" s="55"/>
      <c r="B273" s="41"/>
      <c r="C273" s="42"/>
      <c r="D273" s="43"/>
      <c r="E273" s="42"/>
      <c r="F273" s="42"/>
      <c r="G273" s="42"/>
      <c r="H273" s="42"/>
      <c r="I273" s="42"/>
      <c r="J273" s="42"/>
      <c r="K273" s="42"/>
      <c r="L273" s="42"/>
      <c r="M273" s="42"/>
      <c r="N273" s="42"/>
      <c r="O273" s="42"/>
      <c r="P273" s="42"/>
      <c r="Q273" s="42"/>
      <c r="R273" s="42"/>
      <c r="S273" s="42"/>
      <c r="T273" s="42"/>
      <c r="U273" s="42"/>
      <c r="V273" s="42"/>
      <c r="W273" s="42"/>
      <c r="X273" s="42"/>
      <c r="Y273" s="42"/>
    </row>
    <row r="274" spans="1:25" ht="12.95">
      <c r="A274" s="55"/>
      <c r="B274" s="41"/>
      <c r="C274" s="42"/>
      <c r="D274" s="43"/>
      <c r="E274" s="42"/>
      <c r="F274" s="42"/>
      <c r="G274" s="42"/>
      <c r="H274" s="42"/>
      <c r="I274" s="42"/>
      <c r="J274" s="42"/>
      <c r="K274" s="42"/>
      <c r="L274" s="42"/>
      <c r="M274" s="42"/>
      <c r="N274" s="42"/>
      <c r="O274" s="42"/>
      <c r="P274" s="42"/>
      <c r="Q274" s="42"/>
      <c r="R274" s="42"/>
      <c r="S274" s="42"/>
      <c r="T274" s="42"/>
      <c r="U274" s="42"/>
      <c r="V274" s="42"/>
      <c r="W274" s="42"/>
      <c r="X274" s="42"/>
      <c r="Y274" s="42"/>
    </row>
    <row r="275" spans="1:25" ht="12.95">
      <c r="A275" s="55"/>
      <c r="B275" s="41"/>
      <c r="C275" s="42"/>
      <c r="D275" s="43"/>
      <c r="E275" s="42"/>
      <c r="F275" s="42"/>
      <c r="G275" s="42"/>
      <c r="H275" s="42"/>
      <c r="I275" s="42"/>
      <c r="J275" s="42"/>
      <c r="K275" s="42"/>
      <c r="L275" s="42"/>
      <c r="M275" s="42"/>
      <c r="N275" s="42"/>
      <c r="O275" s="42"/>
      <c r="P275" s="42"/>
      <c r="Q275" s="42"/>
      <c r="R275" s="42"/>
      <c r="S275" s="42"/>
      <c r="T275" s="42"/>
      <c r="U275" s="42"/>
      <c r="V275" s="42"/>
      <c r="W275" s="42"/>
      <c r="X275" s="42"/>
      <c r="Y275" s="42"/>
    </row>
    <row r="276" spans="1:25" ht="12.95">
      <c r="A276" s="55"/>
      <c r="B276" s="41"/>
      <c r="C276" s="42"/>
      <c r="D276" s="43"/>
      <c r="E276" s="42"/>
      <c r="F276" s="42"/>
      <c r="G276" s="42"/>
      <c r="H276" s="42"/>
      <c r="I276" s="42"/>
      <c r="J276" s="42"/>
      <c r="K276" s="42"/>
      <c r="L276" s="42"/>
      <c r="M276" s="42"/>
      <c r="N276" s="42"/>
      <c r="O276" s="42"/>
      <c r="P276" s="42"/>
      <c r="Q276" s="42"/>
      <c r="R276" s="42"/>
      <c r="S276" s="42"/>
      <c r="T276" s="42"/>
      <c r="U276" s="42"/>
      <c r="V276" s="42"/>
      <c r="W276" s="42"/>
      <c r="X276" s="42"/>
      <c r="Y276" s="42"/>
    </row>
    <row r="277" spans="1:25" ht="12.95">
      <c r="A277" s="55"/>
      <c r="B277" s="41"/>
      <c r="C277" s="42"/>
      <c r="D277" s="43"/>
      <c r="E277" s="42"/>
      <c r="F277" s="42"/>
      <c r="G277" s="42"/>
      <c r="H277" s="42"/>
      <c r="I277" s="42"/>
      <c r="J277" s="42"/>
      <c r="K277" s="42"/>
      <c r="L277" s="42"/>
      <c r="M277" s="42"/>
      <c r="N277" s="42"/>
      <c r="O277" s="42"/>
      <c r="P277" s="42"/>
      <c r="Q277" s="42"/>
      <c r="R277" s="42"/>
      <c r="S277" s="42"/>
      <c r="T277" s="42"/>
      <c r="U277" s="42"/>
      <c r="V277" s="42"/>
      <c r="W277" s="42"/>
      <c r="X277" s="42"/>
      <c r="Y277" s="42"/>
    </row>
    <row r="278" spans="1:25" ht="12.95">
      <c r="A278" s="55"/>
      <c r="B278" s="41"/>
      <c r="C278" s="42"/>
      <c r="D278" s="43"/>
      <c r="E278" s="42"/>
      <c r="F278" s="42"/>
      <c r="G278" s="42"/>
      <c r="H278" s="42"/>
      <c r="I278" s="42"/>
      <c r="J278" s="42"/>
      <c r="K278" s="42"/>
      <c r="L278" s="42"/>
      <c r="M278" s="42"/>
      <c r="N278" s="42"/>
      <c r="O278" s="42"/>
      <c r="P278" s="42"/>
      <c r="Q278" s="42"/>
      <c r="R278" s="42"/>
      <c r="S278" s="42"/>
      <c r="T278" s="42"/>
      <c r="U278" s="42"/>
      <c r="V278" s="42"/>
      <c r="W278" s="42"/>
      <c r="X278" s="42"/>
      <c r="Y278" s="42"/>
    </row>
    <row r="279" spans="1:25" ht="12.95">
      <c r="A279" s="55"/>
      <c r="B279" s="41"/>
      <c r="C279" s="42"/>
      <c r="D279" s="43"/>
      <c r="E279" s="42"/>
      <c r="F279" s="42"/>
      <c r="G279" s="42"/>
      <c r="H279" s="42"/>
      <c r="I279" s="42"/>
      <c r="J279" s="42"/>
      <c r="K279" s="42"/>
      <c r="L279" s="42"/>
      <c r="M279" s="42"/>
      <c r="N279" s="42"/>
      <c r="O279" s="42"/>
      <c r="P279" s="42"/>
      <c r="Q279" s="42"/>
      <c r="R279" s="42"/>
      <c r="S279" s="42"/>
      <c r="T279" s="42"/>
      <c r="U279" s="42"/>
      <c r="V279" s="42"/>
      <c r="W279" s="42"/>
      <c r="X279" s="42"/>
      <c r="Y279" s="42"/>
    </row>
    <row r="280" spans="1:25" ht="12.95">
      <c r="A280" s="55"/>
      <c r="B280" s="41"/>
      <c r="C280" s="42"/>
      <c r="D280" s="43"/>
      <c r="E280" s="42"/>
      <c r="F280" s="42"/>
      <c r="G280" s="42"/>
      <c r="H280" s="42"/>
      <c r="I280" s="42"/>
      <c r="J280" s="42"/>
      <c r="K280" s="42"/>
      <c r="L280" s="42"/>
      <c r="M280" s="42"/>
      <c r="N280" s="42"/>
      <c r="O280" s="42"/>
      <c r="P280" s="42"/>
      <c r="Q280" s="42"/>
      <c r="R280" s="42"/>
      <c r="S280" s="42"/>
      <c r="T280" s="42"/>
      <c r="U280" s="42"/>
      <c r="V280" s="42"/>
      <c r="W280" s="42"/>
      <c r="X280" s="42"/>
      <c r="Y280" s="42"/>
    </row>
    <row r="281" spans="1:25" ht="12.95">
      <c r="A281" s="55"/>
      <c r="B281" s="41"/>
      <c r="C281" s="42"/>
      <c r="D281" s="43"/>
      <c r="E281" s="42"/>
      <c r="F281" s="42"/>
      <c r="G281" s="42"/>
      <c r="H281" s="42"/>
      <c r="I281" s="42"/>
      <c r="J281" s="42"/>
      <c r="K281" s="42"/>
      <c r="L281" s="42"/>
      <c r="M281" s="42"/>
      <c r="N281" s="42"/>
      <c r="O281" s="42"/>
      <c r="P281" s="42"/>
      <c r="Q281" s="42"/>
      <c r="R281" s="42"/>
      <c r="S281" s="42"/>
      <c r="T281" s="42"/>
      <c r="U281" s="42"/>
      <c r="V281" s="42"/>
      <c r="W281" s="42"/>
      <c r="X281" s="42"/>
      <c r="Y281" s="42"/>
    </row>
    <row r="282" spans="1:25" ht="12.95">
      <c r="A282" s="55"/>
      <c r="B282" s="41"/>
      <c r="C282" s="42"/>
      <c r="D282" s="43"/>
      <c r="E282" s="42"/>
      <c r="F282" s="42"/>
      <c r="G282" s="42"/>
      <c r="H282" s="42"/>
      <c r="I282" s="42"/>
      <c r="J282" s="42"/>
      <c r="K282" s="42"/>
      <c r="L282" s="42"/>
      <c r="M282" s="42"/>
      <c r="N282" s="42"/>
      <c r="O282" s="42"/>
      <c r="P282" s="42"/>
      <c r="Q282" s="42"/>
      <c r="R282" s="42"/>
      <c r="S282" s="42"/>
      <c r="T282" s="42"/>
      <c r="U282" s="42"/>
      <c r="V282" s="42"/>
      <c r="W282" s="42"/>
      <c r="X282" s="42"/>
      <c r="Y282" s="42"/>
    </row>
    <row r="283" spans="1:25" ht="12.95">
      <c r="A283" s="55"/>
      <c r="B283" s="41"/>
      <c r="C283" s="42"/>
      <c r="D283" s="43"/>
      <c r="E283" s="42"/>
      <c r="F283" s="42"/>
      <c r="G283" s="42"/>
      <c r="H283" s="42"/>
      <c r="I283" s="42"/>
      <c r="J283" s="42"/>
      <c r="K283" s="42"/>
      <c r="L283" s="42"/>
      <c r="M283" s="42"/>
      <c r="N283" s="42"/>
      <c r="O283" s="42"/>
      <c r="P283" s="42"/>
      <c r="Q283" s="42"/>
      <c r="R283" s="42"/>
      <c r="S283" s="42"/>
      <c r="T283" s="42"/>
      <c r="U283" s="42"/>
      <c r="V283" s="42"/>
      <c r="W283" s="42"/>
      <c r="X283" s="42"/>
      <c r="Y283" s="42"/>
    </row>
    <row r="284" spans="1:25" ht="12.95">
      <c r="A284" s="55"/>
      <c r="B284" s="41"/>
      <c r="C284" s="42"/>
      <c r="D284" s="43"/>
      <c r="E284" s="42"/>
      <c r="F284" s="42"/>
      <c r="G284" s="42"/>
      <c r="H284" s="42"/>
      <c r="I284" s="42"/>
      <c r="J284" s="42"/>
      <c r="K284" s="42"/>
      <c r="L284" s="42"/>
      <c r="M284" s="42"/>
      <c r="N284" s="42"/>
      <c r="O284" s="42"/>
      <c r="P284" s="42"/>
      <c r="Q284" s="42"/>
      <c r="R284" s="42"/>
      <c r="S284" s="42"/>
      <c r="T284" s="42"/>
      <c r="U284" s="42"/>
      <c r="V284" s="42"/>
      <c r="W284" s="42"/>
      <c r="X284" s="42"/>
      <c r="Y284" s="42"/>
    </row>
    <row r="285" spans="1:25" ht="12.95">
      <c r="A285" s="55"/>
      <c r="B285" s="41"/>
      <c r="C285" s="42"/>
      <c r="D285" s="43"/>
      <c r="E285" s="42"/>
      <c r="F285" s="42"/>
      <c r="G285" s="42"/>
      <c r="H285" s="42"/>
      <c r="I285" s="42"/>
      <c r="J285" s="42"/>
      <c r="K285" s="42"/>
      <c r="L285" s="42"/>
      <c r="M285" s="42"/>
      <c r="N285" s="42"/>
      <c r="O285" s="42"/>
      <c r="P285" s="42"/>
      <c r="Q285" s="42"/>
      <c r="R285" s="42"/>
      <c r="S285" s="42"/>
      <c r="T285" s="42"/>
      <c r="U285" s="42"/>
      <c r="V285" s="42"/>
      <c r="W285" s="42"/>
      <c r="X285" s="42"/>
      <c r="Y285" s="42"/>
    </row>
    <row r="286" spans="1:25" ht="12.95">
      <c r="A286" s="55"/>
      <c r="B286" s="41"/>
      <c r="C286" s="42"/>
      <c r="D286" s="43"/>
      <c r="E286" s="42"/>
      <c r="F286" s="42"/>
      <c r="G286" s="42"/>
      <c r="H286" s="42"/>
      <c r="I286" s="42"/>
      <c r="J286" s="42"/>
      <c r="K286" s="42"/>
      <c r="L286" s="42"/>
      <c r="M286" s="42"/>
      <c r="N286" s="42"/>
      <c r="O286" s="42"/>
      <c r="P286" s="42"/>
      <c r="Q286" s="42"/>
      <c r="R286" s="42"/>
      <c r="S286" s="42"/>
      <c r="T286" s="42"/>
      <c r="U286" s="42"/>
      <c r="V286" s="42"/>
      <c r="W286" s="42"/>
      <c r="X286" s="42"/>
      <c r="Y286" s="42"/>
    </row>
    <row r="287" spans="1:25" ht="12.95">
      <c r="A287" s="55"/>
      <c r="B287" s="41"/>
      <c r="C287" s="42"/>
      <c r="D287" s="43"/>
      <c r="E287" s="42"/>
      <c r="F287" s="42"/>
      <c r="G287" s="42"/>
      <c r="H287" s="42"/>
      <c r="I287" s="42"/>
      <c r="J287" s="42"/>
      <c r="K287" s="42"/>
      <c r="L287" s="42"/>
      <c r="M287" s="42"/>
      <c r="N287" s="42"/>
      <c r="O287" s="42"/>
      <c r="P287" s="42"/>
      <c r="Q287" s="42"/>
      <c r="R287" s="42"/>
      <c r="S287" s="42"/>
      <c r="T287" s="42"/>
      <c r="U287" s="42"/>
      <c r="V287" s="42"/>
      <c r="W287" s="42"/>
      <c r="X287" s="42"/>
      <c r="Y287" s="42"/>
    </row>
    <row r="288" spans="1:25" ht="12.95">
      <c r="A288" s="55"/>
      <c r="B288" s="41"/>
      <c r="C288" s="42"/>
      <c r="D288" s="43"/>
      <c r="E288" s="42"/>
      <c r="F288" s="42"/>
      <c r="G288" s="42"/>
      <c r="H288" s="42"/>
      <c r="I288" s="42"/>
      <c r="J288" s="42"/>
      <c r="K288" s="42"/>
      <c r="L288" s="42"/>
      <c r="M288" s="42"/>
      <c r="N288" s="42"/>
      <c r="O288" s="42"/>
      <c r="P288" s="42"/>
      <c r="Q288" s="42"/>
      <c r="R288" s="42"/>
      <c r="S288" s="42"/>
      <c r="T288" s="42"/>
      <c r="U288" s="42"/>
      <c r="V288" s="42"/>
      <c r="W288" s="42"/>
      <c r="X288" s="42"/>
      <c r="Y288" s="42"/>
    </row>
    <row r="289" spans="1:25" ht="12.95">
      <c r="A289" s="55"/>
      <c r="B289" s="41"/>
      <c r="C289" s="42"/>
      <c r="D289" s="43"/>
      <c r="E289" s="42"/>
      <c r="F289" s="42"/>
      <c r="G289" s="42"/>
      <c r="H289" s="42"/>
      <c r="I289" s="42"/>
      <c r="J289" s="42"/>
      <c r="K289" s="42"/>
      <c r="L289" s="42"/>
      <c r="M289" s="42"/>
      <c r="N289" s="42"/>
      <c r="O289" s="42"/>
      <c r="P289" s="42"/>
      <c r="Q289" s="42"/>
      <c r="R289" s="42"/>
      <c r="S289" s="42"/>
      <c r="T289" s="42"/>
      <c r="U289" s="42"/>
      <c r="V289" s="42"/>
      <c r="W289" s="42"/>
      <c r="X289" s="42"/>
      <c r="Y289" s="42"/>
    </row>
    <row r="290" spans="1:25" ht="12.95">
      <c r="A290" s="55"/>
      <c r="B290" s="41"/>
      <c r="C290" s="42"/>
      <c r="D290" s="43"/>
      <c r="E290" s="42"/>
      <c r="F290" s="42"/>
      <c r="G290" s="42"/>
      <c r="H290" s="42"/>
      <c r="I290" s="42"/>
      <c r="J290" s="42"/>
      <c r="K290" s="42"/>
      <c r="L290" s="42"/>
      <c r="M290" s="42"/>
      <c r="N290" s="42"/>
      <c r="O290" s="42"/>
      <c r="P290" s="42"/>
      <c r="Q290" s="42"/>
      <c r="R290" s="42"/>
      <c r="S290" s="42"/>
      <c r="T290" s="42"/>
      <c r="U290" s="42"/>
      <c r="V290" s="42"/>
      <c r="W290" s="42"/>
      <c r="X290" s="42"/>
      <c r="Y290" s="42"/>
    </row>
    <row r="291" spans="1:25" ht="12.95">
      <c r="A291" s="55"/>
      <c r="B291" s="41"/>
      <c r="C291" s="42"/>
      <c r="D291" s="43"/>
      <c r="E291" s="42"/>
      <c r="F291" s="42"/>
      <c r="G291" s="42"/>
      <c r="H291" s="42"/>
      <c r="I291" s="42"/>
      <c r="J291" s="42"/>
      <c r="K291" s="42"/>
      <c r="L291" s="42"/>
      <c r="M291" s="42"/>
      <c r="N291" s="42"/>
      <c r="O291" s="42"/>
      <c r="P291" s="42"/>
      <c r="Q291" s="42"/>
      <c r="R291" s="42"/>
      <c r="S291" s="42"/>
      <c r="T291" s="42"/>
      <c r="U291" s="42"/>
      <c r="V291" s="42"/>
      <c r="W291" s="42"/>
      <c r="X291" s="42"/>
      <c r="Y291" s="42"/>
    </row>
    <row r="292" spans="1:25" ht="12.95">
      <c r="A292" s="55"/>
      <c r="B292" s="41"/>
      <c r="C292" s="42"/>
      <c r="D292" s="43"/>
      <c r="E292" s="42"/>
      <c r="F292" s="42"/>
      <c r="G292" s="42"/>
      <c r="H292" s="42"/>
      <c r="I292" s="42"/>
      <c r="J292" s="42"/>
      <c r="K292" s="42"/>
      <c r="L292" s="42"/>
      <c r="M292" s="42"/>
      <c r="N292" s="42"/>
      <c r="O292" s="42"/>
      <c r="P292" s="42"/>
      <c r="Q292" s="42"/>
      <c r="R292" s="42"/>
      <c r="S292" s="42"/>
      <c r="T292" s="42"/>
      <c r="U292" s="42"/>
      <c r="V292" s="42"/>
      <c r="W292" s="42"/>
      <c r="X292" s="42"/>
      <c r="Y292" s="42"/>
    </row>
    <row r="293" spans="1:25" ht="12.95">
      <c r="A293" s="55"/>
      <c r="B293" s="41"/>
      <c r="C293" s="42"/>
      <c r="D293" s="43"/>
      <c r="E293" s="42"/>
      <c r="F293" s="42"/>
      <c r="G293" s="42"/>
      <c r="H293" s="42"/>
      <c r="I293" s="42"/>
      <c r="J293" s="42"/>
      <c r="K293" s="42"/>
      <c r="L293" s="42"/>
      <c r="M293" s="42"/>
      <c r="N293" s="42"/>
      <c r="O293" s="42"/>
      <c r="P293" s="42"/>
      <c r="Q293" s="42"/>
      <c r="R293" s="42"/>
      <c r="S293" s="42"/>
      <c r="T293" s="42"/>
      <c r="U293" s="42"/>
      <c r="V293" s="42"/>
      <c r="W293" s="42"/>
      <c r="X293" s="42"/>
      <c r="Y293" s="42"/>
    </row>
    <row r="294" spans="1:25" ht="12.95">
      <c r="A294" s="55"/>
      <c r="B294" s="41"/>
      <c r="C294" s="42"/>
      <c r="D294" s="43"/>
      <c r="E294" s="42"/>
      <c r="F294" s="42"/>
      <c r="G294" s="42"/>
      <c r="H294" s="42"/>
      <c r="I294" s="42"/>
      <c r="J294" s="42"/>
      <c r="K294" s="42"/>
      <c r="L294" s="42"/>
      <c r="M294" s="42"/>
      <c r="N294" s="42"/>
      <c r="O294" s="42"/>
      <c r="P294" s="42"/>
      <c r="Q294" s="42"/>
      <c r="R294" s="42"/>
      <c r="S294" s="42"/>
      <c r="T294" s="42"/>
      <c r="U294" s="42"/>
      <c r="V294" s="42"/>
      <c r="W294" s="42"/>
      <c r="X294" s="42"/>
      <c r="Y294" s="42"/>
    </row>
    <row r="295" spans="1:25" ht="12.95">
      <c r="A295" s="55"/>
      <c r="B295" s="41"/>
      <c r="C295" s="42"/>
      <c r="D295" s="43"/>
      <c r="E295" s="42"/>
      <c r="F295" s="42"/>
      <c r="G295" s="42"/>
      <c r="H295" s="42"/>
      <c r="I295" s="42"/>
      <c r="J295" s="42"/>
      <c r="K295" s="42"/>
      <c r="L295" s="42"/>
      <c r="M295" s="42"/>
      <c r="N295" s="42"/>
      <c r="O295" s="42"/>
      <c r="P295" s="42"/>
      <c r="Q295" s="42"/>
      <c r="R295" s="42"/>
      <c r="S295" s="42"/>
      <c r="T295" s="42"/>
      <c r="U295" s="42"/>
      <c r="V295" s="42"/>
      <c r="W295" s="42"/>
      <c r="X295" s="42"/>
      <c r="Y295" s="42"/>
    </row>
    <row r="296" spans="1:25" ht="12.95">
      <c r="A296" s="55"/>
      <c r="B296" s="41"/>
      <c r="C296" s="42"/>
      <c r="D296" s="43"/>
      <c r="E296" s="42"/>
      <c r="F296" s="42"/>
      <c r="G296" s="42"/>
      <c r="H296" s="42"/>
      <c r="I296" s="42"/>
      <c r="J296" s="42"/>
      <c r="K296" s="42"/>
      <c r="L296" s="42"/>
      <c r="M296" s="42"/>
      <c r="N296" s="42"/>
      <c r="O296" s="42"/>
      <c r="P296" s="42"/>
      <c r="Q296" s="42"/>
      <c r="R296" s="42"/>
      <c r="S296" s="42"/>
      <c r="T296" s="42"/>
      <c r="U296" s="42"/>
      <c r="V296" s="42"/>
      <c r="W296" s="42"/>
      <c r="X296" s="42"/>
      <c r="Y296" s="42"/>
    </row>
    <row r="297" spans="1:25" ht="12.95">
      <c r="A297" s="55"/>
      <c r="B297" s="41"/>
      <c r="C297" s="42"/>
      <c r="D297" s="43"/>
      <c r="E297" s="42"/>
      <c r="F297" s="42"/>
      <c r="G297" s="42"/>
      <c r="H297" s="42"/>
      <c r="I297" s="42"/>
      <c r="J297" s="42"/>
      <c r="K297" s="42"/>
      <c r="L297" s="42"/>
      <c r="M297" s="42"/>
      <c r="N297" s="42"/>
      <c r="O297" s="42"/>
      <c r="P297" s="42"/>
      <c r="Q297" s="42"/>
      <c r="R297" s="42"/>
      <c r="S297" s="42"/>
      <c r="T297" s="42"/>
      <c r="U297" s="42"/>
      <c r="V297" s="42"/>
      <c r="W297" s="42"/>
      <c r="X297" s="42"/>
      <c r="Y297" s="42"/>
    </row>
    <row r="298" spans="1:25" ht="12.95">
      <c r="A298" s="55"/>
      <c r="B298" s="41"/>
      <c r="C298" s="42"/>
      <c r="D298" s="43"/>
      <c r="E298" s="42"/>
      <c r="F298" s="42"/>
      <c r="G298" s="42"/>
      <c r="H298" s="42"/>
      <c r="I298" s="42"/>
      <c r="J298" s="42"/>
      <c r="K298" s="42"/>
      <c r="L298" s="42"/>
      <c r="M298" s="42"/>
      <c r="N298" s="42"/>
      <c r="O298" s="42"/>
      <c r="P298" s="42"/>
      <c r="Q298" s="42"/>
      <c r="R298" s="42"/>
      <c r="S298" s="42"/>
      <c r="T298" s="42"/>
      <c r="U298" s="42"/>
      <c r="V298" s="42"/>
      <c r="W298" s="42"/>
      <c r="X298" s="42"/>
      <c r="Y298" s="42"/>
    </row>
    <row r="299" spans="1:25" ht="12.95">
      <c r="A299" s="55"/>
      <c r="B299" s="41"/>
      <c r="C299" s="42"/>
      <c r="D299" s="43"/>
      <c r="E299" s="42"/>
      <c r="F299" s="42"/>
      <c r="G299" s="42"/>
      <c r="H299" s="42"/>
      <c r="I299" s="42"/>
      <c r="J299" s="42"/>
      <c r="K299" s="42"/>
      <c r="L299" s="42"/>
      <c r="M299" s="42"/>
      <c r="N299" s="42"/>
      <c r="O299" s="42"/>
      <c r="P299" s="42"/>
      <c r="Q299" s="42"/>
      <c r="R299" s="42"/>
      <c r="S299" s="42"/>
      <c r="T299" s="42"/>
      <c r="U299" s="42"/>
      <c r="V299" s="42"/>
      <c r="W299" s="42"/>
      <c r="X299" s="42"/>
      <c r="Y299" s="42"/>
    </row>
    <row r="300" spans="1:25" ht="12.95">
      <c r="A300" s="55"/>
      <c r="B300" s="41"/>
      <c r="C300" s="42"/>
      <c r="D300" s="43"/>
      <c r="E300" s="42"/>
      <c r="F300" s="42"/>
      <c r="G300" s="42"/>
      <c r="H300" s="42"/>
      <c r="I300" s="42"/>
      <c r="J300" s="42"/>
      <c r="K300" s="42"/>
      <c r="L300" s="42"/>
      <c r="M300" s="42"/>
      <c r="N300" s="42"/>
      <c r="O300" s="42"/>
      <c r="P300" s="42"/>
      <c r="Q300" s="42"/>
      <c r="R300" s="42"/>
      <c r="S300" s="42"/>
      <c r="T300" s="42"/>
      <c r="U300" s="42"/>
      <c r="V300" s="42"/>
      <c r="W300" s="42"/>
      <c r="X300" s="42"/>
      <c r="Y300" s="42"/>
    </row>
    <row r="301" spans="1:25" ht="12.95">
      <c r="A301" s="55"/>
      <c r="B301" s="41"/>
      <c r="C301" s="42"/>
      <c r="D301" s="43"/>
      <c r="E301" s="42"/>
      <c r="F301" s="42"/>
      <c r="G301" s="42"/>
      <c r="H301" s="42"/>
      <c r="I301" s="42"/>
      <c r="J301" s="42"/>
      <c r="K301" s="42"/>
      <c r="L301" s="42"/>
      <c r="M301" s="42"/>
      <c r="N301" s="42"/>
      <c r="O301" s="42"/>
      <c r="P301" s="42"/>
      <c r="Q301" s="42"/>
      <c r="R301" s="42"/>
      <c r="S301" s="42"/>
      <c r="T301" s="42"/>
      <c r="U301" s="42"/>
      <c r="V301" s="42"/>
      <c r="W301" s="42"/>
      <c r="X301" s="42"/>
      <c r="Y301" s="42"/>
    </row>
    <row r="302" spans="1:25" ht="12.95">
      <c r="A302" s="55"/>
      <c r="B302" s="41"/>
      <c r="C302" s="42"/>
      <c r="D302" s="43"/>
      <c r="E302" s="42"/>
      <c r="F302" s="42"/>
      <c r="G302" s="42"/>
      <c r="H302" s="42"/>
      <c r="I302" s="42"/>
      <c r="J302" s="42"/>
      <c r="K302" s="42"/>
      <c r="L302" s="42"/>
      <c r="M302" s="42"/>
      <c r="N302" s="42"/>
      <c r="O302" s="42"/>
      <c r="P302" s="42"/>
      <c r="Q302" s="42"/>
      <c r="R302" s="42"/>
      <c r="S302" s="42"/>
      <c r="T302" s="42"/>
      <c r="U302" s="42"/>
      <c r="V302" s="42"/>
      <c r="W302" s="42"/>
      <c r="X302" s="42"/>
      <c r="Y302" s="42"/>
    </row>
    <row r="303" spans="1:25" ht="12.95">
      <c r="A303" s="55"/>
      <c r="B303" s="41"/>
      <c r="C303" s="42"/>
      <c r="D303" s="43"/>
      <c r="E303" s="42"/>
      <c r="F303" s="42"/>
      <c r="G303" s="42"/>
      <c r="H303" s="42"/>
      <c r="I303" s="42"/>
      <c r="J303" s="42"/>
      <c r="K303" s="42"/>
      <c r="L303" s="42"/>
      <c r="M303" s="42"/>
      <c r="N303" s="42"/>
      <c r="O303" s="42"/>
      <c r="P303" s="42"/>
      <c r="Q303" s="42"/>
      <c r="R303" s="42"/>
      <c r="S303" s="42"/>
      <c r="T303" s="42"/>
      <c r="U303" s="42"/>
      <c r="V303" s="42"/>
      <c r="W303" s="42"/>
      <c r="X303" s="42"/>
      <c r="Y303" s="42"/>
    </row>
    <row r="304" spans="1:25" ht="12.95">
      <c r="A304" s="55"/>
      <c r="B304" s="41"/>
      <c r="C304" s="42"/>
      <c r="D304" s="43"/>
      <c r="E304" s="42"/>
      <c r="F304" s="42"/>
      <c r="G304" s="42"/>
      <c r="H304" s="42"/>
      <c r="I304" s="42"/>
      <c r="J304" s="42"/>
      <c r="K304" s="42"/>
      <c r="L304" s="42"/>
      <c r="M304" s="42"/>
      <c r="N304" s="42"/>
      <c r="O304" s="42"/>
      <c r="P304" s="42"/>
      <c r="Q304" s="42"/>
      <c r="R304" s="42"/>
      <c r="S304" s="42"/>
      <c r="T304" s="42"/>
      <c r="U304" s="42"/>
      <c r="V304" s="42"/>
      <c r="W304" s="42"/>
      <c r="X304" s="42"/>
      <c r="Y304" s="42"/>
    </row>
    <row r="305" spans="1:25" ht="12.95">
      <c r="A305" s="55"/>
      <c r="B305" s="41"/>
      <c r="C305" s="42"/>
      <c r="D305" s="43"/>
      <c r="E305" s="42"/>
      <c r="F305" s="42"/>
      <c r="G305" s="42"/>
      <c r="H305" s="42"/>
      <c r="I305" s="42"/>
      <c r="J305" s="42"/>
      <c r="K305" s="42"/>
      <c r="L305" s="42"/>
      <c r="M305" s="42"/>
      <c r="N305" s="42"/>
      <c r="O305" s="42"/>
      <c r="P305" s="42"/>
      <c r="Q305" s="42"/>
      <c r="R305" s="42"/>
      <c r="S305" s="42"/>
      <c r="T305" s="42"/>
      <c r="U305" s="42"/>
      <c r="V305" s="42"/>
      <c r="W305" s="42"/>
      <c r="X305" s="42"/>
      <c r="Y305" s="42"/>
    </row>
    <row r="306" spans="1:25" ht="12.95">
      <c r="A306" s="55"/>
      <c r="B306" s="41"/>
      <c r="C306" s="42"/>
      <c r="D306" s="43"/>
      <c r="E306" s="42"/>
      <c r="F306" s="42"/>
      <c r="G306" s="42"/>
      <c r="H306" s="42"/>
      <c r="I306" s="42"/>
      <c r="J306" s="42"/>
      <c r="K306" s="42"/>
      <c r="L306" s="42"/>
      <c r="M306" s="42"/>
      <c r="N306" s="42"/>
      <c r="O306" s="42"/>
      <c r="P306" s="42"/>
      <c r="Q306" s="42"/>
      <c r="R306" s="42"/>
      <c r="S306" s="42"/>
      <c r="T306" s="42"/>
      <c r="U306" s="42"/>
      <c r="V306" s="42"/>
      <c r="W306" s="42"/>
      <c r="X306" s="42"/>
      <c r="Y306" s="42"/>
    </row>
    <row r="307" spans="1:25" ht="12.95">
      <c r="A307" s="55"/>
      <c r="B307" s="41"/>
      <c r="C307" s="42"/>
      <c r="D307" s="43"/>
      <c r="E307" s="42"/>
      <c r="F307" s="42"/>
      <c r="G307" s="42"/>
      <c r="H307" s="42"/>
      <c r="I307" s="42"/>
      <c r="J307" s="42"/>
      <c r="K307" s="42"/>
      <c r="L307" s="42"/>
      <c r="M307" s="42"/>
      <c r="N307" s="42"/>
      <c r="O307" s="42"/>
      <c r="P307" s="42"/>
      <c r="Q307" s="42"/>
      <c r="R307" s="42"/>
      <c r="S307" s="42"/>
      <c r="T307" s="42"/>
      <c r="U307" s="42"/>
      <c r="V307" s="42"/>
      <c r="W307" s="42"/>
      <c r="X307" s="42"/>
      <c r="Y307" s="42"/>
    </row>
    <row r="308" spans="1:25" ht="12.95">
      <c r="A308" s="55"/>
      <c r="B308" s="41"/>
      <c r="C308" s="42"/>
      <c r="D308" s="43"/>
      <c r="E308" s="42"/>
      <c r="F308" s="42"/>
      <c r="G308" s="42"/>
      <c r="H308" s="42"/>
      <c r="I308" s="42"/>
      <c r="J308" s="42"/>
      <c r="K308" s="42"/>
      <c r="L308" s="42"/>
      <c r="M308" s="42"/>
      <c r="N308" s="42"/>
      <c r="O308" s="42"/>
      <c r="P308" s="42"/>
      <c r="Q308" s="42"/>
      <c r="R308" s="42"/>
      <c r="S308" s="42"/>
      <c r="T308" s="42"/>
      <c r="U308" s="42"/>
      <c r="V308" s="42"/>
      <c r="W308" s="42"/>
      <c r="X308" s="42"/>
      <c r="Y308" s="42"/>
    </row>
    <row r="309" spans="1:25" ht="12.95">
      <c r="A309" s="55"/>
      <c r="B309" s="41"/>
      <c r="C309" s="42"/>
      <c r="D309" s="43"/>
      <c r="E309" s="42"/>
      <c r="F309" s="42"/>
      <c r="G309" s="42"/>
      <c r="H309" s="42"/>
      <c r="I309" s="42"/>
      <c r="J309" s="42"/>
      <c r="K309" s="42"/>
      <c r="L309" s="42"/>
      <c r="M309" s="42"/>
      <c r="N309" s="42"/>
      <c r="O309" s="42"/>
      <c r="P309" s="42"/>
      <c r="Q309" s="42"/>
      <c r="R309" s="42"/>
      <c r="S309" s="42"/>
      <c r="T309" s="42"/>
      <c r="U309" s="42"/>
      <c r="V309" s="42"/>
      <c r="W309" s="42"/>
      <c r="X309" s="42"/>
      <c r="Y309" s="42"/>
    </row>
    <row r="310" spans="1:25" ht="12.95">
      <c r="A310" s="55"/>
      <c r="B310" s="41"/>
      <c r="C310" s="42"/>
      <c r="D310" s="43"/>
      <c r="E310" s="42"/>
      <c r="F310" s="42"/>
      <c r="G310" s="42"/>
      <c r="H310" s="42"/>
      <c r="I310" s="42"/>
      <c r="J310" s="42"/>
      <c r="K310" s="42"/>
      <c r="L310" s="42"/>
      <c r="M310" s="42"/>
      <c r="N310" s="42"/>
      <c r="O310" s="42"/>
      <c r="P310" s="42"/>
      <c r="Q310" s="42"/>
      <c r="R310" s="42"/>
      <c r="S310" s="42"/>
      <c r="T310" s="42"/>
      <c r="U310" s="42"/>
      <c r="V310" s="42"/>
      <c r="W310" s="42"/>
      <c r="X310" s="42"/>
      <c r="Y310" s="42"/>
    </row>
    <row r="311" spans="1:25" ht="12.95">
      <c r="A311" s="55"/>
      <c r="B311" s="41"/>
      <c r="C311" s="42"/>
      <c r="D311" s="43"/>
      <c r="E311" s="42"/>
      <c r="F311" s="42"/>
      <c r="G311" s="42"/>
      <c r="H311" s="42"/>
      <c r="I311" s="42"/>
      <c r="J311" s="42"/>
      <c r="K311" s="42"/>
      <c r="L311" s="42"/>
      <c r="M311" s="42"/>
      <c r="N311" s="42"/>
      <c r="O311" s="42"/>
      <c r="P311" s="42"/>
      <c r="Q311" s="42"/>
      <c r="R311" s="42"/>
      <c r="S311" s="42"/>
      <c r="T311" s="42"/>
      <c r="U311" s="42"/>
      <c r="V311" s="42"/>
      <c r="W311" s="42"/>
      <c r="X311" s="42"/>
      <c r="Y311" s="42"/>
    </row>
    <row r="312" spans="1:25" ht="12.95">
      <c r="A312" s="55"/>
      <c r="B312" s="41"/>
      <c r="C312" s="42"/>
      <c r="D312" s="43"/>
      <c r="E312" s="42"/>
      <c r="F312" s="42"/>
      <c r="G312" s="42"/>
      <c r="H312" s="42"/>
      <c r="I312" s="42"/>
      <c r="J312" s="42"/>
      <c r="K312" s="42"/>
      <c r="L312" s="42"/>
      <c r="M312" s="42"/>
      <c r="N312" s="42"/>
      <c r="O312" s="42"/>
      <c r="P312" s="42"/>
      <c r="Q312" s="42"/>
      <c r="R312" s="42"/>
      <c r="S312" s="42"/>
      <c r="T312" s="42"/>
      <c r="U312" s="42"/>
      <c r="V312" s="42"/>
      <c r="W312" s="42"/>
      <c r="X312" s="42"/>
      <c r="Y312" s="42"/>
    </row>
    <row r="313" spans="1:25" ht="12.95">
      <c r="A313" s="55"/>
      <c r="B313" s="41"/>
      <c r="C313" s="42"/>
      <c r="D313" s="43"/>
      <c r="E313" s="42"/>
      <c r="F313" s="42"/>
      <c r="G313" s="42"/>
      <c r="H313" s="42"/>
      <c r="I313" s="42"/>
      <c r="J313" s="42"/>
      <c r="K313" s="42"/>
      <c r="L313" s="42"/>
      <c r="M313" s="42"/>
      <c r="N313" s="42"/>
      <c r="O313" s="42"/>
      <c r="P313" s="42"/>
      <c r="Q313" s="42"/>
      <c r="R313" s="42"/>
      <c r="S313" s="42"/>
      <c r="T313" s="42"/>
      <c r="U313" s="42"/>
      <c r="V313" s="42"/>
      <c r="W313" s="42"/>
      <c r="X313" s="42"/>
      <c r="Y313" s="42"/>
    </row>
    <row r="314" spans="1:25" ht="12.95">
      <c r="A314" s="55"/>
      <c r="B314" s="41"/>
      <c r="C314" s="42"/>
      <c r="D314" s="43"/>
      <c r="E314" s="42"/>
      <c r="F314" s="42"/>
      <c r="G314" s="42"/>
      <c r="H314" s="42"/>
      <c r="I314" s="42"/>
      <c r="J314" s="42"/>
      <c r="K314" s="42"/>
      <c r="L314" s="42"/>
      <c r="M314" s="42"/>
      <c r="N314" s="42"/>
      <c r="O314" s="42"/>
      <c r="P314" s="42"/>
      <c r="Q314" s="42"/>
      <c r="R314" s="42"/>
      <c r="S314" s="42"/>
      <c r="T314" s="42"/>
      <c r="U314" s="42"/>
      <c r="V314" s="42"/>
      <c r="W314" s="42"/>
      <c r="X314" s="42"/>
      <c r="Y314" s="42"/>
    </row>
    <row r="315" spans="1:25" ht="12.95">
      <c r="A315" s="55"/>
      <c r="B315" s="41"/>
      <c r="C315" s="42"/>
      <c r="D315" s="43"/>
      <c r="E315" s="42"/>
      <c r="F315" s="42"/>
      <c r="G315" s="42"/>
      <c r="H315" s="42"/>
      <c r="I315" s="42"/>
      <c r="J315" s="42"/>
      <c r="K315" s="42"/>
      <c r="L315" s="42"/>
      <c r="M315" s="42"/>
      <c r="N315" s="42"/>
      <c r="O315" s="42"/>
      <c r="P315" s="42"/>
      <c r="Q315" s="42"/>
      <c r="R315" s="42"/>
      <c r="S315" s="42"/>
      <c r="T315" s="42"/>
      <c r="U315" s="42"/>
      <c r="V315" s="42"/>
      <c r="W315" s="42"/>
      <c r="X315" s="42"/>
      <c r="Y315" s="42"/>
    </row>
    <row r="316" spans="1:25" ht="12.95">
      <c r="A316" s="55"/>
      <c r="B316" s="41"/>
      <c r="C316" s="42"/>
      <c r="D316" s="43"/>
      <c r="E316" s="42"/>
      <c r="F316" s="42"/>
      <c r="G316" s="42"/>
      <c r="H316" s="42"/>
      <c r="I316" s="42"/>
      <c r="J316" s="42"/>
      <c r="K316" s="42"/>
      <c r="L316" s="42"/>
      <c r="M316" s="42"/>
      <c r="N316" s="42"/>
      <c r="O316" s="42"/>
      <c r="P316" s="42"/>
      <c r="Q316" s="42"/>
      <c r="R316" s="42"/>
      <c r="S316" s="42"/>
      <c r="T316" s="42"/>
      <c r="U316" s="42"/>
      <c r="V316" s="42"/>
      <c r="W316" s="42"/>
      <c r="X316" s="42"/>
      <c r="Y316" s="42"/>
    </row>
    <row r="317" spans="1:25" ht="12.95">
      <c r="A317" s="55"/>
      <c r="B317" s="41"/>
      <c r="C317" s="42"/>
      <c r="D317" s="43"/>
      <c r="E317" s="42"/>
      <c r="F317" s="42"/>
      <c r="G317" s="42"/>
      <c r="H317" s="42"/>
      <c r="I317" s="42"/>
      <c r="J317" s="42"/>
      <c r="K317" s="42"/>
      <c r="L317" s="42"/>
      <c r="M317" s="42"/>
      <c r="N317" s="42"/>
      <c r="O317" s="42"/>
      <c r="P317" s="42"/>
      <c r="Q317" s="42"/>
      <c r="R317" s="42"/>
      <c r="S317" s="42"/>
      <c r="T317" s="42"/>
      <c r="U317" s="42"/>
      <c r="V317" s="42"/>
      <c r="W317" s="42"/>
      <c r="X317" s="42"/>
      <c r="Y317" s="42"/>
    </row>
    <row r="318" spans="1:25" ht="12.95">
      <c r="A318" s="55"/>
      <c r="B318" s="41"/>
      <c r="C318" s="42"/>
      <c r="D318" s="43"/>
      <c r="E318" s="42"/>
      <c r="F318" s="42"/>
      <c r="G318" s="42"/>
      <c r="H318" s="42"/>
      <c r="I318" s="42"/>
      <c r="J318" s="42"/>
      <c r="K318" s="42"/>
      <c r="L318" s="42"/>
      <c r="M318" s="42"/>
      <c r="N318" s="42"/>
      <c r="O318" s="42"/>
      <c r="P318" s="42"/>
      <c r="Q318" s="42"/>
      <c r="R318" s="42"/>
      <c r="S318" s="42"/>
      <c r="T318" s="42"/>
      <c r="U318" s="42"/>
      <c r="V318" s="42"/>
      <c r="W318" s="42"/>
      <c r="X318" s="42"/>
      <c r="Y318" s="42"/>
    </row>
    <row r="319" spans="1:25" ht="12.95">
      <c r="A319" s="55"/>
      <c r="B319" s="41"/>
      <c r="C319" s="42"/>
      <c r="D319" s="43"/>
      <c r="E319" s="42"/>
      <c r="F319" s="42"/>
      <c r="G319" s="42"/>
      <c r="H319" s="42"/>
      <c r="I319" s="42"/>
      <c r="J319" s="42"/>
      <c r="K319" s="42"/>
      <c r="L319" s="42"/>
      <c r="M319" s="42"/>
      <c r="N319" s="42"/>
      <c r="O319" s="42"/>
      <c r="P319" s="42"/>
      <c r="Q319" s="42"/>
      <c r="R319" s="42"/>
      <c r="S319" s="42"/>
      <c r="T319" s="42"/>
      <c r="U319" s="42"/>
      <c r="V319" s="42"/>
      <c r="W319" s="42"/>
      <c r="X319" s="42"/>
      <c r="Y319" s="42"/>
    </row>
    <row r="320" spans="1:25" ht="12.95">
      <c r="A320" s="55"/>
      <c r="B320" s="41"/>
      <c r="C320" s="42"/>
      <c r="D320" s="43"/>
      <c r="E320" s="42"/>
      <c r="F320" s="42"/>
      <c r="G320" s="42"/>
      <c r="H320" s="42"/>
      <c r="I320" s="42"/>
      <c r="J320" s="42"/>
      <c r="K320" s="42"/>
      <c r="L320" s="42"/>
      <c r="M320" s="42"/>
      <c r="N320" s="42"/>
      <c r="O320" s="42"/>
      <c r="P320" s="42"/>
      <c r="Q320" s="42"/>
      <c r="R320" s="42"/>
      <c r="S320" s="42"/>
      <c r="T320" s="42"/>
      <c r="U320" s="42"/>
      <c r="V320" s="42"/>
      <c r="W320" s="42"/>
      <c r="X320" s="42"/>
      <c r="Y320" s="42"/>
    </row>
    <row r="321" spans="1:25" ht="12.95">
      <c r="A321" s="55"/>
      <c r="B321" s="41"/>
      <c r="C321" s="42"/>
      <c r="D321" s="43"/>
      <c r="E321" s="42"/>
      <c r="F321" s="42"/>
      <c r="G321" s="42"/>
      <c r="H321" s="42"/>
      <c r="I321" s="42"/>
      <c r="J321" s="42"/>
      <c r="K321" s="42"/>
      <c r="L321" s="42"/>
      <c r="M321" s="42"/>
      <c r="N321" s="42"/>
      <c r="O321" s="42"/>
      <c r="P321" s="42"/>
      <c r="Q321" s="42"/>
      <c r="R321" s="42"/>
      <c r="S321" s="42"/>
      <c r="T321" s="42"/>
      <c r="U321" s="42"/>
      <c r="V321" s="42"/>
      <c r="W321" s="42"/>
      <c r="X321" s="42"/>
      <c r="Y321" s="42"/>
    </row>
    <row r="322" spans="1:25" ht="12.95">
      <c r="A322" s="55"/>
      <c r="B322" s="41"/>
      <c r="C322" s="42"/>
      <c r="D322" s="43"/>
      <c r="E322" s="42"/>
      <c r="F322" s="42"/>
      <c r="G322" s="42"/>
      <c r="H322" s="42"/>
      <c r="I322" s="42"/>
      <c r="J322" s="42"/>
      <c r="K322" s="42"/>
      <c r="L322" s="42"/>
      <c r="M322" s="42"/>
      <c r="N322" s="42"/>
      <c r="O322" s="42"/>
      <c r="P322" s="42"/>
      <c r="Q322" s="42"/>
      <c r="R322" s="42"/>
      <c r="S322" s="42"/>
      <c r="T322" s="42"/>
      <c r="U322" s="42"/>
      <c r="V322" s="42"/>
      <c r="W322" s="42"/>
      <c r="X322" s="42"/>
      <c r="Y322" s="42"/>
    </row>
    <row r="323" spans="1:25" ht="12.95">
      <c r="A323" s="55"/>
      <c r="B323" s="41"/>
      <c r="C323" s="42"/>
      <c r="D323" s="43"/>
      <c r="E323" s="42"/>
      <c r="F323" s="42"/>
      <c r="G323" s="42"/>
      <c r="H323" s="42"/>
      <c r="I323" s="42"/>
      <c r="J323" s="42"/>
      <c r="K323" s="42"/>
      <c r="L323" s="42"/>
      <c r="M323" s="42"/>
      <c r="N323" s="42"/>
      <c r="O323" s="42"/>
      <c r="P323" s="42"/>
      <c r="Q323" s="42"/>
      <c r="R323" s="42"/>
      <c r="S323" s="42"/>
      <c r="T323" s="42"/>
      <c r="U323" s="42"/>
      <c r="V323" s="42"/>
      <c r="W323" s="42"/>
      <c r="X323" s="42"/>
      <c r="Y323" s="42"/>
    </row>
    <row r="324" spans="1:25" ht="12.95">
      <c r="A324" s="55"/>
      <c r="B324" s="41"/>
      <c r="C324" s="42"/>
      <c r="D324" s="43"/>
      <c r="E324" s="42"/>
      <c r="F324" s="42"/>
      <c r="G324" s="42"/>
      <c r="H324" s="42"/>
      <c r="I324" s="42"/>
      <c r="J324" s="42"/>
      <c r="K324" s="42"/>
      <c r="L324" s="42"/>
      <c r="M324" s="42"/>
      <c r="N324" s="42"/>
      <c r="O324" s="42"/>
      <c r="P324" s="42"/>
      <c r="Q324" s="42"/>
      <c r="R324" s="42"/>
      <c r="S324" s="42"/>
      <c r="T324" s="42"/>
      <c r="U324" s="42"/>
      <c r="V324" s="42"/>
      <c r="W324" s="42"/>
      <c r="X324" s="42"/>
      <c r="Y324" s="42"/>
    </row>
    <row r="325" spans="1:25" ht="12.95">
      <c r="A325" s="55"/>
      <c r="B325" s="41"/>
      <c r="C325" s="42"/>
      <c r="D325" s="43"/>
      <c r="E325" s="42"/>
      <c r="F325" s="42"/>
      <c r="G325" s="42"/>
      <c r="H325" s="42"/>
      <c r="I325" s="42"/>
      <c r="J325" s="42"/>
      <c r="K325" s="42"/>
      <c r="L325" s="42"/>
      <c r="M325" s="42"/>
      <c r="N325" s="42"/>
      <c r="O325" s="42"/>
      <c r="P325" s="42"/>
      <c r="Q325" s="42"/>
      <c r="R325" s="42"/>
      <c r="S325" s="42"/>
      <c r="T325" s="42"/>
      <c r="U325" s="42"/>
      <c r="V325" s="42"/>
      <c r="W325" s="42"/>
      <c r="X325" s="42"/>
      <c r="Y325" s="42"/>
    </row>
    <row r="326" spans="1:25" ht="12.95">
      <c r="A326" s="55"/>
      <c r="B326" s="41"/>
      <c r="C326" s="42"/>
      <c r="D326" s="43"/>
      <c r="E326" s="42"/>
      <c r="F326" s="42"/>
      <c r="G326" s="42"/>
      <c r="H326" s="42"/>
      <c r="I326" s="42"/>
      <c r="J326" s="42"/>
      <c r="K326" s="42"/>
      <c r="L326" s="42"/>
      <c r="M326" s="42"/>
      <c r="N326" s="42"/>
      <c r="O326" s="42"/>
      <c r="P326" s="42"/>
      <c r="Q326" s="42"/>
      <c r="R326" s="42"/>
      <c r="S326" s="42"/>
      <c r="T326" s="42"/>
      <c r="U326" s="42"/>
      <c r="V326" s="42"/>
      <c r="W326" s="42"/>
      <c r="X326" s="42"/>
      <c r="Y326" s="42"/>
    </row>
    <row r="327" spans="1:25" ht="12.95">
      <c r="A327" s="55"/>
      <c r="B327" s="41"/>
      <c r="C327" s="42"/>
      <c r="D327" s="43"/>
      <c r="E327" s="42"/>
      <c r="F327" s="42"/>
      <c r="G327" s="42"/>
      <c r="H327" s="42"/>
      <c r="I327" s="42"/>
      <c r="J327" s="42"/>
      <c r="K327" s="42"/>
      <c r="L327" s="42"/>
      <c r="M327" s="42"/>
      <c r="N327" s="42"/>
      <c r="O327" s="42"/>
      <c r="P327" s="42"/>
      <c r="Q327" s="42"/>
      <c r="R327" s="42"/>
      <c r="S327" s="42"/>
      <c r="T327" s="42"/>
      <c r="U327" s="42"/>
      <c r="V327" s="42"/>
      <c r="W327" s="42"/>
      <c r="X327" s="42"/>
      <c r="Y327" s="42"/>
    </row>
    <row r="328" spans="1:25" ht="12.95">
      <c r="A328" s="55"/>
      <c r="B328" s="41"/>
      <c r="C328" s="42"/>
      <c r="D328" s="43"/>
      <c r="E328" s="42"/>
      <c r="F328" s="42"/>
      <c r="G328" s="42"/>
      <c r="H328" s="42"/>
      <c r="I328" s="42"/>
      <c r="J328" s="42"/>
      <c r="K328" s="42"/>
      <c r="L328" s="42"/>
      <c r="M328" s="42"/>
      <c r="N328" s="42"/>
      <c r="O328" s="42"/>
      <c r="P328" s="42"/>
      <c r="Q328" s="42"/>
      <c r="R328" s="42"/>
      <c r="S328" s="42"/>
      <c r="T328" s="42"/>
      <c r="U328" s="42"/>
      <c r="V328" s="42"/>
      <c r="W328" s="42"/>
      <c r="X328" s="42"/>
      <c r="Y328" s="42"/>
    </row>
    <row r="329" spans="1:25" ht="12.95">
      <c r="A329" s="55"/>
      <c r="B329" s="41"/>
      <c r="C329" s="42"/>
      <c r="D329" s="43"/>
      <c r="E329" s="42"/>
      <c r="F329" s="42"/>
      <c r="G329" s="42"/>
      <c r="H329" s="42"/>
      <c r="I329" s="42"/>
      <c r="J329" s="42"/>
      <c r="K329" s="42"/>
      <c r="L329" s="42"/>
      <c r="M329" s="42"/>
      <c r="N329" s="42"/>
      <c r="O329" s="42"/>
      <c r="P329" s="42"/>
      <c r="Q329" s="42"/>
      <c r="R329" s="42"/>
      <c r="S329" s="42"/>
      <c r="T329" s="42"/>
      <c r="U329" s="42"/>
      <c r="V329" s="42"/>
      <c r="W329" s="42"/>
      <c r="X329" s="42"/>
      <c r="Y329" s="42"/>
    </row>
    <row r="330" spans="1:25" ht="12.95">
      <c r="A330" s="55"/>
      <c r="B330" s="41"/>
      <c r="C330" s="42"/>
      <c r="D330" s="43"/>
      <c r="E330" s="42"/>
      <c r="F330" s="42"/>
      <c r="G330" s="42"/>
      <c r="H330" s="42"/>
      <c r="I330" s="42"/>
      <c r="J330" s="42"/>
      <c r="K330" s="42"/>
      <c r="L330" s="42"/>
      <c r="M330" s="42"/>
      <c r="N330" s="42"/>
      <c r="O330" s="42"/>
      <c r="P330" s="42"/>
      <c r="Q330" s="42"/>
      <c r="R330" s="42"/>
      <c r="S330" s="42"/>
      <c r="T330" s="42"/>
      <c r="U330" s="42"/>
      <c r="V330" s="42"/>
      <c r="W330" s="42"/>
      <c r="X330" s="42"/>
      <c r="Y330" s="42"/>
    </row>
    <row r="331" spans="1:25" ht="12.95">
      <c r="A331" s="55"/>
      <c r="B331" s="41"/>
      <c r="C331" s="42"/>
      <c r="D331" s="43"/>
      <c r="E331" s="42"/>
      <c r="F331" s="42"/>
      <c r="G331" s="42"/>
      <c r="H331" s="42"/>
      <c r="I331" s="42"/>
      <c r="J331" s="42"/>
      <c r="K331" s="42"/>
      <c r="L331" s="42"/>
      <c r="M331" s="42"/>
      <c r="N331" s="42"/>
      <c r="O331" s="42"/>
      <c r="P331" s="42"/>
      <c r="Q331" s="42"/>
      <c r="R331" s="42"/>
      <c r="S331" s="42"/>
      <c r="T331" s="42"/>
      <c r="U331" s="42"/>
      <c r="V331" s="42"/>
      <c r="W331" s="42"/>
      <c r="X331" s="42"/>
      <c r="Y331" s="42"/>
    </row>
    <row r="332" spans="1:25" ht="12.95">
      <c r="A332" s="55"/>
      <c r="B332" s="41"/>
      <c r="C332" s="42"/>
      <c r="D332" s="43"/>
      <c r="E332" s="42"/>
      <c r="F332" s="42"/>
      <c r="G332" s="42"/>
      <c r="H332" s="42"/>
      <c r="I332" s="42"/>
      <c r="J332" s="42"/>
      <c r="K332" s="42"/>
      <c r="L332" s="42"/>
      <c r="M332" s="42"/>
      <c r="N332" s="42"/>
      <c r="O332" s="42"/>
      <c r="P332" s="42"/>
      <c r="Q332" s="42"/>
      <c r="R332" s="42"/>
      <c r="S332" s="42"/>
      <c r="T332" s="42"/>
      <c r="U332" s="42"/>
      <c r="V332" s="42"/>
      <c r="W332" s="42"/>
      <c r="X332" s="42"/>
      <c r="Y332" s="42"/>
    </row>
    <row r="333" spans="1:25" ht="12.95">
      <c r="A333" s="55"/>
      <c r="B333" s="41"/>
      <c r="C333" s="42"/>
      <c r="D333" s="43"/>
      <c r="E333" s="42"/>
      <c r="F333" s="42"/>
      <c r="G333" s="42"/>
      <c r="H333" s="42"/>
      <c r="I333" s="42"/>
      <c r="J333" s="42"/>
      <c r="K333" s="42"/>
      <c r="L333" s="42"/>
      <c r="M333" s="42"/>
      <c r="N333" s="42"/>
      <c r="O333" s="42"/>
      <c r="P333" s="42"/>
      <c r="Q333" s="42"/>
      <c r="R333" s="42"/>
      <c r="S333" s="42"/>
      <c r="T333" s="42"/>
      <c r="U333" s="42"/>
      <c r="V333" s="42"/>
      <c r="W333" s="42"/>
      <c r="X333" s="42"/>
      <c r="Y333" s="42"/>
    </row>
    <row r="334" spans="1:25" ht="12.95">
      <c r="A334" s="55"/>
      <c r="B334" s="41"/>
      <c r="C334" s="42"/>
      <c r="D334" s="43"/>
      <c r="E334" s="42"/>
      <c r="F334" s="42"/>
      <c r="G334" s="42"/>
      <c r="H334" s="42"/>
      <c r="I334" s="42"/>
      <c r="J334" s="42"/>
      <c r="K334" s="42"/>
      <c r="L334" s="42"/>
      <c r="M334" s="42"/>
      <c r="N334" s="42"/>
      <c r="O334" s="42"/>
      <c r="P334" s="42"/>
      <c r="Q334" s="42"/>
      <c r="R334" s="42"/>
      <c r="S334" s="42"/>
      <c r="T334" s="42"/>
      <c r="U334" s="42"/>
      <c r="V334" s="42"/>
      <c r="W334" s="42"/>
      <c r="X334" s="42"/>
      <c r="Y334" s="42"/>
    </row>
    <row r="335" spans="1:25" ht="12.95">
      <c r="A335" s="55"/>
      <c r="B335" s="41"/>
      <c r="C335" s="42"/>
      <c r="D335" s="43"/>
      <c r="E335" s="42"/>
      <c r="F335" s="42"/>
      <c r="G335" s="42"/>
      <c r="H335" s="42"/>
      <c r="I335" s="42"/>
      <c r="J335" s="42"/>
      <c r="K335" s="42"/>
      <c r="L335" s="42"/>
      <c r="M335" s="42"/>
      <c r="N335" s="42"/>
      <c r="O335" s="42"/>
      <c r="P335" s="42"/>
      <c r="Q335" s="42"/>
      <c r="R335" s="42"/>
      <c r="S335" s="42"/>
      <c r="T335" s="42"/>
      <c r="U335" s="42"/>
      <c r="V335" s="42"/>
      <c r="W335" s="42"/>
      <c r="X335" s="42"/>
      <c r="Y335" s="42"/>
    </row>
    <row r="336" spans="1:25" ht="12.95">
      <c r="A336" s="55"/>
      <c r="B336" s="41"/>
      <c r="C336" s="42"/>
      <c r="D336" s="43"/>
      <c r="E336" s="42"/>
      <c r="F336" s="42"/>
      <c r="G336" s="42"/>
      <c r="H336" s="42"/>
      <c r="I336" s="42"/>
      <c r="J336" s="42"/>
      <c r="K336" s="42"/>
      <c r="L336" s="42"/>
      <c r="M336" s="42"/>
      <c r="N336" s="42"/>
      <c r="O336" s="42"/>
      <c r="P336" s="42"/>
      <c r="Q336" s="42"/>
      <c r="R336" s="42"/>
      <c r="S336" s="42"/>
      <c r="T336" s="42"/>
      <c r="U336" s="42"/>
      <c r="V336" s="42"/>
      <c r="W336" s="42"/>
      <c r="X336" s="42"/>
      <c r="Y336" s="42"/>
    </row>
    <row r="337" spans="1:25" ht="12.95">
      <c r="A337" s="55"/>
      <c r="B337" s="41"/>
      <c r="C337" s="42"/>
      <c r="D337" s="43"/>
      <c r="E337" s="42"/>
      <c r="F337" s="42"/>
      <c r="G337" s="42"/>
      <c r="H337" s="42"/>
      <c r="I337" s="42"/>
      <c r="J337" s="42"/>
      <c r="K337" s="42"/>
      <c r="L337" s="42"/>
      <c r="M337" s="42"/>
      <c r="N337" s="42"/>
      <c r="O337" s="42"/>
      <c r="P337" s="42"/>
      <c r="Q337" s="42"/>
      <c r="R337" s="42"/>
      <c r="S337" s="42"/>
      <c r="T337" s="42"/>
      <c r="U337" s="42"/>
      <c r="V337" s="42"/>
      <c r="W337" s="42"/>
      <c r="X337" s="42"/>
      <c r="Y337" s="42"/>
    </row>
    <row r="338" spans="1:25" ht="12.95">
      <c r="A338" s="55"/>
      <c r="B338" s="41"/>
      <c r="C338" s="42"/>
      <c r="D338" s="43"/>
      <c r="E338" s="42"/>
      <c r="F338" s="42"/>
      <c r="G338" s="42"/>
      <c r="H338" s="42"/>
      <c r="I338" s="42"/>
      <c r="J338" s="42"/>
      <c r="K338" s="42"/>
      <c r="L338" s="42"/>
      <c r="M338" s="42"/>
      <c r="N338" s="42"/>
      <c r="O338" s="42"/>
      <c r="P338" s="42"/>
      <c r="Q338" s="42"/>
      <c r="R338" s="42"/>
      <c r="S338" s="42"/>
      <c r="T338" s="42"/>
      <c r="U338" s="42"/>
      <c r="V338" s="42"/>
      <c r="W338" s="42"/>
      <c r="X338" s="42"/>
      <c r="Y338" s="42"/>
    </row>
    <row r="339" spans="1:25" ht="12.95">
      <c r="A339" s="55"/>
      <c r="B339" s="41"/>
      <c r="C339" s="42"/>
      <c r="D339" s="43"/>
      <c r="E339" s="42"/>
      <c r="F339" s="42"/>
      <c r="G339" s="42"/>
      <c r="H339" s="42"/>
      <c r="I339" s="42"/>
      <c r="J339" s="42"/>
      <c r="K339" s="42"/>
      <c r="L339" s="42"/>
      <c r="M339" s="42"/>
      <c r="N339" s="42"/>
      <c r="O339" s="42"/>
      <c r="P339" s="42"/>
      <c r="Q339" s="42"/>
      <c r="R339" s="42"/>
      <c r="S339" s="42"/>
      <c r="T339" s="42"/>
      <c r="U339" s="42"/>
      <c r="V339" s="42"/>
      <c r="W339" s="42"/>
      <c r="X339" s="42"/>
      <c r="Y339" s="42"/>
    </row>
    <row r="340" spans="1:25" ht="12.95">
      <c r="A340" s="55"/>
      <c r="B340" s="41"/>
      <c r="C340" s="42"/>
      <c r="D340" s="43"/>
      <c r="E340" s="42"/>
      <c r="F340" s="42"/>
      <c r="G340" s="42"/>
      <c r="H340" s="42"/>
      <c r="I340" s="42"/>
      <c r="J340" s="42"/>
      <c r="K340" s="42"/>
      <c r="L340" s="42"/>
      <c r="M340" s="42"/>
      <c r="N340" s="42"/>
      <c r="O340" s="42"/>
      <c r="P340" s="42"/>
      <c r="Q340" s="42"/>
      <c r="R340" s="42"/>
      <c r="S340" s="42"/>
      <c r="T340" s="42"/>
      <c r="U340" s="42"/>
      <c r="V340" s="42"/>
      <c r="W340" s="42"/>
      <c r="X340" s="42"/>
      <c r="Y340" s="42"/>
    </row>
    <row r="341" spans="1:25" ht="12.95">
      <c r="A341" s="55"/>
      <c r="B341" s="41"/>
      <c r="C341" s="42"/>
      <c r="D341" s="43"/>
      <c r="E341" s="42"/>
      <c r="F341" s="42"/>
      <c r="G341" s="42"/>
      <c r="H341" s="42"/>
      <c r="I341" s="42"/>
      <c r="J341" s="42"/>
      <c r="K341" s="42"/>
      <c r="L341" s="42"/>
      <c r="M341" s="42"/>
      <c r="N341" s="42"/>
      <c r="O341" s="42"/>
      <c r="P341" s="42"/>
      <c r="Q341" s="42"/>
      <c r="R341" s="42"/>
      <c r="S341" s="42"/>
      <c r="T341" s="42"/>
      <c r="U341" s="42"/>
      <c r="V341" s="42"/>
      <c r="W341" s="42"/>
      <c r="X341" s="42"/>
      <c r="Y341" s="42"/>
    </row>
    <row r="342" spans="1:25" ht="12.95">
      <c r="A342" s="55"/>
      <c r="B342" s="41"/>
      <c r="C342" s="42"/>
      <c r="D342" s="43"/>
      <c r="E342" s="42"/>
      <c r="F342" s="42"/>
      <c r="G342" s="42"/>
      <c r="H342" s="42"/>
      <c r="I342" s="42"/>
      <c r="J342" s="42"/>
      <c r="K342" s="42"/>
      <c r="L342" s="42"/>
      <c r="M342" s="42"/>
      <c r="N342" s="42"/>
      <c r="O342" s="42"/>
      <c r="P342" s="42"/>
      <c r="Q342" s="42"/>
      <c r="R342" s="42"/>
      <c r="S342" s="42"/>
      <c r="T342" s="42"/>
      <c r="U342" s="42"/>
      <c r="V342" s="42"/>
      <c r="W342" s="42"/>
      <c r="X342" s="42"/>
      <c r="Y342" s="42"/>
    </row>
    <row r="343" spans="1:25" ht="12.95">
      <c r="A343" s="55"/>
      <c r="B343" s="41"/>
      <c r="C343" s="42"/>
      <c r="D343" s="43"/>
      <c r="E343" s="42"/>
      <c r="F343" s="42"/>
      <c r="G343" s="42"/>
      <c r="H343" s="42"/>
      <c r="I343" s="42"/>
      <c r="J343" s="42"/>
      <c r="K343" s="42"/>
      <c r="L343" s="42"/>
      <c r="M343" s="42"/>
      <c r="N343" s="42"/>
      <c r="O343" s="42"/>
      <c r="P343" s="42"/>
      <c r="Q343" s="42"/>
      <c r="R343" s="42"/>
      <c r="S343" s="42"/>
      <c r="T343" s="42"/>
      <c r="U343" s="42"/>
      <c r="V343" s="42"/>
      <c r="W343" s="42"/>
      <c r="X343" s="42"/>
      <c r="Y343" s="42"/>
    </row>
    <row r="344" spans="1:25" ht="12.95">
      <c r="A344" s="55"/>
      <c r="B344" s="41"/>
      <c r="C344" s="42"/>
      <c r="D344" s="43"/>
      <c r="E344" s="42"/>
      <c r="F344" s="42"/>
      <c r="G344" s="42"/>
      <c r="H344" s="42"/>
      <c r="I344" s="42"/>
      <c r="J344" s="42"/>
      <c r="K344" s="42"/>
      <c r="L344" s="42"/>
      <c r="M344" s="42"/>
      <c r="N344" s="42"/>
      <c r="O344" s="42"/>
      <c r="P344" s="42"/>
      <c r="Q344" s="42"/>
      <c r="R344" s="42"/>
      <c r="S344" s="42"/>
      <c r="T344" s="42"/>
      <c r="U344" s="42"/>
      <c r="V344" s="42"/>
      <c r="W344" s="42"/>
      <c r="X344" s="42"/>
      <c r="Y344" s="42"/>
    </row>
    <row r="345" spans="1:25" ht="12.95">
      <c r="A345" s="55"/>
      <c r="B345" s="41"/>
      <c r="C345" s="42"/>
      <c r="D345" s="43"/>
      <c r="E345" s="42"/>
      <c r="F345" s="42"/>
      <c r="G345" s="42"/>
      <c r="H345" s="42"/>
      <c r="I345" s="42"/>
      <c r="J345" s="42"/>
      <c r="K345" s="42"/>
      <c r="L345" s="42"/>
      <c r="M345" s="42"/>
      <c r="N345" s="42"/>
      <c r="O345" s="42"/>
      <c r="P345" s="42"/>
      <c r="Q345" s="42"/>
      <c r="R345" s="42"/>
      <c r="S345" s="42"/>
      <c r="T345" s="42"/>
      <c r="U345" s="42"/>
      <c r="V345" s="42"/>
      <c r="W345" s="42"/>
      <c r="X345" s="42"/>
      <c r="Y345" s="42"/>
    </row>
    <row r="346" spans="1:25" ht="12.95">
      <c r="A346" s="55"/>
      <c r="B346" s="41"/>
      <c r="C346" s="42"/>
      <c r="D346" s="43"/>
      <c r="E346" s="42"/>
      <c r="F346" s="42"/>
      <c r="G346" s="42"/>
      <c r="H346" s="42"/>
      <c r="I346" s="42"/>
      <c r="J346" s="42"/>
      <c r="K346" s="42"/>
      <c r="L346" s="42"/>
      <c r="M346" s="42"/>
      <c r="N346" s="42"/>
      <c r="O346" s="42"/>
      <c r="P346" s="42"/>
      <c r="Q346" s="42"/>
      <c r="R346" s="42"/>
      <c r="S346" s="42"/>
      <c r="T346" s="42"/>
      <c r="U346" s="42"/>
      <c r="V346" s="42"/>
      <c r="W346" s="42"/>
      <c r="X346" s="42"/>
      <c r="Y346" s="42"/>
    </row>
    <row r="347" spans="1:25" ht="12.95">
      <c r="A347" s="55"/>
      <c r="B347" s="41"/>
      <c r="C347" s="42"/>
      <c r="D347" s="43"/>
      <c r="E347" s="42"/>
      <c r="F347" s="42"/>
      <c r="G347" s="42"/>
      <c r="H347" s="42"/>
      <c r="I347" s="42"/>
      <c r="J347" s="42"/>
      <c r="K347" s="42"/>
      <c r="L347" s="42"/>
      <c r="M347" s="42"/>
      <c r="N347" s="42"/>
      <c r="O347" s="42"/>
      <c r="P347" s="42"/>
      <c r="Q347" s="42"/>
      <c r="R347" s="42"/>
      <c r="S347" s="42"/>
      <c r="T347" s="42"/>
      <c r="U347" s="42"/>
      <c r="V347" s="42"/>
      <c r="W347" s="42"/>
      <c r="X347" s="42"/>
      <c r="Y347" s="42"/>
    </row>
    <row r="348" spans="1:25" ht="12.95">
      <c r="A348" s="55"/>
      <c r="B348" s="41"/>
      <c r="C348" s="42"/>
      <c r="D348" s="43"/>
      <c r="E348" s="42"/>
      <c r="F348" s="42"/>
      <c r="G348" s="42"/>
      <c r="H348" s="42"/>
      <c r="I348" s="42"/>
      <c r="J348" s="42"/>
      <c r="K348" s="42"/>
      <c r="L348" s="42"/>
      <c r="M348" s="42"/>
      <c r="N348" s="42"/>
      <c r="O348" s="42"/>
      <c r="P348" s="42"/>
      <c r="Q348" s="42"/>
      <c r="R348" s="42"/>
      <c r="S348" s="42"/>
      <c r="T348" s="42"/>
      <c r="U348" s="42"/>
      <c r="V348" s="42"/>
      <c r="W348" s="42"/>
      <c r="X348" s="42"/>
      <c r="Y348" s="42"/>
    </row>
    <row r="349" spans="1:25" ht="12.95">
      <c r="A349" s="55"/>
      <c r="B349" s="41"/>
      <c r="C349" s="42"/>
      <c r="D349" s="43"/>
      <c r="E349" s="42"/>
      <c r="F349" s="42"/>
      <c r="G349" s="42"/>
      <c r="H349" s="42"/>
      <c r="I349" s="42"/>
      <c r="J349" s="42"/>
      <c r="K349" s="42"/>
      <c r="L349" s="42"/>
      <c r="M349" s="42"/>
      <c r="N349" s="42"/>
      <c r="O349" s="42"/>
      <c r="P349" s="42"/>
      <c r="Q349" s="42"/>
      <c r="R349" s="42"/>
      <c r="S349" s="42"/>
      <c r="T349" s="42"/>
      <c r="U349" s="42"/>
      <c r="V349" s="42"/>
      <c r="W349" s="42"/>
      <c r="X349" s="42"/>
      <c r="Y349" s="42"/>
    </row>
    <row r="350" spans="1:25" ht="12.95">
      <c r="A350" s="55"/>
      <c r="B350" s="41"/>
      <c r="C350" s="42"/>
      <c r="D350" s="43"/>
      <c r="E350" s="42"/>
      <c r="F350" s="42"/>
      <c r="G350" s="42"/>
      <c r="H350" s="42"/>
      <c r="I350" s="42"/>
      <c r="J350" s="42"/>
      <c r="K350" s="42"/>
      <c r="L350" s="42"/>
      <c r="M350" s="42"/>
      <c r="N350" s="42"/>
      <c r="O350" s="42"/>
      <c r="P350" s="42"/>
      <c r="Q350" s="42"/>
      <c r="R350" s="42"/>
      <c r="S350" s="42"/>
      <c r="T350" s="42"/>
      <c r="U350" s="42"/>
      <c r="V350" s="42"/>
      <c r="W350" s="42"/>
      <c r="X350" s="42"/>
      <c r="Y350" s="42"/>
    </row>
    <row r="351" spans="1:25" ht="12.95">
      <c r="A351" s="55"/>
      <c r="B351" s="41"/>
      <c r="C351" s="42"/>
      <c r="D351" s="43"/>
      <c r="E351" s="42"/>
      <c r="F351" s="42"/>
      <c r="G351" s="42"/>
      <c r="H351" s="42"/>
      <c r="I351" s="42"/>
      <c r="J351" s="42"/>
      <c r="K351" s="42"/>
      <c r="L351" s="42"/>
      <c r="M351" s="42"/>
      <c r="N351" s="42"/>
      <c r="O351" s="42"/>
      <c r="P351" s="42"/>
      <c r="Q351" s="42"/>
      <c r="R351" s="42"/>
      <c r="S351" s="42"/>
      <c r="T351" s="42"/>
      <c r="U351" s="42"/>
      <c r="V351" s="42"/>
      <c r="W351" s="42"/>
      <c r="X351" s="42"/>
      <c r="Y351" s="42"/>
    </row>
    <row r="352" spans="1:25" ht="12.95">
      <c r="A352" s="55"/>
      <c r="B352" s="41"/>
      <c r="C352" s="42"/>
      <c r="D352" s="43"/>
      <c r="E352" s="42"/>
      <c r="F352" s="42"/>
      <c r="G352" s="42"/>
      <c r="H352" s="42"/>
      <c r="I352" s="42"/>
      <c r="J352" s="42"/>
      <c r="K352" s="42"/>
      <c r="L352" s="42"/>
      <c r="M352" s="42"/>
      <c r="N352" s="42"/>
      <c r="O352" s="42"/>
      <c r="P352" s="42"/>
      <c r="Q352" s="42"/>
      <c r="R352" s="42"/>
      <c r="S352" s="42"/>
      <c r="T352" s="42"/>
      <c r="U352" s="42"/>
      <c r="V352" s="42"/>
      <c r="W352" s="42"/>
      <c r="X352" s="42"/>
      <c r="Y352" s="42"/>
    </row>
    <row r="353" spans="1:25" ht="12.95">
      <c r="A353" s="55"/>
      <c r="B353" s="41"/>
      <c r="C353" s="42"/>
      <c r="D353" s="43"/>
      <c r="E353" s="42"/>
      <c r="F353" s="42"/>
      <c r="G353" s="42"/>
      <c r="H353" s="42"/>
      <c r="I353" s="42"/>
      <c r="J353" s="42"/>
      <c r="K353" s="42"/>
      <c r="L353" s="42"/>
      <c r="M353" s="42"/>
      <c r="N353" s="42"/>
      <c r="O353" s="42"/>
      <c r="P353" s="42"/>
      <c r="Q353" s="42"/>
      <c r="R353" s="42"/>
      <c r="S353" s="42"/>
      <c r="T353" s="42"/>
      <c r="U353" s="42"/>
      <c r="V353" s="42"/>
      <c r="W353" s="42"/>
      <c r="X353" s="42"/>
      <c r="Y353" s="42"/>
    </row>
    <row r="354" spans="1:25" ht="12.95">
      <c r="A354" s="55"/>
      <c r="B354" s="41"/>
      <c r="C354" s="42"/>
      <c r="D354" s="43"/>
      <c r="E354" s="42"/>
      <c r="F354" s="42"/>
      <c r="G354" s="42"/>
      <c r="H354" s="42"/>
      <c r="I354" s="42"/>
      <c r="J354" s="42"/>
      <c r="K354" s="42"/>
      <c r="L354" s="42"/>
      <c r="M354" s="42"/>
      <c r="N354" s="42"/>
      <c r="O354" s="42"/>
      <c r="P354" s="42"/>
      <c r="Q354" s="42"/>
      <c r="R354" s="42"/>
      <c r="S354" s="42"/>
      <c r="T354" s="42"/>
      <c r="U354" s="42"/>
      <c r="V354" s="42"/>
      <c r="W354" s="42"/>
      <c r="X354" s="42"/>
      <c r="Y354" s="42"/>
    </row>
    <row r="355" spans="1:25" ht="12.95">
      <c r="A355" s="55"/>
      <c r="B355" s="41"/>
      <c r="C355" s="42"/>
      <c r="D355" s="43"/>
      <c r="E355" s="42"/>
      <c r="F355" s="42"/>
      <c r="G355" s="42"/>
      <c r="H355" s="42"/>
      <c r="I355" s="42"/>
      <c r="J355" s="42"/>
      <c r="K355" s="42"/>
      <c r="L355" s="42"/>
      <c r="M355" s="42"/>
      <c r="N355" s="42"/>
      <c r="O355" s="42"/>
      <c r="P355" s="42"/>
      <c r="Q355" s="42"/>
      <c r="R355" s="42"/>
      <c r="S355" s="42"/>
      <c r="T355" s="42"/>
      <c r="U355" s="42"/>
      <c r="V355" s="42"/>
      <c r="W355" s="42"/>
      <c r="X355" s="42"/>
      <c r="Y355" s="42"/>
    </row>
    <row r="356" spans="1:25" ht="12.95">
      <c r="A356" s="55"/>
      <c r="B356" s="41"/>
      <c r="C356" s="42"/>
      <c r="D356" s="43"/>
      <c r="E356" s="42"/>
      <c r="F356" s="42"/>
      <c r="G356" s="42"/>
      <c r="H356" s="42"/>
      <c r="I356" s="42"/>
      <c r="J356" s="42"/>
      <c r="K356" s="42"/>
      <c r="L356" s="42"/>
      <c r="M356" s="42"/>
      <c r="N356" s="42"/>
      <c r="O356" s="42"/>
      <c r="P356" s="42"/>
      <c r="Q356" s="42"/>
      <c r="R356" s="42"/>
      <c r="S356" s="42"/>
      <c r="T356" s="42"/>
      <c r="U356" s="42"/>
      <c r="V356" s="42"/>
      <c r="W356" s="42"/>
      <c r="X356" s="42"/>
      <c r="Y356" s="42"/>
    </row>
    <row r="357" spans="1:25" ht="12.95">
      <c r="A357" s="55"/>
      <c r="B357" s="41"/>
      <c r="C357" s="42"/>
      <c r="D357" s="43"/>
      <c r="E357" s="42"/>
      <c r="F357" s="42"/>
      <c r="G357" s="42"/>
      <c r="H357" s="42"/>
      <c r="I357" s="42"/>
      <c r="J357" s="42"/>
      <c r="K357" s="42"/>
      <c r="L357" s="42"/>
      <c r="M357" s="42"/>
      <c r="N357" s="42"/>
      <c r="O357" s="42"/>
      <c r="P357" s="42"/>
      <c r="Q357" s="42"/>
      <c r="R357" s="42"/>
      <c r="S357" s="42"/>
      <c r="T357" s="42"/>
      <c r="U357" s="42"/>
      <c r="V357" s="42"/>
      <c r="W357" s="42"/>
      <c r="X357" s="42"/>
      <c r="Y357" s="42"/>
    </row>
    <row r="358" spans="1:25" ht="12.95">
      <c r="A358" s="55"/>
      <c r="B358" s="41"/>
      <c r="C358" s="42"/>
      <c r="D358" s="43"/>
      <c r="E358" s="42"/>
      <c r="F358" s="42"/>
      <c r="G358" s="42"/>
      <c r="H358" s="42"/>
      <c r="I358" s="42"/>
      <c r="J358" s="42"/>
      <c r="K358" s="42"/>
      <c r="L358" s="42"/>
      <c r="M358" s="42"/>
      <c r="N358" s="42"/>
      <c r="O358" s="42"/>
      <c r="P358" s="42"/>
      <c r="Q358" s="42"/>
      <c r="R358" s="42"/>
      <c r="S358" s="42"/>
      <c r="T358" s="42"/>
      <c r="U358" s="42"/>
      <c r="V358" s="42"/>
      <c r="W358" s="42"/>
      <c r="X358" s="42"/>
      <c r="Y358" s="42"/>
    </row>
    <row r="359" spans="1:25" ht="12.95">
      <c r="A359" s="55"/>
      <c r="B359" s="41"/>
      <c r="C359" s="42"/>
      <c r="D359" s="43"/>
      <c r="E359" s="42"/>
      <c r="F359" s="42"/>
      <c r="G359" s="42"/>
      <c r="H359" s="42"/>
      <c r="I359" s="42"/>
      <c r="J359" s="42"/>
      <c r="K359" s="42"/>
      <c r="L359" s="42"/>
      <c r="M359" s="42"/>
      <c r="N359" s="42"/>
      <c r="O359" s="42"/>
      <c r="P359" s="42"/>
      <c r="Q359" s="42"/>
      <c r="R359" s="42"/>
      <c r="S359" s="42"/>
      <c r="T359" s="42"/>
      <c r="U359" s="42"/>
      <c r="V359" s="42"/>
      <c r="W359" s="42"/>
      <c r="X359" s="42"/>
      <c r="Y359" s="42"/>
    </row>
    <row r="360" spans="1:25" ht="12.95">
      <c r="A360" s="55"/>
      <c r="B360" s="41"/>
      <c r="C360" s="42"/>
      <c r="D360" s="43"/>
      <c r="E360" s="42"/>
      <c r="F360" s="42"/>
      <c r="G360" s="42"/>
      <c r="H360" s="42"/>
      <c r="I360" s="42"/>
      <c r="J360" s="42"/>
      <c r="K360" s="42"/>
      <c r="L360" s="42"/>
      <c r="M360" s="42"/>
      <c r="N360" s="42"/>
      <c r="O360" s="42"/>
      <c r="P360" s="42"/>
      <c r="Q360" s="42"/>
      <c r="R360" s="42"/>
      <c r="S360" s="42"/>
      <c r="T360" s="42"/>
      <c r="U360" s="42"/>
      <c r="V360" s="42"/>
      <c r="W360" s="42"/>
      <c r="X360" s="42"/>
      <c r="Y360" s="42"/>
    </row>
    <row r="361" spans="1:25" ht="12.95">
      <c r="A361" s="55"/>
      <c r="B361" s="41"/>
      <c r="C361" s="42"/>
      <c r="D361" s="43"/>
      <c r="E361" s="42"/>
      <c r="F361" s="42"/>
      <c r="G361" s="42"/>
      <c r="H361" s="42"/>
      <c r="I361" s="42"/>
      <c r="J361" s="42"/>
      <c r="K361" s="42"/>
      <c r="L361" s="42"/>
      <c r="M361" s="42"/>
      <c r="N361" s="42"/>
      <c r="O361" s="42"/>
      <c r="P361" s="42"/>
      <c r="Q361" s="42"/>
      <c r="R361" s="42"/>
      <c r="S361" s="42"/>
      <c r="T361" s="42"/>
      <c r="U361" s="42"/>
      <c r="V361" s="42"/>
      <c r="W361" s="42"/>
      <c r="X361" s="42"/>
      <c r="Y361" s="42"/>
    </row>
    <row r="362" spans="1:25" ht="12.95">
      <c r="A362" s="55"/>
      <c r="B362" s="41"/>
      <c r="C362" s="42"/>
      <c r="D362" s="43"/>
      <c r="E362" s="42"/>
      <c r="F362" s="42"/>
      <c r="G362" s="42"/>
      <c r="H362" s="42"/>
      <c r="I362" s="42"/>
      <c r="J362" s="42"/>
      <c r="K362" s="42"/>
      <c r="L362" s="42"/>
      <c r="M362" s="42"/>
      <c r="N362" s="42"/>
      <c r="O362" s="42"/>
      <c r="P362" s="42"/>
      <c r="Q362" s="42"/>
      <c r="R362" s="42"/>
      <c r="S362" s="42"/>
      <c r="T362" s="42"/>
      <c r="U362" s="42"/>
      <c r="V362" s="42"/>
      <c r="W362" s="42"/>
      <c r="X362" s="42"/>
      <c r="Y362" s="42"/>
    </row>
    <row r="363" spans="1:25" ht="12.95">
      <c r="A363" s="55"/>
      <c r="B363" s="41"/>
      <c r="C363" s="42"/>
      <c r="D363" s="43"/>
      <c r="E363" s="42"/>
      <c r="F363" s="42"/>
      <c r="G363" s="42"/>
      <c r="H363" s="42"/>
      <c r="I363" s="42"/>
      <c r="J363" s="42"/>
      <c r="K363" s="42"/>
      <c r="L363" s="42"/>
      <c r="M363" s="42"/>
      <c r="N363" s="42"/>
      <c r="O363" s="42"/>
      <c r="P363" s="42"/>
      <c r="Q363" s="42"/>
      <c r="R363" s="42"/>
      <c r="S363" s="42"/>
      <c r="T363" s="42"/>
      <c r="U363" s="42"/>
      <c r="V363" s="42"/>
      <c r="W363" s="42"/>
      <c r="X363" s="42"/>
      <c r="Y363" s="42"/>
    </row>
    <row r="364" spans="1:25" ht="12.95">
      <c r="A364" s="55"/>
      <c r="B364" s="41"/>
      <c r="C364" s="42"/>
      <c r="D364" s="43"/>
      <c r="E364" s="42"/>
      <c r="F364" s="42"/>
      <c r="G364" s="42"/>
      <c r="H364" s="42"/>
      <c r="I364" s="42"/>
      <c r="J364" s="42"/>
      <c r="K364" s="42"/>
      <c r="L364" s="42"/>
      <c r="M364" s="42"/>
      <c r="N364" s="42"/>
      <c r="O364" s="42"/>
      <c r="P364" s="42"/>
      <c r="Q364" s="42"/>
      <c r="R364" s="42"/>
      <c r="S364" s="42"/>
      <c r="T364" s="42"/>
      <c r="U364" s="42"/>
      <c r="V364" s="42"/>
      <c r="W364" s="42"/>
      <c r="X364" s="42"/>
      <c r="Y364" s="42"/>
    </row>
    <row r="365" spans="1:25" ht="12.95">
      <c r="A365" s="55"/>
      <c r="B365" s="41"/>
      <c r="C365" s="42"/>
      <c r="D365" s="43"/>
      <c r="E365" s="42"/>
      <c r="F365" s="42"/>
      <c r="G365" s="42"/>
      <c r="H365" s="42"/>
      <c r="I365" s="42"/>
      <c r="J365" s="42"/>
      <c r="K365" s="42"/>
      <c r="L365" s="42"/>
      <c r="M365" s="42"/>
      <c r="N365" s="42"/>
      <c r="O365" s="42"/>
      <c r="P365" s="42"/>
      <c r="Q365" s="42"/>
      <c r="R365" s="42"/>
      <c r="S365" s="42"/>
      <c r="T365" s="42"/>
      <c r="U365" s="42"/>
      <c r="V365" s="42"/>
      <c r="W365" s="42"/>
      <c r="X365" s="42"/>
      <c r="Y365" s="42"/>
    </row>
    <row r="366" spans="1:25" ht="12.95">
      <c r="A366" s="55"/>
      <c r="B366" s="41"/>
      <c r="C366" s="42"/>
      <c r="D366" s="43"/>
      <c r="E366" s="42"/>
      <c r="F366" s="42"/>
      <c r="G366" s="42"/>
      <c r="H366" s="42"/>
      <c r="I366" s="42"/>
      <c r="J366" s="42"/>
      <c r="K366" s="42"/>
      <c r="L366" s="42"/>
      <c r="M366" s="42"/>
      <c r="N366" s="42"/>
      <c r="O366" s="42"/>
      <c r="P366" s="42"/>
      <c r="Q366" s="42"/>
      <c r="R366" s="42"/>
      <c r="S366" s="42"/>
      <c r="T366" s="42"/>
      <c r="U366" s="42"/>
      <c r="V366" s="42"/>
      <c r="W366" s="42"/>
      <c r="X366" s="42"/>
      <c r="Y366" s="42"/>
    </row>
    <row r="367" spans="1:25" ht="12.95">
      <c r="A367" s="55"/>
      <c r="B367" s="41"/>
      <c r="C367" s="42"/>
      <c r="D367" s="43"/>
      <c r="E367" s="42"/>
      <c r="F367" s="42"/>
      <c r="G367" s="42"/>
      <c r="H367" s="42"/>
      <c r="I367" s="42"/>
      <c r="J367" s="42"/>
      <c r="K367" s="42"/>
      <c r="L367" s="42"/>
      <c r="M367" s="42"/>
      <c r="N367" s="42"/>
      <c r="O367" s="42"/>
      <c r="P367" s="42"/>
      <c r="Q367" s="42"/>
      <c r="R367" s="42"/>
      <c r="S367" s="42"/>
      <c r="T367" s="42"/>
      <c r="U367" s="42"/>
      <c r="V367" s="42"/>
      <c r="W367" s="42"/>
      <c r="X367" s="42"/>
      <c r="Y367" s="42"/>
    </row>
    <row r="368" spans="1:25" ht="12.95">
      <c r="A368" s="55"/>
      <c r="B368" s="41"/>
      <c r="C368" s="42"/>
      <c r="D368" s="43"/>
      <c r="E368" s="42"/>
      <c r="F368" s="42"/>
      <c r="G368" s="42"/>
      <c r="H368" s="42"/>
      <c r="I368" s="42"/>
      <c r="J368" s="42"/>
      <c r="K368" s="42"/>
      <c r="L368" s="42"/>
      <c r="M368" s="42"/>
      <c r="N368" s="42"/>
      <c r="O368" s="42"/>
      <c r="P368" s="42"/>
      <c r="Q368" s="42"/>
      <c r="R368" s="42"/>
      <c r="S368" s="42"/>
      <c r="T368" s="42"/>
      <c r="U368" s="42"/>
      <c r="V368" s="42"/>
      <c r="W368" s="42"/>
      <c r="X368" s="42"/>
      <c r="Y368" s="42"/>
    </row>
    <row r="369" spans="1:25" ht="12.95">
      <c r="A369" s="55"/>
      <c r="B369" s="41"/>
      <c r="C369" s="42"/>
      <c r="D369" s="43"/>
      <c r="E369" s="42"/>
      <c r="F369" s="42"/>
      <c r="G369" s="42"/>
      <c r="H369" s="42"/>
      <c r="I369" s="42"/>
      <c r="J369" s="42"/>
      <c r="K369" s="42"/>
      <c r="L369" s="42"/>
      <c r="M369" s="42"/>
      <c r="N369" s="42"/>
      <c r="O369" s="42"/>
      <c r="P369" s="42"/>
      <c r="Q369" s="42"/>
      <c r="R369" s="42"/>
      <c r="S369" s="42"/>
      <c r="T369" s="42"/>
      <c r="U369" s="42"/>
      <c r="V369" s="42"/>
      <c r="W369" s="42"/>
      <c r="X369" s="42"/>
      <c r="Y369" s="42"/>
    </row>
    <row r="370" spans="1:25" ht="12.95">
      <c r="A370" s="55"/>
      <c r="B370" s="41"/>
      <c r="C370" s="42"/>
      <c r="D370" s="43"/>
      <c r="E370" s="42"/>
      <c r="F370" s="42"/>
      <c r="G370" s="42"/>
      <c r="H370" s="42"/>
      <c r="I370" s="42"/>
      <c r="J370" s="42"/>
      <c r="K370" s="42"/>
      <c r="L370" s="42"/>
      <c r="M370" s="42"/>
      <c r="N370" s="42"/>
      <c r="O370" s="42"/>
      <c r="P370" s="42"/>
      <c r="Q370" s="42"/>
      <c r="R370" s="42"/>
      <c r="S370" s="42"/>
      <c r="T370" s="42"/>
      <c r="U370" s="42"/>
      <c r="V370" s="42"/>
      <c r="W370" s="42"/>
      <c r="X370" s="42"/>
      <c r="Y370" s="42"/>
    </row>
    <row r="371" spans="1:25" ht="12.95">
      <c r="A371" s="55"/>
      <c r="B371" s="41"/>
      <c r="C371" s="42"/>
      <c r="D371" s="43"/>
      <c r="E371" s="42"/>
      <c r="F371" s="42"/>
      <c r="G371" s="42"/>
      <c r="H371" s="42"/>
      <c r="I371" s="42"/>
      <c r="J371" s="42"/>
      <c r="K371" s="42"/>
      <c r="L371" s="42"/>
      <c r="M371" s="42"/>
      <c r="N371" s="42"/>
      <c r="O371" s="42"/>
      <c r="P371" s="42"/>
      <c r="Q371" s="42"/>
      <c r="R371" s="42"/>
      <c r="S371" s="42"/>
      <c r="T371" s="42"/>
      <c r="U371" s="42"/>
      <c r="V371" s="42"/>
      <c r="W371" s="42"/>
      <c r="X371" s="42"/>
      <c r="Y371" s="42"/>
    </row>
    <row r="372" spans="1:25" ht="12.95">
      <c r="A372" s="55"/>
      <c r="B372" s="41"/>
      <c r="C372" s="42"/>
      <c r="D372" s="43"/>
      <c r="E372" s="42"/>
      <c r="F372" s="42"/>
      <c r="G372" s="42"/>
      <c r="H372" s="42"/>
      <c r="I372" s="42"/>
      <c r="J372" s="42"/>
      <c r="K372" s="42"/>
      <c r="L372" s="42"/>
      <c r="M372" s="42"/>
      <c r="N372" s="42"/>
      <c r="O372" s="42"/>
      <c r="P372" s="42"/>
      <c r="Q372" s="42"/>
      <c r="R372" s="42"/>
      <c r="S372" s="42"/>
      <c r="T372" s="42"/>
      <c r="U372" s="42"/>
      <c r="V372" s="42"/>
      <c r="W372" s="42"/>
      <c r="X372" s="42"/>
      <c r="Y372" s="42"/>
    </row>
    <row r="373" spans="1:25" ht="12.95">
      <c r="A373" s="55"/>
      <c r="B373" s="41"/>
      <c r="C373" s="42"/>
      <c r="D373" s="43"/>
      <c r="E373" s="42"/>
      <c r="F373" s="42"/>
      <c r="G373" s="42"/>
      <c r="H373" s="42"/>
      <c r="I373" s="42"/>
      <c r="J373" s="42"/>
      <c r="K373" s="42"/>
      <c r="L373" s="42"/>
      <c r="M373" s="42"/>
      <c r="N373" s="42"/>
      <c r="O373" s="42"/>
      <c r="P373" s="42"/>
      <c r="Q373" s="42"/>
      <c r="R373" s="42"/>
      <c r="S373" s="42"/>
      <c r="T373" s="42"/>
      <c r="U373" s="42"/>
      <c r="V373" s="42"/>
      <c r="W373" s="42"/>
      <c r="X373" s="42"/>
      <c r="Y373" s="42"/>
    </row>
    <row r="374" spans="1:25" ht="12.95">
      <c r="A374" s="55"/>
      <c r="B374" s="41"/>
      <c r="C374" s="42"/>
      <c r="D374" s="43"/>
      <c r="E374" s="42"/>
      <c r="F374" s="42"/>
      <c r="G374" s="42"/>
      <c r="H374" s="42"/>
      <c r="I374" s="42"/>
      <c r="J374" s="42"/>
      <c r="K374" s="42"/>
      <c r="L374" s="42"/>
      <c r="M374" s="42"/>
      <c r="N374" s="42"/>
      <c r="O374" s="42"/>
      <c r="P374" s="42"/>
      <c r="Q374" s="42"/>
      <c r="R374" s="42"/>
      <c r="S374" s="42"/>
      <c r="T374" s="42"/>
      <c r="U374" s="42"/>
      <c r="V374" s="42"/>
      <c r="W374" s="42"/>
      <c r="X374" s="42"/>
      <c r="Y374" s="42"/>
    </row>
    <row r="375" spans="1:25" ht="12.95">
      <c r="A375" s="55"/>
      <c r="B375" s="41"/>
      <c r="C375" s="42"/>
      <c r="D375" s="43"/>
      <c r="E375" s="42"/>
      <c r="F375" s="42"/>
      <c r="G375" s="42"/>
      <c r="H375" s="42"/>
      <c r="I375" s="42"/>
      <c r="J375" s="42"/>
      <c r="K375" s="42"/>
      <c r="L375" s="42"/>
      <c r="M375" s="42"/>
      <c r="N375" s="42"/>
      <c r="O375" s="42"/>
      <c r="P375" s="42"/>
      <c r="Q375" s="42"/>
      <c r="R375" s="42"/>
      <c r="S375" s="42"/>
      <c r="T375" s="42"/>
      <c r="U375" s="42"/>
      <c r="V375" s="42"/>
      <c r="W375" s="42"/>
      <c r="X375" s="42"/>
      <c r="Y375" s="42"/>
    </row>
    <row r="376" spans="1:25" ht="12.95">
      <c r="A376" s="55"/>
      <c r="B376" s="41"/>
      <c r="C376" s="42"/>
      <c r="D376" s="43"/>
      <c r="E376" s="42"/>
      <c r="F376" s="42"/>
      <c r="G376" s="42"/>
      <c r="H376" s="42"/>
      <c r="I376" s="42"/>
      <c r="J376" s="42"/>
      <c r="K376" s="42"/>
      <c r="L376" s="42"/>
      <c r="M376" s="42"/>
      <c r="N376" s="42"/>
      <c r="O376" s="42"/>
      <c r="P376" s="42"/>
      <c r="Q376" s="42"/>
      <c r="R376" s="42"/>
      <c r="S376" s="42"/>
      <c r="T376" s="42"/>
      <c r="U376" s="42"/>
      <c r="V376" s="42"/>
      <c r="W376" s="42"/>
      <c r="X376" s="42"/>
      <c r="Y376" s="42"/>
    </row>
    <row r="377" spans="1:25" ht="12.95">
      <c r="A377" s="55"/>
      <c r="B377" s="41"/>
      <c r="C377" s="42"/>
      <c r="D377" s="43"/>
      <c r="E377" s="42"/>
      <c r="F377" s="42"/>
      <c r="G377" s="42"/>
      <c r="H377" s="42"/>
      <c r="I377" s="42"/>
      <c r="J377" s="42"/>
      <c r="K377" s="42"/>
      <c r="L377" s="42"/>
      <c r="M377" s="42"/>
      <c r="N377" s="42"/>
      <c r="O377" s="42"/>
      <c r="P377" s="42"/>
      <c r="Q377" s="42"/>
      <c r="R377" s="42"/>
      <c r="S377" s="42"/>
      <c r="T377" s="42"/>
      <c r="U377" s="42"/>
      <c r="V377" s="42"/>
      <c r="W377" s="42"/>
      <c r="X377" s="42"/>
      <c r="Y377" s="42"/>
    </row>
    <row r="378" spans="1:25" ht="12.95">
      <c r="A378" s="55"/>
      <c r="B378" s="41"/>
      <c r="C378" s="42"/>
      <c r="D378" s="43"/>
      <c r="E378" s="42"/>
      <c r="F378" s="42"/>
      <c r="G378" s="42"/>
      <c r="H378" s="42"/>
      <c r="I378" s="42"/>
      <c r="J378" s="42"/>
      <c r="K378" s="42"/>
      <c r="L378" s="42"/>
      <c r="M378" s="42"/>
      <c r="N378" s="42"/>
      <c r="O378" s="42"/>
      <c r="P378" s="42"/>
      <c r="Q378" s="42"/>
      <c r="R378" s="42"/>
      <c r="S378" s="42"/>
      <c r="T378" s="42"/>
      <c r="U378" s="42"/>
      <c r="V378" s="42"/>
      <c r="W378" s="42"/>
      <c r="X378" s="42"/>
      <c r="Y378" s="42"/>
    </row>
    <row r="379" spans="1:25" ht="12.95">
      <c r="A379" s="55"/>
      <c r="B379" s="41"/>
      <c r="C379" s="42"/>
      <c r="D379" s="43"/>
      <c r="E379" s="42"/>
      <c r="F379" s="42"/>
      <c r="G379" s="42"/>
      <c r="H379" s="42"/>
      <c r="I379" s="42"/>
      <c r="J379" s="42"/>
      <c r="K379" s="42"/>
      <c r="L379" s="42"/>
      <c r="M379" s="42"/>
      <c r="N379" s="42"/>
      <c r="O379" s="42"/>
      <c r="P379" s="42"/>
      <c r="Q379" s="42"/>
      <c r="R379" s="42"/>
      <c r="S379" s="42"/>
      <c r="T379" s="42"/>
      <c r="U379" s="42"/>
      <c r="V379" s="42"/>
      <c r="W379" s="42"/>
      <c r="X379" s="42"/>
      <c r="Y379" s="42"/>
    </row>
    <row r="380" spans="1:25" ht="12.95">
      <c r="A380" s="55"/>
      <c r="B380" s="41"/>
      <c r="C380" s="42"/>
      <c r="D380" s="43"/>
      <c r="E380" s="42"/>
      <c r="F380" s="42"/>
      <c r="G380" s="42"/>
      <c r="H380" s="42"/>
      <c r="I380" s="42"/>
      <c r="J380" s="42"/>
      <c r="K380" s="42"/>
      <c r="L380" s="42"/>
      <c r="M380" s="42"/>
      <c r="N380" s="42"/>
      <c r="O380" s="42"/>
      <c r="P380" s="42"/>
      <c r="Q380" s="42"/>
      <c r="R380" s="42"/>
      <c r="S380" s="42"/>
      <c r="T380" s="42"/>
      <c r="U380" s="42"/>
      <c r="V380" s="42"/>
      <c r="W380" s="42"/>
      <c r="X380" s="42"/>
      <c r="Y380" s="42"/>
    </row>
    <row r="381" spans="1:25" ht="12.95">
      <c r="A381" s="55"/>
      <c r="B381" s="41"/>
      <c r="C381" s="42"/>
      <c r="D381" s="43"/>
      <c r="E381" s="42"/>
      <c r="F381" s="42"/>
      <c r="G381" s="42"/>
      <c r="H381" s="42"/>
      <c r="I381" s="42"/>
      <c r="J381" s="42"/>
      <c r="K381" s="42"/>
      <c r="L381" s="42"/>
      <c r="M381" s="42"/>
      <c r="N381" s="42"/>
      <c r="O381" s="42"/>
      <c r="P381" s="42"/>
      <c r="Q381" s="42"/>
      <c r="R381" s="42"/>
      <c r="S381" s="42"/>
      <c r="T381" s="42"/>
      <c r="U381" s="42"/>
      <c r="V381" s="42"/>
      <c r="W381" s="42"/>
      <c r="X381" s="42"/>
      <c r="Y381" s="42"/>
    </row>
    <row r="382" spans="1:25" ht="12.95">
      <c r="A382" s="55"/>
      <c r="B382" s="41"/>
      <c r="C382" s="42"/>
      <c r="D382" s="43"/>
      <c r="E382" s="42"/>
      <c r="F382" s="42"/>
      <c r="G382" s="42"/>
      <c r="H382" s="42"/>
      <c r="I382" s="42"/>
      <c r="J382" s="42"/>
      <c r="K382" s="42"/>
      <c r="L382" s="42"/>
      <c r="M382" s="42"/>
      <c r="N382" s="42"/>
      <c r="O382" s="42"/>
      <c r="P382" s="42"/>
      <c r="Q382" s="42"/>
      <c r="R382" s="42"/>
      <c r="S382" s="42"/>
      <c r="T382" s="42"/>
      <c r="U382" s="42"/>
      <c r="V382" s="42"/>
      <c r="W382" s="42"/>
      <c r="X382" s="42"/>
      <c r="Y382" s="42"/>
    </row>
    <row r="383" spans="1:25" ht="12.95">
      <c r="A383" s="55"/>
      <c r="B383" s="41"/>
      <c r="C383" s="42"/>
      <c r="D383" s="43"/>
      <c r="E383" s="42"/>
      <c r="F383" s="42"/>
      <c r="G383" s="42"/>
      <c r="H383" s="42"/>
      <c r="I383" s="42"/>
      <c r="J383" s="42"/>
      <c r="K383" s="42"/>
      <c r="L383" s="42"/>
      <c r="M383" s="42"/>
      <c r="N383" s="42"/>
      <c r="O383" s="42"/>
      <c r="P383" s="42"/>
      <c r="Q383" s="42"/>
      <c r="R383" s="42"/>
      <c r="S383" s="42"/>
      <c r="T383" s="42"/>
      <c r="U383" s="42"/>
      <c r="V383" s="42"/>
      <c r="W383" s="42"/>
      <c r="X383" s="42"/>
      <c r="Y383" s="42"/>
    </row>
    <row r="384" spans="1:25" ht="12.95">
      <c r="A384" s="55"/>
      <c r="B384" s="41"/>
      <c r="C384" s="42"/>
      <c r="D384" s="43"/>
      <c r="E384" s="42"/>
      <c r="F384" s="42"/>
      <c r="G384" s="42"/>
      <c r="H384" s="42"/>
      <c r="I384" s="42"/>
      <c r="J384" s="42"/>
      <c r="K384" s="42"/>
      <c r="L384" s="42"/>
      <c r="M384" s="42"/>
      <c r="N384" s="42"/>
      <c r="O384" s="42"/>
      <c r="P384" s="42"/>
      <c r="Q384" s="42"/>
      <c r="R384" s="42"/>
      <c r="S384" s="42"/>
      <c r="T384" s="42"/>
      <c r="U384" s="42"/>
      <c r="V384" s="42"/>
      <c r="W384" s="42"/>
      <c r="X384" s="42"/>
      <c r="Y384" s="42"/>
    </row>
    <row r="385" spans="1:25" ht="12.95">
      <c r="A385" s="55"/>
      <c r="B385" s="41"/>
      <c r="C385" s="42"/>
      <c r="D385" s="43"/>
      <c r="E385" s="42"/>
      <c r="F385" s="42"/>
      <c r="G385" s="42"/>
      <c r="H385" s="42"/>
      <c r="I385" s="42"/>
      <c r="J385" s="42"/>
      <c r="K385" s="42"/>
      <c r="L385" s="42"/>
      <c r="M385" s="42"/>
      <c r="N385" s="42"/>
      <c r="O385" s="42"/>
      <c r="P385" s="42"/>
      <c r="Q385" s="42"/>
      <c r="R385" s="42"/>
      <c r="S385" s="42"/>
      <c r="T385" s="42"/>
      <c r="U385" s="42"/>
      <c r="V385" s="42"/>
      <c r="W385" s="42"/>
      <c r="X385" s="42"/>
      <c r="Y385" s="42"/>
    </row>
    <row r="386" spans="1:25" ht="12.95">
      <c r="A386" s="55"/>
      <c r="B386" s="41"/>
      <c r="C386" s="42"/>
      <c r="D386" s="43"/>
      <c r="E386" s="42"/>
      <c r="F386" s="42"/>
      <c r="G386" s="42"/>
      <c r="H386" s="42"/>
      <c r="I386" s="42"/>
      <c r="J386" s="42"/>
      <c r="K386" s="42"/>
      <c r="L386" s="42"/>
      <c r="M386" s="42"/>
      <c r="N386" s="42"/>
      <c r="O386" s="42"/>
      <c r="P386" s="42"/>
      <c r="Q386" s="42"/>
      <c r="R386" s="42"/>
      <c r="S386" s="42"/>
      <c r="T386" s="42"/>
      <c r="U386" s="42"/>
      <c r="V386" s="42"/>
      <c r="W386" s="42"/>
      <c r="X386" s="42"/>
      <c r="Y386" s="42"/>
    </row>
    <row r="387" spans="1:25" ht="12.95">
      <c r="A387" s="55"/>
      <c r="B387" s="41"/>
      <c r="C387" s="42"/>
      <c r="D387" s="43"/>
      <c r="E387" s="42"/>
      <c r="F387" s="42"/>
      <c r="G387" s="42"/>
      <c r="H387" s="42"/>
      <c r="I387" s="42"/>
      <c r="J387" s="42"/>
      <c r="K387" s="42"/>
      <c r="L387" s="42"/>
      <c r="M387" s="42"/>
      <c r="N387" s="42"/>
      <c r="O387" s="42"/>
      <c r="P387" s="42"/>
      <c r="Q387" s="42"/>
      <c r="R387" s="42"/>
      <c r="S387" s="42"/>
      <c r="T387" s="42"/>
      <c r="U387" s="42"/>
      <c r="V387" s="42"/>
      <c r="W387" s="42"/>
      <c r="X387" s="42"/>
      <c r="Y387" s="42"/>
    </row>
    <row r="388" spans="1:25" ht="12.95">
      <c r="A388" s="55"/>
      <c r="B388" s="41"/>
      <c r="C388" s="42"/>
      <c r="D388" s="43"/>
      <c r="E388" s="42"/>
      <c r="F388" s="42"/>
      <c r="G388" s="42"/>
      <c r="H388" s="42"/>
      <c r="I388" s="42"/>
      <c r="J388" s="42"/>
      <c r="K388" s="42"/>
      <c r="L388" s="42"/>
      <c r="M388" s="42"/>
      <c r="N388" s="42"/>
      <c r="O388" s="42"/>
      <c r="P388" s="42"/>
      <c r="Q388" s="42"/>
      <c r="R388" s="42"/>
      <c r="S388" s="42"/>
      <c r="T388" s="42"/>
      <c r="U388" s="42"/>
      <c r="V388" s="42"/>
      <c r="W388" s="42"/>
      <c r="X388" s="42"/>
      <c r="Y388" s="42"/>
    </row>
    <row r="389" spans="1:25" ht="12.95">
      <c r="A389" s="55"/>
      <c r="B389" s="41"/>
      <c r="C389" s="42"/>
      <c r="D389" s="43"/>
      <c r="E389" s="42"/>
      <c r="F389" s="42"/>
      <c r="G389" s="42"/>
      <c r="H389" s="42"/>
      <c r="I389" s="42"/>
      <c r="J389" s="42"/>
      <c r="K389" s="42"/>
      <c r="L389" s="42"/>
      <c r="M389" s="42"/>
      <c r="N389" s="42"/>
      <c r="O389" s="42"/>
      <c r="P389" s="42"/>
      <c r="Q389" s="42"/>
      <c r="R389" s="42"/>
      <c r="S389" s="42"/>
      <c r="T389" s="42"/>
      <c r="U389" s="42"/>
      <c r="V389" s="42"/>
      <c r="W389" s="42"/>
      <c r="X389" s="42"/>
      <c r="Y389" s="42"/>
    </row>
    <row r="390" spans="1:25" ht="12.95">
      <c r="A390" s="55"/>
      <c r="B390" s="41"/>
      <c r="C390" s="42"/>
      <c r="D390" s="43"/>
      <c r="E390" s="42"/>
      <c r="F390" s="42"/>
      <c r="G390" s="42"/>
      <c r="H390" s="42"/>
      <c r="I390" s="42"/>
      <c r="J390" s="42"/>
      <c r="K390" s="42"/>
      <c r="L390" s="42"/>
      <c r="M390" s="42"/>
      <c r="N390" s="42"/>
      <c r="O390" s="42"/>
      <c r="P390" s="42"/>
      <c r="Q390" s="42"/>
      <c r="R390" s="42"/>
      <c r="S390" s="42"/>
      <c r="T390" s="42"/>
      <c r="U390" s="42"/>
      <c r="V390" s="42"/>
      <c r="W390" s="42"/>
      <c r="X390" s="42"/>
      <c r="Y390" s="42"/>
    </row>
    <row r="391" spans="1:25" ht="12.95">
      <c r="A391" s="55"/>
      <c r="B391" s="41"/>
      <c r="C391" s="42"/>
      <c r="D391" s="43"/>
      <c r="E391" s="42"/>
      <c r="F391" s="42"/>
      <c r="G391" s="42"/>
      <c r="H391" s="42"/>
      <c r="I391" s="42"/>
      <c r="J391" s="42"/>
      <c r="K391" s="42"/>
      <c r="L391" s="42"/>
      <c r="M391" s="42"/>
      <c r="N391" s="42"/>
      <c r="O391" s="42"/>
      <c r="P391" s="42"/>
      <c r="Q391" s="42"/>
      <c r="R391" s="42"/>
      <c r="S391" s="42"/>
      <c r="T391" s="42"/>
      <c r="U391" s="42"/>
      <c r="V391" s="42"/>
      <c r="W391" s="42"/>
      <c r="X391" s="42"/>
      <c r="Y391" s="42"/>
    </row>
    <row r="392" spans="1:25" ht="12.95">
      <c r="A392" s="55"/>
      <c r="B392" s="41"/>
      <c r="C392" s="42"/>
      <c r="D392" s="43"/>
      <c r="E392" s="42"/>
      <c r="F392" s="42"/>
      <c r="G392" s="42"/>
      <c r="H392" s="42"/>
      <c r="I392" s="42"/>
      <c r="J392" s="42"/>
      <c r="K392" s="42"/>
      <c r="L392" s="42"/>
      <c r="M392" s="42"/>
      <c r="N392" s="42"/>
      <c r="O392" s="42"/>
      <c r="P392" s="42"/>
      <c r="Q392" s="42"/>
      <c r="R392" s="42"/>
      <c r="S392" s="42"/>
      <c r="T392" s="42"/>
      <c r="U392" s="42"/>
      <c r="V392" s="42"/>
      <c r="W392" s="42"/>
      <c r="X392" s="42"/>
      <c r="Y392" s="42"/>
    </row>
    <row r="393" spans="1:25" ht="12.95">
      <c r="A393" s="55"/>
      <c r="B393" s="41"/>
      <c r="C393" s="42"/>
      <c r="D393" s="43"/>
      <c r="E393" s="42"/>
      <c r="F393" s="42"/>
      <c r="G393" s="42"/>
      <c r="H393" s="42"/>
      <c r="I393" s="42"/>
      <c r="J393" s="42"/>
      <c r="K393" s="42"/>
      <c r="L393" s="42"/>
      <c r="M393" s="42"/>
      <c r="N393" s="42"/>
      <c r="O393" s="42"/>
      <c r="P393" s="42"/>
      <c r="Q393" s="42"/>
      <c r="R393" s="42"/>
      <c r="S393" s="42"/>
      <c r="T393" s="42"/>
      <c r="U393" s="42"/>
      <c r="V393" s="42"/>
      <c r="W393" s="42"/>
      <c r="X393" s="42"/>
      <c r="Y393" s="42"/>
    </row>
    <row r="394" spans="1:25" ht="12.95">
      <c r="A394" s="55"/>
      <c r="B394" s="41"/>
      <c r="C394" s="42"/>
      <c r="D394" s="43"/>
      <c r="E394" s="42"/>
      <c r="F394" s="42"/>
      <c r="G394" s="42"/>
      <c r="H394" s="42"/>
      <c r="I394" s="42"/>
      <c r="J394" s="42"/>
      <c r="K394" s="42"/>
      <c r="L394" s="42"/>
      <c r="M394" s="42"/>
      <c r="N394" s="42"/>
      <c r="O394" s="42"/>
      <c r="P394" s="42"/>
      <c r="Q394" s="42"/>
      <c r="R394" s="42"/>
      <c r="S394" s="42"/>
      <c r="T394" s="42"/>
      <c r="U394" s="42"/>
      <c r="V394" s="42"/>
      <c r="W394" s="42"/>
      <c r="X394" s="42"/>
      <c r="Y394" s="42"/>
    </row>
    <row r="395" spans="1:25" ht="12.95">
      <c r="A395" s="55"/>
      <c r="B395" s="41"/>
      <c r="C395" s="42"/>
      <c r="D395" s="43"/>
      <c r="E395" s="42"/>
      <c r="F395" s="42"/>
      <c r="G395" s="42"/>
      <c r="H395" s="42"/>
      <c r="I395" s="42"/>
      <c r="J395" s="42"/>
      <c r="K395" s="42"/>
      <c r="L395" s="42"/>
      <c r="M395" s="42"/>
      <c r="N395" s="42"/>
      <c r="O395" s="42"/>
      <c r="P395" s="42"/>
      <c r="Q395" s="42"/>
      <c r="R395" s="42"/>
      <c r="S395" s="42"/>
      <c r="T395" s="42"/>
      <c r="U395" s="42"/>
      <c r="V395" s="42"/>
      <c r="W395" s="42"/>
      <c r="X395" s="42"/>
      <c r="Y395" s="42"/>
    </row>
    <row r="396" spans="1:25" ht="12.95">
      <c r="A396" s="55"/>
      <c r="B396" s="41"/>
      <c r="C396" s="42"/>
      <c r="D396" s="43"/>
      <c r="E396" s="42"/>
      <c r="F396" s="42"/>
      <c r="G396" s="42"/>
      <c r="H396" s="42"/>
      <c r="I396" s="42"/>
      <c r="J396" s="42"/>
      <c r="K396" s="42"/>
      <c r="L396" s="42"/>
      <c r="M396" s="42"/>
      <c r="N396" s="42"/>
      <c r="O396" s="42"/>
      <c r="P396" s="42"/>
      <c r="Q396" s="42"/>
      <c r="R396" s="42"/>
      <c r="S396" s="42"/>
      <c r="T396" s="42"/>
      <c r="U396" s="42"/>
      <c r="V396" s="42"/>
      <c r="W396" s="42"/>
      <c r="X396" s="42"/>
      <c r="Y396" s="42"/>
    </row>
    <row r="397" spans="1:25" ht="12.95">
      <c r="A397" s="55"/>
      <c r="B397" s="41"/>
      <c r="C397" s="42"/>
      <c r="D397" s="43"/>
      <c r="E397" s="42"/>
      <c r="F397" s="42"/>
      <c r="G397" s="42"/>
      <c r="H397" s="42"/>
      <c r="I397" s="42"/>
      <c r="J397" s="42"/>
      <c r="K397" s="42"/>
      <c r="L397" s="42"/>
      <c r="M397" s="42"/>
      <c r="N397" s="42"/>
      <c r="O397" s="42"/>
      <c r="P397" s="42"/>
      <c r="Q397" s="42"/>
      <c r="R397" s="42"/>
      <c r="S397" s="42"/>
      <c r="T397" s="42"/>
      <c r="U397" s="42"/>
      <c r="V397" s="42"/>
      <c r="W397" s="42"/>
      <c r="X397" s="42"/>
      <c r="Y397" s="42"/>
    </row>
    <row r="398" spans="1:25" ht="12.95">
      <c r="A398" s="55"/>
      <c r="B398" s="41"/>
      <c r="C398" s="42"/>
      <c r="D398" s="43"/>
      <c r="E398" s="42"/>
      <c r="F398" s="42"/>
      <c r="G398" s="42"/>
      <c r="H398" s="42"/>
      <c r="I398" s="42"/>
      <c r="J398" s="42"/>
      <c r="K398" s="42"/>
      <c r="L398" s="42"/>
      <c r="M398" s="42"/>
      <c r="N398" s="42"/>
      <c r="O398" s="42"/>
      <c r="P398" s="42"/>
      <c r="Q398" s="42"/>
      <c r="R398" s="42"/>
      <c r="S398" s="42"/>
      <c r="T398" s="42"/>
      <c r="U398" s="42"/>
      <c r="V398" s="42"/>
      <c r="W398" s="42"/>
      <c r="X398" s="42"/>
      <c r="Y398" s="42"/>
    </row>
    <row r="399" spans="1:25" ht="12.95">
      <c r="A399" s="55"/>
      <c r="B399" s="41"/>
      <c r="C399" s="42"/>
      <c r="D399" s="43"/>
      <c r="E399" s="42"/>
      <c r="F399" s="42"/>
      <c r="G399" s="42"/>
      <c r="H399" s="42"/>
      <c r="I399" s="42"/>
      <c r="J399" s="42"/>
      <c r="K399" s="42"/>
      <c r="L399" s="42"/>
      <c r="M399" s="42"/>
      <c r="N399" s="42"/>
      <c r="O399" s="42"/>
      <c r="P399" s="42"/>
      <c r="Q399" s="42"/>
      <c r="R399" s="42"/>
      <c r="S399" s="42"/>
      <c r="T399" s="42"/>
      <c r="U399" s="42"/>
      <c r="V399" s="42"/>
      <c r="W399" s="42"/>
      <c r="X399" s="42"/>
      <c r="Y399" s="42"/>
    </row>
    <row r="400" spans="1:25" ht="12.95">
      <c r="A400" s="55"/>
      <c r="B400" s="41"/>
      <c r="C400" s="42"/>
      <c r="D400" s="43"/>
      <c r="E400" s="42"/>
      <c r="F400" s="42"/>
      <c r="G400" s="42"/>
      <c r="H400" s="42"/>
      <c r="I400" s="42"/>
      <c r="J400" s="42"/>
      <c r="K400" s="42"/>
      <c r="L400" s="42"/>
      <c r="M400" s="42"/>
      <c r="N400" s="42"/>
      <c r="O400" s="42"/>
      <c r="P400" s="42"/>
      <c r="Q400" s="42"/>
      <c r="R400" s="42"/>
      <c r="S400" s="42"/>
      <c r="T400" s="42"/>
      <c r="U400" s="42"/>
      <c r="V400" s="42"/>
      <c r="W400" s="42"/>
      <c r="X400" s="42"/>
      <c r="Y400" s="42"/>
    </row>
    <row r="401" spans="1:25" ht="12.95">
      <c r="A401" s="55"/>
      <c r="B401" s="41"/>
      <c r="C401" s="42"/>
      <c r="D401" s="43"/>
      <c r="E401" s="42"/>
      <c r="F401" s="42"/>
      <c r="G401" s="42"/>
      <c r="H401" s="42"/>
      <c r="I401" s="42"/>
      <c r="J401" s="42"/>
      <c r="K401" s="42"/>
      <c r="L401" s="42"/>
      <c r="M401" s="42"/>
      <c r="N401" s="42"/>
      <c r="O401" s="42"/>
      <c r="P401" s="42"/>
      <c r="Q401" s="42"/>
      <c r="R401" s="42"/>
      <c r="S401" s="42"/>
      <c r="T401" s="42"/>
      <c r="U401" s="42"/>
      <c r="V401" s="42"/>
      <c r="W401" s="42"/>
      <c r="X401" s="42"/>
      <c r="Y401" s="42"/>
    </row>
    <row r="402" spans="1:25" ht="12.95">
      <c r="A402" s="55"/>
      <c r="B402" s="41"/>
      <c r="C402" s="42"/>
      <c r="D402" s="43"/>
      <c r="E402" s="42"/>
      <c r="F402" s="42"/>
      <c r="G402" s="42"/>
      <c r="H402" s="42"/>
      <c r="I402" s="42"/>
      <c r="J402" s="42"/>
      <c r="K402" s="42"/>
      <c r="L402" s="42"/>
      <c r="M402" s="42"/>
      <c r="N402" s="42"/>
      <c r="O402" s="42"/>
      <c r="P402" s="42"/>
      <c r="Q402" s="42"/>
      <c r="R402" s="42"/>
      <c r="S402" s="42"/>
      <c r="T402" s="42"/>
      <c r="U402" s="42"/>
      <c r="V402" s="42"/>
      <c r="W402" s="42"/>
      <c r="X402" s="42"/>
      <c r="Y402" s="42"/>
    </row>
    <row r="403" spans="1:25" ht="12.95">
      <c r="A403" s="55"/>
      <c r="B403" s="41"/>
      <c r="C403" s="42"/>
      <c r="D403" s="43"/>
      <c r="E403" s="42"/>
      <c r="F403" s="42"/>
      <c r="G403" s="42"/>
      <c r="H403" s="42"/>
      <c r="I403" s="42"/>
      <c r="J403" s="42"/>
      <c r="K403" s="42"/>
      <c r="L403" s="42"/>
      <c r="M403" s="42"/>
      <c r="N403" s="42"/>
      <c r="O403" s="42"/>
      <c r="P403" s="42"/>
      <c r="Q403" s="42"/>
      <c r="R403" s="42"/>
      <c r="S403" s="42"/>
      <c r="T403" s="42"/>
      <c r="U403" s="42"/>
      <c r="V403" s="42"/>
      <c r="W403" s="42"/>
      <c r="X403" s="42"/>
      <c r="Y403" s="42"/>
    </row>
    <row r="404" spans="1:25" ht="12.95">
      <c r="A404" s="55"/>
      <c r="B404" s="41"/>
      <c r="C404" s="42"/>
      <c r="D404" s="43"/>
      <c r="E404" s="42"/>
      <c r="F404" s="42"/>
      <c r="G404" s="42"/>
      <c r="H404" s="42"/>
      <c r="I404" s="42"/>
      <c r="J404" s="42"/>
      <c r="K404" s="42"/>
      <c r="L404" s="42"/>
      <c r="M404" s="42"/>
      <c r="N404" s="42"/>
      <c r="O404" s="42"/>
      <c r="P404" s="42"/>
      <c r="Q404" s="42"/>
      <c r="R404" s="42"/>
      <c r="S404" s="42"/>
      <c r="T404" s="42"/>
      <c r="U404" s="42"/>
      <c r="V404" s="42"/>
      <c r="W404" s="42"/>
      <c r="X404" s="42"/>
      <c r="Y404" s="42"/>
    </row>
    <row r="405" spans="1:25" ht="12.95">
      <c r="A405" s="55"/>
      <c r="B405" s="41"/>
      <c r="C405" s="42"/>
      <c r="D405" s="43"/>
      <c r="E405" s="42"/>
      <c r="F405" s="42"/>
      <c r="G405" s="42"/>
      <c r="H405" s="42"/>
      <c r="I405" s="42"/>
      <c r="J405" s="42"/>
      <c r="K405" s="42"/>
      <c r="L405" s="42"/>
      <c r="M405" s="42"/>
      <c r="N405" s="42"/>
      <c r="O405" s="42"/>
      <c r="P405" s="42"/>
      <c r="Q405" s="42"/>
      <c r="R405" s="42"/>
      <c r="S405" s="42"/>
      <c r="T405" s="42"/>
      <c r="U405" s="42"/>
      <c r="V405" s="42"/>
      <c r="W405" s="42"/>
      <c r="X405" s="42"/>
      <c r="Y405" s="42"/>
    </row>
    <row r="406" spans="1:25" ht="12.95">
      <c r="A406" s="55"/>
      <c r="B406" s="41"/>
      <c r="C406" s="42"/>
      <c r="D406" s="43"/>
      <c r="E406" s="42"/>
      <c r="F406" s="42"/>
      <c r="G406" s="42"/>
      <c r="H406" s="42"/>
      <c r="I406" s="42"/>
      <c r="J406" s="42"/>
      <c r="K406" s="42"/>
      <c r="L406" s="42"/>
      <c r="M406" s="42"/>
      <c r="N406" s="42"/>
      <c r="O406" s="42"/>
      <c r="P406" s="42"/>
      <c r="Q406" s="42"/>
      <c r="R406" s="42"/>
      <c r="S406" s="42"/>
      <c r="T406" s="42"/>
      <c r="U406" s="42"/>
      <c r="V406" s="42"/>
      <c r="W406" s="42"/>
      <c r="X406" s="42"/>
      <c r="Y406" s="42"/>
    </row>
    <row r="407" spans="1:25" ht="12.95">
      <c r="A407" s="55"/>
      <c r="B407" s="41"/>
      <c r="C407" s="42"/>
      <c r="D407" s="43"/>
      <c r="E407" s="42"/>
      <c r="F407" s="42"/>
      <c r="G407" s="42"/>
      <c r="H407" s="42"/>
      <c r="I407" s="42"/>
      <c r="J407" s="42"/>
      <c r="K407" s="42"/>
      <c r="L407" s="42"/>
      <c r="M407" s="42"/>
      <c r="N407" s="42"/>
      <c r="O407" s="42"/>
      <c r="P407" s="42"/>
      <c r="Q407" s="42"/>
      <c r="R407" s="42"/>
      <c r="S407" s="42"/>
      <c r="T407" s="42"/>
      <c r="U407" s="42"/>
      <c r="V407" s="42"/>
      <c r="W407" s="42"/>
      <c r="X407" s="42"/>
      <c r="Y407" s="42"/>
    </row>
    <row r="408" spans="1:25" ht="12.95">
      <c r="A408" s="55"/>
      <c r="B408" s="41"/>
      <c r="C408" s="42"/>
      <c r="D408" s="43"/>
      <c r="E408" s="42"/>
      <c r="F408" s="42"/>
      <c r="G408" s="42"/>
      <c r="H408" s="42"/>
      <c r="I408" s="42"/>
      <c r="J408" s="42"/>
      <c r="K408" s="42"/>
      <c r="L408" s="42"/>
      <c r="M408" s="42"/>
      <c r="N408" s="42"/>
      <c r="O408" s="42"/>
      <c r="P408" s="42"/>
      <c r="Q408" s="42"/>
      <c r="R408" s="42"/>
      <c r="S408" s="42"/>
      <c r="T408" s="42"/>
      <c r="U408" s="42"/>
      <c r="V408" s="42"/>
      <c r="W408" s="42"/>
      <c r="X408" s="42"/>
      <c r="Y408" s="42"/>
    </row>
    <row r="409" spans="1:25" ht="12.95">
      <c r="A409" s="55"/>
      <c r="B409" s="41"/>
      <c r="C409" s="42"/>
      <c r="D409" s="43"/>
      <c r="E409" s="42"/>
      <c r="F409" s="42"/>
      <c r="G409" s="42"/>
      <c r="H409" s="42"/>
      <c r="I409" s="42"/>
      <c r="J409" s="42"/>
      <c r="K409" s="42"/>
      <c r="L409" s="42"/>
      <c r="M409" s="42"/>
      <c r="N409" s="42"/>
      <c r="O409" s="42"/>
      <c r="P409" s="42"/>
      <c r="Q409" s="42"/>
      <c r="R409" s="42"/>
      <c r="S409" s="42"/>
      <c r="T409" s="42"/>
      <c r="U409" s="42"/>
      <c r="V409" s="42"/>
      <c r="W409" s="42"/>
      <c r="X409" s="42"/>
      <c r="Y409" s="42"/>
    </row>
    <row r="410" spans="1:25" ht="12.95">
      <c r="A410" s="55"/>
      <c r="B410" s="41"/>
      <c r="C410" s="42"/>
      <c r="D410" s="43"/>
      <c r="E410" s="42"/>
      <c r="F410" s="42"/>
      <c r="G410" s="42"/>
      <c r="H410" s="42"/>
      <c r="I410" s="42"/>
      <c r="J410" s="42"/>
      <c r="K410" s="42"/>
      <c r="L410" s="42"/>
      <c r="M410" s="42"/>
      <c r="N410" s="42"/>
      <c r="O410" s="42"/>
      <c r="P410" s="42"/>
      <c r="Q410" s="42"/>
      <c r="R410" s="42"/>
      <c r="S410" s="42"/>
      <c r="T410" s="42"/>
      <c r="U410" s="42"/>
      <c r="V410" s="42"/>
      <c r="W410" s="42"/>
      <c r="X410" s="42"/>
      <c r="Y410" s="42"/>
    </row>
    <row r="411" spans="1:25" ht="12.95">
      <c r="A411" s="55"/>
      <c r="B411" s="41"/>
      <c r="C411" s="42"/>
      <c r="D411" s="43"/>
      <c r="E411" s="42"/>
      <c r="F411" s="42"/>
      <c r="G411" s="42"/>
      <c r="H411" s="42"/>
      <c r="I411" s="42"/>
      <c r="J411" s="42"/>
      <c r="K411" s="42"/>
      <c r="L411" s="42"/>
      <c r="M411" s="42"/>
      <c r="N411" s="42"/>
      <c r="O411" s="42"/>
      <c r="P411" s="42"/>
      <c r="Q411" s="42"/>
      <c r="R411" s="42"/>
      <c r="S411" s="42"/>
      <c r="T411" s="42"/>
      <c r="U411" s="42"/>
      <c r="V411" s="42"/>
      <c r="W411" s="42"/>
      <c r="X411" s="42"/>
      <c r="Y411" s="42"/>
    </row>
    <row r="412" spans="1:25" ht="12.95">
      <c r="A412" s="55"/>
      <c r="B412" s="41"/>
      <c r="C412" s="42"/>
      <c r="D412" s="43"/>
      <c r="E412" s="42"/>
      <c r="F412" s="42"/>
      <c r="G412" s="42"/>
      <c r="H412" s="42"/>
      <c r="I412" s="42"/>
      <c r="J412" s="42"/>
      <c r="K412" s="42"/>
      <c r="L412" s="42"/>
      <c r="M412" s="42"/>
      <c r="N412" s="42"/>
      <c r="O412" s="42"/>
      <c r="P412" s="42"/>
      <c r="Q412" s="42"/>
      <c r="R412" s="42"/>
      <c r="S412" s="42"/>
      <c r="T412" s="42"/>
      <c r="U412" s="42"/>
      <c r="V412" s="42"/>
      <c r="W412" s="42"/>
      <c r="X412" s="42"/>
      <c r="Y412" s="42"/>
    </row>
    <row r="413" spans="1:25" ht="12.95">
      <c r="A413" s="55"/>
      <c r="B413" s="41"/>
      <c r="C413" s="42"/>
      <c r="D413" s="43"/>
      <c r="E413" s="42"/>
      <c r="F413" s="42"/>
      <c r="G413" s="42"/>
      <c r="H413" s="42"/>
      <c r="I413" s="42"/>
      <c r="J413" s="42"/>
      <c r="K413" s="42"/>
      <c r="L413" s="42"/>
      <c r="M413" s="42"/>
      <c r="N413" s="42"/>
      <c r="O413" s="42"/>
      <c r="P413" s="42"/>
      <c r="Q413" s="42"/>
      <c r="R413" s="42"/>
      <c r="S413" s="42"/>
      <c r="T413" s="42"/>
      <c r="U413" s="42"/>
      <c r="V413" s="42"/>
      <c r="W413" s="42"/>
      <c r="X413" s="42"/>
      <c r="Y413" s="42"/>
    </row>
    <row r="414" spans="1:25" ht="12.95">
      <c r="A414" s="55"/>
      <c r="B414" s="41"/>
      <c r="C414" s="42"/>
      <c r="D414" s="43"/>
      <c r="E414" s="42"/>
      <c r="F414" s="42"/>
      <c r="G414" s="42"/>
      <c r="H414" s="42"/>
      <c r="I414" s="42"/>
      <c r="J414" s="42"/>
      <c r="K414" s="42"/>
      <c r="L414" s="42"/>
      <c r="M414" s="42"/>
      <c r="N414" s="42"/>
      <c r="O414" s="42"/>
      <c r="P414" s="42"/>
      <c r="Q414" s="42"/>
      <c r="R414" s="42"/>
      <c r="S414" s="42"/>
      <c r="T414" s="42"/>
      <c r="U414" s="42"/>
      <c r="V414" s="42"/>
      <c r="W414" s="42"/>
      <c r="X414" s="42"/>
      <c r="Y414" s="42"/>
    </row>
    <row r="415" spans="1:25" ht="12.95">
      <c r="A415" s="55"/>
      <c r="B415" s="41"/>
      <c r="C415" s="42"/>
      <c r="D415" s="43"/>
      <c r="E415" s="42"/>
      <c r="F415" s="42"/>
      <c r="G415" s="42"/>
      <c r="H415" s="42"/>
      <c r="I415" s="42"/>
      <c r="J415" s="42"/>
      <c r="K415" s="42"/>
      <c r="L415" s="42"/>
      <c r="M415" s="42"/>
      <c r="N415" s="42"/>
      <c r="O415" s="42"/>
      <c r="P415" s="42"/>
      <c r="Q415" s="42"/>
      <c r="R415" s="42"/>
      <c r="S415" s="42"/>
      <c r="T415" s="42"/>
      <c r="U415" s="42"/>
      <c r="V415" s="42"/>
      <c r="W415" s="42"/>
      <c r="X415" s="42"/>
      <c r="Y415" s="42"/>
    </row>
    <row r="416" spans="1:25" ht="12.95">
      <c r="A416" s="55"/>
      <c r="B416" s="41"/>
      <c r="C416" s="42"/>
      <c r="D416" s="43"/>
      <c r="E416" s="42"/>
      <c r="F416" s="42"/>
      <c r="G416" s="42"/>
      <c r="H416" s="42"/>
      <c r="I416" s="42"/>
      <c r="J416" s="42"/>
      <c r="K416" s="42"/>
      <c r="L416" s="42"/>
      <c r="M416" s="42"/>
      <c r="N416" s="42"/>
      <c r="O416" s="42"/>
      <c r="P416" s="42"/>
      <c r="Q416" s="42"/>
      <c r="R416" s="42"/>
      <c r="S416" s="42"/>
      <c r="T416" s="42"/>
      <c r="U416" s="42"/>
      <c r="V416" s="42"/>
      <c r="W416" s="42"/>
      <c r="X416" s="42"/>
      <c r="Y416" s="42"/>
    </row>
    <row r="417" spans="1:25" ht="12.95">
      <c r="A417" s="55"/>
      <c r="B417" s="41"/>
      <c r="C417" s="42"/>
      <c r="D417" s="43"/>
      <c r="E417" s="42"/>
      <c r="F417" s="42"/>
      <c r="G417" s="42"/>
      <c r="H417" s="42"/>
      <c r="I417" s="42"/>
      <c r="J417" s="42"/>
      <c r="K417" s="42"/>
      <c r="L417" s="42"/>
      <c r="M417" s="42"/>
      <c r="N417" s="42"/>
      <c r="O417" s="42"/>
      <c r="P417" s="42"/>
      <c r="Q417" s="42"/>
      <c r="R417" s="42"/>
      <c r="S417" s="42"/>
      <c r="T417" s="42"/>
      <c r="U417" s="42"/>
      <c r="V417" s="42"/>
      <c r="W417" s="42"/>
      <c r="X417" s="42"/>
      <c r="Y417" s="42"/>
    </row>
    <row r="418" spans="1:25" ht="12.95">
      <c r="A418" s="55"/>
      <c r="B418" s="41"/>
      <c r="C418" s="42"/>
      <c r="D418" s="43"/>
      <c r="E418" s="42"/>
      <c r="F418" s="42"/>
      <c r="G418" s="42"/>
      <c r="H418" s="42"/>
      <c r="I418" s="42"/>
      <c r="J418" s="42"/>
      <c r="K418" s="42"/>
      <c r="L418" s="42"/>
      <c r="M418" s="42"/>
      <c r="N418" s="42"/>
      <c r="O418" s="42"/>
      <c r="P418" s="42"/>
      <c r="Q418" s="42"/>
      <c r="R418" s="42"/>
      <c r="S418" s="42"/>
      <c r="T418" s="42"/>
      <c r="U418" s="42"/>
      <c r="V418" s="42"/>
      <c r="W418" s="42"/>
      <c r="X418" s="42"/>
      <c r="Y418" s="42"/>
    </row>
    <row r="419" spans="1:25" ht="12.95">
      <c r="A419" s="55"/>
      <c r="B419" s="41"/>
      <c r="C419" s="42"/>
      <c r="D419" s="43"/>
      <c r="E419" s="42"/>
      <c r="F419" s="42"/>
      <c r="G419" s="42"/>
      <c r="H419" s="42"/>
      <c r="I419" s="42"/>
      <c r="J419" s="42"/>
      <c r="K419" s="42"/>
      <c r="L419" s="42"/>
      <c r="M419" s="42"/>
      <c r="N419" s="42"/>
      <c r="O419" s="42"/>
      <c r="P419" s="42"/>
      <c r="Q419" s="42"/>
      <c r="R419" s="42"/>
      <c r="S419" s="42"/>
      <c r="T419" s="42"/>
      <c r="U419" s="42"/>
      <c r="V419" s="42"/>
      <c r="W419" s="42"/>
      <c r="X419" s="42"/>
      <c r="Y419" s="42"/>
    </row>
    <row r="420" spans="1:25" ht="12.95">
      <c r="A420" s="55"/>
      <c r="B420" s="41"/>
      <c r="C420" s="42"/>
      <c r="D420" s="43"/>
      <c r="E420" s="42"/>
      <c r="F420" s="42"/>
      <c r="G420" s="42"/>
      <c r="H420" s="42"/>
      <c r="I420" s="42"/>
      <c r="J420" s="42"/>
      <c r="K420" s="42"/>
      <c r="L420" s="42"/>
      <c r="M420" s="42"/>
      <c r="N420" s="42"/>
      <c r="O420" s="42"/>
      <c r="P420" s="42"/>
      <c r="Q420" s="42"/>
      <c r="R420" s="42"/>
      <c r="S420" s="42"/>
      <c r="T420" s="42"/>
      <c r="U420" s="42"/>
      <c r="V420" s="42"/>
      <c r="W420" s="42"/>
      <c r="X420" s="42"/>
      <c r="Y420" s="42"/>
    </row>
    <row r="421" spans="1:25" ht="12.95">
      <c r="A421" s="55"/>
      <c r="B421" s="41"/>
      <c r="C421" s="42"/>
      <c r="D421" s="43"/>
      <c r="E421" s="42"/>
      <c r="F421" s="42"/>
      <c r="G421" s="42"/>
      <c r="H421" s="42"/>
      <c r="I421" s="42"/>
      <c r="J421" s="42"/>
      <c r="K421" s="42"/>
      <c r="L421" s="42"/>
      <c r="M421" s="42"/>
      <c r="N421" s="42"/>
      <c r="O421" s="42"/>
      <c r="P421" s="42"/>
      <c r="Q421" s="42"/>
      <c r="R421" s="42"/>
      <c r="S421" s="42"/>
      <c r="T421" s="42"/>
      <c r="U421" s="42"/>
      <c r="V421" s="42"/>
      <c r="W421" s="42"/>
      <c r="X421" s="42"/>
      <c r="Y421" s="42"/>
    </row>
    <row r="422" spans="1:25" ht="12.95">
      <c r="A422" s="55"/>
      <c r="B422" s="41"/>
      <c r="C422" s="42"/>
      <c r="D422" s="43"/>
      <c r="E422" s="42"/>
      <c r="F422" s="42"/>
      <c r="G422" s="42"/>
      <c r="H422" s="42"/>
      <c r="I422" s="42"/>
      <c r="J422" s="42"/>
      <c r="K422" s="42"/>
      <c r="L422" s="42"/>
      <c r="M422" s="42"/>
      <c r="N422" s="42"/>
      <c r="O422" s="42"/>
      <c r="P422" s="42"/>
      <c r="Q422" s="42"/>
      <c r="R422" s="42"/>
      <c r="S422" s="42"/>
      <c r="T422" s="42"/>
      <c r="U422" s="42"/>
      <c r="V422" s="42"/>
      <c r="W422" s="42"/>
      <c r="X422" s="42"/>
      <c r="Y422" s="42"/>
    </row>
    <row r="423" spans="1:25" ht="12.95">
      <c r="A423" s="55"/>
      <c r="B423" s="41"/>
      <c r="C423" s="42"/>
      <c r="D423" s="43"/>
      <c r="E423" s="42"/>
      <c r="F423" s="42"/>
      <c r="G423" s="42"/>
      <c r="H423" s="42"/>
      <c r="I423" s="42"/>
      <c r="J423" s="42"/>
      <c r="K423" s="42"/>
      <c r="L423" s="42"/>
      <c r="M423" s="42"/>
      <c r="N423" s="42"/>
      <c r="O423" s="42"/>
      <c r="P423" s="42"/>
      <c r="Q423" s="42"/>
      <c r="R423" s="42"/>
      <c r="S423" s="42"/>
      <c r="T423" s="42"/>
      <c r="U423" s="42"/>
      <c r="V423" s="42"/>
      <c r="W423" s="42"/>
      <c r="X423" s="42"/>
      <c r="Y423" s="42"/>
    </row>
    <row r="424" spans="1:25" ht="12.95">
      <c r="A424" s="55"/>
      <c r="B424" s="41"/>
      <c r="C424" s="42"/>
      <c r="D424" s="43"/>
      <c r="E424" s="42"/>
      <c r="F424" s="42"/>
      <c r="G424" s="42"/>
      <c r="H424" s="42"/>
      <c r="I424" s="42"/>
      <c r="J424" s="42"/>
      <c r="K424" s="42"/>
      <c r="L424" s="42"/>
      <c r="M424" s="42"/>
      <c r="N424" s="42"/>
      <c r="O424" s="42"/>
      <c r="P424" s="42"/>
      <c r="Q424" s="42"/>
      <c r="R424" s="42"/>
      <c r="S424" s="42"/>
      <c r="T424" s="42"/>
      <c r="U424" s="42"/>
      <c r="V424" s="42"/>
      <c r="W424" s="42"/>
      <c r="X424" s="42"/>
      <c r="Y424" s="42"/>
    </row>
    <row r="425" spans="1:25" ht="12.95">
      <c r="A425" s="55"/>
      <c r="B425" s="41"/>
      <c r="C425" s="42"/>
      <c r="D425" s="43"/>
      <c r="E425" s="42"/>
      <c r="F425" s="42"/>
      <c r="G425" s="42"/>
      <c r="H425" s="42"/>
      <c r="I425" s="42"/>
      <c r="J425" s="42"/>
      <c r="K425" s="42"/>
      <c r="L425" s="42"/>
      <c r="M425" s="42"/>
      <c r="N425" s="42"/>
      <c r="O425" s="42"/>
      <c r="P425" s="42"/>
      <c r="Q425" s="42"/>
      <c r="R425" s="42"/>
      <c r="S425" s="42"/>
      <c r="T425" s="42"/>
      <c r="U425" s="42"/>
      <c r="V425" s="42"/>
      <c r="W425" s="42"/>
      <c r="X425" s="42"/>
      <c r="Y425" s="42"/>
    </row>
    <row r="426" spans="1:25" ht="12.95">
      <c r="A426" s="55"/>
      <c r="B426" s="41"/>
      <c r="C426" s="42"/>
      <c r="D426" s="43"/>
      <c r="E426" s="42"/>
      <c r="F426" s="42"/>
      <c r="G426" s="42"/>
      <c r="H426" s="42"/>
      <c r="I426" s="42"/>
      <c r="J426" s="42"/>
      <c r="K426" s="42"/>
      <c r="L426" s="42"/>
      <c r="M426" s="42"/>
      <c r="N426" s="42"/>
      <c r="O426" s="42"/>
      <c r="P426" s="42"/>
      <c r="Q426" s="42"/>
      <c r="R426" s="42"/>
      <c r="S426" s="42"/>
      <c r="T426" s="42"/>
      <c r="U426" s="42"/>
      <c r="V426" s="42"/>
      <c r="W426" s="42"/>
      <c r="X426" s="42"/>
      <c r="Y426" s="42"/>
    </row>
    <row r="427" spans="1:25" ht="12.95">
      <c r="A427" s="55"/>
      <c r="B427" s="41"/>
      <c r="C427" s="42"/>
      <c r="D427" s="43"/>
      <c r="E427" s="42"/>
      <c r="F427" s="42"/>
      <c r="G427" s="42"/>
      <c r="H427" s="42"/>
      <c r="I427" s="42"/>
      <c r="J427" s="42"/>
      <c r="K427" s="42"/>
      <c r="L427" s="42"/>
      <c r="M427" s="42"/>
      <c r="N427" s="42"/>
      <c r="O427" s="42"/>
      <c r="P427" s="42"/>
      <c r="Q427" s="42"/>
      <c r="R427" s="42"/>
      <c r="S427" s="42"/>
      <c r="T427" s="42"/>
      <c r="U427" s="42"/>
      <c r="V427" s="42"/>
      <c r="W427" s="42"/>
      <c r="X427" s="42"/>
      <c r="Y427" s="42"/>
    </row>
    <row r="428" spans="1:25" ht="12.95">
      <c r="A428" s="55"/>
      <c r="B428" s="41"/>
      <c r="C428" s="42"/>
      <c r="D428" s="43"/>
      <c r="E428" s="42"/>
      <c r="F428" s="42"/>
      <c r="G428" s="42"/>
      <c r="H428" s="42"/>
      <c r="I428" s="42"/>
      <c r="J428" s="42"/>
      <c r="K428" s="42"/>
      <c r="L428" s="42"/>
      <c r="M428" s="42"/>
      <c r="N428" s="42"/>
      <c r="O428" s="42"/>
      <c r="P428" s="42"/>
      <c r="Q428" s="42"/>
      <c r="R428" s="42"/>
      <c r="S428" s="42"/>
      <c r="T428" s="42"/>
      <c r="U428" s="42"/>
      <c r="V428" s="42"/>
      <c r="W428" s="42"/>
      <c r="X428" s="42"/>
      <c r="Y428" s="42"/>
    </row>
    <row r="429" spans="1:25" ht="12.95">
      <c r="A429" s="55"/>
      <c r="B429" s="41"/>
      <c r="C429" s="42"/>
      <c r="D429" s="43"/>
      <c r="E429" s="42"/>
      <c r="F429" s="42"/>
      <c r="G429" s="42"/>
      <c r="H429" s="42"/>
      <c r="I429" s="42"/>
      <c r="J429" s="42"/>
      <c r="K429" s="42"/>
      <c r="L429" s="42"/>
      <c r="M429" s="42"/>
      <c r="N429" s="42"/>
      <c r="O429" s="42"/>
      <c r="P429" s="42"/>
      <c r="Q429" s="42"/>
      <c r="R429" s="42"/>
      <c r="S429" s="42"/>
      <c r="T429" s="42"/>
      <c r="U429" s="42"/>
      <c r="V429" s="42"/>
      <c r="W429" s="42"/>
      <c r="X429" s="42"/>
      <c r="Y429" s="42"/>
    </row>
    <row r="430" spans="1:25" ht="12.95">
      <c r="A430" s="55"/>
      <c r="B430" s="41"/>
      <c r="C430" s="42"/>
      <c r="D430" s="43"/>
      <c r="E430" s="42"/>
      <c r="F430" s="42"/>
      <c r="G430" s="42"/>
      <c r="H430" s="42"/>
      <c r="I430" s="42"/>
      <c r="J430" s="42"/>
      <c r="K430" s="42"/>
      <c r="L430" s="42"/>
      <c r="M430" s="42"/>
      <c r="N430" s="42"/>
      <c r="O430" s="42"/>
      <c r="P430" s="42"/>
      <c r="Q430" s="42"/>
      <c r="R430" s="42"/>
      <c r="S430" s="42"/>
      <c r="T430" s="42"/>
      <c r="U430" s="42"/>
      <c r="V430" s="42"/>
      <c r="W430" s="42"/>
      <c r="X430" s="42"/>
      <c r="Y430" s="42"/>
    </row>
    <row r="431" spans="1:25" ht="12.95">
      <c r="A431" s="55"/>
      <c r="B431" s="41"/>
      <c r="C431" s="42"/>
      <c r="D431" s="43"/>
      <c r="E431" s="42"/>
      <c r="F431" s="42"/>
      <c r="G431" s="42"/>
      <c r="H431" s="42"/>
      <c r="I431" s="42"/>
      <c r="J431" s="42"/>
      <c r="K431" s="42"/>
      <c r="L431" s="42"/>
      <c r="M431" s="42"/>
      <c r="N431" s="42"/>
      <c r="O431" s="42"/>
      <c r="P431" s="42"/>
      <c r="Q431" s="42"/>
      <c r="R431" s="42"/>
      <c r="S431" s="42"/>
      <c r="T431" s="42"/>
      <c r="U431" s="42"/>
      <c r="V431" s="42"/>
      <c r="W431" s="42"/>
      <c r="X431" s="42"/>
      <c r="Y431" s="42"/>
    </row>
    <row r="432" spans="1:25" ht="12.95">
      <c r="A432" s="55"/>
      <c r="B432" s="41"/>
      <c r="C432" s="42"/>
      <c r="D432" s="43"/>
      <c r="E432" s="42"/>
      <c r="F432" s="42"/>
      <c r="G432" s="42"/>
      <c r="H432" s="42"/>
      <c r="I432" s="42"/>
      <c r="J432" s="42"/>
      <c r="K432" s="42"/>
      <c r="L432" s="42"/>
      <c r="M432" s="42"/>
      <c r="N432" s="42"/>
      <c r="O432" s="42"/>
      <c r="P432" s="42"/>
      <c r="Q432" s="42"/>
      <c r="R432" s="42"/>
      <c r="S432" s="42"/>
      <c r="T432" s="42"/>
      <c r="U432" s="42"/>
      <c r="V432" s="42"/>
      <c r="W432" s="42"/>
      <c r="X432" s="42"/>
      <c r="Y432" s="42"/>
    </row>
    <row r="433" spans="1:25" ht="12.95">
      <c r="A433" s="55"/>
      <c r="B433" s="41"/>
      <c r="C433" s="42"/>
      <c r="D433" s="43"/>
      <c r="E433" s="42"/>
      <c r="F433" s="42"/>
      <c r="G433" s="42"/>
      <c r="H433" s="42"/>
      <c r="I433" s="42"/>
      <c r="J433" s="42"/>
      <c r="K433" s="42"/>
      <c r="L433" s="42"/>
      <c r="M433" s="42"/>
      <c r="N433" s="42"/>
      <c r="O433" s="42"/>
      <c r="P433" s="42"/>
      <c r="Q433" s="42"/>
      <c r="R433" s="42"/>
      <c r="S433" s="42"/>
      <c r="T433" s="42"/>
      <c r="U433" s="42"/>
      <c r="V433" s="42"/>
      <c r="W433" s="42"/>
      <c r="X433" s="42"/>
      <c r="Y433" s="42"/>
    </row>
    <row r="434" spans="1:25" ht="12.95">
      <c r="A434" s="55"/>
      <c r="B434" s="41"/>
      <c r="C434" s="42"/>
      <c r="D434" s="43"/>
      <c r="E434" s="42"/>
      <c r="F434" s="42"/>
      <c r="G434" s="42"/>
      <c r="H434" s="42"/>
      <c r="I434" s="42"/>
      <c r="J434" s="42"/>
      <c r="K434" s="42"/>
      <c r="L434" s="42"/>
      <c r="M434" s="42"/>
      <c r="N434" s="42"/>
      <c r="O434" s="42"/>
      <c r="P434" s="42"/>
      <c r="Q434" s="42"/>
      <c r="R434" s="42"/>
      <c r="S434" s="42"/>
      <c r="T434" s="42"/>
      <c r="U434" s="42"/>
      <c r="V434" s="42"/>
      <c r="W434" s="42"/>
      <c r="X434" s="42"/>
      <c r="Y434" s="42"/>
    </row>
    <row r="435" spans="1:25" ht="12.95">
      <c r="A435" s="55"/>
      <c r="B435" s="41"/>
      <c r="C435" s="42"/>
      <c r="D435" s="43"/>
      <c r="E435" s="42"/>
      <c r="F435" s="42"/>
      <c r="G435" s="42"/>
      <c r="H435" s="42"/>
      <c r="I435" s="42"/>
      <c r="J435" s="42"/>
      <c r="K435" s="42"/>
      <c r="L435" s="42"/>
      <c r="M435" s="42"/>
      <c r="N435" s="42"/>
      <c r="O435" s="42"/>
      <c r="P435" s="42"/>
      <c r="Q435" s="42"/>
      <c r="R435" s="42"/>
      <c r="S435" s="42"/>
      <c r="T435" s="42"/>
      <c r="U435" s="42"/>
      <c r="V435" s="42"/>
      <c r="W435" s="42"/>
      <c r="X435" s="42"/>
      <c r="Y435" s="42"/>
    </row>
    <row r="436" spans="1:25" ht="12.95">
      <c r="A436" s="55"/>
      <c r="B436" s="41"/>
      <c r="C436" s="42"/>
      <c r="D436" s="43"/>
      <c r="E436" s="42"/>
      <c r="F436" s="42"/>
      <c r="G436" s="42"/>
      <c r="H436" s="42"/>
      <c r="I436" s="42"/>
      <c r="J436" s="42"/>
      <c r="K436" s="42"/>
      <c r="L436" s="42"/>
      <c r="M436" s="42"/>
      <c r="N436" s="42"/>
      <c r="O436" s="42"/>
      <c r="P436" s="42"/>
      <c r="Q436" s="42"/>
      <c r="R436" s="42"/>
      <c r="S436" s="42"/>
      <c r="T436" s="42"/>
      <c r="U436" s="42"/>
      <c r="V436" s="42"/>
      <c r="W436" s="42"/>
      <c r="X436" s="42"/>
      <c r="Y436" s="42"/>
    </row>
    <row r="437" spans="1:25" ht="12.95">
      <c r="A437" s="55"/>
      <c r="B437" s="41"/>
      <c r="C437" s="42"/>
      <c r="D437" s="43"/>
      <c r="E437" s="42"/>
      <c r="F437" s="42"/>
      <c r="G437" s="42"/>
      <c r="H437" s="42"/>
      <c r="I437" s="42"/>
      <c r="J437" s="42"/>
      <c r="K437" s="42"/>
      <c r="L437" s="42"/>
      <c r="M437" s="42"/>
      <c r="N437" s="42"/>
      <c r="O437" s="42"/>
      <c r="P437" s="42"/>
      <c r="Q437" s="42"/>
      <c r="R437" s="42"/>
      <c r="S437" s="42"/>
      <c r="T437" s="42"/>
      <c r="U437" s="42"/>
      <c r="V437" s="42"/>
      <c r="W437" s="42"/>
      <c r="X437" s="42"/>
      <c r="Y437" s="42"/>
    </row>
    <row r="438" spans="1:25" ht="12.95">
      <c r="A438" s="55"/>
      <c r="B438" s="41"/>
      <c r="C438" s="42"/>
      <c r="D438" s="43"/>
      <c r="E438" s="42"/>
      <c r="F438" s="42"/>
      <c r="G438" s="42"/>
      <c r="H438" s="42"/>
      <c r="I438" s="42"/>
      <c r="J438" s="42"/>
      <c r="K438" s="42"/>
      <c r="L438" s="42"/>
      <c r="M438" s="42"/>
      <c r="N438" s="42"/>
      <c r="O438" s="42"/>
      <c r="P438" s="42"/>
      <c r="Q438" s="42"/>
      <c r="R438" s="42"/>
      <c r="S438" s="42"/>
      <c r="T438" s="42"/>
      <c r="U438" s="42"/>
      <c r="V438" s="42"/>
      <c r="W438" s="42"/>
      <c r="X438" s="42"/>
      <c r="Y438" s="42"/>
    </row>
    <row r="439" spans="1:25" ht="12.95">
      <c r="A439" s="55"/>
      <c r="B439" s="41"/>
      <c r="C439" s="42"/>
      <c r="D439" s="43"/>
      <c r="E439" s="42"/>
      <c r="F439" s="42"/>
      <c r="G439" s="42"/>
      <c r="H439" s="42"/>
      <c r="I439" s="42"/>
      <c r="J439" s="42"/>
      <c r="K439" s="42"/>
      <c r="L439" s="42"/>
      <c r="M439" s="42"/>
      <c r="N439" s="42"/>
      <c r="O439" s="42"/>
      <c r="P439" s="42"/>
      <c r="Q439" s="42"/>
      <c r="R439" s="42"/>
      <c r="S439" s="42"/>
      <c r="T439" s="42"/>
      <c r="U439" s="42"/>
      <c r="V439" s="42"/>
      <c r="W439" s="42"/>
      <c r="X439" s="42"/>
      <c r="Y439" s="42"/>
    </row>
    <row r="440" spans="1:25" ht="12.95">
      <c r="A440" s="55"/>
      <c r="B440" s="41"/>
      <c r="C440" s="42"/>
      <c r="D440" s="43"/>
      <c r="E440" s="42"/>
      <c r="F440" s="42"/>
      <c r="G440" s="42"/>
      <c r="H440" s="42"/>
      <c r="I440" s="42"/>
      <c r="J440" s="42"/>
      <c r="K440" s="42"/>
      <c r="L440" s="42"/>
      <c r="M440" s="42"/>
      <c r="N440" s="42"/>
      <c r="O440" s="42"/>
      <c r="P440" s="42"/>
      <c r="Q440" s="42"/>
      <c r="R440" s="42"/>
      <c r="S440" s="42"/>
      <c r="T440" s="42"/>
      <c r="U440" s="42"/>
      <c r="V440" s="42"/>
      <c r="W440" s="42"/>
      <c r="X440" s="42"/>
      <c r="Y440" s="42"/>
    </row>
    <row r="441" spans="1:25" ht="12.95">
      <c r="A441" s="55"/>
      <c r="B441" s="41"/>
      <c r="C441" s="42"/>
      <c r="D441" s="43"/>
      <c r="E441" s="42"/>
      <c r="F441" s="42"/>
      <c r="G441" s="42"/>
      <c r="H441" s="42"/>
      <c r="I441" s="42"/>
      <c r="J441" s="42"/>
      <c r="K441" s="42"/>
      <c r="L441" s="42"/>
      <c r="M441" s="42"/>
      <c r="N441" s="42"/>
      <c r="O441" s="42"/>
      <c r="P441" s="42"/>
      <c r="Q441" s="42"/>
      <c r="R441" s="42"/>
      <c r="S441" s="42"/>
      <c r="T441" s="42"/>
      <c r="U441" s="42"/>
      <c r="V441" s="42"/>
      <c r="W441" s="42"/>
      <c r="X441" s="42"/>
      <c r="Y441" s="42"/>
    </row>
    <row r="442" spans="1:25" ht="12.95">
      <c r="A442" s="55"/>
      <c r="B442" s="41"/>
      <c r="C442" s="42"/>
      <c r="D442" s="43"/>
      <c r="E442" s="42"/>
      <c r="F442" s="42"/>
      <c r="G442" s="42"/>
      <c r="H442" s="42"/>
      <c r="I442" s="42"/>
      <c r="J442" s="42"/>
      <c r="K442" s="42"/>
      <c r="L442" s="42"/>
      <c r="M442" s="42"/>
      <c r="N442" s="42"/>
      <c r="O442" s="42"/>
      <c r="P442" s="42"/>
      <c r="Q442" s="42"/>
      <c r="R442" s="42"/>
      <c r="S442" s="42"/>
      <c r="T442" s="42"/>
      <c r="U442" s="42"/>
      <c r="V442" s="42"/>
      <c r="W442" s="42"/>
      <c r="X442" s="42"/>
      <c r="Y442" s="42"/>
    </row>
    <row r="443" spans="1:25" ht="12.95">
      <c r="A443" s="55"/>
      <c r="B443" s="41"/>
      <c r="C443" s="42"/>
      <c r="D443" s="43"/>
      <c r="E443" s="42"/>
      <c r="F443" s="42"/>
      <c r="G443" s="42"/>
      <c r="H443" s="42"/>
      <c r="I443" s="42"/>
      <c r="J443" s="42"/>
      <c r="K443" s="42"/>
      <c r="L443" s="42"/>
      <c r="M443" s="42"/>
      <c r="N443" s="42"/>
      <c r="O443" s="42"/>
      <c r="P443" s="42"/>
      <c r="Q443" s="42"/>
      <c r="R443" s="42"/>
      <c r="S443" s="42"/>
      <c r="T443" s="42"/>
      <c r="U443" s="42"/>
      <c r="V443" s="42"/>
      <c r="W443" s="42"/>
      <c r="X443" s="42"/>
      <c r="Y443" s="42"/>
    </row>
    <row r="444" spans="1:25" ht="12.95">
      <c r="A444" s="55"/>
      <c r="B444" s="41"/>
      <c r="C444" s="42"/>
      <c r="D444" s="43"/>
      <c r="E444" s="42"/>
      <c r="F444" s="42"/>
      <c r="G444" s="42"/>
      <c r="H444" s="42"/>
      <c r="I444" s="42"/>
      <c r="J444" s="42"/>
      <c r="K444" s="42"/>
      <c r="L444" s="42"/>
      <c r="M444" s="42"/>
      <c r="N444" s="42"/>
      <c r="O444" s="42"/>
      <c r="P444" s="42"/>
      <c r="Q444" s="42"/>
      <c r="R444" s="42"/>
      <c r="S444" s="42"/>
      <c r="T444" s="42"/>
      <c r="U444" s="42"/>
      <c r="V444" s="42"/>
      <c r="W444" s="42"/>
      <c r="X444" s="42"/>
      <c r="Y444" s="42"/>
    </row>
    <row r="445" spans="1:25" ht="12.95">
      <c r="A445" s="55"/>
      <c r="B445" s="41"/>
      <c r="C445" s="42"/>
      <c r="D445" s="43"/>
      <c r="E445" s="42"/>
      <c r="F445" s="42"/>
      <c r="G445" s="42"/>
      <c r="H445" s="42"/>
      <c r="I445" s="42"/>
      <c r="J445" s="42"/>
      <c r="K445" s="42"/>
      <c r="L445" s="42"/>
      <c r="M445" s="42"/>
      <c r="N445" s="42"/>
      <c r="O445" s="42"/>
      <c r="P445" s="42"/>
      <c r="Q445" s="42"/>
      <c r="R445" s="42"/>
      <c r="S445" s="42"/>
      <c r="T445" s="42"/>
      <c r="U445" s="42"/>
      <c r="V445" s="42"/>
      <c r="W445" s="42"/>
      <c r="X445" s="42"/>
      <c r="Y445" s="42"/>
    </row>
    <row r="446" spans="1:25" ht="12.95">
      <c r="A446" s="55"/>
      <c r="B446" s="41"/>
      <c r="C446" s="42"/>
      <c r="D446" s="43"/>
      <c r="E446" s="42"/>
      <c r="F446" s="42"/>
      <c r="G446" s="42"/>
      <c r="H446" s="42"/>
      <c r="I446" s="42"/>
      <c r="J446" s="42"/>
      <c r="K446" s="42"/>
      <c r="L446" s="42"/>
      <c r="M446" s="42"/>
      <c r="N446" s="42"/>
      <c r="O446" s="42"/>
      <c r="P446" s="42"/>
      <c r="Q446" s="42"/>
      <c r="R446" s="42"/>
      <c r="S446" s="42"/>
      <c r="T446" s="42"/>
      <c r="U446" s="42"/>
      <c r="V446" s="42"/>
      <c r="W446" s="42"/>
      <c r="X446" s="42"/>
      <c r="Y446" s="42"/>
    </row>
    <row r="447" spans="1:25" ht="12.95">
      <c r="A447" s="55"/>
      <c r="B447" s="41"/>
      <c r="C447" s="42"/>
      <c r="D447" s="43"/>
      <c r="E447" s="42"/>
      <c r="F447" s="42"/>
      <c r="G447" s="42"/>
      <c r="H447" s="42"/>
      <c r="I447" s="42"/>
      <c r="J447" s="42"/>
      <c r="K447" s="42"/>
      <c r="L447" s="42"/>
      <c r="M447" s="42"/>
      <c r="N447" s="42"/>
      <c r="O447" s="42"/>
      <c r="P447" s="42"/>
      <c r="Q447" s="42"/>
      <c r="R447" s="42"/>
      <c r="S447" s="42"/>
      <c r="T447" s="42"/>
      <c r="U447" s="42"/>
      <c r="V447" s="42"/>
      <c r="W447" s="42"/>
      <c r="X447" s="42"/>
      <c r="Y447" s="42"/>
    </row>
    <row r="448" spans="1:25" ht="12.95">
      <c r="A448" s="55"/>
      <c r="B448" s="41"/>
      <c r="C448" s="42"/>
      <c r="D448" s="43"/>
      <c r="E448" s="42"/>
      <c r="F448" s="42"/>
      <c r="G448" s="42"/>
      <c r="H448" s="42"/>
      <c r="I448" s="42"/>
      <c r="J448" s="42"/>
      <c r="K448" s="42"/>
      <c r="L448" s="42"/>
      <c r="M448" s="42"/>
      <c r="N448" s="42"/>
      <c r="O448" s="42"/>
      <c r="P448" s="42"/>
      <c r="Q448" s="42"/>
      <c r="R448" s="42"/>
      <c r="S448" s="42"/>
      <c r="T448" s="42"/>
      <c r="U448" s="42"/>
      <c r="V448" s="42"/>
      <c r="W448" s="42"/>
      <c r="X448" s="42"/>
      <c r="Y448" s="42"/>
    </row>
    <row r="449" spans="1:25" ht="12.95">
      <c r="A449" s="55"/>
      <c r="B449" s="41"/>
      <c r="C449" s="42"/>
      <c r="D449" s="43"/>
      <c r="E449" s="42"/>
      <c r="F449" s="42"/>
      <c r="G449" s="42"/>
      <c r="H449" s="42"/>
      <c r="I449" s="42"/>
      <c r="J449" s="42"/>
      <c r="K449" s="42"/>
      <c r="L449" s="42"/>
      <c r="M449" s="42"/>
      <c r="N449" s="42"/>
      <c r="O449" s="42"/>
      <c r="P449" s="42"/>
      <c r="Q449" s="42"/>
      <c r="R449" s="42"/>
      <c r="S449" s="42"/>
      <c r="T449" s="42"/>
      <c r="U449" s="42"/>
      <c r="V449" s="42"/>
      <c r="W449" s="42"/>
      <c r="X449" s="42"/>
      <c r="Y449" s="42"/>
    </row>
    <row r="450" spans="1:25" ht="12.95">
      <c r="A450" s="55"/>
      <c r="B450" s="41"/>
      <c r="C450" s="42"/>
      <c r="D450" s="43"/>
      <c r="E450" s="42"/>
      <c r="F450" s="42"/>
      <c r="G450" s="42"/>
      <c r="H450" s="42"/>
      <c r="I450" s="42"/>
      <c r="J450" s="42"/>
      <c r="K450" s="42"/>
      <c r="L450" s="42"/>
      <c r="M450" s="42"/>
      <c r="N450" s="42"/>
      <c r="O450" s="42"/>
      <c r="P450" s="42"/>
      <c r="Q450" s="42"/>
      <c r="R450" s="42"/>
      <c r="S450" s="42"/>
      <c r="T450" s="42"/>
      <c r="U450" s="42"/>
      <c r="V450" s="42"/>
      <c r="W450" s="42"/>
      <c r="X450" s="42"/>
      <c r="Y450" s="42"/>
    </row>
    <row r="451" spans="1:25" ht="12.95">
      <c r="A451" s="55"/>
      <c r="B451" s="41"/>
      <c r="C451" s="42"/>
      <c r="D451" s="43"/>
      <c r="E451" s="42"/>
      <c r="F451" s="42"/>
      <c r="G451" s="42"/>
      <c r="H451" s="42"/>
      <c r="I451" s="42"/>
      <c r="J451" s="42"/>
      <c r="K451" s="42"/>
      <c r="L451" s="42"/>
      <c r="M451" s="42"/>
      <c r="N451" s="42"/>
      <c r="O451" s="42"/>
      <c r="P451" s="42"/>
      <c r="Q451" s="42"/>
      <c r="R451" s="42"/>
      <c r="S451" s="42"/>
      <c r="T451" s="42"/>
      <c r="U451" s="42"/>
      <c r="V451" s="42"/>
      <c r="W451" s="42"/>
      <c r="X451" s="42"/>
      <c r="Y451" s="42"/>
    </row>
    <row r="452" spans="1:25" ht="12.95">
      <c r="A452" s="55"/>
      <c r="B452" s="41"/>
      <c r="C452" s="42"/>
      <c r="D452" s="43"/>
      <c r="E452" s="42"/>
      <c r="F452" s="42"/>
      <c r="G452" s="42"/>
      <c r="H452" s="42"/>
      <c r="I452" s="42"/>
      <c r="J452" s="42"/>
      <c r="K452" s="42"/>
      <c r="L452" s="42"/>
      <c r="M452" s="42"/>
      <c r="N452" s="42"/>
      <c r="O452" s="42"/>
      <c r="P452" s="42"/>
      <c r="Q452" s="42"/>
      <c r="R452" s="42"/>
      <c r="S452" s="42"/>
      <c r="T452" s="42"/>
      <c r="U452" s="42"/>
      <c r="V452" s="42"/>
      <c r="W452" s="42"/>
      <c r="X452" s="42"/>
      <c r="Y452" s="42"/>
    </row>
    <row r="453" spans="1:25" ht="12.95">
      <c r="A453" s="55"/>
      <c r="B453" s="41"/>
      <c r="C453" s="42"/>
      <c r="D453" s="43"/>
      <c r="E453" s="42"/>
      <c r="F453" s="42"/>
      <c r="G453" s="42"/>
      <c r="H453" s="42"/>
      <c r="I453" s="42"/>
      <c r="J453" s="42"/>
      <c r="K453" s="42"/>
      <c r="L453" s="42"/>
      <c r="M453" s="42"/>
      <c r="N453" s="42"/>
      <c r="O453" s="42"/>
      <c r="P453" s="42"/>
      <c r="Q453" s="42"/>
      <c r="R453" s="42"/>
      <c r="S453" s="42"/>
      <c r="T453" s="42"/>
      <c r="U453" s="42"/>
      <c r="V453" s="42"/>
      <c r="W453" s="42"/>
      <c r="X453" s="42"/>
      <c r="Y453" s="42"/>
    </row>
    <row r="454" spans="1:25" ht="12.95">
      <c r="A454" s="55"/>
      <c r="B454" s="41"/>
      <c r="C454" s="42"/>
      <c r="D454" s="43"/>
      <c r="E454" s="42"/>
      <c r="F454" s="42"/>
      <c r="G454" s="42"/>
      <c r="H454" s="42"/>
      <c r="I454" s="42"/>
      <c r="J454" s="42"/>
      <c r="K454" s="42"/>
      <c r="L454" s="42"/>
      <c r="M454" s="42"/>
      <c r="N454" s="42"/>
      <c r="O454" s="42"/>
      <c r="P454" s="42"/>
      <c r="Q454" s="42"/>
      <c r="R454" s="42"/>
      <c r="S454" s="42"/>
      <c r="T454" s="42"/>
      <c r="U454" s="42"/>
      <c r="V454" s="42"/>
      <c r="W454" s="42"/>
      <c r="X454" s="42"/>
      <c r="Y454" s="42"/>
    </row>
    <row r="455" spans="1:25" ht="12.95">
      <c r="A455" s="55"/>
      <c r="B455" s="41"/>
      <c r="C455" s="42"/>
      <c r="D455" s="43"/>
      <c r="E455" s="42"/>
      <c r="F455" s="42"/>
      <c r="G455" s="42"/>
      <c r="H455" s="42"/>
      <c r="I455" s="42"/>
      <c r="J455" s="42"/>
      <c r="K455" s="42"/>
      <c r="L455" s="42"/>
      <c r="M455" s="42"/>
      <c r="N455" s="42"/>
      <c r="O455" s="42"/>
      <c r="P455" s="42"/>
      <c r="Q455" s="42"/>
      <c r="R455" s="42"/>
      <c r="S455" s="42"/>
      <c r="T455" s="42"/>
      <c r="U455" s="42"/>
      <c r="V455" s="42"/>
      <c r="W455" s="42"/>
      <c r="X455" s="42"/>
      <c r="Y455" s="42"/>
    </row>
    <row r="456" spans="1:25" ht="12.95">
      <c r="A456" s="55"/>
      <c r="B456" s="41"/>
      <c r="C456" s="42"/>
      <c r="D456" s="43"/>
      <c r="E456" s="42"/>
      <c r="F456" s="42"/>
      <c r="G456" s="42"/>
      <c r="H456" s="42"/>
      <c r="I456" s="42"/>
      <c r="J456" s="42"/>
      <c r="K456" s="42"/>
      <c r="L456" s="42"/>
      <c r="M456" s="42"/>
      <c r="N456" s="42"/>
      <c r="O456" s="42"/>
      <c r="P456" s="42"/>
      <c r="Q456" s="42"/>
      <c r="R456" s="42"/>
      <c r="S456" s="42"/>
      <c r="T456" s="42"/>
      <c r="U456" s="42"/>
      <c r="V456" s="42"/>
      <c r="W456" s="42"/>
      <c r="X456" s="42"/>
      <c r="Y456" s="42"/>
    </row>
    <row r="457" spans="1:25" ht="12.95">
      <c r="A457" s="55"/>
      <c r="B457" s="41"/>
      <c r="C457" s="42"/>
      <c r="D457" s="43"/>
      <c r="E457" s="42"/>
      <c r="F457" s="42"/>
      <c r="G457" s="42"/>
      <c r="H457" s="42"/>
      <c r="I457" s="42"/>
      <c r="J457" s="42"/>
      <c r="K457" s="42"/>
      <c r="L457" s="42"/>
      <c r="M457" s="42"/>
      <c r="N457" s="42"/>
      <c r="O457" s="42"/>
      <c r="P457" s="42"/>
      <c r="Q457" s="42"/>
      <c r="R457" s="42"/>
      <c r="S457" s="42"/>
      <c r="T457" s="42"/>
      <c r="U457" s="42"/>
      <c r="V457" s="42"/>
      <c r="W457" s="42"/>
      <c r="X457" s="42"/>
      <c r="Y457" s="42"/>
    </row>
    <row r="458" spans="1:25" ht="12.95">
      <c r="A458" s="55"/>
      <c r="B458" s="41"/>
      <c r="C458" s="42"/>
      <c r="D458" s="43"/>
      <c r="E458" s="42"/>
      <c r="F458" s="42"/>
      <c r="G458" s="42"/>
      <c r="H458" s="42"/>
      <c r="I458" s="42"/>
      <c r="J458" s="42"/>
      <c r="K458" s="42"/>
      <c r="L458" s="42"/>
      <c r="M458" s="42"/>
      <c r="N458" s="42"/>
      <c r="O458" s="42"/>
      <c r="P458" s="42"/>
      <c r="Q458" s="42"/>
      <c r="R458" s="42"/>
      <c r="S458" s="42"/>
      <c r="T458" s="42"/>
      <c r="U458" s="42"/>
      <c r="V458" s="42"/>
      <c r="W458" s="42"/>
      <c r="X458" s="42"/>
      <c r="Y458" s="42"/>
    </row>
    <row r="459" spans="1:25" ht="12.95">
      <c r="A459" s="55"/>
      <c r="B459" s="41"/>
      <c r="C459" s="42"/>
      <c r="D459" s="43"/>
      <c r="E459" s="42"/>
      <c r="F459" s="42"/>
      <c r="G459" s="42"/>
      <c r="H459" s="42"/>
      <c r="I459" s="42"/>
      <c r="J459" s="42"/>
      <c r="K459" s="42"/>
      <c r="L459" s="42"/>
      <c r="M459" s="42"/>
      <c r="N459" s="42"/>
      <c r="O459" s="42"/>
      <c r="P459" s="42"/>
      <c r="Q459" s="42"/>
      <c r="R459" s="42"/>
      <c r="S459" s="42"/>
      <c r="T459" s="42"/>
      <c r="U459" s="42"/>
      <c r="V459" s="42"/>
      <c r="W459" s="42"/>
      <c r="X459" s="42"/>
      <c r="Y459" s="42"/>
    </row>
    <row r="460" spans="1:25" ht="12.95">
      <c r="A460" s="55"/>
      <c r="B460" s="41"/>
      <c r="C460" s="42"/>
      <c r="D460" s="43"/>
      <c r="E460" s="42"/>
      <c r="F460" s="42"/>
      <c r="G460" s="42"/>
      <c r="H460" s="42"/>
      <c r="I460" s="42"/>
      <c r="J460" s="42"/>
      <c r="K460" s="42"/>
      <c r="L460" s="42"/>
      <c r="M460" s="42"/>
      <c r="N460" s="42"/>
      <c r="O460" s="42"/>
      <c r="P460" s="42"/>
      <c r="Q460" s="42"/>
      <c r="R460" s="42"/>
      <c r="S460" s="42"/>
      <c r="T460" s="42"/>
      <c r="U460" s="42"/>
      <c r="V460" s="42"/>
      <c r="W460" s="42"/>
      <c r="X460" s="42"/>
      <c r="Y460" s="42"/>
    </row>
    <row r="461" spans="1:25" ht="12.95">
      <c r="A461" s="55"/>
      <c r="B461" s="41"/>
      <c r="C461" s="42"/>
      <c r="D461" s="43"/>
      <c r="E461" s="42"/>
      <c r="F461" s="42"/>
      <c r="G461" s="42"/>
      <c r="H461" s="42"/>
      <c r="I461" s="42"/>
      <c r="J461" s="42"/>
      <c r="K461" s="42"/>
      <c r="L461" s="42"/>
      <c r="M461" s="42"/>
      <c r="N461" s="42"/>
      <c r="O461" s="42"/>
      <c r="P461" s="42"/>
      <c r="Q461" s="42"/>
      <c r="R461" s="42"/>
      <c r="S461" s="42"/>
      <c r="T461" s="42"/>
      <c r="U461" s="42"/>
      <c r="V461" s="42"/>
      <c r="W461" s="42"/>
      <c r="X461" s="42"/>
      <c r="Y461" s="42"/>
    </row>
    <row r="462" spans="1:25" ht="12.95">
      <c r="A462" s="55"/>
      <c r="B462" s="41"/>
      <c r="C462" s="42"/>
      <c r="D462" s="43"/>
      <c r="E462" s="42"/>
      <c r="F462" s="42"/>
      <c r="G462" s="42"/>
      <c r="H462" s="42"/>
      <c r="I462" s="42"/>
      <c r="J462" s="42"/>
      <c r="K462" s="42"/>
      <c r="L462" s="42"/>
      <c r="M462" s="42"/>
      <c r="N462" s="42"/>
      <c r="O462" s="42"/>
      <c r="P462" s="42"/>
      <c r="Q462" s="42"/>
      <c r="R462" s="42"/>
      <c r="S462" s="42"/>
      <c r="T462" s="42"/>
      <c r="U462" s="42"/>
      <c r="V462" s="42"/>
      <c r="W462" s="42"/>
      <c r="X462" s="42"/>
      <c r="Y462" s="42"/>
    </row>
    <row r="463" spans="1:25" ht="12.95">
      <c r="A463" s="55"/>
      <c r="B463" s="41"/>
      <c r="C463" s="42"/>
      <c r="D463" s="43"/>
      <c r="E463" s="42"/>
      <c r="F463" s="42"/>
      <c r="G463" s="42"/>
      <c r="H463" s="42"/>
      <c r="I463" s="42"/>
      <c r="J463" s="42"/>
      <c r="K463" s="42"/>
      <c r="L463" s="42"/>
      <c r="M463" s="42"/>
      <c r="N463" s="42"/>
      <c r="O463" s="42"/>
      <c r="P463" s="42"/>
      <c r="Q463" s="42"/>
      <c r="R463" s="42"/>
      <c r="S463" s="42"/>
      <c r="T463" s="42"/>
      <c r="U463" s="42"/>
      <c r="V463" s="42"/>
      <c r="W463" s="42"/>
      <c r="X463" s="42"/>
      <c r="Y463" s="42"/>
    </row>
    <row r="464" spans="1:25" ht="12.95">
      <c r="A464" s="55"/>
      <c r="B464" s="41"/>
      <c r="C464" s="42"/>
      <c r="D464" s="43"/>
      <c r="E464" s="42"/>
      <c r="F464" s="42"/>
      <c r="G464" s="42"/>
      <c r="H464" s="42"/>
      <c r="I464" s="42"/>
      <c r="J464" s="42"/>
      <c r="K464" s="42"/>
      <c r="L464" s="42"/>
      <c r="M464" s="42"/>
      <c r="N464" s="42"/>
      <c r="O464" s="42"/>
      <c r="P464" s="42"/>
      <c r="Q464" s="42"/>
      <c r="R464" s="42"/>
      <c r="S464" s="42"/>
      <c r="T464" s="42"/>
      <c r="U464" s="42"/>
      <c r="V464" s="42"/>
      <c r="W464" s="42"/>
      <c r="X464" s="42"/>
      <c r="Y464" s="42"/>
    </row>
    <row r="465" spans="1:25" ht="12.95">
      <c r="A465" s="55"/>
      <c r="B465" s="41"/>
      <c r="C465" s="42"/>
      <c r="D465" s="43"/>
      <c r="E465" s="42"/>
      <c r="F465" s="42"/>
      <c r="G465" s="42"/>
      <c r="H465" s="42"/>
      <c r="I465" s="42"/>
      <c r="J465" s="42"/>
      <c r="K465" s="42"/>
      <c r="L465" s="42"/>
      <c r="M465" s="42"/>
      <c r="N465" s="42"/>
      <c r="O465" s="42"/>
      <c r="P465" s="42"/>
      <c r="Q465" s="42"/>
      <c r="R465" s="42"/>
      <c r="S465" s="42"/>
      <c r="T465" s="42"/>
      <c r="U465" s="42"/>
      <c r="V465" s="42"/>
      <c r="W465" s="42"/>
      <c r="X465" s="42"/>
      <c r="Y465" s="42"/>
    </row>
    <row r="466" spans="1:25" ht="12.95">
      <c r="A466" s="55"/>
      <c r="B466" s="41"/>
      <c r="C466" s="42"/>
      <c r="D466" s="43"/>
      <c r="E466" s="42"/>
      <c r="F466" s="42"/>
      <c r="G466" s="42"/>
      <c r="H466" s="42"/>
      <c r="I466" s="42"/>
      <c r="J466" s="42"/>
      <c r="K466" s="42"/>
      <c r="L466" s="42"/>
      <c r="M466" s="42"/>
      <c r="N466" s="42"/>
      <c r="O466" s="42"/>
      <c r="P466" s="42"/>
      <c r="Q466" s="42"/>
      <c r="R466" s="42"/>
      <c r="S466" s="42"/>
      <c r="T466" s="42"/>
      <c r="U466" s="42"/>
      <c r="V466" s="42"/>
      <c r="W466" s="42"/>
      <c r="X466" s="42"/>
      <c r="Y466" s="42"/>
    </row>
    <row r="467" spans="1:25" ht="12.95">
      <c r="A467" s="55"/>
      <c r="B467" s="41"/>
      <c r="C467" s="42"/>
      <c r="D467" s="43"/>
      <c r="E467" s="42"/>
      <c r="F467" s="42"/>
      <c r="G467" s="42"/>
      <c r="H467" s="42"/>
      <c r="I467" s="42"/>
      <c r="J467" s="42"/>
      <c r="K467" s="42"/>
      <c r="L467" s="42"/>
      <c r="M467" s="42"/>
      <c r="N467" s="42"/>
      <c r="O467" s="42"/>
      <c r="P467" s="42"/>
      <c r="Q467" s="42"/>
      <c r="R467" s="42"/>
      <c r="S467" s="42"/>
      <c r="T467" s="42"/>
      <c r="U467" s="42"/>
      <c r="V467" s="42"/>
      <c r="W467" s="42"/>
      <c r="X467" s="42"/>
      <c r="Y467" s="42"/>
    </row>
    <row r="468" spans="1:25" ht="12.95">
      <c r="A468" s="55"/>
      <c r="B468" s="41"/>
      <c r="C468" s="42"/>
      <c r="D468" s="43"/>
      <c r="E468" s="42"/>
      <c r="F468" s="42"/>
      <c r="G468" s="42"/>
      <c r="H468" s="42"/>
      <c r="I468" s="42"/>
      <c r="J468" s="42"/>
      <c r="K468" s="42"/>
      <c r="L468" s="42"/>
      <c r="M468" s="42"/>
      <c r="N468" s="42"/>
      <c r="O468" s="42"/>
      <c r="P468" s="42"/>
      <c r="Q468" s="42"/>
      <c r="R468" s="42"/>
      <c r="S468" s="42"/>
      <c r="T468" s="42"/>
      <c r="U468" s="42"/>
      <c r="V468" s="42"/>
      <c r="W468" s="42"/>
      <c r="X468" s="42"/>
      <c r="Y468" s="42"/>
    </row>
    <row r="469" spans="1:25" ht="12.95">
      <c r="A469" s="55"/>
      <c r="B469" s="41"/>
      <c r="C469" s="42"/>
      <c r="D469" s="43"/>
      <c r="E469" s="42"/>
      <c r="F469" s="42"/>
      <c r="G469" s="42"/>
      <c r="H469" s="42"/>
      <c r="I469" s="42"/>
      <c r="J469" s="42"/>
      <c r="K469" s="42"/>
      <c r="L469" s="42"/>
      <c r="M469" s="42"/>
      <c r="N469" s="42"/>
      <c r="O469" s="42"/>
      <c r="P469" s="42"/>
      <c r="Q469" s="42"/>
      <c r="R469" s="42"/>
      <c r="S469" s="42"/>
      <c r="T469" s="42"/>
      <c r="U469" s="42"/>
      <c r="V469" s="42"/>
      <c r="W469" s="42"/>
      <c r="X469" s="42"/>
      <c r="Y469" s="42"/>
    </row>
    <row r="470" spans="1:25" ht="12.95">
      <c r="A470" s="55"/>
      <c r="B470" s="41"/>
      <c r="C470" s="42"/>
      <c r="D470" s="43"/>
      <c r="E470" s="42"/>
      <c r="F470" s="42"/>
      <c r="G470" s="42"/>
      <c r="H470" s="42"/>
      <c r="I470" s="42"/>
      <c r="J470" s="42"/>
      <c r="K470" s="42"/>
      <c r="L470" s="42"/>
      <c r="M470" s="42"/>
      <c r="N470" s="42"/>
      <c r="O470" s="42"/>
      <c r="P470" s="42"/>
      <c r="Q470" s="42"/>
      <c r="R470" s="42"/>
      <c r="S470" s="42"/>
      <c r="T470" s="42"/>
      <c r="U470" s="42"/>
      <c r="V470" s="42"/>
      <c r="W470" s="42"/>
      <c r="X470" s="42"/>
      <c r="Y470" s="42"/>
    </row>
    <row r="471" spans="1:25" ht="12.95">
      <c r="A471" s="55"/>
      <c r="B471" s="41"/>
      <c r="C471" s="42"/>
      <c r="D471" s="43"/>
      <c r="E471" s="42"/>
      <c r="F471" s="42"/>
      <c r="G471" s="42"/>
      <c r="H471" s="42"/>
      <c r="I471" s="42"/>
      <c r="J471" s="42"/>
      <c r="K471" s="42"/>
      <c r="L471" s="42"/>
      <c r="M471" s="42"/>
      <c r="N471" s="42"/>
      <c r="O471" s="42"/>
      <c r="P471" s="42"/>
      <c r="Q471" s="42"/>
      <c r="R471" s="42"/>
      <c r="S471" s="42"/>
      <c r="T471" s="42"/>
      <c r="U471" s="42"/>
      <c r="V471" s="42"/>
      <c r="W471" s="42"/>
      <c r="X471" s="42"/>
      <c r="Y471" s="42"/>
    </row>
    <row r="472" spans="1:25" ht="12.95">
      <c r="A472" s="55"/>
      <c r="B472" s="41"/>
      <c r="C472" s="42"/>
      <c r="D472" s="43"/>
      <c r="E472" s="42"/>
      <c r="F472" s="42"/>
      <c r="G472" s="42"/>
      <c r="H472" s="42"/>
      <c r="I472" s="42"/>
      <c r="J472" s="42"/>
      <c r="K472" s="42"/>
      <c r="L472" s="42"/>
      <c r="M472" s="42"/>
      <c r="N472" s="42"/>
      <c r="O472" s="42"/>
      <c r="P472" s="42"/>
      <c r="Q472" s="42"/>
      <c r="R472" s="42"/>
      <c r="S472" s="42"/>
      <c r="T472" s="42"/>
      <c r="U472" s="42"/>
      <c r="V472" s="42"/>
      <c r="W472" s="42"/>
      <c r="X472" s="42"/>
      <c r="Y472" s="42"/>
    </row>
    <row r="473" spans="1:25" ht="12.95">
      <c r="A473" s="55"/>
      <c r="B473" s="41"/>
      <c r="C473" s="42"/>
      <c r="D473" s="43"/>
      <c r="E473" s="42"/>
      <c r="F473" s="42"/>
      <c r="G473" s="42"/>
      <c r="H473" s="42"/>
      <c r="I473" s="42"/>
      <c r="J473" s="42"/>
      <c r="K473" s="42"/>
      <c r="L473" s="42"/>
      <c r="M473" s="42"/>
      <c r="N473" s="42"/>
      <c r="O473" s="42"/>
      <c r="P473" s="42"/>
      <c r="Q473" s="42"/>
      <c r="R473" s="42"/>
      <c r="S473" s="42"/>
      <c r="T473" s="42"/>
      <c r="U473" s="42"/>
      <c r="V473" s="42"/>
      <c r="W473" s="42"/>
      <c r="X473" s="42"/>
      <c r="Y473" s="42"/>
    </row>
    <row r="474" spans="1:25" ht="12.95">
      <c r="A474" s="55"/>
      <c r="B474" s="41"/>
      <c r="C474" s="42"/>
      <c r="D474" s="43"/>
      <c r="E474" s="42"/>
      <c r="F474" s="42"/>
      <c r="G474" s="42"/>
      <c r="H474" s="42"/>
      <c r="I474" s="42"/>
      <c r="J474" s="42"/>
      <c r="K474" s="42"/>
      <c r="L474" s="42"/>
      <c r="M474" s="42"/>
      <c r="N474" s="42"/>
      <c r="O474" s="42"/>
      <c r="P474" s="42"/>
      <c r="Q474" s="42"/>
      <c r="R474" s="42"/>
      <c r="S474" s="42"/>
      <c r="T474" s="42"/>
      <c r="U474" s="42"/>
      <c r="V474" s="42"/>
      <c r="W474" s="42"/>
      <c r="X474" s="42"/>
      <c r="Y474" s="42"/>
    </row>
    <row r="475" spans="1:25" ht="12.95">
      <c r="A475" s="55"/>
      <c r="B475" s="41"/>
      <c r="C475" s="42"/>
      <c r="D475" s="43"/>
      <c r="E475" s="42"/>
      <c r="F475" s="42"/>
      <c r="G475" s="42"/>
      <c r="H475" s="42"/>
      <c r="I475" s="42"/>
      <c r="J475" s="42"/>
      <c r="K475" s="42"/>
      <c r="L475" s="42"/>
      <c r="M475" s="42"/>
      <c r="N475" s="42"/>
      <c r="O475" s="42"/>
      <c r="P475" s="42"/>
      <c r="Q475" s="42"/>
      <c r="R475" s="42"/>
      <c r="S475" s="42"/>
      <c r="T475" s="42"/>
      <c r="U475" s="42"/>
      <c r="V475" s="42"/>
      <c r="W475" s="42"/>
      <c r="X475" s="42"/>
      <c r="Y475" s="42"/>
    </row>
    <row r="476" spans="1:25" ht="12.95">
      <c r="A476" s="55"/>
      <c r="B476" s="41"/>
      <c r="C476" s="42"/>
      <c r="D476" s="43"/>
      <c r="E476" s="42"/>
      <c r="F476" s="42"/>
      <c r="G476" s="42"/>
      <c r="H476" s="42"/>
      <c r="I476" s="42"/>
      <c r="J476" s="42"/>
      <c r="K476" s="42"/>
      <c r="L476" s="42"/>
      <c r="M476" s="42"/>
      <c r="N476" s="42"/>
      <c r="O476" s="42"/>
      <c r="P476" s="42"/>
      <c r="Q476" s="42"/>
      <c r="R476" s="42"/>
      <c r="S476" s="42"/>
      <c r="T476" s="42"/>
      <c r="U476" s="42"/>
      <c r="V476" s="42"/>
      <c r="W476" s="42"/>
      <c r="X476" s="42"/>
      <c r="Y476" s="42"/>
    </row>
    <row r="477" spans="1:25" ht="12.95">
      <c r="A477" s="55"/>
      <c r="B477" s="41"/>
      <c r="C477" s="42"/>
      <c r="D477" s="43"/>
      <c r="E477" s="42"/>
      <c r="F477" s="42"/>
      <c r="G477" s="42"/>
      <c r="H477" s="42"/>
      <c r="I477" s="42"/>
      <c r="J477" s="42"/>
      <c r="K477" s="42"/>
      <c r="L477" s="42"/>
      <c r="M477" s="42"/>
      <c r="N477" s="42"/>
      <c r="O477" s="42"/>
      <c r="P477" s="42"/>
      <c r="Q477" s="42"/>
      <c r="R477" s="42"/>
      <c r="S477" s="42"/>
      <c r="T477" s="42"/>
      <c r="U477" s="42"/>
      <c r="V477" s="42"/>
      <c r="W477" s="42"/>
      <c r="X477" s="42"/>
      <c r="Y477" s="42"/>
    </row>
    <row r="478" spans="1:25" ht="12.95">
      <c r="A478" s="55"/>
      <c r="B478" s="41"/>
      <c r="C478" s="42"/>
      <c r="D478" s="43"/>
      <c r="E478" s="42"/>
      <c r="F478" s="42"/>
      <c r="G478" s="42"/>
      <c r="H478" s="42"/>
      <c r="I478" s="42"/>
      <c r="J478" s="42"/>
      <c r="K478" s="42"/>
      <c r="L478" s="42"/>
      <c r="M478" s="42"/>
      <c r="N478" s="42"/>
      <c r="O478" s="42"/>
      <c r="P478" s="42"/>
      <c r="Q478" s="42"/>
      <c r="R478" s="42"/>
      <c r="S478" s="42"/>
      <c r="T478" s="42"/>
      <c r="U478" s="42"/>
      <c r="V478" s="42"/>
      <c r="W478" s="42"/>
      <c r="X478" s="42"/>
      <c r="Y478" s="42"/>
    </row>
    <row r="479" spans="1:25" ht="12.95">
      <c r="A479" s="55"/>
      <c r="B479" s="41"/>
      <c r="C479" s="42"/>
      <c r="D479" s="43"/>
      <c r="E479" s="42"/>
      <c r="F479" s="42"/>
      <c r="G479" s="42"/>
      <c r="H479" s="42"/>
      <c r="I479" s="42"/>
      <c r="J479" s="42"/>
      <c r="K479" s="42"/>
      <c r="L479" s="42"/>
      <c r="M479" s="42"/>
      <c r="N479" s="42"/>
      <c r="O479" s="42"/>
      <c r="P479" s="42"/>
      <c r="Q479" s="42"/>
      <c r="R479" s="42"/>
      <c r="S479" s="42"/>
      <c r="T479" s="42"/>
      <c r="U479" s="42"/>
      <c r="V479" s="42"/>
      <c r="W479" s="42"/>
      <c r="X479" s="42"/>
      <c r="Y479" s="42"/>
    </row>
    <row r="480" spans="1:25" ht="12.95">
      <c r="A480" s="55"/>
      <c r="B480" s="41"/>
      <c r="C480" s="42"/>
      <c r="D480" s="43"/>
      <c r="E480" s="42"/>
      <c r="F480" s="42"/>
      <c r="G480" s="42"/>
      <c r="H480" s="42"/>
      <c r="I480" s="42"/>
      <c r="J480" s="42"/>
      <c r="K480" s="42"/>
      <c r="L480" s="42"/>
      <c r="M480" s="42"/>
      <c r="N480" s="42"/>
      <c r="O480" s="42"/>
      <c r="P480" s="42"/>
      <c r="Q480" s="42"/>
      <c r="R480" s="42"/>
      <c r="S480" s="42"/>
      <c r="T480" s="42"/>
      <c r="U480" s="42"/>
      <c r="V480" s="42"/>
      <c r="W480" s="42"/>
      <c r="X480" s="42"/>
      <c r="Y480" s="42"/>
    </row>
    <row r="481" spans="1:25" ht="12.95">
      <c r="A481" s="55"/>
      <c r="B481" s="41"/>
      <c r="C481" s="42"/>
      <c r="D481" s="43"/>
      <c r="E481" s="42"/>
      <c r="F481" s="42"/>
      <c r="G481" s="42"/>
      <c r="H481" s="42"/>
      <c r="I481" s="42"/>
      <c r="J481" s="42"/>
      <c r="K481" s="42"/>
      <c r="L481" s="42"/>
      <c r="M481" s="42"/>
      <c r="N481" s="42"/>
      <c r="O481" s="42"/>
      <c r="P481" s="42"/>
      <c r="Q481" s="42"/>
      <c r="R481" s="42"/>
      <c r="S481" s="42"/>
      <c r="T481" s="42"/>
      <c r="U481" s="42"/>
      <c r="V481" s="42"/>
      <c r="W481" s="42"/>
      <c r="X481" s="42"/>
      <c r="Y481" s="42"/>
    </row>
    <row r="482" spans="1:25" ht="12.95">
      <c r="A482" s="55"/>
      <c r="B482" s="41"/>
      <c r="C482" s="42"/>
      <c r="D482" s="43"/>
      <c r="E482" s="42"/>
      <c r="F482" s="42"/>
      <c r="G482" s="42"/>
      <c r="H482" s="42"/>
      <c r="I482" s="42"/>
      <c r="J482" s="42"/>
      <c r="K482" s="42"/>
      <c r="L482" s="42"/>
      <c r="M482" s="42"/>
      <c r="N482" s="42"/>
      <c r="O482" s="42"/>
      <c r="P482" s="42"/>
      <c r="Q482" s="42"/>
      <c r="R482" s="42"/>
      <c r="S482" s="42"/>
      <c r="T482" s="42"/>
      <c r="U482" s="42"/>
      <c r="V482" s="42"/>
      <c r="W482" s="42"/>
      <c r="X482" s="42"/>
      <c r="Y482" s="42"/>
    </row>
    <row r="483" spans="1:25" ht="12.95">
      <c r="A483" s="55"/>
      <c r="B483" s="41"/>
      <c r="C483" s="42"/>
      <c r="D483" s="43"/>
      <c r="E483" s="42"/>
      <c r="F483" s="42"/>
      <c r="G483" s="42"/>
      <c r="H483" s="42"/>
      <c r="I483" s="42"/>
      <c r="J483" s="42"/>
      <c r="K483" s="42"/>
      <c r="L483" s="42"/>
      <c r="M483" s="42"/>
      <c r="N483" s="42"/>
      <c r="O483" s="42"/>
      <c r="P483" s="42"/>
      <c r="Q483" s="42"/>
      <c r="R483" s="42"/>
      <c r="S483" s="42"/>
      <c r="T483" s="42"/>
      <c r="U483" s="42"/>
      <c r="V483" s="42"/>
      <c r="W483" s="42"/>
      <c r="X483" s="42"/>
      <c r="Y483" s="42"/>
    </row>
    <row r="484" spans="1:25" ht="12.95">
      <c r="A484" s="55"/>
      <c r="B484" s="41"/>
      <c r="C484" s="42"/>
      <c r="D484" s="43"/>
      <c r="E484" s="42"/>
      <c r="F484" s="42"/>
      <c r="G484" s="42"/>
      <c r="H484" s="42"/>
      <c r="I484" s="42"/>
      <c r="J484" s="42"/>
      <c r="K484" s="42"/>
      <c r="L484" s="42"/>
      <c r="M484" s="42"/>
      <c r="N484" s="42"/>
      <c r="O484" s="42"/>
      <c r="P484" s="42"/>
      <c r="Q484" s="42"/>
      <c r="R484" s="42"/>
      <c r="S484" s="42"/>
      <c r="T484" s="42"/>
      <c r="U484" s="42"/>
      <c r="V484" s="42"/>
      <c r="W484" s="42"/>
      <c r="X484" s="42"/>
      <c r="Y484" s="42"/>
    </row>
    <row r="485" spans="1:25" ht="12.95">
      <c r="A485" s="55"/>
      <c r="B485" s="41"/>
      <c r="C485" s="42"/>
      <c r="D485" s="43"/>
      <c r="E485" s="42"/>
      <c r="F485" s="42"/>
      <c r="G485" s="42"/>
      <c r="H485" s="42"/>
      <c r="I485" s="42"/>
      <c r="J485" s="42"/>
      <c r="K485" s="42"/>
      <c r="L485" s="42"/>
      <c r="M485" s="42"/>
      <c r="N485" s="42"/>
      <c r="O485" s="42"/>
      <c r="P485" s="42"/>
      <c r="Q485" s="42"/>
      <c r="R485" s="42"/>
      <c r="S485" s="42"/>
      <c r="T485" s="42"/>
      <c r="U485" s="42"/>
      <c r="V485" s="42"/>
      <c r="W485" s="42"/>
      <c r="X485" s="42"/>
      <c r="Y485" s="42"/>
    </row>
    <row r="486" spans="1:25" ht="12.95">
      <c r="A486" s="55"/>
      <c r="B486" s="41"/>
      <c r="C486" s="42"/>
      <c r="D486" s="43"/>
      <c r="E486" s="42"/>
      <c r="F486" s="42"/>
      <c r="G486" s="42"/>
      <c r="H486" s="42"/>
      <c r="I486" s="42"/>
      <c r="J486" s="42"/>
      <c r="K486" s="42"/>
      <c r="L486" s="42"/>
      <c r="M486" s="42"/>
      <c r="N486" s="42"/>
      <c r="O486" s="42"/>
      <c r="P486" s="42"/>
      <c r="Q486" s="42"/>
      <c r="R486" s="42"/>
      <c r="S486" s="42"/>
      <c r="T486" s="42"/>
      <c r="U486" s="42"/>
      <c r="V486" s="42"/>
      <c r="W486" s="42"/>
      <c r="X486" s="42"/>
      <c r="Y486" s="42"/>
    </row>
    <row r="487" spans="1:25" ht="12.95">
      <c r="A487" s="55"/>
      <c r="B487" s="41"/>
      <c r="C487" s="42"/>
      <c r="D487" s="43"/>
      <c r="E487" s="42"/>
      <c r="F487" s="42"/>
      <c r="G487" s="42"/>
      <c r="H487" s="42"/>
      <c r="I487" s="42"/>
      <c r="J487" s="42"/>
      <c r="K487" s="42"/>
      <c r="L487" s="42"/>
      <c r="M487" s="42"/>
      <c r="N487" s="42"/>
      <c r="O487" s="42"/>
      <c r="P487" s="42"/>
      <c r="Q487" s="42"/>
      <c r="R487" s="42"/>
      <c r="S487" s="42"/>
      <c r="T487" s="42"/>
      <c r="U487" s="42"/>
      <c r="V487" s="42"/>
      <c r="W487" s="42"/>
      <c r="X487" s="42"/>
      <c r="Y487" s="42"/>
    </row>
    <row r="488" spans="1:25" ht="12.95">
      <c r="A488" s="55"/>
      <c r="B488" s="41"/>
      <c r="C488" s="42"/>
      <c r="D488" s="43"/>
      <c r="E488" s="42"/>
      <c r="F488" s="42"/>
      <c r="G488" s="42"/>
      <c r="H488" s="42"/>
      <c r="I488" s="42"/>
      <c r="J488" s="42"/>
      <c r="K488" s="42"/>
      <c r="L488" s="42"/>
      <c r="M488" s="42"/>
      <c r="N488" s="42"/>
      <c r="O488" s="42"/>
      <c r="P488" s="42"/>
      <c r="Q488" s="42"/>
      <c r="R488" s="42"/>
      <c r="S488" s="42"/>
      <c r="T488" s="42"/>
      <c r="U488" s="42"/>
      <c r="V488" s="42"/>
      <c r="W488" s="42"/>
      <c r="X488" s="42"/>
      <c r="Y488" s="42"/>
    </row>
    <row r="489" spans="1:25" ht="12.95">
      <c r="A489" s="55"/>
      <c r="B489" s="41"/>
      <c r="C489" s="42"/>
      <c r="D489" s="43"/>
      <c r="E489" s="42"/>
      <c r="F489" s="42"/>
      <c r="G489" s="42"/>
      <c r="H489" s="42"/>
      <c r="I489" s="42"/>
      <c r="J489" s="42"/>
      <c r="K489" s="42"/>
      <c r="L489" s="42"/>
      <c r="M489" s="42"/>
      <c r="N489" s="42"/>
      <c r="O489" s="42"/>
      <c r="P489" s="42"/>
      <c r="Q489" s="42"/>
      <c r="R489" s="42"/>
      <c r="S489" s="42"/>
      <c r="T489" s="42"/>
      <c r="U489" s="42"/>
      <c r="V489" s="42"/>
      <c r="W489" s="42"/>
      <c r="X489" s="42"/>
      <c r="Y489" s="42"/>
    </row>
    <row r="490" spans="1:25" ht="12.95">
      <c r="A490" s="55"/>
      <c r="B490" s="41"/>
      <c r="C490" s="42"/>
      <c r="D490" s="43"/>
      <c r="E490" s="42"/>
      <c r="F490" s="42"/>
      <c r="G490" s="42"/>
      <c r="H490" s="42"/>
      <c r="I490" s="42"/>
      <c r="J490" s="42"/>
      <c r="K490" s="42"/>
      <c r="L490" s="42"/>
      <c r="M490" s="42"/>
      <c r="N490" s="42"/>
      <c r="O490" s="42"/>
      <c r="P490" s="42"/>
      <c r="Q490" s="42"/>
      <c r="R490" s="42"/>
      <c r="S490" s="42"/>
      <c r="T490" s="42"/>
      <c r="U490" s="42"/>
      <c r="V490" s="42"/>
      <c r="W490" s="42"/>
      <c r="X490" s="42"/>
      <c r="Y490" s="42"/>
    </row>
    <row r="491" spans="1:25" ht="12.95">
      <c r="A491" s="55"/>
      <c r="B491" s="41"/>
      <c r="C491" s="42"/>
      <c r="D491" s="43"/>
      <c r="E491" s="42"/>
      <c r="F491" s="42"/>
      <c r="G491" s="42"/>
      <c r="H491" s="42"/>
      <c r="I491" s="42"/>
      <c r="J491" s="42"/>
      <c r="K491" s="42"/>
      <c r="L491" s="42"/>
      <c r="M491" s="42"/>
      <c r="N491" s="42"/>
      <c r="O491" s="42"/>
      <c r="P491" s="42"/>
      <c r="Q491" s="42"/>
      <c r="R491" s="42"/>
      <c r="S491" s="42"/>
      <c r="T491" s="42"/>
      <c r="U491" s="42"/>
      <c r="V491" s="42"/>
      <c r="W491" s="42"/>
      <c r="X491" s="42"/>
      <c r="Y491" s="42"/>
    </row>
    <row r="492" spans="1:25" ht="12.95">
      <c r="A492" s="55"/>
      <c r="B492" s="41"/>
      <c r="C492" s="42"/>
      <c r="D492" s="43"/>
      <c r="E492" s="42"/>
      <c r="F492" s="42"/>
      <c r="G492" s="42"/>
      <c r="H492" s="42"/>
      <c r="I492" s="42"/>
      <c r="J492" s="42"/>
      <c r="K492" s="42"/>
      <c r="L492" s="42"/>
      <c r="M492" s="42"/>
      <c r="N492" s="42"/>
      <c r="O492" s="42"/>
      <c r="P492" s="42"/>
      <c r="Q492" s="42"/>
      <c r="R492" s="42"/>
      <c r="S492" s="42"/>
      <c r="T492" s="42"/>
      <c r="U492" s="42"/>
      <c r="V492" s="42"/>
      <c r="W492" s="42"/>
      <c r="X492" s="42"/>
      <c r="Y492" s="42"/>
    </row>
    <row r="493" spans="1:25" ht="12.95">
      <c r="A493" s="55"/>
      <c r="B493" s="41"/>
      <c r="C493" s="42"/>
      <c r="D493" s="43"/>
      <c r="E493" s="42"/>
      <c r="F493" s="42"/>
      <c r="G493" s="42"/>
      <c r="H493" s="42"/>
      <c r="I493" s="42"/>
      <c r="J493" s="42"/>
      <c r="K493" s="42"/>
      <c r="L493" s="42"/>
      <c r="M493" s="42"/>
      <c r="N493" s="42"/>
      <c r="O493" s="42"/>
      <c r="P493" s="42"/>
      <c r="Q493" s="42"/>
      <c r="R493" s="42"/>
      <c r="S493" s="42"/>
      <c r="T493" s="42"/>
      <c r="U493" s="42"/>
      <c r="V493" s="42"/>
      <c r="W493" s="42"/>
      <c r="X493" s="42"/>
      <c r="Y493" s="42"/>
    </row>
    <row r="494" spans="1:25" ht="12.95">
      <c r="A494" s="55"/>
      <c r="B494" s="41"/>
      <c r="C494" s="42"/>
      <c r="D494" s="43"/>
      <c r="E494" s="42"/>
      <c r="F494" s="42"/>
      <c r="G494" s="42"/>
      <c r="H494" s="42"/>
      <c r="I494" s="42"/>
      <c r="J494" s="42"/>
      <c r="K494" s="42"/>
      <c r="L494" s="42"/>
      <c r="M494" s="42"/>
      <c r="N494" s="42"/>
      <c r="O494" s="42"/>
      <c r="P494" s="42"/>
      <c r="Q494" s="42"/>
      <c r="R494" s="42"/>
      <c r="S494" s="42"/>
      <c r="T494" s="42"/>
      <c r="U494" s="42"/>
      <c r="V494" s="42"/>
      <c r="W494" s="42"/>
      <c r="X494" s="42"/>
      <c r="Y494" s="42"/>
    </row>
    <row r="495" spans="1:25" ht="12.95">
      <c r="A495" s="55"/>
      <c r="B495" s="41"/>
      <c r="C495" s="42"/>
      <c r="D495" s="43"/>
      <c r="E495" s="42"/>
      <c r="F495" s="42"/>
      <c r="G495" s="42"/>
      <c r="H495" s="42"/>
      <c r="I495" s="42"/>
      <c r="J495" s="42"/>
      <c r="K495" s="42"/>
      <c r="L495" s="42"/>
      <c r="M495" s="42"/>
      <c r="N495" s="42"/>
      <c r="O495" s="42"/>
      <c r="P495" s="42"/>
      <c r="Q495" s="42"/>
      <c r="R495" s="42"/>
      <c r="S495" s="42"/>
      <c r="T495" s="42"/>
      <c r="U495" s="42"/>
      <c r="V495" s="42"/>
      <c r="W495" s="42"/>
      <c r="X495" s="42"/>
      <c r="Y495" s="42"/>
    </row>
    <row r="496" spans="1:25" ht="12.95">
      <c r="A496" s="55"/>
      <c r="B496" s="41"/>
      <c r="C496" s="42"/>
      <c r="D496" s="43"/>
      <c r="E496" s="42"/>
      <c r="F496" s="42"/>
      <c r="G496" s="42"/>
      <c r="H496" s="42"/>
      <c r="I496" s="42"/>
      <c r="J496" s="42"/>
      <c r="K496" s="42"/>
      <c r="L496" s="42"/>
      <c r="M496" s="42"/>
      <c r="N496" s="42"/>
      <c r="O496" s="42"/>
      <c r="P496" s="42"/>
      <c r="Q496" s="42"/>
      <c r="R496" s="42"/>
      <c r="S496" s="42"/>
      <c r="T496" s="42"/>
      <c r="U496" s="42"/>
      <c r="V496" s="42"/>
      <c r="W496" s="42"/>
      <c r="X496" s="42"/>
      <c r="Y496" s="42"/>
    </row>
    <row r="497" spans="1:25" ht="12.95">
      <c r="A497" s="55"/>
      <c r="B497" s="41"/>
      <c r="C497" s="42"/>
      <c r="D497" s="43"/>
      <c r="E497" s="42"/>
      <c r="F497" s="42"/>
      <c r="G497" s="42"/>
      <c r="H497" s="42"/>
      <c r="I497" s="42"/>
      <c r="J497" s="42"/>
      <c r="K497" s="42"/>
      <c r="L497" s="42"/>
      <c r="M497" s="42"/>
      <c r="N497" s="42"/>
      <c r="O497" s="42"/>
      <c r="P497" s="42"/>
      <c r="Q497" s="42"/>
      <c r="R497" s="42"/>
      <c r="S497" s="42"/>
      <c r="T497" s="42"/>
      <c r="U497" s="42"/>
      <c r="V497" s="42"/>
      <c r="W497" s="42"/>
      <c r="X497" s="42"/>
      <c r="Y497" s="42"/>
    </row>
    <row r="498" spans="1:25" ht="12.95">
      <c r="A498" s="55"/>
      <c r="B498" s="41"/>
      <c r="C498" s="42"/>
      <c r="D498" s="43"/>
      <c r="E498" s="42"/>
      <c r="F498" s="42"/>
      <c r="G498" s="42"/>
      <c r="H498" s="42"/>
      <c r="I498" s="42"/>
      <c r="J498" s="42"/>
      <c r="K498" s="42"/>
      <c r="L498" s="42"/>
      <c r="M498" s="42"/>
      <c r="N498" s="42"/>
      <c r="O498" s="42"/>
      <c r="P498" s="42"/>
      <c r="Q498" s="42"/>
      <c r="R498" s="42"/>
      <c r="S498" s="42"/>
      <c r="T498" s="42"/>
      <c r="U498" s="42"/>
      <c r="V498" s="42"/>
      <c r="W498" s="42"/>
      <c r="X498" s="42"/>
      <c r="Y498" s="42"/>
    </row>
    <row r="499" spans="1:25" ht="12.95">
      <c r="A499" s="55"/>
      <c r="B499" s="41"/>
      <c r="C499" s="42"/>
      <c r="D499" s="43"/>
      <c r="E499" s="42"/>
      <c r="F499" s="42"/>
      <c r="G499" s="42"/>
      <c r="H499" s="42"/>
      <c r="I499" s="42"/>
      <c r="J499" s="42"/>
      <c r="K499" s="42"/>
      <c r="L499" s="42"/>
      <c r="M499" s="42"/>
      <c r="N499" s="42"/>
      <c r="O499" s="42"/>
      <c r="P499" s="42"/>
      <c r="Q499" s="42"/>
      <c r="R499" s="42"/>
      <c r="S499" s="42"/>
      <c r="T499" s="42"/>
      <c r="U499" s="42"/>
      <c r="V499" s="42"/>
      <c r="W499" s="42"/>
      <c r="X499" s="42"/>
      <c r="Y499" s="42"/>
    </row>
    <row r="500" spans="1:25" ht="12.95">
      <c r="A500" s="55"/>
      <c r="B500" s="41"/>
      <c r="C500" s="42"/>
      <c r="D500" s="43"/>
      <c r="E500" s="42"/>
      <c r="F500" s="42"/>
      <c r="G500" s="42"/>
      <c r="H500" s="42"/>
      <c r="I500" s="42"/>
      <c r="J500" s="42"/>
      <c r="K500" s="42"/>
      <c r="L500" s="42"/>
      <c r="M500" s="42"/>
      <c r="N500" s="42"/>
      <c r="O500" s="42"/>
      <c r="P500" s="42"/>
      <c r="Q500" s="42"/>
      <c r="R500" s="42"/>
      <c r="S500" s="42"/>
      <c r="T500" s="42"/>
      <c r="U500" s="42"/>
      <c r="V500" s="42"/>
      <c r="W500" s="42"/>
      <c r="X500" s="42"/>
      <c r="Y500" s="42"/>
    </row>
    <row r="501" spans="1:25" ht="12.95">
      <c r="A501" s="55"/>
      <c r="B501" s="41"/>
      <c r="C501" s="42"/>
      <c r="D501" s="43"/>
      <c r="E501" s="42"/>
      <c r="F501" s="42"/>
      <c r="G501" s="42"/>
      <c r="H501" s="42"/>
      <c r="I501" s="42"/>
      <c r="J501" s="42"/>
      <c r="K501" s="42"/>
      <c r="L501" s="42"/>
      <c r="M501" s="42"/>
      <c r="N501" s="42"/>
      <c r="O501" s="42"/>
      <c r="P501" s="42"/>
      <c r="Q501" s="42"/>
      <c r="R501" s="42"/>
      <c r="S501" s="42"/>
      <c r="T501" s="42"/>
      <c r="U501" s="42"/>
      <c r="V501" s="42"/>
      <c r="W501" s="42"/>
      <c r="X501" s="42"/>
      <c r="Y501" s="42"/>
    </row>
    <row r="502" spans="1:25" ht="12.95">
      <c r="A502" s="55"/>
      <c r="B502" s="41"/>
      <c r="C502" s="42"/>
      <c r="D502" s="43"/>
      <c r="E502" s="42"/>
      <c r="F502" s="42"/>
      <c r="G502" s="42"/>
      <c r="H502" s="42"/>
      <c r="I502" s="42"/>
      <c r="J502" s="42"/>
      <c r="K502" s="42"/>
      <c r="L502" s="42"/>
      <c r="M502" s="42"/>
      <c r="N502" s="42"/>
      <c r="O502" s="42"/>
      <c r="P502" s="42"/>
      <c r="Q502" s="42"/>
      <c r="R502" s="42"/>
      <c r="S502" s="42"/>
      <c r="T502" s="42"/>
      <c r="U502" s="42"/>
      <c r="V502" s="42"/>
      <c r="W502" s="42"/>
      <c r="X502" s="42"/>
      <c r="Y502" s="42"/>
    </row>
    <row r="503" spans="1:25" ht="12.95">
      <c r="A503" s="55"/>
      <c r="B503" s="41"/>
      <c r="C503" s="42"/>
      <c r="D503" s="43"/>
      <c r="E503" s="42"/>
      <c r="F503" s="42"/>
      <c r="G503" s="42"/>
      <c r="H503" s="42"/>
      <c r="I503" s="42"/>
      <c r="J503" s="42"/>
      <c r="K503" s="42"/>
      <c r="L503" s="42"/>
      <c r="M503" s="42"/>
      <c r="N503" s="42"/>
      <c r="O503" s="42"/>
      <c r="P503" s="42"/>
      <c r="Q503" s="42"/>
      <c r="R503" s="42"/>
      <c r="S503" s="42"/>
      <c r="T503" s="42"/>
      <c r="U503" s="42"/>
      <c r="V503" s="42"/>
      <c r="W503" s="42"/>
      <c r="X503" s="42"/>
      <c r="Y503" s="42"/>
    </row>
    <row r="504" spans="1:25" ht="12.95">
      <c r="A504" s="55"/>
      <c r="B504" s="41"/>
      <c r="C504" s="42"/>
      <c r="D504" s="43"/>
      <c r="E504" s="42"/>
      <c r="F504" s="42"/>
      <c r="G504" s="42"/>
      <c r="H504" s="42"/>
      <c r="I504" s="42"/>
      <c r="J504" s="42"/>
      <c r="K504" s="42"/>
      <c r="L504" s="42"/>
      <c r="M504" s="42"/>
      <c r="N504" s="42"/>
      <c r="O504" s="42"/>
      <c r="P504" s="42"/>
      <c r="Q504" s="42"/>
      <c r="R504" s="42"/>
      <c r="S504" s="42"/>
      <c r="T504" s="42"/>
      <c r="U504" s="42"/>
      <c r="V504" s="42"/>
      <c r="W504" s="42"/>
      <c r="X504" s="42"/>
      <c r="Y504" s="42"/>
    </row>
    <row r="505" spans="1:25" ht="12.95">
      <c r="A505" s="55"/>
      <c r="B505" s="41"/>
      <c r="C505" s="42"/>
      <c r="D505" s="43"/>
      <c r="E505" s="42"/>
      <c r="F505" s="42"/>
      <c r="G505" s="42"/>
      <c r="H505" s="42"/>
      <c r="I505" s="42"/>
      <c r="J505" s="42"/>
      <c r="K505" s="42"/>
      <c r="L505" s="42"/>
      <c r="M505" s="42"/>
      <c r="N505" s="42"/>
      <c r="O505" s="42"/>
      <c r="P505" s="42"/>
      <c r="Q505" s="42"/>
      <c r="R505" s="42"/>
      <c r="S505" s="42"/>
      <c r="T505" s="42"/>
      <c r="U505" s="42"/>
      <c r="V505" s="42"/>
      <c r="W505" s="42"/>
      <c r="X505" s="42"/>
      <c r="Y505" s="42"/>
    </row>
    <row r="506" spans="1:25" ht="12.95">
      <c r="A506" s="55"/>
      <c r="B506" s="41"/>
      <c r="C506" s="42"/>
      <c r="D506" s="43"/>
      <c r="E506" s="42"/>
      <c r="F506" s="42"/>
      <c r="G506" s="42"/>
      <c r="H506" s="42"/>
      <c r="I506" s="42"/>
      <c r="J506" s="42"/>
      <c r="K506" s="42"/>
      <c r="L506" s="42"/>
      <c r="M506" s="42"/>
      <c r="N506" s="42"/>
      <c r="O506" s="42"/>
      <c r="P506" s="42"/>
      <c r="Q506" s="42"/>
      <c r="R506" s="42"/>
      <c r="S506" s="42"/>
      <c r="T506" s="42"/>
      <c r="U506" s="42"/>
      <c r="V506" s="42"/>
      <c r="W506" s="42"/>
      <c r="X506" s="42"/>
      <c r="Y506" s="42"/>
    </row>
    <row r="507" spans="1:25" ht="12.95">
      <c r="A507" s="55"/>
      <c r="B507" s="41"/>
      <c r="C507" s="42"/>
      <c r="D507" s="43"/>
      <c r="E507" s="42"/>
      <c r="F507" s="42"/>
      <c r="G507" s="42"/>
      <c r="H507" s="42"/>
      <c r="I507" s="42"/>
      <c r="J507" s="42"/>
      <c r="K507" s="42"/>
      <c r="L507" s="42"/>
      <c r="M507" s="42"/>
      <c r="N507" s="42"/>
      <c r="O507" s="42"/>
      <c r="P507" s="42"/>
      <c r="Q507" s="42"/>
      <c r="R507" s="42"/>
      <c r="S507" s="42"/>
      <c r="T507" s="42"/>
      <c r="U507" s="42"/>
      <c r="V507" s="42"/>
      <c r="W507" s="42"/>
      <c r="X507" s="42"/>
      <c r="Y507" s="42"/>
    </row>
    <row r="508" spans="1:25" ht="12.95">
      <c r="A508" s="55"/>
      <c r="B508" s="41"/>
      <c r="C508" s="42"/>
      <c r="D508" s="43"/>
      <c r="E508" s="42"/>
      <c r="F508" s="42"/>
      <c r="G508" s="42"/>
      <c r="H508" s="42"/>
      <c r="I508" s="42"/>
      <c r="J508" s="42"/>
      <c r="K508" s="42"/>
      <c r="L508" s="42"/>
      <c r="M508" s="42"/>
      <c r="N508" s="42"/>
      <c r="O508" s="42"/>
      <c r="P508" s="42"/>
      <c r="Q508" s="42"/>
      <c r="R508" s="42"/>
      <c r="S508" s="42"/>
      <c r="T508" s="42"/>
      <c r="U508" s="42"/>
      <c r="V508" s="42"/>
      <c r="W508" s="42"/>
      <c r="X508" s="42"/>
      <c r="Y508" s="42"/>
    </row>
    <row r="509" spans="1:25" ht="12.95">
      <c r="A509" s="55"/>
      <c r="B509" s="41"/>
      <c r="C509" s="42"/>
      <c r="D509" s="43"/>
      <c r="E509" s="42"/>
      <c r="F509" s="42"/>
      <c r="G509" s="42"/>
      <c r="H509" s="42"/>
      <c r="I509" s="42"/>
      <c r="J509" s="42"/>
      <c r="K509" s="42"/>
      <c r="L509" s="42"/>
      <c r="M509" s="42"/>
      <c r="N509" s="42"/>
      <c r="O509" s="42"/>
      <c r="P509" s="42"/>
      <c r="Q509" s="42"/>
      <c r="R509" s="42"/>
      <c r="S509" s="42"/>
      <c r="T509" s="42"/>
      <c r="U509" s="42"/>
      <c r="V509" s="42"/>
      <c r="W509" s="42"/>
      <c r="X509" s="42"/>
      <c r="Y509" s="42"/>
    </row>
    <row r="510" spans="1:25" ht="12.95">
      <c r="A510" s="55"/>
      <c r="B510" s="41"/>
      <c r="C510" s="42"/>
      <c r="D510" s="43"/>
      <c r="E510" s="42"/>
      <c r="F510" s="42"/>
      <c r="G510" s="42"/>
      <c r="H510" s="42"/>
      <c r="I510" s="42"/>
      <c r="J510" s="42"/>
      <c r="K510" s="42"/>
      <c r="L510" s="42"/>
      <c r="M510" s="42"/>
      <c r="N510" s="42"/>
      <c r="O510" s="42"/>
      <c r="P510" s="42"/>
      <c r="Q510" s="42"/>
      <c r="R510" s="42"/>
      <c r="S510" s="42"/>
      <c r="T510" s="42"/>
      <c r="U510" s="42"/>
      <c r="V510" s="42"/>
      <c r="W510" s="42"/>
      <c r="X510" s="42"/>
      <c r="Y510" s="42"/>
    </row>
    <row r="511" spans="1:25" ht="12.95">
      <c r="A511" s="55"/>
      <c r="B511" s="41"/>
      <c r="C511" s="42"/>
      <c r="D511" s="43"/>
      <c r="E511" s="42"/>
      <c r="F511" s="42"/>
      <c r="G511" s="42"/>
      <c r="H511" s="42"/>
      <c r="I511" s="42"/>
      <c r="J511" s="42"/>
      <c r="K511" s="42"/>
      <c r="L511" s="42"/>
      <c r="M511" s="42"/>
      <c r="N511" s="42"/>
      <c r="O511" s="42"/>
      <c r="P511" s="42"/>
      <c r="Q511" s="42"/>
      <c r="R511" s="42"/>
      <c r="S511" s="42"/>
      <c r="T511" s="42"/>
      <c r="U511" s="42"/>
      <c r="V511" s="42"/>
      <c r="W511" s="42"/>
      <c r="X511" s="42"/>
      <c r="Y511" s="42"/>
    </row>
    <row r="512" spans="1:25" ht="12.95">
      <c r="A512" s="55"/>
      <c r="B512" s="41"/>
      <c r="C512" s="42"/>
      <c r="D512" s="43"/>
      <c r="E512" s="42"/>
      <c r="F512" s="42"/>
      <c r="G512" s="42"/>
      <c r="H512" s="42"/>
      <c r="I512" s="42"/>
      <c r="J512" s="42"/>
      <c r="K512" s="42"/>
      <c r="L512" s="42"/>
      <c r="M512" s="42"/>
      <c r="N512" s="42"/>
      <c r="O512" s="42"/>
      <c r="P512" s="42"/>
      <c r="Q512" s="42"/>
      <c r="R512" s="42"/>
      <c r="S512" s="42"/>
      <c r="T512" s="42"/>
      <c r="U512" s="42"/>
      <c r="V512" s="42"/>
      <c r="W512" s="42"/>
      <c r="X512" s="42"/>
      <c r="Y512" s="42"/>
    </row>
    <row r="513" spans="1:25" ht="12.95">
      <c r="A513" s="55"/>
      <c r="B513" s="41"/>
      <c r="C513" s="42"/>
      <c r="D513" s="43"/>
      <c r="E513" s="42"/>
      <c r="F513" s="42"/>
      <c r="G513" s="42"/>
      <c r="H513" s="42"/>
      <c r="I513" s="42"/>
      <c r="J513" s="42"/>
      <c r="K513" s="42"/>
      <c r="L513" s="42"/>
      <c r="M513" s="42"/>
      <c r="N513" s="42"/>
      <c r="O513" s="42"/>
      <c r="P513" s="42"/>
      <c r="Q513" s="42"/>
      <c r="R513" s="42"/>
      <c r="S513" s="42"/>
      <c r="T513" s="42"/>
      <c r="U513" s="42"/>
      <c r="V513" s="42"/>
      <c r="W513" s="42"/>
      <c r="X513" s="42"/>
      <c r="Y513" s="42"/>
    </row>
    <row r="514" spans="1:25" ht="12.95">
      <c r="A514" s="55"/>
      <c r="B514" s="41"/>
      <c r="C514" s="42"/>
      <c r="D514" s="43"/>
      <c r="E514" s="42"/>
      <c r="F514" s="42"/>
      <c r="G514" s="42"/>
      <c r="H514" s="42"/>
      <c r="I514" s="42"/>
      <c r="J514" s="42"/>
      <c r="K514" s="42"/>
      <c r="L514" s="42"/>
      <c r="M514" s="42"/>
      <c r="N514" s="42"/>
      <c r="O514" s="42"/>
      <c r="P514" s="42"/>
      <c r="Q514" s="42"/>
      <c r="R514" s="42"/>
      <c r="S514" s="42"/>
      <c r="T514" s="42"/>
      <c r="U514" s="42"/>
      <c r="V514" s="42"/>
      <c r="W514" s="42"/>
      <c r="X514" s="42"/>
      <c r="Y514" s="42"/>
    </row>
    <row r="515" spans="1:25" ht="12.95">
      <c r="A515" s="55"/>
      <c r="B515" s="41"/>
      <c r="C515" s="42"/>
      <c r="D515" s="43"/>
      <c r="E515" s="42"/>
      <c r="F515" s="42"/>
      <c r="G515" s="42"/>
      <c r="H515" s="42"/>
      <c r="I515" s="42"/>
      <c r="J515" s="42"/>
      <c r="K515" s="42"/>
      <c r="L515" s="42"/>
      <c r="M515" s="42"/>
      <c r="N515" s="42"/>
      <c r="O515" s="42"/>
      <c r="P515" s="42"/>
      <c r="Q515" s="42"/>
      <c r="R515" s="42"/>
      <c r="S515" s="42"/>
      <c r="T515" s="42"/>
      <c r="U515" s="42"/>
      <c r="V515" s="42"/>
      <c r="W515" s="42"/>
      <c r="X515" s="42"/>
      <c r="Y515" s="42"/>
    </row>
    <row r="516" spans="1:25" ht="12.95">
      <c r="A516" s="55"/>
      <c r="B516" s="41"/>
      <c r="C516" s="42"/>
      <c r="D516" s="43"/>
      <c r="E516" s="42"/>
      <c r="F516" s="42"/>
      <c r="G516" s="42"/>
      <c r="H516" s="42"/>
      <c r="I516" s="42"/>
      <c r="J516" s="42"/>
      <c r="K516" s="42"/>
      <c r="L516" s="42"/>
      <c r="M516" s="42"/>
      <c r="N516" s="42"/>
      <c r="O516" s="42"/>
      <c r="P516" s="42"/>
      <c r="Q516" s="42"/>
      <c r="R516" s="42"/>
      <c r="S516" s="42"/>
      <c r="T516" s="42"/>
      <c r="U516" s="42"/>
      <c r="V516" s="42"/>
      <c r="W516" s="42"/>
      <c r="X516" s="42"/>
      <c r="Y516" s="42"/>
    </row>
    <row r="517" spans="1:25" ht="12.95">
      <c r="A517" s="55"/>
      <c r="B517" s="41"/>
      <c r="C517" s="42"/>
      <c r="D517" s="43"/>
      <c r="E517" s="42"/>
      <c r="F517" s="42"/>
      <c r="G517" s="42"/>
      <c r="H517" s="42"/>
      <c r="I517" s="42"/>
      <c r="J517" s="42"/>
      <c r="K517" s="42"/>
      <c r="L517" s="42"/>
      <c r="M517" s="42"/>
      <c r="N517" s="42"/>
      <c r="O517" s="42"/>
      <c r="P517" s="42"/>
      <c r="Q517" s="42"/>
      <c r="R517" s="42"/>
      <c r="S517" s="42"/>
      <c r="T517" s="42"/>
      <c r="U517" s="42"/>
      <c r="V517" s="42"/>
      <c r="W517" s="42"/>
      <c r="X517" s="42"/>
      <c r="Y517" s="42"/>
    </row>
    <row r="518" spans="1:25" ht="12.95">
      <c r="A518" s="55"/>
      <c r="B518" s="41"/>
      <c r="C518" s="42"/>
      <c r="D518" s="43"/>
      <c r="E518" s="42"/>
      <c r="F518" s="42"/>
      <c r="G518" s="42"/>
      <c r="H518" s="42"/>
      <c r="I518" s="42"/>
      <c r="J518" s="42"/>
      <c r="K518" s="42"/>
      <c r="L518" s="42"/>
      <c r="M518" s="42"/>
      <c r="N518" s="42"/>
      <c r="O518" s="42"/>
      <c r="P518" s="42"/>
      <c r="Q518" s="42"/>
      <c r="R518" s="42"/>
      <c r="S518" s="42"/>
      <c r="T518" s="42"/>
      <c r="U518" s="42"/>
      <c r="V518" s="42"/>
      <c r="W518" s="42"/>
      <c r="X518" s="42"/>
      <c r="Y518" s="42"/>
    </row>
    <row r="519" spans="1:25" ht="12.95">
      <c r="A519" s="55"/>
      <c r="B519" s="41"/>
      <c r="C519" s="42"/>
      <c r="D519" s="43"/>
      <c r="E519" s="42"/>
      <c r="F519" s="42"/>
      <c r="G519" s="42"/>
      <c r="H519" s="42"/>
      <c r="I519" s="42"/>
      <c r="J519" s="42"/>
      <c r="K519" s="42"/>
      <c r="L519" s="42"/>
      <c r="M519" s="42"/>
      <c r="N519" s="42"/>
      <c r="O519" s="42"/>
      <c r="P519" s="42"/>
      <c r="Q519" s="42"/>
      <c r="R519" s="42"/>
      <c r="S519" s="42"/>
      <c r="T519" s="42"/>
      <c r="U519" s="42"/>
      <c r="V519" s="42"/>
      <c r="W519" s="42"/>
      <c r="X519" s="42"/>
      <c r="Y519" s="42"/>
    </row>
    <row r="520" spans="1:25" ht="12.95">
      <c r="A520" s="55"/>
      <c r="B520" s="41"/>
      <c r="C520" s="42"/>
      <c r="D520" s="43"/>
      <c r="E520" s="42"/>
      <c r="F520" s="42"/>
      <c r="G520" s="42"/>
      <c r="H520" s="42"/>
      <c r="I520" s="42"/>
      <c r="J520" s="42"/>
      <c r="K520" s="42"/>
      <c r="L520" s="42"/>
      <c r="M520" s="42"/>
      <c r="N520" s="42"/>
      <c r="O520" s="42"/>
      <c r="P520" s="42"/>
      <c r="Q520" s="42"/>
      <c r="R520" s="42"/>
      <c r="S520" s="42"/>
      <c r="T520" s="42"/>
      <c r="U520" s="42"/>
      <c r="V520" s="42"/>
      <c r="W520" s="42"/>
      <c r="X520" s="42"/>
      <c r="Y520" s="42"/>
    </row>
    <row r="521" spans="1:25" ht="12.95">
      <c r="A521" s="55"/>
      <c r="B521" s="41"/>
      <c r="C521" s="42"/>
      <c r="D521" s="43"/>
      <c r="E521" s="42"/>
      <c r="F521" s="42"/>
      <c r="G521" s="42"/>
      <c r="H521" s="42"/>
      <c r="I521" s="42"/>
      <c r="J521" s="42"/>
      <c r="K521" s="42"/>
      <c r="L521" s="42"/>
      <c r="M521" s="42"/>
      <c r="N521" s="42"/>
      <c r="O521" s="42"/>
      <c r="P521" s="42"/>
      <c r="Q521" s="42"/>
      <c r="R521" s="42"/>
      <c r="S521" s="42"/>
      <c r="T521" s="42"/>
      <c r="U521" s="42"/>
      <c r="V521" s="42"/>
      <c r="W521" s="42"/>
      <c r="X521" s="42"/>
      <c r="Y521" s="42"/>
    </row>
    <row r="522" spans="1:25" ht="12.95">
      <c r="A522" s="55"/>
      <c r="B522" s="41"/>
      <c r="C522" s="42"/>
      <c r="D522" s="43"/>
      <c r="E522" s="42"/>
      <c r="F522" s="42"/>
      <c r="G522" s="42"/>
      <c r="H522" s="42"/>
      <c r="I522" s="42"/>
      <c r="J522" s="42"/>
      <c r="K522" s="42"/>
      <c r="L522" s="42"/>
      <c r="M522" s="42"/>
      <c r="N522" s="42"/>
      <c r="O522" s="42"/>
      <c r="P522" s="42"/>
      <c r="Q522" s="42"/>
      <c r="R522" s="42"/>
      <c r="S522" s="42"/>
      <c r="T522" s="42"/>
      <c r="U522" s="42"/>
      <c r="V522" s="42"/>
      <c r="W522" s="42"/>
      <c r="X522" s="42"/>
      <c r="Y522" s="42"/>
    </row>
    <row r="523" spans="1:25" ht="12.95">
      <c r="A523" s="55"/>
      <c r="B523" s="41"/>
      <c r="C523" s="42"/>
      <c r="D523" s="43"/>
      <c r="E523" s="42"/>
      <c r="F523" s="42"/>
      <c r="G523" s="42"/>
      <c r="H523" s="42"/>
      <c r="I523" s="42"/>
      <c r="J523" s="42"/>
      <c r="K523" s="42"/>
      <c r="L523" s="42"/>
      <c r="M523" s="42"/>
      <c r="N523" s="42"/>
      <c r="O523" s="42"/>
      <c r="P523" s="42"/>
      <c r="Q523" s="42"/>
      <c r="R523" s="42"/>
      <c r="S523" s="42"/>
      <c r="T523" s="42"/>
      <c r="U523" s="42"/>
      <c r="V523" s="42"/>
      <c r="W523" s="42"/>
      <c r="X523" s="42"/>
      <c r="Y523" s="42"/>
    </row>
    <row r="524" spans="1:25" ht="12.95">
      <c r="A524" s="55"/>
      <c r="B524" s="41"/>
      <c r="C524" s="42"/>
      <c r="D524" s="43"/>
      <c r="E524" s="42"/>
      <c r="F524" s="42"/>
      <c r="G524" s="42"/>
      <c r="H524" s="42"/>
      <c r="I524" s="42"/>
      <c r="J524" s="42"/>
      <c r="K524" s="42"/>
      <c r="L524" s="42"/>
      <c r="M524" s="42"/>
      <c r="N524" s="42"/>
      <c r="O524" s="42"/>
      <c r="P524" s="42"/>
      <c r="Q524" s="42"/>
      <c r="R524" s="42"/>
      <c r="S524" s="42"/>
      <c r="T524" s="42"/>
      <c r="U524" s="42"/>
      <c r="V524" s="42"/>
      <c r="W524" s="42"/>
      <c r="X524" s="42"/>
      <c r="Y524" s="42"/>
    </row>
    <row r="525" spans="1:25" ht="12.95">
      <c r="A525" s="55"/>
      <c r="B525" s="41"/>
      <c r="C525" s="42"/>
      <c r="D525" s="43"/>
      <c r="E525" s="42"/>
      <c r="F525" s="42"/>
      <c r="G525" s="42"/>
      <c r="H525" s="42"/>
      <c r="I525" s="42"/>
      <c r="J525" s="42"/>
      <c r="K525" s="42"/>
      <c r="L525" s="42"/>
      <c r="M525" s="42"/>
      <c r="N525" s="42"/>
      <c r="O525" s="42"/>
      <c r="P525" s="42"/>
      <c r="Q525" s="42"/>
      <c r="R525" s="42"/>
      <c r="S525" s="42"/>
      <c r="T525" s="42"/>
      <c r="U525" s="42"/>
      <c r="V525" s="42"/>
      <c r="W525" s="42"/>
      <c r="X525" s="42"/>
      <c r="Y525" s="42"/>
    </row>
    <row r="526" spans="1:25" ht="12.95">
      <c r="A526" s="55"/>
      <c r="B526" s="41"/>
      <c r="C526" s="42"/>
      <c r="D526" s="43"/>
      <c r="E526" s="42"/>
      <c r="F526" s="42"/>
      <c r="G526" s="42"/>
      <c r="H526" s="42"/>
      <c r="I526" s="42"/>
      <c r="J526" s="42"/>
      <c r="K526" s="42"/>
      <c r="L526" s="42"/>
      <c r="M526" s="42"/>
      <c r="N526" s="42"/>
      <c r="O526" s="42"/>
      <c r="P526" s="42"/>
      <c r="Q526" s="42"/>
      <c r="R526" s="42"/>
      <c r="S526" s="42"/>
      <c r="T526" s="42"/>
      <c r="U526" s="42"/>
      <c r="V526" s="42"/>
      <c r="W526" s="42"/>
      <c r="X526" s="42"/>
      <c r="Y526" s="42"/>
    </row>
    <row r="527" spans="1:25" ht="12.95">
      <c r="A527" s="55"/>
      <c r="B527" s="41"/>
      <c r="C527" s="42"/>
      <c r="D527" s="43"/>
      <c r="E527" s="42"/>
      <c r="F527" s="42"/>
      <c r="G527" s="42"/>
      <c r="H527" s="42"/>
      <c r="I527" s="42"/>
      <c r="J527" s="42"/>
      <c r="K527" s="42"/>
      <c r="L527" s="42"/>
      <c r="M527" s="42"/>
      <c r="N527" s="42"/>
      <c r="O527" s="42"/>
      <c r="P527" s="42"/>
      <c r="Q527" s="42"/>
      <c r="R527" s="42"/>
      <c r="S527" s="42"/>
      <c r="T527" s="42"/>
      <c r="U527" s="42"/>
      <c r="V527" s="42"/>
      <c r="W527" s="42"/>
      <c r="X527" s="42"/>
      <c r="Y527" s="42"/>
    </row>
    <row r="528" spans="1:25" ht="12.95">
      <c r="A528" s="55"/>
      <c r="B528" s="41"/>
      <c r="C528" s="42"/>
      <c r="D528" s="43"/>
      <c r="E528" s="42"/>
      <c r="F528" s="42"/>
      <c r="G528" s="42"/>
      <c r="H528" s="42"/>
      <c r="I528" s="42"/>
      <c r="J528" s="42"/>
      <c r="K528" s="42"/>
      <c r="L528" s="42"/>
      <c r="M528" s="42"/>
      <c r="N528" s="42"/>
      <c r="O528" s="42"/>
      <c r="P528" s="42"/>
      <c r="Q528" s="42"/>
      <c r="R528" s="42"/>
      <c r="S528" s="42"/>
      <c r="T528" s="42"/>
      <c r="U528" s="42"/>
      <c r="V528" s="42"/>
      <c r="W528" s="42"/>
      <c r="X528" s="42"/>
      <c r="Y528" s="42"/>
    </row>
    <row r="529" spans="1:25" ht="12.95">
      <c r="A529" s="55"/>
      <c r="B529" s="41"/>
      <c r="C529" s="42"/>
      <c r="D529" s="43"/>
      <c r="E529" s="42"/>
      <c r="F529" s="42"/>
      <c r="G529" s="42"/>
      <c r="H529" s="42"/>
      <c r="I529" s="42"/>
      <c r="J529" s="42"/>
      <c r="K529" s="42"/>
      <c r="L529" s="42"/>
      <c r="M529" s="42"/>
      <c r="N529" s="42"/>
      <c r="O529" s="42"/>
      <c r="P529" s="42"/>
      <c r="Q529" s="42"/>
      <c r="R529" s="42"/>
      <c r="S529" s="42"/>
      <c r="T529" s="42"/>
      <c r="U529" s="42"/>
      <c r="V529" s="42"/>
      <c r="W529" s="42"/>
      <c r="X529" s="42"/>
      <c r="Y529" s="42"/>
    </row>
    <row r="530" spans="1:25" ht="12.95">
      <c r="A530" s="55"/>
      <c r="B530" s="41"/>
      <c r="C530" s="42"/>
      <c r="D530" s="43"/>
      <c r="E530" s="42"/>
      <c r="F530" s="42"/>
      <c r="G530" s="42"/>
      <c r="H530" s="42"/>
      <c r="I530" s="42"/>
      <c r="J530" s="42"/>
      <c r="K530" s="42"/>
      <c r="L530" s="42"/>
      <c r="M530" s="42"/>
      <c r="N530" s="42"/>
      <c r="O530" s="42"/>
      <c r="P530" s="42"/>
      <c r="Q530" s="42"/>
      <c r="R530" s="42"/>
      <c r="S530" s="42"/>
      <c r="T530" s="42"/>
      <c r="U530" s="42"/>
      <c r="V530" s="42"/>
      <c r="W530" s="42"/>
      <c r="X530" s="42"/>
      <c r="Y530" s="42"/>
    </row>
    <row r="531" spans="1:25" ht="12.95">
      <c r="A531" s="55"/>
      <c r="B531" s="41"/>
      <c r="C531" s="42"/>
      <c r="D531" s="43"/>
      <c r="E531" s="42"/>
      <c r="F531" s="42"/>
      <c r="G531" s="42"/>
      <c r="H531" s="42"/>
      <c r="I531" s="42"/>
      <c r="J531" s="42"/>
      <c r="K531" s="42"/>
      <c r="L531" s="42"/>
      <c r="M531" s="42"/>
      <c r="N531" s="42"/>
      <c r="O531" s="42"/>
      <c r="P531" s="42"/>
      <c r="Q531" s="42"/>
      <c r="R531" s="42"/>
      <c r="S531" s="42"/>
      <c r="T531" s="42"/>
      <c r="U531" s="42"/>
      <c r="V531" s="42"/>
      <c r="W531" s="42"/>
      <c r="X531" s="42"/>
      <c r="Y531" s="42"/>
    </row>
    <row r="532" spans="1:25" ht="12.95">
      <c r="A532" s="55"/>
      <c r="B532" s="41"/>
      <c r="C532" s="42"/>
      <c r="D532" s="43"/>
      <c r="E532" s="42"/>
      <c r="F532" s="42"/>
      <c r="G532" s="42"/>
      <c r="H532" s="42"/>
      <c r="I532" s="42"/>
      <c r="J532" s="42"/>
      <c r="K532" s="42"/>
      <c r="L532" s="42"/>
      <c r="M532" s="42"/>
      <c r="N532" s="42"/>
      <c r="O532" s="42"/>
      <c r="P532" s="42"/>
      <c r="Q532" s="42"/>
      <c r="R532" s="42"/>
      <c r="S532" s="42"/>
      <c r="T532" s="42"/>
      <c r="U532" s="42"/>
      <c r="V532" s="42"/>
      <c r="W532" s="42"/>
      <c r="X532" s="42"/>
      <c r="Y532" s="42"/>
    </row>
    <row r="533" spans="1:25" ht="12.95">
      <c r="A533" s="55"/>
      <c r="B533" s="41"/>
      <c r="C533" s="42"/>
      <c r="D533" s="43"/>
      <c r="E533" s="42"/>
      <c r="F533" s="42"/>
      <c r="G533" s="42"/>
      <c r="H533" s="42"/>
      <c r="I533" s="42"/>
      <c r="J533" s="42"/>
      <c r="K533" s="42"/>
      <c r="L533" s="42"/>
      <c r="M533" s="42"/>
      <c r="N533" s="42"/>
      <c r="O533" s="42"/>
      <c r="P533" s="42"/>
      <c r="Q533" s="42"/>
      <c r="R533" s="42"/>
      <c r="S533" s="42"/>
      <c r="T533" s="42"/>
      <c r="U533" s="42"/>
      <c r="V533" s="42"/>
      <c r="W533" s="42"/>
      <c r="X533" s="42"/>
      <c r="Y533" s="42"/>
    </row>
    <row r="534" spans="1:25" ht="12.95">
      <c r="A534" s="55"/>
      <c r="B534" s="41"/>
      <c r="C534" s="42"/>
      <c r="D534" s="43"/>
      <c r="E534" s="42"/>
      <c r="F534" s="42"/>
      <c r="G534" s="42"/>
      <c r="H534" s="42"/>
      <c r="I534" s="42"/>
      <c r="J534" s="42"/>
      <c r="K534" s="42"/>
      <c r="L534" s="42"/>
      <c r="M534" s="42"/>
      <c r="N534" s="42"/>
      <c r="O534" s="42"/>
      <c r="P534" s="42"/>
      <c r="Q534" s="42"/>
      <c r="R534" s="42"/>
      <c r="S534" s="42"/>
      <c r="T534" s="42"/>
      <c r="U534" s="42"/>
      <c r="V534" s="42"/>
      <c r="W534" s="42"/>
      <c r="X534" s="42"/>
      <c r="Y534" s="42"/>
    </row>
    <row r="535" spans="1:25" ht="12.95">
      <c r="A535" s="55"/>
      <c r="B535" s="41"/>
      <c r="C535" s="42"/>
      <c r="D535" s="43"/>
      <c r="E535" s="42"/>
      <c r="F535" s="42"/>
      <c r="G535" s="42"/>
      <c r="H535" s="42"/>
      <c r="I535" s="42"/>
      <c r="J535" s="42"/>
      <c r="K535" s="42"/>
      <c r="L535" s="42"/>
      <c r="M535" s="42"/>
      <c r="N535" s="42"/>
      <c r="O535" s="42"/>
      <c r="P535" s="42"/>
      <c r="Q535" s="42"/>
      <c r="R535" s="42"/>
      <c r="S535" s="42"/>
      <c r="T535" s="42"/>
      <c r="U535" s="42"/>
      <c r="V535" s="42"/>
      <c r="W535" s="42"/>
      <c r="X535" s="42"/>
      <c r="Y535" s="42"/>
    </row>
    <row r="536" spans="1:25" ht="12.95">
      <c r="A536" s="55"/>
      <c r="B536" s="41"/>
      <c r="C536" s="42"/>
      <c r="D536" s="43"/>
      <c r="E536" s="42"/>
      <c r="F536" s="42"/>
      <c r="G536" s="42"/>
      <c r="H536" s="42"/>
      <c r="I536" s="42"/>
      <c r="J536" s="42"/>
      <c r="K536" s="42"/>
      <c r="L536" s="42"/>
      <c r="M536" s="42"/>
      <c r="N536" s="42"/>
      <c r="O536" s="42"/>
      <c r="P536" s="42"/>
      <c r="Q536" s="42"/>
      <c r="R536" s="42"/>
      <c r="S536" s="42"/>
      <c r="T536" s="42"/>
      <c r="U536" s="42"/>
      <c r="V536" s="42"/>
      <c r="W536" s="42"/>
      <c r="X536" s="42"/>
      <c r="Y536" s="42"/>
    </row>
    <row r="537" spans="1:25" ht="12.95">
      <c r="A537" s="55"/>
      <c r="B537" s="41"/>
      <c r="C537" s="42"/>
      <c r="D537" s="43"/>
      <c r="E537" s="42"/>
      <c r="F537" s="42"/>
      <c r="G537" s="42"/>
      <c r="H537" s="42"/>
      <c r="I537" s="42"/>
      <c r="J537" s="42"/>
      <c r="K537" s="42"/>
      <c r="L537" s="42"/>
      <c r="M537" s="42"/>
      <c r="N537" s="42"/>
      <c r="O537" s="42"/>
      <c r="P537" s="42"/>
      <c r="Q537" s="42"/>
      <c r="R537" s="42"/>
      <c r="S537" s="42"/>
      <c r="T537" s="42"/>
      <c r="U537" s="42"/>
      <c r="V537" s="42"/>
      <c r="W537" s="42"/>
      <c r="X537" s="42"/>
      <c r="Y537" s="42"/>
    </row>
    <row r="538" spans="1:25" ht="12.95">
      <c r="A538" s="55"/>
      <c r="B538" s="41"/>
      <c r="C538" s="42"/>
      <c r="D538" s="43"/>
      <c r="E538" s="42"/>
      <c r="F538" s="42"/>
      <c r="G538" s="42"/>
      <c r="H538" s="42"/>
      <c r="I538" s="42"/>
      <c r="J538" s="42"/>
      <c r="K538" s="42"/>
      <c r="L538" s="42"/>
      <c r="M538" s="42"/>
      <c r="N538" s="42"/>
      <c r="O538" s="42"/>
      <c r="P538" s="42"/>
      <c r="Q538" s="42"/>
      <c r="R538" s="42"/>
      <c r="S538" s="42"/>
      <c r="T538" s="42"/>
      <c r="U538" s="42"/>
      <c r="V538" s="42"/>
      <c r="W538" s="42"/>
      <c r="X538" s="42"/>
      <c r="Y538" s="42"/>
    </row>
    <row r="539" spans="1:25" ht="12.95">
      <c r="A539" s="55"/>
      <c r="B539" s="41"/>
      <c r="C539" s="42"/>
      <c r="D539" s="43"/>
      <c r="E539" s="42"/>
      <c r="F539" s="42"/>
      <c r="G539" s="42"/>
      <c r="H539" s="42"/>
      <c r="I539" s="42"/>
      <c r="J539" s="42"/>
      <c r="K539" s="42"/>
      <c r="L539" s="42"/>
      <c r="M539" s="42"/>
      <c r="N539" s="42"/>
      <c r="O539" s="42"/>
      <c r="P539" s="42"/>
      <c r="Q539" s="42"/>
      <c r="R539" s="42"/>
      <c r="S539" s="42"/>
      <c r="T539" s="42"/>
      <c r="U539" s="42"/>
      <c r="V539" s="42"/>
      <c r="W539" s="42"/>
      <c r="X539" s="42"/>
      <c r="Y539" s="42"/>
    </row>
    <row r="540" spans="1:25" ht="12.95">
      <c r="A540" s="55"/>
      <c r="B540" s="41"/>
      <c r="C540" s="42"/>
      <c r="D540" s="43"/>
      <c r="E540" s="42"/>
      <c r="F540" s="42"/>
      <c r="G540" s="42"/>
      <c r="H540" s="42"/>
      <c r="I540" s="42"/>
      <c r="J540" s="42"/>
      <c r="K540" s="42"/>
      <c r="L540" s="42"/>
      <c r="M540" s="42"/>
      <c r="N540" s="42"/>
      <c r="O540" s="42"/>
      <c r="P540" s="42"/>
      <c r="Q540" s="42"/>
      <c r="R540" s="42"/>
      <c r="S540" s="42"/>
      <c r="T540" s="42"/>
      <c r="U540" s="42"/>
      <c r="V540" s="42"/>
      <c r="W540" s="42"/>
      <c r="X540" s="42"/>
      <c r="Y540" s="42"/>
    </row>
    <row r="541" spans="1:25" ht="12.95">
      <c r="A541" s="55"/>
      <c r="B541" s="41"/>
      <c r="C541" s="42"/>
      <c r="D541" s="43"/>
      <c r="E541" s="42"/>
      <c r="F541" s="42"/>
      <c r="G541" s="42"/>
      <c r="H541" s="42"/>
      <c r="I541" s="42"/>
      <c r="J541" s="42"/>
      <c r="K541" s="42"/>
      <c r="L541" s="42"/>
      <c r="M541" s="42"/>
      <c r="N541" s="42"/>
      <c r="O541" s="42"/>
      <c r="P541" s="42"/>
      <c r="Q541" s="42"/>
      <c r="R541" s="42"/>
      <c r="S541" s="42"/>
      <c r="T541" s="42"/>
      <c r="U541" s="42"/>
      <c r="V541" s="42"/>
      <c r="W541" s="42"/>
      <c r="X541" s="42"/>
      <c r="Y541" s="42"/>
    </row>
    <row r="542" spans="1:25" ht="12.95">
      <c r="A542" s="55"/>
      <c r="B542" s="41"/>
      <c r="C542" s="42"/>
      <c r="D542" s="43"/>
      <c r="E542" s="42"/>
      <c r="F542" s="42"/>
      <c r="G542" s="42"/>
      <c r="H542" s="42"/>
      <c r="I542" s="42"/>
      <c r="J542" s="42"/>
      <c r="K542" s="42"/>
      <c r="L542" s="42"/>
      <c r="M542" s="42"/>
      <c r="N542" s="42"/>
      <c r="O542" s="42"/>
      <c r="P542" s="42"/>
      <c r="Q542" s="42"/>
      <c r="R542" s="42"/>
      <c r="S542" s="42"/>
      <c r="T542" s="42"/>
      <c r="U542" s="42"/>
      <c r="V542" s="42"/>
      <c r="W542" s="42"/>
      <c r="X542" s="42"/>
      <c r="Y542" s="42"/>
    </row>
    <row r="543" spans="1:25" ht="12.95">
      <c r="A543" s="55"/>
      <c r="B543" s="41"/>
      <c r="C543" s="42"/>
      <c r="D543" s="43"/>
      <c r="E543" s="42"/>
      <c r="F543" s="42"/>
      <c r="G543" s="42"/>
      <c r="H543" s="42"/>
      <c r="I543" s="42"/>
      <c r="J543" s="42"/>
      <c r="K543" s="42"/>
      <c r="L543" s="42"/>
      <c r="M543" s="42"/>
      <c r="N543" s="42"/>
      <c r="O543" s="42"/>
      <c r="P543" s="42"/>
      <c r="Q543" s="42"/>
      <c r="R543" s="42"/>
      <c r="S543" s="42"/>
      <c r="T543" s="42"/>
      <c r="U543" s="42"/>
      <c r="V543" s="42"/>
      <c r="W543" s="42"/>
      <c r="X543" s="42"/>
      <c r="Y543" s="42"/>
    </row>
    <row r="544" spans="1:25" ht="12.95">
      <c r="A544" s="55"/>
      <c r="B544" s="41"/>
      <c r="C544" s="42"/>
      <c r="D544" s="43"/>
      <c r="E544" s="42"/>
      <c r="F544" s="42"/>
      <c r="G544" s="42"/>
      <c r="H544" s="42"/>
      <c r="I544" s="42"/>
      <c r="J544" s="42"/>
      <c r="K544" s="42"/>
      <c r="L544" s="42"/>
      <c r="M544" s="42"/>
      <c r="N544" s="42"/>
      <c r="O544" s="42"/>
      <c r="P544" s="42"/>
      <c r="Q544" s="42"/>
      <c r="R544" s="42"/>
      <c r="S544" s="42"/>
      <c r="T544" s="42"/>
      <c r="U544" s="42"/>
      <c r="V544" s="42"/>
      <c r="W544" s="42"/>
      <c r="X544" s="42"/>
      <c r="Y544" s="42"/>
    </row>
    <row r="545" spans="1:25" ht="12.95">
      <c r="A545" s="55"/>
      <c r="B545" s="41"/>
      <c r="C545" s="42"/>
      <c r="D545" s="43"/>
      <c r="E545" s="42"/>
      <c r="F545" s="42"/>
      <c r="G545" s="42"/>
      <c r="H545" s="42"/>
      <c r="I545" s="42"/>
      <c r="J545" s="42"/>
      <c r="K545" s="42"/>
      <c r="L545" s="42"/>
      <c r="M545" s="42"/>
      <c r="N545" s="42"/>
      <c r="O545" s="42"/>
      <c r="P545" s="42"/>
      <c r="Q545" s="42"/>
      <c r="R545" s="42"/>
      <c r="S545" s="42"/>
      <c r="T545" s="42"/>
      <c r="U545" s="42"/>
      <c r="V545" s="42"/>
      <c r="W545" s="42"/>
      <c r="X545" s="42"/>
      <c r="Y545" s="42"/>
    </row>
    <row r="546" spans="1:25" ht="12.95">
      <c r="A546" s="55"/>
      <c r="B546" s="41"/>
      <c r="C546" s="42"/>
      <c r="D546" s="43"/>
      <c r="E546" s="42"/>
      <c r="F546" s="42"/>
      <c r="G546" s="42"/>
      <c r="H546" s="42"/>
      <c r="I546" s="42"/>
      <c r="J546" s="42"/>
      <c r="K546" s="42"/>
      <c r="L546" s="42"/>
      <c r="M546" s="42"/>
      <c r="N546" s="42"/>
      <c r="O546" s="42"/>
      <c r="P546" s="42"/>
      <c r="Q546" s="42"/>
      <c r="R546" s="42"/>
      <c r="S546" s="42"/>
      <c r="T546" s="42"/>
      <c r="U546" s="42"/>
      <c r="V546" s="42"/>
      <c r="W546" s="42"/>
      <c r="X546" s="42"/>
      <c r="Y546" s="42"/>
    </row>
    <row r="547" spans="1:25" ht="12.95">
      <c r="A547" s="55"/>
      <c r="B547" s="41"/>
      <c r="C547" s="42"/>
      <c r="D547" s="43"/>
      <c r="E547" s="42"/>
      <c r="F547" s="42"/>
      <c r="G547" s="42"/>
      <c r="H547" s="42"/>
      <c r="I547" s="42"/>
      <c r="J547" s="42"/>
      <c r="K547" s="42"/>
      <c r="L547" s="42"/>
      <c r="M547" s="42"/>
      <c r="N547" s="42"/>
      <c r="O547" s="42"/>
      <c r="P547" s="42"/>
      <c r="Q547" s="42"/>
      <c r="R547" s="42"/>
      <c r="S547" s="42"/>
      <c r="T547" s="42"/>
      <c r="U547" s="42"/>
      <c r="V547" s="42"/>
      <c r="W547" s="42"/>
      <c r="X547" s="42"/>
      <c r="Y547" s="42"/>
    </row>
    <row r="548" spans="1:25" ht="12.95">
      <c r="A548" s="55"/>
      <c r="B548" s="41"/>
      <c r="C548" s="42"/>
      <c r="D548" s="43"/>
      <c r="E548" s="42"/>
      <c r="F548" s="42"/>
      <c r="G548" s="42"/>
      <c r="H548" s="42"/>
      <c r="I548" s="42"/>
      <c r="J548" s="42"/>
      <c r="K548" s="42"/>
      <c r="L548" s="42"/>
      <c r="M548" s="42"/>
      <c r="N548" s="42"/>
      <c r="O548" s="42"/>
      <c r="P548" s="42"/>
      <c r="Q548" s="42"/>
      <c r="R548" s="42"/>
      <c r="S548" s="42"/>
      <c r="T548" s="42"/>
      <c r="U548" s="42"/>
      <c r="V548" s="42"/>
      <c r="W548" s="42"/>
      <c r="X548" s="42"/>
      <c r="Y548" s="42"/>
    </row>
    <row r="549" spans="1:25" ht="12.95">
      <c r="A549" s="55"/>
      <c r="B549" s="41"/>
      <c r="C549" s="42"/>
      <c r="D549" s="43"/>
      <c r="E549" s="42"/>
      <c r="F549" s="42"/>
      <c r="G549" s="42"/>
      <c r="H549" s="42"/>
      <c r="I549" s="42"/>
      <c r="J549" s="42"/>
      <c r="K549" s="42"/>
      <c r="L549" s="42"/>
      <c r="M549" s="42"/>
      <c r="N549" s="42"/>
      <c r="O549" s="42"/>
      <c r="P549" s="42"/>
      <c r="Q549" s="42"/>
      <c r="R549" s="42"/>
      <c r="S549" s="42"/>
      <c r="T549" s="42"/>
      <c r="U549" s="42"/>
      <c r="V549" s="42"/>
      <c r="W549" s="42"/>
      <c r="X549" s="42"/>
      <c r="Y549" s="42"/>
    </row>
    <row r="550" spans="1:25" ht="12.95">
      <c r="A550" s="55"/>
      <c r="B550" s="41"/>
      <c r="C550" s="42"/>
      <c r="D550" s="43"/>
      <c r="E550" s="42"/>
      <c r="F550" s="42"/>
      <c r="G550" s="42"/>
      <c r="H550" s="42"/>
      <c r="I550" s="42"/>
      <c r="J550" s="42"/>
      <c r="K550" s="42"/>
      <c r="L550" s="42"/>
      <c r="M550" s="42"/>
      <c r="N550" s="42"/>
      <c r="O550" s="42"/>
      <c r="P550" s="42"/>
      <c r="Q550" s="42"/>
      <c r="R550" s="42"/>
      <c r="S550" s="42"/>
      <c r="T550" s="42"/>
      <c r="U550" s="42"/>
      <c r="V550" s="42"/>
      <c r="W550" s="42"/>
      <c r="X550" s="42"/>
      <c r="Y550" s="42"/>
    </row>
    <row r="551" spans="1:25" ht="12.95">
      <c r="A551" s="55"/>
      <c r="B551" s="41"/>
      <c r="C551" s="42"/>
      <c r="D551" s="43"/>
      <c r="E551" s="42"/>
      <c r="F551" s="42"/>
      <c r="G551" s="42"/>
      <c r="H551" s="42"/>
      <c r="I551" s="42"/>
      <c r="J551" s="42"/>
      <c r="K551" s="42"/>
      <c r="L551" s="42"/>
      <c r="M551" s="42"/>
      <c r="N551" s="42"/>
      <c r="O551" s="42"/>
      <c r="P551" s="42"/>
      <c r="Q551" s="42"/>
      <c r="R551" s="42"/>
      <c r="S551" s="42"/>
      <c r="T551" s="42"/>
      <c r="U551" s="42"/>
      <c r="V551" s="42"/>
      <c r="W551" s="42"/>
      <c r="X551" s="42"/>
      <c r="Y551" s="42"/>
    </row>
    <row r="552" spans="1:25" ht="12.95">
      <c r="A552" s="55"/>
      <c r="B552" s="41"/>
      <c r="C552" s="42"/>
      <c r="D552" s="43"/>
      <c r="E552" s="42"/>
      <c r="F552" s="42"/>
      <c r="G552" s="42"/>
      <c r="H552" s="42"/>
      <c r="I552" s="42"/>
      <c r="J552" s="42"/>
      <c r="K552" s="42"/>
      <c r="L552" s="42"/>
      <c r="M552" s="42"/>
      <c r="N552" s="42"/>
      <c r="O552" s="42"/>
      <c r="P552" s="42"/>
      <c r="Q552" s="42"/>
      <c r="R552" s="42"/>
      <c r="S552" s="42"/>
      <c r="T552" s="42"/>
      <c r="U552" s="42"/>
      <c r="V552" s="42"/>
      <c r="W552" s="42"/>
      <c r="X552" s="42"/>
      <c r="Y552" s="42"/>
    </row>
    <row r="553" spans="1:25" ht="12.95">
      <c r="A553" s="55"/>
      <c r="B553" s="41"/>
      <c r="C553" s="42"/>
      <c r="D553" s="43"/>
      <c r="E553" s="42"/>
      <c r="F553" s="42"/>
      <c r="G553" s="42"/>
      <c r="H553" s="42"/>
      <c r="I553" s="42"/>
      <c r="J553" s="42"/>
      <c r="K553" s="42"/>
      <c r="L553" s="42"/>
      <c r="M553" s="42"/>
      <c r="N553" s="42"/>
      <c r="O553" s="42"/>
      <c r="P553" s="42"/>
      <c r="Q553" s="42"/>
      <c r="R553" s="42"/>
      <c r="S553" s="42"/>
      <c r="T553" s="42"/>
      <c r="U553" s="42"/>
      <c r="V553" s="42"/>
      <c r="W553" s="42"/>
      <c r="X553" s="42"/>
      <c r="Y553" s="42"/>
    </row>
    <row r="554" spans="1:25" ht="12.95">
      <c r="A554" s="55"/>
      <c r="B554" s="41"/>
      <c r="C554" s="42"/>
      <c r="D554" s="43"/>
      <c r="E554" s="42"/>
      <c r="F554" s="42"/>
      <c r="G554" s="42"/>
      <c r="H554" s="42"/>
      <c r="I554" s="42"/>
      <c r="J554" s="42"/>
      <c r="K554" s="42"/>
      <c r="L554" s="42"/>
      <c r="M554" s="42"/>
      <c r="N554" s="42"/>
      <c r="O554" s="42"/>
      <c r="P554" s="42"/>
      <c r="Q554" s="42"/>
      <c r="R554" s="42"/>
      <c r="S554" s="42"/>
      <c r="T554" s="42"/>
      <c r="U554" s="42"/>
      <c r="V554" s="42"/>
      <c r="W554" s="42"/>
      <c r="X554" s="42"/>
      <c r="Y554" s="42"/>
    </row>
    <row r="555" spans="1:25" ht="12.95">
      <c r="A555" s="55"/>
      <c r="B555" s="41"/>
      <c r="C555" s="42"/>
      <c r="D555" s="43"/>
      <c r="E555" s="42"/>
      <c r="F555" s="42"/>
      <c r="G555" s="42"/>
      <c r="H555" s="42"/>
      <c r="I555" s="42"/>
      <c r="J555" s="42"/>
      <c r="K555" s="42"/>
      <c r="L555" s="42"/>
      <c r="M555" s="42"/>
      <c r="N555" s="42"/>
      <c r="O555" s="42"/>
      <c r="P555" s="42"/>
      <c r="Q555" s="42"/>
      <c r="R555" s="42"/>
      <c r="S555" s="42"/>
      <c r="T555" s="42"/>
      <c r="U555" s="42"/>
      <c r="V555" s="42"/>
      <c r="W555" s="42"/>
      <c r="X555" s="42"/>
      <c r="Y555" s="42"/>
    </row>
    <row r="556" spans="1:25" ht="12.95">
      <c r="A556" s="55"/>
      <c r="B556" s="41"/>
      <c r="C556" s="42"/>
      <c r="D556" s="43"/>
      <c r="E556" s="42"/>
      <c r="F556" s="42"/>
      <c r="G556" s="42"/>
      <c r="H556" s="42"/>
      <c r="I556" s="42"/>
      <c r="J556" s="42"/>
      <c r="K556" s="42"/>
      <c r="L556" s="42"/>
      <c r="M556" s="42"/>
      <c r="N556" s="42"/>
      <c r="O556" s="42"/>
      <c r="P556" s="42"/>
      <c r="Q556" s="42"/>
      <c r="R556" s="42"/>
      <c r="S556" s="42"/>
      <c r="T556" s="42"/>
      <c r="U556" s="42"/>
      <c r="V556" s="42"/>
      <c r="W556" s="42"/>
      <c r="X556" s="42"/>
      <c r="Y556" s="42"/>
    </row>
    <row r="557" spans="1:25" ht="12.95">
      <c r="A557" s="55"/>
      <c r="B557" s="41"/>
      <c r="C557" s="42"/>
      <c r="D557" s="43"/>
      <c r="E557" s="42"/>
      <c r="F557" s="42"/>
      <c r="G557" s="42"/>
      <c r="H557" s="42"/>
      <c r="I557" s="42"/>
      <c r="J557" s="42"/>
      <c r="K557" s="42"/>
      <c r="L557" s="42"/>
      <c r="M557" s="42"/>
      <c r="N557" s="42"/>
      <c r="O557" s="42"/>
      <c r="P557" s="42"/>
      <c r="Q557" s="42"/>
      <c r="R557" s="42"/>
      <c r="S557" s="42"/>
      <c r="T557" s="42"/>
      <c r="U557" s="42"/>
      <c r="V557" s="42"/>
      <c r="W557" s="42"/>
      <c r="X557" s="42"/>
      <c r="Y557" s="42"/>
    </row>
    <row r="558" spans="1:25" ht="12.95">
      <c r="A558" s="55"/>
      <c r="B558" s="41"/>
      <c r="C558" s="42"/>
      <c r="D558" s="43"/>
      <c r="E558" s="42"/>
      <c r="F558" s="42"/>
      <c r="G558" s="42"/>
      <c r="H558" s="42"/>
      <c r="I558" s="42"/>
      <c r="J558" s="42"/>
      <c r="K558" s="42"/>
      <c r="L558" s="42"/>
      <c r="M558" s="42"/>
      <c r="N558" s="42"/>
      <c r="O558" s="42"/>
      <c r="P558" s="42"/>
      <c r="Q558" s="42"/>
      <c r="R558" s="42"/>
      <c r="S558" s="42"/>
      <c r="T558" s="42"/>
      <c r="U558" s="42"/>
      <c r="V558" s="42"/>
      <c r="W558" s="42"/>
      <c r="X558" s="42"/>
      <c r="Y558" s="42"/>
    </row>
    <row r="559" spans="1:25" ht="12.95">
      <c r="A559" s="55"/>
      <c r="B559" s="41"/>
      <c r="C559" s="42"/>
      <c r="D559" s="43"/>
      <c r="E559" s="42"/>
      <c r="F559" s="42"/>
      <c r="G559" s="42"/>
      <c r="H559" s="42"/>
      <c r="I559" s="42"/>
      <c r="J559" s="42"/>
      <c r="K559" s="42"/>
      <c r="L559" s="42"/>
      <c r="M559" s="42"/>
      <c r="N559" s="42"/>
      <c r="O559" s="42"/>
      <c r="P559" s="42"/>
      <c r="Q559" s="42"/>
      <c r="R559" s="42"/>
      <c r="S559" s="42"/>
      <c r="T559" s="42"/>
      <c r="U559" s="42"/>
      <c r="V559" s="42"/>
      <c r="W559" s="42"/>
      <c r="X559" s="42"/>
      <c r="Y559" s="42"/>
    </row>
    <row r="560" spans="1:25" ht="12.95">
      <c r="A560" s="55"/>
      <c r="B560" s="41"/>
      <c r="C560" s="42"/>
      <c r="D560" s="43"/>
      <c r="E560" s="42"/>
      <c r="F560" s="42"/>
      <c r="G560" s="42"/>
      <c r="H560" s="42"/>
      <c r="I560" s="42"/>
      <c r="J560" s="42"/>
      <c r="K560" s="42"/>
      <c r="L560" s="42"/>
      <c r="M560" s="42"/>
      <c r="N560" s="42"/>
      <c r="O560" s="42"/>
      <c r="P560" s="42"/>
      <c r="Q560" s="42"/>
      <c r="R560" s="42"/>
      <c r="S560" s="42"/>
      <c r="T560" s="42"/>
      <c r="U560" s="42"/>
      <c r="V560" s="42"/>
      <c r="W560" s="42"/>
      <c r="X560" s="42"/>
      <c r="Y560" s="42"/>
    </row>
    <row r="561" spans="1:25" ht="12.95">
      <c r="A561" s="55"/>
      <c r="B561" s="41"/>
      <c r="C561" s="42"/>
      <c r="D561" s="43"/>
      <c r="E561" s="42"/>
      <c r="F561" s="42"/>
      <c r="G561" s="42"/>
      <c r="H561" s="42"/>
      <c r="I561" s="42"/>
      <c r="J561" s="42"/>
      <c r="K561" s="42"/>
      <c r="L561" s="42"/>
      <c r="M561" s="42"/>
      <c r="N561" s="42"/>
      <c r="O561" s="42"/>
      <c r="P561" s="42"/>
      <c r="Q561" s="42"/>
      <c r="R561" s="42"/>
      <c r="S561" s="42"/>
      <c r="T561" s="42"/>
      <c r="U561" s="42"/>
      <c r="V561" s="42"/>
      <c r="W561" s="42"/>
      <c r="X561" s="42"/>
      <c r="Y561" s="42"/>
    </row>
    <row r="562" spans="1:25" ht="12.95">
      <c r="A562" s="55"/>
      <c r="B562" s="41"/>
      <c r="C562" s="42"/>
      <c r="D562" s="43"/>
      <c r="E562" s="42"/>
      <c r="F562" s="42"/>
      <c r="G562" s="42"/>
      <c r="H562" s="42"/>
      <c r="I562" s="42"/>
      <c r="J562" s="42"/>
      <c r="K562" s="42"/>
      <c r="L562" s="42"/>
      <c r="M562" s="42"/>
      <c r="N562" s="42"/>
      <c r="O562" s="42"/>
      <c r="P562" s="42"/>
      <c r="Q562" s="42"/>
      <c r="R562" s="42"/>
      <c r="S562" s="42"/>
      <c r="T562" s="42"/>
      <c r="U562" s="42"/>
      <c r="V562" s="42"/>
      <c r="W562" s="42"/>
      <c r="X562" s="42"/>
      <c r="Y562" s="42"/>
    </row>
    <row r="563" spans="1:25" ht="12.95">
      <c r="A563" s="55"/>
      <c r="B563" s="41"/>
      <c r="C563" s="42"/>
      <c r="D563" s="43"/>
      <c r="E563" s="42"/>
      <c r="F563" s="42"/>
      <c r="G563" s="42"/>
      <c r="H563" s="42"/>
      <c r="I563" s="42"/>
      <c r="J563" s="42"/>
      <c r="K563" s="42"/>
      <c r="L563" s="42"/>
      <c r="M563" s="42"/>
      <c r="N563" s="42"/>
      <c r="O563" s="42"/>
      <c r="P563" s="42"/>
      <c r="Q563" s="42"/>
      <c r="R563" s="42"/>
      <c r="S563" s="42"/>
      <c r="T563" s="42"/>
      <c r="U563" s="42"/>
      <c r="V563" s="42"/>
      <c r="W563" s="42"/>
      <c r="X563" s="42"/>
      <c r="Y563" s="42"/>
    </row>
    <row r="564" spans="1:25" ht="12.95">
      <c r="A564" s="55"/>
      <c r="B564" s="41"/>
      <c r="C564" s="42"/>
      <c r="D564" s="43"/>
      <c r="E564" s="42"/>
      <c r="F564" s="42"/>
      <c r="G564" s="42"/>
      <c r="H564" s="42"/>
      <c r="I564" s="42"/>
      <c r="J564" s="42"/>
      <c r="K564" s="42"/>
      <c r="L564" s="42"/>
      <c r="M564" s="42"/>
      <c r="N564" s="42"/>
      <c r="O564" s="42"/>
      <c r="P564" s="42"/>
      <c r="Q564" s="42"/>
      <c r="R564" s="42"/>
      <c r="S564" s="42"/>
      <c r="T564" s="42"/>
      <c r="U564" s="42"/>
      <c r="V564" s="42"/>
      <c r="W564" s="42"/>
      <c r="X564" s="42"/>
      <c r="Y564" s="42"/>
    </row>
    <row r="565" spans="1:25" ht="12.95">
      <c r="A565" s="55"/>
      <c r="B565" s="41"/>
      <c r="C565" s="42"/>
      <c r="D565" s="43"/>
      <c r="E565" s="42"/>
      <c r="F565" s="42"/>
      <c r="G565" s="42"/>
      <c r="H565" s="42"/>
      <c r="I565" s="42"/>
      <c r="J565" s="42"/>
      <c r="K565" s="42"/>
      <c r="L565" s="42"/>
      <c r="M565" s="42"/>
      <c r="N565" s="42"/>
      <c r="O565" s="42"/>
      <c r="P565" s="42"/>
      <c r="Q565" s="42"/>
      <c r="R565" s="42"/>
      <c r="S565" s="42"/>
      <c r="T565" s="42"/>
      <c r="U565" s="42"/>
      <c r="V565" s="42"/>
      <c r="W565" s="42"/>
      <c r="X565" s="42"/>
      <c r="Y565" s="42"/>
    </row>
    <row r="566" spans="1:25" ht="12.95">
      <c r="A566" s="55"/>
      <c r="B566" s="41"/>
      <c r="C566" s="42"/>
      <c r="D566" s="43"/>
      <c r="E566" s="42"/>
      <c r="F566" s="42"/>
      <c r="G566" s="42"/>
      <c r="H566" s="42"/>
      <c r="I566" s="42"/>
      <c r="J566" s="42"/>
      <c r="K566" s="42"/>
      <c r="L566" s="42"/>
      <c r="M566" s="42"/>
      <c r="N566" s="42"/>
      <c r="O566" s="42"/>
      <c r="P566" s="42"/>
      <c r="Q566" s="42"/>
      <c r="R566" s="42"/>
      <c r="S566" s="42"/>
      <c r="T566" s="42"/>
      <c r="U566" s="42"/>
      <c r="V566" s="42"/>
      <c r="W566" s="42"/>
      <c r="X566" s="42"/>
      <c r="Y566" s="42"/>
    </row>
    <row r="567" spans="1:25" ht="12.95">
      <c r="A567" s="55"/>
      <c r="B567" s="41"/>
      <c r="C567" s="42"/>
      <c r="D567" s="43"/>
      <c r="E567" s="42"/>
      <c r="F567" s="42"/>
      <c r="G567" s="42"/>
      <c r="H567" s="42"/>
      <c r="I567" s="42"/>
      <c r="J567" s="42"/>
      <c r="K567" s="42"/>
      <c r="L567" s="42"/>
      <c r="M567" s="42"/>
      <c r="N567" s="42"/>
      <c r="O567" s="42"/>
      <c r="P567" s="42"/>
      <c r="Q567" s="42"/>
      <c r="R567" s="42"/>
      <c r="S567" s="42"/>
      <c r="T567" s="42"/>
      <c r="U567" s="42"/>
      <c r="V567" s="42"/>
      <c r="W567" s="42"/>
      <c r="X567" s="42"/>
      <c r="Y567" s="42"/>
    </row>
    <row r="568" spans="1:25" ht="12.95">
      <c r="A568" s="55"/>
      <c r="B568" s="41"/>
      <c r="C568" s="42"/>
      <c r="D568" s="43"/>
      <c r="E568" s="42"/>
      <c r="F568" s="42"/>
      <c r="G568" s="42"/>
      <c r="H568" s="42"/>
      <c r="I568" s="42"/>
      <c r="J568" s="42"/>
      <c r="K568" s="42"/>
      <c r="L568" s="42"/>
      <c r="M568" s="42"/>
      <c r="N568" s="42"/>
      <c r="O568" s="42"/>
      <c r="P568" s="42"/>
      <c r="Q568" s="42"/>
      <c r="R568" s="42"/>
      <c r="S568" s="42"/>
      <c r="T568" s="42"/>
      <c r="U568" s="42"/>
      <c r="V568" s="42"/>
      <c r="W568" s="42"/>
      <c r="X568" s="42"/>
      <c r="Y568" s="42"/>
    </row>
    <row r="569" spans="1:25" ht="12.95">
      <c r="A569" s="55"/>
      <c r="B569" s="41"/>
      <c r="C569" s="42"/>
      <c r="D569" s="43"/>
      <c r="E569" s="42"/>
      <c r="F569" s="42"/>
      <c r="G569" s="42"/>
      <c r="H569" s="42"/>
      <c r="I569" s="42"/>
      <c r="J569" s="42"/>
      <c r="K569" s="42"/>
      <c r="L569" s="42"/>
      <c r="M569" s="42"/>
      <c r="N569" s="42"/>
      <c r="O569" s="42"/>
      <c r="P569" s="42"/>
      <c r="Q569" s="42"/>
      <c r="R569" s="42"/>
      <c r="S569" s="42"/>
      <c r="T569" s="42"/>
      <c r="U569" s="42"/>
      <c r="V569" s="42"/>
      <c r="W569" s="42"/>
      <c r="X569" s="42"/>
      <c r="Y569" s="42"/>
    </row>
    <row r="570" spans="1:25" ht="12.95">
      <c r="A570" s="55"/>
      <c r="B570" s="41"/>
      <c r="C570" s="42"/>
      <c r="D570" s="43"/>
      <c r="E570" s="42"/>
      <c r="F570" s="42"/>
      <c r="G570" s="42"/>
      <c r="H570" s="42"/>
      <c r="I570" s="42"/>
      <c r="J570" s="42"/>
      <c r="K570" s="42"/>
      <c r="L570" s="42"/>
      <c r="M570" s="42"/>
      <c r="N570" s="42"/>
      <c r="O570" s="42"/>
      <c r="P570" s="42"/>
      <c r="Q570" s="42"/>
      <c r="R570" s="42"/>
      <c r="S570" s="42"/>
      <c r="T570" s="42"/>
      <c r="U570" s="42"/>
      <c r="V570" s="42"/>
      <c r="W570" s="42"/>
      <c r="X570" s="42"/>
      <c r="Y570" s="42"/>
    </row>
    <row r="571" spans="1:25" ht="12.95">
      <c r="A571" s="55"/>
      <c r="B571" s="41"/>
      <c r="C571" s="42"/>
      <c r="D571" s="43"/>
      <c r="E571" s="42"/>
      <c r="F571" s="42"/>
      <c r="G571" s="42"/>
      <c r="H571" s="42"/>
      <c r="I571" s="42"/>
      <c r="J571" s="42"/>
      <c r="K571" s="42"/>
      <c r="L571" s="42"/>
      <c r="M571" s="42"/>
      <c r="N571" s="42"/>
      <c r="O571" s="42"/>
      <c r="P571" s="42"/>
      <c r="Q571" s="42"/>
      <c r="R571" s="42"/>
      <c r="S571" s="42"/>
      <c r="T571" s="42"/>
      <c r="U571" s="42"/>
      <c r="V571" s="42"/>
      <c r="W571" s="42"/>
      <c r="X571" s="42"/>
      <c r="Y571" s="42"/>
    </row>
    <row r="572" spans="1:25" ht="12.95">
      <c r="A572" s="55"/>
      <c r="B572" s="41"/>
      <c r="C572" s="42"/>
      <c r="D572" s="43"/>
      <c r="E572" s="42"/>
      <c r="F572" s="42"/>
      <c r="G572" s="42"/>
      <c r="H572" s="42"/>
      <c r="I572" s="42"/>
      <c r="J572" s="42"/>
      <c r="K572" s="42"/>
      <c r="L572" s="42"/>
      <c r="M572" s="42"/>
      <c r="N572" s="42"/>
      <c r="O572" s="42"/>
      <c r="P572" s="42"/>
      <c r="Q572" s="42"/>
      <c r="R572" s="42"/>
      <c r="S572" s="42"/>
      <c r="T572" s="42"/>
      <c r="U572" s="42"/>
      <c r="V572" s="42"/>
      <c r="W572" s="42"/>
      <c r="X572" s="42"/>
      <c r="Y572" s="42"/>
    </row>
    <row r="573" spans="1:25" ht="12.95">
      <c r="A573" s="55"/>
      <c r="B573" s="41"/>
      <c r="C573" s="42"/>
      <c r="D573" s="43"/>
      <c r="E573" s="42"/>
      <c r="F573" s="42"/>
      <c r="G573" s="42"/>
      <c r="H573" s="42"/>
      <c r="I573" s="42"/>
      <c r="J573" s="42"/>
      <c r="K573" s="42"/>
      <c r="L573" s="42"/>
      <c r="M573" s="42"/>
      <c r="N573" s="42"/>
      <c r="O573" s="42"/>
      <c r="P573" s="42"/>
      <c r="Q573" s="42"/>
      <c r="R573" s="42"/>
      <c r="S573" s="42"/>
      <c r="T573" s="42"/>
      <c r="U573" s="42"/>
      <c r="V573" s="42"/>
      <c r="W573" s="42"/>
      <c r="X573" s="42"/>
      <c r="Y573" s="42"/>
    </row>
    <row r="574" spans="1:25" ht="12.95">
      <c r="A574" s="55"/>
      <c r="B574" s="41"/>
      <c r="C574" s="42"/>
      <c r="D574" s="43"/>
      <c r="E574" s="42"/>
      <c r="F574" s="42"/>
      <c r="G574" s="42"/>
      <c r="H574" s="42"/>
      <c r="I574" s="42"/>
      <c r="J574" s="42"/>
      <c r="K574" s="42"/>
      <c r="L574" s="42"/>
      <c r="M574" s="42"/>
      <c r="N574" s="42"/>
      <c r="O574" s="42"/>
      <c r="P574" s="42"/>
      <c r="Q574" s="42"/>
      <c r="R574" s="42"/>
      <c r="S574" s="42"/>
      <c r="T574" s="42"/>
      <c r="U574" s="42"/>
      <c r="V574" s="42"/>
      <c r="W574" s="42"/>
      <c r="X574" s="42"/>
      <c r="Y574" s="42"/>
    </row>
    <row r="575" spans="1:25" ht="12.95">
      <c r="A575" s="55"/>
      <c r="B575" s="41"/>
      <c r="C575" s="42"/>
      <c r="D575" s="43"/>
      <c r="E575" s="42"/>
      <c r="F575" s="42"/>
      <c r="G575" s="42"/>
      <c r="H575" s="42"/>
      <c r="I575" s="42"/>
      <c r="J575" s="42"/>
      <c r="K575" s="42"/>
      <c r="L575" s="42"/>
      <c r="M575" s="42"/>
      <c r="N575" s="42"/>
      <c r="O575" s="42"/>
      <c r="P575" s="42"/>
      <c r="Q575" s="42"/>
      <c r="R575" s="42"/>
      <c r="S575" s="42"/>
      <c r="T575" s="42"/>
      <c r="U575" s="42"/>
      <c r="V575" s="42"/>
      <c r="W575" s="42"/>
      <c r="X575" s="42"/>
      <c r="Y575" s="42"/>
    </row>
    <row r="576" spans="1:25" ht="12.95">
      <c r="A576" s="55"/>
      <c r="B576" s="41"/>
      <c r="C576" s="42"/>
      <c r="D576" s="43"/>
      <c r="E576" s="42"/>
      <c r="F576" s="42"/>
      <c r="G576" s="42"/>
      <c r="H576" s="42"/>
      <c r="I576" s="42"/>
      <c r="J576" s="42"/>
      <c r="K576" s="42"/>
      <c r="L576" s="42"/>
      <c r="M576" s="42"/>
      <c r="N576" s="42"/>
      <c r="O576" s="42"/>
      <c r="P576" s="42"/>
      <c r="Q576" s="42"/>
      <c r="R576" s="42"/>
      <c r="S576" s="42"/>
      <c r="T576" s="42"/>
      <c r="U576" s="42"/>
      <c r="V576" s="42"/>
      <c r="W576" s="42"/>
      <c r="X576" s="42"/>
      <c r="Y576" s="42"/>
    </row>
    <row r="577" spans="1:25" ht="12.95">
      <c r="A577" s="55"/>
      <c r="B577" s="41"/>
      <c r="C577" s="42"/>
      <c r="D577" s="43"/>
      <c r="E577" s="42"/>
      <c r="F577" s="42"/>
      <c r="G577" s="42"/>
      <c r="H577" s="42"/>
      <c r="I577" s="42"/>
      <c r="J577" s="42"/>
      <c r="K577" s="42"/>
      <c r="L577" s="42"/>
      <c r="M577" s="42"/>
      <c r="N577" s="42"/>
      <c r="O577" s="42"/>
      <c r="P577" s="42"/>
      <c r="Q577" s="42"/>
      <c r="R577" s="42"/>
      <c r="S577" s="42"/>
      <c r="T577" s="42"/>
      <c r="U577" s="42"/>
      <c r="V577" s="42"/>
      <c r="W577" s="42"/>
      <c r="X577" s="42"/>
      <c r="Y577" s="42"/>
    </row>
    <row r="578" spans="1:25" ht="12.95">
      <c r="A578" s="55"/>
      <c r="B578" s="41"/>
      <c r="C578" s="42"/>
      <c r="D578" s="43"/>
      <c r="E578" s="42"/>
      <c r="F578" s="42"/>
      <c r="G578" s="42"/>
      <c r="H578" s="42"/>
      <c r="I578" s="42"/>
      <c r="J578" s="42"/>
      <c r="K578" s="42"/>
      <c r="L578" s="42"/>
      <c r="M578" s="42"/>
      <c r="N578" s="42"/>
      <c r="O578" s="42"/>
      <c r="P578" s="42"/>
      <c r="Q578" s="42"/>
      <c r="R578" s="42"/>
      <c r="S578" s="42"/>
      <c r="T578" s="42"/>
      <c r="U578" s="42"/>
      <c r="V578" s="42"/>
      <c r="W578" s="42"/>
      <c r="X578" s="42"/>
      <c r="Y578" s="42"/>
    </row>
    <row r="579" spans="1:25" ht="12.95">
      <c r="A579" s="55"/>
      <c r="B579" s="41"/>
      <c r="C579" s="42"/>
      <c r="D579" s="43"/>
      <c r="E579" s="42"/>
      <c r="F579" s="42"/>
      <c r="G579" s="42"/>
      <c r="H579" s="42"/>
      <c r="I579" s="42"/>
      <c r="J579" s="42"/>
      <c r="K579" s="42"/>
      <c r="L579" s="42"/>
      <c r="M579" s="42"/>
      <c r="N579" s="42"/>
      <c r="O579" s="42"/>
      <c r="P579" s="42"/>
      <c r="Q579" s="42"/>
      <c r="R579" s="42"/>
      <c r="S579" s="42"/>
      <c r="T579" s="42"/>
      <c r="U579" s="42"/>
      <c r="V579" s="42"/>
      <c r="W579" s="42"/>
      <c r="X579" s="42"/>
      <c r="Y579" s="42"/>
    </row>
    <row r="580" spans="1:25" ht="12.95">
      <c r="A580" s="55"/>
      <c r="B580" s="41"/>
      <c r="C580" s="42"/>
      <c r="D580" s="43"/>
      <c r="E580" s="42"/>
      <c r="F580" s="42"/>
      <c r="G580" s="42"/>
      <c r="H580" s="42"/>
      <c r="I580" s="42"/>
      <c r="J580" s="42"/>
      <c r="K580" s="42"/>
      <c r="L580" s="42"/>
      <c r="M580" s="42"/>
      <c r="N580" s="42"/>
      <c r="O580" s="42"/>
      <c r="P580" s="42"/>
      <c r="Q580" s="42"/>
      <c r="R580" s="42"/>
      <c r="S580" s="42"/>
      <c r="T580" s="42"/>
      <c r="U580" s="42"/>
      <c r="V580" s="42"/>
      <c r="W580" s="42"/>
      <c r="X580" s="42"/>
      <c r="Y580" s="42"/>
    </row>
    <row r="581" spans="1:25" ht="12.95">
      <c r="A581" s="55"/>
      <c r="B581" s="41"/>
      <c r="C581" s="42"/>
      <c r="D581" s="43"/>
      <c r="E581" s="42"/>
      <c r="F581" s="42"/>
      <c r="G581" s="42"/>
      <c r="H581" s="42"/>
      <c r="I581" s="42"/>
      <c r="J581" s="42"/>
      <c r="K581" s="42"/>
      <c r="L581" s="42"/>
      <c r="M581" s="42"/>
      <c r="N581" s="42"/>
      <c r="O581" s="42"/>
      <c r="P581" s="42"/>
      <c r="Q581" s="42"/>
      <c r="R581" s="42"/>
      <c r="S581" s="42"/>
      <c r="T581" s="42"/>
      <c r="U581" s="42"/>
      <c r="V581" s="42"/>
      <c r="W581" s="42"/>
      <c r="X581" s="42"/>
      <c r="Y581" s="42"/>
    </row>
    <row r="582" spans="1:25" ht="12.95">
      <c r="A582" s="55"/>
      <c r="B582" s="41"/>
      <c r="C582" s="42"/>
      <c r="D582" s="43"/>
      <c r="E582" s="42"/>
      <c r="F582" s="42"/>
      <c r="G582" s="42"/>
      <c r="H582" s="42"/>
      <c r="I582" s="42"/>
      <c r="J582" s="42"/>
      <c r="K582" s="42"/>
      <c r="L582" s="42"/>
      <c r="M582" s="42"/>
      <c r="N582" s="42"/>
      <c r="O582" s="42"/>
      <c r="P582" s="42"/>
      <c r="Q582" s="42"/>
      <c r="R582" s="42"/>
      <c r="S582" s="42"/>
      <c r="T582" s="42"/>
      <c r="U582" s="42"/>
      <c r="V582" s="42"/>
      <c r="W582" s="42"/>
      <c r="X582" s="42"/>
      <c r="Y582" s="42"/>
    </row>
    <row r="583" spans="1:25" ht="12.95">
      <c r="A583" s="55"/>
      <c r="B583" s="41"/>
      <c r="C583" s="42"/>
      <c r="D583" s="43"/>
      <c r="E583" s="42"/>
      <c r="F583" s="42"/>
      <c r="G583" s="42"/>
      <c r="H583" s="42"/>
      <c r="I583" s="42"/>
      <c r="J583" s="42"/>
      <c r="K583" s="42"/>
      <c r="L583" s="42"/>
      <c r="M583" s="42"/>
      <c r="N583" s="42"/>
      <c r="O583" s="42"/>
      <c r="P583" s="42"/>
      <c r="Q583" s="42"/>
      <c r="R583" s="42"/>
      <c r="S583" s="42"/>
      <c r="T583" s="42"/>
      <c r="U583" s="42"/>
      <c r="V583" s="42"/>
      <c r="W583" s="42"/>
      <c r="X583" s="42"/>
      <c r="Y583" s="42"/>
    </row>
    <row r="584" spans="1:25" ht="12.95">
      <c r="A584" s="55"/>
      <c r="B584" s="41"/>
      <c r="C584" s="42"/>
      <c r="D584" s="43"/>
      <c r="E584" s="42"/>
      <c r="F584" s="42"/>
      <c r="G584" s="42"/>
      <c r="H584" s="42"/>
      <c r="I584" s="42"/>
      <c r="J584" s="42"/>
      <c r="K584" s="42"/>
      <c r="L584" s="42"/>
      <c r="M584" s="42"/>
      <c r="N584" s="42"/>
      <c r="O584" s="42"/>
      <c r="P584" s="42"/>
      <c r="Q584" s="42"/>
      <c r="R584" s="42"/>
      <c r="S584" s="42"/>
      <c r="T584" s="42"/>
      <c r="U584" s="42"/>
      <c r="V584" s="42"/>
      <c r="W584" s="42"/>
      <c r="X584" s="42"/>
      <c r="Y584" s="42"/>
    </row>
    <row r="585" spans="1:25" ht="12.95">
      <c r="A585" s="55"/>
      <c r="B585" s="41"/>
      <c r="C585" s="42"/>
      <c r="D585" s="43"/>
      <c r="E585" s="42"/>
      <c r="F585" s="42"/>
      <c r="G585" s="42"/>
      <c r="H585" s="42"/>
      <c r="I585" s="42"/>
      <c r="J585" s="42"/>
      <c r="K585" s="42"/>
      <c r="L585" s="42"/>
      <c r="M585" s="42"/>
      <c r="N585" s="42"/>
      <c r="O585" s="42"/>
      <c r="P585" s="42"/>
      <c r="Q585" s="42"/>
      <c r="R585" s="42"/>
      <c r="S585" s="42"/>
      <c r="T585" s="42"/>
      <c r="U585" s="42"/>
      <c r="V585" s="42"/>
      <c r="W585" s="42"/>
      <c r="X585" s="42"/>
      <c r="Y585" s="42"/>
    </row>
    <row r="586" spans="1:25" ht="12.95">
      <c r="A586" s="55"/>
      <c r="B586" s="41"/>
      <c r="C586" s="42"/>
      <c r="D586" s="43"/>
      <c r="E586" s="42"/>
      <c r="F586" s="42"/>
      <c r="G586" s="42"/>
      <c r="H586" s="42"/>
      <c r="I586" s="42"/>
      <c r="J586" s="42"/>
      <c r="K586" s="42"/>
      <c r="L586" s="42"/>
      <c r="M586" s="42"/>
      <c r="N586" s="42"/>
      <c r="O586" s="42"/>
      <c r="P586" s="42"/>
      <c r="Q586" s="42"/>
      <c r="R586" s="42"/>
      <c r="S586" s="42"/>
      <c r="T586" s="42"/>
      <c r="U586" s="42"/>
      <c r="V586" s="42"/>
      <c r="W586" s="42"/>
      <c r="X586" s="42"/>
      <c r="Y586" s="42"/>
    </row>
    <row r="587" spans="1:25" ht="12.95">
      <c r="A587" s="55"/>
      <c r="B587" s="41"/>
      <c r="C587" s="42"/>
      <c r="D587" s="43"/>
      <c r="E587" s="42"/>
      <c r="F587" s="42"/>
      <c r="G587" s="42"/>
      <c r="H587" s="42"/>
      <c r="I587" s="42"/>
      <c r="J587" s="42"/>
      <c r="K587" s="42"/>
      <c r="L587" s="42"/>
      <c r="M587" s="42"/>
      <c r="N587" s="42"/>
      <c r="O587" s="42"/>
      <c r="P587" s="42"/>
      <c r="Q587" s="42"/>
      <c r="R587" s="42"/>
      <c r="S587" s="42"/>
      <c r="T587" s="42"/>
      <c r="U587" s="42"/>
      <c r="V587" s="42"/>
      <c r="W587" s="42"/>
      <c r="X587" s="42"/>
      <c r="Y587" s="42"/>
    </row>
    <row r="588" spans="1:25" ht="12.95">
      <c r="A588" s="55"/>
      <c r="B588" s="41"/>
      <c r="C588" s="42"/>
      <c r="D588" s="43"/>
      <c r="E588" s="42"/>
      <c r="F588" s="42"/>
      <c r="G588" s="42"/>
      <c r="H588" s="42"/>
      <c r="I588" s="42"/>
      <c r="J588" s="42"/>
      <c r="K588" s="42"/>
      <c r="L588" s="42"/>
      <c r="M588" s="42"/>
      <c r="N588" s="42"/>
      <c r="O588" s="42"/>
      <c r="P588" s="42"/>
      <c r="Q588" s="42"/>
      <c r="R588" s="42"/>
      <c r="S588" s="42"/>
      <c r="T588" s="42"/>
      <c r="U588" s="42"/>
      <c r="V588" s="42"/>
      <c r="W588" s="42"/>
      <c r="X588" s="42"/>
      <c r="Y588" s="42"/>
    </row>
    <row r="589" spans="1:25" ht="12.95">
      <c r="A589" s="55"/>
      <c r="B589" s="41"/>
      <c r="C589" s="42"/>
      <c r="D589" s="43"/>
      <c r="E589" s="42"/>
      <c r="F589" s="42"/>
      <c r="G589" s="42"/>
      <c r="H589" s="42"/>
      <c r="I589" s="42"/>
      <c r="J589" s="42"/>
      <c r="K589" s="42"/>
      <c r="L589" s="42"/>
      <c r="M589" s="42"/>
      <c r="N589" s="42"/>
      <c r="O589" s="42"/>
      <c r="P589" s="42"/>
      <c r="Q589" s="42"/>
      <c r="R589" s="42"/>
      <c r="S589" s="42"/>
      <c r="T589" s="42"/>
      <c r="U589" s="42"/>
      <c r="V589" s="42"/>
      <c r="W589" s="42"/>
      <c r="X589" s="42"/>
      <c r="Y589" s="42"/>
    </row>
    <row r="590" spans="1:25" ht="12.95">
      <c r="A590" s="55"/>
      <c r="B590" s="41"/>
      <c r="C590" s="42"/>
      <c r="D590" s="43"/>
      <c r="E590" s="42"/>
      <c r="F590" s="42"/>
      <c r="G590" s="42"/>
      <c r="H590" s="42"/>
      <c r="I590" s="42"/>
      <c r="J590" s="42"/>
      <c r="K590" s="42"/>
      <c r="L590" s="42"/>
      <c r="M590" s="42"/>
      <c r="N590" s="42"/>
      <c r="O590" s="42"/>
      <c r="P590" s="42"/>
      <c r="Q590" s="42"/>
      <c r="R590" s="42"/>
      <c r="S590" s="42"/>
      <c r="T590" s="42"/>
      <c r="U590" s="42"/>
      <c r="V590" s="42"/>
      <c r="W590" s="42"/>
      <c r="X590" s="42"/>
      <c r="Y590" s="42"/>
    </row>
    <row r="591" spans="1:25" ht="12.95">
      <c r="A591" s="55"/>
      <c r="B591" s="41"/>
      <c r="C591" s="42"/>
      <c r="D591" s="43"/>
      <c r="E591" s="42"/>
      <c r="F591" s="42"/>
      <c r="G591" s="42"/>
      <c r="H591" s="42"/>
      <c r="I591" s="42"/>
      <c r="J591" s="42"/>
      <c r="K591" s="42"/>
      <c r="L591" s="42"/>
      <c r="M591" s="42"/>
      <c r="N591" s="42"/>
      <c r="O591" s="42"/>
      <c r="P591" s="42"/>
      <c r="Q591" s="42"/>
      <c r="R591" s="42"/>
      <c r="S591" s="42"/>
      <c r="T591" s="42"/>
      <c r="U591" s="42"/>
      <c r="V591" s="42"/>
      <c r="W591" s="42"/>
      <c r="X591" s="42"/>
      <c r="Y591" s="42"/>
    </row>
    <row r="592" spans="1:25" ht="12.95">
      <c r="A592" s="55"/>
      <c r="B592" s="41"/>
      <c r="C592" s="42"/>
      <c r="D592" s="43"/>
      <c r="E592" s="42"/>
      <c r="F592" s="42"/>
      <c r="G592" s="42"/>
      <c r="H592" s="42"/>
      <c r="I592" s="42"/>
      <c r="J592" s="42"/>
      <c r="K592" s="42"/>
      <c r="L592" s="42"/>
      <c r="M592" s="42"/>
      <c r="N592" s="42"/>
      <c r="O592" s="42"/>
      <c r="P592" s="42"/>
      <c r="Q592" s="42"/>
      <c r="R592" s="42"/>
      <c r="S592" s="42"/>
      <c r="T592" s="42"/>
      <c r="U592" s="42"/>
      <c r="V592" s="42"/>
      <c r="W592" s="42"/>
      <c r="X592" s="42"/>
      <c r="Y592" s="42"/>
    </row>
    <row r="593" spans="1:25" ht="12.95">
      <c r="A593" s="55"/>
      <c r="B593" s="41"/>
      <c r="C593" s="42"/>
      <c r="D593" s="43"/>
      <c r="E593" s="42"/>
      <c r="F593" s="42"/>
      <c r="G593" s="42"/>
      <c r="H593" s="42"/>
      <c r="I593" s="42"/>
      <c r="J593" s="42"/>
      <c r="K593" s="42"/>
      <c r="L593" s="42"/>
      <c r="M593" s="42"/>
      <c r="N593" s="42"/>
      <c r="O593" s="42"/>
      <c r="P593" s="42"/>
      <c r="Q593" s="42"/>
      <c r="R593" s="42"/>
      <c r="S593" s="42"/>
      <c r="T593" s="42"/>
      <c r="U593" s="42"/>
      <c r="V593" s="42"/>
      <c r="W593" s="42"/>
      <c r="X593" s="42"/>
      <c r="Y593" s="42"/>
    </row>
    <row r="594" spans="1:25" ht="12.95">
      <c r="A594" s="55"/>
      <c r="B594" s="41"/>
      <c r="C594" s="42"/>
      <c r="D594" s="43"/>
      <c r="E594" s="42"/>
      <c r="F594" s="42"/>
      <c r="G594" s="42"/>
      <c r="H594" s="42"/>
      <c r="I594" s="42"/>
      <c r="J594" s="42"/>
      <c r="K594" s="42"/>
      <c r="L594" s="42"/>
      <c r="M594" s="42"/>
      <c r="N594" s="42"/>
      <c r="O594" s="42"/>
      <c r="P594" s="42"/>
      <c r="Q594" s="42"/>
      <c r="R594" s="42"/>
      <c r="S594" s="42"/>
      <c r="T594" s="42"/>
      <c r="U594" s="42"/>
      <c r="V594" s="42"/>
      <c r="W594" s="42"/>
      <c r="X594" s="42"/>
      <c r="Y594" s="42"/>
    </row>
    <row r="595" spans="1:25" ht="12.95">
      <c r="A595" s="55"/>
      <c r="B595" s="41"/>
      <c r="C595" s="42"/>
      <c r="D595" s="43"/>
      <c r="E595" s="42"/>
      <c r="F595" s="42"/>
      <c r="G595" s="42"/>
      <c r="H595" s="42"/>
      <c r="I595" s="42"/>
      <c r="J595" s="42"/>
      <c r="K595" s="42"/>
      <c r="L595" s="42"/>
      <c r="M595" s="42"/>
      <c r="N595" s="42"/>
      <c r="O595" s="42"/>
      <c r="P595" s="42"/>
      <c r="Q595" s="42"/>
      <c r="R595" s="42"/>
      <c r="S595" s="42"/>
      <c r="T595" s="42"/>
      <c r="U595" s="42"/>
      <c r="V595" s="42"/>
      <c r="W595" s="42"/>
      <c r="X595" s="42"/>
      <c r="Y595" s="42"/>
    </row>
    <row r="596" spans="1:25" ht="12.95">
      <c r="A596" s="55"/>
      <c r="B596" s="41"/>
      <c r="C596" s="42"/>
      <c r="D596" s="43"/>
      <c r="E596" s="42"/>
      <c r="F596" s="42"/>
      <c r="G596" s="42"/>
      <c r="H596" s="42"/>
      <c r="I596" s="42"/>
      <c r="J596" s="42"/>
      <c r="K596" s="42"/>
      <c r="L596" s="42"/>
      <c r="M596" s="42"/>
      <c r="N596" s="42"/>
      <c r="O596" s="42"/>
      <c r="P596" s="42"/>
      <c r="Q596" s="42"/>
      <c r="R596" s="42"/>
      <c r="S596" s="42"/>
      <c r="T596" s="42"/>
      <c r="U596" s="42"/>
      <c r="V596" s="42"/>
      <c r="W596" s="42"/>
      <c r="X596" s="42"/>
      <c r="Y596" s="42"/>
    </row>
    <row r="597" spans="1:25" ht="12.95">
      <c r="A597" s="55"/>
      <c r="B597" s="41"/>
      <c r="C597" s="42"/>
      <c r="D597" s="43"/>
      <c r="E597" s="42"/>
      <c r="F597" s="42"/>
      <c r="G597" s="42"/>
      <c r="H597" s="42"/>
      <c r="I597" s="42"/>
      <c r="J597" s="42"/>
      <c r="K597" s="42"/>
      <c r="L597" s="42"/>
      <c r="M597" s="42"/>
      <c r="N597" s="42"/>
      <c r="O597" s="42"/>
      <c r="P597" s="42"/>
      <c r="Q597" s="42"/>
      <c r="R597" s="42"/>
      <c r="S597" s="42"/>
      <c r="T597" s="42"/>
      <c r="U597" s="42"/>
      <c r="V597" s="42"/>
      <c r="W597" s="42"/>
      <c r="X597" s="42"/>
      <c r="Y597" s="42"/>
    </row>
    <row r="598" spans="1:25" ht="12.95">
      <c r="A598" s="55"/>
      <c r="B598" s="41"/>
      <c r="C598" s="42"/>
      <c r="D598" s="43"/>
      <c r="E598" s="42"/>
      <c r="F598" s="42"/>
      <c r="G598" s="42"/>
      <c r="H598" s="42"/>
      <c r="I598" s="42"/>
      <c r="J598" s="42"/>
      <c r="K598" s="42"/>
      <c r="L598" s="42"/>
      <c r="M598" s="42"/>
      <c r="N598" s="42"/>
      <c r="O598" s="42"/>
      <c r="P598" s="42"/>
      <c r="Q598" s="42"/>
      <c r="R598" s="42"/>
      <c r="S598" s="42"/>
      <c r="T598" s="42"/>
      <c r="U598" s="42"/>
      <c r="V598" s="42"/>
      <c r="W598" s="42"/>
      <c r="X598" s="42"/>
      <c r="Y598" s="42"/>
    </row>
    <row r="599" spans="1:25" ht="12.95">
      <c r="A599" s="55"/>
      <c r="B599" s="41"/>
      <c r="C599" s="42"/>
      <c r="D599" s="43"/>
      <c r="E599" s="42"/>
      <c r="F599" s="42"/>
      <c r="G599" s="42"/>
      <c r="H599" s="42"/>
      <c r="I599" s="42"/>
      <c r="J599" s="42"/>
      <c r="K599" s="42"/>
      <c r="L599" s="42"/>
      <c r="M599" s="42"/>
      <c r="N599" s="42"/>
      <c r="O599" s="42"/>
      <c r="P599" s="42"/>
      <c r="Q599" s="42"/>
      <c r="R599" s="42"/>
      <c r="S599" s="42"/>
      <c r="T599" s="42"/>
      <c r="U599" s="42"/>
      <c r="V599" s="42"/>
      <c r="W599" s="42"/>
      <c r="X599" s="42"/>
      <c r="Y599" s="42"/>
    </row>
    <row r="600" spans="1:25" ht="12.95">
      <c r="A600" s="55"/>
      <c r="B600" s="41"/>
      <c r="C600" s="42"/>
      <c r="D600" s="43"/>
      <c r="E600" s="42"/>
      <c r="F600" s="42"/>
      <c r="G600" s="42"/>
      <c r="H600" s="42"/>
      <c r="I600" s="42"/>
      <c r="J600" s="42"/>
      <c r="K600" s="42"/>
      <c r="L600" s="42"/>
      <c r="M600" s="42"/>
      <c r="N600" s="42"/>
      <c r="O600" s="42"/>
      <c r="P600" s="42"/>
      <c r="Q600" s="42"/>
      <c r="R600" s="42"/>
      <c r="S600" s="42"/>
      <c r="T600" s="42"/>
      <c r="U600" s="42"/>
      <c r="V600" s="42"/>
      <c r="W600" s="42"/>
      <c r="X600" s="42"/>
      <c r="Y600" s="42"/>
    </row>
    <row r="601" spans="1:25" ht="12.95">
      <c r="A601" s="55"/>
      <c r="B601" s="41"/>
      <c r="C601" s="42"/>
      <c r="D601" s="43"/>
      <c r="E601" s="42"/>
      <c r="F601" s="42"/>
      <c r="G601" s="42"/>
      <c r="H601" s="42"/>
      <c r="I601" s="42"/>
      <c r="J601" s="42"/>
      <c r="K601" s="42"/>
      <c r="L601" s="42"/>
      <c r="M601" s="42"/>
      <c r="N601" s="42"/>
      <c r="O601" s="42"/>
      <c r="P601" s="42"/>
      <c r="Q601" s="42"/>
      <c r="R601" s="42"/>
      <c r="S601" s="42"/>
      <c r="T601" s="42"/>
      <c r="U601" s="42"/>
      <c r="V601" s="42"/>
      <c r="W601" s="42"/>
      <c r="X601" s="42"/>
      <c r="Y601" s="42"/>
    </row>
    <row r="602" spans="1:25" ht="12.95">
      <c r="A602" s="55"/>
      <c r="B602" s="41"/>
      <c r="C602" s="42"/>
      <c r="D602" s="43"/>
      <c r="E602" s="42"/>
      <c r="F602" s="42"/>
      <c r="G602" s="42"/>
      <c r="H602" s="42"/>
      <c r="I602" s="42"/>
      <c r="J602" s="42"/>
      <c r="K602" s="42"/>
      <c r="L602" s="42"/>
      <c r="M602" s="42"/>
      <c r="N602" s="42"/>
      <c r="O602" s="42"/>
      <c r="P602" s="42"/>
      <c r="Q602" s="42"/>
      <c r="R602" s="42"/>
      <c r="S602" s="42"/>
      <c r="T602" s="42"/>
      <c r="U602" s="42"/>
      <c r="V602" s="42"/>
      <c r="W602" s="42"/>
      <c r="X602" s="42"/>
      <c r="Y602" s="42"/>
    </row>
    <row r="603" spans="1:25" ht="12.95">
      <c r="A603" s="55"/>
      <c r="B603" s="41"/>
      <c r="C603" s="42"/>
      <c r="D603" s="43"/>
      <c r="E603" s="42"/>
      <c r="F603" s="42"/>
      <c r="G603" s="42"/>
      <c r="H603" s="42"/>
      <c r="I603" s="42"/>
      <c r="J603" s="42"/>
      <c r="K603" s="42"/>
      <c r="L603" s="42"/>
      <c r="M603" s="42"/>
      <c r="N603" s="42"/>
      <c r="O603" s="42"/>
      <c r="P603" s="42"/>
      <c r="Q603" s="42"/>
      <c r="R603" s="42"/>
      <c r="S603" s="42"/>
      <c r="T603" s="42"/>
      <c r="U603" s="42"/>
      <c r="V603" s="42"/>
      <c r="W603" s="42"/>
      <c r="X603" s="42"/>
      <c r="Y603" s="42"/>
    </row>
    <row r="604" spans="1:25" ht="12.95">
      <c r="A604" s="55"/>
      <c r="B604" s="41"/>
      <c r="C604" s="42"/>
      <c r="D604" s="43"/>
      <c r="E604" s="42"/>
      <c r="F604" s="42"/>
      <c r="G604" s="42"/>
      <c r="H604" s="42"/>
      <c r="I604" s="42"/>
      <c r="J604" s="42"/>
      <c r="K604" s="42"/>
      <c r="L604" s="42"/>
      <c r="M604" s="42"/>
      <c r="N604" s="42"/>
      <c r="O604" s="42"/>
      <c r="P604" s="42"/>
      <c r="Q604" s="42"/>
      <c r="R604" s="42"/>
      <c r="S604" s="42"/>
      <c r="T604" s="42"/>
      <c r="U604" s="42"/>
      <c r="V604" s="42"/>
      <c r="W604" s="42"/>
      <c r="X604" s="42"/>
      <c r="Y604" s="42"/>
    </row>
    <row r="605" spans="1:25" ht="12.95">
      <c r="A605" s="55"/>
      <c r="B605" s="41"/>
      <c r="C605" s="42"/>
      <c r="D605" s="43"/>
      <c r="E605" s="42"/>
      <c r="F605" s="42"/>
      <c r="G605" s="42"/>
      <c r="H605" s="42"/>
      <c r="I605" s="42"/>
      <c r="J605" s="42"/>
      <c r="K605" s="42"/>
      <c r="L605" s="42"/>
      <c r="M605" s="42"/>
      <c r="N605" s="42"/>
      <c r="O605" s="42"/>
      <c r="P605" s="42"/>
      <c r="Q605" s="42"/>
      <c r="R605" s="42"/>
      <c r="S605" s="42"/>
      <c r="T605" s="42"/>
      <c r="U605" s="42"/>
      <c r="V605" s="42"/>
      <c r="W605" s="42"/>
      <c r="X605" s="42"/>
      <c r="Y605" s="42"/>
    </row>
    <row r="606" spans="1:25" ht="12.95">
      <c r="A606" s="55"/>
      <c r="B606" s="41"/>
      <c r="C606" s="42"/>
      <c r="D606" s="43"/>
      <c r="E606" s="42"/>
      <c r="F606" s="42"/>
      <c r="G606" s="42"/>
      <c r="H606" s="42"/>
      <c r="I606" s="42"/>
      <c r="J606" s="42"/>
      <c r="K606" s="42"/>
      <c r="L606" s="42"/>
      <c r="M606" s="42"/>
      <c r="N606" s="42"/>
      <c r="O606" s="42"/>
      <c r="P606" s="42"/>
      <c r="Q606" s="42"/>
      <c r="R606" s="42"/>
      <c r="S606" s="42"/>
      <c r="T606" s="42"/>
      <c r="U606" s="42"/>
      <c r="V606" s="42"/>
      <c r="W606" s="42"/>
      <c r="X606" s="42"/>
      <c r="Y606" s="42"/>
    </row>
    <row r="607" spans="1:25" ht="12.95">
      <c r="A607" s="55"/>
      <c r="B607" s="41"/>
      <c r="C607" s="42"/>
      <c r="D607" s="43"/>
      <c r="E607" s="42"/>
      <c r="F607" s="42"/>
      <c r="G607" s="42"/>
      <c r="H607" s="42"/>
      <c r="I607" s="42"/>
      <c r="J607" s="42"/>
      <c r="K607" s="42"/>
      <c r="L607" s="42"/>
      <c r="M607" s="42"/>
      <c r="N607" s="42"/>
      <c r="O607" s="42"/>
      <c r="P607" s="42"/>
      <c r="Q607" s="42"/>
      <c r="R607" s="42"/>
      <c r="S607" s="42"/>
      <c r="T607" s="42"/>
      <c r="U607" s="42"/>
      <c r="V607" s="42"/>
      <c r="W607" s="42"/>
      <c r="X607" s="42"/>
      <c r="Y607" s="42"/>
    </row>
    <row r="608" spans="1:25" ht="12.95">
      <c r="A608" s="55"/>
      <c r="B608" s="41"/>
      <c r="C608" s="42"/>
      <c r="D608" s="43"/>
      <c r="E608" s="42"/>
      <c r="F608" s="42"/>
      <c r="G608" s="42"/>
      <c r="H608" s="42"/>
      <c r="I608" s="42"/>
      <c r="J608" s="42"/>
      <c r="K608" s="42"/>
      <c r="L608" s="42"/>
      <c r="M608" s="42"/>
      <c r="N608" s="42"/>
      <c r="O608" s="42"/>
      <c r="P608" s="42"/>
      <c r="Q608" s="42"/>
      <c r="R608" s="42"/>
      <c r="S608" s="42"/>
      <c r="T608" s="42"/>
      <c r="U608" s="42"/>
      <c r="V608" s="42"/>
      <c r="W608" s="42"/>
      <c r="X608" s="42"/>
      <c r="Y608" s="42"/>
    </row>
    <row r="609" spans="1:25" ht="12.95">
      <c r="A609" s="55"/>
      <c r="B609" s="41"/>
      <c r="C609" s="42"/>
      <c r="D609" s="43"/>
      <c r="E609" s="42"/>
      <c r="F609" s="42"/>
      <c r="G609" s="42"/>
      <c r="H609" s="42"/>
      <c r="I609" s="42"/>
      <c r="J609" s="42"/>
      <c r="K609" s="42"/>
      <c r="L609" s="42"/>
      <c r="M609" s="42"/>
      <c r="N609" s="42"/>
      <c r="O609" s="42"/>
      <c r="P609" s="42"/>
      <c r="Q609" s="42"/>
      <c r="R609" s="42"/>
      <c r="S609" s="42"/>
      <c r="T609" s="42"/>
      <c r="U609" s="42"/>
      <c r="V609" s="42"/>
      <c r="W609" s="42"/>
      <c r="X609" s="42"/>
      <c r="Y609" s="42"/>
    </row>
    <row r="610" spans="1:25" ht="12.95">
      <c r="A610" s="55"/>
      <c r="B610" s="41"/>
      <c r="C610" s="42"/>
      <c r="D610" s="43"/>
      <c r="E610" s="42"/>
      <c r="F610" s="42"/>
      <c r="G610" s="42"/>
      <c r="H610" s="42"/>
      <c r="I610" s="42"/>
      <c r="J610" s="42"/>
      <c r="K610" s="42"/>
      <c r="L610" s="42"/>
      <c r="M610" s="42"/>
      <c r="N610" s="42"/>
      <c r="O610" s="42"/>
      <c r="P610" s="42"/>
      <c r="Q610" s="42"/>
      <c r="R610" s="42"/>
      <c r="S610" s="42"/>
      <c r="T610" s="42"/>
      <c r="U610" s="42"/>
      <c r="V610" s="42"/>
      <c r="W610" s="42"/>
      <c r="X610" s="42"/>
      <c r="Y610" s="42"/>
    </row>
    <row r="611" spans="1:25" ht="12.95">
      <c r="A611" s="55"/>
      <c r="B611" s="41"/>
      <c r="C611" s="42"/>
      <c r="D611" s="43"/>
      <c r="E611" s="42"/>
      <c r="F611" s="42"/>
      <c r="G611" s="42"/>
      <c r="H611" s="42"/>
      <c r="I611" s="42"/>
      <c r="J611" s="42"/>
      <c r="K611" s="42"/>
      <c r="L611" s="42"/>
      <c r="M611" s="42"/>
      <c r="N611" s="42"/>
      <c r="O611" s="42"/>
      <c r="P611" s="42"/>
      <c r="Q611" s="42"/>
      <c r="R611" s="42"/>
      <c r="S611" s="42"/>
      <c r="T611" s="42"/>
      <c r="U611" s="42"/>
      <c r="V611" s="42"/>
      <c r="W611" s="42"/>
      <c r="X611" s="42"/>
      <c r="Y611" s="42"/>
    </row>
    <row r="612" spans="1:25" ht="12.95">
      <c r="A612" s="55"/>
      <c r="B612" s="41"/>
      <c r="C612" s="42"/>
      <c r="D612" s="43"/>
      <c r="E612" s="42"/>
      <c r="F612" s="42"/>
      <c r="G612" s="42"/>
      <c r="H612" s="42"/>
      <c r="I612" s="42"/>
      <c r="J612" s="42"/>
      <c r="K612" s="42"/>
      <c r="L612" s="42"/>
      <c r="M612" s="42"/>
      <c r="N612" s="42"/>
      <c r="O612" s="42"/>
      <c r="P612" s="42"/>
      <c r="Q612" s="42"/>
      <c r="R612" s="42"/>
      <c r="S612" s="42"/>
      <c r="T612" s="42"/>
      <c r="U612" s="42"/>
      <c r="V612" s="42"/>
      <c r="W612" s="42"/>
      <c r="X612" s="42"/>
      <c r="Y612" s="42"/>
    </row>
    <row r="613" spans="1:25" ht="12.95">
      <c r="A613" s="55"/>
      <c r="B613" s="41"/>
      <c r="C613" s="42"/>
      <c r="D613" s="43"/>
      <c r="E613" s="42"/>
      <c r="F613" s="42"/>
      <c r="G613" s="42"/>
      <c r="H613" s="42"/>
      <c r="I613" s="42"/>
      <c r="J613" s="42"/>
      <c r="K613" s="42"/>
      <c r="L613" s="42"/>
      <c r="M613" s="42"/>
      <c r="N613" s="42"/>
      <c r="O613" s="42"/>
      <c r="P613" s="42"/>
      <c r="Q613" s="42"/>
      <c r="R613" s="42"/>
      <c r="S613" s="42"/>
      <c r="T613" s="42"/>
      <c r="U613" s="42"/>
      <c r="V613" s="42"/>
      <c r="W613" s="42"/>
      <c r="X613" s="42"/>
      <c r="Y613" s="42"/>
    </row>
    <row r="614" spans="1:25" ht="12.95">
      <c r="A614" s="55"/>
      <c r="B614" s="41"/>
      <c r="C614" s="42"/>
      <c r="D614" s="43"/>
      <c r="E614" s="42"/>
      <c r="F614" s="42"/>
      <c r="G614" s="42"/>
      <c r="H614" s="42"/>
      <c r="I614" s="42"/>
      <c r="J614" s="42"/>
      <c r="K614" s="42"/>
      <c r="L614" s="42"/>
      <c r="M614" s="42"/>
      <c r="N614" s="42"/>
      <c r="O614" s="42"/>
      <c r="P614" s="42"/>
      <c r="Q614" s="42"/>
      <c r="R614" s="42"/>
      <c r="S614" s="42"/>
      <c r="T614" s="42"/>
      <c r="U614" s="42"/>
      <c r="V614" s="42"/>
      <c r="W614" s="42"/>
      <c r="X614" s="42"/>
      <c r="Y614" s="42"/>
    </row>
    <row r="615" spans="1:25" ht="12.95">
      <c r="A615" s="55"/>
      <c r="B615" s="41"/>
      <c r="C615" s="42"/>
      <c r="D615" s="43"/>
      <c r="E615" s="42"/>
      <c r="F615" s="42"/>
      <c r="G615" s="42"/>
      <c r="H615" s="42"/>
      <c r="I615" s="42"/>
      <c r="J615" s="42"/>
      <c r="K615" s="42"/>
      <c r="L615" s="42"/>
      <c r="M615" s="42"/>
      <c r="N615" s="42"/>
      <c r="O615" s="42"/>
      <c r="P615" s="42"/>
      <c r="Q615" s="42"/>
      <c r="R615" s="42"/>
      <c r="S615" s="42"/>
      <c r="T615" s="42"/>
      <c r="U615" s="42"/>
      <c r="V615" s="42"/>
      <c r="W615" s="42"/>
      <c r="X615" s="42"/>
      <c r="Y615" s="42"/>
    </row>
    <row r="616" spans="1:25" ht="12.95">
      <c r="A616" s="55"/>
      <c r="B616" s="41"/>
      <c r="C616" s="42"/>
      <c r="D616" s="43"/>
      <c r="E616" s="42"/>
      <c r="F616" s="42"/>
      <c r="G616" s="42"/>
      <c r="H616" s="42"/>
      <c r="I616" s="42"/>
      <c r="J616" s="42"/>
      <c r="K616" s="42"/>
      <c r="L616" s="42"/>
      <c r="M616" s="42"/>
      <c r="N616" s="42"/>
      <c r="O616" s="42"/>
      <c r="P616" s="42"/>
      <c r="Q616" s="42"/>
      <c r="R616" s="42"/>
      <c r="S616" s="42"/>
      <c r="T616" s="42"/>
      <c r="U616" s="42"/>
      <c r="V616" s="42"/>
      <c r="W616" s="42"/>
      <c r="X616" s="42"/>
      <c r="Y616" s="42"/>
    </row>
    <row r="617" spans="1:25" ht="12.95">
      <c r="A617" s="55"/>
      <c r="B617" s="41"/>
      <c r="C617" s="42"/>
      <c r="D617" s="43"/>
      <c r="E617" s="42"/>
      <c r="F617" s="42"/>
      <c r="G617" s="42"/>
      <c r="H617" s="42"/>
      <c r="I617" s="42"/>
      <c r="J617" s="42"/>
      <c r="K617" s="42"/>
      <c r="L617" s="42"/>
      <c r="M617" s="42"/>
      <c r="N617" s="42"/>
      <c r="O617" s="42"/>
      <c r="P617" s="42"/>
      <c r="Q617" s="42"/>
      <c r="R617" s="42"/>
      <c r="S617" s="42"/>
      <c r="T617" s="42"/>
      <c r="U617" s="42"/>
      <c r="V617" s="42"/>
      <c r="W617" s="42"/>
      <c r="X617" s="42"/>
      <c r="Y617" s="42"/>
    </row>
    <row r="618" spans="1:25" ht="12.95">
      <c r="A618" s="55"/>
      <c r="B618" s="41"/>
      <c r="C618" s="42"/>
      <c r="D618" s="43"/>
      <c r="E618" s="42"/>
      <c r="F618" s="42"/>
      <c r="G618" s="42"/>
      <c r="H618" s="42"/>
      <c r="I618" s="42"/>
      <c r="J618" s="42"/>
      <c r="K618" s="42"/>
      <c r="L618" s="42"/>
      <c r="M618" s="42"/>
      <c r="N618" s="42"/>
      <c r="O618" s="42"/>
      <c r="P618" s="42"/>
      <c r="Q618" s="42"/>
      <c r="R618" s="42"/>
      <c r="S618" s="42"/>
      <c r="T618" s="42"/>
      <c r="U618" s="42"/>
      <c r="V618" s="42"/>
      <c r="W618" s="42"/>
      <c r="X618" s="42"/>
      <c r="Y618" s="42"/>
    </row>
    <row r="619" spans="1:25" ht="12.95">
      <c r="A619" s="55"/>
      <c r="B619" s="41"/>
      <c r="C619" s="42"/>
      <c r="D619" s="43"/>
      <c r="E619" s="42"/>
      <c r="F619" s="42"/>
      <c r="G619" s="42"/>
      <c r="H619" s="42"/>
      <c r="I619" s="42"/>
      <c r="J619" s="42"/>
      <c r="K619" s="42"/>
      <c r="L619" s="42"/>
      <c r="M619" s="42"/>
      <c r="N619" s="42"/>
      <c r="O619" s="42"/>
      <c r="P619" s="42"/>
      <c r="Q619" s="42"/>
      <c r="R619" s="42"/>
      <c r="S619" s="42"/>
      <c r="T619" s="42"/>
      <c r="U619" s="42"/>
      <c r="V619" s="42"/>
      <c r="W619" s="42"/>
      <c r="X619" s="42"/>
      <c r="Y619" s="42"/>
    </row>
    <row r="620" spans="1:25" ht="12.95">
      <c r="A620" s="55"/>
      <c r="B620" s="41"/>
      <c r="C620" s="42"/>
      <c r="D620" s="43"/>
      <c r="E620" s="42"/>
      <c r="F620" s="42"/>
      <c r="G620" s="42"/>
      <c r="H620" s="42"/>
      <c r="I620" s="42"/>
      <c r="J620" s="42"/>
      <c r="K620" s="42"/>
      <c r="L620" s="42"/>
      <c r="M620" s="42"/>
      <c r="N620" s="42"/>
      <c r="O620" s="42"/>
      <c r="P620" s="42"/>
      <c r="Q620" s="42"/>
      <c r="R620" s="42"/>
      <c r="S620" s="42"/>
      <c r="T620" s="42"/>
      <c r="U620" s="42"/>
      <c r="V620" s="42"/>
      <c r="W620" s="42"/>
      <c r="X620" s="42"/>
      <c r="Y620" s="42"/>
    </row>
    <row r="621" spans="1:25" ht="12.95">
      <c r="A621" s="55"/>
      <c r="B621" s="41"/>
      <c r="C621" s="42"/>
      <c r="D621" s="43"/>
      <c r="E621" s="42"/>
      <c r="F621" s="42"/>
      <c r="G621" s="42"/>
      <c r="H621" s="42"/>
      <c r="I621" s="42"/>
      <c r="J621" s="42"/>
      <c r="K621" s="42"/>
      <c r="L621" s="42"/>
      <c r="M621" s="42"/>
      <c r="N621" s="42"/>
      <c r="O621" s="42"/>
      <c r="P621" s="42"/>
      <c r="Q621" s="42"/>
      <c r="R621" s="42"/>
      <c r="S621" s="42"/>
      <c r="T621" s="42"/>
      <c r="U621" s="42"/>
      <c r="V621" s="42"/>
      <c r="W621" s="42"/>
      <c r="X621" s="42"/>
      <c r="Y621" s="42"/>
    </row>
    <row r="622" spans="1:25" ht="12.95">
      <c r="A622" s="55"/>
      <c r="B622" s="41"/>
      <c r="C622" s="42"/>
      <c r="D622" s="43"/>
      <c r="E622" s="42"/>
      <c r="F622" s="42"/>
      <c r="G622" s="42"/>
      <c r="H622" s="42"/>
      <c r="I622" s="42"/>
      <c r="J622" s="42"/>
      <c r="K622" s="42"/>
      <c r="L622" s="42"/>
      <c r="M622" s="42"/>
      <c r="N622" s="42"/>
      <c r="O622" s="42"/>
      <c r="P622" s="42"/>
      <c r="Q622" s="42"/>
      <c r="R622" s="42"/>
      <c r="S622" s="42"/>
      <c r="T622" s="42"/>
      <c r="U622" s="42"/>
      <c r="V622" s="42"/>
      <c r="W622" s="42"/>
      <c r="X622" s="42"/>
      <c r="Y622" s="42"/>
    </row>
    <row r="623" spans="1:25" ht="12.95">
      <c r="A623" s="55"/>
      <c r="B623" s="41"/>
      <c r="C623" s="42"/>
      <c r="D623" s="43"/>
      <c r="E623" s="42"/>
      <c r="F623" s="42"/>
      <c r="G623" s="42"/>
      <c r="H623" s="42"/>
      <c r="I623" s="42"/>
      <c r="J623" s="42"/>
      <c r="K623" s="42"/>
      <c r="L623" s="42"/>
      <c r="M623" s="42"/>
      <c r="N623" s="42"/>
      <c r="O623" s="42"/>
      <c r="P623" s="42"/>
      <c r="Q623" s="42"/>
      <c r="R623" s="42"/>
      <c r="S623" s="42"/>
      <c r="T623" s="42"/>
      <c r="U623" s="42"/>
      <c r="V623" s="42"/>
      <c r="W623" s="42"/>
      <c r="X623" s="42"/>
      <c r="Y623" s="42"/>
    </row>
    <row r="624" spans="1:25" ht="12.95">
      <c r="A624" s="55"/>
      <c r="B624" s="41"/>
      <c r="C624" s="42"/>
      <c r="D624" s="43"/>
      <c r="E624" s="42"/>
      <c r="F624" s="42"/>
      <c r="G624" s="42"/>
      <c r="H624" s="42"/>
      <c r="I624" s="42"/>
      <c r="J624" s="42"/>
      <c r="K624" s="42"/>
      <c r="L624" s="42"/>
      <c r="M624" s="42"/>
      <c r="N624" s="42"/>
      <c r="O624" s="42"/>
      <c r="P624" s="42"/>
      <c r="Q624" s="42"/>
      <c r="R624" s="42"/>
      <c r="S624" s="42"/>
      <c r="T624" s="42"/>
      <c r="U624" s="42"/>
      <c r="V624" s="42"/>
      <c r="W624" s="42"/>
      <c r="X624" s="42"/>
      <c r="Y624" s="42"/>
    </row>
    <row r="625" spans="1:25" ht="12.95">
      <c r="A625" s="55"/>
      <c r="B625" s="41"/>
      <c r="C625" s="42"/>
      <c r="D625" s="43"/>
      <c r="E625" s="42"/>
      <c r="F625" s="42"/>
      <c r="G625" s="42"/>
      <c r="H625" s="42"/>
      <c r="I625" s="42"/>
      <c r="J625" s="42"/>
      <c r="K625" s="42"/>
      <c r="L625" s="42"/>
      <c r="M625" s="42"/>
      <c r="N625" s="42"/>
      <c r="O625" s="42"/>
      <c r="P625" s="42"/>
      <c r="Q625" s="42"/>
      <c r="R625" s="42"/>
      <c r="S625" s="42"/>
      <c r="T625" s="42"/>
      <c r="U625" s="42"/>
      <c r="V625" s="42"/>
      <c r="W625" s="42"/>
      <c r="X625" s="42"/>
      <c r="Y625" s="42"/>
    </row>
    <row r="626" spans="1:25" ht="12.95">
      <c r="A626" s="55"/>
      <c r="B626" s="41"/>
      <c r="C626" s="42"/>
      <c r="D626" s="43"/>
      <c r="E626" s="42"/>
      <c r="F626" s="42"/>
      <c r="G626" s="42"/>
      <c r="H626" s="42"/>
      <c r="I626" s="42"/>
      <c r="J626" s="42"/>
      <c r="K626" s="42"/>
      <c r="L626" s="42"/>
      <c r="M626" s="42"/>
      <c r="N626" s="42"/>
      <c r="O626" s="42"/>
      <c r="P626" s="42"/>
      <c r="Q626" s="42"/>
      <c r="R626" s="42"/>
      <c r="S626" s="42"/>
      <c r="T626" s="42"/>
      <c r="U626" s="42"/>
      <c r="V626" s="42"/>
      <c r="W626" s="42"/>
      <c r="X626" s="42"/>
      <c r="Y626" s="42"/>
    </row>
    <row r="627" spans="1:25" ht="12.95">
      <c r="A627" s="55"/>
      <c r="B627" s="41"/>
      <c r="C627" s="42"/>
      <c r="D627" s="43"/>
      <c r="E627" s="42"/>
      <c r="F627" s="42"/>
      <c r="G627" s="42"/>
      <c r="H627" s="42"/>
      <c r="I627" s="42"/>
      <c r="J627" s="42"/>
      <c r="K627" s="42"/>
      <c r="L627" s="42"/>
      <c r="M627" s="42"/>
      <c r="N627" s="42"/>
      <c r="O627" s="42"/>
      <c r="P627" s="42"/>
      <c r="Q627" s="42"/>
      <c r="R627" s="42"/>
      <c r="S627" s="42"/>
      <c r="T627" s="42"/>
      <c r="U627" s="42"/>
      <c r="V627" s="42"/>
      <c r="W627" s="42"/>
      <c r="X627" s="42"/>
      <c r="Y627" s="42"/>
    </row>
    <row r="628" spans="1:25" ht="12.95">
      <c r="A628" s="55"/>
      <c r="B628" s="41"/>
      <c r="C628" s="42"/>
      <c r="D628" s="43"/>
      <c r="E628" s="42"/>
      <c r="F628" s="42"/>
      <c r="G628" s="42"/>
      <c r="H628" s="42"/>
      <c r="I628" s="42"/>
      <c r="J628" s="42"/>
      <c r="K628" s="42"/>
      <c r="L628" s="42"/>
      <c r="M628" s="42"/>
      <c r="N628" s="42"/>
      <c r="O628" s="42"/>
      <c r="P628" s="42"/>
      <c r="Q628" s="42"/>
      <c r="R628" s="42"/>
      <c r="S628" s="42"/>
      <c r="T628" s="42"/>
      <c r="U628" s="42"/>
      <c r="V628" s="42"/>
      <c r="W628" s="42"/>
      <c r="X628" s="42"/>
      <c r="Y628" s="42"/>
    </row>
    <row r="629" spans="1:25" ht="12.95">
      <c r="A629" s="55"/>
      <c r="B629" s="41"/>
      <c r="C629" s="42"/>
      <c r="D629" s="43"/>
      <c r="E629" s="42"/>
      <c r="F629" s="42"/>
      <c r="G629" s="42"/>
      <c r="H629" s="42"/>
      <c r="I629" s="42"/>
      <c r="J629" s="42"/>
      <c r="K629" s="42"/>
      <c r="L629" s="42"/>
      <c r="M629" s="42"/>
      <c r="N629" s="42"/>
      <c r="O629" s="42"/>
      <c r="P629" s="42"/>
      <c r="Q629" s="42"/>
      <c r="R629" s="42"/>
      <c r="S629" s="42"/>
      <c r="T629" s="42"/>
      <c r="U629" s="42"/>
      <c r="V629" s="42"/>
      <c r="W629" s="42"/>
      <c r="X629" s="42"/>
      <c r="Y629" s="42"/>
    </row>
    <row r="630" spans="1:25" ht="12.95">
      <c r="A630" s="55"/>
      <c r="B630" s="41"/>
      <c r="C630" s="42"/>
      <c r="D630" s="43"/>
      <c r="E630" s="42"/>
      <c r="F630" s="42"/>
      <c r="G630" s="42"/>
      <c r="H630" s="42"/>
      <c r="I630" s="42"/>
      <c r="J630" s="42"/>
      <c r="K630" s="42"/>
      <c r="L630" s="42"/>
      <c r="M630" s="42"/>
      <c r="N630" s="42"/>
      <c r="O630" s="42"/>
      <c r="P630" s="42"/>
      <c r="Q630" s="42"/>
      <c r="R630" s="42"/>
      <c r="S630" s="42"/>
      <c r="T630" s="42"/>
      <c r="U630" s="42"/>
      <c r="V630" s="42"/>
      <c r="W630" s="42"/>
      <c r="X630" s="42"/>
      <c r="Y630" s="42"/>
    </row>
    <row r="631" spans="1:25" ht="12.95">
      <c r="A631" s="55"/>
      <c r="B631" s="41"/>
      <c r="C631" s="42"/>
      <c r="D631" s="43"/>
      <c r="E631" s="42"/>
      <c r="F631" s="42"/>
      <c r="G631" s="42"/>
      <c r="H631" s="42"/>
      <c r="I631" s="42"/>
      <c r="J631" s="42"/>
      <c r="K631" s="42"/>
      <c r="L631" s="42"/>
      <c r="M631" s="42"/>
      <c r="N631" s="42"/>
      <c r="O631" s="42"/>
      <c r="P631" s="42"/>
      <c r="Q631" s="42"/>
      <c r="R631" s="42"/>
      <c r="S631" s="42"/>
      <c r="T631" s="42"/>
      <c r="U631" s="42"/>
      <c r="V631" s="42"/>
      <c r="W631" s="42"/>
      <c r="X631" s="42"/>
      <c r="Y631" s="42"/>
    </row>
    <row r="632" spans="1:25" ht="12.95">
      <c r="A632" s="55"/>
      <c r="B632" s="41"/>
      <c r="C632" s="42"/>
      <c r="D632" s="43"/>
      <c r="E632" s="42"/>
      <c r="F632" s="42"/>
      <c r="G632" s="42"/>
      <c r="H632" s="42"/>
      <c r="I632" s="42"/>
      <c r="J632" s="42"/>
      <c r="K632" s="42"/>
      <c r="L632" s="42"/>
      <c r="M632" s="42"/>
      <c r="N632" s="42"/>
      <c r="O632" s="42"/>
      <c r="P632" s="42"/>
      <c r="Q632" s="42"/>
      <c r="R632" s="42"/>
      <c r="S632" s="42"/>
      <c r="T632" s="42"/>
      <c r="U632" s="42"/>
      <c r="V632" s="42"/>
      <c r="W632" s="42"/>
      <c r="X632" s="42"/>
      <c r="Y632" s="42"/>
    </row>
    <row r="633" spans="1:25" ht="12.95">
      <c r="A633" s="55"/>
      <c r="B633" s="41"/>
      <c r="C633" s="42"/>
      <c r="D633" s="43"/>
      <c r="E633" s="42"/>
      <c r="F633" s="42"/>
      <c r="G633" s="42"/>
      <c r="H633" s="42"/>
      <c r="I633" s="42"/>
      <c r="J633" s="42"/>
      <c r="K633" s="42"/>
      <c r="L633" s="42"/>
      <c r="M633" s="42"/>
      <c r="N633" s="42"/>
      <c r="O633" s="42"/>
      <c r="P633" s="42"/>
      <c r="Q633" s="42"/>
      <c r="R633" s="42"/>
      <c r="S633" s="42"/>
      <c r="T633" s="42"/>
      <c r="U633" s="42"/>
      <c r="V633" s="42"/>
      <c r="W633" s="42"/>
      <c r="X633" s="42"/>
      <c r="Y633" s="42"/>
    </row>
    <row r="634" spans="1:25" ht="12.95">
      <c r="A634" s="55"/>
      <c r="B634" s="41"/>
      <c r="C634" s="42"/>
      <c r="D634" s="43"/>
      <c r="E634" s="42"/>
      <c r="F634" s="42"/>
      <c r="G634" s="42"/>
      <c r="H634" s="42"/>
      <c r="I634" s="42"/>
      <c r="J634" s="42"/>
      <c r="K634" s="42"/>
      <c r="L634" s="42"/>
      <c r="M634" s="42"/>
      <c r="N634" s="42"/>
      <c r="O634" s="42"/>
      <c r="P634" s="42"/>
      <c r="Q634" s="42"/>
      <c r="R634" s="42"/>
      <c r="S634" s="42"/>
      <c r="T634" s="42"/>
      <c r="U634" s="42"/>
      <c r="V634" s="42"/>
      <c r="W634" s="42"/>
      <c r="X634" s="42"/>
      <c r="Y634" s="42"/>
    </row>
    <row r="635" spans="1:25" ht="12.95">
      <c r="A635" s="55"/>
      <c r="B635" s="41"/>
      <c r="C635" s="42"/>
      <c r="D635" s="43"/>
      <c r="E635" s="42"/>
      <c r="F635" s="42"/>
      <c r="G635" s="42"/>
      <c r="H635" s="42"/>
      <c r="I635" s="42"/>
      <c r="J635" s="42"/>
      <c r="K635" s="42"/>
      <c r="L635" s="42"/>
      <c r="M635" s="42"/>
      <c r="N635" s="42"/>
      <c r="O635" s="42"/>
      <c r="P635" s="42"/>
      <c r="Q635" s="42"/>
      <c r="R635" s="42"/>
      <c r="S635" s="42"/>
      <c r="T635" s="42"/>
      <c r="U635" s="42"/>
      <c r="V635" s="42"/>
      <c r="W635" s="42"/>
      <c r="X635" s="42"/>
      <c r="Y635" s="42"/>
    </row>
    <row r="636" spans="1:25" ht="12.95">
      <c r="A636" s="55"/>
      <c r="B636" s="41"/>
      <c r="C636" s="42"/>
      <c r="D636" s="43"/>
      <c r="E636" s="42"/>
      <c r="F636" s="42"/>
      <c r="G636" s="42"/>
      <c r="H636" s="42"/>
      <c r="I636" s="42"/>
      <c r="J636" s="42"/>
      <c r="K636" s="42"/>
      <c r="L636" s="42"/>
      <c r="M636" s="42"/>
      <c r="N636" s="42"/>
      <c r="O636" s="42"/>
      <c r="P636" s="42"/>
      <c r="Q636" s="42"/>
      <c r="R636" s="42"/>
      <c r="S636" s="42"/>
      <c r="T636" s="42"/>
      <c r="U636" s="42"/>
      <c r="V636" s="42"/>
      <c r="W636" s="42"/>
      <c r="X636" s="42"/>
      <c r="Y636" s="42"/>
    </row>
    <row r="637" spans="1:25" ht="12.95">
      <c r="A637" s="55"/>
      <c r="B637" s="41"/>
      <c r="C637" s="42"/>
      <c r="D637" s="43"/>
      <c r="E637" s="42"/>
      <c r="F637" s="42"/>
      <c r="G637" s="42"/>
      <c r="H637" s="42"/>
      <c r="I637" s="42"/>
      <c r="J637" s="42"/>
      <c r="K637" s="42"/>
      <c r="L637" s="42"/>
      <c r="M637" s="42"/>
      <c r="N637" s="42"/>
      <c r="O637" s="42"/>
      <c r="P637" s="42"/>
      <c r="Q637" s="42"/>
      <c r="R637" s="42"/>
      <c r="S637" s="42"/>
      <c r="T637" s="42"/>
      <c r="U637" s="42"/>
      <c r="V637" s="42"/>
      <c r="W637" s="42"/>
      <c r="X637" s="42"/>
      <c r="Y637" s="42"/>
    </row>
    <row r="638" spans="1:25" ht="12.95">
      <c r="A638" s="55"/>
      <c r="B638" s="41"/>
      <c r="C638" s="42"/>
      <c r="D638" s="43"/>
      <c r="E638" s="42"/>
      <c r="F638" s="42"/>
      <c r="G638" s="42"/>
      <c r="H638" s="42"/>
      <c r="I638" s="42"/>
      <c r="J638" s="42"/>
      <c r="K638" s="42"/>
      <c r="L638" s="42"/>
      <c r="M638" s="42"/>
      <c r="N638" s="42"/>
      <c r="O638" s="42"/>
      <c r="P638" s="42"/>
      <c r="Q638" s="42"/>
      <c r="R638" s="42"/>
      <c r="S638" s="42"/>
      <c r="T638" s="42"/>
      <c r="U638" s="42"/>
      <c r="V638" s="42"/>
      <c r="W638" s="42"/>
      <c r="X638" s="42"/>
      <c r="Y638" s="42"/>
    </row>
    <row r="639" spans="1:25" ht="12.95">
      <c r="A639" s="55"/>
      <c r="B639" s="41"/>
      <c r="C639" s="42"/>
      <c r="D639" s="43"/>
      <c r="E639" s="42"/>
      <c r="F639" s="42"/>
      <c r="G639" s="42"/>
      <c r="H639" s="42"/>
      <c r="I639" s="42"/>
      <c r="J639" s="42"/>
      <c r="K639" s="42"/>
      <c r="L639" s="42"/>
      <c r="M639" s="42"/>
      <c r="N639" s="42"/>
      <c r="O639" s="42"/>
      <c r="P639" s="42"/>
      <c r="Q639" s="42"/>
      <c r="R639" s="42"/>
      <c r="S639" s="42"/>
      <c r="T639" s="42"/>
      <c r="U639" s="42"/>
      <c r="V639" s="42"/>
      <c r="W639" s="42"/>
      <c r="X639" s="42"/>
      <c r="Y639" s="42"/>
    </row>
    <row r="640" spans="1:25" ht="12.95">
      <c r="A640" s="55"/>
      <c r="B640" s="41"/>
      <c r="C640" s="42"/>
      <c r="D640" s="43"/>
      <c r="E640" s="42"/>
      <c r="F640" s="42"/>
      <c r="G640" s="42"/>
      <c r="H640" s="42"/>
      <c r="I640" s="42"/>
      <c r="J640" s="42"/>
      <c r="K640" s="42"/>
      <c r="L640" s="42"/>
      <c r="M640" s="42"/>
      <c r="N640" s="42"/>
      <c r="O640" s="42"/>
      <c r="P640" s="42"/>
      <c r="Q640" s="42"/>
      <c r="R640" s="42"/>
      <c r="S640" s="42"/>
      <c r="T640" s="42"/>
      <c r="U640" s="42"/>
      <c r="V640" s="42"/>
      <c r="W640" s="42"/>
      <c r="X640" s="42"/>
      <c r="Y640" s="42"/>
    </row>
    <row r="641" spans="1:25" ht="12.95">
      <c r="A641" s="55"/>
      <c r="B641" s="41"/>
      <c r="C641" s="42"/>
      <c r="D641" s="43"/>
      <c r="E641" s="42"/>
      <c r="F641" s="42"/>
      <c r="G641" s="42"/>
      <c r="H641" s="42"/>
      <c r="I641" s="42"/>
      <c r="J641" s="42"/>
      <c r="K641" s="42"/>
      <c r="L641" s="42"/>
      <c r="M641" s="42"/>
      <c r="N641" s="42"/>
      <c r="O641" s="42"/>
      <c r="P641" s="42"/>
      <c r="Q641" s="42"/>
      <c r="R641" s="42"/>
      <c r="S641" s="42"/>
      <c r="T641" s="42"/>
      <c r="U641" s="42"/>
      <c r="V641" s="42"/>
      <c r="W641" s="42"/>
      <c r="X641" s="42"/>
      <c r="Y641" s="42"/>
    </row>
    <row r="642" spans="1:25" ht="12.95">
      <c r="A642" s="55"/>
      <c r="B642" s="41"/>
      <c r="C642" s="42"/>
      <c r="D642" s="43"/>
      <c r="E642" s="42"/>
      <c r="F642" s="42"/>
      <c r="G642" s="42"/>
      <c r="H642" s="42"/>
      <c r="I642" s="42"/>
      <c r="J642" s="42"/>
      <c r="K642" s="42"/>
      <c r="L642" s="42"/>
      <c r="M642" s="42"/>
      <c r="N642" s="42"/>
      <c r="O642" s="42"/>
      <c r="P642" s="42"/>
      <c r="Q642" s="42"/>
      <c r="R642" s="42"/>
      <c r="S642" s="42"/>
      <c r="T642" s="42"/>
      <c r="U642" s="42"/>
      <c r="V642" s="42"/>
      <c r="W642" s="42"/>
      <c r="X642" s="42"/>
      <c r="Y642" s="42"/>
    </row>
    <row r="643" spans="1:25" ht="12.95">
      <c r="A643" s="55"/>
      <c r="B643" s="41"/>
      <c r="C643" s="42"/>
      <c r="D643" s="43"/>
      <c r="E643" s="42"/>
      <c r="F643" s="42"/>
      <c r="G643" s="42"/>
      <c r="H643" s="42"/>
      <c r="I643" s="42"/>
      <c r="J643" s="42"/>
      <c r="K643" s="42"/>
      <c r="L643" s="42"/>
      <c r="M643" s="42"/>
      <c r="N643" s="42"/>
      <c r="O643" s="42"/>
      <c r="P643" s="42"/>
      <c r="Q643" s="42"/>
      <c r="R643" s="42"/>
      <c r="S643" s="42"/>
      <c r="T643" s="42"/>
      <c r="U643" s="42"/>
      <c r="V643" s="42"/>
      <c r="W643" s="42"/>
      <c r="X643" s="42"/>
      <c r="Y643" s="42"/>
    </row>
    <row r="644" spans="1:25" ht="12.95">
      <c r="A644" s="55"/>
      <c r="B644" s="41"/>
      <c r="C644" s="42"/>
      <c r="D644" s="43"/>
      <c r="E644" s="42"/>
      <c r="F644" s="42"/>
      <c r="G644" s="42"/>
      <c r="H644" s="42"/>
      <c r="I644" s="42"/>
      <c r="J644" s="42"/>
      <c r="K644" s="42"/>
      <c r="L644" s="42"/>
      <c r="M644" s="42"/>
      <c r="N644" s="42"/>
      <c r="O644" s="42"/>
      <c r="P644" s="42"/>
      <c r="Q644" s="42"/>
      <c r="R644" s="42"/>
      <c r="S644" s="42"/>
      <c r="T644" s="42"/>
      <c r="U644" s="42"/>
      <c r="V644" s="42"/>
      <c r="W644" s="42"/>
      <c r="X644" s="42"/>
      <c r="Y644" s="42"/>
    </row>
    <row r="645" spans="1:25" ht="12.95">
      <c r="A645" s="55"/>
      <c r="B645" s="41"/>
      <c r="C645" s="42"/>
      <c r="D645" s="43"/>
      <c r="E645" s="42"/>
      <c r="F645" s="42"/>
      <c r="G645" s="42"/>
      <c r="H645" s="42"/>
      <c r="I645" s="42"/>
      <c r="J645" s="42"/>
      <c r="K645" s="42"/>
      <c r="L645" s="42"/>
      <c r="M645" s="42"/>
      <c r="N645" s="42"/>
      <c r="O645" s="42"/>
      <c r="P645" s="42"/>
      <c r="Q645" s="42"/>
      <c r="R645" s="42"/>
      <c r="S645" s="42"/>
      <c r="T645" s="42"/>
      <c r="U645" s="42"/>
      <c r="V645" s="42"/>
      <c r="W645" s="42"/>
      <c r="X645" s="42"/>
      <c r="Y645" s="42"/>
    </row>
    <row r="646" spans="1:25" ht="12.95">
      <c r="A646" s="55"/>
      <c r="B646" s="41"/>
      <c r="C646" s="42"/>
      <c r="D646" s="43"/>
      <c r="E646" s="42"/>
      <c r="F646" s="42"/>
      <c r="G646" s="42"/>
      <c r="H646" s="42"/>
      <c r="I646" s="42"/>
      <c r="J646" s="42"/>
      <c r="K646" s="42"/>
      <c r="L646" s="42"/>
      <c r="M646" s="42"/>
      <c r="N646" s="42"/>
      <c r="O646" s="42"/>
      <c r="P646" s="42"/>
      <c r="Q646" s="42"/>
      <c r="R646" s="42"/>
      <c r="S646" s="42"/>
      <c r="T646" s="42"/>
      <c r="U646" s="42"/>
      <c r="V646" s="42"/>
      <c r="W646" s="42"/>
      <c r="X646" s="42"/>
      <c r="Y646" s="42"/>
    </row>
    <row r="647" spans="1:25" ht="12.95">
      <c r="A647" s="55"/>
      <c r="B647" s="41"/>
      <c r="C647" s="42"/>
      <c r="D647" s="43"/>
      <c r="E647" s="42"/>
      <c r="F647" s="42"/>
      <c r="G647" s="42"/>
      <c r="H647" s="42"/>
      <c r="I647" s="42"/>
      <c r="J647" s="42"/>
      <c r="K647" s="42"/>
      <c r="L647" s="42"/>
      <c r="M647" s="42"/>
      <c r="N647" s="42"/>
      <c r="O647" s="42"/>
      <c r="P647" s="42"/>
      <c r="Q647" s="42"/>
      <c r="R647" s="42"/>
      <c r="S647" s="42"/>
      <c r="T647" s="42"/>
      <c r="U647" s="42"/>
      <c r="V647" s="42"/>
      <c r="W647" s="42"/>
      <c r="X647" s="42"/>
      <c r="Y647" s="42"/>
    </row>
    <row r="648" spans="1:25" ht="12.95">
      <c r="A648" s="55"/>
      <c r="B648" s="41"/>
      <c r="C648" s="42"/>
      <c r="D648" s="43"/>
      <c r="E648" s="42"/>
      <c r="F648" s="42"/>
      <c r="G648" s="42"/>
      <c r="H648" s="42"/>
      <c r="I648" s="42"/>
      <c r="J648" s="42"/>
      <c r="K648" s="42"/>
      <c r="L648" s="42"/>
      <c r="M648" s="42"/>
      <c r="N648" s="42"/>
      <c r="O648" s="42"/>
      <c r="P648" s="42"/>
      <c r="Q648" s="42"/>
      <c r="R648" s="42"/>
      <c r="S648" s="42"/>
      <c r="T648" s="42"/>
      <c r="U648" s="42"/>
      <c r="V648" s="42"/>
      <c r="W648" s="42"/>
      <c r="X648" s="42"/>
      <c r="Y648" s="42"/>
    </row>
    <row r="649" spans="1:25" ht="12.95">
      <c r="A649" s="55"/>
      <c r="B649" s="41"/>
      <c r="C649" s="42"/>
      <c r="D649" s="43"/>
      <c r="E649" s="42"/>
      <c r="F649" s="42"/>
      <c r="G649" s="42"/>
      <c r="H649" s="42"/>
      <c r="I649" s="42"/>
      <c r="J649" s="42"/>
      <c r="K649" s="42"/>
      <c r="L649" s="42"/>
      <c r="M649" s="42"/>
      <c r="N649" s="42"/>
      <c r="O649" s="42"/>
      <c r="P649" s="42"/>
      <c r="Q649" s="42"/>
      <c r="R649" s="42"/>
      <c r="S649" s="42"/>
      <c r="T649" s="42"/>
      <c r="U649" s="42"/>
      <c r="V649" s="42"/>
      <c r="W649" s="42"/>
      <c r="X649" s="42"/>
      <c r="Y649" s="42"/>
    </row>
    <row r="650" spans="1:25" ht="12.95">
      <c r="A650" s="55"/>
      <c r="B650" s="41"/>
      <c r="C650" s="42"/>
      <c r="D650" s="43"/>
      <c r="E650" s="42"/>
      <c r="F650" s="42"/>
      <c r="G650" s="42"/>
      <c r="H650" s="42"/>
      <c r="I650" s="42"/>
      <c r="J650" s="42"/>
      <c r="K650" s="42"/>
      <c r="L650" s="42"/>
      <c r="M650" s="42"/>
      <c r="N650" s="42"/>
      <c r="O650" s="42"/>
      <c r="P650" s="42"/>
      <c r="Q650" s="42"/>
      <c r="R650" s="42"/>
      <c r="S650" s="42"/>
      <c r="T650" s="42"/>
      <c r="U650" s="42"/>
      <c r="V650" s="42"/>
      <c r="W650" s="42"/>
      <c r="X650" s="42"/>
      <c r="Y650" s="42"/>
    </row>
    <row r="651" spans="1:25" ht="12.95">
      <c r="A651" s="55"/>
      <c r="B651" s="41"/>
      <c r="C651" s="42"/>
      <c r="D651" s="43"/>
      <c r="E651" s="42"/>
      <c r="F651" s="42"/>
      <c r="G651" s="42"/>
      <c r="H651" s="42"/>
      <c r="I651" s="42"/>
      <c r="J651" s="42"/>
      <c r="K651" s="42"/>
      <c r="L651" s="42"/>
      <c r="M651" s="42"/>
      <c r="N651" s="42"/>
      <c r="O651" s="42"/>
      <c r="P651" s="42"/>
      <c r="Q651" s="42"/>
      <c r="R651" s="42"/>
      <c r="S651" s="42"/>
      <c r="T651" s="42"/>
      <c r="U651" s="42"/>
      <c r="V651" s="42"/>
      <c r="W651" s="42"/>
      <c r="X651" s="42"/>
      <c r="Y651" s="42"/>
    </row>
    <row r="652" spans="1:25" ht="12.95">
      <c r="A652" s="55"/>
      <c r="B652" s="41"/>
      <c r="C652" s="42"/>
      <c r="D652" s="43"/>
      <c r="E652" s="42"/>
      <c r="F652" s="42"/>
      <c r="G652" s="42"/>
      <c r="H652" s="42"/>
      <c r="I652" s="42"/>
      <c r="J652" s="42"/>
      <c r="K652" s="42"/>
      <c r="L652" s="42"/>
      <c r="M652" s="42"/>
      <c r="N652" s="42"/>
      <c r="O652" s="42"/>
      <c r="P652" s="42"/>
      <c r="Q652" s="42"/>
      <c r="R652" s="42"/>
      <c r="S652" s="42"/>
      <c r="T652" s="42"/>
      <c r="U652" s="42"/>
      <c r="V652" s="42"/>
      <c r="W652" s="42"/>
      <c r="X652" s="42"/>
      <c r="Y652" s="42"/>
    </row>
    <row r="653" spans="1:25" ht="12.95">
      <c r="A653" s="55"/>
      <c r="B653" s="41"/>
      <c r="C653" s="42"/>
      <c r="D653" s="43"/>
      <c r="E653" s="42"/>
      <c r="F653" s="42"/>
      <c r="G653" s="42"/>
      <c r="H653" s="42"/>
      <c r="I653" s="42"/>
      <c r="J653" s="42"/>
      <c r="K653" s="42"/>
      <c r="L653" s="42"/>
      <c r="M653" s="42"/>
      <c r="N653" s="42"/>
      <c r="O653" s="42"/>
      <c r="P653" s="42"/>
      <c r="Q653" s="42"/>
      <c r="R653" s="42"/>
      <c r="S653" s="42"/>
      <c r="T653" s="42"/>
      <c r="U653" s="42"/>
      <c r="V653" s="42"/>
      <c r="W653" s="42"/>
      <c r="X653" s="42"/>
      <c r="Y653" s="42"/>
    </row>
    <row r="654" spans="1:25" ht="12.95">
      <c r="A654" s="55"/>
      <c r="B654" s="41"/>
      <c r="C654" s="42"/>
      <c r="D654" s="43"/>
      <c r="E654" s="42"/>
      <c r="F654" s="42"/>
      <c r="G654" s="42"/>
      <c r="H654" s="42"/>
      <c r="I654" s="42"/>
      <c r="J654" s="42"/>
      <c r="K654" s="42"/>
      <c r="L654" s="42"/>
      <c r="M654" s="42"/>
      <c r="N654" s="42"/>
      <c r="O654" s="42"/>
      <c r="P654" s="42"/>
      <c r="Q654" s="42"/>
      <c r="R654" s="42"/>
      <c r="S654" s="42"/>
      <c r="T654" s="42"/>
      <c r="U654" s="42"/>
      <c r="V654" s="42"/>
      <c r="W654" s="42"/>
      <c r="X654" s="42"/>
      <c r="Y654" s="42"/>
    </row>
    <row r="655" spans="1:25" ht="12.95">
      <c r="A655" s="55"/>
      <c r="B655" s="41"/>
      <c r="C655" s="42"/>
      <c r="D655" s="43"/>
      <c r="E655" s="42"/>
      <c r="F655" s="42"/>
      <c r="G655" s="42"/>
      <c r="H655" s="42"/>
      <c r="I655" s="42"/>
      <c r="J655" s="42"/>
      <c r="K655" s="42"/>
      <c r="L655" s="42"/>
      <c r="M655" s="42"/>
      <c r="N655" s="42"/>
      <c r="O655" s="42"/>
      <c r="P655" s="42"/>
      <c r="Q655" s="42"/>
      <c r="R655" s="42"/>
      <c r="S655" s="42"/>
      <c r="T655" s="42"/>
      <c r="U655" s="42"/>
      <c r="V655" s="42"/>
      <c r="W655" s="42"/>
      <c r="X655" s="42"/>
      <c r="Y655" s="42"/>
    </row>
    <row r="656" spans="1:25" ht="12.95">
      <c r="A656" s="55"/>
      <c r="B656" s="41"/>
      <c r="C656" s="42"/>
      <c r="D656" s="43"/>
      <c r="E656" s="42"/>
      <c r="F656" s="42"/>
      <c r="G656" s="42"/>
      <c r="H656" s="42"/>
      <c r="I656" s="42"/>
      <c r="J656" s="42"/>
      <c r="K656" s="42"/>
      <c r="L656" s="42"/>
      <c r="M656" s="42"/>
      <c r="N656" s="42"/>
      <c r="O656" s="42"/>
      <c r="P656" s="42"/>
      <c r="Q656" s="42"/>
      <c r="R656" s="42"/>
      <c r="S656" s="42"/>
      <c r="T656" s="42"/>
      <c r="U656" s="42"/>
      <c r="V656" s="42"/>
      <c r="W656" s="42"/>
      <c r="X656" s="42"/>
      <c r="Y656" s="42"/>
    </row>
    <row r="657" spans="1:25" ht="12.95">
      <c r="A657" s="55"/>
      <c r="B657" s="41"/>
      <c r="C657" s="42"/>
      <c r="D657" s="43"/>
      <c r="E657" s="42"/>
      <c r="F657" s="42"/>
      <c r="G657" s="42"/>
      <c r="H657" s="42"/>
      <c r="I657" s="42"/>
      <c r="J657" s="42"/>
      <c r="K657" s="42"/>
      <c r="L657" s="42"/>
      <c r="M657" s="42"/>
      <c r="N657" s="42"/>
      <c r="O657" s="42"/>
      <c r="P657" s="42"/>
      <c r="Q657" s="42"/>
      <c r="R657" s="42"/>
      <c r="S657" s="42"/>
      <c r="T657" s="42"/>
      <c r="U657" s="42"/>
      <c r="V657" s="42"/>
      <c r="W657" s="42"/>
      <c r="X657" s="42"/>
      <c r="Y657" s="42"/>
    </row>
    <row r="658" spans="1:25" ht="12.95">
      <c r="A658" s="55"/>
      <c r="B658" s="41"/>
      <c r="C658" s="42"/>
      <c r="D658" s="43"/>
      <c r="E658" s="42"/>
      <c r="F658" s="42"/>
      <c r="G658" s="42"/>
      <c r="H658" s="42"/>
      <c r="I658" s="42"/>
      <c r="J658" s="42"/>
      <c r="K658" s="42"/>
      <c r="L658" s="42"/>
      <c r="M658" s="42"/>
      <c r="N658" s="42"/>
      <c r="O658" s="42"/>
      <c r="P658" s="42"/>
      <c r="Q658" s="42"/>
      <c r="R658" s="42"/>
      <c r="S658" s="42"/>
      <c r="T658" s="42"/>
      <c r="U658" s="42"/>
      <c r="V658" s="42"/>
      <c r="W658" s="42"/>
      <c r="X658" s="42"/>
      <c r="Y658" s="42"/>
    </row>
    <row r="659" spans="1:25" ht="12.95">
      <c r="A659" s="55"/>
      <c r="B659" s="41"/>
      <c r="C659" s="42"/>
      <c r="D659" s="43"/>
      <c r="E659" s="42"/>
      <c r="F659" s="42"/>
      <c r="G659" s="42"/>
      <c r="H659" s="42"/>
      <c r="I659" s="42"/>
      <c r="J659" s="42"/>
      <c r="K659" s="42"/>
      <c r="L659" s="42"/>
      <c r="M659" s="42"/>
      <c r="N659" s="42"/>
      <c r="O659" s="42"/>
      <c r="P659" s="42"/>
      <c r="Q659" s="42"/>
      <c r="R659" s="42"/>
      <c r="S659" s="42"/>
      <c r="T659" s="42"/>
      <c r="U659" s="42"/>
      <c r="V659" s="42"/>
      <c r="W659" s="42"/>
      <c r="X659" s="42"/>
      <c r="Y659" s="42"/>
    </row>
    <row r="660" spans="1:25" ht="12.95">
      <c r="A660" s="55"/>
      <c r="B660" s="41"/>
      <c r="C660" s="42"/>
      <c r="D660" s="43"/>
      <c r="E660" s="42"/>
      <c r="F660" s="42"/>
      <c r="G660" s="42"/>
      <c r="H660" s="42"/>
      <c r="I660" s="42"/>
      <c r="J660" s="42"/>
      <c r="K660" s="42"/>
      <c r="L660" s="42"/>
      <c r="M660" s="42"/>
      <c r="N660" s="42"/>
      <c r="O660" s="42"/>
      <c r="P660" s="42"/>
      <c r="Q660" s="42"/>
      <c r="R660" s="42"/>
      <c r="S660" s="42"/>
      <c r="T660" s="42"/>
      <c r="U660" s="42"/>
      <c r="V660" s="42"/>
      <c r="W660" s="42"/>
      <c r="X660" s="42"/>
      <c r="Y660" s="42"/>
    </row>
    <row r="661" spans="1:25" ht="12.95">
      <c r="A661" s="55"/>
      <c r="B661" s="41"/>
      <c r="C661" s="42"/>
      <c r="D661" s="43"/>
      <c r="E661" s="42"/>
      <c r="F661" s="42"/>
      <c r="G661" s="42"/>
      <c r="H661" s="42"/>
      <c r="I661" s="42"/>
      <c r="J661" s="42"/>
      <c r="K661" s="42"/>
      <c r="L661" s="42"/>
      <c r="M661" s="42"/>
      <c r="N661" s="42"/>
      <c r="O661" s="42"/>
      <c r="P661" s="42"/>
      <c r="Q661" s="42"/>
      <c r="R661" s="42"/>
      <c r="S661" s="42"/>
      <c r="T661" s="42"/>
      <c r="U661" s="42"/>
      <c r="V661" s="42"/>
      <c r="W661" s="42"/>
      <c r="X661" s="42"/>
      <c r="Y661" s="42"/>
    </row>
    <row r="662" spans="1:25" ht="12.95">
      <c r="A662" s="55"/>
      <c r="B662" s="41"/>
      <c r="C662" s="42"/>
      <c r="D662" s="43"/>
      <c r="E662" s="42"/>
      <c r="F662" s="42"/>
      <c r="G662" s="42"/>
      <c r="H662" s="42"/>
      <c r="I662" s="42"/>
      <c r="J662" s="42"/>
      <c r="K662" s="42"/>
      <c r="L662" s="42"/>
      <c r="M662" s="42"/>
      <c r="N662" s="42"/>
      <c r="O662" s="42"/>
      <c r="P662" s="42"/>
      <c r="Q662" s="42"/>
      <c r="R662" s="42"/>
      <c r="S662" s="42"/>
      <c r="T662" s="42"/>
      <c r="U662" s="42"/>
      <c r="V662" s="42"/>
      <c r="W662" s="42"/>
      <c r="X662" s="42"/>
      <c r="Y662" s="42"/>
    </row>
    <row r="663" spans="1:25" ht="12.95">
      <c r="A663" s="55"/>
      <c r="B663" s="41"/>
      <c r="C663" s="42"/>
      <c r="D663" s="43"/>
      <c r="E663" s="42"/>
      <c r="F663" s="42"/>
      <c r="G663" s="42"/>
      <c r="H663" s="42"/>
      <c r="I663" s="42"/>
      <c r="J663" s="42"/>
      <c r="K663" s="42"/>
      <c r="L663" s="42"/>
      <c r="M663" s="42"/>
      <c r="N663" s="42"/>
      <c r="O663" s="42"/>
      <c r="P663" s="42"/>
      <c r="Q663" s="42"/>
      <c r="R663" s="42"/>
      <c r="S663" s="42"/>
      <c r="T663" s="42"/>
      <c r="U663" s="42"/>
      <c r="V663" s="42"/>
      <c r="W663" s="42"/>
      <c r="X663" s="42"/>
      <c r="Y663" s="42"/>
    </row>
    <row r="664" spans="1:25" ht="12.95">
      <c r="A664" s="55"/>
      <c r="B664" s="41"/>
      <c r="C664" s="42"/>
      <c r="D664" s="43"/>
      <c r="E664" s="42"/>
      <c r="F664" s="42"/>
      <c r="G664" s="42"/>
      <c r="H664" s="42"/>
      <c r="I664" s="42"/>
      <c r="J664" s="42"/>
      <c r="K664" s="42"/>
      <c r="L664" s="42"/>
      <c r="M664" s="42"/>
      <c r="N664" s="42"/>
      <c r="O664" s="42"/>
      <c r="P664" s="42"/>
      <c r="Q664" s="42"/>
      <c r="R664" s="42"/>
      <c r="S664" s="42"/>
      <c r="T664" s="42"/>
      <c r="U664" s="42"/>
      <c r="V664" s="42"/>
      <c r="W664" s="42"/>
      <c r="X664" s="42"/>
      <c r="Y664" s="42"/>
    </row>
    <row r="665" spans="1:25" ht="12.95">
      <c r="A665" s="55"/>
      <c r="B665" s="41"/>
      <c r="C665" s="42"/>
      <c r="D665" s="43"/>
      <c r="E665" s="42"/>
      <c r="F665" s="42"/>
      <c r="G665" s="42"/>
      <c r="H665" s="42"/>
      <c r="I665" s="42"/>
      <c r="J665" s="42"/>
      <c r="K665" s="42"/>
      <c r="L665" s="42"/>
      <c r="M665" s="42"/>
      <c r="N665" s="42"/>
      <c r="O665" s="42"/>
      <c r="P665" s="42"/>
      <c r="Q665" s="42"/>
      <c r="R665" s="42"/>
      <c r="S665" s="42"/>
      <c r="T665" s="42"/>
      <c r="U665" s="42"/>
      <c r="V665" s="42"/>
      <c r="W665" s="42"/>
      <c r="X665" s="42"/>
      <c r="Y665" s="42"/>
    </row>
    <row r="666" spans="1:25" ht="12.95">
      <c r="A666" s="55"/>
      <c r="B666" s="41"/>
      <c r="C666" s="42"/>
      <c r="D666" s="43"/>
      <c r="E666" s="42"/>
      <c r="F666" s="42"/>
      <c r="G666" s="42"/>
      <c r="H666" s="42"/>
      <c r="I666" s="42"/>
      <c r="J666" s="42"/>
      <c r="K666" s="42"/>
      <c r="L666" s="42"/>
      <c r="M666" s="42"/>
      <c r="N666" s="42"/>
      <c r="O666" s="42"/>
      <c r="P666" s="42"/>
      <c r="Q666" s="42"/>
      <c r="R666" s="42"/>
      <c r="S666" s="42"/>
      <c r="T666" s="42"/>
      <c r="U666" s="42"/>
      <c r="V666" s="42"/>
      <c r="W666" s="42"/>
      <c r="X666" s="42"/>
      <c r="Y666" s="42"/>
    </row>
    <row r="667" spans="1:25" ht="12.95">
      <c r="A667" s="55"/>
      <c r="B667" s="41"/>
      <c r="C667" s="42"/>
      <c r="D667" s="43"/>
      <c r="E667" s="42"/>
      <c r="F667" s="42"/>
      <c r="G667" s="42"/>
      <c r="H667" s="42"/>
      <c r="I667" s="42"/>
      <c r="J667" s="42"/>
      <c r="K667" s="42"/>
      <c r="L667" s="42"/>
      <c r="M667" s="42"/>
      <c r="N667" s="42"/>
      <c r="O667" s="42"/>
      <c r="P667" s="42"/>
      <c r="Q667" s="42"/>
      <c r="R667" s="42"/>
      <c r="S667" s="42"/>
      <c r="T667" s="42"/>
      <c r="U667" s="42"/>
      <c r="V667" s="42"/>
      <c r="W667" s="42"/>
      <c r="X667" s="42"/>
      <c r="Y667" s="42"/>
    </row>
    <row r="668" spans="1:25" ht="12.95">
      <c r="A668" s="55"/>
      <c r="B668" s="41"/>
      <c r="C668" s="42"/>
      <c r="D668" s="43"/>
      <c r="E668" s="42"/>
      <c r="F668" s="42"/>
      <c r="G668" s="42"/>
      <c r="H668" s="42"/>
      <c r="I668" s="42"/>
      <c r="J668" s="42"/>
      <c r="K668" s="42"/>
      <c r="L668" s="42"/>
      <c r="M668" s="42"/>
      <c r="N668" s="42"/>
      <c r="O668" s="42"/>
      <c r="P668" s="42"/>
      <c r="Q668" s="42"/>
      <c r="R668" s="42"/>
      <c r="S668" s="42"/>
      <c r="T668" s="42"/>
      <c r="U668" s="42"/>
      <c r="V668" s="42"/>
      <c r="W668" s="42"/>
      <c r="X668" s="42"/>
      <c r="Y668" s="42"/>
    </row>
    <row r="669" spans="1:25" ht="12.95">
      <c r="A669" s="55"/>
      <c r="B669" s="41"/>
      <c r="C669" s="42"/>
      <c r="D669" s="43"/>
      <c r="E669" s="42"/>
      <c r="F669" s="42"/>
      <c r="G669" s="42"/>
      <c r="H669" s="42"/>
      <c r="I669" s="42"/>
      <c r="J669" s="42"/>
      <c r="K669" s="42"/>
      <c r="L669" s="42"/>
      <c r="M669" s="42"/>
      <c r="N669" s="42"/>
      <c r="O669" s="42"/>
      <c r="P669" s="42"/>
      <c r="Q669" s="42"/>
      <c r="R669" s="42"/>
      <c r="S669" s="42"/>
      <c r="T669" s="42"/>
      <c r="U669" s="42"/>
      <c r="V669" s="42"/>
      <c r="W669" s="42"/>
      <c r="X669" s="42"/>
      <c r="Y669" s="42"/>
    </row>
    <row r="670" spans="1:25" ht="12.95">
      <c r="A670" s="55"/>
      <c r="B670" s="41"/>
      <c r="C670" s="42"/>
      <c r="D670" s="43"/>
      <c r="E670" s="42"/>
      <c r="F670" s="42"/>
      <c r="G670" s="42"/>
      <c r="H670" s="42"/>
      <c r="I670" s="42"/>
      <c r="J670" s="42"/>
      <c r="K670" s="42"/>
      <c r="L670" s="42"/>
      <c r="M670" s="42"/>
      <c r="N670" s="42"/>
      <c r="O670" s="42"/>
      <c r="P670" s="42"/>
      <c r="Q670" s="42"/>
      <c r="R670" s="42"/>
      <c r="S670" s="42"/>
      <c r="T670" s="42"/>
      <c r="U670" s="42"/>
      <c r="V670" s="42"/>
      <c r="W670" s="42"/>
      <c r="X670" s="42"/>
      <c r="Y670" s="42"/>
    </row>
    <row r="671" spans="1:25" ht="12.95">
      <c r="A671" s="55"/>
      <c r="B671" s="41"/>
      <c r="C671" s="42"/>
      <c r="D671" s="43"/>
      <c r="E671" s="42"/>
      <c r="F671" s="42"/>
      <c r="G671" s="42"/>
      <c r="H671" s="42"/>
      <c r="I671" s="42"/>
      <c r="J671" s="42"/>
      <c r="K671" s="42"/>
      <c r="L671" s="42"/>
      <c r="M671" s="42"/>
      <c r="N671" s="42"/>
      <c r="O671" s="42"/>
      <c r="P671" s="42"/>
      <c r="Q671" s="42"/>
      <c r="R671" s="42"/>
      <c r="S671" s="42"/>
      <c r="T671" s="42"/>
      <c r="U671" s="42"/>
      <c r="V671" s="42"/>
      <c r="W671" s="42"/>
      <c r="X671" s="42"/>
      <c r="Y671" s="42"/>
    </row>
    <row r="672" spans="1:25" ht="12.95">
      <c r="A672" s="55"/>
      <c r="B672" s="41"/>
      <c r="C672" s="42"/>
      <c r="D672" s="43"/>
      <c r="E672" s="42"/>
      <c r="F672" s="42"/>
      <c r="G672" s="42"/>
      <c r="H672" s="42"/>
      <c r="I672" s="42"/>
      <c r="J672" s="42"/>
      <c r="K672" s="42"/>
      <c r="L672" s="42"/>
      <c r="M672" s="42"/>
      <c r="N672" s="42"/>
      <c r="O672" s="42"/>
      <c r="P672" s="42"/>
      <c r="Q672" s="42"/>
      <c r="R672" s="42"/>
      <c r="S672" s="42"/>
      <c r="T672" s="42"/>
      <c r="U672" s="42"/>
      <c r="V672" s="42"/>
      <c r="W672" s="42"/>
      <c r="X672" s="42"/>
      <c r="Y672" s="42"/>
    </row>
    <row r="673" spans="1:25" ht="12.95">
      <c r="A673" s="55"/>
      <c r="B673" s="41"/>
      <c r="C673" s="42"/>
      <c r="D673" s="43"/>
      <c r="E673" s="42"/>
      <c r="F673" s="42"/>
      <c r="G673" s="42"/>
      <c r="H673" s="42"/>
      <c r="I673" s="42"/>
      <c r="J673" s="42"/>
      <c r="K673" s="42"/>
      <c r="L673" s="42"/>
      <c r="M673" s="42"/>
      <c r="N673" s="42"/>
      <c r="O673" s="42"/>
      <c r="P673" s="42"/>
      <c r="Q673" s="42"/>
      <c r="R673" s="42"/>
      <c r="S673" s="42"/>
      <c r="T673" s="42"/>
      <c r="U673" s="42"/>
      <c r="V673" s="42"/>
      <c r="W673" s="42"/>
      <c r="X673" s="42"/>
      <c r="Y673" s="42"/>
    </row>
    <row r="674" spans="1:25" ht="12.95">
      <c r="A674" s="55"/>
      <c r="B674" s="41"/>
      <c r="C674" s="42"/>
      <c r="D674" s="43"/>
      <c r="E674" s="42"/>
      <c r="F674" s="42"/>
      <c r="G674" s="42"/>
      <c r="H674" s="42"/>
      <c r="I674" s="42"/>
      <c r="J674" s="42"/>
      <c r="K674" s="42"/>
      <c r="L674" s="42"/>
      <c r="M674" s="42"/>
      <c r="N674" s="42"/>
      <c r="O674" s="42"/>
      <c r="P674" s="42"/>
      <c r="Q674" s="42"/>
      <c r="R674" s="42"/>
      <c r="S674" s="42"/>
      <c r="T674" s="42"/>
      <c r="U674" s="42"/>
      <c r="V674" s="42"/>
      <c r="W674" s="42"/>
      <c r="X674" s="42"/>
      <c r="Y674" s="42"/>
    </row>
    <row r="675" spans="1:25" ht="12.95">
      <c r="A675" s="55"/>
      <c r="B675" s="41"/>
      <c r="C675" s="42"/>
      <c r="D675" s="43"/>
      <c r="E675" s="42"/>
      <c r="F675" s="42"/>
      <c r="G675" s="42"/>
      <c r="H675" s="42"/>
      <c r="I675" s="42"/>
      <c r="J675" s="42"/>
      <c r="K675" s="42"/>
      <c r="L675" s="42"/>
      <c r="M675" s="42"/>
      <c r="N675" s="42"/>
      <c r="O675" s="42"/>
      <c r="P675" s="42"/>
      <c r="Q675" s="42"/>
      <c r="R675" s="42"/>
      <c r="S675" s="42"/>
      <c r="T675" s="42"/>
      <c r="U675" s="42"/>
      <c r="V675" s="42"/>
      <c r="W675" s="42"/>
      <c r="X675" s="42"/>
      <c r="Y675" s="42"/>
    </row>
    <row r="676" spans="1:25" ht="12.95">
      <c r="A676" s="55"/>
      <c r="B676" s="41"/>
      <c r="C676" s="42"/>
      <c r="D676" s="43"/>
      <c r="E676" s="42"/>
      <c r="F676" s="42"/>
      <c r="G676" s="42"/>
      <c r="H676" s="42"/>
      <c r="I676" s="42"/>
      <c r="J676" s="42"/>
      <c r="K676" s="42"/>
      <c r="L676" s="42"/>
      <c r="M676" s="42"/>
      <c r="N676" s="42"/>
      <c r="O676" s="42"/>
      <c r="P676" s="42"/>
      <c r="Q676" s="42"/>
      <c r="R676" s="42"/>
      <c r="S676" s="42"/>
      <c r="T676" s="42"/>
      <c r="U676" s="42"/>
      <c r="V676" s="42"/>
      <c r="W676" s="42"/>
      <c r="X676" s="42"/>
      <c r="Y676" s="42"/>
    </row>
    <row r="677" spans="1:25" ht="12.95">
      <c r="A677" s="55"/>
      <c r="B677" s="41"/>
      <c r="C677" s="42"/>
      <c r="D677" s="43"/>
      <c r="E677" s="42"/>
      <c r="F677" s="42"/>
      <c r="G677" s="42"/>
      <c r="H677" s="42"/>
      <c r="I677" s="42"/>
      <c r="J677" s="42"/>
      <c r="K677" s="42"/>
      <c r="L677" s="42"/>
      <c r="M677" s="42"/>
      <c r="N677" s="42"/>
      <c r="O677" s="42"/>
      <c r="P677" s="42"/>
      <c r="Q677" s="42"/>
      <c r="R677" s="42"/>
      <c r="S677" s="42"/>
      <c r="T677" s="42"/>
      <c r="U677" s="42"/>
      <c r="V677" s="42"/>
      <c r="W677" s="42"/>
      <c r="X677" s="42"/>
      <c r="Y677" s="42"/>
    </row>
    <row r="678" spans="1:25" ht="12.95">
      <c r="A678" s="55"/>
      <c r="B678" s="41"/>
      <c r="C678" s="42"/>
      <c r="D678" s="43"/>
      <c r="E678" s="42"/>
      <c r="F678" s="42"/>
      <c r="G678" s="42"/>
      <c r="H678" s="42"/>
      <c r="I678" s="42"/>
      <c r="J678" s="42"/>
      <c r="K678" s="42"/>
      <c r="L678" s="42"/>
      <c r="M678" s="42"/>
      <c r="N678" s="42"/>
      <c r="O678" s="42"/>
      <c r="P678" s="42"/>
      <c r="Q678" s="42"/>
      <c r="R678" s="42"/>
      <c r="S678" s="42"/>
      <c r="T678" s="42"/>
      <c r="U678" s="42"/>
      <c r="V678" s="42"/>
      <c r="W678" s="42"/>
      <c r="X678" s="42"/>
      <c r="Y678" s="42"/>
    </row>
    <row r="679" spans="1:25" ht="12.95">
      <c r="A679" s="55"/>
      <c r="B679" s="41"/>
      <c r="C679" s="42"/>
      <c r="D679" s="43"/>
      <c r="E679" s="42"/>
      <c r="F679" s="42"/>
      <c r="G679" s="42"/>
      <c r="H679" s="42"/>
      <c r="I679" s="42"/>
      <c r="J679" s="42"/>
      <c r="K679" s="42"/>
      <c r="L679" s="42"/>
      <c r="M679" s="42"/>
      <c r="N679" s="42"/>
      <c r="O679" s="42"/>
      <c r="P679" s="42"/>
      <c r="Q679" s="42"/>
      <c r="R679" s="42"/>
      <c r="S679" s="42"/>
      <c r="T679" s="42"/>
      <c r="U679" s="42"/>
      <c r="V679" s="42"/>
      <c r="W679" s="42"/>
      <c r="X679" s="42"/>
      <c r="Y679" s="42"/>
    </row>
    <row r="680" spans="1:25" ht="12.95">
      <c r="A680" s="55"/>
      <c r="B680" s="41"/>
      <c r="C680" s="42"/>
      <c r="D680" s="43"/>
      <c r="E680" s="42"/>
      <c r="F680" s="42"/>
      <c r="G680" s="42"/>
      <c r="H680" s="42"/>
      <c r="I680" s="42"/>
      <c r="J680" s="42"/>
      <c r="K680" s="42"/>
      <c r="L680" s="42"/>
      <c r="M680" s="42"/>
      <c r="N680" s="42"/>
      <c r="O680" s="42"/>
      <c r="P680" s="42"/>
      <c r="Q680" s="42"/>
      <c r="R680" s="42"/>
      <c r="S680" s="42"/>
      <c r="T680" s="42"/>
      <c r="U680" s="42"/>
      <c r="V680" s="42"/>
      <c r="W680" s="42"/>
      <c r="X680" s="42"/>
      <c r="Y680" s="42"/>
    </row>
    <row r="681" spans="1:25" ht="12.95">
      <c r="A681" s="55"/>
      <c r="B681" s="41"/>
      <c r="C681" s="42"/>
      <c r="D681" s="43"/>
      <c r="E681" s="42"/>
      <c r="F681" s="42"/>
      <c r="G681" s="42"/>
      <c r="H681" s="42"/>
      <c r="I681" s="42"/>
      <c r="J681" s="42"/>
      <c r="K681" s="42"/>
      <c r="L681" s="42"/>
      <c r="M681" s="42"/>
      <c r="N681" s="42"/>
      <c r="O681" s="42"/>
      <c r="P681" s="42"/>
      <c r="Q681" s="42"/>
      <c r="R681" s="42"/>
      <c r="S681" s="42"/>
      <c r="T681" s="42"/>
      <c r="U681" s="42"/>
      <c r="V681" s="42"/>
      <c r="W681" s="42"/>
      <c r="X681" s="42"/>
      <c r="Y681" s="42"/>
    </row>
    <row r="682" spans="1:25" ht="12.95">
      <c r="A682" s="55"/>
      <c r="B682" s="41"/>
      <c r="C682" s="42"/>
      <c r="D682" s="43"/>
      <c r="E682" s="42"/>
      <c r="F682" s="42"/>
      <c r="G682" s="42"/>
      <c r="H682" s="42"/>
      <c r="I682" s="42"/>
      <c r="J682" s="42"/>
      <c r="K682" s="42"/>
      <c r="L682" s="42"/>
      <c r="M682" s="42"/>
      <c r="N682" s="42"/>
      <c r="O682" s="42"/>
      <c r="P682" s="42"/>
      <c r="Q682" s="42"/>
      <c r="R682" s="42"/>
      <c r="S682" s="42"/>
      <c r="T682" s="42"/>
      <c r="U682" s="42"/>
      <c r="V682" s="42"/>
      <c r="W682" s="42"/>
      <c r="X682" s="42"/>
      <c r="Y682" s="42"/>
    </row>
    <row r="683" spans="1:25" ht="12.95">
      <c r="A683" s="55"/>
      <c r="B683" s="41"/>
      <c r="C683" s="42"/>
      <c r="D683" s="43"/>
      <c r="E683" s="42"/>
      <c r="F683" s="42"/>
      <c r="G683" s="42"/>
      <c r="H683" s="42"/>
      <c r="I683" s="42"/>
      <c r="J683" s="42"/>
      <c r="K683" s="42"/>
      <c r="L683" s="42"/>
      <c r="M683" s="42"/>
      <c r="N683" s="42"/>
      <c r="O683" s="42"/>
      <c r="P683" s="42"/>
      <c r="Q683" s="42"/>
      <c r="R683" s="42"/>
      <c r="S683" s="42"/>
      <c r="T683" s="42"/>
      <c r="U683" s="42"/>
      <c r="V683" s="42"/>
      <c r="W683" s="42"/>
      <c r="X683" s="42"/>
      <c r="Y683" s="42"/>
    </row>
    <row r="684" spans="1:25" ht="12.95">
      <c r="A684" s="55"/>
      <c r="B684" s="41"/>
      <c r="C684" s="42"/>
      <c r="D684" s="43"/>
      <c r="E684" s="42"/>
      <c r="F684" s="42"/>
      <c r="G684" s="42"/>
      <c r="H684" s="42"/>
      <c r="I684" s="42"/>
      <c r="J684" s="42"/>
      <c r="K684" s="42"/>
      <c r="L684" s="42"/>
      <c r="M684" s="42"/>
      <c r="N684" s="42"/>
      <c r="O684" s="42"/>
      <c r="P684" s="42"/>
      <c r="Q684" s="42"/>
      <c r="R684" s="42"/>
      <c r="S684" s="42"/>
      <c r="T684" s="42"/>
      <c r="U684" s="42"/>
      <c r="V684" s="42"/>
      <c r="W684" s="42"/>
      <c r="X684" s="42"/>
      <c r="Y684" s="42"/>
    </row>
    <row r="685" spans="1:25" ht="12.95">
      <c r="A685" s="55"/>
      <c r="B685" s="41"/>
      <c r="C685" s="42"/>
      <c r="D685" s="43"/>
      <c r="E685" s="42"/>
      <c r="F685" s="42"/>
      <c r="G685" s="42"/>
      <c r="H685" s="42"/>
      <c r="I685" s="42"/>
      <c r="J685" s="42"/>
      <c r="K685" s="42"/>
      <c r="L685" s="42"/>
      <c r="M685" s="42"/>
      <c r="N685" s="42"/>
      <c r="O685" s="42"/>
      <c r="P685" s="42"/>
      <c r="Q685" s="42"/>
      <c r="R685" s="42"/>
      <c r="S685" s="42"/>
      <c r="T685" s="42"/>
      <c r="U685" s="42"/>
      <c r="V685" s="42"/>
      <c r="W685" s="42"/>
      <c r="X685" s="42"/>
      <c r="Y685" s="42"/>
    </row>
    <row r="686" spans="1:25" ht="12.95">
      <c r="A686" s="55"/>
      <c r="B686" s="41"/>
      <c r="C686" s="42"/>
      <c r="D686" s="43"/>
      <c r="E686" s="42"/>
      <c r="F686" s="42"/>
      <c r="G686" s="42"/>
      <c r="H686" s="42"/>
      <c r="I686" s="42"/>
      <c r="J686" s="42"/>
      <c r="K686" s="42"/>
      <c r="L686" s="42"/>
      <c r="M686" s="42"/>
      <c r="N686" s="42"/>
      <c r="O686" s="42"/>
      <c r="P686" s="42"/>
      <c r="Q686" s="42"/>
      <c r="R686" s="42"/>
      <c r="S686" s="42"/>
      <c r="T686" s="42"/>
      <c r="U686" s="42"/>
      <c r="V686" s="42"/>
      <c r="W686" s="42"/>
      <c r="X686" s="42"/>
      <c r="Y686" s="42"/>
    </row>
    <row r="687" spans="1:25" ht="12.95">
      <c r="A687" s="55"/>
      <c r="B687" s="41"/>
      <c r="C687" s="42"/>
      <c r="D687" s="43"/>
      <c r="E687" s="42"/>
      <c r="F687" s="42"/>
      <c r="G687" s="42"/>
      <c r="H687" s="42"/>
      <c r="I687" s="42"/>
      <c r="J687" s="42"/>
      <c r="K687" s="42"/>
      <c r="L687" s="42"/>
      <c r="M687" s="42"/>
      <c r="N687" s="42"/>
      <c r="O687" s="42"/>
      <c r="P687" s="42"/>
      <c r="Q687" s="42"/>
      <c r="R687" s="42"/>
      <c r="S687" s="42"/>
      <c r="T687" s="42"/>
      <c r="U687" s="42"/>
      <c r="V687" s="42"/>
      <c r="W687" s="42"/>
      <c r="X687" s="42"/>
      <c r="Y687" s="42"/>
    </row>
    <row r="688" spans="1:25" ht="12.95">
      <c r="A688" s="55"/>
      <c r="B688" s="41"/>
      <c r="C688" s="42"/>
      <c r="D688" s="43"/>
      <c r="E688" s="42"/>
      <c r="F688" s="42"/>
      <c r="G688" s="42"/>
      <c r="H688" s="42"/>
      <c r="I688" s="42"/>
      <c r="J688" s="42"/>
      <c r="K688" s="42"/>
      <c r="L688" s="42"/>
      <c r="M688" s="42"/>
      <c r="N688" s="42"/>
      <c r="O688" s="42"/>
      <c r="P688" s="42"/>
      <c r="Q688" s="42"/>
      <c r="R688" s="42"/>
      <c r="S688" s="42"/>
      <c r="T688" s="42"/>
      <c r="U688" s="42"/>
      <c r="V688" s="42"/>
      <c r="W688" s="42"/>
      <c r="X688" s="42"/>
      <c r="Y688" s="42"/>
    </row>
    <row r="689" spans="1:25" ht="12.95">
      <c r="A689" s="55"/>
      <c r="B689" s="41"/>
      <c r="C689" s="42"/>
      <c r="D689" s="43"/>
      <c r="E689" s="42"/>
      <c r="F689" s="42"/>
      <c r="G689" s="42"/>
      <c r="H689" s="42"/>
      <c r="I689" s="42"/>
      <c r="J689" s="42"/>
      <c r="K689" s="42"/>
      <c r="L689" s="42"/>
      <c r="M689" s="42"/>
      <c r="N689" s="42"/>
      <c r="O689" s="42"/>
      <c r="P689" s="42"/>
      <c r="Q689" s="42"/>
      <c r="R689" s="42"/>
      <c r="S689" s="42"/>
      <c r="T689" s="42"/>
      <c r="U689" s="42"/>
      <c r="V689" s="42"/>
      <c r="W689" s="42"/>
      <c r="X689" s="42"/>
      <c r="Y689" s="42"/>
    </row>
    <row r="690" spans="1:25" ht="12.95">
      <c r="A690" s="55"/>
      <c r="B690" s="41"/>
      <c r="C690" s="42"/>
      <c r="D690" s="43"/>
      <c r="E690" s="42"/>
      <c r="F690" s="42"/>
      <c r="G690" s="42"/>
      <c r="H690" s="42"/>
      <c r="I690" s="42"/>
      <c r="J690" s="42"/>
      <c r="K690" s="42"/>
      <c r="L690" s="42"/>
      <c r="M690" s="42"/>
      <c r="N690" s="42"/>
      <c r="O690" s="42"/>
      <c r="P690" s="42"/>
      <c r="Q690" s="42"/>
      <c r="R690" s="42"/>
      <c r="S690" s="42"/>
      <c r="T690" s="42"/>
      <c r="U690" s="42"/>
      <c r="V690" s="42"/>
      <c r="W690" s="42"/>
      <c r="X690" s="42"/>
      <c r="Y690" s="42"/>
    </row>
    <row r="691" spans="1:25" ht="12.95">
      <c r="A691" s="55"/>
      <c r="B691" s="41"/>
      <c r="C691" s="42"/>
      <c r="D691" s="43"/>
      <c r="E691" s="42"/>
      <c r="F691" s="42"/>
      <c r="G691" s="42"/>
      <c r="H691" s="42"/>
      <c r="I691" s="42"/>
      <c r="J691" s="42"/>
      <c r="K691" s="42"/>
      <c r="L691" s="42"/>
      <c r="M691" s="42"/>
      <c r="N691" s="42"/>
      <c r="O691" s="42"/>
      <c r="P691" s="42"/>
      <c r="Q691" s="42"/>
      <c r="R691" s="42"/>
      <c r="S691" s="42"/>
      <c r="T691" s="42"/>
      <c r="U691" s="42"/>
      <c r="V691" s="42"/>
      <c r="W691" s="42"/>
      <c r="X691" s="42"/>
      <c r="Y691" s="42"/>
    </row>
    <row r="692" spans="1:25" ht="12.95">
      <c r="A692" s="55"/>
      <c r="B692" s="41"/>
      <c r="C692" s="42"/>
      <c r="D692" s="43"/>
      <c r="E692" s="42"/>
      <c r="F692" s="42"/>
      <c r="G692" s="42"/>
      <c r="H692" s="42"/>
      <c r="I692" s="42"/>
      <c r="J692" s="42"/>
      <c r="K692" s="42"/>
      <c r="L692" s="42"/>
      <c r="M692" s="42"/>
      <c r="N692" s="42"/>
      <c r="O692" s="42"/>
      <c r="P692" s="42"/>
      <c r="Q692" s="42"/>
      <c r="R692" s="42"/>
      <c r="S692" s="42"/>
      <c r="T692" s="42"/>
      <c r="U692" s="42"/>
      <c r="V692" s="42"/>
      <c r="W692" s="42"/>
      <c r="X692" s="42"/>
      <c r="Y692" s="42"/>
    </row>
    <row r="693" spans="1:25" ht="12.95">
      <c r="A693" s="55"/>
      <c r="B693" s="41"/>
      <c r="C693" s="42"/>
      <c r="D693" s="43"/>
      <c r="E693" s="42"/>
      <c r="F693" s="42"/>
      <c r="G693" s="42"/>
      <c r="H693" s="42"/>
      <c r="I693" s="42"/>
      <c r="J693" s="42"/>
      <c r="K693" s="42"/>
      <c r="L693" s="42"/>
      <c r="M693" s="42"/>
      <c r="N693" s="42"/>
      <c r="O693" s="42"/>
      <c r="P693" s="42"/>
      <c r="Q693" s="42"/>
      <c r="R693" s="42"/>
      <c r="S693" s="42"/>
      <c r="T693" s="42"/>
      <c r="U693" s="42"/>
      <c r="V693" s="42"/>
      <c r="W693" s="42"/>
      <c r="X693" s="42"/>
      <c r="Y693" s="42"/>
    </row>
    <row r="694" spans="1:25" ht="12.95">
      <c r="A694" s="55"/>
      <c r="B694" s="41"/>
      <c r="C694" s="42"/>
      <c r="D694" s="43"/>
      <c r="E694" s="42"/>
      <c r="F694" s="42"/>
      <c r="G694" s="42"/>
      <c r="H694" s="42"/>
      <c r="I694" s="42"/>
      <c r="J694" s="42"/>
      <c r="K694" s="42"/>
      <c r="L694" s="42"/>
      <c r="M694" s="42"/>
      <c r="N694" s="42"/>
      <c r="O694" s="42"/>
      <c r="P694" s="42"/>
      <c r="Q694" s="42"/>
      <c r="R694" s="42"/>
      <c r="S694" s="42"/>
      <c r="T694" s="42"/>
      <c r="U694" s="42"/>
      <c r="V694" s="42"/>
      <c r="W694" s="42"/>
      <c r="X694" s="42"/>
      <c r="Y694" s="42"/>
    </row>
    <row r="695" spans="1:25" ht="12.95">
      <c r="A695" s="55"/>
      <c r="B695" s="41"/>
      <c r="C695" s="42"/>
      <c r="D695" s="43"/>
      <c r="E695" s="42"/>
      <c r="F695" s="42"/>
      <c r="G695" s="42"/>
      <c r="H695" s="42"/>
      <c r="I695" s="42"/>
      <c r="J695" s="42"/>
      <c r="K695" s="42"/>
      <c r="L695" s="42"/>
      <c r="M695" s="42"/>
      <c r="N695" s="42"/>
      <c r="O695" s="42"/>
      <c r="P695" s="42"/>
      <c r="Q695" s="42"/>
      <c r="R695" s="42"/>
      <c r="S695" s="42"/>
      <c r="T695" s="42"/>
      <c r="U695" s="42"/>
      <c r="V695" s="42"/>
      <c r="W695" s="42"/>
      <c r="X695" s="42"/>
      <c r="Y695" s="42"/>
    </row>
    <row r="696" spans="1:25" ht="12.95">
      <c r="A696" s="55"/>
      <c r="B696" s="41"/>
      <c r="C696" s="42"/>
      <c r="D696" s="43"/>
      <c r="E696" s="42"/>
      <c r="F696" s="42"/>
      <c r="G696" s="42"/>
      <c r="H696" s="42"/>
      <c r="I696" s="42"/>
      <c r="J696" s="42"/>
      <c r="K696" s="42"/>
      <c r="L696" s="42"/>
      <c r="M696" s="42"/>
      <c r="N696" s="42"/>
      <c r="O696" s="42"/>
      <c r="P696" s="42"/>
      <c r="Q696" s="42"/>
      <c r="R696" s="42"/>
      <c r="S696" s="42"/>
      <c r="T696" s="42"/>
      <c r="U696" s="42"/>
      <c r="V696" s="42"/>
      <c r="W696" s="42"/>
      <c r="X696" s="42"/>
      <c r="Y696" s="42"/>
    </row>
    <row r="697" spans="1:25" ht="12.95">
      <c r="A697" s="55"/>
      <c r="B697" s="41"/>
      <c r="C697" s="42"/>
      <c r="D697" s="43"/>
      <c r="E697" s="42"/>
      <c r="F697" s="42"/>
      <c r="G697" s="42"/>
      <c r="H697" s="42"/>
      <c r="I697" s="42"/>
      <c r="J697" s="42"/>
      <c r="K697" s="42"/>
      <c r="L697" s="42"/>
      <c r="M697" s="42"/>
      <c r="N697" s="42"/>
      <c r="O697" s="42"/>
      <c r="P697" s="42"/>
      <c r="Q697" s="42"/>
      <c r="R697" s="42"/>
      <c r="S697" s="42"/>
      <c r="T697" s="42"/>
      <c r="U697" s="42"/>
      <c r="V697" s="42"/>
      <c r="W697" s="42"/>
      <c r="X697" s="42"/>
      <c r="Y697" s="42"/>
    </row>
    <row r="698" spans="1:25" ht="12.95">
      <c r="A698" s="55"/>
      <c r="B698" s="41"/>
      <c r="C698" s="42"/>
      <c r="D698" s="43"/>
      <c r="E698" s="42"/>
      <c r="F698" s="42"/>
      <c r="G698" s="42"/>
      <c r="H698" s="42"/>
      <c r="I698" s="42"/>
      <c r="J698" s="42"/>
      <c r="K698" s="42"/>
      <c r="L698" s="42"/>
      <c r="M698" s="42"/>
      <c r="N698" s="42"/>
      <c r="O698" s="42"/>
      <c r="P698" s="42"/>
      <c r="Q698" s="42"/>
      <c r="R698" s="42"/>
      <c r="S698" s="42"/>
      <c r="T698" s="42"/>
      <c r="U698" s="42"/>
      <c r="V698" s="42"/>
      <c r="W698" s="42"/>
      <c r="X698" s="42"/>
      <c r="Y698" s="42"/>
    </row>
    <row r="699" spans="1:25" ht="12.95">
      <c r="A699" s="55"/>
      <c r="B699" s="41"/>
      <c r="C699" s="42"/>
      <c r="D699" s="43"/>
      <c r="E699" s="42"/>
      <c r="F699" s="42"/>
      <c r="G699" s="42"/>
      <c r="H699" s="42"/>
      <c r="I699" s="42"/>
      <c r="J699" s="42"/>
      <c r="K699" s="42"/>
      <c r="L699" s="42"/>
      <c r="M699" s="42"/>
      <c r="N699" s="42"/>
      <c r="O699" s="42"/>
      <c r="P699" s="42"/>
      <c r="Q699" s="42"/>
      <c r="R699" s="42"/>
      <c r="S699" s="42"/>
      <c r="T699" s="42"/>
      <c r="U699" s="42"/>
      <c r="V699" s="42"/>
      <c r="W699" s="42"/>
      <c r="X699" s="42"/>
      <c r="Y699" s="42"/>
    </row>
    <row r="700" spans="1:25" ht="12.95">
      <c r="A700" s="55"/>
      <c r="B700" s="41"/>
      <c r="C700" s="42"/>
      <c r="D700" s="43"/>
      <c r="E700" s="42"/>
      <c r="F700" s="42"/>
      <c r="G700" s="42"/>
      <c r="H700" s="42"/>
      <c r="I700" s="42"/>
      <c r="J700" s="42"/>
      <c r="K700" s="42"/>
      <c r="L700" s="42"/>
      <c r="M700" s="42"/>
      <c r="N700" s="42"/>
      <c r="O700" s="42"/>
      <c r="P700" s="42"/>
      <c r="Q700" s="42"/>
      <c r="R700" s="42"/>
      <c r="S700" s="42"/>
      <c r="T700" s="42"/>
      <c r="U700" s="42"/>
      <c r="V700" s="42"/>
      <c r="W700" s="42"/>
      <c r="X700" s="42"/>
      <c r="Y700" s="42"/>
    </row>
    <row r="701" spans="1:25" ht="12.95">
      <c r="A701" s="55"/>
      <c r="B701" s="41"/>
      <c r="C701" s="42"/>
      <c r="D701" s="43"/>
      <c r="E701" s="42"/>
      <c r="F701" s="42"/>
      <c r="G701" s="42"/>
      <c r="H701" s="42"/>
      <c r="I701" s="42"/>
      <c r="J701" s="42"/>
      <c r="K701" s="42"/>
      <c r="L701" s="42"/>
      <c r="M701" s="42"/>
      <c r="N701" s="42"/>
      <c r="O701" s="42"/>
      <c r="P701" s="42"/>
      <c r="Q701" s="42"/>
      <c r="R701" s="42"/>
      <c r="S701" s="42"/>
      <c r="T701" s="42"/>
      <c r="U701" s="42"/>
      <c r="V701" s="42"/>
      <c r="W701" s="42"/>
      <c r="X701" s="42"/>
      <c r="Y701" s="42"/>
    </row>
    <row r="702" spans="1:25" ht="12.95">
      <c r="A702" s="55"/>
      <c r="B702" s="41"/>
      <c r="C702" s="42"/>
      <c r="D702" s="43"/>
      <c r="E702" s="42"/>
      <c r="F702" s="42"/>
      <c r="G702" s="42"/>
      <c r="H702" s="42"/>
      <c r="I702" s="42"/>
      <c r="J702" s="42"/>
      <c r="K702" s="42"/>
      <c r="L702" s="42"/>
      <c r="M702" s="42"/>
      <c r="N702" s="42"/>
      <c r="O702" s="42"/>
      <c r="P702" s="42"/>
      <c r="Q702" s="42"/>
      <c r="R702" s="42"/>
      <c r="S702" s="42"/>
      <c r="T702" s="42"/>
      <c r="U702" s="42"/>
      <c r="V702" s="42"/>
      <c r="W702" s="42"/>
      <c r="X702" s="42"/>
      <c r="Y702" s="42"/>
    </row>
    <row r="703" spans="1:25" ht="12.95">
      <c r="A703" s="55"/>
      <c r="B703" s="41"/>
      <c r="C703" s="42"/>
      <c r="D703" s="43"/>
      <c r="E703" s="42"/>
      <c r="F703" s="42"/>
      <c r="G703" s="42"/>
      <c r="H703" s="42"/>
      <c r="I703" s="42"/>
      <c r="J703" s="42"/>
      <c r="K703" s="42"/>
      <c r="L703" s="42"/>
      <c r="M703" s="42"/>
      <c r="N703" s="42"/>
      <c r="O703" s="42"/>
      <c r="P703" s="42"/>
      <c r="Q703" s="42"/>
      <c r="R703" s="42"/>
      <c r="S703" s="42"/>
      <c r="T703" s="42"/>
      <c r="U703" s="42"/>
      <c r="V703" s="42"/>
      <c r="W703" s="42"/>
      <c r="X703" s="42"/>
      <c r="Y703" s="42"/>
    </row>
    <row r="704" spans="1:25" ht="12.95">
      <c r="A704" s="55"/>
      <c r="B704" s="41"/>
      <c r="C704" s="42"/>
      <c r="D704" s="43"/>
      <c r="E704" s="42"/>
      <c r="F704" s="42"/>
      <c r="G704" s="42"/>
      <c r="H704" s="42"/>
      <c r="I704" s="42"/>
      <c r="J704" s="42"/>
      <c r="K704" s="42"/>
      <c r="L704" s="42"/>
      <c r="M704" s="42"/>
      <c r="N704" s="42"/>
      <c r="O704" s="42"/>
      <c r="P704" s="42"/>
      <c r="Q704" s="42"/>
      <c r="R704" s="42"/>
      <c r="S704" s="42"/>
      <c r="T704" s="42"/>
      <c r="U704" s="42"/>
      <c r="V704" s="42"/>
      <c r="W704" s="42"/>
      <c r="X704" s="42"/>
      <c r="Y704" s="42"/>
    </row>
    <row r="705" spans="1:25" ht="12.95">
      <c r="A705" s="55"/>
      <c r="B705" s="41"/>
      <c r="C705" s="42"/>
      <c r="D705" s="43"/>
      <c r="E705" s="42"/>
      <c r="F705" s="42"/>
      <c r="G705" s="42"/>
      <c r="H705" s="42"/>
      <c r="I705" s="42"/>
      <c r="J705" s="42"/>
      <c r="K705" s="42"/>
      <c r="L705" s="42"/>
      <c r="M705" s="42"/>
      <c r="N705" s="42"/>
      <c r="O705" s="42"/>
      <c r="P705" s="42"/>
      <c r="Q705" s="42"/>
      <c r="R705" s="42"/>
      <c r="S705" s="42"/>
      <c r="T705" s="42"/>
      <c r="U705" s="42"/>
      <c r="V705" s="42"/>
      <c r="W705" s="42"/>
      <c r="X705" s="42"/>
      <c r="Y705" s="42"/>
    </row>
    <row r="706" spans="1:25" ht="12.95">
      <c r="A706" s="55"/>
      <c r="B706" s="41"/>
      <c r="C706" s="42"/>
      <c r="D706" s="43"/>
      <c r="E706" s="42"/>
      <c r="F706" s="42"/>
      <c r="G706" s="42"/>
      <c r="H706" s="42"/>
      <c r="I706" s="42"/>
      <c r="J706" s="42"/>
      <c r="K706" s="42"/>
      <c r="L706" s="42"/>
      <c r="M706" s="42"/>
      <c r="N706" s="42"/>
      <c r="O706" s="42"/>
      <c r="P706" s="42"/>
      <c r="Q706" s="42"/>
      <c r="R706" s="42"/>
      <c r="S706" s="42"/>
      <c r="T706" s="42"/>
      <c r="U706" s="42"/>
      <c r="V706" s="42"/>
      <c r="W706" s="42"/>
      <c r="X706" s="42"/>
      <c r="Y706" s="42"/>
    </row>
    <row r="707" spans="1:25" ht="12.95">
      <c r="A707" s="55"/>
      <c r="B707" s="41"/>
      <c r="C707" s="42"/>
      <c r="D707" s="43"/>
      <c r="E707" s="42"/>
      <c r="F707" s="42"/>
      <c r="G707" s="42"/>
      <c r="H707" s="42"/>
      <c r="I707" s="42"/>
      <c r="J707" s="42"/>
      <c r="K707" s="42"/>
      <c r="L707" s="42"/>
      <c r="M707" s="42"/>
      <c r="N707" s="42"/>
      <c r="O707" s="42"/>
      <c r="P707" s="42"/>
      <c r="Q707" s="42"/>
      <c r="R707" s="42"/>
      <c r="S707" s="42"/>
      <c r="T707" s="42"/>
      <c r="U707" s="42"/>
      <c r="V707" s="42"/>
      <c r="W707" s="42"/>
      <c r="X707" s="42"/>
      <c r="Y707" s="42"/>
    </row>
    <row r="708" spans="1:25" ht="12.95">
      <c r="A708" s="55"/>
      <c r="B708" s="41"/>
      <c r="C708" s="42"/>
      <c r="D708" s="43"/>
      <c r="E708" s="42"/>
      <c r="F708" s="42"/>
      <c r="G708" s="42"/>
      <c r="H708" s="42"/>
      <c r="I708" s="42"/>
      <c r="J708" s="42"/>
      <c r="K708" s="42"/>
      <c r="L708" s="42"/>
      <c r="M708" s="42"/>
      <c r="N708" s="42"/>
      <c r="O708" s="42"/>
      <c r="P708" s="42"/>
      <c r="Q708" s="42"/>
      <c r="R708" s="42"/>
      <c r="S708" s="42"/>
      <c r="T708" s="42"/>
      <c r="U708" s="42"/>
      <c r="V708" s="42"/>
      <c r="W708" s="42"/>
      <c r="X708" s="42"/>
      <c r="Y708" s="42"/>
    </row>
    <row r="709" spans="1:25" ht="12.95">
      <c r="A709" s="55"/>
      <c r="B709" s="41"/>
      <c r="C709" s="42"/>
      <c r="D709" s="43"/>
      <c r="E709" s="42"/>
      <c r="F709" s="42"/>
      <c r="G709" s="42"/>
      <c r="H709" s="42"/>
      <c r="I709" s="42"/>
      <c r="J709" s="42"/>
      <c r="K709" s="42"/>
      <c r="L709" s="42"/>
      <c r="M709" s="42"/>
      <c r="N709" s="42"/>
      <c r="O709" s="42"/>
      <c r="P709" s="42"/>
      <c r="Q709" s="42"/>
      <c r="R709" s="42"/>
      <c r="S709" s="42"/>
      <c r="T709" s="42"/>
      <c r="U709" s="42"/>
      <c r="V709" s="42"/>
      <c r="W709" s="42"/>
      <c r="X709" s="42"/>
      <c r="Y709" s="42"/>
    </row>
    <row r="710" spans="1:25" ht="12.95">
      <c r="A710" s="55"/>
      <c r="B710" s="41"/>
      <c r="C710" s="42"/>
      <c r="D710" s="43"/>
      <c r="E710" s="42"/>
      <c r="F710" s="42"/>
      <c r="G710" s="42"/>
      <c r="H710" s="42"/>
      <c r="I710" s="42"/>
      <c r="J710" s="42"/>
      <c r="K710" s="42"/>
      <c r="L710" s="42"/>
      <c r="M710" s="42"/>
      <c r="N710" s="42"/>
      <c r="O710" s="42"/>
      <c r="P710" s="42"/>
      <c r="Q710" s="42"/>
      <c r="R710" s="42"/>
      <c r="S710" s="42"/>
      <c r="T710" s="42"/>
      <c r="U710" s="42"/>
      <c r="V710" s="42"/>
      <c r="W710" s="42"/>
      <c r="X710" s="42"/>
      <c r="Y710" s="42"/>
    </row>
    <row r="711" spans="1:25" ht="12.95">
      <c r="A711" s="55"/>
      <c r="B711" s="41"/>
      <c r="C711" s="42"/>
      <c r="D711" s="43"/>
      <c r="E711" s="42"/>
      <c r="F711" s="42"/>
      <c r="G711" s="42"/>
      <c r="H711" s="42"/>
      <c r="I711" s="42"/>
      <c r="J711" s="42"/>
      <c r="K711" s="42"/>
      <c r="L711" s="42"/>
      <c r="M711" s="42"/>
      <c r="N711" s="42"/>
      <c r="O711" s="42"/>
      <c r="P711" s="42"/>
      <c r="Q711" s="42"/>
      <c r="R711" s="42"/>
      <c r="S711" s="42"/>
      <c r="T711" s="42"/>
      <c r="U711" s="42"/>
      <c r="V711" s="42"/>
      <c r="W711" s="42"/>
      <c r="X711" s="42"/>
      <c r="Y711" s="42"/>
    </row>
    <row r="712" spans="1:25" ht="12.95">
      <c r="A712" s="55"/>
      <c r="B712" s="41"/>
      <c r="C712" s="42"/>
      <c r="D712" s="43"/>
      <c r="E712" s="42"/>
      <c r="F712" s="42"/>
      <c r="G712" s="42"/>
      <c r="H712" s="42"/>
      <c r="I712" s="42"/>
      <c r="J712" s="42"/>
      <c r="K712" s="42"/>
      <c r="L712" s="42"/>
      <c r="M712" s="42"/>
      <c r="N712" s="42"/>
      <c r="O712" s="42"/>
      <c r="P712" s="42"/>
      <c r="Q712" s="42"/>
      <c r="R712" s="42"/>
      <c r="S712" s="42"/>
      <c r="T712" s="42"/>
      <c r="U712" s="42"/>
      <c r="V712" s="42"/>
      <c r="W712" s="42"/>
      <c r="X712" s="42"/>
      <c r="Y712" s="42"/>
    </row>
    <row r="713" spans="1:25" ht="12.95">
      <c r="A713" s="55"/>
      <c r="B713" s="41"/>
      <c r="C713" s="42"/>
      <c r="D713" s="43"/>
      <c r="E713" s="42"/>
      <c r="F713" s="42"/>
      <c r="G713" s="42"/>
      <c r="H713" s="42"/>
      <c r="I713" s="42"/>
      <c r="J713" s="42"/>
      <c r="K713" s="42"/>
      <c r="L713" s="42"/>
      <c r="M713" s="42"/>
      <c r="N713" s="42"/>
      <c r="O713" s="42"/>
      <c r="P713" s="42"/>
      <c r="Q713" s="42"/>
      <c r="R713" s="42"/>
      <c r="S713" s="42"/>
      <c r="T713" s="42"/>
      <c r="U713" s="42"/>
      <c r="V713" s="42"/>
      <c r="W713" s="42"/>
      <c r="X713" s="42"/>
      <c r="Y713" s="42"/>
    </row>
    <row r="714" spans="1:25" ht="12.95">
      <c r="A714" s="55"/>
      <c r="B714" s="41"/>
      <c r="C714" s="42"/>
      <c r="D714" s="43"/>
      <c r="E714" s="42"/>
      <c r="F714" s="42"/>
      <c r="G714" s="42"/>
      <c r="H714" s="42"/>
      <c r="I714" s="42"/>
      <c r="J714" s="42"/>
      <c r="K714" s="42"/>
      <c r="L714" s="42"/>
      <c r="M714" s="42"/>
      <c r="N714" s="42"/>
      <c r="O714" s="42"/>
      <c r="P714" s="42"/>
      <c r="Q714" s="42"/>
      <c r="R714" s="42"/>
      <c r="S714" s="42"/>
      <c r="T714" s="42"/>
      <c r="U714" s="42"/>
      <c r="V714" s="42"/>
      <c r="W714" s="42"/>
      <c r="X714" s="42"/>
      <c r="Y714" s="42"/>
    </row>
    <row r="715" spans="1:25" ht="12.95">
      <c r="A715" s="55"/>
      <c r="B715" s="41"/>
      <c r="C715" s="42"/>
      <c r="D715" s="43"/>
      <c r="E715" s="42"/>
      <c r="F715" s="42"/>
      <c r="G715" s="42"/>
      <c r="H715" s="42"/>
      <c r="I715" s="42"/>
      <c r="J715" s="42"/>
      <c r="K715" s="42"/>
      <c r="L715" s="42"/>
      <c r="M715" s="42"/>
      <c r="N715" s="42"/>
      <c r="O715" s="42"/>
      <c r="P715" s="42"/>
      <c r="Q715" s="42"/>
      <c r="R715" s="42"/>
      <c r="S715" s="42"/>
      <c r="T715" s="42"/>
      <c r="U715" s="42"/>
      <c r="V715" s="42"/>
      <c r="W715" s="42"/>
      <c r="X715" s="42"/>
      <c r="Y715" s="42"/>
    </row>
    <row r="716" spans="1:25" ht="12.95">
      <c r="A716" s="55"/>
      <c r="B716" s="41"/>
      <c r="C716" s="42"/>
      <c r="D716" s="43"/>
      <c r="E716" s="42"/>
      <c r="F716" s="42"/>
      <c r="G716" s="42"/>
      <c r="H716" s="42"/>
      <c r="I716" s="42"/>
      <c r="J716" s="42"/>
      <c r="K716" s="42"/>
      <c r="L716" s="42"/>
      <c r="M716" s="42"/>
      <c r="N716" s="42"/>
      <c r="O716" s="42"/>
      <c r="P716" s="42"/>
      <c r="Q716" s="42"/>
      <c r="R716" s="42"/>
      <c r="S716" s="42"/>
      <c r="T716" s="42"/>
      <c r="U716" s="42"/>
      <c r="V716" s="42"/>
      <c r="W716" s="42"/>
      <c r="X716" s="42"/>
      <c r="Y716" s="42"/>
    </row>
    <row r="717" spans="1:25" ht="12.95">
      <c r="A717" s="55"/>
      <c r="B717" s="41"/>
      <c r="C717" s="42"/>
      <c r="D717" s="43"/>
      <c r="E717" s="42"/>
      <c r="F717" s="42"/>
      <c r="G717" s="42"/>
      <c r="H717" s="42"/>
      <c r="I717" s="42"/>
      <c r="J717" s="42"/>
      <c r="K717" s="42"/>
      <c r="L717" s="42"/>
      <c r="M717" s="42"/>
      <c r="N717" s="42"/>
      <c r="O717" s="42"/>
      <c r="P717" s="42"/>
      <c r="Q717" s="42"/>
      <c r="R717" s="42"/>
      <c r="S717" s="42"/>
      <c r="T717" s="42"/>
      <c r="U717" s="42"/>
      <c r="V717" s="42"/>
      <c r="W717" s="42"/>
      <c r="X717" s="42"/>
      <c r="Y717" s="42"/>
    </row>
    <row r="718" spans="1:25" ht="12.95">
      <c r="A718" s="55"/>
      <c r="B718" s="41"/>
      <c r="C718" s="42"/>
      <c r="D718" s="43"/>
      <c r="E718" s="42"/>
      <c r="F718" s="42"/>
      <c r="G718" s="42"/>
      <c r="H718" s="42"/>
      <c r="I718" s="42"/>
      <c r="J718" s="42"/>
      <c r="K718" s="42"/>
      <c r="L718" s="42"/>
      <c r="M718" s="42"/>
      <c r="N718" s="42"/>
      <c r="O718" s="42"/>
      <c r="P718" s="42"/>
      <c r="Q718" s="42"/>
      <c r="R718" s="42"/>
      <c r="S718" s="42"/>
      <c r="T718" s="42"/>
      <c r="U718" s="42"/>
      <c r="V718" s="42"/>
      <c r="W718" s="42"/>
      <c r="X718" s="42"/>
      <c r="Y718" s="42"/>
    </row>
    <row r="719" spans="1:25" ht="12.95">
      <c r="A719" s="55"/>
      <c r="B719" s="41"/>
      <c r="C719" s="42"/>
      <c r="D719" s="43"/>
      <c r="E719" s="42"/>
      <c r="F719" s="42"/>
      <c r="G719" s="42"/>
      <c r="H719" s="42"/>
      <c r="I719" s="42"/>
      <c r="J719" s="42"/>
      <c r="K719" s="42"/>
      <c r="L719" s="42"/>
      <c r="M719" s="42"/>
      <c r="N719" s="42"/>
      <c r="O719" s="42"/>
      <c r="P719" s="42"/>
      <c r="Q719" s="42"/>
      <c r="R719" s="42"/>
      <c r="S719" s="42"/>
      <c r="T719" s="42"/>
      <c r="U719" s="42"/>
      <c r="V719" s="42"/>
      <c r="W719" s="42"/>
      <c r="X719" s="42"/>
      <c r="Y719" s="42"/>
    </row>
    <row r="720" spans="1:25" ht="12.95">
      <c r="A720" s="55"/>
      <c r="B720" s="41"/>
      <c r="C720" s="42"/>
      <c r="D720" s="43"/>
      <c r="E720" s="42"/>
      <c r="F720" s="42"/>
      <c r="G720" s="42"/>
      <c r="H720" s="42"/>
      <c r="I720" s="42"/>
      <c r="J720" s="42"/>
      <c r="K720" s="42"/>
      <c r="L720" s="42"/>
      <c r="M720" s="42"/>
      <c r="N720" s="42"/>
      <c r="O720" s="42"/>
      <c r="P720" s="42"/>
      <c r="Q720" s="42"/>
      <c r="R720" s="42"/>
      <c r="S720" s="42"/>
      <c r="T720" s="42"/>
      <c r="U720" s="42"/>
      <c r="V720" s="42"/>
      <c r="W720" s="42"/>
      <c r="X720" s="42"/>
      <c r="Y720" s="42"/>
    </row>
    <row r="721" spans="1:25" ht="12.95">
      <c r="A721" s="55"/>
      <c r="B721" s="41"/>
      <c r="C721" s="42"/>
      <c r="D721" s="43"/>
      <c r="E721" s="42"/>
      <c r="F721" s="42"/>
      <c r="G721" s="42"/>
      <c r="H721" s="42"/>
      <c r="I721" s="42"/>
      <c r="J721" s="42"/>
      <c r="K721" s="42"/>
      <c r="L721" s="42"/>
      <c r="M721" s="42"/>
      <c r="N721" s="42"/>
      <c r="O721" s="42"/>
      <c r="P721" s="42"/>
      <c r="Q721" s="42"/>
      <c r="R721" s="42"/>
      <c r="S721" s="42"/>
      <c r="T721" s="42"/>
      <c r="U721" s="42"/>
      <c r="V721" s="42"/>
      <c r="W721" s="42"/>
      <c r="X721" s="42"/>
      <c r="Y721" s="42"/>
    </row>
    <row r="722" spans="1:25" ht="12.95">
      <c r="A722" s="55"/>
      <c r="B722" s="41"/>
      <c r="C722" s="42"/>
      <c r="D722" s="43"/>
      <c r="E722" s="42"/>
      <c r="F722" s="42"/>
      <c r="G722" s="42"/>
      <c r="H722" s="42"/>
      <c r="I722" s="42"/>
      <c r="J722" s="42"/>
      <c r="K722" s="42"/>
      <c r="L722" s="42"/>
      <c r="M722" s="42"/>
      <c r="N722" s="42"/>
      <c r="O722" s="42"/>
      <c r="P722" s="42"/>
      <c r="Q722" s="42"/>
      <c r="R722" s="42"/>
      <c r="S722" s="42"/>
      <c r="T722" s="42"/>
      <c r="U722" s="42"/>
      <c r="V722" s="42"/>
      <c r="W722" s="42"/>
      <c r="X722" s="42"/>
      <c r="Y722" s="42"/>
    </row>
    <row r="723" spans="1:25" ht="12.95">
      <c r="A723" s="55"/>
      <c r="B723" s="41"/>
      <c r="C723" s="42"/>
      <c r="D723" s="43"/>
      <c r="E723" s="42"/>
      <c r="F723" s="42"/>
      <c r="G723" s="42"/>
      <c r="H723" s="42"/>
      <c r="I723" s="42"/>
      <c r="J723" s="42"/>
      <c r="K723" s="42"/>
      <c r="L723" s="42"/>
      <c r="M723" s="42"/>
      <c r="N723" s="42"/>
      <c r="O723" s="42"/>
      <c r="P723" s="42"/>
      <c r="Q723" s="42"/>
      <c r="R723" s="42"/>
      <c r="S723" s="42"/>
      <c r="T723" s="42"/>
      <c r="U723" s="42"/>
      <c r="V723" s="42"/>
      <c r="W723" s="42"/>
      <c r="X723" s="42"/>
      <c r="Y723" s="42"/>
    </row>
    <row r="724" spans="1:25" ht="12.95">
      <c r="A724" s="55"/>
      <c r="B724" s="41"/>
      <c r="C724" s="42"/>
      <c r="D724" s="43"/>
      <c r="E724" s="42"/>
      <c r="F724" s="42"/>
      <c r="G724" s="42"/>
      <c r="H724" s="42"/>
      <c r="I724" s="42"/>
      <c r="J724" s="42"/>
      <c r="K724" s="42"/>
      <c r="L724" s="42"/>
      <c r="M724" s="42"/>
      <c r="N724" s="42"/>
      <c r="O724" s="42"/>
      <c r="P724" s="42"/>
      <c r="Q724" s="42"/>
      <c r="R724" s="42"/>
      <c r="S724" s="42"/>
      <c r="T724" s="42"/>
      <c r="U724" s="42"/>
      <c r="V724" s="42"/>
      <c r="W724" s="42"/>
      <c r="X724" s="42"/>
      <c r="Y724" s="42"/>
    </row>
    <row r="725" spans="1:25" ht="12.95">
      <c r="A725" s="55"/>
      <c r="B725" s="41"/>
      <c r="C725" s="42"/>
      <c r="D725" s="43"/>
      <c r="E725" s="42"/>
      <c r="F725" s="42"/>
      <c r="G725" s="42"/>
      <c r="H725" s="42"/>
      <c r="I725" s="42"/>
      <c r="J725" s="42"/>
      <c r="K725" s="42"/>
      <c r="L725" s="42"/>
      <c r="M725" s="42"/>
      <c r="N725" s="42"/>
      <c r="O725" s="42"/>
      <c r="P725" s="42"/>
      <c r="Q725" s="42"/>
      <c r="R725" s="42"/>
      <c r="S725" s="42"/>
      <c r="T725" s="42"/>
      <c r="U725" s="42"/>
      <c r="V725" s="42"/>
      <c r="W725" s="42"/>
      <c r="X725" s="42"/>
      <c r="Y725" s="42"/>
    </row>
    <row r="726" spans="1:25" ht="12.95">
      <c r="A726" s="55"/>
      <c r="B726" s="41"/>
      <c r="C726" s="42"/>
      <c r="D726" s="43"/>
      <c r="E726" s="42"/>
      <c r="F726" s="42"/>
      <c r="G726" s="42"/>
      <c r="H726" s="42"/>
      <c r="I726" s="42"/>
      <c r="J726" s="42"/>
      <c r="K726" s="42"/>
      <c r="L726" s="42"/>
      <c r="M726" s="42"/>
      <c r="N726" s="42"/>
      <c r="O726" s="42"/>
      <c r="P726" s="42"/>
      <c r="Q726" s="42"/>
      <c r="R726" s="42"/>
      <c r="S726" s="42"/>
      <c r="T726" s="42"/>
      <c r="U726" s="42"/>
      <c r="V726" s="42"/>
      <c r="W726" s="42"/>
      <c r="X726" s="42"/>
      <c r="Y726" s="42"/>
    </row>
    <row r="727" spans="1:25" ht="12.95">
      <c r="A727" s="55"/>
      <c r="B727" s="41"/>
      <c r="C727" s="42"/>
      <c r="D727" s="43"/>
      <c r="E727" s="42"/>
      <c r="F727" s="42"/>
      <c r="G727" s="42"/>
      <c r="H727" s="42"/>
      <c r="I727" s="42"/>
      <c r="J727" s="42"/>
      <c r="K727" s="42"/>
      <c r="L727" s="42"/>
      <c r="M727" s="42"/>
      <c r="N727" s="42"/>
      <c r="O727" s="42"/>
      <c r="P727" s="42"/>
      <c r="Q727" s="42"/>
      <c r="R727" s="42"/>
      <c r="S727" s="42"/>
      <c r="T727" s="42"/>
      <c r="U727" s="42"/>
      <c r="V727" s="42"/>
      <c r="W727" s="42"/>
      <c r="X727" s="42"/>
      <c r="Y727" s="42"/>
    </row>
    <row r="728" spans="1:25" ht="12.95">
      <c r="A728" s="55"/>
      <c r="B728" s="41"/>
      <c r="C728" s="42"/>
      <c r="D728" s="43"/>
      <c r="E728" s="42"/>
      <c r="F728" s="42"/>
      <c r="G728" s="42"/>
      <c r="H728" s="42"/>
      <c r="I728" s="42"/>
      <c r="J728" s="42"/>
      <c r="K728" s="42"/>
      <c r="L728" s="42"/>
      <c r="M728" s="42"/>
      <c r="N728" s="42"/>
      <c r="O728" s="42"/>
      <c r="P728" s="42"/>
      <c r="Q728" s="42"/>
      <c r="R728" s="42"/>
      <c r="S728" s="42"/>
      <c r="T728" s="42"/>
      <c r="U728" s="42"/>
      <c r="V728" s="42"/>
      <c r="W728" s="42"/>
      <c r="X728" s="42"/>
      <c r="Y728" s="42"/>
    </row>
    <row r="729" spans="1:25" ht="12.95">
      <c r="A729" s="55"/>
      <c r="B729" s="41"/>
      <c r="C729" s="42"/>
      <c r="D729" s="43"/>
      <c r="E729" s="42"/>
      <c r="F729" s="42"/>
      <c r="G729" s="42"/>
      <c r="H729" s="42"/>
      <c r="I729" s="42"/>
      <c r="J729" s="42"/>
      <c r="K729" s="42"/>
      <c r="L729" s="42"/>
      <c r="M729" s="42"/>
      <c r="N729" s="42"/>
      <c r="O729" s="42"/>
      <c r="P729" s="42"/>
      <c r="Q729" s="42"/>
      <c r="R729" s="42"/>
      <c r="S729" s="42"/>
      <c r="T729" s="42"/>
      <c r="U729" s="42"/>
      <c r="V729" s="42"/>
      <c r="W729" s="42"/>
      <c r="X729" s="42"/>
      <c r="Y729" s="42"/>
    </row>
    <row r="730" spans="1:25" ht="12.95">
      <c r="A730" s="55"/>
      <c r="B730" s="41"/>
      <c r="C730" s="42"/>
      <c r="D730" s="43"/>
      <c r="E730" s="42"/>
      <c r="F730" s="42"/>
      <c r="G730" s="42"/>
      <c r="H730" s="42"/>
      <c r="I730" s="42"/>
      <c r="J730" s="42"/>
      <c r="K730" s="42"/>
      <c r="L730" s="42"/>
      <c r="M730" s="42"/>
      <c r="N730" s="42"/>
      <c r="O730" s="42"/>
      <c r="P730" s="42"/>
      <c r="Q730" s="42"/>
      <c r="R730" s="42"/>
      <c r="S730" s="42"/>
      <c r="T730" s="42"/>
      <c r="U730" s="42"/>
      <c r="V730" s="42"/>
      <c r="W730" s="42"/>
      <c r="X730" s="42"/>
      <c r="Y730" s="42"/>
    </row>
    <row r="731" spans="1:25" ht="12.95">
      <c r="A731" s="55"/>
      <c r="B731" s="41"/>
      <c r="C731" s="42"/>
      <c r="D731" s="43"/>
      <c r="E731" s="42"/>
      <c r="F731" s="42"/>
      <c r="G731" s="42"/>
      <c r="H731" s="42"/>
      <c r="I731" s="42"/>
      <c r="J731" s="42"/>
      <c r="K731" s="42"/>
      <c r="L731" s="42"/>
      <c r="M731" s="42"/>
      <c r="N731" s="42"/>
      <c r="O731" s="42"/>
      <c r="P731" s="42"/>
      <c r="Q731" s="42"/>
      <c r="R731" s="42"/>
      <c r="S731" s="42"/>
      <c r="T731" s="42"/>
      <c r="U731" s="42"/>
      <c r="V731" s="42"/>
      <c r="W731" s="42"/>
      <c r="X731" s="42"/>
      <c r="Y731" s="42"/>
    </row>
    <row r="732" spans="1:25" ht="12.95">
      <c r="A732" s="55"/>
      <c r="B732" s="41"/>
      <c r="C732" s="42"/>
      <c r="D732" s="43"/>
      <c r="E732" s="42"/>
      <c r="F732" s="42"/>
      <c r="G732" s="42"/>
      <c r="H732" s="42"/>
      <c r="I732" s="42"/>
      <c r="J732" s="42"/>
      <c r="K732" s="42"/>
      <c r="L732" s="42"/>
      <c r="M732" s="42"/>
      <c r="N732" s="42"/>
      <c r="O732" s="42"/>
      <c r="P732" s="42"/>
      <c r="Q732" s="42"/>
      <c r="R732" s="42"/>
      <c r="S732" s="42"/>
      <c r="T732" s="42"/>
      <c r="U732" s="42"/>
      <c r="V732" s="42"/>
      <c r="W732" s="42"/>
      <c r="X732" s="42"/>
      <c r="Y732" s="42"/>
    </row>
    <row r="733" spans="1:25" ht="12.95">
      <c r="A733" s="55"/>
      <c r="B733" s="41"/>
      <c r="C733" s="42"/>
      <c r="D733" s="43"/>
      <c r="E733" s="42"/>
      <c r="F733" s="42"/>
      <c r="G733" s="42"/>
      <c r="H733" s="42"/>
      <c r="I733" s="42"/>
      <c r="J733" s="42"/>
      <c r="K733" s="42"/>
      <c r="L733" s="42"/>
      <c r="M733" s="42"/>
      <c r="N733" s="42"/>
      <c r="O733" s="42"/>
      <c r="P733" s="42"/>
      <c r="Q733" s="42"/>
      <c r="R733" s="42"/>
      <c r="S733" s="42"/>
      <c r="T733" s="42"/>
      <c r="U733" s="42"/>
      <c r="V733" s="42"/>
      <c r="W733" s="42"/>
      <c r="X733" s="42"/>
      <c r="Y733" s="42"/>
    </row>
    <row r="734" spans="1:25" ht="12.95">
      <c r="A734" s="55"/>
      <c r="B734" s="41"/>
      <c r="C734" s="42"/>
      <c r="D734" s="43"/>
      <c r="E734" s="42"/>
      <c r="F734" s="42"/>
      <c r="G734" s="42"/>
      <c r="H734" s="42"/>
      <c r="I734" s="42"/>
      <c r="J734" s="42"/>
      <c r="K734" s="42"/>
      <c r="L734" s="42"/>
      <c r="M734" s="42"/>
      <c r="N734" s="42"/>
      <c r="O734" s="42"/>
      <c r="P734" s="42"/>
      <c r="Q734" s="42"/>
      <c r="R734" s="42"/>
      <c r="S734" s="42"/>
      <c r="T734" s="42"/>
      <c r="U734" s="42"/>
      <c r="V734" s="42"/>
      <c r="W734" s="42"/>
      <c r="X734" s="42"/>
      <c r="Y734" s="42"/>
    </row>
    <row r="735" spans="1:25" ht="12.95">
      <c r="A735" s="55"/>
      <c r="B735" s="41"/>
      <c r="C735" s="42"/>
      <c r="D735" s="43"/>
      <c r="E735" s="42"/>
      <c r="F735" s="42"/>
      <c r="G735" s="42"/>
      <c r="H735" s="42"/>
      <c r="I735" s="42"/>
      <c r="J735" s="42"/>
      <c r="K735" s="42"/>
      <c r="L735" s="42"/>
      <c r="M735" s="42"/>
      <c r="N735" s="42"/>
      <c r="O735" s="42"/>
      <c r="P735" s="42"/>
      <c r="Q735" s="42"/>
      <c r="R735" s="42"/>
      <c r="S735" s="42"/>
      <c r="T735" s="42"/>
      <c r="U735" s="42"/>
      <c r="V735" s="42"/>
      <c r="W735" s="42"/>
      <c r="X735" s="42"/>
      <c r="Y735" s="42"/>
    </row>
    <row r="736" spans="1:25" ht="12.95">
      <c r="A736" s="55"/>
      <c r="B736" s="41"/>
      <c r="C736" s="42"/>
      <c r="D736" s="43"/>
      <c r="E736" s="42"/>
      <c r="F736" s="42"/>
      <c r="G736" s="42"/>
      <c r="H736" s="42"/>
      <c r="I736" s="42"/>
      <c r="J736" s="42"/>
      <c r="K736" s="42"/>
      <c r="L736" s="42"/>
      <c r="M736" s="42"/>
      <c r="N736" s="42"/>
      <c r="O736" s="42"/>
      <c r="P736" s="42"/>
      <c r="Q736" s="42"/>
      <c r="R736" s="42"/>
      <c r="S736" s="42"/>
      <c r="T736" s="42"/>
      <c r="U736" s="42"/>
      <c r="V736" s="42"/>
      <c r="W736" s="42"/>
      <c r="X736" s="42"/>
      <c r="Y736" s="42"/>
    </row>
    <row r="737" spans="1:25" ht="12.95">
      <c r="A737" s="55"/>
      <c r="B737" s="41"/>
      <c r="C737" s="42"/>
      <c r="D737" s="43"/>
      <c r="E737" s="42"/>
      <c r="F737" s="42"/>
      <c r="G737" s="42"/>
      <c r="H737" s="42"/>
      <c r="I737" s="42"/>
      <c r="J737" s="42"/>
      <c r="K737" s="42"/>
      <c r="L737" s="42"/>
      <c r="M737" s="42"/>
      <c r="N737" s="42"/>
      <c r="O737" s="42"/>
      <c r="P737" s="42"/>
      <c r="Q737" s="42"/>
      <c r="R737" s="42"/>
      <c r="S737" s="42"/>
      <c r="T737" s="42"/>
      <c r="U737" s="42"/>
      <c r="V737" s="42"/>
      <c r="W737" s="42"/>
      <c r="X737" s="42"/>
      <c r="Y737" s="42"/>
    </row>
    <row r="738" spans="1:25" ht="12.95">
      <c r="A738" s="55"/>
      <c r="B738" s="41"/>
      <c r="C738" s="42"/>
      <c r="D738" s="43"/>
      <c r="E738" s="42"/>
      <c r="F738" s="42"/>
      <c r="G738" s="42"/>
      <c r="H738" s="42"/>
      <c r="I738" s="42"/>
      <c r="J738" s="42"/>
      <c r="K738" s="42"/>
      <c r="L738" s="42"/>
      <c r="M738" s="42"/>
      <c r="N738" s="42"/>
      <c r="O738" s="42"/>
      <c r="P738" s="42"/>
      <c r="Q738" s="42"/>
      <c r="R738" s="42"/>
      <c r="S738" s="42"/>
      <c r="T738" s="42"/>
      <c r="U738" s="42"/>
      <c r="V738" s="42"/>
      <c r="W738" s="42"/>
      <c r="X738" s="42"/>
      <c r="Y738" s="42"/>
    </row>
    <row r="739" spans="1:25" ht="12.95">
      <c r="A739" s="55"/>
      <c r="B739" s="41"/>
      <c r="C739" s="42"/>
      <c r="D739" s="43"/>
      <c r="E739" s="42"/>
      <c r="F739" s="42"/>
      <c r="G739" s="42"/>
      <c r="H739" s="42"/>
      <c r="I739" s="42"/>
      <c r="J739" s="42"/>
      <c r="K739" s="42"/>
      <c r="L739" s="42"/>
      <c r="M739" s="42"/>
      <c r="N739" s="42"/>
      <c r="O739" s="42"/>
      <c r="P739" s="42"/>
      <c r="Q739" s="42"/>
      <c r="R739" s="42"/>
      <c r="S739" s="42"/>
      <c r="T739" s="42"/>
      <c r="U739" s="42"/>
      <c r="V739" s="42"/>
      <c r="W739" s="42"/>
      <c r="X739" s="42"/>
      <c r="Y739" s="42"/>
    </row>
    <row r="740" spans="1:25" ht="12.95">
      <c r="A740" s="55"/>
      <c r="B740" s="41"/>
      <c r="C740" s="42"/>
      <c r="D740" s="43"/>
      <c r="E740" s="42"/>
      <c r="F740" s="42"/>
      <c r="G740" s="42"/>
      <c r="H740" s="42"/>
      <c r="I740" s="42"/>
      <c r="J740" s="42"/>
      <c r="K740" s="42"/>
      <c r="L740" s="42"/>
      <c r="M740" s="42"/>
      <c r="N740" s="42"/>
      <c r="O740" s="42"/>
      <c r="P740" s="42"/>
      <c r="Q740" s="42"/>
      <c r="R740" s="42"/>
      <c r="S740" s="42"/>
      <c r="T740" s="42"/>
      <c r="U740" s="42"/>
      <c r="V740" s="42"/>
      <c r="W740" s="42"/>
      <c r="X740" s="42"/>
      <c r="Y740" s="42"/>
    </row>
    <row r="741" spans="1:25" ht="12.95">
      <c r="A741" s="55"/>
      <c r="B741" s="41"/>
      <c r="C741" s="42"/>
      <c r="D741" s="43"/>
      <c r="E741" s="42"/>
      <c r="F741" s="42"/>
      <c r="G741" s="42"/>
      <c r="H741" s="42"/>
      <c r="I741" s="42"/>
      <c r="J741" s="42"/>
      <c r="K741" s="42"/>
      <c r="L741" s="42"/>
      <c r="M741" s="42"/>
      <c r="N741" s="42"/>
      <c r="O741" s="42"/>
      <c r="P741" s="42"/>
      <c r="Q741" s="42"/>
      <c r="R741" s="42"/>
      <c r="S741" s="42"/>
      <c r="T741" s="42"/>
      <c r="U741" s="42"/>
      <c r="V741" s="42"/>
      <c r="W741" s="42"/>
      <c r="X741" s="42"/>
      <c r="Y741" s="42"/>
    </row>
    <row r="742" spans="1:25" ht="12.95">
      <c r="A742" s="55"/>
      <c r="B742" s="41"/>
      <c r="C742" s="42"/>
      <c r="D742" s="43"/>
      <c r="E742" s="42"/>
      <c r="F742" s="42"/>
      <c r="G742" s="42"/>
      <c r="H742" s="42"/>
      <c r="I742" s="42"/>
      <c r="J742" s="42"/>
      <c r="K742" s="42"/>
      <c r="L742" s="42"/>
      <c r="M742" s="42"/>
      <c r="N742" s="42"/>
      <c r="O742" s="42"/>
      <c r="P742" s="42"/>
      <c r="Q742" s="42"/>
      <c r="R742" s="42"/>
      <c r="S742" s="42"/>
      <c r="T742" s="42"/>
      <c r="U742" s="42"/>
      <c r="V742" s="42"/>
      <c r="W742" s="42"/>
      <c r="X742" s="42"/>
      <c r="Y742" s="42"/>
    </row>
    <row r="743" spans="1:25" ht="12.95">
      <c r="A743" s="55"/>
      <c r="B743" s="41"/>
      <c r="C743" s="42"/>
      <c r="D743" s="43"/>
      <c r="E743" s="42"/>
      <c r="F743" s="42"/>
      <c r="G743" s="42"/>
      <c r="H743" s="42"/>
      <c r="I743" s="42"/>
      <c r="J743" s="42"/>
      <c r="K743" s="42"/>
      <c r="L743" s="42"/>
      <c r="M743" s="42"/>
      <c r="N743" s="42"/>
      <c r="O743" s="42"/>
      <c r="P743" s="42"/>
      <c r="Q743" s="42"/>
      <c r="R743" s="42"/>
      <c r="S743" s="42"/>
      <c r="T743" s="42"/>
      <c r="U743" s="42"/>
      <c r="V743" s="42"/>
      <c r="W743" s="42"/>
      <c r="X743" s="42"/>
      <c r="Y743" s="42"/>
    </row>
    <row r="744" spans="1:25" ht="12.95">
      <c r="A744" s="55"/>
      <c r="B744" s="41"/>
      <c r="C744" s="42"/>
      <c r="D744" s="43"/>
      <c r="E744" s="42"/>
      <c r="F744" s="42"/>
      <c r="G744" s="42"/>
      <c r="H744" s="42"/>
      <c r="I744" s="42"/>
      <c r="J744" s="42"/>
      <c r="K744" s="42"/>
      <c r="L744" s="42"/>
      <c r="M744" s="42"/>
      <c r="N744" s="42"/>
      <c r="O744" s="42"/>
      <c r="P744" s="42"/>
      <c r="Q744" s="42"/>
      <c r="R744" s="42"/>
      <c r="S744" s="42"/>
      <c r="T744" s="42"/>
      <c r="U744" s="42"/>
      <c r="V744" s="42"/>
      <c r="W744" s="42"/>
      <c r="X744" s="42"/>
      <c r="Y744" s="42"/>
    </row>
    <row r="745" spans="1:25" ht="12.95">
      <c r="A745" s="55"/>
      <c r="B745" s="41"/>
      <c r="C745" s="42"/>
      <c r="D745" s="43"/>
      <c r="E745" s="42"/>
      <c r="F745" s="42"/>
      <c r="G745" s="42"/>
      <c r="H745" s="42"/>
      <c r="I745" s="42"/>
      <c r="J745" s="42"/>
      <c r="K745" s="42"/>
      <c r="L745" s="42"/>
      <c r="M745" s="42"/>
      <c r="N745" s="42"/>
      <c r="O745" s="42"/>
      <c r="P745" s="42"/>
      <c r="Q745" s="42"/>
      <c r="R745" s="42"/>
      <c r="S745" s="42"/>
      <c r="T745" s="42"/>
      <c r="U745" s="42"/>
      <c r="V745" s="42"/>
      <c r="W745" s="42"/>
      <c r="X745" s="42"/>
      <c r="Y745" s="42"/>
    </row>
    <row r="746" spans="1:25" ht="12.95">
      <c r="A746" s="55"/>
      <c r="B746" s="41"/>
      <c r="C746" s="42"/>
      <c r="D746" s="43"/>
      <c r="E746" s="42"/>
      <c r="F746" s="42"/>
      <c r="G746" s="42"/>
      <c r="H746" s="42"/>
      <c r="I746" s="42"/>
      <c r="J746" s="42"/>
      <c r="K746" s="42"/>
      <c r="L746" s="42"/>
      <c r="M746" s="42"/>
      <c r="N746" s="42"/>
      <c r="O746" s="42"/>
      <c r="P746" s="42"/>
      <c r="Q746" s="42"/>
      <c r="R746" s="42"/>
      <c r="S746" s="42"/>
      <c r="T746" s="42"/>
      <c r="U746" s="42"/>
      <c r="V746" s="42"/>
      <c r="W746" s="42"/>
      <c r="X746" s="42"/>
      <c r="Y746" s="42"/>
    </row>
    <row r="747" spans="1:25" ht="12.95">
      <c r="A747" s="55"/>
      <c r="B747" s="41"/>
      <c r="C747" s="42"/>
      <c r="D747" s="43"/>
      <c r="E747" s="42"/>
      <c r="F747" s="42"/>
      <c r="G747" s="42"/>
      <c r="H747" s="42"/>
      <c r="I747" s="42"/>
      <c r="J747" s="42"/>
      <c r="K747" s="42"/>
      <c r="L747" s="42"/>
      <c r="M747" s="42"/>
      <c r="N747" s="42"/>
      <c r="O747" s="42"/>
      <c r="P747" s="42"/>
      <c r="Q747" s="42"/>
      <c r="R747" s="42"/>
      <c r="S747" s="42"/>
      <c r="T747" s="42"/>
      <c r="U747" s="42"/>
      <c r="V747" s="42"/>
      <c r="W747" s="42"/>
      <c r="X747" s="42"/>
      <c r="Y747" s="42"/>
    </row>
    <row r="748" spans="1:25" ht="12.95">
      <c r="A748" s="55"/>
      <c r="B748" s="41"/>
      <c r="C748" s="42"/>
      <c r="D748" s="43"/>
      <c r="E748" s="42"/>
      <c r="F748" s="42"/>
      <c r="G748" s="42"/>
      <c r="H748" s="42"/>
      <c r="I748" s="42"/>
      <c r="J748" s="42"/>
      <c r="K748" s="42"/>
      <c r="L748" s="42"/>
      <c r="M748" s="42"/>
      <c r="N748" s="42"/>
      <c r="O748" s="42"/>
      <c r="P748" s="42"/>
      <c r="Q748" s="42"/>
      <c r="R748" s="42"/>
      <c r="S748" s="42"/>
      <c r="T748" s="42"/>
      <c r="U748" s="42"/>
      <c r="V748" s="42"/>
      <c r="W748" s="42"/>
      <c r="X748" s="42"/>
      <c r="Y748" s="42"/>
    </row>
    <row r="749" spans="1:25" ht="12.95">
      <c r="A749" s="55"/>
      <c r="B749" s="41"/>
      <c r="C749" s="42"/>
      <c r="D749" s="43"/>
      <c r="E749" s="42"/>
      <c r="F749" s="42"/>
      <c r="G749" s="42"/>
      <c r="H749" s="42"/>
      <c r="I749" s="42"/>
      <c r="J749" s="42"/>
      <c r="K749" s="42"/>
      <c r="L749" s="42"/>
      <c r="M749" s="42"/>
      <c r="N749" s="42"/>
      <c r="O749" s="42"/>
      <c r="P749" s="42"/>
      <c r="Q749" s="42"/>
      <c r="R749" s="42"/>
      <c r="S749" s="42"/>
      <c r="T749" s="42"/>
      <c r="U749" s="42"/>
      <c r="V749" s="42"/>
      <c r="W749" s="42"/>
      <c r="X749" s="42"/>
      <c r="Y749" s="42"/>
    </row>
    <row r="750" spans="1:25" ht="12.95">
      <c r="A750" s="55"/>
      <c r="B750" s="41"/>
      <c r="C750" s="42"/>
      <c r="D750" s="43"/>
      <c r="E750" s="42"/>
      <c r="F750" s="42"/>
      <c r="G750" s="42"/>
      <c r="H750" s="42"/>
      <c r="I750" s="42"/>
      <c r="J750" s="42"/>
      <c r="K750" s="42"/>
      <c r="L750" s="42"/>
      <c r="M750" s="42"/>
      <c r="N750" s="42"/>
      <c r="O750" s="42"/>
      <c r="P750" s="42"/>
      <c r="Q750" s="42"/>
      <c r="R750" s="42"/>
      <c r="S750" s="42"/>
      <c r="T750" s="42"/>
      <c r="U750" s="42"/>
      <c r="V750" s="42"/>
      <c r="W750" s="42"/>
      <c r="X750" s="42"/>
      <c r="Y750" s="42"/>
    </row>
    <row r="751" spans="1:25" ht="12.95">
      <c r="A751" s="55"/>
      <c r="B751" s="41"/>
      <c r="C751" s="42"/>
      <c r="D751" s="43"/>
      <c r="E751" s="42"/>
      <c r="F751" s="42"/>
      <c r="G751" s="42"/>
      <c r="H751" s="42"/>
      <c r="I751" s="42"/>
      <c r="J751" s="42"/>
      <c r="K751" s="42"/>
      <c r="L751" s="42"/>
      <c r="M751" s="42"/>
      <c r="N751" s="42"/>
      <c r="O751" s="42"/>
      <c r="P751" s="42"/>
      <c r="Q751" s="42"/>
      <c r="R751" s="42"/>
      <c r="S751" s="42"/>
      <c r="T751" s="42"/>
      <c r="U751" s="42"/>
      <c r="V751" s="42"/>
      <c r="W751" s="42"/>
      <c r="X751" s="42"/>
      <c r="Y751" s="42"/>
    </row>
    <row r="752" spans="1:25" ht="12.95">
      <c r="A752" s="55"/>
      <c r="B752" s="41"/>
      <c r="C752" s="42"/>
      <c r="D752" s="43"/>
      <c r="E752" s="42"/>
      <c r="F752" s="42"/>
      <c r="G752" s="42"/>
      <c r="H752" s="42"/>
      <c r="I752" s="42"/>
      <c r="J752" s="42"/>
      <c r="K752" s="42"/>
      <c r="L752" s="42"/>
      <c r="M752" s="42"/>
      <c r="N752" s="42"/>
      <c r="O752" s="42"/>
      <c r="P752" s="42"/>
      <c r="Q752" s="42"/>
      <c r="R752" s="42"/>
      <c r="S752" s="42"/>
      <c r="T752" s="42"/>
      <c r="U752" s="42"/>
      <c r="V752" s="42"/>
      <c r="W752" s="42"/>
      <c r="X752" s="42"/>
      <c r="Y752" s="42"/>
    </row>
    <row r="753" spans="1:25" ht="12.95">
      <c r="A753" s="55"/>
      <c r="B753" s="41"/>
      <c r="C753" s="42"/>
      <c r="D753" s="43"/>
      <c r="E753" s="42"/>
      <c r="F753" s="42"/>
      <c r="G753" s="42"/>
      <c r="H753" s="42"/>
      <c r="I753" s="42"/>
      <c r="J753" s="42"/>
      <c r="K753" s="42"/>
      <c r="L753" s="42"/>
      <c r="M753" s="42"/>
      <c r="N753" s="42"/>
      <c r="O753" s="42"/>
      <c r="P753" s="42"/>
      <c r="Q753" s="42"/>
      <c r="R753" s="42"/>
      <c r="S753" s="42"/>
      <c r="T753" s="42"/>
      <c r="U753" s="42"/>
      <c r="V753" s="42"/>
      <c r="W753" s="42"/>
      <c r="X753" s="42"/>
      <c r="Y753" s="42"/>
    </row>
    <row r="754" spans="1:25" ht="12.95">
      <c r="A754" s="55"/>
      <c r="B754" s="41"/>
      <c r="C754" s="42"/>
      <c r="D754" s="43"/>
      <c r="E754" s="42"/>
      <c r="F754" s="42"/>
      <c r="G754" s="42"/>
      <c r="H754" s="42"/>
      <c r="I754" s="42"/>
      <c r="J754" s="42"/>
      <c r="K754" s="42"/>
      <c r="L754" s="42"/>
      <c r="M754" s="42"/>
      <c r="N754" s="42"/>
      <c r="O754" s="42"/>
      <c r="P754" s="42"/>
      <c r="Q754" s="42"/>
      <c r="R754" s="42"/>
      <c r="S754" s="42"/>
      <c r="T754" s="42"/>
      <c r="U754" s="42"/>
      <c r="V754" s="42"/>
      <c r="W754" s="42"/>
      <c r="X754" s="42"/>
      <c r="Y754" s="42"/>
    </row>
    <row r="755" spans="1:25" ht="12.95">
      <c r="A755" s="55"/>
      <c r="B755" s="41"/>
      <c r="C755" s="42"/>
      <c r="D755" s="43"/>
      <c r="E755" s="42"/>
      <c r="F755" s="42"/>
      <c r="G755" s="42"/>
      <c r="H755" s="42"/>
      <c r="I755" s="42"/>
      <c r="J755" s="42"/>
      <c r="K755" s="42"/>
      <c r="L755" s="42"/>
      <c r="M755" s="42"/>
      <c r="N755" s="42"/>
      <c r="O755" s="42"/>
      <c r="P755" s="42"/>
      <c r="Q755" s="42"/>
      <c r="R755" s="42"/>
      <c r="S755" s="42"/>
      <c r="T755" s="42"/>
      <c r="U755" s="42"/>
      <c r="V755" s="42"/>
      <c r="W755" s="42"/>
      <c r="X755" s="42"/>
      <c r="Y755" s="42"/>
    </row>
    <row r="756" spans="1:25" ht="12.95">
      <c r="A756" s="55"/>
      <c r="B756" s="41"/>
      <c r="C756" s="42"/>
      <c r="D756" s="43"/>
      <c r="E756" s="42"/>
      <c r="F756" s="42"/>
      <c r="G756" s="42"/>
      <c r="H756" s="42"/>
      <c r="I756" s="42"/>
      <c r="J756" s="42"/>
      <c r="K756" s="42"/>
      <c r="L756" s="42"/>
      <c r="M756" s="42"/>
      <c r="N756" s="42"/>
      <c r="O756" s="42"/>
      <c r="P756" s="42"/>
      <c r="Q756" s="42"/>
      <c r="R756" s="42"/>
      <c r="S756" s="42"/>
      <c r="T756" s="42"/>
      <c r="U756" s="42"/>
      <c r="V756" s="42"/>
      <c r="W756" s="42"/>
      <c r="X756" s="42"/>
      <c r="Y756" s="42"/>
    </row>
    <row r="757" spans="1:25" ht="12.95">
      <c r="A757" s="55"/>
      <c r="B757" s="41"/>
      <c r="C757" s="42"/>
      <c r="D757" s="43"/>
      <c r="E757" s="42"/>
      <c r="F757" s="42"/>
      <c r="G757" s="42"/>
      <c r="H757" s="42"/>
      <c r="I757" s="42"/>
      <c r="J757" s="42"/>
      <c r="K757" s="42"/>
      <c r="L757" s="42"/>
      <c r="M757" s="42"/>
      <c r="N757" s="42"/>
      <c r="O757" s="42"/>
      <c r="P757" s="42"/>
      <c r="Q757" s="42"/>
      <c r="R757" s="42"/>
      <c r="S757" s="42"/>
      <c r="T757" s="42"/>
      <c r="U757" s="42"/>
      <c r="V757" s="42"/>
      <c r="W757" s="42"/>
      <c r="X757" s="42"/>
      <c r="Y757" s="42"/>
    </row>
    <row r="758" spans="1:25" ht="12.95">
      <c r="A758" s="55"/>
      <c r="B758" s="41"/>
      <c r="C758" s="42"/>
      <c r="D758" s="43"/>
      <c r="E758" s="42"/>
      <c r="F758" s="42"/>
      <c r="G758" s="42"/>
      <c r="H758" s="42"/>
      <c r="I758" s="42"/>
      <c r="J758" s="42"/>
      <c r="K758" s="42"/>
      <c r="L758" s="42"/>
      <c r="M758" s="42"/>
      <c r="N758" s="42"/>
      <c r="O758" s="42"/>
      <c r="P758" s="42"/>
      <c r="Q758" s="42"/>
      <c r="R758" s="42"/>
      <c r="S758" s="42"/>
      <c r="T758" s="42"/>
      <c r="U758" s="42"/>
      <c r="V758" s="42"/>
      <c r="W758" s="42"/>
      <c r="X758" s="42"/>
      <c r="Y758" s="42"/>
    </row>
    <row r="759" spans="1:25" ht="12.95">
      <c r="A759" s="55"/>
      <c r="B759" s="41"/>
      <c r="C759" s="42"/>
      <c r="D759" s="43"/>
      <c r="E759" s="42"/>
      <c r="F759" s="42"/>
      <c r="G759" s="42"/>
      <c r="H759" s="42"/>
      <c r="I759" s="42"/>
      <c r="J759" s="42"/>
      <c r="K759" s="42"/>
      <c r="L759" s="42"/>
      <c r="M759" s="42"/>
      <c r="N759" s="42"/>
      <c r="O759" s="42"/>
      <c r="P759" s="42"/>
      <c r="Q759" s="42"/>
      <c r="R759" s="42"/>
      <c r="S759" s="42"/>
      <c r="T759" s="42"/>
      <c r="U759" s="42"/>
      <c r="V759" s="42"/>
      <c r="W759" s="42"/>
      <c r="X759" s="42"/>
      <c r="Y759" s="42"/>
    </row>
    <row r="760" spans="1:25" ht="12.95">
      <c r="A760" s="55"/>
      <c r="B760" s="41"/>
      <c r="C760" s="42"/>
      <c r="D760" s="43"/>
      <c r="E760" s="42"/>
      <c r="F760" s="42"/>
      <c r="G760" s="42"/>
      <c r="H760" s="42"/>
      <c r="I760" s="42"/>
      <c r="J760" s="42"/>
      <c r="K760" s="42"/>
      <c r="L760" s="42"/>
      <c r="M760" s="42"/>
      <c r="N760" s="42"/>
      <c r="O760" s="42"/>
      <c r="P760" s="42"/>
      <c r="Q760" s="42"/>
      <c r="R760" s="42"/>
      <c r="S760" s="42"/>
      <c r="T760" s="42"/>
      <c r="U760" s="42"/>
      <c r="V760" s="42"/>
      <c r="W760" s="42"/>
      <c r="X760" s="42"/>
      <c r="Y760" s="42"/>
    </row>
    <row r="761" spans="1:25" ht="12.95">
      <c r="A761" s="55"/>
      <c r="B761" s="41"/>
      <c r="C761" s="42"/>
      <c r="D761" s="43"/>
      <c r="E761" s="42"/>
      <c r="F761" s="42"/>
      <c r="G761" s="42"/>
      <c r="H761" s="42"/>
      <c r="I761" s="42"/>
      <c r="J761" s="42"/>
      <c r="K761" s="42"/>
      <c r="L761" s="42"/>
      <c r="M761" s="42"/>
      <c r="N761" s="42"/>
      <c r="O761" s="42"/>
      <c r="P761" s="42"/>
      <c r="Q761" s="42"/>
      <c r="R761" s="42"/>
      <c r="S761" s="42"/>
      <c r="T761" s="42"/>
      <c r="U761" s="42"/>
      <c r="V761" s="42"/>
      <c r="W761" s="42"/>
      <c r="X761" s="42"/>
      <c r="Y761" s="42"/>
    </row>
    <row r="762" spans="1:25" ht="12.95">
      <c r="A762" s="55"/>
      <c r="B762" s="41"/>
      <c r="C762" s="42"/>
      <c r="D762" s="43"/>
      <c r="E762" s="42"/>
      <c r="F762" s="42"/>
      <c r="G762" s="42"/>
      <c r="H762" s="42"/>
      <c r="I762" s="42"/>
      <c r="J762" s="42"/>
      <c r="K762" s="42"/>
      <c r="L762" s="42"/>
      <c r="M762" s="42"/>
      <c r="N762" s="42"/>
      <c r="O762" s="42"/>
      <c r="P762" s="42"/>
      <c r="Q762" s="42"/>
      <c r="R762" s="42"/>
      <c r="S762" s="42"/>
      <c r="T762" s="42"/>
      <c r="U762" s="42"/>
      <c r="V762" s="42"/>
      <c r="W762" s="42"/>
      <c r="X762" s="42"/>
      <c r="Y762" s="42"/>
    </row>
    <row r="763" spans="1:25" ht="12.95">
      <c r="A763" s="55"/>
      <c r="B763" s="41"/>
      <c r="C763" s="42"/>
      <c r="D763" s="43"/>
      <c r="E763" s="42"/>
      <c r="F763" s="42"/>
      <c r="G763" s="42"/>
      <c r="H763" s="42"/>
      <c r="I763" s="42"/>
      <c r="J763" s="42"/>
      <c r="K763" s="42"/>
      <c r="L763" s="42"/>
      <c r="M763" s="42"/>
      <c r="N763" s="42"/>
      <c r="O763" s="42"/>
      <c r="P763" s="42"/>
      <c r="Q763" s="42"/>
      <c r="R763" s="42"/>
      <c r="S763" s="42"/>
      <c r="T763" s="42"/>
      <c r="U763" s="42"/>
      <c r="V763" s="42"/>
      <c r="W763" s="42"/>
      <c r="X763" s="42"/>
      <c r="Y763" s="42"/>
    </row>
    <row r="764" spans="1:25" ht="12.95">
      <c r="A764" s="55"/>
      <c r="B764" s="41"/>
      <c r="C764" s="42"/>
      <c r="D764" s="43"/>
      <c r="E764" s="42"/>
      <c r="F764" s="42"/>
      <c r="G764" s="42"/>
      <c r="H764" s="42"/>
      <c r="I764" s="42"/>
      <c r="J764" s="42"/>
      <c r="K764" s="42"/>
      <c r="L764" s="42"/>
      <c r="M764" s="42"/>
      <c r="N764" s="42"/>
      <c r="O764" s="42"/>
      <c r="P764" s="42"/>
      <c r="Q764" s="42"/>
      <c r="R764" s="42"/>
      <c r="S764" s="42"/>
      <c r="T764" s="42"/>
      <c r="U764" s="42"/>
      <c r="V764" s="42"/>
      <c r="W764" s="42"/>
      <c r="X764" s="42"/>
      <c r="Y764" s="42"/>
    </row>
    <row r="765" spans="1:25" ht="12.95">
      <c r="A765" s="55"/>
      <c r="B765" s="41"/>
      <c r="C765" s="42"/>
      <c r="D765" s="43"/>
      <c r="E765" s="42"/>
      <c r="F765" s="42"/>
      <c r="G765" s="42"/>
      <c r="H765" s="42"/>
      <c r="I765" s="42"/>
      <c r="J765" s="42"/>
      <c r="K765" s="42"/>
      <c r="L765" s="42"/>
      <c r="M765" s="42"/>
      <c r="N765" s="42"/>
      <c r="O765" s="42"/>
      <c r="P765" s="42"/>
      <c r="Q765" s="42"/>
      <c r="R765" s="42"/>
      <c r="S765" s="42"/>
      <c r="T765" s="42"/>
      <c r="U765" s="42"/>
      <c r="V765" s="42"/>
      <c r="W765" s="42"/>
      <c r="X765" s="42"/>
      <c r="Y765" s="42"/>
    </row>
    <row r="766" spans="1:25" ht="12.95">
      <c r="A766" s="55"/>
      <c r="B766" s="41"/>
      <c r="C766" s="42"/>
      <c r="D766" s="43"/>
      <c r="E766" s="42"/>
      <c r="F766" s="42"/>
      <c r="G766" s="42"/>
      <c r="H766" s="42"/>
      <c r="I766" s="42"/>
      <c r="J766" s="42"/>
      <c r="K766" s="42"/>
      <c r="L766" s="42"/>
      <c r="M766" s="42"/>
      <c r="N766" s="42"/>
      <c r="O766" s="42"/>
      <c r="P766" s="42"/>
      <c r="Q766" s="42"/>
      <c r="R766" s="42"/>
      <c r="S766" s="42"/>
      <c r="T766" s="42"/>
      <c r="U766" s="42"/>
      <c r="V766" s="42"/>
      <c r="W766" s="42"/>
      <c r="X766" s="42"/>
      <c r="Y766" s="42"/>
    </row>
    <row r="767" spans="1:25" ht="12.95">
      <c r="A767" s="55"/>
      <c r="B767" s="41"/>
      <c r="C767" s="42"/>
      <c r="D767" s="43"/>
      <c r="E767" s="42"/>
      <c r="F767" s="42"/>
      <c r="G767" s="42"/>
      <c r="H767" s="42"/>
      <c r="I767" s="42"/>
      <c r="J767" s="42"/>
      <c r="K767" s="42"/>
      <c r="L767" s="42"/>
      <c r="M767" s="42"/>
      <c r="N767" s="42"/>
      <c r="O767" s="42"/>
      <c r="P767" s="42"/>
      <c r="Q767" s="42"/>
      <c r="R767" s="42"/>
      <c r="S767" s="42"/>
      <c r="T767" s="42"/>
      <c r="U767" s="42"/>
      <c r="V767" s="42"/>
      <c r="W767" s="42"/>
      <c r="X767" s="42"/>
      <c r="Y767" s="42"/>
    </row>
    <row r="768" spans="1:25" ht="12.95">
      <c r="A768" s="55"/>
      <c r="B768" s="41"/>
      <c r="C768" s="42"/>
      <c r="D768" s="43"/>
      <c r="E768" s="42"/>
      <c r="F768" s="42"/>
      <c r="G768" s="42"/>
      <c r="H768" s="42"/>
      <c r="I768" s="42"/>
      <c r="J768" s="42"/>
      <c r="K768" s="42"/>
      <c r="L768" s="42"/>
      <c r="M768" s="42"/>
      <c r="N768" s="42"/>
      <c r="O768" s="42"/>
      <c r="P768" s="42"/>
      <c r="Q768" s="42"/>
      <c r="R768" s="42"/>
      <c r="S768" s="42"/>
      <c r="T768" s="42"/>
      <c r="U768" s="42"/>
      <c r="V768" s="42"/>
      <c r="W768" s="42"/>
      <c r="X768" s="42"/>
      <c r="Y768" s="42"/>
    </row>
    <row r="769" spans="1:25" ht="12.95">
      <c r="A769" s="55"/>
      <c r="B769" s="41"/>
      <c r="C769" s="42"/>
      <c r="D769" s="43"/>
      <c r="E769" s="42"/>
      <c r="F769" s="42"/>
      <c r="G769" s="42"/>
      <c r="H769" s="42"/>
      <c r="I769" s="42"/>
      <c r="J769" s="42"/>
      <c r="K769" s="42"/>
      <c r="L769" s="42"/>
      <c r="M769" s="42"/>
      <c r="N769" s="42"/>
      <c r="O769" s="42"/>
      <c r="P769" s="42"/>
      <c r="Q769" s="42"/>
      <c r="R769" s="42"/>
      <c r="S769" s="42"/>
      <c r="T769" s="42"/>
      <c r="U769" s="42"/>
      <c r="V769" s="42"/>
      <c r="W769" s="42"/>
      <c r="X769" s="42"/>
      <c r="Y769" s="42"/>
    </row>
    <row r="770" spans="1:25" ht="12.95">
      <c r="A770" s="55"/>
      <c r="B770" s="41"/>
      <c r="C770" s="42"/>
      <c r="D770" s="43"/>
      <c r="E770" s="42"/>
      <c r="F770" s="42"/>
      <c r="G770" s="42"/>
      <c r="H770" s="42"/>
      <c r="I770" s="42"/>
      <c r="J770" s="42"/>
      <c r="K770" s="42"/>
      <c r="L770" s="42"/>
      <c r="M770" s="42"/>
      <c r="N770" s="42"/>
      <c r="O770" s="42"/>
      <c r="P770" s="42"/>
      <c r="Q770" s="42"/>
      <c r="R770" s="42"/>
      <c r="S770" s="42"/>
      <c r="T770" s="42"/>
      <c r="U770" s="42"/>
      <c r="V770" s="42"/>
      <c r="W770" s="42"/>
      <c r="X770" s="42"/>
      <c r="Y770" s="42"/>
    </row>
    <row r="771" spans="1:25" ht="12.95">
      <c r="A771" s="55"/>
      <c r="B771" s="41"/>
      <c r="C771" s="42"/>
      <c r="D771" s="43"/>
      <c r="E771" s="42"/>
      <c r="F771" s="42"/>
      <c r="G771" s="42"/>
      <c r="H771" s="42"/>
      <c r="I771" s="42"/>
      <c r="J771" s="42"/>
      <c r="K771" s="42"/>
      <c r="L771" s="42"/>
      <c r="M771" s="42"/>
      <c r="N771" s="42"/>
      <c r="O771" s="42"/>
      <c r="P771" s="42"/>
      <c r="Q771" s="42"/>
      <c r="R771" s="42"/>
      <c r="S771" s="42"/>
      <c r="T771" s="42"/>
      <c r="U771" s="42"/>
      <c r="V771" s="42"/>
      <c r="W771" s="42"/>
      <c r="X771" s="42"/>
      <c r="Y771" s="42"/>
    </row>
    <row r="772" spans="1:25" ht="12.95">
      <c r="A772" s="55"/>
      <c r="B772" s="41"/>
      <c r="C772" s="42"/>
      <c r="D772" s="43"/>
      <c r="E772" s="42"/>
      <c r="F772" s="42"/>
      <c r="G772" s="42"/>
      <c r="H772" s="42"/>
      <c r="I772" s="42"/>
      <c r="J772" s="42"/>
      <c r="K772" s="42"/>
      <c r="L772" s="42"/>
      <c r="M772" s="42"/>
      <c r="N772" s="42"/>
      <c r="O772" s="42"/>
      <c r="P772" s="42"/>
      <c r="Q772" s="42"/>
      <c r="R772" s="42"/>
      <c r="S772" s="42"/>
      <c r="T772" s="42"/>
      <c r="U772" s="42"/>
      <c r="V772" s="42"/>
      <c r="W772" s="42"/>
      <c r="X772" s="42"/>
      <c r="Y772" s="42"/>
    </row>
    <row r="773" spans="1:25" ht="12.95">
      <c r="A773" s="55"/>
      <c r="B773" s="41"/>
      <c r="C773" s="42"/>
      <c r="D773" s="43"/>
      <c r="E773" s="42"/>
      <c r="F773" s="42"/>
      <c r="G773" s="42"/>
      <c r="H773" s="42"/>
      <c r="I773" s="42"/>
      <c r="J773" s="42"/>
      <c r="K773" s="42"/>
      <c r="L773" s="42"/>
      <c r="M773" s="42"/>
      <c r="N773" s="42"/>
      <c r="O773" s="42"/>
      <c r="P773" s="42"/>
      <c r="Q773" s="42"/>
      <c r="R773" s="42"/>
      <c r="S773" s="42"/>
      <c r="T773" s="42"/>
      <c r="U773" s="42"/>
      <c r="V773" s="42"/>
      <c r="W773" s="42"/>
      <c r="X773" s="42"/>
      <c r="Y773" s="42"/>
    </row>
    <row r="774" spans="1:25" ht="12.95">
      <c r="A774" s="55"/>
      <c r="B774" s="41"/>
      <c r="C774" s="42"/>
      <c r="D774" s="43"/>
      <c r="E774" s="42"/>
      <c r="F774" s="42"/>
      <c r="G774" s="42"/>
      <c r="H774" s="42"/>
      <c r="I774" s="42"/>
      <c r="J774" s="42"/>
      <c r="K774" s="42"/>
      <c r="L774" s="42"/>
      <c r="M774" s="42"/>
      <c r="N774" s="42"/>
      <c r="O774" s="42"/>
      <c r="P774" s="42"/>
      <c r="Q774" s="42"/>
      <c r="R774" s="42"/>
      <c r="S774" s="42"/>
      <c r="T774" s="42"/>
      <c r="U774" s="42"/>
      <c r="V774" s="42"/>
      <c r="W774" s="42"/>
      <c r="X774" s="42"/>
      <c r="Y774" s="42"/>
    </row>
    <row r="775" spans="1:25" ht="12.95">
      <c r="A775" s="55"/>
      <c r="B775" s="41"/>
      <c r="C775" s="42"/>
      <c r="D775" s="43"/>
      <c r="E775" s="42"/>
      <c r="F775" s="42"/>
      <c r="G775" s="42"/>
      <c r="H775" s="42"/>
      <c r="I775" s="42"/>
      <c r="J775" s="42"/>
      <c r="K775" s="42"/>
      <c r="L775" s="42"/>
      <c r="M775" s="42"/>
      <c r="N775" s="42"/>
      <c r="O775" s="42"/>
      <c r="P775" s="42"/>
      <c r="Q775" s="42"/>
      <c r="R775" s="42"/>
      <c r="S775" s="42"/>
      <c r="T775" s="42"/>
      <c r="U775" s="42"/>
      <c r="V775" s="42"/>
      <c r="W775" s="42"/>
      <c r="X775" s="42"/>
      <c r="Y775" s="42"/>
    </row>
    <row r="776" spans="1:25" ht="12.95">
      <c r="A776" s="55"/>
      <c r="B776" s="41"/>
      <c r="C776" s="42"/>
      <c r="D776" s="43"/>
      <c r="E776" s="42"/>
      <c r="F776" s="42"/>
      <c r="G776" s="42"/>
      <c r="H776" s="42"/>
      <c r="I776" s="42"/>
      <c r="J776" s="42"/>
      <c r="K776" s="42"/>
      <c r="L776" s="42"/>
      <c r="M776" s="42"/>
      <c r="N776" s="42"/>
      <c r="O776" s="42"/>
      <c r="P776" s="42"/>
      <c r="Q776" s="42"/>
      <c r="R776" s="42"/>
      <c r="S776" s="42"/>
      <c r="T776" s="42"/>
      <c r="U776" s="42"/>
      <c r="V776" s="42"/>
      <c r="W776" s="42"/>
      <c r="X776" s="42"/>
      <c r="Y776" s="42"/>
    </row>
    <row r="777" spans="1:25" ht="12.95">
      <c r="A777" s="55"/>
      <c r="B777" s="41"/>
      <c r="C777" s="42"/>
      <c r="D777" s="43"/>
      <c r="E777" s="42"/>
      <c r="F777" s="42"/>
      <c r="G777" s="42"/>
      <c r="H777" s="42"/>
      <c r="I777" s="42"/>
      <c r="J777" s="42"/>
      <c r="K777" s="42"/>
      <c r="L777" s="42"/>
      <c r="M777" s="42"/>
      <c r="N777" s="42"/>
      <c r="O777" s="42"/>
      <c r="P777" s="42"/>
      <c r="Q777" s="42"/>
      <c r="R777" s="42"/>
      <c r="S777" s="42"/>
      <c r="T777" s="42"/>
      <c r="U777" s="42"/>
      <c r="V777" s="42"/>
      <c r="W777" s="42"/>
      <c r="X777" s="42"/>
      <c r="Y777" s="42"/>
    </row>
    <row r="778" spans="1:25" ht="12.95">
      <c r="A778" s="55"/>
      <c r="B778" s="41"/>
      <c r="C778" s="42"/>
      <c r="D778" s="43"/>
      <c r="E778" s="42"/>
      <c r="F778" s="42"/>
      <c r="G778" s="42"/>
      <c r="H778" s="42"/>
      <c r="I778" s="42"/>
      <c r="J778" s="42"/>
      <c r="K778" s="42"/>
      <c r="L778" s="42"/>
      <c r="M778" s="42"/>
      <c r="N778" s="42"/>
      <c r="O778" s="42"/>
      <c r="P778" s="42"/>
      <c r="Q778" s="42"/>
      <c r="R778" s="42"/>
      <c r="S778" s="42"/>
      <c r="T778" s="42"/>
      <c r="U778" s="42"/>
      <c r="V778" s="42"/>
      <c r="W778" s="42"/>
      <c r="X778" s="42"/>
      <c r="Y778" s="42"/>
    </row>
    <row r="779" spans="1:25" ht="12.95">
      <c r="A779" s="55"/>
      <c r="B779" s="41"/>
      <c r="C779" s="42"/>
      <c r="D779" s="43"/>
      <c r="E779" s="42"/>
      <c r="F779" s="42"/>
      <c r="G779" s="42"/>
      <c r="H779" s="42"/>
      <c r="I779" s="42"/>
      <c r="J779" s="42"/>
      <c r="K779" s="42"/>
      <c r="L779" s="42"/>
      <c r="M779" s="42"/>
      <c r="N779" s="42"/>
      <c r="O779" s="42"/>
      <c r="P779" s="42"/>
      <c r="Q779" s="42"/>
      <c r="R779" s="42"/>
      <c r="S779" s="42"/>
      <c r="T779" s="42"/>
      <c r="U779" s="42"/>
      <c r="V779" s="42"/>
      <c r="W779" s="42"/>
      <c r="X779" s="42"/>
      <c r="Y779" s="42"/>
    </row>
    <row r="780" spans="1:25" ht="12.95">
      <c r="A780" s="55"/>
      <c r="B780" s="41"/>
      <c r="C780" s="42"/>
      <c r="D780" s="43"/>
      <c r="E780" s="42"/>
      <c r="F780" s="42"/>
      <c r="G780" s="42"/>
      <c r="H780" s="42"/>
      <c r="I780" s="42"/>
      <c r="J780" s="42"/>
      <c r="K780" s="42"/>
      <c r="L780" s="42"/>
      <c r="M780" s="42"/>
      <c r="N780" s="42"/>
      <c r="O780" s="42"/>
      <c r="P780" s="42"/>
      <c r="Q780" s="42"/>
      <c r="R780" s="42"/>
      <c r="S780" s="42"/>
      <c r="T780" s="42"/>
      <c r="U780" s="42"/>
      <c r="V780" s="42"/>
      <c r="W780" s="42"/>
      <c r="X780" s="42"/>
      <c r="Y780" s="42"/>
    </row>
    <row r="781" spans="1:25" ht="12.95">
      <c r="A781" s="55"/>
      <c r="B781" s="41"/>
      <c r="C781" s="42"/>
      <c r="D781" s="43"/>
      <c r="E781" s="42"/>
      <c r="F781" s="42"/>
      <c r="G781" s="42"/>
      <c r="H781" s="42"/>
      <c r="I781" s="42"/>
      <c r="J781" s="42"/>
      <c r="K781" s="42"/>
      <c r="L781" s="42"/>
      <c r="M781" s="42"/>
      <c r="N781" s="42"/>
      <c r="O781" s="42"/>
      <c r="P781" s="42"/>
      <c r="Q781" s="42"/>
      <c r="R781" s="42"/>
      <c r="S781" s="42"/>
      <c r="T781" s="42"/>
      <c r="U781" s="42"/>
      <c r="V781" s="42"/>
      <c r="W781" s="42"/>
      <c r="X781" s="42"/>
      <c r="Y781" s="42"/>
    </row>
    <row r="782" spans="1:25" ht="12.95">
      <c r="A782" s="55"/>
      <c r="B782" s="41"/>
      <c r="C782" s="42"/>
      <c r="D782" s="43"/>
      <c r="E782" s="42"/>
      <c r="F782" s="42"/>
      <c r="G782" s="42"/>
      <c r="H782" s="42"/>
      <c r="I782" s="42"/>
      <c r="J782" s="42"/>
      <c r="K782" s="42"/>
      <c r="L782" s="42"/>
      <c r="M782" s="42"/>
      <c r="N782" s="42"/>
      <c r="O782" s="42"/>
      <c r="P782" s="42"/>
      <c r="Q782" s="42"/>
      <c r="R782" s="42"/>
      <c r="S782" s="42"/>
      <c r="T782" s="42"/>
      <c r="U782" s="42"/>
      <c r="V782" s="42"/>
      <c r="W782" s="42"/>
      <c r="X782" s="42"/>
      <c r="Y782" s="42"/>
    </row>
    <row r="783" spans="1:25" ht="12.95">
      <c r="A783" s="55"/>
      <c r="B783" s="41"/>
      <c r="C783" s="42"/>
      <c r="D783" s="43"/>
      <c r="E783" s="42"/>
      <c r="F783" s="42"/>
      <c r="G783" s="42"/>
      <c r="H783" s="42"/>
      <c r="I783" s="42"/>
      <c r="J783" s="42"/>
      <c r="K783" s="42"/>
      <c r="L783" s="42"/>
      <c r="M783" s="42"/>
      <c r="N783" s="42"/>
      <c r="O783" s="42"/>
      <c r="P783" s="42"/>
      <c r="Q783" s="42"/>
      <c r="R783" s="42"/>
      <c r="S783" s="42"/>
      <c r="T783" s="42"/>
      <c r="U783" s="42"/>
      <c r="V783" s="42"/>
      <c r="W783" s="42"/>
      <c r="X783" s="42"/>
      <c r="Y783" s="42"/>
    </row>
    <row r="784" spans="1:25" ht="12.95">
      <c r="A784" s="55"/>
      <c r="B784" s="41"/>
      <c r="C784" s="42"/>
      <c r="D784" s="43"/>
      <c r="E784" s="42"/>
      <c r="F784" s="42"/>
      <c r="G784" s="42"/>
      <c r="H784" s="42"/>
      <c r="I784" s="42"/>
      <c r="J784" s="42"/>
      <c r="K784" s="42"/>
      <c r="L784" s="42"/>
      <c r="M784" s="42"/>
      <c r="N784" s="42"/>
      <c r="O784" s="42"/>
      <c r="P784" s="42"/>
      <c r="Q784" s="42"/>
      <c r="R784" s="42"/>
      <c r="S784" s="42"/>
      <c r="T784" s="42"/>
      <c r="U784" s="42"/>
      <c r="V784" s="42"/>
      <c r="W784" s="42"/>
      <c r="X784" s="42"/>
      <c r="Y784" s="42"/>
    </row>
    <row r="785" spans="1:25" ht="12.95">
      <c r="A785" s="55"/>
      <c r="B785" s="41"/>
      <c r="C785" s="42"/>
      <c r="D785" s="43"/>
      <c r="E785" s="42"/>
      <c r="F785" s="42"/>
      <c r="G785" s="42"/>
      <c r="H785" s="42"/>
      <c r="I785" s="42"/>
      <c r="J785" s="42"/>
      <c r="K785" s="42"/>
      <c r="L785" s="42"/>
      <c r="M785" s="42"/>
      <c r="N785" s="42"/>
      <c r="O785" s="42"/>
      <c r="P785" s="42"/>
      <c r="Q785" s="42"/>
      <c r="R785" s="42"/>
      <c r="S785" s="42"/>
      <c r="T785" s="42"/>
      <c r="U785" s="42"/>
      <c r="V785" s="42"/>
      <c r="W785" s="42"/>
      <c r="X785" s="42"/>
      <c r="Y785" s="42"/>
    </row>
    <row r="786" spans="1:25" ht="12.95">
      <c r="A786" s="55"/>
      <c r="B786" s="41"/>
      <c r="C786" s="42"/>
      <c r="D786" s="43"/>
      <c r="E786" s="42"/>
      <c r="F786" s="42"/>
      <c r="G786" s="42"/>
      <c r="H786" s="42"/>
      <c r="I786" s="42"/>
      <c r="J786" s="42"/>
      <c r="K786" s="42"/>
      <c r="L786" s="42"/>
      <c r="M786" s="42"/>
      <c r="N786" s="42"/>
      <c r="O786" s="42"/>
      <c r="P786" s="42"/>
      <c r="Q786" s="42"/>
      <c r="R786" s="42"/>
      <c r="S786" s="42"/>
      <c r="T786" s="42"/>
      <c r="U786" s="42"/>
      <c r="V786" s="42"/>
      <c r="W786" s="42"/>
      <c r="X786" s="42"/>
      <c r="Y786" s="42"/>
    </row>
    <row r="787" spans="1:25" ht="12.95">
      <c r="A787" s="55"/>
      <c r="B787" s="41"/>
      <c r="C787" s="42"/>
      <c r="D787" s="43"/>
      <c r="E787" s="42"/>
      <c r="F787" s="42"/>
      <c r="G787" s="42"/>
      <c r="H787" s="42"/>
      <c r="I787" s="42"/>
      <c r="J787" s="42"/>
      <c r="K787" s="42"/>
      <c r="L787" s="42"/>
      <c r="M787" s="42"/>
      <c r="N787" s="42"/>
      <c r="O787" s="42"/>
      <c r="P787" s="42"/>
      <c r="Q787" s="42"/>
      <c r="R787" s="42"/>
      <c r="S787" s="42"/>
      <c r="T787" s="42"/>
      <c r="U787" s="42"/>
      <c r="V787" s="42"/>
      <c r="W787" s="42"/>
      <c r="X787" s="42"/>
      <c r="Y787" s="42"/>
    </row>
    <row r="788" spans="1:25" ht="12.95">
      <c r="A788" s="55"/>
      <c r="B788" s="41"/>
      <c r="C788" s="42"/>
      <c r="D788" s="43"/>
      <c r="E788" s="42"/>
      <c r="F788" s="42"/>
      <c r="G788" s="42"/>
      <c r="H788" s="42"/>
      <c r="I788" s="42"/>
      <c r="J788" s="42"/>
      <c r="K788" s="42"/>
      <c r="L788" s="42"/>
      <c r="M788" s="42"/>
      <c r="N788" s="42"/>
      <c r="O788" s="42"/>
      <c r="P788" s="42"/>
      <c r="Q788" s="42"/>
      <c r="R788" s="42"/>
      <c r="S788" s="42"/>
      <c r="T788" s="42"/>
      <c r="U788" s="42"/>
      <c r="V788" s="42"/>
      <c r="W788" s="42"/>
      <c r="X788" s="42"/>
      <c r="Y788" s="42"/>
    </row>
    <row r="789" spans="1:25" ht="12.95">
      <c r="A789" s="55"/>
      <c r="B789" s="41"/>
      <c r="C789" s="42"/>
      <c r="D789" s="43"/>
      <c r="E789" s="42"/>
      <c r="F789" s="42"/>
      <c r="G789" s="42"/>
      <c r="H789" s="42"/>
      <c r="I789" s="42"/>
      <c r="J789" s="42"/>
      <c r="K789" s="42"/>
      <c r="L789" s="42"/>
      <c r="M789" s="42"/>
      <c r="N789" s="42"/>
      <c r="O789" s="42"/>
      <c r="P789" s="42"/>
      <c r="Q789" s="42"/>
      <c r="R789" s="42"/>
      <c r="S789" s="42"/>
      <c r="T789" s="42"/>
      <c r="U789" s="42"/>
      <c r="V789" s="42"/>
      <c r="W789" s="42"/>
      <c r="X789" s="42"/>
      <c r="Y789" s="42"/>
    </row>
    <row r="790" spans="1:25" ht="12.95">
      <c r="A790" s="55"/>
      <c r="B790" s="41"/>
      <c r="C790" s="42"/>
      <c r="D790" s="43"/>
      <c r="E790" s="42"/>
      <c r="F790" s="42"/>
      <c r="G790" s="42"/>
      <c r="H790" s="42"/>
      <c r="I790" s="42"/>
      <c r="J790" s="42"/>
      <c r="K790" s="42"/>
      <c r="L790" s="42"/>
      <c r="M790" s="42"/>
      <c r="N790" s="42"/>
      <c r="O790" s="42"/>
      <c r="P790" s="42"/>
      <c r="Q790" s="42"/>
      <c r="R790" s="42"/>
      <c r="S790" s="42"/>
      <c r="T790" s="42"/>
      <c r="U790" s="42"/>
      <c r="V790" s="42"/>
      <c r="W790" s="42"/>
      <c r="X790" s="42"/>
      <c r="Y790" s="42"/>
    </row>
    <row r="791" spans="1:25" ht="12.95">
      <c r="A791" s="55"/>
      <c r="B791" s="41"/>
      <c r="C791" s="42"/>
      <c r="D791" s="43"/>
      <c r="E791" s="42"/>
      <c r="F791" s="42"/>
      <c r="G791" s="42"/>
      <c r="H791" s="42"/>
      <c r="I791" s="42"/>
      <c r="J791" s="42"/>
      <c r="K791" s="42"/>
      <c r="L791" s="42"/>
      <c r="M791" s="42"/>
      <c r="N791" s="42"/>
      <c r="O791" s="42"/>
      <c r="P791" s="42"/>
      <c r="Q791" s="42"/>
      <c r="R791" s="42"/>
      <c r="S791" s="42"/>
      <c r="T791" s="42"/>
      <c r="U791" s="42"/>
      <c r="V791" s="42"/>
      <c r="W791" s="42"/>
      <c r="X791" s="42"/>
      <c r="Y791" s="42"/>
    </row>
    <row r="792" spans="1:25" ht="12.95">
      <c r="A792" s="55"/>
      <c r="B792" s="41"/>
      <c r="C792" s="42"/>
      <c r="D792" s="43"/>
      <c r="E792" s="42"/>
      <c r="F792" s="42"/>
      <c r="G792" s="42"/>
      <c r="H792" s="42"/>
      <c r="I792" s="42"/>
      <c r="J792" s="42"/>
      <c r="K792" s="42"/>
      <c r="L792" s="42"/>
      <c r="M792" s="42"/>
      <c r="N792" s="42"/>
      <c r="O792" s="42"/>
      <c r="P792" s="42"/>
      <c r="Q792" s="42"/>
      <c r="R792" s="42"/>
      <c r="S792" s="42"/>
      <c r="T792" s="42"/>
      <c r="U792" s="42"/>
      <c r="V792" s="42"/>
      <c r="W792" s="42"/>
      <c r="X792" s="42"/>
      <c r="Y792" s="42"/>
    </row>
    <row r="793" spans="1:25" ht="12.95">
      <c r="A793" s="55"/>
      <c r="B793" s="41"/>
      <c r="C793" s="42"/>
      <c r="D793" s="43"/>
      <c r="E793" s="42"/>
      <c r="F793" s="42"/>
      <c r="G793" s="42"/>
      <c r="H793" s="42"/>
      <c r="I793" s="42"/>
      <c r="J793" s="42"/>
      <c r="K793" s="42"/>
      <c r="L793" s="42"/>
      <c r="M793" s="42"/>
      <c r="N793" s="42"/>
      <c r="O793" s="42"/>
      <c r="P793" s="42"/>
      <c r="Q793" s="42"/>
      <c r="R793" s="42"/>
      <c r="S793" s="42"/>
      <c r="T793" s="42"/>
      <c r="U793" s="42"/>
      <c r="V793" s="42"/>
      <c r="W793" s="42"/>
      <c r="X793" s="42"/>
      <c r="Y793" s="42"/>
    </row>
    <row r="794" spans="1:25" ht="12.95">
      <c r="A794" s="55"/>
      <c r="B794" s="41"/>
      <c r="C794" s="42"/>
      <c r="D794" s="43"/>
      <c r="E794" s="42"/>
      <c r="F794" s="42"/>
      <c r="G794" s="42"/>
      <c r="H794" s="42"/>
      <c r="I794" s="42"/>
      <c r="J794" s="42"/>
      <c r="K794" s="42"/>
      <c r="L794" s="42"/>
      <c r="M794" s="42"/>
      <c r="N794" s="42"/>
      <c r="O794" s="42"/>
      <c r="P794" s="42"/>
      <c r="Q794" s="42"/>
      <c r="R794" s="42"/>
      <c r="S794" s="42"/>
      <c r="T794" s="42"/>
      <c r="U794" s="42"/>
      <c r="V794" s="42"/>
      <c r="W794" s="42"/>
      <c r="X794" s="42"/>
      <c r="Y794" s="42"/>
    </row>
    <row r="795" spans="1:25" ht="12.95">
      <c r="A795" s="55"/>
      <c r="B795" s="41"/>
      <c r="C795" s="42"/>
      <c r="D795" s="43"/>
      <c r="E795" s="42"/>
      <c r="F795" s="42"/>
      <c r="G795" s="42"/>
      <c r="H795" s="42"/>
      <c r="I795" s="42"/>
      <c r="J795" s="42"/>
      <c r="K795" s="42"/>
      <c r="L795" s="42"/>
      <c r="M795" s="42"/>
      <c r="N795" s="42"/>
      <c r="O795" s="42"/>
      <c r="P795" s="42"/>
      <c r="Q795" s="42"/>
      <c r="R795" s="42"/>
      <c r="S795" s="42"/>
      <c r="T795" s="42"/>
      <c r="U795" s="42"/>
      <c r="V795" s="42"/>
      <c r="W795" s="42"/>
      <c r="X795" s="42"/>
      <c r="Y795" s="42"/>
    </row>
    <row r="796" spans="1:25" ht="12.95">
      <c r="A796" s="55"/>
      <c r="B796" s="41"/>
      <c r="C796" s="42"/>
      <c r="D796" s="43"/>
      <c r="E796" s="42"/>
      <c r="F796" s="42"/>
      <c r="G796" s="42"/>
      <c r="H796" s="42"/>
      <c r="I796" s="42"/>
      <c r="J796" s="42"/>
      <c r="K796" s="42"/>
      <c r="L796" s="42"/>
      <c r="M796" s="42"/>
      <c r="N796" s="42"/>
      <c r="O796" s="42"/>
      <c r="P796" s="42"/>
      <c r="Q796" s="42"/>
      <c r="R796" s="42"/>
      <c r="S796" s="42"/>
      <c r="T796" s="42"/>
      <c r="U796" s="42"/>
      <c r="V796" s="42"/>
      <c r="W796" s="42"/>
      <c r="X796" s="42"/>
      <c r="Y796" s="42"/>
    </row>
    <row r="797" spans="1:25" ht="12.95">
      <c r="A797" s="55"/>
      <c r="B797" s="41"/>
      <c r="C797" s="42"/>
      <c r="D797" s="43"/>
      <c r="E797" s="42"/>
      <c r="F797" s="42"/>
      <c r="G797" s="42"/>
      <c r="H797" s="42"/>
      <c r="I797" s="42"/>
      <c r="J797" s="42"/>
      <c r="K797" s="42"/>
      <c r="L797" s="42"/>
      <c r="M797" s="42"/>
      <c r="N797" s="42"/>
      <c r="O797" s="42"/>
      <c r="P797" s="42"/>
      <c r="Q797" s="42"/>
      <c r="R797" s="42"/>
      <c r="S797" s="42"/>
      <c r="T797" s="42"/>
      <c r="U797" s="42"/>
      <c r="V797" s="42"/>
      <c r="W797" s="42"/>
      <c r="X797" s="42"/>
      <c r="Y797" s="42"/>
    </row>
    <row r="798" spans="1:25" ht="12.95">
      <c r="A798" s="55"/>
      <c r="B798" s="41"/>
      <c r="C798" s="42"/>
      <c r="D798" s="43"/>
      <c r="E798" s="42"/>
      <c r="F798" s="42"/>
      <c r="G798" s="42"/>
      <c r="H798" s="42"/>
      <c r="I798" s="42"/>
      <c r="J798" s="42"/>
      <c r="K798" s="42"/>
      <c r="L798" s="42"/>
      <c r="M798" s="42"/>
      <c r="N798" s="42"/>
      <c r="O798" s="42"/>
      <c r="P798" s="42"/>
      <c r="Q798" s="42"/>
      <c r="R798" s="42"/>
      <c r="S798" s="42"/>
      <c r="T798" s="42"/>
      <c r="U798" s="42"/>
      <c r="V798" s="42"/>
      <c r="W798" s="42"/>
      <c r="X798" s="42"/>
      <c r="Y798" s="42"/>
    </row>
    <row r="799" spans="1:25" ht="12.95">
      <c r="A799" s="55"/>
      <c r="B799" s="41"/>
      <c r="C799" s="42"/>
      <c r="D799" s="43"/>
      <c r="E799" s="42"/>
      <c r="F799" s="42"/>
      <c r="G799" s="42"/>
      <c r="H799" s="42"/>
      <c r="I799" s="42"/>
      <c r="J799" s="42"/>
      <c r="K799" s="42"/>
      <c r="L799" s="42"/>
      <c r="M799" s="42"/>
      <c r="N799" s="42"/>
      <c r="O799" s="42"/>
      <c r="P799" s="42"/>
      <c r="Q799" s="42"/>
      <c r="R799" s="42"/>
      <c r="S799" s="42"/>
      <c r="T799" s="42"/>
      <c r="U799" s="42"/>
      <c r="V799" s="42"/>
      <c r="W799" s="42"/>
      <c r="X799" s="42"/>
      <c r="Y799" s="42"/>
    </row>
    <row r="800" spans="1:25" ht="12.95">
      <c r="A800" s="55"/>
      <c r="B800" s="41"/>
      <c r="C800" s="42"/>
      <c r="D800" s="43"/>
      <c r="E800" s="42"/>
      <c r="F800" s="42"/>
      <c r="G800" s="42"/>
      <c r="H800" s="42"/>
      <c r="I800" s="42"/>
      <c r="J800" s="42"/>
      <c r="K800" s="42"/>
      <c r="L800" s="42"/>
      <c r="M800" s="42"/>
      <c r="N800" s="42"/>
      <c r="O800" s="42"/>
      <c r="P800" s="42"/>
      <c r="Q800" s="42"/>
      <c r="R800" s="42"/>
      <c r="S800" s="42"/>
      <c r="T800" s="42"/>
      <c r="U800" s="42"/>
      <c r="V800" s="42"/>
      <c r="W800" s="42"/>
      <c r="X800" s="42"/>
      <c r="Y800" s="42"/>
    </row>
    <row r="801" spans="1:25" ht="12.95">
      <c r="A801" s="55"/>
      <c r="B801" s="41"/>
      <c r="C801" s="42"/>
      <c r="D801" s="43"/>
      <c r="E801" s="42"/>
      <c r="F801" s="42"/>
      <c r="G801" s="42"/>
      <c r="H801" s="42"/>
      <c r="I801" s="42"/>
      <c r="J801" s="42"/>
      <c r="K801" s="42"/>
      <c r="L801" s="42"/>
      <c r="M801" s="42"/>
      <c r="N801" s="42"/>
      <c r="O801" s="42"/>
      <c r="P801" s="42"/>
      <c r="Q801" s="42"/>
      <c r="R801" s="42"/>
      <c r="S801" s="42"/>
      <c r="T801" s="42"/>
      <c r="U801" s="42"/>
      <c r="V801" s="42"/>
      <c r="W801" s="42"/>
      <c r="X801" s="42"/>
      <c r="Y801" s="42"/>
    </row>
    <row r="802" spans="1:25" ht="12.95">
      <c r="A802" s="55"/>
      <c r="B802" s="41"/>
      <c r="C802" s="42"/>
      <c r="D802" s="43"/>
      <c r="E802" s="42"/>
      <c r="F802" s="42"/>
      <c r="G802" s="42"/>
      <c r="H802" s="42"/>
      <c r="I802" s="42"/>
      <c r="J802" s="42"/>
      <c r="K802" s="42"/>
      <c r="L802" s="42"/>
      <c r="M802" s="42"/>
      <c r="N802" s="42"/>
      <c r="O802" s="42"/>
      <c r="P802" s="42"/>
      <c r="Q802" s="42"/>
      <c r="R802" s="42"/>
      <c r="S802" s="42"/>
      <c r="T802" s="42"/>
      <c r="U802" s="42"/>
      <c r="V802" s="42"/>
      <c r="W802" s="42"/>
      <c r="X802" s="42"/>
      <c r="Y802" s="42"/>
    </row>
    <row r="803" spans="1:25" ht="12.95">
      <c r="A803" s="55"/>
      <c r="B803" s="41"/>
      <c r="C803" s="42"/>
      <c r="D803" s="43"/>
      <c r="E803" s="42"/>
      <c r="F803" s="42"/>
      <c r="G803" s="42"/>
      <c r="H803" s="42"/>
      <c r="I803" s="42"/>
      <c r="J803" s="42"/>
      <c r="K803" s="42"/>
      <c r="L803" s="42"/>
      <c r="M803" s="42"/>
      <c r="N803" s="42"/>
      <c r="O803" s="42"/>
      <c r="P803" s="42"/>
      <c r="Q803" s="42"/>
      <c r="R803" s="42"/>
      <c r="S803" s="42"/>
      <c r="T803" s="42"/>
      <c r="U803" s="42"/>
      <c r="V803" s="42"/>
      <c r="W803" s="42"/>
      <c r="X803" s="42"/>
      <c r="Y803" s="42"/>
    </row>
    <row r="804" spans="1:25" ht="12.95">
      <c r="A804" s="55"/>
      <c r="B804" s="41"/>
      <c r="C804" s="42"/>
      <c r="D804" s="43"/>
      <c r="E804" s="42"/>
      <c r="F804" s="42"/>
      <c r="G804" s="42"/>
      <c r="H804" s="42"/>
      <c r="I804" s="42"/>
      <c r="J804" s="42"/>
      <c r="K804" s="42"/>
      <c r="L804" s="42"/>
      <c r="M804" s="42"/>
      <c r="N804" s="42"/>
      <c r="O804" s="42"/>
      <c r="P804" s="42"/>
      <c r="Q804" s="42"/>
      <c r="R804" s="42"/>
      <c r="S804" s="42"/>
      <c r="T804" s="42"/>
      <c r="U804" s="42"/>
      <c r="V804" s="42"/>
      <c r="W804" s="42"/>
      <c r="X804" s="42"/>
      <c r="Y804" s="42"/>
    </row>
    <row r="805" spans="1:25" ht="12.95">
      <c r="A805" s="55"/>
      <c r="B805" s="41"/>
      <c r="C805" s="42"/>
      <c r="D805" s="43"/>
      <c r="E805" s="42"/>
      <c r="F805" s="42"/>
      <c r="G805" s="42"/>
      <c r="H805" s="42"/>
      <c r="I805" s="42"/>
      <c r="J805" s="42"/>
      <c r="K805" s="42"/>
      <c r="L805" s="42"/>
      <c r="M805" s="42"/>
      <c r="N805" s="42"/>
      <c r="O805" s="42"/>
      <c r="P805" s="42"/>
      <c r="Q805" s="42"/>
      <c r="R805" s="42"/>
      <c r="S805" s="42"/>
      <c r="T805" s="42"/>
      <c r="U805" s="42"/>
      <c r="V805" s="42"/>
      <c r="W805" s="42"/>
      <c r="X805" s="42"/>
      <c r="Y805" s="42"/>
    </row>
    <row r="806" spans="1:25" ht="12.95">
      <c r="A806" s="55"/>
      <c r="B806" s="41"/>
      <c r="C806" s="42"/>
      <c r="D806" s="43"/>
      <c r="E806" s="42"/>
      <c r="F806" s="42"/>
      <c r="G806" s="42"/>
      <c r="H806" s="42"/>
      <c r="I806" s="42"/>
      <c r="J806" s="42"/>
      <c r="K806" s="42"/>
      <c r="L806" s="42"/>
      <c r="M806" s="42"/>
      <c r="N806" s="42"/>
      <c r="O806" s="42"/>
      <c r="P806" s="42"/>
      <c r="Q806" s="42"/>
      <c r="R806" s="42"/>
      <c r="S806" s="42"/>
      <c r="T806" s="42"/>
      <c r="U806" s="42"/>
      <c r="V806" s="42"/>
      <c r="W806" s="42"/>
      <c r="X806" s="42"/>
      <c r="Y806" s="42"/>
    </row>
    <row r="807" spans="1:25" ht="12.95">
      <c r="A807" s="55"/>
      <c r="B807" s="41"/>
      <c r="C807" s="42"/>
      <c r="D807" s="43"/>
      <c r="E807" s="42"/>
      <c r="F807" s="42"/>
      <c r="G807" s="42"/>
      <c r="H807" s="42"/>
      <c r="I807" s="42"/>
      <c r="J807" s="42"/>
      <c r="K807" s="42"/>
      <c r="L807" s="42"/>
      <c r="M807" s="42"/>
      <c r="N807" s="42"/>
      <c r="O807" s="42"/>
      <c r="P807" s="42"/>
      <c r="Q807" s="42"/>
      <c r="R807" s="42"/>
      <c r="S807" s="42"/>
      <c r="T807" s="42"/>
      <c r="U807" s="42"/>
      <c r="V807" s="42"/>
      <c r="W807" s="42"/>
      <c r="X807" s="42"/>
      <c r="Y807" s="42"/>
    </row>
    <row r="808" spans="1:25" ht="12.95">
      <c r="A808" s="55"/>
      <c r="B808" s="41"/>
      <c r="C808" s="42"/>
      <c r="D808" s="43"/>
      <c r="E808" s="42"/>
      <c r="F808" s="42"/>
      <c r="G808" s="42"/>
      <c r="H808" s="42"/>
      <c r="I808" s="42"/>
      <c r="J808" s="42"/>
      <c r="K808" s="42"/>
      <c r="L808" s="42"/>
      <c r="M808" s="42"/>
      <c r="N808" s="42"/>
      <c r="O808" s="42"/>
      <c r="P808" s="42"/>
      <c r="Q808" s="42"/>
      <c r="R808" s="42"/>
      <c r="S808" s="42"/>
      <c r="T808" s="42"/>
      <c r="U808" s="42"/>
      <c r="V808" s="42"/>
      <c r="W808" s="42"/>
      <c r="X808" s="42"/>
      <c r="Y808" s="42"/>
    </row>
    <row r="809" spans="1:25" ht="12.95">
      <c r="A809" s="55"/>
      <c r="B809" s="41"/>
      <c r="C809" s="42"/>
      <c r="D809" s="43"/>
      <c r="E809" s="42"/>
      <c r="F809" s="42"/>
      <c r="G809" s="42"/>
      <c r="H809" s="42"/>
      <c r="I809" s="42"/>
      <c r="J809" s="42"/>
      <c r="K809" s="42"/>
      <c r="L809" s="42"/>
      <c r="M809" s="42"/>
      <c r="N809" s="42"/>
      <c r="O809" s="42"/>
      <c r="P809" s="42"/>
      <c r="Q809" s="42"/>
      <c r="R809" s="42"/>
      <c r="S809" s="42"/>
      <c r="T809" s="42"/>
      <c r="U809" s="42"/>
      <c r="V809" s="42"/>
      <c r="W809" s="42"/>
      <c r="X809" s="42"/>
      <c r="Y809" s="42"/>
    </row>
    <row r="810" spans="1:25" ht="12.95">
      <c r="A810" s="55"/>
      <c r="B810" s="41"/>
      <c r="C810" s="42"/>
      <c r="D810" s="43"/>
      <c r="E810" s="42"/>
      <c r="F810" s="42"/>
      <c r="G810" s="42"/>
      <c r="H810" s="42"/>
      <c r="I810" s="42"/>
      <c r="J810" s="42"/>
      <c r="K810" s="42"/>
      <c r="L810" s="42"/>
      <c r="M810" s="42"/>
      <c r="N810" s="42"/>
      <c r="O810" s="42"/>
      <c r="P810" s="42"/>
      <c r="Q810" s="42"/>
      <c r="R810" s="42"/>
      <c r="S810" s="42"/>
      <c r="T810" s="42"/>
      <c r="U810" s="42"/>
      <c r="V810" s="42"/>
      <c r="W810" s="42"/>
      <c r="X810" s="42"/>
      <c r="Y810" s="42"/>
    </row>
    <row r="811" spans="1:25" ht="12.95">
      <c r="A811" s="55"/>
      <c r="B811" s="41"/>
      <c r="C811" s="42"/>
      <c r="D811" s="43"/>
      <c r="E811" s="42"/>
      <c r="F811" s="42"/>
      <c r="G811" s="42"/>
      <c r="H811" s="42"/>
      <c r="I811" s="42"/>
      <c r="J811" s="42"/>
      <c r="K811" s="42"/>
      <c r="L811" s="42"/>
      <c r="M811" s="42"/>
      <c r="N811" s="42"/>
      <c r="O811" s="42"/>
      <c r="P811" s="42"/>
      <c r="Q811" s="42"/>
      <c r="R811" s="42"/>
      <c r="S811" s="42"/>
      <c r="T811" s="42"/>
      <c r="U811" s="42"/>
      <c r="V811" s="42"/>
      <c r="W811" s="42"/>
      <c r="X811" s="42"/>
      <c r="Y811" s="42"/>
    </row>
    <row r="812" spans="1:25" ht="12.95">
      <c r="A812" s="55"/>
      <c r="B812" s="41"/>
      <c r="C812" s="42"/>
      <c r="D812" s="43"/>
      <c r="E812" s="42"/>
      <c r="F812" s="42"/>
      <c r="G812" s="42"/>
      <c r="H812" s="42"/>
      <c r="I812" s="42"/>
      <c r="J812" s="42"/>
      <c r="K812" s="42"/>
      <c r="L812" s="42"/>
      <c r="M812" s="42"/>
      <c r="N812" s="42"/>
      <c r="O812" s="42"/>
      <c r="P812" s="42"/>
      <c r="Q812" s="42"/>
      <c r="R812" s="42"/>
      <c r="S812" s="42"/>
      <c r="T812" s="42"/>
      <c r="U812" s="42"/>
      <c r="V812" s="42"/>
      <c r="W812" s="42"/>
      <c r="X812" s="42"/>
      <c r="Y812" s="42"/>
    </row>
    <row r="813" spans="1:25" ht="12.95">
      <c r="A813" s="55"/>
      <c r="B813" s="41"/>
      <c r="C813" s="42"/>
      <c r="D813" s="43"/>
      <c r="E813" s="42"/>
      <c r="F813" s="42"/>
      <c r="G813" s="42"/>
      <c r="H813" s="42"/>
      <c r="I813" s="42"/>
      <c r="J813" s="42"/>
      <c r="K813" s="42"/>
      <c r="L813" s="42"/>
      <c r="M813" s="42"/>
      <c r="N813" s="42"/>
      <c r="O813" s="42"/>
      <c r="P813" s="42"/>
      <c r="Q813" s="42"/>
      <c r="R813" s="42"/>
      <c r="S813" s="42"/>
      <c r="T813" s="42"/>
      <c r="U813" s="42"/>
      <c r="V813" s="42"/>
      <c r="W813" s="42"/>
      <c r="X813" s="42"/>
      <c r="Y813" s="42"/>
    </row>
    <row r="814" spans="1:25" ht="12.95">
      <c r="A814" s="55"/>
      <c r="B814" s="41"/>
      <c r="C814" s="42"/>
      <c r="D814" s="43"/>
      <c r="E814" s="42"/>
      <c r="F814" s="42"/>
      <c r="G814" s="42"/>
      <c r="H814" s="42"/>
      <c r="I814" s="42"/>
      <c r="J814" s="42"/>
      <c r="K814" s="42"/>
      <c r="L814" s="42"/>
      <c r="M814" s="42"/>
      <c r="N814" s="42"/>
      <c r="O814" s="42"/>
      <c r="P814" s="42"/>
      <c r="Q814" s="42"/>
      <c r="R814" s="42"/>
      <c r="S814" s="42"/>
      <c r="T814" s="42"/>
      <c r="U814" s="42"/>
      <c r="V814" s="42"/>
      <c r="W814" s="42"/>
      <c r="X814" s="42"/>
      <c r="Y814" s="42"/>
    </row>
    <row r="815" spans="1:25" ht="12.95">
      <c r="A815" s="55"/>
      <c r="B815" s="41"/>
      <c r="C815" s="42"/>
      <c r="D815" s="43"/>
      <c r="E815" s="42"/>
      <c r="F815" s="42"/>
      <c r="G815" s="42"/>
      <c r="H815" s="42"/>
      <c r="I815" s="42"/>
      <c r="J815" s="42"/>
      <c r="K815" s="42"/>
      <c r="L815" s="42"/>
      <c r="M815" s="42"/>
      <c r="N815" s="42"/>
      <c r="O815" s="42"/>
      <c r="P815" s="42"/>
      <c r="Q815" s="42"/>
      <c r="R815" s="42"/>
      <c r="S815" s="42"/>
      <c r="T815" s="42"/>
      <c r="U815" s="42"/>
      <c r="V815" s="42"/>
      <c r="W815" s="42"/>
      <c r="X815" s="42"/>
      <c r="Y815" s="42"/>
    </row>
    <row r="816" spans="1:25" ht="12.95">
      <c r="A816" s="55"/>
      <c r="B816" s="41"/>
      <c r="C816" s="42"/>
      <c r="D816" s="43"/>
      <c r="E816" s="42"/>
      <c r="F816" s="42"/>
      <c r="G816" s="42"/>
      <c r="H816" s="42"/>
      <c r="I816" s="42"/>
      <c r="J816" s="42"/>
      <c r="K816" s="42"/>
      <c r="L816" s="42"/>
      <c r="M816" s="42"/>
      <c r="N816" s="42"/>
      <c r="O816" s="42"/>
      <c r="P816" s="42"/>
      <c r="Q816" s="42"/>
      <c r="R816" s="42"/>
      <c r="S816" s="42"/>
      <c r="T816" s="42"/>
      <c r="U816" s="42"/>
      <c r="V816" s="42"/>
      <c r="W816" s="42"/>
      <c r="X816" s="42"/>
      <c r="Y816" s="42"/>
    </row>
    <row r="817" spans="1:25" ht="12.95">
      <c r="A817" s="55"/>
      <c r="B817" s="41"/>
      <c r="C817" s="42"/>
      <c r="D817" s="43"/>
      <c r="E817" s="42"/>
      <c r="F817" s="42"/>
      <c r="G817" s="42"/>
      <c r="H817" s="42"/>
      <c r="I817" s="42"/>
      <c r="J817" s="42"/>
      <c r="K817" s="42"/>
      <c r="L817" s="42"/>
      <c r="M817" s="42"/>
      <c r="N817" s="42"/>
      <c r="O817" s="42"/>
      <c r="P817" s="42"/>
      <c r="Q817" s="42"/>
      <c r="R817" s="42"/>
      <c r="S817" s="42"/>
      <c r="T817" s="42"/>
      <c r="U817" s="42"/>
      <c r="V817" s="42"/>
      <c r="W817" s="42"/>
      <c r="X817" s="42"/>
      <c r="Y817" s="42"/>
    </row>
    <row r="818" spans="1:25" ht="12.95">
      <c r="A818" s="55"/>
      <c r="B818" s="41"/>
      <c r="C818" s="42"/>
      <c r="D818" s="43"/>
      <c r="E818" s="42"/>
      <c r="F818" s="42"/>
      <c r="G818" s="42"/>
      <c r="H818" s="42"/>
      <c r="I818" s="42"/>
      <c r="J818" s="42"/>
      <c r="K818" s="42"/>
      <c r="L818" s="42"/>
      <c r="M818" s="42"/>
      <c r="N818" s="42"/>
      <c r="O818" s="42"/>
      <c r="P818" s="42"/>
      <c r="Q818" s="42"/>
      <c r="R818" s="42"/>
      <c r="S818" s="42"/>
      <c r="T818" s="42"/>
      <c r="U818" s="42"/>
      <c r="V818" s="42"/>
      <c r="W818" s="42"/>
      <c r="X818" s="42"/>
      <c r="Y818" s="42"/>
    </row>
    <row r="819" spans="1:25" ht="12.95">
      <c r="A819" s="55"/>
      <c r="B819" s="41"/>
      <c r="C819" s="42"/>
      <c r="D819" s="43"/>
      <c r="E819" s="42"/>
      <c r="F819" s="42"/>
      <c r="G819" s="42"/>
      <c r="H819" s="42"/>
      <c r="I819" s="42"/>
      <c r="J819" s="42"/>
      <c r="K819" s="42"/>
      <c r="L819" s="42"/>
      <c r="M819" s="42"/>
      <c r="N819" s="42"/>
      <c r="O819" s="42"/>
      <c r="P819" s="42"/>
      <c r="Q819" s="42"/>
      <c r="R819" s="42"/>
      <c r="S819" s="42"/>
      <c r="T819" s="42"/>
      <c r="U819" s="42"/>
      <c r="V819" s="42"/>
      <c r="W819" s="42"/>
      <c r="X819" s="42"/>
      <c r="Y819" s="42"/>
    </row>
    <row r="820" spans="1:25" ht="12.95">
      <c r="A820" s="55"/>
      <c r="B820" s="41"/>
      <c r="C820" s="42"/>
      <c r="D820" s="43"/>
      <c r="E820" s="42"/>
      <c r="F820" s="42"/>
      <c r="G820" s="42"/>
      <c r="H820" s="42"/>
      <c r="I820" s="42"/>
      <c r="J820" s="42"/>
      <c r="K820" s="42"/>
      <c r="L820" s="42"/>
      <c r="M820" s="42"/>
      <c r="N820" s="42"/>
      <c r="O820" s="42"/>
      <c r="P820" s="42"/>
      <c r="Q820" s="42"/>
      <c r="R820" s="42"/>
      <c r="S820" s="42"/>
      <c r="T820" s="42"/>
      <c r="U820" s="42"/>
      <c r="V820" s="42"/>
      <c r="W820" s="42"/>
      <c r="X820" s="42"/>
      <c r="Y820" s="42"/>
    </row>
    <row r="821" spans="1:25" ht="12.95">
      <c r="A821" s="55"/>
      <c r="B821" s="41"/>
      <c r="C821" s="42"/>
      <c r="D821" s="43"/>
      <c r="E821" s="42"/>
      <c r="F821" s="42"/>
      <c r="G821" s="42"/>
      <c r="H821" s="42"/>
      <c r="I821" s="42"/>
      <c r="J821" s="42"/>
      <c r="K821" s="42"/>
      <c r="L821" s="42"/>
      <c r="M821" s="42"/>
      <c r="N821" s="42"/>
      <c r="O821" s="42"/>
      <c r="P821" s="42"/>
      <c r="Q821" s="42"/>
      <c r="R821" s="42"/>
      <c r="S821" s="42"/>
      <c r="T821" s="42"/>
      <c r="U821" s="42"/>
      <c r="V821" s="42"/>
      <c r="W821" s="42"/>
      <c r="X821" s="42"/>
      <c r="Y821" s="42"/>
    </row>
    <row r="822" spans="1:25" ht="12.95">
      <c r="A822" s="55"/>
      <c r="B822" s="41"/>
      <c r="C822" s="42"/>
      <c r="D822" s="43"/>
      <c r="E822" s="42"/>
      <c r="F822" s="42"/>
      <c r="G822" s="42"/>
      <c r="H822" s="42"/>
      <c r="I822" s="42"/>
      <c r="J822" s="42"/>
      <c r="K822" s="42"/>
      <c r="L822" s="42"/>
      <c r="M822" s="42"/>
      <c r="N822" s="42"/>
      <c r="O822" s="42"/>
      <c r="P822" s="42"/>
      <c r="Q822" s="42"/>
      <c r="R822" s="42"/>
      <c r="S822" s="42"/>
      <c r="T822" s="42"/>
      <c r="U822" s="42"/>
      <c r="V822" s="42"/>
      <c r="W822" s="42"/>
      <c r="X822" s="42"/>
      <c r="Y822" s="42"/>
    </row>
    <row r="823" spans="1:25" ht="12.95">
      <c r="A823" s="55"/>
      <c r="B823" s="41"/>
      <c r="C823" s="42"/>
      <c r="D823" s="43"/>
      <c r="E823" s="42"/>
      <c r="F823" s="42"/>
      <c r="G823" s="42"/>
      <c r="H823" s="42"/>
      <c r="I823" s="42"/>
      <c r="J823" s="42"/>
      <c r="K823" s="42"/>
      <c r="L823" s="42"/>
      <c r="M823" s="42"/>
      <c r="N823" s="42"/>
      <c r="O823" s="42"/>
      <c r="P823" s="42"/>
      <c r="Q823" s="42"/>
      <c r="R823" s="42"/>
      <c r="S823" s="42"/>
      <c r="T823" s="42"/>
      <c r="U823" s="42"/>
      <c r="V823" s="42"/>
      <c r="W823" s="42"/>
      <c r="X823" s="42"/>
      <c r="Y823" s="42"/>
    </row>
    <row r="824" spans="1:25" ht="12.95">
      <c r="A824" s="55"/>
      <c r="B824" s="41"/>
      <c r="C824" s="42"/>
      <c r="D824" s="43"/>
      <c r="E824" s="42"/>
      <c r="F824" s="42"/>
      <c r="G824" s="42"/>
      <c r="H824" s="42"/>
      <c r="I824" s="42"/>
      <c r="J824" s="42"/>
      <c r="K824" s="42"/>
      <c r="L824" s="42"/>
      <c r="M824" s="42"/>
      <c r="N824" s="42"/>
      <c r="O824" s="42"/>
      <c r="P824" s="42"/>
      <c r="Q824" s="42"/>
      <c r="R824" s="42"/>
      <c r="S824" s="42"/>
      <c r="T824" s="42"/>
      <c r="U824" s="42"/>
      <c r="V824" s="42"/>
      <c r="W824" s="42"/>
      <c r="X824" s="42"/>
      <c r="Y824" s="42"/>
    </row>
    <row r="825" spans="1:25" ht="12.95">
      <c r="A825" s="55"/>
      <c r="B825" s="41"/>
      <c r="C825" s="42"/>
      <c r="D825" s="43"/>
      <c r="E825" s="42"/>
      <c r="F825" s="42"/>
      <c r="G825" s="42"/>
      <c r="H825" s="42"/>
      <c r="I825" s="42"/>
      <c r="J825" s="42"/>
      <c r="K825" s="42"/>
      <c r="L825" s="42"/>
      <c r="M825" s="42"/>
      <c r="N825" s="42"/>
      <c r="O825" s="42"/>
      <c r="P825" s="42"/>
      <c r="Q825" s="42"/>
      <c r="R825" s="42"/>
      <c r="S825" s="42"/>
      <c r="T825" s="42"/>
      <c r="U825" s="42"/>
      <c r="V825" s="42"/>
      <c r="W825" s="42"/>
      <c r="X825" s="42"/>
      <c r="Y825" s="42"/>
    </row>
    <row r="826" spans="1:25" ht="12.95">
      <c r="A826" s="55"/>
      <c r="B826" s="41"/>
      <c r="C826" s="42"/>
      <c r="D826" s="43"/>
      <c r="E826" s="42"/>
      <c r="F826" s="42"/>
      <c r="G826" s="42"/>
      <c r="H826" s="42"/>
      <c r="I826" s="42"/>
      <c r="J826" s="42"/>
      <c r="K826" s="42"/>
      <c r="L826" s="42"/>
      <c r="M826" s="42"/>
      <c r="N826" s="42"/>
      <c r="O826" s="42"/>
      <c r="P826" s="42"/>
      <c r="Q826" s="42"/>
      <c r="R826" s="42"/>
      <c r="S826" s="42"/>
      <c r="T826" s="42"/>
      <c r="U826" s="42"/>
      <c r="V826" s="42"/>
      <c r="W826" s="42"/>
      <c r="X826" s="42"/>
      <c r="Y826" s="42"/>
    </row>
    <row r="827" spans="1:25" ht="12.95">
      <c r="A827" s="55"/>
      <c r="B827" s="41"/>
      <c r="C827" s="42"/>
      <c r="D827" s="43"/>
      <c r="E827" s="42"/>
      <c r="F827" s="42"/>
      <c r="G827" s="42"/>
      <c r="H827" s="42"/>
      <c r="I827" s="42"/>
      <c r="J827" s="42"/>
      <c r="K827" s="42"/>
      <c r="L827" s="42"/>
      <c r="M827" s="42"/>
      <c r="N827" s="42"/>
      <c r="O827" s="42"/>
      <c r="P827" s="42"/>
      <c r="Q827" s="42"/>
      <c r="R827" s="42"/>
      <c r="S827" s="42"/>
      <c r="T827" s="42"/>
      <c r="U827" s="42"/>
      <c r="V827" s="42"/>
      <c r="W827" s="42"/>
      <c r="X827" s="42"/>
      <c r="Y827" s="42"/>
    </row>
    <row r="828" spans="1:25" ht="12.95">
      <c r="A828" s="55"/>
      <c r="B828" s="41"/>
      <c r="C828" s="42"/>
      <c r="D828" s="43"/>
      <c r="E828" s="42"/>
      <c r="F828" s="42"/>
      <c r="G828" s="42"/>
      <c r="H828" s="42"/>
      <c r="I828" s="42"/>
      <c r="J828" s="42"/>
      <c r="K828" s="42"/>
      <c r="L828" s="42"/>
      <c r="M828" s="42"/>
      <c r="N828" s="42"/>
      <c r="O828" s="42"/>
      <c r="P828" s="42"/>
      <c r="Q828" s="42"/>
      <c r="R828" s="42"/>
      <c r="S828" s="42"/>
      <c r="T828" s="42"/>
      <c r="U828" s="42"/>
      <c r="V828" s="42"/>
      <c r="W828" s="42"/>
      <c r="X828" s="42"/>
      <c r="Y828" s="42"/>
    </row>
    <row r="829" spans="1:25" ht="12.95">
      <c r="A829" s="55"/>
      <c r="B829" s="41"/>
      <c r="C829" s="42"/>
      <c r="D829" s="43"/>
      <c r="E829" s="42"/>
      <c r="F829" s="42"/>
      <c r="G829" s="42"/>
      <c r="H829" s="42"/>
      <c r="I829" s="42"/>
      <c r="J829" s="42"/>
      <c r="K829" s="42"/>
      <c r="L829" s="42"/>
      <c r="M829" s="42"/>
      <c r="N829" s="42"/>
      <c r="O829" s="42"/>
      <c r="P829" s="42"/>
      <c r="Q829" s="42"/>
      <c r="R829" s="42"/>
      <c r="S829" s="42"/>
      <c r="T829" s="42"/>
      <c r="U829" s="42"/>
      <c r="V829" s="42"/>
      <c r="W829" s="42"/>
      <c r="X829" s="42"/>
      <c r="Y829" s="42"/>
    </row>
    <row r="830" spans="1:25" ht="12.95">
      <c r="A830" s="55"/>
      <c r="B830" s="41"/>
      <c r="C830" s="42"/>
      <c r="D830" s="43"/>
      <c r="E830" s="42"/>
      <c r="F830" s="42"/>
      <c r="G830" s="42"/>
      <c r="H830" s="42"/>
      <c r="I830" s="42"/>
      <c r="J830" s="42"/>
      <c r="K830" s="42"/>
      <c r="L830" s="42"/>
      <c r="M830" s="42"/>
      <c r="N830" s="42"/>
      <c r="O830" s="42"/>
      <c r="P830" s="42"/>
      <c r="Q830" s="42"/>
      <c r="R830" s="42"/>
      <c r="S830" s="42"/>
      <c r="T830" s="42"/>
      <c r="U830" s="42"/>
      <c r="V830" s="42"/>
      <c r="W830" s="42"/>
      <c r="X830" s="42"/>
      <c r="Y830" s="42"/>
    </row>
    <row r="831" spans="1:25" ht="12.95">
      <c r="A831" s="55"/>
      <c r="B831" s="41"/>
      <c r="C831" s="42"/>
      <c r="D831" s="43"/>
      <c r="E831" s="42"/>
      <c r="F831" s="42"/>
      <c r="G831" s="42"/>
      <c r="H831" s="42"/>
      <c r="I831" s="42"/>
      <c r="J831" s="42"/>
      <c r="K831" s="42"/>
      <c r="L831" s="42"/>
      <c r="M831" s="42"/>
      <c r="N831" s="42"/>
      <c r="O831" s="42"/>
      <c r="P831" s="42"/>
      <c r="Q831" s="42"/>
      <c r="R831" s="42"/>
      <c r="S831" s="42"/>
      <c r="T831" s="42"/>
      <c r="U831" s="42"/>
      <c r="V831" s="42"/>
      <c r="W831" s="42"/>
      <c r="X831" s="42"/>
      <c r="Y831" s="42"/>
    </row>
    <row r="832" spans="1:25" ht="12.95">
      <c r="A832" s="55"/>
      <c r="B832" s="41"/>
      <c r="C832" s="42"/>
      <c r="D832" s="43"/>
      <c r="E832" s="42"/>
      <c r="F832" s="42"/>
      <c r="G832" s="42"/>
      <c r="H832" s="42"/>
      <c r="I832" s="42"/>
      <c r="J832" s="42"/>
      <c r="K832" s="42"/>
      <c r="L832" s="42"/>
      <c r="M832" s="42"/>
      <c r="N832" s="42"/>
      <c r="O832" s="42"/>
      <c r="P832" s="42"/>
      <c r="Q832" s="42"/>
      <c r="R832" s="42"/>
      <c r="S832" s="42"/>
      <c r="T832" s="42"/>
      <c r="U832" s="42"/>
      <c r="V832" s="42"/>
      <c r="W832" s="42"/>
      <c r="X832" s="42"/>
      <c r="Y832" s="42"/>
    </row>
    <row r="833" spans="1:25" ht="12.95">
      <c r="A833" s="55"/>
      <c r="B833" s="41"/>
      <c r="C833" s="42"/>
      <c r="D833" s="43"/>
      <c r="E833" s="42"/>
      <c r="F833" s="42"/>
      <c r="G833" s="42"/>
      <c r="H833" s="42"/>
      <c r="I833" s="42"/>
      <c r="J833" s="42"/>
      <c r="K833" s="42"/>
      <c r="L833" s="42"/>
      <c r="M833" s="42"/>
      <c r="N833" s="42"/>
      <c r="O833" s="42"/>
      <c r="P833" s="42"/>
      <c r="Q833" s="42"/>
      <c r="R833" s="42"/>
      <c r="S833" s="42"/>
      <c r="T833" s="42"/>
      <c r="U833" s="42"/>
      <c r="V833" s="42"/>
      <c r="W833" s="42"/>
      <c r="X833" s="42"/>
      <c r="Y833" s="42"/>
    </row>
    <row r="834" spans="1:25" ht="12.95">
      <c r="A834" s="55"/>
      <c r="B834" s="41"/>
      <c r="C834" s="42"/>
      <c r="D834" s="43"/>
      <c r="E834" s="42"/>
      <c r="F834" s="42"/>
      <c r="G834" s="42"/>
      <c r="H834" s="42"/>
      <c r="I834" s="42"/>
      <c r="J834" s="42"/>
      <c r="K834" s="42"/>
      <c r="L834" s="42"/>
      <c r="M834" s="42"/>
      <c r="N834" s="42"/>
      <c r="O834" s="42"/>
      <c r="P834" s="42"/>
      <c r="Q834" s="42"/>
      <c r="R834" s="42"/>
      <c r="S834" s="42"/>
      <c r="T834" s="42"/>
      <c r="U834" s="42"/>
      <c r="V834" s="42"/>
      <c r="W834" s="42"/>
      <c r="X834" s="42"/>
      <c r="Y834" s="42"/>
    </row>
    <row r="835" spans="1:25" ht="12.95">
      <c r="A835" s="55"/>
      <c r="B835" s="41"/>
      <c r="C835" s="42"/>
      <c r="D835" s="43"/>
      <c r="E835" s="42"/>
      <c r="F835" s="42"/>
      <c r="G835" s="42"/>
      <c r="H835" s="42"/>
      <c r="I835" s="42"/>
      <c r="J835" s="42"/>
      <c r="K835" s="42"/>
      <c r="L835" s="42"/>
      <c r="M835" s="42"/>
      <c r="N835" s="42"/>
      <c r="O835" s="42"/>
      <c r="P835" s="42"/>
      <c r="Q835" s="42"/>
      <c r="R835" s="42"/>
      <c r="S835" s="42"/>
      <c r="T835" s="42"/>
      <c r="U835" s="42"/>
      <c r="V835" s="42"/>
      <c r="W835" s="42"/>
      <c r="X835" s="42"/>
      <c r="Y835" s="42"/>
    </row>
    <row r="836" spans="1:25" ht="12.95">
      <c r="A836" s="55"/>
      <c r="B836" s="41"/>
      <c r="C836" s="42"/>
      <c r="D836" s="43"/>
      <c r="E836" s="42"/>
      <c r="F836" s="42"/>
      <c r="G836" s="42"/>
      <c r="H836" s="42"/>
      <c r="I836" s="42"/>
      <c r="J836" s="42"/>
      <c r="K836" s="42"/>
      <c r="L836" s="42"/>
      <c r="M836" s="42"/>
      <c r="N836" s="42"/>
      <c r="O836" s="42"/>
      <c r="P836" s="42"/>
      <c r="Q836" s="42"/>
      <c r="R836" s="42"/>
      <c r="S836" s="42"/>
      <c r="T836" s="42"/>
      <c r="U836" s="42"/>
      <c r="V836" s="42"/>
      <c r="W836" s="42"/>
      <c r="X836" s="42"/>
      <c r="Y836" s="42"/>
    </row>
    <row r="837" spans="1:25" ht="12.95">
      <c r="A837" s="55"/>
      <c r="B837" s="41"/>
      <c r="C837" s="42"/>
      <c r="D837" s="43"/>
      <c r="E837" s="42"/>
      <c r="F837" s="42"/>
      <c r="G837" s="42"/>
      <c r="H837" s="42"/>
      <c r="I837" s="42"/>
      <c r="J837" s="42"/>
      <c r="K837" s="42"/>
      <c r="L837" s="42"/>
      <c r="M837" s="42"/>
      <c r="N837" s="42"/>
      <c r="O837" s="42"/>
      <c r="P837" s="42"/>
      <c r="Q837" s="42"/>
      <c r="R837" s="42"/>
      <c r="S837" s="42"/>
      <c r="T837" s="42"/>
      <c r="U837" s="42"/>
      <c r="V837" s="42"/>
      <c r="W837" s="42"/>
      <c r="X837" s="42"/>
      <c r="Y837" s="42"/>
    </row>
    <row r="838" spans="1:25" ht="12.95">
      <c r="A838" s="55"/>
      <c r="B838" s="41"/>
      <c r="C838" s="42"/>
      <c r="D838" s="43"/>
      <c r="E838" s="42"/>
      <c r="F838" s="42"/>
      <c r="G838" s="42"/>
      <c r="H838" s="42"/>
      <c r="I838" s="42"/>
      <c r="J838" s="42"/>
      <c r="K838" s="42"/>
      <c r="L838" s="42"/>
      <c r="M838" s="42"/>
      <c r="N838" s="42"/>
      <c r="O838" s="42"/>
      <c r="P838" s="42"/>
      <c r="Q838" s="42"/>
      <c r="R838" s="42"/>
      <c r="S838" s="42"/>
      <c r="T838" s="42"/>
      <c r="U838" s="42"/>
      <c r="V838" s="42"/>
      <c r="W838" s="42"/>
      <c r="X838" s="42"/>
      <c r="Y838" s="42"/>
    </row>
    <row r="839" spans="1:25" ht="12.95">
      <c r="A839" s="55"/>
      <c r="B839" s="41"/>
      <c r="C839" s="42"/>
      <c r="D839" s="43"/>
      <c r="E839" s="42"/>
      <c r="F839" s="42"/>
      <c r="G839" s="42"/>
      <c r="H839" s="42"/>
      <c r="I839" s="42"/>
      <c r="J839" s="42"/>
      <c r="K839" s="42"/>
      <c r="L839" s="42"/>
      <c r="M839" s="42"/>
      <c r="N839" s="42"/>
      <c r="O839" s="42"/>
      <c r="P839" s="42"/>
      <c r="Q839" s="42"/>
      <c r="R839" s="42"/>
      <c r="S839" s="42"/>
      <c r="T839" s="42"/>
      <c r="U839" s="42"/>
      <c r="V839" s="42"/>
      <c r="W839" s="42"/>
      <c r="X839" s="42"/>
      <c r="Y839" s="42"/>
    </row>
    <row r="840" spans="1:25" ht="12.95">
      <c r="A840" s="55"/>
      <c r="B840" s="41"/>
      <c r="C840" s="42"/>
      <c r="D840" s="43"/>
      <c r="E840" s="42"/>
      <c r="F840" s="42"/>
      <c r="G840" s="42"/>
      <c r="H840" s="42"/>
      <c r="I840" s="42"/>
      <c r="J840" s="42"/>
      <c r="K840" s="42"/>
      <c r="L840" s="42"/>
      <c r="M840" s="42"/>
      <c r="N840" s="42"/>
      <c r="O840" s="42"/>
      <c r="P840" s="42"/>
      <c r="Q840" s="42"/>
      <c r="R840" s="42"/>
      <c r="S840" s="42"/>
      <c r="T840" s="42"/>
      <c r="U840" s="42"/>
      <c r="V840" s="42"/>
      <c r="W840" s="42"/>
      <c r="X840" s="42"/>
      <c r="Y840" s="42"/>
    </row>
    <row r="841" spans="1:25" ht="12.95">
      <c r="A841" s="55"/>
      <c r="B841" s="41"/>
      <c r="C841" s="42"/>
      <c r="D841" s="43"/>
      <c r="E841" s="42"/>
      <c r="F841" s="42"/>
      <c r="G841" s="42"/>
      <c r="H841" s="42"/>
      <c r="I841" s="42"/>
      <c r="J841" s="42"/>
      <c r="K841" s="42"/>
      <c r="L841" s="42"/>
      <c r="M841" s="42"/>
      <c r="N841" s="42"/>
      <c r="O841" s="42"/>
      <c r="P841" s="42"/>
      <c r="Q841" s="42"/>
      <c r="R841" s="42"/>
      <c r="S841" s="42"/>
      <c r="T841" s="42"/>
      <c r="U841" s="42"/>
      <c r="V841" s="42"/>
      <c r="W841" s="42"/>
      <c r="X841" s="42"/>
      <c r="Y841" s="42"/>
    </row>
    <row r="842" spans="1:25" ht="12.95">
      <c r="A842" s="55"/>
      <c r="B842" s="41"/>
      <c r="C842" s="42"/>
      <c r="D842" s="43"/>
      <c r="E842" s="42"/>
      <c r="F842" s="42"/>
      <c r="G842" s="42"/>
      <c r="H842" s="42"/>
      <c r="I842" s="42"/>
      <c r="J842" s="42"/>
      <c r="K842" s="42"/>
      <c r="L842" s="42"/>
      <c r="M842" s="42"/>
      <c r="N842" s="42"/>
      <c r="O842" s="42"/>
      <c r="P842" s="42"/>
      <c r="Q842" s="42"/>
      <c r="R842" s="42"/>
      <c r="S842" s="42"/>
      <c r="T842" s="42"/>
      <c r="U842" s="42"/>
      <c r="V842" s="42"/>
      <c r="W842" s="42"/>
      <c r="X842" s="42"/>
      <c r="Y842" s="42"/>
    </row>
  </sheetData>
  <mergeCells count="22">
    <mergeCell ref="A9:A11"/>
    <mergeCell ref="B9:B11"/>
    <mergeCell ref="A12:A15"/>
    <mergeCell ref="B12:B15"/>
    <mergeCell ref="A16:A17"/>
    <mergeCell ref="B16:B17"/>
    <mergeCell ref="A18:A21"/>
    <mergeCell ref="B18:B21"/>
    <mergeCell ref="A22:A25"/>
    <mergeCell ref="B22:B25"/>
    <mergeCell ref="A26:A29"/>
    <mergeCell ref="B26:B29"/>
    <mergeCell ref="A44:A45"/>
    <mergeCell ref="B44:B45"/>
    <mergeCell ref="A46:A49"/>
    <mergeCell ref="B46:B49"/>
    <mergeCell ref="A30:A35"/>
    <mergeCell ref="B30:B35"/>
    <mergeCell ref="A36:A39"/>
    <mergeCell ref="B36:B39"/>
    <mergeCell ref="A40:A43"/>
    <mergeCell ref="B40:B43"/>
  </mergeCells>
  <hyperlinks>
    <hyperlink ref="A3" r:id="rId1" xr:uid="{00000000-0004-0000-0800-000000000000}"/>
    <hyperlink ref="A5" r:id="rId2" xr:uid="{00000000-0004-0000-0800-000001000000}"/>
  </hyperlinks>
  <printOptions horizontalCentered="1" gridLines="1"/>
  <pageMargins left="0.23622047244094491" right="0.23622047244094491" top="0.74803149606299213" bottom="0.74803149606299213" header="0" footer="0"/>
  <pageSetup paperSize="9" scale="70" fitToHeight="4" pageOrder="overThenDown" orientation="portrait" cellComments="atEnd" r:id="rId3"/>
  <rowBreaks count="2" manualBreakCount="2">
    <brk id="48" man="1"/>
    <brk id="25" man="1"/>
  </rowBreaks>
  <colBreaks count="2" manualBreakCount="2">
    <brk man="1"/>
    <brk id="4"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3"/>
  <sheetViews>
    <sheetView workbookViewId="0">
      <selection activeCell="H28" sqref="H28"/>
    </sheetView>
  </sheetViews>
  <sheetFormatPr defaultColWidth="8.85546875" defaultRowHeight="14.45"/>
  <cols>
    <col min="2" max="2" width="26.85546875" customWidth="1"/>
    <col min="8" max="8" width="40.140625" customWidth="1"/>
  </cols>
  <sheetData>
    <row r="1" spans="1:8" ht="29.1">
      <c r="A1" s="32" t="s">
        <v>2011</v>
      </c>
      <c r="D1" t="s">
        <v>2012</v>
      </c>
      <c r="G1" s="47" t="s">
        <v>1912</v>
      </c>
      <c r="H1" s="49" t="s">
        <v>1914</v>
      </c>
    </row>
    <row r="2" spans="1:8">
      <c r="A2">
        <v>0</v>
      </c>
      <c r="B2" s="54" t="s">
        <v>241</v>
      </c>
      <c r="D2" t="s">
        <v>54</v>
      </c>
      <c r="G2" s="51">
        <v>0</v>
      </c>
      <c r="H2" s="51" t="s">
        <v>241</v>
      </c>
    </row>
    <row r="3" spans="1:8" ht="14.45" customHeight="1">
      <c r="A3">
        <v>2</v>
      </c>
      <c r="B3" s="54" t="s">
        <v>1916</v>
      </c>
      <c r="D3" t="s">
        <v>107</v>
      </c>
      <c r="G3" s="50">
        <v>1.1000000000000001</v>
      </c>
      <c r="H3" s="51" t="s">
        <v>285</v>
      </c>
    </row>
    <row r="4" spans="1:8">
      <c r="A4">
        <v>3</v>
      </c>
      <c r="B4" s="54" t="s">
        <v>1900</v>
      </c>
      <c r="D4" t="s">
        <v>2013</v>
      </c>
      <c r="G4" s="50">
        <v>1.2</v>
      </c>
      <c r="H4" s="51" t="s">
        <v>1920</v>
      </c>
    </row>
    <row r="5" spans="1:8">
      <c r="A5">
        <v>4</v>
      </c>
      <c r="B5" s="54" t="s">
        <v>1933</v>
      </c>
      <c r="G5" s="50">
        <v>1.3</v>
      </c>
      <c r="H5" s="51" t="s">
        <v>1922</v>
      </c>
    </row>
    <row r="6" spans="1:8" ht="14.45" customHeight="1">
      <c r="A6">
        <v>5</v>
      </c>
      <c r="B6" s="54" t="s">
        <v>1904</v>
      </c>
      <c r="G6" s="50">
        <v>2.1</v>
      </c>
      <c r="H6" s="51" t="s">
        <v>97</v>
      </c>
    </row>
    <row r="7" spans="1:8">
      <c r="A7">
        <v>6</v>
      </c>
      <c r="B7" s="54" t="s">
        <v>1899</v>
      </c>
      <c r="G7" s="50">
        <v>2.2000000000000002</v>
      </c>
      <c r="H7" s="51" t="s">
        <v>1927</v>
      </c>
    </row>
    <row r="8" spans="1:8">
      <c r="A8">
        <v>7</v>
      </c>
      <c r="B8" s="54" t="s">
        <v>1958</v>
      </c>
      <c r="G8" s="50">
        <v>2.2999999999999998</v>
      </c>
      <c r="H8" s="51" t="s">
        <v>62</v>
      </c>
    </row>
    <row r="9" spans="1:8" ht="26.1">
      <c r="A9">
        <v>8</v>
      </c>
      <c r="B9" s="54" t="s">
        <v>1897</v>
      </c>
      <c r="G9" s="50">
        <v>2.4</v>
      </c>
      <c r="H9" s="51" t="s">
        <v>1931</v>
      </c>
    </row>
    <row r="10" spans="1:8" ht="14.45" customHeight="1">
      <c r="A10">
        <v>9</v>
      </c>
      <c r="B10" s="54" t="s">
        <v>1896</v>
      </c>
      <c r="G10" s="50">
        <v>3.1</v>
      </c>
      <c r="H10" s="51" t="s">
        <v>1935</v>
      </c>
    </row>
    <row r="11" spans="1:8">
      <c r="A11">
        <v>10</v>
      </c>
      <c r="B11" s="54" t="s">
        <v>1905</v>
      </c>
      <c r="G11" s="50">
        <v>3.2</v>
      </c>
      <c r="H11" s="51" t="s">
        <v>121</v>
      </c>
    </row>
    <row r="12" spans="1:8" ht="14.45" customHeight="1">
      <c r="A12">
        <v>11</v>
      </c>
      <c r="B12" s="54" t="s">
        <v>1903</v>
      </c>
      <c r="G12" s="50">
        <v>4.0999999999999996</v>
      </c>
      <c r="H12" s="51" t="s">
        <v>224</v>
      </c>
    </row>
    <row r="13" spans="1:8">
      <c r="B13" s="54" t="s">
        <v>1898</v>
      </c>
      <c r="G13" s="50">
        <v>4.2</v>
      </c>
      <c r="H13" s="51" t="s">
        <v>120</v>
      </c>
    </row>
    <row r="14" spans="1:8">
      <c r="G14" s="50">
        <v>4.3</v>
      </c>
      <c r="H14" s="51" t="s">
        <v>1944</v>
      </c>
    </row>
    <row r="15" spans="1:8">
      <c r="G15" s="50">
        <v>4.4000000000000004</v>
      </c>
      <c r="H15" s="51" t="s">
        <v>1947</v>
      </c>
    </row>
    <row r="16" spans="1:8" ht="14.45" customHeight="1">
      <c r="G16" s="50">
        <v>5.0999999999999996</v>
      </c>
      <c r="H16" s="51" t="s">
        <v>174</v>
      </c>
    </row>
    <row r="17" spans="7:8">
      <c r="G17" s="53">
        <v>5.2</v>
      </c>
      <c r="H17" s="51" t="s">
        <v>200</v>
      </c>
    </row>
    <row r="18" spans="7:8">
      <c r="G18" s="50">
        <v>5.3</v>
      </c>
      <c r="H18" s="51" t="s">
        <v>56</v>
      </c>
    </row>
    <row r="19" spans="7:8">
      <c r="G19" s="50">
        <v>5.4</v>
      </c>
      <c r="H19" s="51" t="s">
        <v>1956</v>
      </c>
    </row>
    <row r="20" spans="7:8">
      <c r="G20" s="50">
        <v>6.1</v>
      </c>
      <c r="H20" s="51" t="s">
        <v>74</v>
      </c>
    </row>
    <row r="21" spans="7:8">
      <c r="G21" s="50">
        <v>6.2</v>
      </c>
      <c r="H21" s="51" t="s">
        <v>1962</v>
      </c>
    </row>
    <row r="22" spans="7:8">
      <c r="G22" s="50">
        <v>6.3</v>
      </c>
      <c r="H22" s="51" t="s">
        <v>68</v>
      </c>
    </row>
    <row r="23" spans="7:8">
      <c r="G23" s="50">
        <v>6.4</v>
      </c>
      <c r="H23" s="51" t="s">
        <v>1967</v>
      </c>
    </row>
    <row r="24" spans="7:8" ht="14.45" customHeight="1">
      <c r="G24" s="50">
        <v>7.1</v>
      </c>
      <c r="H24" s="51" t="s">
        <v>76</v>
      </c>
    </row>
    <row r="25" spans="7:8">
      <c r="G25" s="50">
        <v>7.2</v>
      </c>
      <c r="H25" s="51" t="s">
        <v>78</v>
      </c>
    </row>
    <row r="26" spans="7:8">
      <c r="G26" s="50">
        <v>7.3</v>
      </c>
      <c r="H26" s="51" t="s">
        <v>1974</v>
      </c>
    </row>
    <row r="27" spans="7:8">
      <c r="G27" s="50">
        <v>7.4</v>
      </c>
      <c r="H27" s="51" t="s">
        <v>1977</v>
      </c>
    </row>
    <row r="28" spans="7:8">
      <c r="G28" s="50">
        <v>7.5</v>
      </c>
      <c r="H28" s="51" t="s">
        <v>59</v>
      </c>
    </row>
    <row r="29" spans="7:8">
      <c r="G29" s="50">
        <v>7.6</v>
      </c>
      <c r="H29" s="51" t="s">
        <v>91</v>
      </c>
    </row>
    <row r="30" spans="7:8" ht="14.45" customHeight="1">
      <c r="G30" s="50">
        <v>8.1</v>
      </c>
      <c r="H30" s="51" t="s">
        <v>114</v>
      </c>
    </row>
    <row r="31" spans="7:8">
      <c r="G31" s="50">
        <v>8.1999999999999993</v>
      </c>
      <c r="H31" s="51" t="s">
        <v>92</v>
      </c>
    </row>
    <row r="32" spans="7:8">
      <c r="G32" s="50">
        <v>8.3000000000000007</v>
      </c>
      <c r="H32" s="51" t="s">
        <v>1988</v>
      </c>
    </row>
    <row r="33" spans="7:8">
      <c r="G33" s="50">
        <v>8.4</v>
      </c>
      <c r="H33" s="51" t="s">
        <v>239</v>
      </c>
    </row>
    <row r="34" spans="7:8">
      <c r="G34" s="50">
        <v>9.1</v>
      </c>
      <c r="H34" s="51" t="s">
        <v>139</v>
      </c>
    </row>
    <row r="35" spans="7:8">
      <c r="G35" s="50">
        <v>9.1999999999999993</v>
      </c>
      <c r="H35" s="51" t="s">
        <v>1995</v>
      </c>
    </row>
    <row r="36" spans="7:8">
      <c r="G36" s="50">
        <v>9.3000000000000007</v>
      </c>
      <c r="H36" s="51" t="s">
        <v>1998</v>
      </c>
    </row>
    <row r="37" spans="7:8">
      <c r="G37" s="50">
        <v>9.4</v>
      </c>
      <c r="H37" s="51" t="s">
        <v>2001</v>
      </c>
    </row>
    <row r="38" spans="7:8" ht="14.45" customHeight="1">
      <c r="G38" s="50">
        <v>10.1</v>
      </c>
      <c r="H38" s="51" t="s">
        <v>205</v>
      </c>
    </row>
    <row r="39" spans="7:8">
      <c r="G39" s="50">
        <v>10.199999999999999</v>
      </c>
      <c r="H39" s="51" t="s">
        <v>2005</v>
      </c>
    </row>
    <row r="40" spans="7:8" ht="14.45" customHeight="1">
      <c r="G40" s="50">
        <v>11.1</v>
      </c>
      <c r="H40" s="51" t="s">
        <v>193</v>
      </c>
    </row>
    <row r="41" spans="7:8" ht="26.1">
      <c r="G41" s="50">
        <v>11.2</v>
      </c>
      <c r="H41" s="51" t="s">
        <v>65</v>
      </c>
    </row>
    <row r="42" spans="7:8" ht="26.1">
      <c r="G42" s="50">
        <v>11.3</v>
      </c>
      <c r="H42" s="51" t="s">
        <v>69</v>
      </c>
    </row>
    <row r="43" spans="7:8">
      <c r="G43" s="50">
        <v>11.4</v>
      </c>
      <c r="H43" s="51" t="s">
        <v>2010</v>
      </c>
    </row>
  </sheetData>
  <printOptions gridLines="1"/>
  <pageMargins left="0.18" right="0.19" top="0.74803149606299213" bottom="0.74803149606299213" header="0.31496062992125984" footer="0.31496062992125984"/>
  <pageSetup paperSize="9" scale="84"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44"/>
  <sheetViews>
    <sheetView topLeftCell="D1" workbookViewId="0">
      <selection activeCell="L2" sqref="L2"/>
    </sheetView>
  </sheetViews>
  <sheetFormatPr defaultColWidth="10.85546875" defaultRowHeight="10.5"/>
  <cols>
    <col min="1" max="1" width="24.85546875" style="232" customWidth="1"/>
    <col min="2" max="6" width="10.85546875" style="232" customWidth="1"/>
    <col min="7" max="11" width="4.140625" style="232" customWidth="1"/>
    <col min="12" max="15" width="10.85546875" style="255"/>
    <col min="16" max="16" width="19.85546875" style="255" customWidth="1"/>
    <col min="17" max="21" width="10.85546875" style="255"/>
    <col min="22" max="16384" width="10.85546875" style="232"/>
  </cols>
  <sheetData>
    <row r="1" spans="1:22" ht="63">
      <c r="A1" s="233" t="s">
        <v>2014</v>
      </c>
      <c r="B1" s="234" t="s">
        <v>2015</v>
      </c>
      <c r="C1" s="235" t="s">
        <v>2016</v>
      </c>
      <c r="D1" s="236" t="s">
        <v>2017</v>
      </c>
      <c r="E1" s="237" t="s">
        <v>2018</v>
      </c>
      <c r="F1" s="237" t="s">
        <v>2018</v>
      </c>
      <c r="G1" s="238">
        <v>2022</v>
      </c>
      <c r="H1" s="238">
        <v>2023</v>
      </c>
      <c r="I1" s="238">
        <v>2024</v>
      </c>
      <c r="J1" s="238">
        <v>2025</v>
      </c>
      <c r="K1" s="238">
        <v>2026</v>
      </c>
      <c r="L1" s="256" t="s">
        <v>317</v>
      </c>
      <c r="M1" s="257" t="s">
        <v>318</v>
      </c>
      <c r="N1" s="257" t="s">
        <v>319</v>
      </c>
      <c r="O1" s="258" t="s">
        <v>320</v>
      </c>
      <c r="P1" s="257" t="s">
        <v>321</v>
      </c>
      <c r="Q1" s="259" t="s">
        <v>322</v>
      </c>
      <c r="R1" s="259" t="s">
        <v>323</v>
      </c>
      <c r="S1" s="259" t="s">
        <v>324</v>
      </c>
      <c r="T1" s="259" t="s">
        <v>325</v>
      </c>
      <c r="U1" s="260" t="s">
        <v>326</v>
      </c>
      <c r="V1" s="260" t="s">
        <v>327</v>
      </c>
    </row>
    <row r="2" spans="1:22" ht="62.45" customHeight="1">
      <c r="A2" s="240" t="s">
        <v>2019</v>
      </c>
      <c r="B2" s="240" t="s">
        <v>2020</v>
      </c>
      <c r="C2" s="240" t="s">
        <v>2021</v>
      </c>
      <c r="D2" s="241">
        <v>17500</v>
      </c>
      <c r="E2" s="240" t="s">
        <v>2020</v>
      </c>
      <c r="F2" s="240" t="s">
        <v>2022</v>
      </c>
      <c r="G2" s="242" t="s">
        <v>2023</v>
      </c>
      <c r="H2" s="242" t="s">
        <v>2023</v>
      </c>
      <c r="I2" s="242" t="s">
        <v>2023</v>
      </c>
      <c r="J2" s="242" t="s">
        <v>2023</v>
      </c>
      <c r="K2" s="242" t="s">
        <v>2023</v>
      </c>
      <c r="L2" s="227" t="s">
        <v>305</v>
      </c>
      <c r="M2" s="228">
        <v>9</v>
      </c>
      <c r="N2" s="229" t="s">
        <v>1059</v>
      </c>
      <c r="O2" s="230" t="s">
        <v>1060</v>
      </c>
      <c r="P2" s="231" t="s">
        <v>1061</v>
      </c>
      <c r="Q2" s="225" t="s">
        <v>1062</v>
      </c>
      <c r="R2" s="225" t="s">
        <v>1063</v>
      </c>
      <c r="S2" s="225" t="s">
        <v>348</v>
      </c>
      <c r="T2" s="225" t="s">
        <v>570</v>
      </c>
      <c r="U2" s="226" t="str">
        <f>R2</f>
        <v>Desplegar la Carta Europea de Turisme Sostenible (CETS)</v>
      </c>
    </row>
    <row r="3" spans="1:22" ht="69.95">
      <c r="A3" s="240" t="s">
        <v>2024</v>
      </c>
      <c r="B3" s="240" t="s">
        <v>2020</v>
      </c>
      <c r="C3" s="240" t="s">
        <v>2025</v>
      </c>
      <c r="D3" s="241">
        <v>27500</v>
      </c>
      <c r="E3" s="240" t="s">
        <v>2020</v>
      </c>
      <c r="F3" s="240" t="s">
        <v>2022</v>
      </c>
      <c r="G3" s="242" t="s">
        <v>2023</v>
      </c>
      <c r="H3" s="242" t="s">
        <v>2023</v>
      </c>
      <c r="I3" s="242" t="s">
        <v>2023</v>
      </c>
      <c r="J3" s="242" t="s">
        <v>2023</v>
      </c>
      <c r="K3" s="242" t="s">
        <v>2023</v>
      </c>
      <c r="L3" s="227" t="s">
        <v>305</v>
      </c>
      <c r="M3" s="228">
        <v>9</v>
      </c>
      <c r="N3" s="229" t="s">
        <v>1059</v>
      </c>
      <c r="O3" s="230" t="s">
        <v>1060</v>
      </c>
      <c r="P3" s="231" t="s">
        <v>1061</v>
      </c>
      <c r="Q3" s="225" t="s">
        <v>1062</v>
      </c>
      <c r="R3" s="225" t="s">
        <v>1063</v>
      </c>
      <c r="S3" s="225" t="s">
        <v>348</v>
      </c>
      <c r="T3" s="225" t="s">
        <v>570</v>
      </c>
      <c r="U3" s="226" t="str">
        <f>R3</f>
        <v>Desplegar la Carta Europea de Turisme Sostenible (CETS)</v>
      </c>
    </row>
    <row r="4" spans="1:22" ht="51" customHeight="1">
      <c r="A4" s="243" t="s">
        <v>2026</v>
      </c>
      <c r="B4" s="244" t="s">
        <v>2027</v>
      </c>
      <c r="C4" s="239" t="s">
        <v>2028</v>
      </c>
      <c r="D4" s="245">
        <v>10000</v>
      </c>
      <c r="E4" s="243" t="s">
        <v>2029</v>
      </c>
      <c r="F4" s="243" t="s">
        <v>2030</v>
      </c>
      <c r="G4" s="242" t="s">
        <v>2023</v>
      </c>
      <c r="H4" s="242" t="s">
        <v>2023</v>
      </c>
      <c r="I4" s="242"/>
      <c r="J4" s="242"/>
      <c r="K4" s="242"/>
      <c r="L4" s="143" t="s">
        <v>309</v>
      </c>
      <c r="M4" s="151">
        <v>11</v>
      </c>
      <c r="N4" s="152" t="s">
        <v>1112</v>
      </c>
      <c r="O4" s="153" t="s">
        <v>1113</v>
      </c>
      <c r="P4" s="197" t="s">
        <v>1114</v>
      </c>
      <c r="Q4" s="88" t="s">
        <v>1152</v>
      </c>
      <c r="R4" s="88" t="s">
        <v>2031</v>
      </c>
      <c r="S4" s="88" t="s">
        <v>416</v>
      </c>
      <c r="T4" s="88" t="s">
        <v>377</v>
      </c>
      <c r="U4" s="20" t="str">
        <f>+R4</f>
        <v>Regular les zones de bany</v>
      </c>
    </row>
    <row r="5" spans="1:22" ht="60">
      <c r="A5" s="240" t="s">
        <v>2032</v>
      </c>
      <c r="B5" s="240" t="s">
        <v>2020</v>
      </c>
      <c r="C5" s="240" t="s">
        <v>2033</v>
      </c>
      <c r="D5" s="241">
        <v>92500</v>
      </c>
      <c r="E5" s="240" t="s">
        <v>2020</v>
      </c>
      <c r="F5" s="240" t="s">
        <v>2022</v>
      </c>
      <c r="G5" s="242" t="s">
        <v>2023</v>
      </c>
      <c r="H5" s="242" t="s">
        <v>2023</v>
      </c>
      <c r="I5" s="242" t="s">
        <v>2023</v>
      </c>
      <c r="J5" s="242" t="s">
        <v>2023</v>
      </c>
      <c r="K5" s="242" t="s">
        <v>2023</v>
      </c>
    </row>
    <row r="6" spans="1:22" ht="87.6" customHeight="1">
      <c r="A6" s="240" t="s">
        <v>2034</v>
      </c>
      <c r="B6" s="243" t="s">
        <v>2020</v>
      </c>
      <c r="C6" s="239" t="s">
        <v>2035</v>
      </c>
      <c r="D6" s="241">
        <v>16000</v>
      </c>
      <c r="E6" s="243" t="s">
        <v>2020</v>
      </c>
      <c r="F6" s="243" t="s">
        <v>2022</v>
      </c>
      <c r="G6" s="242"/>
      <c r="H6" s="242" t="s">
        <v>2023</v>
      </c>
      <c r="I6" s="242" t="s">
        <v>2023</v>
      </c>
      <c r="J6" s="242"/>
      <c r="K6" s="242"/>
    </row>
    <row r="7" spans="1:22" ht="30">
      <c r="A7" s="240" t="s">
        <v>2036</v>
      </c>
      <c r="B7" s="239" t="s">
        <v>2037</v>
      </c>
      <c r="C7" s="240" t="s">
        <v>2038</v>
      </c>
      <c r="D7" s="246">
        <v>16500</v>
      </c>
      <c r="E7" s="243" t="s">
        <v>2020</v>
      </c>
      <c r="F7" s="243" t="s">
        <v>2022</v>
      </c>
      <c r="G7" s="242" t="s">
        <v>2023</v>
      </c>
      <c r="H7" s="242" t="s">
        <v>2023</v>
      </c>
      <c r="I7" s="242" t="s">
        <v>2023</v>
      </c>
      <c r="J7" s="242" t="s">
        <v>2023</v>
      </c>
      <c r="K7" s="242" t="s">
        <v>2023</v>
      </c>
    </row>
    <row r="8" spans="1:22" ht="30">
      <c r="A8" s="240" t="s">
        <v>2039</v>
      </c>
      <c r="B8" s="240" t="s">
        <v>2020</v>
      </c>
      <c r="C8" s="247" t="s">
        <v>2025</v>
      </c>
      <c r="D8" s="241">
        <v>18200</v>
      </c>
      <c r="E8" s="240" t="s">
        <v>2020</v>
      </c>
      <c r="F8" s="240" t="s">
        <v>2022</v>
      </c>
      <c r="G8" s="242" t="s">
        <v>2023</v>
      </c>
      <c r="H8" s="242" t="s">
        <v>2023</v>
      </c>
      <c r="I8" s="242" t="s">
        <v>2023</v>
      </c>
      <c r="J8" s="242" t="s">
        <v>2023</v>
      </c>
      <c r="K8" s="242" t="s">
        <v>2023</v>
      </c>
    </row>
    <row r="9" spans="1:22" ht="78.95" customHeight="1">
      <c r="A9" s="243" t="s">
        <v>2040</v>
      </c>
      <c r="B9" s="248" t="s">
        <v>2041</v>
      </c>
      <c r="C9" s="249" t="s">
        <v>2042</v>
      </c>
      <c r="D9" s="241">
        <v>96000</v>
      </c>
      <c r="E9" s="248" t="s">
        <v>2043</v>
      </c>
      <c r="F9" s="248" t="s">
        <v>2044</v>
      </c>
      <c r="G9" s="242" t="s">
        <v>2023</v>
      </c>
      <c r="H9" s="242" t="s">
        <v>2023</v>
      </c>
      <c r="I9" s="242" t="s">
        <v>2023</v>
      </c>
      <c r="J9" s="242" t="s">
        <v>2023</v>
      </c>
      <c r="K9" s="242" t="s">
        <v>2023</v>
      </c>
    </row>
    <row r="10" spans="1:22" ht="55.5" customHeight="1">
      <c r="A10" s="243" t="s">
        <v>2045</v>
      </c>
      <c r="B10" s="243" t="s">
        <v>2020</v>
      </c>
      <c r="C10" s="249" t="s">
        <v>2046</v>
      </c>
      <c r="D10" s="245">
        <v>27200</v>
      </c>
      <c r="E10" s="243" t="s">
        <v>2020</v>
      </c>
      <c r="F10" s="243" t="s">
        <v>2022</v>
      </c>
      <c r="G10" s="242" t="s">
        <v>2023</v>
      </c>
      <c r="H10" s="242" t="s">
        <v>2023</v>
      </c>
      <c r="I10" s="242" t="s">
        <v>2023</v>
      </c>
      <c r="J10" s="242"/>
      <c r="K10" s="242"/>
    </row>
    <row r="11" spans="1:22" ht="50.1">
      <c r="A11" s="240" t="s">
        <v>2047</v>
      </c>
      <c r="B11" s="240" t="s">
        <v>2020</v>
      </c>
      <c r="C11" s="247" t="s">
        <v>2048</v>
      </c>
      <c r="D11" s="250">
        <v>21800</v>
      </c>
      <c r="E11" s="240" t="s">
        <v>2020</v>
      </c>
      <c r="F11" s="240" t="s">
        <v>2022</v>
      </c>
      <c r="G11" s="242"/>
      <c r="H11" s="242" t="s">
        <v>2023</v>
      </c>
      <c r="I11" s="242"/>
      <c r="J11" s="242"/>
      <c r="K11" s="242"/>
    </row>
    <row r="12" spans="1:22" ht="53.1" customHeight="1">
      <c r="A12" s="243" t="s">
        <v>2049</v>
      </c>
      <c r="B12" s="240" t="s">
        <v>2020</v>
      </c>
      <c r="C12" s="249" t="s">
        <v>2050</v>
      </c>
      <c r="D12" s="245">
        <v>12800</v>
      </c>
      <c r="E12" s="240" t="s">
        <v>2020</v>
      </c>
      <c r="F12" s="240" t="s">
        <v>2022</v>
      </c>
      <c r="G12" s="242" t="s">
        <v>2023</v>
      </c>
      <c r="H12" s="242" t="s">
        <v>2023</v>
      </c>
      <c r="I12" s="242"/>
      <c r="J12" s="242"/>
      <c r="K12" s="242"/>
    </row>
    <row r="13" spans="1:22" ht="60.95" customHeight="1">
      <c r="A13" s="240" t="s">
        <v>2051</v>
      </c>
      <c r="B13" s="243" t="s">
        <v>2020</v>
      </c>
      <c r="C13" s="249" t="s">
        <v>2052</v>
      </c>
      <c r="D13" s="241">
        <v>30000</v>
      </c>
      <c r="E13" s="243" t="s">
        <v>2020</v>
      </c>
      <c r="F13" s="243" t="s">
        <v>2022</v>
      </c>
      <c r="G13" s="244"/>
      <c r="H13" s="242" t="s">
        <v>2023</v>
      </c>
      <c r="I13" s="242" t="s">
        <v>2023</v>
      </c>
      <c r="J13" s="242" t="s">
        <v>2023</v>
      </c>
      <c r="K13" s="242"/>
    </row>
    <row r="14" spans="1:22" s="268" customFormat="1" ht="63.6" customHeight="1">
      <c r="A14" s="262" t="s">
        <v>2053</v>
      </c>
      <c r="B14" s="262" t="s">
        <v>2020</v>
      </c>
      <c r="C14" s="263" t="s">
        <v>2054</v>
      </c>
      <c r="D14" s="264">
        <v>10000</v>
      </c>
      <c r="E14" s="262" t="s">
        <v>2020</v>
      </c>
      <c r="F14" s="262" t="s">
        <v>2022</v>
      </c>
      <c r="G14" s="265"/>
      <c r="H14" s="266" t="s">
        <v>2023</v>
      </c>
      <c r="I14" s="266"/>
      <c r="J14" s="266"/>
      <c r="K14" s="266"/>
      <c r="L14" s="267"/>
      <c r="M14" s="267"/>
      <c r="N14" s="267"/>
      <c r="O14" s="267"/>
      <c r="P14" s="267"/>
      <c r="Q14" s="267"/>
      <c r="R14" s="267"/>
      <c r="S14" s="267"/>
      <c r="T14" s="267"/>
      <c r="U14" s="267"/>
    </row>
    <row r="15" spans="1:22" ht="30">
      <c r="A15" s="240" t="s">
        <v>2055</v>
      </c>
      <c r="B15" s="244" t="s">
        <v>2056</v>
      </c>
      <c r="C15" s="249" t="s">
        <v>2057</v>
      </c>
      <c r="D15" s="245">
        <v>335000</v>
      </c>
      <c r="E15" s="244" t="s">
        <v>2056</v>
      </c>
      <c r="F15" s="240" t="s">
        <v>2058</v>
      </c>
      <c r="G15" s="242" t="s">
        <v>2023</v>
      </c>
      <c r="H15" s="242" t="s">
        <v>2023</v>
      </c>
      <c r="I15" s="242" t="s">
        <v>2023</v>
      </c>
      <c r="J15" s="242" t="s">
        <v>2023</v>
      </c>
      <c r="K15" s="242" t="s">
        <v>2023</v>
      </c>
    </row>
    <row r="16" spans="1:22" ht="57.6" customHeight="1">
      <c r="A16" s="240" t="s">
        <v>2059</v>
      </c>
      <c r="B16" s="244" t="s">
        <v>2020</v>
      </c>
      <c r="C16" s="249" t="s">
        <v>2060</v>
      </c>
      <c r="D16" s="245">
        <v>34100</v>
      </c>
      <c r="E16" s="243" t="s">
        <v>2020</v>
      </c>
      <c r="F16" s="251" t="s">
        <v>2022</v>
      </c>
      <c r="G16" s="242"/>
      <c r="H16" s="242"/>
      <c r="I16" s="242" t="s">
        <v>2023</v>
      </c>
      <c r="J16" s="242" t="s">
        <v>2023</v>
      </c>
      <c r="K16" s="242" t="s">
        <v>2023</v>
      </c>
    </row>
    <row r="17" spans="1:11" ht="45" customHeight="1">
      <c r="A17" s="243" t="s">
        <v>2061</v>
      </c>
      <c r="B17" s="244" t="s">
        <v>2062</v>
      </c>
      <c r="C17" s="249" t="s">
        <v>2063</v>
      </c>
      <c r="D17" s="252">
        <v>209000</v>
      </c>
      <c r="E17" s="244" t="s">
        <v>2062</v>
      </c>
      <c r="F17" s="240" t="s">
        <v>2058</v>
      </c>
      <c r="G17" s="242"/>
      <c r="H17" s="242" t="s">
        <v>2023</v>
      </c>
      <c r="I17" s="242" t="s">
        <v>2023</v>
      </c>
      <c r="J17" s="242" t="s">
        <v>2023</v>
      </c>
      <c r="K17" s="242" t="s">
        <v>2023</v>
      </c>
    </row>
    <row r="18" spans="1:11" ht="59.45" customHeight="1">
      <c r="A18" s="240" t="s">
        <v>2064</v>
      </c>
      <c r="B18" s="244" t="s">
        <v>2065</v>
      </c>
      <c r="C18" s="249" t="s">
        <v>2066</v>
      </c>
      <c r="D18" s="252">
        <v>41640</v>
      </c>
      <c r="E18" s="244" t="s">
        <v>2065</v>
      </c>
      <c r="F18" s="244" t="s">
        <v>2065</v>
      </c>
      <c r="G18" s="242" t="s">
        <v>2023</v>
      </c>
      <c r="H18" s="242" t="s">
        <v>2023</v>
      </c>
      <c r="I18" s="242" t="s">
        <v>2023</v>
      </c>
      <c r="J18" s="242" t="s">
        <v>2023</v>
      </c>
      <c r="K18" s="242" t="s">
        <v>2023</v>
      </c>
    </row>
    <row r="19" spans="1:11" ht="69.599999999999994" customHeight="1">
      <c r="A19" s="240" t="s">
        <v>2067</v>
      </c>
      <c r="B19" s="240" t="s">
        <v>2020</v>
      </c>
      <c r="C19" s="249" t="s">
        <v>2068</v>
      </c>
      <c r="D19" s="253">
        <v>8000</v>
      </c>
      <c r="E19" s="240" t="s">
        <v>2020</v>
      </c>
      <c r="F19" s="240" t="s">
        <v>2022</v>
      </c>
      <c r="G19" s="242"/>
      <c r="H19" s="242" t="s">
        <v>2023</v>
      </c>
      <c r="I19" s="242"/>
      <c r="J19" s="242"/>
      <c r="K19" s="242"/>
    </row>
    <row r="20" spans="1:11" ht="45.95" customHeight="1">
      <c r="A20" s="240" t="s">
        <v>2069</v>
      </c>
      <c r="B20" s="239" t="s">
        <v>2070</v>
      </c>
      <c r="C20" s="249" t="s">
        <v>2071</v>
      </c>
      <c r="D20" s="253">
        <v>14040</v>
      </c>
      <c r="E20" s="239" t="s">
        <v>2070</v>
      </c>
      <c r="F20" s="239" t="s">
        <v>2070</v>
      </c>
      <c r="G20" s="242" t="s">
        <v>2023</v>
      </c>
      <c r="H20" s="242" t="s">
        <v>2023</v>
      </c>
      <c r="I20" s="242" t="s">
        <v>2023</v>
      </c>
      <c r="J20" s="242" t="s">
        <v>2023</v>
      </c>
      <c r="K20" s="242" t="s">
        <v>2023</v>
      </c>
    </row>
    <row r="21" spans="1:11" ht="69.599999999999994" customHeight="1">
      <c r="A21" s="240" t="s">
        <v>2072</v>
      </c>
      <c r="B21" s="240" t="s">
        <v>2020</v>
      </c>
      <c r="C21" s="249" t="s">
        <v>2073</v>
      </c>
      <c r="D21" s="253">
        <v>27200</v>
      </c>
      <c r="E21" s="240" t="s">
        <v>2020</v>
      </c>
      <c r="F21" s="240" t="s">
        <v>2022</v>
      </c>
      <c r="G21" s="242"/>
      <c r="H21" s="242" t="s">
        <v>2023</v>
      </c>
      <c r="I21" s="242" t="s">
        <v>2023</v>
      </c>
      <c r="J21" s="242" t="s">
        <v>2023</v>
      </c>
      <c r="K21" s="242" t="s">
        <v>2023</v>
      </c>
    </row>
    <row r="22" spans="1:11" ht="30">
      <c r="A22" s="240" t="s">
        <v>2074</v>
      </c>
      <c r="B22" s="240" t="s">
        <v>2020</v>
      </c>
      <c r="C22" s="247" t="s">
        <v>2075</v>
      </c>
      <c r="D22" s="253">
        <v>94000</v>
      </c>
      <c r="E22" s="240" t="s">
        <v>2020</v>
      </c>
      <c r="F22" s="240" t="s">
        <v>2022</v>
      </c>
      <c r="G22" s="242" t="s">
        <v>2023</v>
      </c>
      <c r="H22" s="242" t="s">
        <v>2023</v>
      </c>
      <c r="I22" s="242" t="s">
        <v>2023</v>
      </c>
      <c r="J22" s="242"/>
      <c r="K22" s="242"/>
    </row>
    <row r="23" spans="1:11" ht="50.1">
      <c r="A23" s="243" t="s">
        <v>2076</v>
      </c>
      <c r="B23" s="240" t="s">
        <v>2020</v>
      </c>
      <c r="C23" s="249" t="s">
        <v>2077</v>
      </c>
      <c r="D23" s="245">
        <v>145000</v>
      </c>
      <c r="E23" s="254" t="s">
        <v>2078</v>
      </c>
      <c r="F23" s="254" t="s">
        <v>2030</v>
      </c>
      <c r="G23" s="242"/>
      <c r="H23" s="242" t="s">
        <v>2023</v>
      </c>
      <c r="I23" s="242" t="s">
        <v>2023</v>
      </c>
      <c r="J23" s="242" t="s">
        <v>2023</v>
      </c>
      <c r="K23" s="242"/>
    </row>
    <row r="24" spans="1:11" ht="30.6" customHeight="1">
      <c r="A24" s="243" t="s">
        <v>2079</v>
      </c>
      <c r="B24" s="243" t="s">
        <v>2020</v>
      </c>
      <c r="C24" s="249" t="s">
        <v>2080</v>
      </c>
      <c r="D24" s="245">
        <v>12000</v>
      </c>
      <c r="E24" s="243" t="s">
        <v>2020</v>
      </c>
      <c r="F24" s="243" t="s">
        <v>2022</v>
      </c>
      <c r="G24" s="242"/>
      <c r="H24" s="242"/>
      <c r="I24" s="242" t="s">
        <v>2023</v>
      </c>
      <c r="J24" s="242" t="s">
        <v>2023</v>
      </c>
      <c r="K24" s="242"/>
    </row>
    <row r="25" spans="1:11" ht="57.6" customHeight="1">
      <c r="A25" s="240" t="s">
        <v>2081</v>
      </c>
      <c r="B25" s="243" t="s">
        <v>2020</v>
      </c>
      <c r="C25" s="249" t="s">
        <v>2082</v>
      </c>
      <c r="D25" s="245">
        <v>8000</v>
      </c>
      <c r="E25" s="248" t="s">
        <v>2083</v>
      </c>
      <c r="F25" s="248" t="s">
        <v>2083</v>
      </c>
      <c r="G25" s="242" t="s">
        <v>2023</v>
      </c>
      <c r="H25" s="242" t="s">
        <v>2023</v>
      </c>
      <c r="I25" s="242" t="s">
        <v>2023</v>
      </c>
      <c r="J25" s="242" t="s">
        <v>2023</v>
      </c>
      <c r="K25" s="242" t="s">
        <v>2023</v>
      </c>
    </row>
    <row r="26" spans="1:11" ht="55.5" customHeight="1">
      <c r="A26" s="240" t="s">
        <v>2084</v>
      </c>
      <c r="B26" s="240" t="s">
        <v>2020</v>
      </c>
      <c r="C26" s="249" t="s">
        <v>2085</v>
      </c>
      <c r="D26" s="245">
        <v>15000</v>
      </c>
      <c r="E26" s="240" t="s">
        <v>2020</v>
      </c>
      <c r="F26" s="240" t="s">
        <v>2022</v>
      </c>
      <c r="G26" s="242"/>
      <c r="H26" s="242"/>
      <c r="I26" s="242"/>
      <c r="J26" s="242"/>
      <c r="K26" s="242" t="s">
        <v>2023</v>
      </c>
    </row>
    <row r="27" spans="1:11" ht="279.95">
      <c r="A27" s="243" t="s">
        <v>2086</v>
      </c>
      <c r="B27" s="243" t="s">
        <v>2020</v>
      </c>
      <c r="C27" s="249" t="s">
        <v>2087</v>
      </c>
      <c r="D27" s="241">
        <v>6900</v>
      </c>
      <c r="E27" s="243" t="s">
        <v>2020</v>
      </c>
      <c r="F27" s="243" t="s">
        <v>2022</v>
      </c>
      <c r="G27" s="242" t="s">
        <v>2023</v>
      </c>
      <c r="H27" s="242"/>
      <c r="I27" s="242"/>
      <c r="J27" s="242"/>
      <c r="K27" s="242"/>
    </row>
    <row r="28" spans="1:11" ht="46.5" customHeight="1">
      <c r="A28" s="243" t="s">
        <v>2088</v>
      </c>
      <c r="B28" s="243" t="s">
        <v>2020</v>
      </c>
      <c r="C28" s="249" t="s">
        <v>2089</v>
      </c>
      <c r="D28" s="241">
        <v>35000</v>
      </c>
      <c r="E28" s="243" t="s">
        <v>2020</v>
      </c>
      <c r="F28" s="243" t="s">
        <v>2022</v>
      </c>
      <c r="G28" s="242" t="s">
        <v>2023</v>
      </c>
      <c r="H28" s="242" t="s">
        <v>2023</v>
      </c>
      <c r="I28" s="242" t="s">
        <v>2023</v>
      </c>
      <c r="J28" s="242" t="s">
        <v>2023</v>
      </c>
      <c r="K28" s="242" t="s">
        <v>2023</v>
      </c>
    </row>
    <row r="29" spans="1:11" ht="39.950000000000003" customHeight="1">
      <c r="A29" s="243" t="s">
        <v>2090</v>
      </c>
      <c r="B29" s="248" t="s">
        <v>2091</v>
      </c>
      <c r="C29" s="249" t="s">
        <v>2092</v>
      </c>
      <c r="D29" s="241">
        <v>11000</v>
      </c>
      <c r="E29" s="243" t="s">
        <v>2020</v>
      </c>
      <c r="F29" s="243" t="s">
        <v>2022</v>
      </c>
      <c r="G29" s="242" t="s">
        <v>2023</v>
      </c>
      <c r="H29" s="242" t="s">
        <v>2023</v>
      </c>
      <c r="I29" s="242" t="s">
        <v>2023</v>
      </c>
      <c r="J29" s="242" t="s">
        <v>2023</v>
      </c>
      <c r="K29" s="242" t="s">
        <v>2023</v>
      </c>
    </row>
    <row r="30" spans="1:11" ht="42.95" customHeight="1">
      <c r="A30" s="243" t="s">
        <v>2093</v>
      </c>
      <c r="B30" s="240" t="s">
        <v>2020</v>
      </c>
      <c r="C30" s="249" t="s">
        <v>2094</v>
      </c>
      <c r="D30" s="241">
        <v>12000</v>
      </c>
      <c r="E30" s="254" t="s">
        <v>2095</v>
      </c>
      <c r="F30" s="248" t="s">
        <v>2096</v>
      </c>
      <c r="G30" s="242"/>
      <c r="H30" s="242" t="s">
        <v>2023</v>
      </c>
      <c r="I30" s="242" t="s">
        <v>2023</v>
      </c>
      <c r="J30" s="242" t="s">
        <v>2023</v>
      </c>
      <c r="K30" s="242" t="s">
        <v>2023</v>
      </c>
    </row>
    <row r="31" spans="1:11" ht="39.950000000000003" customHeight="1">
      <c r="A31" s="243" t="s">
        <v>2097</v>
      </c>
      <c r="B31" s="240" t="s">
        <v>2020</v>
      </c>
      <c r="C31" s="249" t="s">
        <v>2098</v>
      </c>
      <c r="D31" s="245">
        <v>18000</v>
      </c>
      <c r="E31" s="240" t="s">
        <v>2020</v>
      </c>
      <c r="F31" s="240" t="s">
        <v>2022</v>
      </c>
      <c r="G31" s="242" t="s">
        <v>2023</v>
      </c>
      <c r="H31" s="242" t="s">
        <v>2023</v>
      </c>
      <c r="I31" s="242" t="s">
        <v>2023</v>
      </c>
      <c r="J31" s="242" t="s">
        <v>2023</v>
      </c>
      <c r="K31" s="242" t="s">
        <v>2023</v>
      </c>
    </row>
    <row r="32" spans="1:11" ht="40.5" customHeight="1">
      <c r="A32" s="240" t="s">
        <v>2099</v>
      </c>
      <c r="B32" s="243" t="s">
        <v>2020</v>
      </c>
      <c r="C32" s="249" t="s">
        <v>2100</v>
      </c>
      <c r="D32" s="245">
        <v>53000</v>
      </c>
      <c r="E32" s="243" t="s">
        <v>2020</v>
      </c>
      <c r="F32" s="243" t="s">
        <v>2022</v>
      </c>
      <c r="G32" s="242"/>
      <c r="H32" s="242" t="s">
        <v>2023</v>
      </c>
      <c r="I32" s="242" t="s">
        <v>2023</v>
      </c>
      <c r="J32" s="242" t="s">
        <v>2023</v>
      </c>
      <c r="K32" s="242" t="s">
        <v>2023</v>
      </c>
    </row>
    <row r="33" spans="1:11" ht="33" customHeight="1">
      <c r="A33" s="243" t="s">
        <v>2101</v>
      </c>
      <c r="B33" s="240" t="s">
        <v>2020</v>
      </c>
      <c r="C33" s="249" t="s">
        <v>2102</v>
      </c>
      <c r="D33" s="245">
        <v>14000</v>
      </c>
      <c r="E33" s="240" t="s">
        <v>2020</v>
      </c>
      <c r="F33" s="240" t="s">
        <v>2022</v>
      </c>
      <c r="G33" s="242" t="s">
        <v>2023</v>
      </c>
      <c r="H33" s="242" t="s">
        <v>2023</v>
      </c>
      <c r="I33" s="242" t="s">
        <v>2023</v>
      </c>
      <c r="J33" s="242" t="s">
        <v>2023</v>
      </c>
      <c r="K33" s="242" t="s">
        <v>2023</v>
      </c>
    </row>
    <row r="34" spans="1:11" ht="34.5" customHeight="1">
      <c r="A34" s="240" t="s">
        <v>2103</v>
      </c>
      <c r="B34" s="243" t="s">
        <v>2020</v>
      </c>
      <c r="C34" s="249" t="s">
        <v>2104</v>
      </c>
      <c r="D34" s="245">
        <v>20000</v>
      </c>
      <c r="E34" s="243" t="s">
        <v>2020</v>
      </c>
      <c r="F34" s="243" t="s">
        <v>2022</v>
      </c>
      <c r="G34" s="242" t="s">
        <v>2023</v>
      </c>
      <c r="H34" s="242" t="s">
        <v>2023</v>
      </c>
      <c r="I34" s="242" t="s">
        <v>2023</v>
      </c>
      <c r="J34" s="242" t="s">
        <v>2023</v>
      </c>
      <c r="K34" s="242" t="s">
        <v>2023</v>
      </c>
    </row>
    <row r="35" spans="1:11" ht="30">
      <c r="A35" s="240" t="s">
        <v>2105</v>
      </c>
      <c r="B35" s="240" t="s">
        <v>2020</v>
      </c>
      <c r="C35" s="247" t="s">
        <v>2106</v>
      </c>
      <c r="D35" s="245">
        <v>15000</v>
      </c>
      <c r="E35" s="240" t="s">
        <v>2020</v>
      </c>
      <c r="F35" s="240" t="s">
        <v>2022</v>
      </c>
      <c r="G35" s="242"/>
      <c r="H35" s="242"/>
      <c r="I35" s="242" t="s">
        <v>2023</v>
      </c>
      <c r="J35" s="242"/>
      <c r="K35" s="242"/>
    </row>
    <row r="36" spans="1:11" ht="53.1" customHeight="1">
      <c r="A36" s="240" t="s">
        <v>2107</v>
      </c>
      <c r="B36" s="248" t="s">
        <v>2108</v>
      </c>
      <c r="C36" s="249" t="s">
        <v>2109</v>
      </c>
      <c r="D36" s="245">
        <v>6000</v>
      </c>
      <c r="E36" s="240" t="s">
        <v>2110</v>
      </c>
      <c r="F36" s="240" t="s">
        <v>2065</v>
      </c>
      <c r="G36" s="242"/>
      <c r="H36" s="242" t="s">
        <v>2023</v>
      </c>
      <c r="I36" s="242" t="s">
        <v>2023</v>
      </c>
      <c r="J36" s="242" t="s">
        <v>2023</v>
      </c>
      <c r="K36" s="242"/>
    </row>
    <row r="37" spans="1:11" ht="53.45" customHeight="1">
      <c r="A37" s="240" t="s">
        <v>2111</v>
      </c>
      <c r="B37" s="243" t="s">
        <v>2020</v>
      </c>
      <c r="C37" s="249" t="s">
        <v>2112</v>
      </c>
      <c r="D37" s="245">
        <v>2350</v>
      </c>
      <c r="E37" s="248" t="s">
        <v>2113</v>
      </c>
      <c r="F37" s="248" t="s">
        <v>2114</v>
      </c>
      <c r="G37" s="242"/>
      <c r="H37" s="242" t="s">
        <v>2023</v>
      </c>
      <c r="I37" s="242"/>
      <c r="J37" s="242"/>
      <c r="K37" s="242"/>
    </row>
    <row r="38" spans="1:11" ht="53.1" customHeight="1">
      <c r="A38" s="243" t="s">
        <v>2115</v>
      </c>
      <c r="B38" s="254" t="s">
        <v>2116</v>
      </c>
      <c r="C38" s="249" t="s">
        <v>2117</v>
      </c>
      <c r="D38" s="245">
        <v>12500</v>
      </c>
      <c r="E38" s="254" t="s">
        <v>2118</v>
      </c>
      <c r="F38" s="254" t="s">
        <v>2118</v>
      </c>
      <c r="G38" s="242" t="s">
        <v>2023</v>
      </c>
      <c r="H38" s="242" t="s">
        <v>2023</v>
      </c>
      <c r="I38" s="242" t="s">
        <v>2023</v>
      </c>
      <c r="J38" s="242" t="s">
        <v>2023</v>
      </c>
      <c r="K38" s="242" t="s">
        <v>2023</v>
      </c>
    </row>
    <row r="39" spans="1:11" ht="66.599999999999994" customHeight="1">
      <c r="A39" s="240" t="s">
        <v>2119</v>
      </c>
      <c r="B39" s="240" t="s">
        <v>2020</v>
      </c>
      <c r="C39" s="249" t="s">
        <v>2120</v>
      </c>
      <c r="D39" s="245">
        <v>51320</v>
      </c>
      <c r="E39" s="240" t="s">
        <v>2020</v>
      </c>
      <c r="F39" s="240" t="s">
        <v>2022</v>
      </c>
      <c r="G39" s="242"/>
      <c r="H39" s="242" t="s">
        <v>2023</v>
      </c>
      <c r="I39" s="242" t="s">
        <v>2023</v>
      </c>
      <c r="J39" s="242"/>
      <c r="K39" s="242"/>
    </row>
    <row r="40" spans="1:11" ht="34.5" customHeight="1">
      <c r="A40" s="243" t="s">
        <v>2121</v>
      </c>
      <c r="B40" s="240" t="s">
        <v>2020</v>
      </c>
      <c r="C40" s="249" t="s">
        <v>2122</v>
      </c>
      <c r="D40" s="250">
        <v>14400</v>
      </c>
      <c r="E40" s="240" t="s">
        <v>2056</v>
      </c>
      <c r="F40" s="240" t="s">
        <v>2058</v>
      </c>
      <c r="G40" s="242"/>
      <c r="H40" s="242" t="s">
        <v>2023</v>
      </c>
      <c r="I40" s="242" t="s">
        <v>2023</v>
      </c>
      <c r="J40" s="242" t="s">
        <v>2023</v>
      </c>
      <c r="K40" s="242" t="s">
        <v>2023</v>
      </c>
    </row>
    <row r="41" spans="1:11" ht="61.5" customHeight="1">
      <c r="A41" s="240" t="s">
        <v>2123</v>
      </c>
      <c r="B41" s="240" t="s">
        <v>2020</v>
      </c>
      <c r="C41" s="249" t="s">
        <v>2124</v>
      </c>
      <c r="D41" s="250">
        <v>14000</v>
      </c>
      <c r="E41" s="240" t="s">
        <v>2056</v>
      </c>
      <c r="F41" s="240" t="s">
        <v>2058</v>
      </c>
      <c r="G41" s="242"/>
      <c r="H41" s="242" t="s">
        <v>2023</v>
      </c>
      <c r="I41" s="242"/>
      <c r="J41" s="242"/>
      <c r="K41" s="242"/>
    </row>
    <row r="42" spans="1:11" ht="39" customHeight="1">
      <c r="A42" s="243" t="s">
        <v>2125</v>
      </c>
      <c r="B42" s="254" t="s">
        <v>2095</v>
      </c>
      <c r="C42" s="249" t="s">
        <v>2126</v>
      </c>
      <c r="D42" s="245">
        <v>4000</v>
      </c>
      <c r="E42" s="240" t="s">
        <v>2020</v>
      </c>
      <c r="F42" s="240" t="s">
        <v>2022</v>
      </c>
      <c r="G42" s="242"/>
      <c r="H42" s="242"/>
      <c r="I42" s="242" t="s">
        <v>2023</v>
      </c>
      <c r="J42" s="242"/>
      <c r="K42" s="242"/>
    </row>
    <row r="43" spans="1:11" ht="30">
      <c r="A43" s="243" t="s">
        <v>2127</v>
      </c>
      <c r="B43" s="239" t="s">
        <v>2128</v>
      </c>
      <c r="C43" s="247" t="s">
        <v>2106</v>
      </c>
      <c r="D43" s="245">
        <v>75000</v>
      </c>
      <c r="E43" s="240" t="s">
        <v>2129</v>
      </c>
      <c r="F43" s="240" t="s">
        <v>2129</v>
      </c>
      <c r="G43" s="242" t="s">
        <v>2023</v>
      </c>
      <c r="H43" s="242" t="s">
        <v>2023</v>
      </c>
      <c r="I43" s="242" t="s">
        <v>2023</v>
      </c>
      <c r="J43" s="242" t="s">
        <v>2023</v>
      </c>
      <c r="K43" s="242" t="s">
        <v>2023</v>
      </c>
    </row>
    <row r="44" spans="1:11" ht="35.450000000000003" customHeight="1">
      <c r="A44" s="243" t="s">
        <v>2130</v>
      </c>
      <c r="B44" s="243" t="s">
        <v>2020</v>
      </c>
      <c r="C44" s="249" t="s">
        <v>2131</v>
      </c>
      <c r="D44" s="245">
        <v>49800</v>
      </c>
      <c r="E44" s="243" t="s">
        <v>2020</v>
      </c>
      <c r="F44" s="240" t="s">
        <v>2022</v>
      </c>
      <c r="G44" s="242" t="s">
        <v>2023</v>
      </c>
      <c r="H44" s="242" t="s">
        <v>2023</v>
      </c>
      <c r="I44" s="242" t="s">
        <v>2023</v>
      </c>
      <c r="J44" s="242" t="s">
        <v>2023</v>
      </c>
      <c r="K44" s="242" t="s">
        <v>2023</v>
      </c>
    </row>
  </sheetData>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0000000}">
          <x14:formula1>
            <xm:f>Full1!$B$2:$B$3</xm:f>
          </x14:formula1>
          <xm:sqref>T2:T4</xm:sqref>
        </x14:dataValidation>
        <x14:dataValidation type="list" allowBlank="1" showInputMessage="1" showErrorMessage="1" xr:uid="{00000000-0002-0000-0A00-000001000000}">
          <x14:formula1>
            <xm:f>Full1!$A$2:$A$3</xm:f>
          </x14:formula1>
          <xm:sqref>S2:S4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E104"/>
  <sheetViews>
    <sheetView topLeftCell="A46" zoomScale="110" zoomScaleNormal="110" workbookViewId="0">
      <selection activeCell="D40" activeCellId="9" sqref="D7 D9 D13:D14 D18:D19 D21:D22 D26 D28 D30 D33:D35 D37:D45 D47 D51:D52 D54:D56 D58:D61 D65:D72 D74 D76 D78 D80"/>
    </sheetView>
  </sheetViews>
  <sheetFormatPr defaultColWidth="17.140625" defaultRowHeight="12"/>
  <cols>
    <col min="1" max="1" width="13" style="223" customWidth="1"/>
    <col min="2" max="2" width="6.5703125" style="272" customWidth="1"/>
    <col min="3" max="3" width="10.140625" style="271" customWidth="1"/>
    <col min="4" max="4" width="82.42578125" style="271" customWidth="1"/>
    <col min="5" max="5" width="14.42578125" style="271" customWidth="1"/>
    <col min="6" max="16384" width="17.140625" style="271"/>
  </cols>
  <sheetData>
    <row r="1" spans="1:5">
      <c r="A1" s="383" t="s">
        <v>2132</v>
      </c>
      <c r="B1" s="272" t="s">
        <v>500</v>
      </c>
    </row>
    <row r="3" spans="1:5" ht="48">
      <c r="A3" s="383" t="s">
        <v>317</v>
      </c>
      <c r="B3" s="273" t="s">
        <v>319</v>
      </c>
      <c r="C3" s="270" t="s">
        <v>326</v>
      </c>
      <c r="D3" s="270" t="s">
        <v>2133</v>
      </c>
      <c r="E3" s="271" t="s">
        <v>2134</v>
      </c>
    </row>
    <row r="4" spans="1:5">
      <c r="A4" s="223" t="s">
        <v>308</v>
      </c>
      <c r="B4" s="223"/>
      <c r="C4" s="223"/>
      <c r="D4" s="223"/>
      <c r="E4" s="271">
        <v>2</v>
      </c>
    </row>
    <row r="5" spans="1:5">
      <c r="A5" s="271"/>
      <c r="B5" s="274" t="s">
        <v>536</v>
      </c>
      <c r="C5" s="274"/>
      <c r="D5" s="274"/>
      <c r="E5" s="271">
        <v>2</v>
      </c>
    </row>
    <row r="6" spans="1:5">
      <c r="A6" s="271"/>
      <c r="B6" s="271"/>
      <c r="C6" s="274" t="s">
        <v>560</v>
      </c>
      <c r="D6" s="274"/>
      <c r="E6" s="271">
        <v>1</v>
      </c>
    </row>
    <row r="7" spans="1:5">
      <c r="A7" s="271"/>
      <c r="B7" s="271"/>
      <c r="D7" s="223" t="s">
        <v>2040</v>
      </c>
      <c r="E7" s="271">
        <v>1</v>
      </c>
    </row>
    <row r="8" spans="1:5">
      <c r="A8" s="271"/>
      <c r="B8" s="271"/>
      <c r="C8" s="274" t="s">
        <v>571</v>
      </c>
      <c r="D8" s="274"/>
      <c r="E8" s="271">
        <v>1</v>
      </c>
    </row>
    <row r="9" spans="1:5">
      <c r="A9" s="271"/>
      <c r="B9" s="271"/>
      <c r="D9" s="223" t="s">
        <v>2053</v>
      </c>
      <c r="E9" s="271">
        <v>1</v>
      </c>
    </row>
    <row r="10" spans="1:5">
      <c r="A10" s="223" t="s">
        <v>303</v>
      </c>
      <c r="B10" s="223"/>
      <c r="C10" s="223"/>
      <c r="D10" s="223"/>
      <c r="E10" s="271">
        <v>2</v>
      </c>
    </row>
    <row r="11" spans="1:5">
      <c r="A11" s="271"/>
      <c r="B11" s="274" t="s">
        <v>606</v>
      </c>
      <c r="C11" s="274"/>
      <c r="D11" s="274"/>
      <c r="E11" s="271">
        <v>2</v>
      </c>
    </row>
    <row r="12" spans="1:5">
      <c r="A12" s="271"/>
      <c r="B12" s="271"/>
      <c r="C12" s="274" t="s">
        <v>680</v>
      </c>
      <c r="D12" s="274"/>
      <c r="E12" s="271">
        <v>2</v>
      </c>
    </row>
    <row r="13" spans="1:5">
      <c r="A13" s="271"/>
      <c r="B13" s="271"/>
      <c r="D13" s="384" t="s">
        <v>2135</v>
      </c>
      <c r="E13" s="271">
        <v>1</v>
      </c>
    </row>
    <row r="14" spans="1:5">
      <c r="A14" s="271"/>
      <c r="B14" s="271"/>
      <c r="D14" s="223" t="s">
        <v>2136</v>
      </c>
      <c r="E14" s="271">
        <v>1</v>
      </c>
    </row>
    <row r="15" spans="1:5">
      <c r="A15" s="223" t="s">
        <v>304</v>
      </c>
      <c r="B15" s="223"/>
      <c r="C15" s="223"/>
      <c r="D15" s="223"/>
      <c r="E15" s="271">
        <v>4</v>
      </c>
    </row>
    <row r="16" spans="1:5">
      <c r="A16" s="271"/>
      <c r="B16" s="274" t="s">
        <v>740</v>
      </c>
      <c r="C16" s="274"/>
      <c r="D16" s="274"/>
      <c r="E16" s="271">
        <v>4</v>
      </c>
    </row>
    <row r="17" spans="1:5">
      <c r="A17" s="271"/>
      <c r="B17" s="271"/>
      <c r="C17" s="274" t="s">
        <v>763</v>
      </c>
      <c r="D17" s="274"/>
      <c r="E17" s="271">
        <v>2</v>
      </c>
    </row>
    <row r="18" spans="1:5">
      <c r="A18" s="271"/>
      <c r="B18" s="271"/>
      <c r="D18" s="223" t="s">
        <v>2047</v>
      </c>
      <c r="E18" s="271">
        <v>1</v>
      </c>
    </row>
    <row r="19" spans="1:5">
      <c r="A19" s="271"/>
      <c r="B19" s="271"/>
      <c r="D19" s="223" t="s">
        <v>2051</v>
      </c>
      <c r="E19" s="271">
        <v>1</v>
      </c>
    </row>
    <row r="20" spans="1:5">
      <c r="A20" s="271"/>
      <c r="B20" s="271"/>
      <c r="C20" s="274" t="s">
        <v>893</v>
      </c>
      <c r="D20" s="274"/>
      <c r="E20" s="271">
        <v>2</v>
      </c>
    </row>
    <row r="21" spans="1:5" ht="23.1">
      <c r="A21" s="271"/>
      <c r="B21" s="271"/>
      <c r="D21" s="223" t="s">
        <v>2081</v>
      </c>
      <c r="E21" s="271">
        <v>1</v>
      </c>
    </row>
    <row r="22" spans="1:5">
      <c r="A22" s="271"/>
      <c r="B22" s="271"/>
      <c r="D22" s="223" t="s">
        <v>2084</v>
      </c>
      <c r="E22" s="271">
        <v>1</v>
      </c>
    </row>
    <row r="23" spans="1:5" ht="23.1">
      <c r="A23" s="223" t="s">
        <v>305</v>
      </c>
      <c r="B23" s="223"/>
      <c r="C23" s="223"/>
      <c r="D23" s="223"/>
      <c r="E23" s="271">
        <v>16</v>
      </c>
    </row>
    <row r="24" spans="1:5">
      <c r="A24" s="271"/>
      <c r="B24" s="274" t="s">
        <v>932</v>
      </c>
      <c r="C24" s="274"/>
      <c r="D24" s="274"/>
      <c r="E24" s="271">
        <v>3</v>
      </c>
    </row>
    <row r="25" spans="1:5">
      <c r="A25" s="271"/>
      <c r="B25" s="271"/>
      <c r="C25" s="272" t="s">
        <v>1004</v>
      </c>
      <c r="D25" s="272"/>
      <c r="E25" s="271">
        <v>1</v>
      </c>
    </row>
    <row r="26" spans="1:5">
      <c r="A26" s="271"/>
      <c r="B26" s="271"/>
      <c r="D26" s="271" t="s">
        <v>2090</v>
      </c>
      <c r="E26" s="271">
        <v>1</v>
      </c>
    </row>
    <row r="27" spans="1:5">
      <c r="A27" s="271"/>
      <c r="B27" s="271"/>
      <c r="C27" s="274" t="s">
        <v>998</v>
      </c>
      <c r="D27" s="274"/>
      <c r="E27" s="271">
        <v>1</v>
      </c>
    </row>
    <row r="28" spans="1:5">
      <c r="A28" s="271"/>
      <c r="B28" s="271"/>
      <c r="D28" s="223" t="s">
        <v>2137</v>
      </c>
      <c r="E28" s="271">
        <v>1</v>
      </c>
    </row>
    <row r="29" spans="1:5">
      <c r="A29" s="271"/>
      <c r="B29" s="271"/>
      <c r="C29" s="274" t="s">
        <v>986</v>
      </c>
      <c r="D29" s="274"/>
      <c r="E29" s="271">
        <v>1</v>
      </c>
    </row>
    <row r="30" spans="1:5">
      <c r="A30" s="271"/>
      <c r="B30" s="271"/>
      <c r="D30" s="223" t="s">
        <v>2088</v>
      </c>
      <c r="E30" s="271">
        <v>1</v>
      </c>
    </row>
    <row r="31" spans="1:5">
      <c r="A31" s="271"/>
      <c r="B31" s="274" t="s">
        <v>1059</v>
      </c>
      <c r="C31" s="274"/>
      <c r="D31" s="274"/>
      <c r="E31" s="271">
        <v>13</v>
      </c>
    </row>
    <row r="32" spans="1:5">
      <c r="A32" s="271"/>
      <c r="B32" s="271"/>
      <c r="C32" s="274" t="s">
        <v>1094</v>
      </c>
      <c r="D32" s="274"/>
      <c r="E32" s="271">
        <v>3</v>
      </c>
    </row>
    <row r="33" spans="1:5">
      <c r="A33" s="271"/>
      <c r="B33" s="271"/>
      <c r="D33" s="223" t="s">
        <v>2079</v>
      </c>
      <c r="E33" s="271">
        <v>1</v>
      </c>
    </row>
    <row r="34" spans="1:5">
      <c r="A34" s="271"/>
      <c r="B34" s="271"/>
      <c r="D34" s="223" t="s">
        <v>2107</v>
      </c>
      <c r="E34" s="271">
        <v>1</v>
      </c>
    </row>
    <row r="35" spans="1:5">
      <c r="A35" s="271"/>
      <c r="B35" s="271"/>
      <c r="D35" s="223" t="s">
        <v>2111</v>
      </c>
      <c r="E35" s="271">
        <v>1</v>
      </c>
    </row>
    <row r="36" spans="1:5">
      <c r="A36" s="271"/>
      <c r="B36" s="271"/>
      <c r="C36" s="274" t="s">
        <v>1063</v>
      </c>
      <c r="D36" s="274"/>
      <c r="E36" s="271">
        <v>9</v>
      </c>
    </row>
    <row r="37" spans="1:5" ht="23.1">
      <c r="A37" s="271"/>
      <c r="B37" s="271"/>
      <c r="D37" s="223" t="s">
        <v>2019</v>
      </c>
      <c r="E37" s="271">
        <v>1</v>
      </c>
    </row>
    <row r="38" spans="1:5" ht="23.1">
      <c r="A38" s="271"/>
      <c r="B38" s="271"/>
      <c r="D38" s="223" t="s">
        <v>2024</v>
      </c>
      <c r="E38" s="271">
        <v>1</v>
      </c>
    </row>
    <row r="39" spans="1:5">
      <c r="A39" s="271"/>
      <c r="B39" s="271"/>
      <c r="D39" s="223" t="s">
        <v>2138</v>
      </c>
      <c r="E39" s="271">
        <v>1</v>
      </c>
    </row>
    <row r="40" spans="1:5" ht="23.1">
      <c r="A40" s="271"/>
      <c r="B40" s="271"/>
      <c r="D40" s="223" t="s">
        <v>2139</v>
      </c>
      <c r="E40" s="271">
        <v>1</v>
      </c>
    </row>
    <row r="41" spans="1:5">
      <c r="A41" s="271"/>
      <c r="B41" s="271"/>
      <c r="D41" s="223" t="s">
        <v>2036</v>
      </c>
      <c r="E41" s="271">
        <v>1</v>
      </c>
    </row>
    <row r="42" spans="1:5">
      <c r="A42" s="271"/>
      <c r="B42" s="271"/>
      <c r="D42" s="223" t="s">
        <v>2039</v>
      </c>
      <c r="E42" s="271">
        <v>1</v>
      </c>
    </row>
    <row r="43" spans="1:5">
      <c r="A43" s="271"/>
      <c r="B43" s="271"/>
      <c r="D43" s="223" t="s">
        <v>2055</v>
      </c>
      <c r="E43" s="271">
        <v>1</v>
      </c>
    </row>
    <row r="44" spans="1:5" ht="23.1">
      <c r="A44" s="271"/>
      <c r="B44" s="271"/>
      <c r="D44" s="223" t="s">
        <v>2140</v>
      </c>
      <c r="E44" s="271">
        <v>1</v>
      </c>
    </row>
    <row r="45" spans="1:5">
      <c r="A45" s="271"/>
      <c r="B45" s="271"/>
      <c r="D45" s="223" t="s">
        <v>2141</v>
      </c>
      <c r="E45" s="271">
        <v>1</v>
      </c>
    </row>
    <row r="46" spans="1:5">
      <c r="A46" s="271"/>
      <c r="B46" s="271"/>
      <c r="C46" s="274" t="s">
        <v>1085</v>
      </c>
      <c r="D46" s="274"/>
      <c r="E46" s="271">
        <v>1</v>
      </c>
    </row>
    <row r="47" spans="1:5">
      <c r="A47" s="271"/>
      <c r="B47" s="271"/>
      <c r="D47" s="223" t="s">
        <v>2115</v>
      </c>
      <c r="E47" s="271">
        <v>1</v>
      </c>
    </row>
    <row r="48" spans="1:5" ht="34.5">
      <c r="A48" s="223" t="s">
        <v>306</v>
      </c>
      <c r="B48" s="223"/>
      <c r="C48" s="223"/>
      <c r="D48" s="223"/>
      <c r="E48" s="271">
        <v>9</v>
      </c>
    </row>
    <row r="49" spans="1:5">
      <c r="A49" s="271"/>
      <c r="B49" s="274" t="s">
        <v>1383</v>
      </c>
      <c r="C49" s="274"/>
      <c r="D49" s="274"/>
      <c r="E49" s="271">
        <v>9</v>
      </c>
    </row>
    <row r="50" spans="1:5">
      <c r="A50" s="271"/>
      <c r="B50" s="271"/>
      <c r="C50" s="274" t="s">
        <v>1469</v>
      </c>
      <c r="D50" s="274"/>
      <c r="E50" s="271">
        <v>2</v>
      </c>
    </row>
    <row r="51" spans="1:5">
      <c r="A51" s="271"/>
      <c r="B51" s="271"/>
      <c r="D51" s="223" t="s">
        <v>2093</v>
      </c>
      <c r="E51" s="271">
        <v>1</v>
      </c>
    </row>
    <row r="52" spans="1:5">
      <c r="A52" s="271"/>
      <c r="B52" s="271"/>
      <c r="D52" s="223" t="s">
        <v>2125</v>
      </c>
      <c r="E52" s="271">
        <v>1</v>
      </c>
    </row>
    <row r="53" spans="1:5">
      <c r="A53" s="271"/>
      <c r="B53" s="271"/>
      <c r="C53" s="274" t="s">
        <v>1555</v>
      </c>
      <c r="D53" s="274"/>
      <c r="E53" s="271">
        <v>3</v>
      </c>
    </row>
    <row r="54" spans="1:5">
      <c r="A54" s="271"/>
      <c r="B54" s="271"/>
      <c r="D54" s="223" t="s">
        <v>2076</v>
      </c>
      <c r="E54" s="271">
        <v>1</v>
      </c>
    </row>
    <row r="55" spans="1:5">
      <c r="A55" s="271"/>
      <c r="B55" s="271"/>
      <c r="D55" s="223" t="s">
        <v>2097</v>
      </c>
      <c r="E55" s="271">
        <v>1</v>
      </c>
    </row>
    <row r="56" spans="1:5">
      <c r="A56" s="271"/>
      <c r="B56" s="271"/>
      <c r="D56" s="271" t="s">
        <v>2142</v>
      </c>
      <c r="E56" s="271">
        <v>1</v>
      </c>
    </row>
    <row r="57" spans="1:5">
      <c r="A57" s="271"/>
      <c r="B57" s="271"/>
      <c r="C57" s="274" t="s">
        <v>1452</v>
      </c>
      <c r="D57" s="274"/>
      <c r="E57" s="271">
        <v>4</v>
      </c>
    </row>
    <row r="58" spans="1:5">
      <c r="A58" s="271"/>
      <c r="B58" s="271"/>
      <c r="D58" s="223" t="s">
        <v>2059</v>
      </c>
      <c r="E58" s="271">
        <v>1</v>
      </c>
    </row>
    <row r="59" spans="1:5">
      <c r="A59" s="271"/>
      <c r="B59" s="271"/>
      <c r="D59" s="223" t="s">
        <v>2069</v>
      </c>
      <c r="E59" s="271">
        <v>1</v>
      </c>
    </row>
    <row r="60" spans="1:5" ht="23.1">
      <c r="A60" s="271"/>
      <c r="B60" s="271"/>
      <c r="D60" s="223" t="s">
        <v>2143</v>
      </c>
      <c r="E60" s="271">
        <v>1</v>
      </c>
    </row>
    <row r="61" spans="1:5" ht="23.1">
      <c r="A61" s="271"/>
      <c r="B61" s="271"/>
      <c r="D61" s="223" t="s">
        <v>2144</v>
      </c>
      <c r="E61" s="271">
        <v>1</v>
      </c>
    </row>
    <row r="62" spans="1:5" ht="23.1">
      <c r="A62" s="223" t="s">
        <v>309</v>
      </c>
      <c r="B62" s="223"/>
      <c r="C62" s="223"/>
      <c r="D62" s="223"/>
      <c r="E62" s="271">
        <v>12</v>
      </c>
    </row>
    <row r="63" spans="1:5">
      <c r="A63" s="271"/>
      <c r="B63" s="274" t="s">
        <v>1112</v>
      </c>
      <c r="C63" s="274"/>
      <c r="D63" s="274"/>
      <c r="E63" s="271">
        <v>12</v>
      </c>
    </row>
    <row r="64" spans="1:5">
      <c r="A64" s="271"/>
      <c r="B64" s="271"/>
      <c r="C64" s="274" t="s">
        <v>2145</v>
      </c>
      <c r="D64" s="274"/>
      <c r="E64" s="271">
        <v>8</v>
      </c>
    </row>
    <row r="65" spans="1:5">
      <c r="A65" s="271"/>
      <c r="B65" s="271"/>
      <c r="D65" s="223" t="s">
        <v>2061</v>
      </c>
      <c r="E65" s="271">
        <v>1</v>
      </c>
    </row>
    <row r="66" spans="1:5">
      <c r="A66" s="271"/>
      <c r="B66" s="271"/>
      <c r="D66" s="223" t="s">
        <v>2074</v>
      </c>
      <c r="E66" s="271">
        <v>1</v>
      </c>
    </row>
    <row r="67" spans="1:5">
      <c r="A67" s="271"/>
      <c r="B67" s="271"/>
      <c r="D67" s="223" t="s">
        <v>2099</v>
      </c>
      <c r="E67" s="271">
        <v>1</v>
      </c>
    </row>
    <row r="68" spans="1:5">
      <c r="A68" s="271"/>
      <c r="B68" s="271"/>
      <c r="D68" s="223" t="s">
        <v>2101</v>
      </c>
      <c r="E68" s="271">
        <v>1</v>
      </c>
    </row>
    <row r="69" spans="1:5">
      <c r="A69" s="271"/>
      <c r="B69" s="271"/>
      <c r="D69" s="223" t="s">
        <v>2105</v>
      </c>
      <c r="E69" s="271">
        <v>1</v>
      </c>
    </row>
    <row r="70" spans="1:5" ht="23.1">
      <c r="A70" s="271"/>
      <c r="B70" s="271"/>
      <c r="D70" s="223" t="s">
        <v>2146</v>
      </c>
      <c r="E70" s="271">
        <v>1</v>
      </c>
    </row>
    <row r="71" spans="1:5">
      <c r="A71" s="271"/>
      <c r="B71" s="271"/>
      <c r="D71" s="223" t="s">
        <v>2121</v>
      </c>
      <c r="E71" s="271">
        <v>1</v>
      </c>
    </row>
    <row r="72" spans="1:5" ht="23.1">
      <c r="A72" s="271"/>
      <c r="B72" s="271"/>
      <c r="D72" s="223" t="s">
        <v>2147</v>
      </c>
      <c r="E72" s="271">
        <v>1</v>
      </c>
    </row>
    <row r="73" spans="1:5">
      <c r="A73" s="271"/>
      <c r="B73" s="271"/>
      <c r="C73" s="274" t="s">
        <v>2148</v>
      </c>
      <c r="D73" s="274"/>
      <c r="E73" s="271">
        <v>1</v>
      </c>
    </row>
    <row r="74" spans="1:5">
      <c r="A74" s="271"/>
      <c r="B74" s="271"/>
      <c r="D74" s="223" t="s">
        <v>2045</v>
      </c>
      <c r="E74" s="271">
        <v>1</v>
      </c>
    </row>
    <row r="75" spans="1:5">
      <c r="A75" s="271"/>
      <c r="B75" s="271"/>
      <c r="C75" s="274" t="s">
        <v>2149</v>
      </c>
      <c r="D75" s="274"/>
      <c r="E75" s="271">
        <v>1</v>
      </c>
    </row>
    <row r="76" spans="1:5">
      <c r="A76" s="271"/>
      <c r="B76" s="271"/>
      <c r="D76" s="223" t="s">
        <v>2049</v>
      </c>
      <c r="E76" s="271">
        <v>1</v>
      </c>
    </row>
    <row r="77" spans="1:5">
      <c r="A77" s="271"/>
      <c r="B77" s="271"/>
      <c r="C77" s="274" t="s">
        <v>2031</v>
      </c>
      <c r="D77" s="274"/>
      <c r="E77" s="271">
        <v>1</v>
      </c>
    </row>
    <row r="78" spans="1:5" ht="23.1">
      <c r="A78" s="271"/>
      <c r="B78" s="271"/>
      <c r="D78" s="223" t="s">
        <v>2150</v>
      </c>
      <c r="E78" s="271">
        <v>1</v>
      </c>
    </row>
    <row r="79" spans="1:5">
      <c r="A79" s="271"/>
      <c r="B79" s="271"/>
      <c r="C79" s="272" t="s">
        <v>2151</v>
      </c>
      <c r="D79" s="272"/>
      <c r="E79" s="271">
        <v>1</v>
      </c>
    </row>
    <row r="80" spans="1:5">
      <c r="A80" s="271"/>
      <c r="B80" s="271"/>
      <c r="D80" s="271" t="s">
        <v>2152</v>
      </c>
      <c r="E80" s="271">
        <v>1</v>
      </c>
    </row>
    <row r="81" spans="1:5">
      <c r="A81" s="223" t="s">
        <v>310</v>
      </c>
      <c r="B81" s="223"/>
      <c r="C81" s="223"/>
      <c r="D81" s="223"/>
      <c r="E81" s="271">
        <v>45</v>
      </c>
    </row>
    <row r="82" spans="1:5" ht="14.45">
      <c r="A82"/>
      <c r="B82"/>
      <c r="C82"/>
      <c r="D82"/>
      <c r="E82"/>
    </row>
    <row r="83" spans="1:5" ht="14.45">
      <c r="A83"/>
      <c r="B83"/>
      <c r="C83"/>
      <c r="D83"/>
      <c r="E83"/>
    </row>
    <row r="84" spans="1:5" ht="14.45">
      <c r="A84"/>
      <c r="B84"/>
      <c r="C84"/>
      <c r="D84"/>
      <c r="E84"/>
    </row>
    <row r="85" spans="1:5" ht="14.45">
      <c r="A85"/>
      <c r="B85"/>
      <c r="C85"/>
      <c r="D85"/>
      <c r="E85"/>
    </row>
    <row r="86" spans="1:5" ht="14.45">
      <c r="A86"/>
      <c r="B86"/>
      <c r="C86"/>
      <c r="D86"/>
      <c r="E86"/>
    </row>
    <row r="87" spans="1:5" ht="14.45">
      <c r="A87"/>
      <c r="B87"/>
      <c r="C87"/>
      <c r="D87"/>
      <c r="E87"/>
    </row>
    <row r="88" spans="1:5" ht="14.45">
      <c r="A88"/>
      <c r="B88"/>
      <c r="C88"/>
      <c r="D88"/>
      <c r="E88"/>
    </row>
    <row r="89" spans="1:5" ht="14.45">
      <c r="A89"/>
      <c r="B89"/>
      <c r="C89"/>
      <c r="D89"/>
      <c r="E89"/>
    </row>
    <row r="90" spans="1:5" ht="14.45">
      <c r="A90"/>
      <c r="B90"/>
      <c r="C90"/>
      <c r="D90"/>
      <c r="E90"/>
    </row>
    <row r="91" spans="1:5" ht="14.45">
      <c r="A91"/>
      <c r="B91"/>
      <c r="C91"/>
      <c r="D91"/>
      <c r="E91"/>
    </row>
    <row r="92" spans="1:5" ht="14.45">
      <c r="A92"/>
      <c r="B92"/>
      <c r="C92"/>
      <c r="D92"/>
      <c r="E92"/>
    </row>
    <row r="93" spans="1:5" ht="14.45">
      <c r="A93"/>
      <c r="B93"/>
      <c r="C93"/>
      <c r="D93"/>
      <c r="E93"/>
    </row>
    <row r="94" spans="1:5" ht="14.45">
      <c r="A94"/>
      <c r="B94"/>
      <c r="C94"/>
      <c r="D94"/>
      <c r="E94"/>
    </row>
    <row r="95" spans="1:5" ht="14.45">
      <c r="A95"/>
      <c r="B95"/>
      <c r="C95"/>
      <c r="D95"/>
      <c r="E95"/>
    </row>
    <row r="96" spans="1:5" ht="14.45">
      <c r="A96"/>
      <c r="B96"/>
      <c r="C96"/>
      <c r="D96"/>
      <c r="E96"/>
    </row>
    <row r="97" spans="1:5" ht="14.45">
      <c r="A97"/>
      <c r="B97"/>
      <c r="C97"/>
      <c r="D97"/>
      <c r="E97"/>
    </row>
    <row r="98" spans="1:5" ht="14.45">
      <c r="A98"/>
      <c r="B98"/>
      <c r="C98"/>
      <c r="D98"/>
      <c r="E98"/>
    </row>
    <row r="99" spans="1:5" ht="14.45">
      <c r="A99"/>
      <c r="B99"/>
      <c r="C99"/>
      <c r="D99"/>
      <c r="E99"/>
    </row>
    <row r="100" spans="1:5" ht="14.45">
      <c r="A100"/>
      <c r="B100"/>
      <c r="C100"/>
      <c r="D100"/>
      <c r="E100"/>
    </row>
    <row r="101" spans="1:5" ht="14.45">
      <c r="A101"/>
      <c r="B101"/>
      <c r="C101"/>
      <c r="D101"/>
      <c r="E101"/>
    </row>
    <row r="102" spans="1:5" ht="14.45">
      <c r="A102"/>
      <c r="B102"/>
      <c r="C102"/>
      <c r="D102"/>
      <c r="E102"/>
    </row>
    <row r="103" spans="1:5" ht="14.45">
      <c r="A103"/>
      <c r="B103"/>
      <c r="C103"/>
      <c r="D103"/>
      <c r="E103"/>
    </row>
    <row r="104" spans="1:5" ht="14.45">
      <c r="A104"/>
      <c r="B104"/>
      <c r="C104"/>
      <c r="D104"/>
      <c r="E104"/>
    </row>
  </sheetData>
  <pageMargins left="0.48" right="0.22" top="0.44" bottom="0.45" header="0.31496062992125984" footer="0.31496062992125984"/>
  <pageSetup paperSize="9" scale="76" fitToHeight="8"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K12"/>
  <sheetViews>
    <sheetView zoomScale="70" zoomScaleNormal="70" workbookViewId="0">
      <selection sqref="A1:K12"/>
    </sheetView>
  </sheetViews>
  <sheetFormatPr defaultColWidth="10.85546875" defaultRowHeight="14.45"/>
  <cols>
    <col min="2" max="2" width="46.5703125" customWidth="1"/>
  </cols>
  <sheetData>
    <row r="1" spans="1:11" ht="23.45" thickBot="1">
      <c r="A1" s="275"/>
      <c r="B1" s="275"/>
      <c r="C1" s="285" t="s">
        <v>2153</v>
      </c>
      <c r="D1" s="285" t="s">
        <v>2154</v>
      </c>
      <c r="E1" s="286" t="s">
        <v>2155</v>
      </c>
      <c r="F1" s="286" t="s">
        <v>2156</v>
      </c>
      <c r="G1" s="286" t="s">
        <v>2157</v>
      </c>
      <c r="H1" s="287" t="s">
        <v>2158</v>
      </c>
      <c r="I1" s="287" t="s">
        <v>2159</v>
      </c>
      <c r="J1" s="288" t="s">
        <v>2160</v>
      </c>
      <c r="K1" s="289" t="s">
        <v>2161</v>
      </c>
    </row>
    <row r="2" spans="1:11" ht="34.5" customHeight="1" thickBot="1">
      <c r="A2" s="276" t="s">
        <v>2162</v>
      </c>
      <c r="B2" s="283" t="s">
        <v>2163</v>
      </c>
      <c r="C2" s="277"/>
      <c r="D2" s="277"/>
      <c r="E2" s="278"/>
      <c r="F2" s="458"/>
      <c r="G2" s="459"/>
      <c r="H2" s="278"/>
      <c r="I2" s="278"/>
      <c r="J2" s="278"/>
      <c r="K2" s="278"/>
    </row>
    <row r="3" spans="1:11" ht="23.1" customHeight="1" thickBot="1">
      <c r="A3" s="276" t="s">
        <v>2164</v>
      </c>
      <c r="B3" s="283" t="s">
        <v>2165</v>
      </c>
      <c r="C3" s="277"/>
      <c r="D3" s="278"/>
      <c r="E3" s="278"/>
      <c r="F3" s="458"/>
      <c r="G3" s="459"/>
      <c r="H3" s="278"/>
      <c r="I3" s="278"/>
      <c r="J3" s="278"/>
      <c r="K3" s="278"/>
    </row>
    <row r="4" spans="1:11" ht="15" thickBot="1">
      <c r="A4" s="276" t="s">
        <v>2166</v>
      </c>
      <c r="B4" s="283" t="s">
        <v>2167</v>
      </c>
      <c r="C4" s="278"/>
      <c r="D4" s="278"/>
      <c r="E4" s="278"/>
      <c r="F4" s="458"/>
      <c r="G4" s="459"/>
      <c r="H4" s="278"/>
      <c r="I4" s="278"/>
      <c r="J4" s="277"/>
      <c r="K4" s="277"/>
    </row>
    <row r="5" spans="1:11" ht="23.1" customHeight="1" thickBot="1">
      <c r="A5" s="276" t="s">
        <v>2168</v>
      </c>
      <c r="B5" s="283" t="s">
        <v>2169</v>
      </c>
      <c r="C5" s="278"/>
      <c r="D5" s="277"/>
      <c r="E5" s="278"/>
      <c r="F5" s="458"/>
      <c r="G5" s="459"/>
      <c r="H5" s="278"/>
      <c r="I5" s="278"/>
      <c r="J5" s="278"/>
      <c r="K5" s="278"/>
    </row>
    <row r="6" spans="1:11" ht="23.45" thickBot="1">
      <c r="A6" s="276" t="s">
        <v>2170</v>
      </c>
      <c r="B6" s="279" t="s">
        <v>2171</v>
      </c>
      <c r="C6" s="278"/>
      <c r="D6" s="278"/>
      <c r="E6" s="277"/>
      <c r="F6" s="458"/>
      <c r="G6" s="459"/>
      <c r="H6" s="278"/>
      <c r="I6" s="278"/>
      <c r="J6" s="278"/>
      <c r="K6" s="278"/>
    </row>
    <row r="7" spans="1:11" ht="23.1" customHeight="1" thickBot="1">
      <c r="A7" s="276" t="s">
        <v>2172</v>
      </c>
      <c r="B7" s="283" t="s">
        <v>2173</v>
      </c>
      <c r="C7" s="278"/>
      <c r="D7" s="278"/>
      <c r="E7" s="277"/>
      <c r="F7" s="462"/>
      <c r="G7" s="463"/>
      <c r="H7" s="278"/>
      <c r="I7" s="278"/>
      <c r="J7" s="278"/>
      <c r="K7" s="278"/>
    </row>
    <row r="8" spans="1:11" ht="34.5" customHeight="1" thickBot="1">
      <c r="A8" s="276" t="s">
        <v>2174</v>
      </c>
      <c r="B8" s="283" t="s">
        <v>2175</v>
      </c>
      <c r="C8" s="278"/>
      <c r="D8" s="278"/>
      <c r="E8" s="278"/>
      <c r="F8" s="458"/>
      <c r="G8" s="459"/>
      <c r="H8" s="278"/>
      <c r="I8" s="278"/>
      <c r="J8" s="278"/>
      <c r="K8" s="277"/>
    </row>
    <row r="9" spans="1:11" ht="23.1" customHeight="1" thickBot="1">
      <c r="A9" s="276" t="s">
        <v>2176</v>
      </c>
      <c r="B9" s="283" t="s">
        <v>2177</v>
      </c>
      <c r="C9" s="278"/>
      <c r="D9" s="278"/>
      <c r="E9" s="278"/>
      <c r="F9" s="462"/>
      <c r="G9" s="463"/>
      <c r="H9" s="277"/>
      <c r="I9" s="278"/>
      <c r="J9" s="278"/>
      <c r="K9" s="278"/>
    </row>
    <row r="10" spans="1:11" ht="23.1" customHeight="1" thickBot="1">
      <c r="A10" s="276" t="s">
        <v>2178</v>
      </c>
      <c r="B10" s="283" t="s">
        <v>2179</v>
      </c>
      <c r="C10" s="278"/>
      <c r="D10" s="278"/>
      <c r="E10" s="278"/>
      <c r="F10" s="458"/>
      <c r="G10" s="459"/>
      <c r="H10" s="278"/>
      <c r="I10" s="278"/>
      <c r="J10" s="277"/>
      <c r="K10" s="277"/>
    </row>
    <row r="11" spans="1:11" ht="23.1" customHeight="1" thickBot="1">
      <c r="A11" s="276" t="s">
        <v>2180</v>
      </c>
      <c r="B11" s="283" t="s">
        <v>2181</v>
      </c>
      <c r="C11" s="278"/>
      <c r="D11" s="278"/>
      <c r="E11" s="278"/>
      <c r="F11" s="462"/>
      <c r="G11" s="463"/>
      <c r="H11" s="277"/>
      <c r="I11" s="277"/>
      <c r="J11" s="278"/>
      <c r="K11" s="278"/>
    </row>
    <row r="12" spans="1:11" ht="23.1" customHeight="1">
      <c r="A12" s="280" t="s">
        <v>2182</v>
      </c>
      <c r="B12" s="284" t="s">
        <v>2183</v>
      </c>
      <c r="C12" s="281"/>
      <c r="D12" s="281"/>
      <c r="E12" s="281"/>
      <c r="F12" s="460"/>
      <c r="G12" s="461"/>
      <c r="H12" s="281"/>
      <c r="I12" s="282"/>
      <c r="J12" s="282"/>
      <c r="K12" s="281"/>
    </row>
  </sheetData>
  <mergeCells count="11">
    <mergeCell ref="F2:G2"/>
    <mergeCell ref="F3:G3"/>
    <mergeCell ref="F4:G4"/>
    <mergeCell ref="F12:G12"/>
    <mergeCell ref="F9:G9"/>
    <mergeCell ref="F10:G10"/>
    <mergeCell ref="F11:G11"/>
    <mergeCell ref="F5:G5"/>
    <mergeCell ref="F6:G6"/>
    <mergeCell ref="F7:G7"/>
    <mergeCell ref="F8:G8"/>
  </mergeCells>
  <pageMargins left="0.70866141732283472" right="0.70866141732283472" top="0.74803149606299213" bottom="0.74803149606299213" header="0.31496062992125984" footer="0.31496062992125984"/>
  <pageSetup paperSize="9" scale="84"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4"/>
  <sheetViews>
    <sheetView zoomScale="80" zoomScaleNormal="80" workbookViewId="0">
      <selection activeCell="C25" sqref="C25"/>
    </sheetView>
  </sheetViews>
  <sheetFormatPr defaultColWidth="10.85546875" defaultRowHeight="14.45"/>
  <cols>
    <col min="1" max="1" width="12.140625" customWidth="1"/>
    <col min="2" max="2" width="13.85546875" customWidth="1"/>
    <col min="3" max="3" width="78.42578125" customWidth="1"/>
    <col min="4" max="4" width="33.42578125" customWidth="1"/>
  </cols>
  <sheetData>
    <row r="1" spans="1:4">
      <c r="A1" s="290" t="s">
        <v>2132</v>
      </c>
      <c r="B1" t="s">
        <v>2184</v>
      </c>
    </row>
    <row r="3" spans="1:4">
      <c r="A3" s="290" t="s">
        <v>322</v>
      </c>
      <c r="B3" s="290" t="s">
        <v>326</v>
      </c>
      <c r="C3" s="290" t="s">
        <v>2133</v>
      </c>
      <c r="D3" t="s">
        <v>2134</v>
      </c>
    </row>
    <row r="4" spans="1:4">
      <c r="A4" t="s">
        <v>310</v>
      </c>
    </row>
  </sheetData>
  <pageMargins left="0.70866141732283472" right="0.70866141732283472" top="0.74803149606299213" bottom="0.74803149606299213" header="0.31496062992125984" footer="0.31496062992125984"/>
  <pageSetup paperSize="9" scale="62"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D31"/>
  <sheetViews>
    <sheetView workbookViewId="0">
      <selection activeCell="D3" sqref="D3:D31"/>
    </sheetView>
  </sheetViews>
  <sheetFormatPr defaultColWidth="10.85546875" defaultRowHeight="11.45"/>
  <cols>
    <col min="1" max="1" width="27.85546875" style="291" customWidth="1"/>
    <col min="2" max="2" width="39.140625" style="291" customWidth="1"/>
    <col min="3" max="3" width="59.85546875" style="291" customWidth="1"/>
    <col min="4" max="16384" width="10.85546875" style="291"/>
  </cols>
  <sheetData>
    <row r="1" spans="1:4">
      <c r="A1" s="291" t="s">
        <v>2185</v>
      </c>
      <c r="B1" s="291" t="s">
        <v>2186</v>
      </c>
      <c r="C1" s="291" t="s">
        <v>2187</v>
      </c>
    </row>
    <row r="2" spans="1:4">
      <c r="A2" s="291" t="s">
        <v>2188</v>
      </c>
      <c r="B2" s="291" t="s">
        <v>2189</v>
      </c>
      <c r="C2" s="291" t="s">
        <v>2014</v>
      </c>
    </row>
    <row r="3" spans="1:4" ht="23.1">
      <c r="A3" s="291" t="s">
        <v>2190</v>
      </c>
      <c r="B3" s="291" t="s">
        <v>2191</v>
      </c>
      <c r="C3" s="291" t="s">
        <v>2192</v>
      </c>
      <c r="D3" s="293"/>
    </row>
    <row r="4" spans="1:4" ht="23.1">
      <c r="A4" s="291" t="s">
        <v>2190</v>
      </c>
      <c r="B4" s="291" t="s">
        <v>2191</v>
      </c>
      <c r="C4" s="291" t="s">
        <v>2193</v>
      </c>
      <c r="D4" s="293"/>
    </row>
    <row r="5" spans="1:4" ht="23.1">
      <c r="A5" s="291" t="s">
        <v>2190</v>
      </c>
      <c r="B5" s="291" t="s">
        <v>2191</v>
      </c>
      <c r="C5" s="291" t="s">
        <v>2194</v>
      </c>
      <c r="D5" s="293"/>
    </row>
    <row r="6" spans="1:4" ht="23.1">
      <c r="A6" s="291" t="s">
        <v>2190</v>
      </c>
      <c r="B6" s="291" t="s">
        <v>2191</v>
      </c>
      <c r="C6" s="291" t="s">
        <v>2195</v>
      </c>
      <c r="D6" s="293"/>
    </row>
    <row r="7" spans="1:4" ht="23.1">
      <c r="A7" s="291" t="s">
        <v>2190</v>
      </c>
      <c r="B7" s="291" t="s">
        <v>2196</v>
      </c>
      <c r="C7" s="291" t="s">
        <v>2197</v>
      </c>
      <c r="D7" s="293"/>
    </row>
    <row r="8" spans="1:4" ht="23.1">
      <c r="A8" s="291" t="s">
        <v>2190</v>
      </c>
      <c r="B8" s="291" t="s">
        <v>2196</v>
      </c>
      <c r="C8" s="291" t="s">
        <v>2198</v>
      </c>
      <c r="D8" s="293"/>
    </row>
    <row r="9" spans="1:4">
      <c r="A9" s="291" t="s">
        <v>2190</v>
      </c>
      <c r="B9" s="291" t="s">
        <v>2196</v>
      </c>
      <c r="C9" s="291" t="s">
        <v>2199</v>
      </c>
      <c r="D9" s="293"/>
    </row>
    <row r="10" spans="1:4" ht="23.1">
      <c r="A10" s="291" t="s">
        <v>2190</v>
      </c>
      <c r="B10" s="291" t="s">
        <v>2196</v>
      </c>
      <c r="C10" s="291" t="s">
        <v>2200</v>
      </c>
      <c r="D10" s="294"/>
    </row>
    <row r="11" spans="1:4" ht="23.1">
      <c r="A11" s="291" t="s">
        <v>2190</v>
      </c>
      <c r="B11" s="291" t="s">
        <v>2196</v>
      </c>
      <c r="C11" s="291" t="s">
        <v>2201</v>
      </c>
      <c r="D11" s="293"/>
    </row>
    <row r="12" spans="1:4" ht="23.1">
      <c r="A12" s="291" t="s">
        <v>2202</v>
      </c>
      <c r="B12" s="291" t="s">
        <v>2203</v>
      </c>
      <c r="C12" s="291" t="s">
        <v>2204</v>
      </c>
      <c r="D12" s="293"/>
    </row>
    <row r="13" spans="1:4" ht="23.1">
      <c r="A13" s="291" t="s">
        <v>2202</v>
      </c>
      <c r="B13" s="291" t="s">
        <v>2203</v>
      </c>
      <c r="C13" s="291" t="s">
        <v>2205</v>
      </c>
      <c r="D13" s="293"/>
    </row>
    <row r="14" spans="1:4" ht="23.1">
      <c r="A14" s="291" t="s">
        <v>2202</v>
      </c>
      <c r="B14" s="291" t="s">
        <v>2203</v>
      </c>
      <c r="C14" s="291" t="s">
        <v>2206</v>
      </c>
      <c r="D14" s="293"/>
    </row>
    <row r="15" spans="1:4" ht="34.5">
      <c r="A15" s="291" t="s">
        <v>2202</v>
      </c>
      <c r="B15" s="291" t="s">
        <v>2203</v>
      </c>
      <c r="C15" s="291" t="s">
        <v>2207</v>
      </c>
      <c r="D15" s="293"/>
    </row>
    <row r="16" spans="1:4" ht="23.1">
      <c r="A16" s="291" t="s">
        <v>2202</v>
      </c>
      <c r="B16" s="291" t="s">
        <v>2203</v>
      </c>
      <c r="C16" s="291" t="s">
        <v>2208</v>
      </c>
      <c r="D16" s="293"/>
    </row>
    <row r="17" spans="1:4" ht="23.1">
      <c r="A17" s="291" t="s">
        <v>2202</v>
      </c>
      <c r="B17" s="291" t="s">
        <v>2209</v>
      </c>
      <c r="C17" s="291" t="s">
        <v>2210</v>
      </c>
      <c r="D17" s="293"/>
    </row>
    <row r="18" spans="1:4" ht="23.1">
      <c r="A18" s="291" t="s">
        <v>2202</v>
      </c>
      <c r="B18" s="291" t="s">
        <v>2209</v>
      </c>
      <c r="C18" s="291" t="s">
        <v>2211</v>
      </c>
      <c r="D18" s="293"/>
    </row>
    <row r="19" spans="1:4" ht="23.1">
      <c r="A19" s="291" t="s">
        <v>2202</v>
      </c>
      <c r="B19" s="291" t="s">
        <v>2209</v>
      </c>
      <c r="C19" s="291" t="s">
        <v>2212</v>
      </c>
      <c r="D19" s="293"/>
    </row>
    <row r="20" spans="1:4" ht="23.1">
      <c r="A20" s="291" t="s">
        <v>2202</v>
      </c>
      <c r="B20" s="291" t="s">
        <v>2209</v>
      </c>
      <c r="C20" s="291" t="s">
        <v>2213</v>
      </c>
      <c r="D20" s="293"/>
    </row>
    <row r="21" spans="1:4" ht="23.1">
      <c r="A21" s="291" t="s">
        <v>2214</v>
      </c>
      <c r="B21" s="291" t="s">
        <v>2215</v>
      </c>
      <c r="C21" s="291" t="s">
        <v>2216</v>
      </c>
      <c r="D21" s="293"/>
    </row>
    <row r="22" spans="1:4">
      <c r="A22" s="291" t="s">
        <v>2214</v>
      </c>
      <c r="B22" s="291" t="s">
        <v>2215</v>
      </c>
      <c r="C22" s="291" t="s">
        <v>2217</v>
      </c>
      <c r="D22" s="293"/>
    </row>
    <row r="23" spans="1:4">
      <c r="A23" s="291" t="s">
        <v>2214</v>
      </c>
      <c r="B23" s="291" t="s">
        <v>2218</v>
      </c>
      <c r="C23" s="291" t="s">
        <v>2219</v>
      </c>
      <c r="D23" s="293"/>
    </row>
    <row r="24" spans="1:4" ht="34.5">
      <c r="A24" s="291" t="s">
        <v>2214</v>
      </c>
      <c r="B24" s="291" t="s">
        <v>2218</v>
      </c>
      <c r="C24" s="291" t="s">
        <v>2220</v>
      </c>
      <c r="D24" s="293"/>
    </row>
    <row r="25" spans="1:4" ht="23.1">
      <c r="A25" s="291" t="s">
        <v>2214</v>
      </c>
      <c r="B25" s="291" t="s">
        <v>2221</v>
      </c>
      <c r="C25" s="291" t="s">
        <v>2222</v>
      </c>
      <c r="D25" s="293"/>
    </row>
    <row r="26" spans="1:4" ht="23.1">
      <c r="A26" s="291" t="s">
        <v>2214</v>
      </c>
      <c r="B26" s="291" t="s">
        <v>2221</v>
      </c>
      <c r="C26" s="291" t="s">
        <v>2223</v>
      </c>
      <c r="D26" s="293"/>
    </row>
    <row r="27" spans="1:4">
      <c r="A27" s="291" t="s">
        <v>2224</v>
      </c>
      <c r="B27" s="291" t="s">
        <v>2225</v>
      </c>
      <c r="C27" s="291" t="s">
        <v>2226</v>
      </c>
      <c r="D27" s="293"/>
    </row>
    <row r="28" spans="1:4" ht="34.5">
      <c r="A28" s="291" t="s">
        <v>2224</v>
      </c>
      <c r="B28" s="291" t="s">
        <v>2227</v>
      </c>
      <c r="C28" s="291" t="s">
        <v>2228</v>
      </c>
      <c r="D28" s="293"/>
    </row>
    <row r="29" spans="1:4" ht="23.1">
      <c r="A29" s="291" t="s">
        <v>2224</v>
      </c>
      <c r="B29" s="291" t="s">
        <v>2227</v>
      </c>
      <c r="C29" s="291" t="s">
        <v>2229</v>
      </c>
      <c r="D29" s="293"/>
    </row>
    <row r="30" spans="1:4">
      <c r="A30" s="291" t="s">
        <v>2230</v>
      </c>
      <c r="B30" s="291" t="s">
        <v>2231</v>
      </c>
      <c r="C30" s="291" t="s">
        <v>2232</v>
      </c>
      <c r="D30" s="293"/>
    </row>
    <row r="31" spans="1:4" ht="23.1">
      <c r="A31" s="291" t="s">
        <v>2230</v>
      </c>
      <c r="B31" s="291" t="s">
        <v>2231</v>
      </c>
      <c r="C31" s="291" t="s">
        <v>2233</v>
      </c>
      <c r="D31" s="293"/>
    </row>
  </sheetData>
  <pageMargins left="0.70866141732283472" right="0.70866141732283472" top="0.42" bottom="0.44" header="0.31496062992125984" footer="0.31496062992125984"/>
  <pageSetup paperSize="9" fitToHeight="5" orientation="landscape"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95"/>
  <sheetViews>
    <sheetView topLeftCell="A40" zoomScale="120" zoomScaleNormal="120" workbookViewId="0">
      <selection activeCell="D29" sqref="D29"/>
    </sheetView>
  </sheetViews>
  <sheetFormatPr defaultColWidth="16.85546875" defaultRowHeight="11.45"/>
  <cols>
    <col min="1" max="1" width="16.140625" style="223" customWidth="1"/>
    <col min="2" max="2" width="7.85546875" style="274" customWidth="1"/>
    <col min="3" max="3" width="35.5703125" style="274" customWidth="1"/>
    <col min="4" max="4" width="61.42578125" style="274" customWidth="1"/>
    <col min="5" max="5" width="7.5703125" style="274" customWidth="1"/>
    <col min="6" max="16384" width="16.85546875" style="274"/>
  </cols>
  <sheetData>
    <row r="1" spans="1:5">
      <c r="A1" s="383" t="s">
        <v>2132</v>
      </c>
      <c r="B1" s="274" t="s">
        <v>2234</v>
      </c>
    </row>
    <row r="3" spans="1:5">
      <c r="A3" s="383" t="s">
        <v>317</v>
      </c>
      <c r="B3" s="385" t="s">
        <v>322</v>
      </c>
      <c r="C3" s="385" t="s">
        <v>326</v>
      </c>
      <c r="D3" s="383" t="s">
        <v>2133</v>
      </c>
      <c r="E3" s="274" t="s">
        <v>2134</v>
      </c>
    </row>
    <row r="4" spans="1:5" ht="23.1">
      <c r="A4" s="223" t="s">
        <v>303</v>
      </c>
      <c r="B4" s="223" t="s">
        <v>671</v>
      </c>
      <c r="C4" s="223" t="s">
        <v>672</v>
      </c>
      <c r="D4" s="223" t="s">
        <v>2212</v>
      </c>
      <c r="E4" s="274">
        <v>1</v>
      </c>
    </row>
    <row r="5" spans="1:5">
      <c r="B5" s="223"/>
      <c r="C5" s="274" t="s">
        <v>2235</v>
      </c>
      <c r="E5" s="274">
        <v>1</v>
      </c>
    </row>
    <row r="6" spans="1:5">
      <c r="B6" s="274" t="s">
        <v>2236</v>
      </c>
      <c r="E6" s="274">
        <v>1</v>
      </c>
    </row>
    <row r="7" spans="1:5">
      <c r="A7" s="274" t="s">
        <v>2237</v>
      </c>
      <c r="E7" s="274">
        <v>1</v>
      </c>
    </row>
    <row r="8" spans="1:5" ht="34.5">
      <c r="A8" s="223" t="s">
        <v>304</v>
      </c>
      <c r="B8" s="223" t="s">
        <v>782</v>
      </c>
      <c r="C8" s="223" t="s">
        <v>783</v>
      </c>
      <c r="D8" s="223" t="s">
        <v>2210</v>
      </c>
      <c r="E8" s="274">
        <v>1</v>
      </c>
    </row>
    <row r="9" spans="1:5">
      <c r="B9" s="223"/>
      <c r="C9" s="274" t="s">
        <v>2238</v>
      </c>
      <c r="E9" s="274">
        <v>1</v>
      </c>
    </row>
    <row r="10" spans="1:5">
      <c r="B10" s="274" t="s">
        <v>2239</v>
      </c>
      <c r="E10" s="274">
        <v>1</v>
      </c>
    </row>
    <row r="11" spans="1:5">
      <c r="A11" s="274" t="s">
        <v>2240</v>
      </c>
      <c r="E11" s="274">
        <v>1</v>
      </c>
    </row>
    <row r="12" spans="1:5" ht="45.95">
      <c r="A12" s="223" t="s">
        <v>305</v>
      </c>
      <c r="B12" s="223" t="s">
        <v>943</v>
      </c>
      <c r="C12" s="223" t="s">
        <v>2241</v>
      </c>
      <c r="D12" s="223" t="s">
        <v>2204</v>
      </c>
      <c r="E12" s="274">
        <v>1</v>
      </c>
    </row>
    <row r="13" spans="1:5">
      <c r="B13" s="223"/>
      <c r="C13" s="223"/>
      <c r="D13" s="223" t="s">
        <v>2205</v>
      </c>
      <c r="E13" s="274">
        <v>1</v>
      </c>
    </row>
    <row r="14" spans="1:5">
      <c r="B14" s="223"/>
      <c r="C14" s="223"/>
      <c r="D14" s="223" t="s">
        <v>2206</v>
      </c>
      <c r="E14" s="274">
        <v>1</v>
      </c>
    </row>
    <row r="15" spans="1:5">
      <c r="B15" s="223"/>
      <c r="C15" s="223"/>
      <c r="D15" s="223" t="s">
        <v>2208</v>
      </c>
      <c r="E15" s="274">
        <v>1</v>
      </c>
    </row>
    <row r="16" spans="1:5" ht="23.1">
      <c r="B16" s="223"/>
      <c r="C16" s="223"/>
      <c r="D16" s="223" t="s">
        <v>2211</v>
      </c>
      <c r="E16" s="274">
        <v>1</v>
      </c>
    </row>
    <row r="17" spans="2:5">
      <c r="B17" s="223"/>
      <c r="C17" s="223"/>
      <c r="D17" s="223" t="s">
        <v>2232</v>
      </c>
      <c r="E17" s="274">
        <v>1</v>
      </c>
    </row>
    <row r="18" spans="2:5">
      <c r="B18" s="223"/>
      <c r="C18" s="274" t="s">
        <v>2242</v>
      </c>
      <c r="E18" s="274">
        <v>6</v>
      </c>
    </row>
    <row r="19" spans="2:5">
      <c r="B19" s="274" t="s">
        <v>2243</v>
      </c>
      <c r="E19" s="274">
        <v>6</v>
      </c>
    </row>
    <row r="20" spans="2:5" ht="34.5">
      <c r="B20" s="223" t="s">
        <v>964</v>
      </c>
      <c r="C20" s="223" t="s">
        <v>965</v>
      </c>
      <c r="D20" s="223" t="s">
        <v>2216</v>
      </c>
      <c r="E20" s="274">
        <v>1</v>
      </c>
    </row>
    <row r="21" spans="2:5">
      <c r="B21" s="223"/>
      <c r="C21" s="223"/>
      <c r="D21" s="223" t="s">
        <v>2219</v>
      </c>
      <c r="E21" s="274">
        <v>1</v>
      </c>
    </row>
    <row r="22" spans="2:5">
      <c r="B22" s="223"/>
      <c r="C22" s="274" t="s">
        <v>2244</v>
      </c>
      <c r="E22" s="274">
        <v>2</v>
      </c>
    </row>
    <row r="23" spans="2:5">
      <c r="B23" s="274" t="s">
        <v>2245</v>
      </c>
      <c r="E23" s="274">
        <v>2</v>
      </c>
    </row>
    <row r="24" spans="2:5" ht="23.1">
      <c r="B24" s="223" t="s">
        <v>970</v>
      </c>
      <c r="C24" s="223" t="s">
        <v>971</v>
      </c>
      <c r="D24" s="223" t="s">
        <v>2193</v>
      </c>
      <c r="E24" s="274">
        <v>1</v>
      </c>
    </row>
    <row r="25" spans="2:5" ht="23.1">
      <c r="B25" s="223"/>
      <c r="C25" s="223"/>
      <c r="D25" s="223" t="s">
        <v>2194</v>
      </c>
      <c r="E25" s="274">
        <v>1</v>
      </c>
    </row>
    <row r="26" spans="2:5">
      <c r="B26" s="223"/>
      <c r="C26" s="223"/>
      <c r="D26" s="223" t="s">
        <v>2195</v>
      </c>
      <c r="E26" s="274">
        <v>1</v>
      </c>
    </row>
    <row r="27" spans="2:5" ht="23.1">
      <c r="B27" s="223"/>
      <c r="C27" s="223"/>
      <c r="D27" s="223" t="s">
        <v>2207</v>
      </c>
      <c r="E27" s="274">
        <v>1</v>
      </c>
    </row>
    <row r="28" spans="2:5">
      <c r="B28" s="223"/>
      <c r="C28" s="223"/>
      <c r="D28" s="223" t="s">
        <v>2217</v>
      </c>
      <c r="E28" s="274">
        <v>1</v>
      </c>
    </row>
    <row r="29" spans="2:5" ht="23.1">
      <c r="B29" s="223"/>
      <c r="C29" s="223"/>
      <c r="D29" s="223" t="s">
        <v>2220</v>
      </c>
      <c r="E29" s="274">
        <v>1</v>
      </c>
    </row>
    <row r="30" spans="2:5">
      <c r="B30" s="223"/>
      <c r="C30" s="274" t="s">
        <v>2246</v>
      </c>
      <c r="E30" s="274">
        <v>6</v>
      </c>
    </row>
    <row r="31" spans="2:5">
      <c r="B31" s="274" t="s">
        <v>2247</v>
      </c>
      <c r="E31" s="274">
        <v>6</v>
      </c>
    </row>
    <row r="32" spans="2:5" ht="23.1">
      <c r="B32" s="223" t="s">
        <v>985</v>
      </c>
      <c r="C32" s="223" t="s">
        <v>986</v>
      </c>
      <c r="D32" s="223" t="s">
        <v>2201</v>
      </c>
      <c r="E32" s="274">
        <v>1</v>
      </c>
    </row>
    <row r="33" spans="2:5">
      <c r="B33" s="223"/>
      <c r="C33" s="223"/>
      <c r="D33" s="223" t="s">
        <v>2222</v>
      </c>
      <c r="E33" s="274">
        <v>1</v>
      </c>
    </row>
    <row r="34" spans="2:5">
      <c r="B34" s="223"/>
      <c r="C34" s="223"/>
      <c r="D34" s="223" t="s">
        <v>2223</v>
      </c>
      <c r="E34" s="274">
        <v>1</v>
      </c>
    </row>
    <row r="35" spans="2:5">
      <c r="B35" s="223"/>
      <c r="C35" s="274" t="s">
        <v>2248</v>
      </c>
      <c r="E35" s="274">
        <v>3</v>
      </c>
    </row>
    <row r="36" spans="2:5">
      <c r="B36" s="274" t="s">
        <v>2249</v>
      </c>
      <c r="E36" s="274">
        <v>3</v>
      </c>
    </row>
    <row r="37" spans="2:5" ht="23.1">
      <c r="B37" s="223" t="s">
        <v>997</v>
      </c>
      <c r="C37" s="223" t="s">
        <v>998</v>
      </c>
      <c r="D37" s="223" t="s">
        <v>2228</v>
      </c>
      <c r="E37" s="274">
        <v>1</v>
      </c>
    </row>
    <row r="38" spans="2:5" ht="23.1">
      <c r="B38" s="223"/>
      <c r="C38" s="223"/>
      <c r="D38" s="223" t="s">
        <v>2229</v>
      </c>
      <c r="E38" s="274">
        <v>1</v>
      </c>
    </row>
    <row r="39" spans="2:5">
      <c r="B39" s="223"/>
      <c r="C39" s="274" t="s">
        <v>2250</v>
      </c>
      <c r="E39" s="274">
        <v>2</v>
      </c>
    </row>
    <row r="40" spans="2:5">
      <c r="B40" s="274" t="s">
        <v>2251</v>
      </c>
      <c r="E40" s="274">
        <v>2</v>
      </c>
    </row>
    <row r="41" spans="2:5" ht="45.95">
      <c r="B41" s="223" t="s">
        <v>1007</v>
      </c>
      <c r="C41" s="223" t="s">
        <v>1015</v>
      </c>
      <c r="D41" s="223" t="s">
        <v>2252</v>
      </c>
      <c r="E41" s="274">
        <v>1</v>
      </c>
    </row>
    <row r="42" spans="2:5" ht="23.1">
      <c r="B42" s="223"/>
      <c r="C42" s="223"/>
      <c r="D42" s="223" t="s">
        <v>2253</v>
      </c>
      <c r="E42" s="274">
        <v>1</v>
      </c>
    </row>
    <row r="43" spans="2:5">
      <c r="B43" s="223"/>
      <c r="C43" s="274" t="s">
        <v>2254</v>
      </c>
      <c r="E43" s="274">
        <v>2</v>
      </c>
    </row>
    <row r="44" spans="2:5">
      <c r="B44" s="274" t="s">
        <v>2255</v>
      </c>
      <c r="E44" s="274">
        <v>2</v>
      </c>
    </row>
    <row r="45" spans="2:5" ht="23.1">
      <c r="B45" s="223" t="s">
        <v>1020</v>
      </c>
      <c r="C45" s="223" t="s">
        <v>1028</v>
      </c>
      <c r="D45" s="223" t="s">
        <v>2213</v>
      </c>
      <c r="E45" s="274">
        <v>1</v>
      </c>
    </row>
    <row r="46" spans="2:5">
      <c r="B46" s="223"/>
      <c r="C46" s="223"/>
      <c r="D46" s="223" t="s">
        <v>2226</v>
      </c>
      <c r="E46" s="274">
        <v>1</v>
      </c>
    </row>
    <row r="47" spans="2:5">
      <c r="B47" s="223"/>
      <c r="C47" s="223"/>
      <c r="D47" s="223" t="s">
        <v>2256</v>
      </c>
      <c r="E47" s="274">
        <v>1</v>
      </c>
    </row>
    <row r="48" spans="2:5">
      <c r="B48" s="223"/>
      <c r="C48" s="274" t="s">
        <v>2257</v>
      </c>
      <c r="E48" s="274">
        <v>3</v>
      </c>
    </row>
    <row r="49" spans="1:5">
      <c r="B49" s="274" t="s">
        <v>2258</v>
      </c>
      <c r="E49" s="274">
        <v>3</v>
      </c>
    </row>
    <row r="50" spans="1:5">
      <c r="A50" s="274" t="s">
        <v>2259</v>
      </c>
      <c r="E50" s="274">
        <v>24</v>
      </c>
    </row>
    <row r="51" spans="1:5" ht="34.5">
      <c r="A51" s="223" t="s">
        <v>306</v>
      </c>
      <c r="B51" s="223" t="s">
        <v>1576</v>
      </c>
      <c r="C51" s="223" t="s">
        <v>1577</v>
      </c>
      <c r="D51" s="223" t="s">
        <v>2197</v>
      </c>
      <c r="E51" s="274">
        <v>1</v>
      </c>
    </row>
    <row r="52" spans="1:5">
      <c r="B52" s="223"/>
      <c r="C52" s="223"/>
      <c r="D52" s="223" t="s">
        <v>2198</v>
      </c>
      <c r="E52" s="274">
        <v>1</v>
      </c>
    </row>
    <row r="53" spans="1:5">
      <c r="B53" s="223"/>
      <c r="C53" s="223"/>
      <c r="D53" s="223" t="s">
        <v>2199</v>
      </c>
      <c r="E53" s="274">
        <v>1</v>
      </c>
    </row>
    <row r="54" spans="1:5">
      <c r="B54" s="223"/>
      <c r="C54" s="274" t="s">
        <v>2260</v>
      </c>
      <c r="E54" s="274">
        <v>3</v>
      </c>
    </row>
    <row r="55" spans="1:5">
      <c r="B55" s="274" t="s">
        <v>2261</v>
      </c>
      <c r="E55" s="274">
        <v>3</v>
      </c>
    </row>
    <row r="56" spans="1:5">
      <c r="A56" s="274" t="s">
        <v>2262</v>
      </c>
      <c r="E56" s="274">
        <v>3</v>
      </c>
    </row>
    <row r="57" spans="1:5" ht="23.1">
      <c r="A57" s="223" t="s">
        <v>307</v>
      </c>
      <c r="B57" s="223" t="s">
        <v>1712</v>
      </c>
      <c r="C57" s="223" t="s">
        <v>2263</v>
      </c>
      <c r="D57" s="223" t="s">
        <v>2233</v>
      </c>
      <c r="E57" s="274">
        <v>1</v>
      </c>
    </row>
    <row r="58" spans="1:5">
      <c r="B58" s="223"/>
      <c r="C58" s="274" t="s">
        <v>2264</v>
      </c>
      <c r="E58" s="274">
        <v>1</v>
      </c>
    </row>
    <row r="59" spans="1:5">
      <c r="B59" s="274" t="s">
        <v>2265</v>
      </c>
      <c r="E59" s="274">
        <v>1</v>
      </c>
    </row>
    <row r="60" spans="1:5">
      <c r="A60" s="274" t="s">
        <v>2266</v>
      </c>
      <c r="E60" s="274">
        <v>1</v>
      </c>
    </row>
    <row r="61" spans="1:5">
      <c r="A61" s="223" t="s">
        <v>310</v>
      </c>
      <c r="B61" s="223"/>
      <c r="C61" s="223"/>
      <c r="D61" s="223"/>
      <c r="E61" s="274">
        <v>30</v>
      </c>
    </row>
    <row r="62" spans="1:5" ht="14.45">
      <c r="A62"/>
      <c r="B62"/>
      <c r="C62"/>
      <c r="D62"/>
      <c r="E62"/>
    </row>
    <row r="63" spans="1:5" ht="14.45">
      <c r="A63"/>
      <c r="B63"/>
      <c r="C63"/>
      <c r="D63"/>
      <c r="E63"/>
    </row>
    <row r="64" spans="1:5" ht="14.45">
      <c r="A64"/>
      <c r="B64"/>
      <c r="C64"/>
      <c r="D64"/>
      <c r="E64"/>
    </row>
    <row r="65" spans="1:2" ht="14.45">
      <c r="A65" s="1"/>
      <c r="B65" s="292"/>
    </row>
    <row r="66" spans="1:2" ht="14.45">
      <c r="A66" s="1"/>
      <c r="B66" s="292"/>
    </row>
    <row r="67" spans="1:2" ht="14.45">
      <c r="A67" s="1"/>
      <c r="B67" s="292"/>
    </row>
    <row r="68" spans="1:2" ht="14.45">
      <c r="A68" s="1"/>
      <c r="B68" s="292"/>
    </row>
    <row r="69" spans="1:2" ht="14.45">
      <c r="A69" s="1"/>
      <c r="B69" s="292"/>
    </row>
    <row r="70" spans="1:2" ht="14.45">
      <c r="A70" s="1"/>
      <c r="B70" s="292"/>
    </row>
    <row r="71" spans="1:2" ht="14.45">
      <c r="A71" s="1"/>
      <c r="B71" s="292"/>
    </row>
    <row r="72" spans="1:2" ht="14.45">
      <c r="A72" s="1"/>
      <c r="B72" s="292"/>
    </row>
    <row r="73" spans="1:2" ht="14.45">
      <c r="A73" s="1"/>
      <c r="B73" s="292"/>
    </row>
    <row r="74" spans="1:2" ht="14.45">
      <c r="A74" s="1"/>
      <c r="B74" s="292"/>
    </row>
    <row r="75" spans="1:2" ht="14.45">
      <c r="A75" s="1"/>
      <c r="B75" s="292"/>
    </row>
    <row r="76" spans="1:2" ht="14.45">
      <c r="A76" s="1"/>
      <c r="B76" s="292"/>
    </row>
    <row r="77" spans="1:2" ht="14.45">
      <c r="A77" s="1"/>
      <c r="B77" s="292"/>
    </row>
    <row r="78" spans="1:2" ht="14.45">
      <c r="A78" s="1"/>
      <c r="B78" s="292"/>
    </row>
    <row r="79" spans="1:2" ht="14.45">
      <c r="A79" s="1"/>
      <c r="B79" s="292"/>
    </row>
    <row r="80" spans="1:2" ht="14.45">
      <c r="A80" s="1"/>
      <c r="B80" s="292"/>
    </row>
    <row r="81" spans="1:2" ht="14.45">
      <c r="A81" s="1"/>
      <c r="B81" s="292"/>
    </row>
    <row r="82" spans="1:2" ht="14.45">
      <c r="A82" s="1"/>
      <c r="B82" s="292"/>
    </row>
    <row r="83" spans="1:2" ht="14.45">
      <c r="A83" s="1"/>
      <c r="B83" s="292"/>
    </row>
    <row r="84" spans="1:2" ht="14.45">
      <c r="A84" s="1"/>
      <c r="B84" s="292"/>
    </row>
    <row r="85" spans="1:2" ht="14.45">
      <c r="A85" s="1"/>
      <c r="B85" s="292"/>
    </row>
    <row r="86" spans="1:2" ht="14.45">
      <c r="A86" s="1"/>
      <c r="B86" s="292"/>
    </row>
    <row r="87" spans="1:2" ht="14.45">
      <c r="A87" s="1"/>
      <c r="B87" s="292"/>
    </row>
    <row r="88" spans="1:2" ht="14.45">
      <c r="A88" s="1"/>
      <c r="B88" s="292"/>
    </row>
    <row r="89" spans="1:2" ht="14.45">
      <c r="A89" s="1"/>
      <c r="B89" s="292"/>
    </row>
    <row r="90" spans="1:2" ht="14.45">
      <c r="A90" s="1"/>
      <c r="B90" s="292"/>
    </row>
    <row r="91" spans="1:2" ht="14.45">
      <c r="A91" s="1"/>
      <c r="B91" s="292"/>
    </row>
    <row r="92" spans="1:2" ht="14.45">
      <c r="A92" s="1"/>
      <c r="B92" s="292"/>
    </row>
    <row r="93" spans="1:2" ht="14.45">
      <c r="A93" s="1"/>
      <c r="B93" s="292"/>
    </row>
    <row r="94" spans="1:2" ht="14.45">
      <c r="A94" s="1"/>
      <c r="B94" s="292"/>
    </row>
    <row r="95" spans="1:2" ht="14.45">
      <c r="A95" s="1"/>
      <c r="B95" s="292"/>
    </row>
  </sheetData>
  <pageMargins left="0.7" right="0.7" top="0.75" bottom="0.75" header="0.3" footer="0.3"/>
  <pageSetup paperSize="9"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30"/>
  <sheetViews>
    <sheetView zoomScale="110" zoomScaleNormal="110" workbookViewId="0">
      <selection activeCell="F14" sqref="F14"/>
    </sheetView>
  </sheetViews>
  <sheetFormatPr defaultColWidth="10.85546875" defaultRowHeight="11.45"/>
  <cols>
    <col min="1" max="1" width="10.85546875" style="296"/>
    <col min="2" max="2" width="12.85546875" style="296" bestFit="1" customWidth="1"/>
    <col min="3" max="3" width="58.5703125" style="296" customWidth="1"/>
    <col min="4" max="4" width="7.85546875" style="296" customWidth="1"/>
    <col min="5" max="16384" width="10.85546875" style="296"/>
  </cols>
  <sheetData>
    <row r="1" spans="1:5">
      <c r="A1" s="295" t="s">
        <v>2267</v>
      </c>
      <c r="B1" s="295" t="s">
        <v>2268</v>
      </c>
      <c r="C1" s="295" t="s">
        <v>2269</v>
      </c>
      <c r="D1" s="295" t="s">
        <v>2270</v>
      </c>
    </row>
    <row r="2" spans="1:5">
      <c r="A2" s="297" t="s">
        <v>2271</v>
      </c>
      <c r="B2" s="297" t="s">
        <v>2272</v>
      </c>
      <c r="C2" s="297" t="s">
        <v>2273</v>
      </c>
      <c r="D2" s="299">
        <v>2025</v>
      </c>
      <c r="E2" s="302"/>
    </row>
    <row r="3" spans="1:5">
      <c r="A3" s="297" t="s">
        <v>2271</v>
      </c>
      <c r="B3" s="297" t="s">
        <v>2272</v>
      </c>
      <c r="C3" s="297" t="s">
        <v>2274</v>
      </c>
      <c r="D3" s="299">
        <v>2025</v>
      </c>
      <c r="E3" s="302"/>
    </row>
    <row r="4" spans="1:5" ht="23.1">
      <c r="A4" s="297" t="s">
        <v>2275</v>
      </c>
      <c r="B4" s="297" t="s">
        <v>2272</v>
      </c>
      <c r="C4" s="297" t="s">
        <v>2276</v>
      </c>
      <c r="D4" s="299">
        <v>2025</v>
      </c>
      <c r="E4" s="300"/>
    </row>
    <row r="5" spans="1:5" ht="23.1">
      <c r="A5" s="297" t="s">
        <v>2275</v>
      </c>
      <c r="B5" s="297" t="s">
        <v>2277</v>
      </c>
      <c r="C5" s="297" t="s">
        <v>2278</v>
      </c>
      <c r="D5" s="299">
        <v>2025</v>
      </c>
      <c r="E5" s="300"/>
    </row>
    <row r="6" spans="1:5">
      <c r="A6" s="297" t="s">
        <v>2275</v>
      </c>
      <c r="B6" s="297" t="s">
        <v>2272</v>
      </c>
      <c r="C6" s="297" t="s">
        <v>2279</v>
      </c>
      <c r="D6" s="299">
        <v>2025</v>
      </c>
      <c r="E6" s="300"/>
    </row>
    <row r="7" spans="1:5">
      <c r="A7" s="297" t="s">
        <v>2280</v>
      </c>
      <c r="B7" s="297" t="s">
        <v>2277</v>
      </c>
      <c r="C7" s="297" t="s">
        <v>2281</v>
      </c>
      <c r="D7" s="299">
        <v>2025</v>
      </c>
      <c r="E7" s="300"/>
    </row>
    <row r="8" spans="1:5">
      <c r="A8" s="297" t="s">
        <v>2282</v>
      </c>
      <c r="B8" s="297" t="s">
        <v>2272</v>
      </c>
      <c r="C8" s="297" t="s">
        <v>2283</v>
      </c>
      <c r="D8" s="299">
        <v>2025</v>
      </c>
      <c r="E8" s="302"/>
    </row>
    <row r="9" spans="1:5">
      <c r="A9" s="298">
        <v>45536</v>
      </c>
      <c r="B9" s="297" t="s">
        <v>2272</v>
      </c>
      <c r="C9" s="297" t="s">
        <v>2284</v>
      </c>
      <c r="D9" s="299">
        <v>2025</v>
      </c>
      <c r="E9" s="302"/>
    </row>
    <row r="10" spans="1:5">
      <c r="A10" s="298">
        <v>45550</v>
      </c>
      <c r="B10" s="297" t="s">
        <v>2272</v>
      </c>
      <c r="C10" s="297" t="s">
        <v>2285</v>
      </c>
      <c r="D10" s="299">
        <v>2025</v>
      </c>
      <c r="E10" s="302"/>
    </row>
    <row r="11" spans="1:5">
      <c r="A11" s="297" t="s">
        <v>2286</v>
      </c>
      <c r="B11" s="297" t="s">
        <v>2277</v>
      </c>
      <c r="C11" s="297" t="s">
        <v>2287</v>
      </c>
      <c r="D11" s="299">
        <v>2025</v>
      </c>
      <c r="E11" s="300"/>
    </row>
    <row r="12" spans="1:5">
      <c r="A12" s="297" t="s">
        <v>2271</v>
      </c>
      <c r="B12" s="297" t="s">
        <v>2272</v>
      </c>
      <c r="C12" s="297" t="s">
        <v>2288</v>
      </c>
      <c r="D12" s="300">
        <v>2026</v>
      </c>
    </row>
    <row r="13" spans="1:5">
      <c r="A13" s="297" t="s">
        <v>2271</v>
      </c>
      <c r="B13" s="297" t="s">
        <v>2272</v>
      </c>
      <c r="C13" s="297" t="s">
        <v>2274</v>
      </c>
      <c r="D13" s="300">
        <v>2026</v>
      </c>
    </row>
    <row r="14" spans="1:5" ht="34.5">
      <c r="A14" s="297" t="s">
        <v>2275</v>
      </c>
      <c r="B14" s="297" t="s">
        <v>2272</v>
      </c>
      <c r="C14" s="297" t="s">
        <v>2289</v>
      </c>
      <c r="D14" s="300">
        <v>2026</v>
      </c>
    </row>
    <row r="15" spans="1:5" ht="23.1">
      <c r="A15" s="297" t="s">
        <v>2275</v>
      </c>
      <c r="B15" s="297" t="s">
        <v>2277</v>
      </c>
      <c r="C15" s="297" t="s">
        <v>2278</v>
      </c>
      <c r="D15" s="300">
        <v>2026</v>
      </c>
    </row>
    <row r="16" spans="1:5">
      <c r="A16" s="297" t="s">
        <v>2275</v>
      </c>
      <c r="B16" s="297" t="s">
        <v>2272</v>
      </c>
      <c r="C16" s="297" t="s">
        <v>2290</v>
      </c>
      <c r="D16" s="300">
        <v>2026</v>
      </c>
    </row>
    <row r="17" spans="1:4">
      <c r="A17" s="297" t="s">
        <v>2282</v>
      </c>
      <c r="B17" s="297" t="s">
        <v>2272</v>
      </c>
      <c r="C17" s="297" t="s">
        <v>2291</v>
      </c>
      <c r="D17" s="300">
        <v>2026</v>
      </c>
    </row>
    <row r="18" spans="1:4">
      <c r="A18" s="298">
        <v>45536</v>
      </c>
      <c r="B18" s="297" t="s">
        <v>2272</v>
      </c>
      <c r="C18" s="297" t="s">
        <v>2284</v>
      </c>
      <c r="D18" s="300">
        <v>2026</v>
      </c>
    </row>
    <row r="19" spans="1:4">
      <c r="A19" s="298">
        <v>45550</v>
      </c>
      <c r="B19" s="297" t="s">
        <v>2272</v>
      </c>
      <c r="C19" s="297" t="s">
        <v>2285</v>
      </c>
      <c r="D19" s="300">
        <v>2026</v>
      </c>
    </row>
    <row r="20" spans="1:4">
      <c r="A20" s="297" t="s">
        <v>2286</v>
      </c>
      <c r="B20" s="297" t="s">
        <v>2277</v>
      </c>
      <c r="C20" s="297" t="s">
        <v>2292</v>
      </c>
      <c r="D20" s="300">
        <v>2026</v>
      </c>
    </row>
    <row r="21" spans="1:4">
      <c r="A21" s="297" t="s">
        <v>2271</v>
      </c>
      <c r="B21" s="297" t="s">
        <v>2272</v>
      </c>
      <c r="C21" s="297" t="s">
        <v>2293</v>
      </c>
      <c r="D21" s="301">
        <v>2027</v>
      </c>
    </row>
    <row r="22" spans="1:4">
      <c r="A22" s="297" t="s">
        <v>2271</v>
      </c>
      <c r="B22" s="297" t="s">
        <v>2272</v>
      </c>
      <c r="C22" s="297" t="s">
        <v>2274</v>
      </c>
      <c r="D22" s="301">
        <v>2027</v>
      </c>
    </row>
    <row r="23" spans="1:4" ht="34.5">
      <c r="A23" s="297" t="s">
        <v>2275</v>
      </c>
      <c r="B23" s="297" t="s">
        <v>2272</v>
      </c>
      <c r="C23" s="297" t="s">
        <v>2294</v>
      </c>
      <c r="D23" s="301">
        <v>2027</v>
      </c>
    </row>
    <row r="24" spans="1:4" ht="23.1">
      <c r="A24" s="297" t="s">
        <v>2275</v>
      </c>
      <c r="B24" s="297" t="s">
        <v>2277</v>
      </c>
      <c r="C24" s="297" t="s">
        <v>2278</v>
      </c>
      <c r="D24" s="301">
        <v>2027</v>
      </c>
    </row>
    <row r="25" spans="1:4">
      <c r="A25" s="297" t="s">
        <v>2275</v>
      </c>
      <c r="B25" s="297" t="s">
        <v>2272</v>
      </c>
      <c r="C25" s="297" t="s">
        <v>2295</v>
      </c>
      <c r="D25" s="301">
        <v>2027</v>
      </c>
    </row>
    <row r="26" spans="1:4">
      <c r="A26" s="297" t="s">
        <v>2296</v>
      </c>
      <c r="B26" s="297" t="s">
        <v>2297</v>
      </c>
      <c r="C26" s="297" t="s">
        <v>2298</v>
      </c>
      <c r="D26" s="301">
        <v>2027</v>
      </c>
    </row>
    <row r="27" spans="1:4">
      <c r="A27" s="297" t="s">
        <v>2282</v>
      </c>
      <c r="B27" s="297" t="s">
        <v>2272</v>
      </c>
      <c r="C27" s="297" t="s">
        <v>2299</v>
      </c>
      <c r="D27" s="301">
        <v>2027</v>
      </c>
    </row>
    <row r="28" spans="1:4">
      <c r="A28" s="298">
        <v>45536</v>
      </c>
      <c r="B28" s="297" t="s">
        <v>2272</v>
      </c>
      <c r="C28" s="297" t="s">
        <v>2300</v>
      </c>
      <c r="D28" s="301">
        <v>2027</v>
      </c>
    </row>
    <row r="29" spans="1:4">
      <c r="A29" s="298">
        <v>45550</v>
      </c>
      <c r="B29" s="297" t="s">
        <v>2272</v>
      </c>
      <c r="C29" s="297" t="s">
        <v>2285</v>
      </c>
      <c r="D29" s="301">
        <v>2027</v>
      </c>
    </row>
    <row r="30" spans="1:4">
      <c r="A30" s="297" t="s">
        <v>2286</v>
      </c>
      <c r="B30" s="297" t="s">
        <v>2277</v>
      </c>
      <c r="C30" s="297" t="s">
        <v>2292</v>
      </c>
      <c r="D30" s="301">
        <v>2027</v>
      </c>
    </row>
  </sheetData>
  <pageMargins left="0.70866141732283472" right="0.70866141732283472" top="0.74803149606299213" bottom="0.74803149606299213" header="0.31496062992125984" footer="0.31496062992125984"/>
  <pageSetup paperSize="9" orientation="landscape" r:id="rId1"/>
  <headerFooter>
    <oddHeader>&amp;CPrograma d'EA 2023-2027</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B1:G31"/>
  <sheetViews>
    <sheetView topLeftCell="A13" zoomScale="90" zoomScaleNormal="90" workbookViewId="0">
      <selection activeCell="D3" sqref="D3:D27"/>
    </sheetView>
  </sheetViews>
  <sheetFormatPr defaultColWidth="10.85546875" defaultRowHeight="10.5"/>
  <cols>
    <col min="1" max="1" width="10.85546875" style="232"/>
    <col min="2" max="2" width="16.42578125" style="232" customWidth="1"/>
    <col min="3" max="3" width="4.5703125" style="232" bestFit="1" customWidth="1"/>
    <col min="4" max="4" width="48.85546875" style="232" customWidth="1"/>
    <col min="5" max="6" width="11.85546875" style="232" customWidth="1"/>
    <col min="7" max="16384" width="10.85546875" style="232"/>
  </cols>
  <sheetData>
    <row r="1" spans="2:7" ht="11.1" thickBot="1"/>
    <row r="2" spans="2:7" ht="12" thickBot="1">
      <c r="B2" s="310" t="s">
        <v>2301</v>
      </c>
      <c r="C2" s="311" t="s">
        <v>1892</v>
      </c>
      <c r="D2" s="311" t="s">
        <v>2269</v>
      </c>
      <c r="E2" s="312" t="s">
        <v>2302</v>
      </c>
      <c r="F2" s="312" t="s">
        <v>2303</v>
      </c>
    </row>
    <row r="3" spans="2:7" ht="45.95">
      <c r="B3" s="313" t="s">
        <v>2304</v>
      </c>
      <c r="C3" s="305" t="s">
        <v>2305</v>
      </c>
      <c r="D3" s="314" t="s">
        <v>2306</v>
      </c>
      <c r="E3" s="305" t="s">
        <v>2307</v>
      </c>
      <c r="F3" s="305" t="s">
        <v>2307</v>
      </c>
      <c r="G3" s="324"/>
    </row>
    <row r="4" spans="2:7" ht="46.5" thickBot="1">
      <c r="B4" s="313" t="s">
        <v>2304</v>
      </c>
      <c r="C4" s="303" t="s">
        <v>2308</v>
      </c>
      <c r="D4" s="315" t="s">
        <v>2309</v>
      </c>
      <c r="E4" s="303" t="s">
        <v>2307</v>
      </c>
      <c r="F4" s="303" t="s">
        <v>2307</v>
      </c>
      <c r="G4" s="325"/>
    </row>
    <row r="5" spans="2:7" ht="46.5" thickBot="1">
      <c r="B5" s="313" t="s">
        <v>2304</v>
      </c>
      <c r="C5" s="304" t="s">
        <v>2310</v>
      </c>
      <c r="D5" s="316" t="s">
        <v>2311</v>
      </c>
      <c r="E5" s="307"/>
      <c r="F5" s="304" t="s">
        <v>2307</v>
      </c>
      <c r="G5" s="325"/>
    </row>
    <row r="6" spans="2:7" ht="45.95">
      <c r="B6" s="313" t="s">
        <v>2304</v>
      </c>
      <c r="C6" s="306" t="s">
        <v>2312</v>
      </c>
      <c r="D6" s="317" t="s">
        <v>2313</v>
      </c>
      <c r="E6" s="306" t="s">
        <v>2307</v>
      </c>
      <c r="F6" s="306" t="s">
        <v>2307</v>
      </c>
      <c r="G6" s="325"/>
    </row>
    <row r="7" spans="2:7" ht="46.5" thickBot="1">
      <c r="B7" s="313" t="s">
        <v>2304</v>
      </c>
      <c r="C7" s="304" t="s">
        <v>2314</v>
      </c>
      <c r="D7" s="316" t="s">
        <v>2315</v>
      </c>
      <c r="E7" s="307"/>
      <c r="F7" s="304" t="s">
        <v>2307</v>
      </c>
      <c r="G7" s="325"/>
    </row>
    <row r="8" spans="2:7" ht="46.5" thickBot="1">
      <c r="B8" s="313" t="s">
        <v>2304</v>
      </c>
      <c r="C8" s="303" t="s">
        <v>2316</v>
      </c>
      <c r="D8" s="318" t="s">
        <v>2317</v>
      </c>
      <c r="E8" s="303" t="s">
        <v>2307</v>
      </c>
      <c r="F8" s="303" t="s">
        <v>2307</v>
      </c>
      <c r="G8" s="325"/>
    </row>
    <row r="9" spans="2:7" ht="46.5" thickBot="1">
      <c r="B9" s="313" t="s">
        <v>2304</v>
      </c>
      <c r="C9" s="304" t="s">
        <v>2318</v>
      </c>
      <c r="D9" s="316" t="s">
        <v>2319</v>
      </c>
      <c r="E9" s="304" t="s">
        <v>2307</v>
      </c>
      <c r="F9" s="304" t="s">
        <v>2307</v>
      </c>
      <c r="G9" s="325"/>
    </row>
    <row r="10" spans="2:7" ht="46.5" thickBot="1">
      <c r="B10" s="313" t="s">
        <v>2304</v>
      </c>
      <c r="C10" s="303" t="s">
        <v>2320</v>
      </c>
      <c r="D10" s="315" t="s">
        <v>2321</v>
      </c>
      <c r="E10" s="308"/>
      <c r="F10" s="303" t="s">
        <v>2307</v>
      </c>
      <c r="G10" s="325"/>
    </row>
    <row r="11" spans="2:7" ht="46.5" thickBot="1">
      <c r="B11" s="313" t="s">
        <v>2304</v>
      </c>
      <c r="C11" s="304" t="s">
        <v>2322</v>
      </c>
      <c r="D11" s="316" t="s">
        <v>2323</v>
      </c>
      <c r="E11" s="304" t="s">
        <v>2307</v>
      </c>
      <c r="F11" s="304" t="s">
        <v>2307</v>
      </c>
      <c r="G11" s="325"/>
    </row>
    <row r="12" spans="2:7" ht="35.1" thickBot="1">
      <c r="B12" s="319" t="s">
        <v>2324</v>
      </c>
      <c r="C12" s="306" t="s">
        <v>2325</v>
      </c>
      <c r="D12" s="320" t="s">
        <v>2326</v>
      </c>
      <c r="E12" s="306" t="s">
        <v>2307</v>
      </c>
      <c r="F12" s="306" t="s">
        <v>2307</v>
      </c>
      <c r="G12" s="325"/>
    </row>
    <row r="13" spans="2:7" ht="35.1" thickBot="1">
      <c r="B13" s="319" t="s">
        <v>2324</v>
      </c>
      <c r="C13" s="304" t="s">
        <v>2327</v>
      </c>
      <c r="D13" s="316" t="s">
        <v>2328</v>
      </c>
      <c r="E13" s="304" t="s">
        <v>2307</v>
      </c>
      <c r="F13" s="304" t="s">
        <v>2307</v>
      </c>
      <c r="G13" s="325"/>
    </row>
    <row r="14" spans="2:7" ht="35.1" thickBot="1">
      <c r="B14" s="319" t="s">
        <v>2324</v>
      </c>
      <c r="C14" s="303" t="s">
        <v>2329</v>
      </c>
      <c r="D14" s="318" t="s">
        <v>2330</v>
      </c>
      <c r="E14" s="303" t="s">
        <v>2307</v>
      </c>
      <c r="F14" s="303" t="s">
        <v>2307</v>
      </c>
      <c r="G14" s="325"/>
    </row>
    <row r="15" spans="2:7" ht="35.1" thickBot="1">
      <c r="B15" s="319" t="s">
        <v>2324</v>
      </c>
      <c r="C15" s="304" t="s">
        <v>2331</v>
      </c>
      <c r="D15" s="316" t="s">
        <v>2332</v>
      </c>
      <c r="E15" s="304" t="s">
        <v>2307</v>
      </c>
      <c r="F15" s="304" t="s">
        <v>2307</v>
      </c>
      <c r="G15" s="325"/>
    </row>
    <row r="16" spans="2:7" ht="34.5">
      <c r="B16" s="321" t="s">
        <v>2333</v>
      </c>
      <c r="C16" s="306" t="s">
        <v>2334</v>
      </c>
      <c r="D16" s="322" t="s">
        <v>2335</v>
      </c>
      <c r="E16" s="306" t="s">
        <v>2307</v>
      </c>
      <c r="F16" s="306" t="s">
        <v>2307</v>
      </c>
      <c r="G16" s="325"/>
    </row>
    <row r="17" spans="2:7" ht="35.1" thickBot="1">
      <c r="B17" s="321" t="s">
        <v>2333</v>
      </c>
      <c r="C17" s="304" t="s">
        <v>2336</v>
      </c>
      <c r="D17" s="323" t="s">
        <v>2337</v>
      </c>
      <c r="E17" s="307"/>
      <c r="F17" s="304" t="s">
        <v>2307</v>
      </c>
      <c r="G17" s="325"/>
    </row>
    <row r="18" spans="2:7" ht="35.1" thickBot="1">
      <c r="B18" s="321" t="s">
        <v>2333</v>
      </c>
      <c r="C18" s="303" t="s">
        <v>2338</v>
      </c>
      <c r="D18" s="315" t="s">
        <v>2339</v>
      </c>
      <c r="E18" s="303" t="s">
        <v>2307</v>
      </c>
      <c r="F18" s="308"/>
      <c r="G18" s="325"/>
    </row>
    <row r="19" spans="2:7" ht="35.1" thickBot="1">
      <c r="B19" s="321" t="s">
        <v>2333</v>
      </c>
      <c r="C19" s="304" t="s">
        <v>2340</v>
      </c>
      <c r="D19" s="316" t="s">
        <v>2341</v>
      </c>
      <c r="E19" s="304" t="s">
        <v>2307</v>
      </c>
      <c r="F19" s="304" t="s">
        <v>2307</v>
      </c>
      <c r="G19" s="325"/>
    </row>
    <row r="20" spans="2:7" ht="35.1" thickBot="1">
      <c r="B20" s="321" t="s">
        <v>2333</v>
      </c>
      <c r="C20" s="303" t="s">
        <v>2342</v>
      </c>
      <c r="D20" s="315" t="s">
        <v>2343</v>
      </c>
      <c r="E20" s="303" t="s">
        <v>2307</v>
      </c>
      <c r="F20" s="308"/>
      <c r="G20" s="325"/>
    </row>
    <row r="21" spans="2:7" ht="35.1" thickBot="1">
      <c r="B21" s="321" t="s">
        <v>2333</v>
      </c>
      <c r="C21" s="304" t="s">
        <v>2344</v>
      </c>
      <c r="D21" s="316" t="s">
        <v>2345</v>
      </c>
      <c r="E21" s="304" t="s">
        <v>2307</v>
      </c>
      <c r="F21" s="307"/>
      <c r="G21" s="325"/>
    </row>
    <row r="22" spans="2:7" ht="23.45" thickBot="1">
      <c r="B22" s="321" t="s">
        <v>2346</v>
      </c>
      <c r="C22" s="306" t="s">
        <v>2347</v>
      </c>
      <c r="D22" s="320" t="s">
        <v>2348</v>
      </c>
      <c r="E22" s="306" t="s">
        <v>2307</v>
      </c>
      <c r="F22" s="306" t="s">
        <v>2307</v>
      </c>
      <c r="G22" s="325"/>
    </row>
    <row r="23" spans="2:7" ht="23.45" thickBot="1">
      <c r="B23" s="321" t="s">
        <v>2346</v>
      </c>
      <c r="C23" s="305" t="s">
        <v>2349</v>
      </c>
      <c r="D23" s="315" t="s">
        <v>2350</v>
      </c>
      <c r="E23" s="305" t="s">
        <v>2307</v>
      </c>
      <c r="F23" s="309"/>
      <c r="G23" s="325"/>
    </row>
    <row r="24" spans="2:7" ht="23.45" thickBot="1">
      <c r="B24" s="321" t="s">
        <v>2346</v>
      </c>
      <c r="C24" s="303" t="s">
        <v>2351</v>
      </c>
      <c r="D24" s="315" t="s">
        <v>2352</v>
      </c>
      <c r="E24" s="303" t="s">
        <v>2307</v>
      </c>
      <c r="F24" s="303" t="s">
        <v>2307</v>
      </c>
      <c r="G24" s="325"/>
    </row>
    <row r="25" spans="2:7" ht="23.45" thickBot="1">
      <c r="B25" s="321" t="s">
        <v>2346</v>
      </c>
      <c r="C25" s="304" t="s">
        <v>2353</v>
      </c>
      <c r="D25" s="316" t="s">
        <v>2354</v>
      </c>
      <c r="E25" s="307"/>
      <c r="F25" s="304" t="s">
        <v>2307</v>
      </c>
      <c r="G25" s="325"/>
    </row>
    <row r="26" spans="2:7" ht="23.45" thickBot="1">
      <c r="B26" s="321" t="s">
        <v>2346</v>
      </c>
      <c r="C26" s="303" t="s">
        <v>2355</v>
      </c>
      <c r="D26" s="315" t="s">
        <v>1446</v>
      </c>
      <c r="E26" s="303" t="s">
        <v>2307</v>
      </c>
      <c r="F26" s="303" t="s">
        <v>2307</v>
      </c>
    </row>
    <row r="27" spans="2:7" ht="23.45" thickBot="1">
      <c r="B27" s="321" t="s">
        <v>2346</v>
      </c>
      <c r="C27" s="304" t="s">
        <v>2356</v>
      </c>
      <c r="D27" s="316" t="s">
        <v>2357</v>
      </c>
      <c r="E27" s="304" t="s">
        <v>2307</v>
      </c>
      <c r="F27" s="304" t="s">
        <v>2307</v>
      </c>
    </row>
    <row r="31" spans="2:7" ht="14.1">
      <c r="D31" s="326"/>
    </row>
  </sheetData>
  <pageMargins left="0.22" right="0.25" top="0.74803149606299213" bottom="0.74803149606299213" header="0.31496062992125984" footer="0.31496062992125984"/>
  <pageSetup paperSize="9" scale="86" fitToHeight="2"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E71"/>
  <sheetViews>
    <sheetView topLeftCell="A58" zoomScale="90" zoomScaleNormal="90" workbookViewId="0">
      <selection sqref="A1:E69"/>
    </sheetView>
  </sheetViews>
  <sheetFormatPr defaultColWidth="10.85546875" defaultRowHeight="14.1"/>
  <cols>
    <col min="1" max="1" width="11.85546875" style="327" customWidth="1"/>
    <col min="2" max="2" width="10" style="327" customWidth="1"/>
    <col min="3" max="3" width="6.42578125" style="327" customWidth="1"/>
    <col min="4" max="4" width="128.140625" style="327" customWidth="1"/>
    <col min="5" max="16384" width="10.85546875" style="327"/>
  </cols>
  <sheetData>
    <row r="1" spans="1:5">
      <c r="A1" s="386" t="s">
        <v>2132</v>
      </c>
      <c r="B1" s="327" t="s">
        <v>2358</v>
      </c>
    </row>
    <row r="3" spans="1:5">
      <c r="A3" s="386" t="s">
        <v>317</v>
      </c>
      <c r="B3" s="386" t="s">
        <v>322</v>
      </c>
      <c r="C3" s="386" t="s">
        <v>326</v>
      </c>
      <c r="D3" s="386" t="s">
        <v>2133</v>
      </c>
      <c r="E3" s="327" t="s">
        <v>2134</v>
      </c>
    </row>
    <row r="4" spans="1:5">
      <c r="A4" s="327" t="s">
        <v>309</v>
      </c>
      <c r="E4" s="327">
        <v>2</v>
      </c>
    </row>
    <row r="5" spans="1:5">
      <c r="B5" s="327" t="s">
        <v>1289</v>
      </c>
      <c r="E5" s="327">
        <v>2</v>
      </c>
    </row>
    <row r="6" spans="1:5" s="328" customFormat="1">
      <c r="A6" s="327"/>
      <c r="B6" s="327"/>
      <c r="C6" s="327" t="s">
        <v>2145</v>
      </c>
      <c r="D6" s="327"/>
      <c r="E6" s="327">
        <v>2</v>
      </c>
    </row>
    <row r="7" spans="1:5" s="328" customFormat="1" ht="27.95">
      <c r="A7" s="327"/>
      <c r="B7" s="327"/>
      <c r="C7" s="327"/>
      <c r="D7" s="387" t="s">
        <v>2359</v>
      </c>
      <c r="E7" s="328">
        <v>1</v>
      </c>
    </row>
    <row r="8" spans="1:5" s="328" customFormat="1">
      <c r="A8" s="327"/>
      <c r="B8" s="327"/>
      <c r="C8" s="327"/>
      <c r="D8" s="387" t="s">
        <v>2360</v>
      </c>
      <c r="E8" s="328">
        <v>1</v>
      </c>
    </row>
    <row r="9" spans="1:5" s="328" customFormat="1">
      <c r="A9" s="327" t="s">
        <v>306</v>
      </c>
      <c r="B9" s="327"/>
      <c r="C9" s="327"/>
      <c r="D9" s="327"/>
      <c r="E9" s="327">
        <v>24</v>
      </c>
    </row>
    <row r="10" spans="1:5" s="328" customFormat="1">
      <c r="A10" s="327"/>
      <c r="B10" s="327" t="s">
        <v>1401</v>
      </c>
      <c r="C10" s="327"/>
      <c r="D10" s="327"/>
      <c r="E10" s="327">
        <v>1</v>
      </c>
    </row>
    <row r="11" spans="1:5" s="328" customFormat="1">
      <c r="A11" s="327"/>
      <c r="B11" s="327"/>
      <c r="C11" s="327" t="s">
        <v>1402</v>
      </c>
      <c r="D11" s="327"/>
      <c r="E11" s="327">
        <v>1</v>
      </c>
    </row>
    <row r="12" spans="1:5" s="328" customFormat="1">
      <c r="A12" s="327"/>
      <c r="B12" s="327"/>
      <c r="C12" s="327"/>
      <c r="D12" s="387" t="s">
        <v>2361</v>
      </c>
      <c r="E12" s="328">
        <v>1</v>
      </c>
    </row>
    <row r="13" spans="1:5" s="328" customFormat="1">
      <c r="A13" s="327"/>
      <c r="B13" s="327" t="s">
        <v>2362</v>
      </c>
      <c r="C13" s="327"/>
      <c r="D13" s="327"/>
      <c r="E13" s="327">
        <v>2</v>
      </c>
    </row>
    <row r="14" spans="1:5" s="328" customFormat="1">
      <c r="A14" s="327"/>
      <c r="B14" s="327"/>
      <c r="C14" s="327" t="s">
        <v>2363</v>
      </c>
      <c r="D14" s="327"/>
      <c r="E14" s="327">
        <v>2</v>
      </c>
    </row>
    <row r="15" spans="1:5" s="328" customFormat="1">
      <c r="A15" s="327"/>
      <c r="B15" s="327"/>
      <c r="C15" s="327"/>
      <c r="D15" s="387" t="s">
        <v>2364</v>
      </c>
      <c r="E15" s="328">
        <v>1</v>
      </c>
    </row>
    <row r="16" spans="1:5" s="328" customFormat="1">
      <c r="A16" s="327"/>
      <c r="B16" s="327"/>
      <c r="C16" s="327"/>
      <c r="D16" s="387" t="s">
        <v>2365</v>
      </c>
      <c r="E16" s="328">
        <v>1</v>
      </c>
    </row>
    <row r="17" spans="1:5" s="328" customFormat="1">
      <c r="A17" s="327"/>
      <c r="B17" s="327" t="s">
        <v>1423</v>
      </c>
      <c r="C17" s="327"/>
      <c r="D17" s="327"/>
      <c r="E17" s="327">
        <v>1</v>
      </c>
    </row>
    <row r="18" spans="1:5" s="328" customFormat="1">
      <c r="A18" s="327"/>
      <c r="B18" s="327"/>
      <c r="C18" s="327" t="s">
        <v>1424</v>
      </c>
      <c r="D18" s="327"/>
      <c r="E18" s="327">
        <v>1</v>
      </c>
    </row>
    <row r="19" spans="1:5" s="328" customFormat="1">
      <c r="A19" s="327"/>
      <c r="B19" s="327"/>
      <c r="C19" s="327"/>
      <c r="D19" s="387" t="s">
        <v>2366</v>
      </c>
      <c r="E19" s="328">
        <v>1</v>
      </c>
    </row>
    <row r="20" spans="1:5" s="328" customFormat="1">
      <c r="A20" s="327"/>
      <c r="B20" s="327" t="s">
        <v>1428</v>
      </c>
      <c r="C20" s="327"/>
      <c r="D20" s="327"/>
      <c r="E20" s="327">
        <v>2</v>
      </c>
    </row>
    <row r="21" spans="1:5" s="328" customFormat="1">
      <c r="A21" s="327"/>
      <c r="B21" s="327"/>
      <c r="C21" s="327" t="s">
        <v>1429</v>
      </c>
      <c r="D21" s="327"/>
      <c r="E21" s="327">
        <v>2</v>
      </c>
    </row>
    <row r="22" spans="1:5" s="328" customFormat="1">
      <c r="A22" s="327"/>
      <c r="B22" s="327"/>
      <c r="C22" s="327"/>
      <c r="D22" s="388" t="s">
        <v>2367</v>
      </c>
      <c r="E22" s="327">
        <v>1</v>
      </c>
    </row>
    <row r="23" spans="1:5" s="328" customFormat="1">
      <c r="A23" s="327"/>
      <c r="B23" s="327"/>
      <c r="C23" s="327"/>
      <c r="D23" s="387" t="s">
        <v>2368</v>
      </c>
      <c r="E23" s="328">
        <v>1</v>
      </c>
    </row>
    <row r="24" spans="1:5" s="328" customFormat="1">
      <c r="A24" s="327"/>
      <c r="B24" s="327" t="s">
        <v>1440</v>
      </c>
      <c r="C24" s="327"/>
      <c r="D24" s="327"/>
      <c r="E24" s="327">
        <v>2</v>
      </c>
    </row>
    <row r="25" spans="1:5" s="328" customFormat="1">
      <c r="A25" s="327"/>
      <c r="B25" s="327"/>
      <c r="C25" s="327" t="s">
        <v>1441</v>
      </c>
      <c r="D25" s="327"/>
      <c r="E25" s="327">
        <v>2</v>
      </c>
    </row>
    <row r="26" spans="1:5" s="328" customFormat="1">
      <c r="A26" s="327"/>
      <c r="B26" s="327"/>
      <c r="C26" s="327"/>
      <c r="D26" s="387" t="s">
        <v>2369</v>
      </c>
      <c r="E26" s="328">
        <v>1</v>
      </c>
    </row>
    <row r="27" spans="1:5" s="328" customFormat="1">
      <c r="A27" s="327"/>
      <c r="B27" s="327"/>
      <c r="C27" s="327"/>
      <c r="D27" s="387" t="s">
        <v>2370</v>
      </c>
      <c r="E27" s="328">
        <v>1</v>
      </c>
    </row>
    <row r="28" spans="1:5" s="328" customFormat="1">
      <c r="A28" s="327"/>
      <c r="B28" s="327" t="s">
        <v>1445</v>
      </c>
      <c r="C28" s="327"/>
      <c r="D28" s="327"/>
      <c r="E28" s="327">
        <v>3</v>
      </c>
    </row>
    <row r="29" spans="1:5" s="328" customFormat="1">
      <c r="A29" s="327"/>
      <c r="B29" s="327"/>
      <c r="C29" s="327" t="s">
        <v>1446</v>
      </c>
      <c r="D29" s="327"/>
      <c r="E29" s="327">
        <v>3</v>
      </c>
    </row>
    <row r="30" spans="1:5" s="328" customFormat="1">
      <c r="A30" s="327"/>
      <c r="B30" s="327"/>
      <c r="C30" s="327"/>
      <c r="D30" s="387" t="s">
        <v>2371</v>
      </c>
      <c r="E30" s="328">
        <v>1</v>
      </c>
    </row>
    <row r="31" spans="1:5" s="328" customFormat="1">
      <c r="A31" s="327"/>
      <c r="B31" s="327"/>
      <c r="C31" s="327"/>
      <c r="D31" s="387" t="s">
        <v>2372</v>
      </c>
      <c r="E31" s="328">
        <v>1</v>
      </c>
    </row>
    <row r="32" spans="1:5">
      <c r="D32" s="387" t="s">
        <v>2373</v>
      </c>
      <c r="E32" s="328">
        <v>1</v>
      </c>
    </row>
    <row r="33" spans="2:5">
      <c r="B33" s="327" t="s">
        <v>1451</v>
      </c>
      <c r="E33" s="327">
        <v>2</v>
      </c>
    </row>
    <row r="34" spans="2:5">
      <c r="C34" s="327" t="s">
        <v>1452</v>
      </c>
      <c r="E34" s="327">
        <v>2</v>
      </c>
    </row>
    <row r="35" spans="2:5" ht="27.95">
      <c r="D35" s="387" t="s">
        <v>2374</v>
      </c>
      <c r="E35" s="328">
        <v>1</v>
      </c>
    </row>
    <row r="36" spans="2:5">
      <c r="D36" s="387" t="s">
        <v>2375</v>
      </c>
      <c r="E36" s="328">
        <v>1</v>
      </c>
    </row>
    <row r="37" spans="2:5">
      <c r="B37" s="327" t="s">
        <v>1475</v>
      </c>
      <c r="E37" s="327">
        <v>2</v>
      </c>
    </row>
    <row r="38" spans="2:5">
      <c r="C38" s="327" t="s">
        <v>1476</v>
      </c>
      <c r="E38" s="327">
        <v>1</v>
      </c>
    </row>
    <row r="39" spans="2:5">
      <c r="D39" s="388" t="s">
        <v>2376</v>
      </c>
      <c r="E39" s="327">
        <v>1</v>
      </c>
    </row>
    <row r="40" spans="2:5">
      <c r="C40" s="327" t="s">
        <v>1488</v>
      </c>
      <c r="E40" s="327">
        <v>1</v>
      </c>
    </row>
    <row r="41" spans="2:5">
      <c r="D41" s="387" t="s">
        <v>2377</v>
      </c>
      <c r="E41" s="328">
        <v>1</v>
      </c>
    </row>
    <row r="42" spans="2:5">
      <c r="B42" s="327" t="s">
        <v>1504</v>
      </c>
      <c r="E42" s="327">
        <v>1</v>
      </c>
    </row>
    <row r="43" spans="2:5">
      <c r="C43" s="327" t="s">
        <v>1505</v>
      </c>
      <c r="E43" s="327">
        <v>1</v>
      </c>
    </row>
    <row r="44" spans="2:5">
      <c r="D44" s="387" t="s">
        <v>2378</v>
      </c>
      <c r="E44" s="328">
        <v>1</v>
      </c>
    </row>
    <row r="45" spans="2:5">
      <c r="B45" s="327" t="s">
        <v>1507</v>
      </c>
      <c r="E45" s="327">
        <v>1</v>
      </c>
    </row>
    <row r="46" spans="2:5">
      <c r="C46" s="327" t="s">
        <v>2379</v>
      </c>
      <c r="E46" s="327">
        <v>1</v>
      </c>
    </row>
    <row r="47" spans="2:5" ht="27.95">
      <c r="D47" s="387" t="s">
        <v>2380</v>
      </c>
      <c r="E47" s="328">
        <v>1</v>
      </c>
    </row>
    <row r="48" spans="2:5">
      <c r="B48" s="327" t="s">
        <v>1521</v>
      </c>
      <c r="E48" s="327">
        <v>1</v>
      </c>
    </row>
    <row r="49" spans="2:5">
      <c r="C49" s="327" t="s">
        <v>1522</v>
      </c>
      <c r="E49" s="327">
        <v>1</v>
      </c>
    </row>
    <row r="50" spans="2:5">
      <c r="D50" s="387" t="s">
        <v>2381</v>
      </c>
      <c r="E50" s="328">
        <v>1</v>
      </c>
    </row>
    <row r="51" spans="2:5">
      <c r="B51" s="327" t="s">
        <v>1524</v>
      </c>
      <c r="E51" s="327">
        <v>1</v>
      </c>
    </row>
    <row r="52" spans="2:5">
      <c r="C52" s="327" t="s">
        <v>1525</v>
      </c>
      <c r="E52" s="327">
        <v>1</v>
      </c>
    </row>
    <row r="53" spans="2:5">
      <c r="D53" s="387" t="s">
        <v>2382</v>
      </c>
      <c r="E53" s="328">
        <v>1</v>
      </c>
    </row>
    <row r="54" spans="2:5">
      <c r="B54" s="327" t="s">
        <v>1529</v>
      </c>
      <c r="E54" s="327">
        <v>3</v>
      </c>
    </row>
    <row r="55" spans="2:5">
      <c r="C55" s="327" t="s">
        <v>2383</v>
      </c>
      <c r="E55" s="327">
        <v>3</v>
      </c>
    </row>
    <row r="56" spans="2:5">
      <c r="D56" s="388" t="s">
        <v>2384</v>
      </c>
      <c r="E56" s="327">
        <v>1</v>
      </c>
    </row>
    <row r="57" spans="2:5">
      <c r="D57" s="387" t="s">
        <v>2385</v>
      </c>
      <c r="E57" s="328">
        <v>1</v>
      </c>
    </row>
    <row r="58" spans="2:5">
      <c r="D58" s="387" t="s">
        <v>2386</v>
      </c>
      <c r="E58" s="328">
        <v>1</v>
      </c>
    </row>
    <row r="59" spans="2:5">
      <c r="B59" s="327" t="s">
        <v>1598</v>
      </c>
      <c r="E59" s="327">
        <v>1</v>
      </c>
    </row>
    <row r="60" spans="2:5">
      <c r="C60" s="327" t="s">
        <v>1599</v>
      </c>
      <c r="E60" s="327">
        <v>1</v>
      </c>
    </row>
    <row r="61" spans="2:5">
      <c r="D61" s="387" t="s">
        <v>2387</v>
      </c>
      <c r="E61" s="328">
        <v>1</v>
      </c>
    </row>
    <row r="62" spans="2:5">
      <c r="B62" s="327" t="s">
        <v>1617</v>
      </c>
      <c r="E62" s="327">
        <v>1</v>
      </c>
    </row>
    <row r="63" spans="2:5">
      <c r="C63" s="327" t="s">
        <v>1618</v>
      </c>
      <c r="E63" s="327">
        <v>1</v>
      </c>
    </row>
    <row r="64" spans="2:5">
      <c r="D64" s="387" t="s">
        <v>2388</v>
      </c>
      <c r="E64" s="328">
        <v>1</v>
      </c>
    </row>
    <row r="65" spans="1:5">
      <c r="A65" s="327" t="s">
        <v>307</v>
      </c>
      <c r="E65" s="327">
        <v>1</v>
      </c>
    </row>
    <row r="66" spans="1:5">
      <c r="B66" s="327" t="s">
        <v>1881</v>
      </c>
      <c r="E66" s="327">
        <v>1</v>
      </c>
    </row>
    <row r="67" spans="1:5">
      <c r="C67" s="327" t="s">
        <v>2389</v>
      </c>
      <c r="E67" s="327">
        <v>1</v>
      </c>
    </row>
    <row r="68" spans="1:5">
      <c r="D68" s="387" t="s">
        <v>2390</v>
      </c>
      <c r="E68" s="328">
        <v>1</v>
      </c>
    </row>
    <row r="69" spans="1:5">
      <c r="A69" s="327" t="s">
        <v>310</v>
      </c>
      <c r="E69" s="327">
        <v>27</v>
      </c>
    </row>
    <row r="70" spans="1:5" ht="14.45">
      <c r="A70"/>
      <c r="B70"/>
      <c r="C70"/>
      <c r="D70"/>
      <c r="E70"/>
    </row>
    <row r="71" spans="1:5" ht="14.45">
      <c r="A71"/>
      <c r="B71"/>
      <c r="C71"/>
      <c r="D71"/>
      <c r="E71"/>
    </row>
  </sheetData>
  <pageMargins left="0.33" right="0.3" top="0.74803149606299213" bottom="0.74803149606299213" header="0.31496062992125984" footer="0.31496062992125984"/>
  <pageSetup paperSize="9" scale="58"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13"/>
  <sheetViews>
    <sheetView workbookViewId="0">
      <selection activeCell="D10" sqref="D10"/>
    </sheetView>
  </sheetViews>
  <sheetFormatPr defaultColWidth="10.85546875" defaultRowHeight="14.45"/>
  <sheetData>
    <row r="1" spans="1:3">
      <c r="B1" t="s">
        <v>2391</v>
      </c>
    </row>
    <row r="2" spans="1:3">
      <c r="A2">
        <v>1</v>
      </c>
      <c r="B2" s="394"/>
      <c r="C2" t="s">
        <v>624</v>
      </c>
    </row>
    <row r="3" spans="1:3">
      <c r="A3">
        <v>2</v>
      </c>
      <c r="B3" s="394"/>
      <c r="C3" t="s">
        <v>472</v>
      </c>
    </row>
    <row r="4" spans="1:3">
      <c r="A4">
        <v>3</v>
      </c>
      <c r="B4" s="394"/>
      <c r="C4" t="s">
        <v>727</v>
      </c>
    </row>
    <row r="5" spans="1:3">
      <c r="A5">
        <v>4</v>
      </c>
      <c r="C5" t="s">
        <v>1667</v>
      </c>
    </row>
    <row r="6" spans="1:3">
      <c r="A6">
        <v>5</v>
      </c>
      <c r="B6" s="394"/>
      <c r="C6" t="s">
        <v>616</v>
      </c>
    </row>
    <row r="7" spans="1:3">
      <c r="A7">
        <v>6</v>
      </c>
      <c r="B7" s="394"/>
      <c r="C7" t="s">
        <v>361</v>
      </c>
    </row>
    <row r="8" spans="1:3">
      <c r="A8">
        <v>7</v>
      </c>
      <c r="B8" s="394"/>
      <c r="C8" t="s">
        <v>433</v>
      </c>
    </row>
    <row r="9" spans="1:3">
      <c r="A9">
        <v>8</v>
      </c>
      <c r="B9" s="395"/>
      <c r="C9" t="s">
        <v>400</v>
      </c>
    </row>
    <row r="10" spans="1:3">
      <c r="A10">
        <v>9</v>
      </c>
      <c r="B10" s="394"/>
      <c r="C10" t="s">
        <v>1684</v>
      </c>
    </row>
    <row r="11" spans="1:3">
      <c r="A11">
        <v>10</v>
      </c>
      <c r="B11" s="394"/>
      <c r="C11" t="s">
        <v>2392</v>
      </c>
    </row>
    <row r="12" spans="1:3">
      <c r="A12">
        <v>11</v>
      </c>
      <c r="B12" s="394"/>
      <c r="C12" t="s">
        <v>1013</v>
      </c>
    </row>
    <row r="13" spans="1:3">
      <c r="A13">
        <v>12</v>
      </c>
      <c r="C13" t="s">
        <v>1700</v>
      </c>
    </row>
  </sheetData>
  <sortState xmlns:xlrd2="http://schemas.microsoft.com/office/spreadsheetml/2017/richdata2" ref="B2:C13">
    <sortCondition ref="C2:C13"/>
  </sortState>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6"/>
  <sheetViews>
    <sheetView topLeftCell="A2" workbookViewId="0">
      <selection activeCell="D9" sqref="D9"/>
    </sheetView>
  </sheetViews>
  <sheetFormatPr defaultColWidth="8.5703125" defaultRowHeight="14.45"/>
  <cols>
    <col min="1" max="1" width="13.140625" customWidth="1"/>
    <col min="2" max="2" width="16" customWidth="1"/>
  </cols>
  <sheetData>
    <row r="1" spans="1:5" ht="29.1">
      <c r="A1" s="3" t="s">
        <v>324</v>
      </c>
      <c r="B1" s="3" t="s">
        <v>325</v>
      </c>
      <c r="C1" s="2" t="s">
        <v>329</v>
      </c>
      <c r="E1" t="s">
        <v>2393</v>
      </c>
    </row>
    <row r="2" spans="1:5">
      <c r="A2" t="s">
        <v>348</v>
      </c>
      <c r="B2" t="s">
        <v>377</v>
      </c>
      <c r="C2" t="s">
        <v>378</v>
      </c>
      <c r="E2" t="s">
        <v>54</v>
      </c>
    </row>
    <row r="3" spans="1:5">
      <c r="A3" t="s">
        <v>416</v>
      </c>
      <c r="B3" t="s">
        <v>570</v>
      </c>
      <c r="C3" t="s">
        <v>352</v>
      </c>
      <c r="E3" t="s">
        <v>107</v>
      </c>
    </row>
    <row r="4" spans="1:5">
      <c r="C4" t="s">
        <v>368</v>
      </c>
    </row>
    <row r="5" spans="1:5">
      <c r="C5" t="s">
        <v>712</v>
      </c>
    </row>
    <row r="6" spans="1:5">
      <c r="C6" t="s">
        <v>2394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81f7b61-b72b-4a21-bb24-e43f40679a49" xsi:nil="true"/>
    <lcf76f155ced4ddcb4097134ff3c332f xmlns="f26037a3-376c-4e35-9673-91218b302fb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205CEEF5B67654BB99FA91F3D8DF3AD" ma:contentTypeVersion="14" ma:contentTypeDescription="Crea un document nou" ma:contentTypeScope="" ma:versionID="e04f8550011c0fa287ef4aa6a3ecaa4a">
  <xsd:schema xmlns:xsd="http://www.w3.org/2001/XMLSchema" xmlns:xs="http://www.w3.org/2001/XMLSchema" xmlns:p="http://schemas.microsoft.com/office/2006/metadata/properties" xmlns:ns2="f26037a3-376c-4e35-9673-91218b302fbb" xmlns:ns3="281f7b61-b72b-4a21-bb24-e43f40679a49" targetNamespace="http://schemas.microsoft.com/office/2006/metadata/properties" ma:root="true" ma:fieldsID="062f520033c58143061b60085d9c524e" ns2:_="" ns3:_="">
    <xsd:import namespace="f26037a3-376c-4e35-9673-91218b302fbb"/>
    <xsd:import namespace="281f7b61-b72b-4a21-bb24-e43f40679a4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6037a3-376c-4e35-9673-91218b302f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es de la imatge" ma:readOnly="false" ma:fieldId="{5cf76f15-5ced-4ddc-b409-7134ff3c332f}" ma:taxonomyMulti="true" ma:sspId="d19f90c4-00d9-45b7-bc62-04f95cbe7a8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1f7b61-b72b-4a21-bb24-e43f40679a49" elementFormDefault="qualified">
    <xsd:import namespace="http://schemas.microsoft.com/office/2006/documentManagement/types"/>
    <xsd:import namespace="http://schemas.microsoft.com/office/infopath/2007/PartnerControls"/>
    <xsd:element name="SharedWithUsers" ma:index="10"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 compartit amb detalls" ma:internalName="SharedWithDetails" ma:readOnly="true">
      <xsd:simpleType>
        <xsd:restriction base="dms:Note">
          <xsd:maxLength value="255"/>
        </xsd:restriction>
      </xsd:simpleType>
    </xsd:element>
    <xsd:element name="TaxCatchAll" ma:index="16" nillable="true" ma:displayName="Taxonomy Catch All Column" ma:hidden="true" ma:list="{f7e9ec61-e504-403b-b6cf-d739475b8ab3}" ma:internalName="TaxCatchAll" ma:showField="CatchAllData" ma:web="281f7b61-b72b-4a21-bb24-e43f40679a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C3BBD1B-D8EB-4F55-AA85-1B39798B5B8A}"/>
</file>

<file path=customXml/itemProps2.xml><?xml version="1.0" encoding="utf-8"?>
<ds:datastoreItem xmlns:ds="http://schemas.openxmlformats.org/officeDocument/2006/customXml" ds:itemID="{F0687FF4-492A-4708-A78D-9596ABEEFD47}"/>
</file>

<file path=customXml/itemProps3.xml><?xml version="1.0" encoding="utf-8"?>
<ds:datastoreItem xmlns:ds="http://schemas.openxmlformats.org/officeDocument/2006/customXml" ds:itemID="{BDB0E13F-5814-42E6-9611-C30F4E654FA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Curco Masip, Antoni</dc:creator>
  <cp:keywords/>
  <dc:description/>
  <cp:lastModifiedBy>Vidal Esquerre, Joan Francesc</cp:lastModifiedBy>
  <cp:revision/>
  <dcterms:created xsi:type="dcterms:W3CDTF">2015-06-05T18:17:20Z</dcterms:created>
  <dcterms:modified xsi:type="dcterms:W3CDTF">2026-03-03T10:51:19Z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0x010100F205CEEF5B67654BB99FA91F3D8DF3AD</vt:lpwstr>
  </property>
  <property fmtid="{D5CDD505-2E9C-101B-9397-08002B2CF9AE}" pid="3" name="_dlc_DocIdItemGuid">
    <vt:lpwstr>83063e4a-c153-40ad-b1f2-3bc4bb5f7ffa</vt:lpwstr>
  </property>
  <property fmtid="{D5CDD505-2E9C-101B-9397-08002B2CF9AE}" pid="4" name="MediaServiceImageTags">
    <vt:lpwstr/>
  </property>
</Properties>
</file>