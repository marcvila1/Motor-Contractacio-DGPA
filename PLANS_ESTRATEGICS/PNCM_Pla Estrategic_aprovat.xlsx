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36981662P\OneDrive - Generalitat de Catalunya\Plans estratègics\Cadí\"/>
    </mc:Choice>
  </mc:AlternateContent>
  <bookViews>
    <workbookView xWindow="-110" yWindow="-110" windowWidth="15570" windowHeight="11930" tabRatio="580" firstSheet="2" activeTab="3"/>
  </bookViews>
  <sheets>
    <sheet name="ESTRATÈGIA" sheetId="8" r:id="rId1"/>
    <sheet name="INSTRUCCIONS" sheetId="6" r:id="rId2"/>
    <sheet name="PRIORITZACIÓ" sheetId="7" r:id="rId3"/>
    <sheet name="PLA" sheetId="3" r:id="rId4"/>
    <sheet name="VINCLE AMENAÇA_OBJ. OPERATIU" sheetId="9" r:id="rId5"/>
    <sheet name="Taxonomia Amenaces" sheetId="10" r:id="rId6"/>
    <sheet name="Llistes" sheetId="11" r:id="rId7"/>
    <sheet name="Full1" sheetId="5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3" hidden="1">PLA!$A$4:$V$191</definedName>
    <definedName name="_xlnm._FilterDatabase" localSheetId="2" hidden="1">PRIORITZACIÓ!$A$40:$I$146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92" i="3" l="1"/>
  <c r="J161" i="3"/>
  <c r="J146" i="3"/>
  <c r="J104" i="3"/>
  <c r="J46" i="3"/>
  <c r="J36" i="3"/>
  <c r="J148" i="3" l="1"/>
  <c r="J48" i="3" l="1"/>
  <c r="J40" i="3" l="1"/>
  <c r="J6" i="3" l="1"/>
  <c r="B6" i="9" s="1"/>
  <c r="J7" i="3"/>
  <c r="B7" i="9" s="1"/>
  <c r="J8" i="3"/>
  <c r="B8" i="9" s="1"/>
  <c r="J9" i="3"/>
  <c r="B9" i="9" s="1"/>
  <c r="J10" i="3"/>
  <c r="B10" i="9" s="1"/>
  <c r="J11" i="3"/>
  <c r="B11" i="9" s="1"/>
  <c r="J12" i="3"/>
  <c r="B12" i="9" s="1"/>
  <c r="B13" i="9"/>
  <c r="B14" i="9"/>
  <c r="J15" i="3"/>
  <c r="B15" i="9" s="1"/>
  <c r="B16" i="9"/>
  <c r="B17" i="9"/>
  <c r="B18" i="9"/>
  <c r="B19" i="9"/>
  <c r="J21" i="3"/>
  <c r="B20" i="9" s="1"/>
  <c r="J22" i="3"/>
  <c r="B21" i="9" s="1"/>
  <c r="J23" i="3"/>
  <c r="B22" i="9" s="1"/>
  <c r="J24" i="3"/>
  <c r="B23" i="9" s="1"/>
  <c r="B24" i="9"/>
  <c r="J26" i="3"/>
  <c r="B25" i="9" s="1"/>
  <c r="J27" i="3"/>
  <c r="B26" i="9" s="1"/>
  <c r="J28" i="3"/>
  <c r="B27" i="9" s="1"/>
  <c r="J29" i="3"/>
  <c r="B28" i="9" s="1"/>
  <c r="B29" i="9"/>
  <c r="J31" i="3"/>
  <c r="B30" i="9" s="1"/>
  <c r="B31" i="9"/>
  <c r="B32" i="9"/>
  <c r="B33" i="9"/>
  <c r="B34" i="9"/>
  <c r="J37" i="3"/>
  <c r="B35" i="9" s="1"/>
  <c r="J38" i="3"/>
  <c r="B36" i="9" s="1"/>
  <c r="J42" i="3"/>
  <c r="J43" i="3"/>
  <c r="J47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5" i="3"/>
  <c r="J66" i="3"/>
  <c r="J67" i="3"/>
  <c r="J68" i="3"/>
  <c r="J69" i="3"/>
  <c r="J70" i="3"/>
  <c r="J71" i="3"/>
  <c r="J72" i="3"/>
  <c r="J74" i="3"/>
  <c r="J75" i="3"/>
  <c r="J76" i="3"/>
  <c r="J78" i="3"/>
  <c r="J79" i="3"/>
  <c r="J80" i="3"/>
  <c r="J81" i="3"/>
  <c r="J82" i="3"/>
  <c r="J83" i="3"/>
  <c r="J86" i="3"/>
  <c r="J87" i="3"/>
  <c r="J90" i="3"/>
  <c r="J91" i="3"/>
  <c r="J98" i="3"/>
  <c r="J101" i="3"/>
  <c r="J103" i="3"/>
  <c r="J105" i="3"/>
  <c r="J106" i="3"/>
  <c r="J107" i="3"/>
  <c r="J108" i="3"/>
  <c r="J109" i="3"/>
  <c r="J110" i="3"/>
  <c r="J111" i="3"/>
  <c r="J112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4" i="3"/>
  <c r="J135" i="3"/>
  <c r="J136" i="3"/>
  <c r="J137" i="3"/>
  <c r="J138" i="3"/>
  <c r="J139" i="3"/>
  <c r="J141" i="3"/>
  <c r="J144" i="3"/>
  <c r="J150" i="3"/>
  <c r="J151" i="3"/>
  <c r="J152" i="3"/>
  <c r="J153" i="3"/>
  <c r="J154" i="3"/>
  <c r="J156" i="3"/>
  <c r="J157" i="3"/>
  <c r="J158" i="3"/>
  <c r="J159" i="3"/>
  <c r="J160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5" i="3"/>
  <c r="B5" i="9" s="1"/>
  <c r="B38" i="9" l="1"/>
  <c r="B37" i="9" l="1"/>
</calcChain>
</file>

<file path=xl/comments1.xml><?xml version="1.0" encoding="utf-8"?>
<comments xmlns="http://schemas.openxmlformats.org/spreadsheetml/2006/main">
  <authors>
    <author>Golfa</author>
  </authors>
  <commentList>
    <comment ref="D16" authorId="0" shapeId="0">
      <text>
        <r>
          <rPr>
            <sz val="9"/>
            <color indexed="81"/>
            <rFont val="Tahoma"/>
            <family val="2"/>
          </rPr>
          <t xml:space="preserve">El centre d'informació diu absent però el teniu al MAP I pla de protecció
Segons el serveis d'informació de zones especials de conservació
https://zec2.ctfc.cat/alpina/fitxa_habitats.php?id=6230*&amp;codiRegio=ALP </t>
        </r>
      </text>
    </comment>
    <comment ref="D21" authorId="0" shapeId="0">
      <text>
        <r>
          <rPr>
            <sz val="9"/>
            <color indexed="81"/>
            <rFont val="Tahoma"/>
            <family val="2"/>
          </rPr>
          <t xml:space="preserve">
Afegit per expert i present al pla especial</t>
        </r>
      </text>
    </comment>
    <comment ref="G22" authorId="0" shapeId="0">
      <text>
        <r>
          <rPr>
            <sz val="9"/>
            <color indexed="81"/>
            <rFont val="Tahoma"/>
            <family val="2"/>
          </rPr>
          <t xml:space="preserve">
Repoblació després de tala 
</t>
        </r>
      </text>
    </comment>
    <comment ref="D30" authorId="0" shapeId="0">
      <text>
        <r>
          <rPr>
            <sz val="9"/>
            <color indexed="81"/>
            <rFont val="Tahoma"/>
            <family val="2"/>
          </rPr>
          <t xml:space="preserve">
incongruencies expert, diu que hi és i que no </t>
        </r>
      </text>
    </comment>
    <comment ref="E52" authorId="0" shapeId="0">
      <text>
        <r>
          <rPr>
            <sz val="9"/>
            <color indexed="81"/>
            <rFont val="Tahoma"/>
            <family val="2"/>
          </rPr>
          <t>Cranc roig americà (Procambarus clarkii) i cranc senyal (Pacifastacus leniusculus).</t>
        </r>
      </text>
    </comment>
    <comment ref="A59" authorId="0" shapeId="0">
      <text>
        <r>
          <rPr>
            <sz val="9"/>
            <color indexed="81"/>
            <rFont val="Tahoma"/>
            <family val="2"/>
          </rPr>
          <t xml:space="preserve">https://sig.gencat.cat/visors/hipermapa.html?background=icgc_mapa_estandard&amp;bg_transp=1&amp;BBOX=34167.022077588656,4465050.990680486,751382.2893492149,4785933.686674552&amp;layers=FAUNA_MODDIST&amp;styles=0&amp;transparency=1
</t>
        </r>
      </text>
    </comment>
    <comment ref="D102" authorId="0" shapeId="0">
      <text>
        <r>
          <rPr>
            <sz val="9"/>
            <color indexed="81"/>
            <rFont val="Tahoma"/>
            <family val="2"/>
          </rPr>
          <t xml:space="preserve">
Carles Flaquer</t>
        </r>
      </text>
    </comment>
    <comment ref="D108" authorId="0" shapeId="0">
      <text>
        <r>
          <rPr>
            <sz val="9"/>
            <color indexed="81"/>
            <rFont val="Tahoma"/>
            <family val="2"/>
          </rPr>
          <t xml:space="preserve">
Carles Flaquer</t>
        </r>
      </text>
    </comment>
    <comment ref="D109" authorId="0" shapeId="0">
      <text>
        <r>
          <rPr>
            <sz val="9"/>
            <color indexed="81"/>
            <rFont val="Tahoma"/>
            <family val="2"/>
          </rPr>
          <t xml:space="preserve">
Carles Flaquer</t>
        </r>
      </text>
    </comment>
  </commentList>
</comments>
</file>

<file path=xl/comments2.xml><?xml version="1.0" encoding="utf-8"?>
<comments xmlns="http://schemas.openxmlformats.org/spreadsheetml/2006/main">
  <authors>
    <author>Golfa</author>
    <author>Parpal Servole, Jordi</author>
    <author>Orriols Alsina, Maria Carme</author>
  </authors>
  <commentList>
    <comment ref="I2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G4" authorId="1" shapeId="0">
      <text>
        <r>
          <rPr>
            <b/>
            <sz val="9"/>
            <color indexed="81"/>
            <rFont val="Tahoma"/>
            <family val="2"/>
          </rPr>
          <t>Parpal Servole, Jordi:</t>
        </r>
        <r>
          <rPr>
            <sz val="9"/>
            <color indexed="81"/>
            <rFont val="Tahoma"/>
            <family val="2"/>
          </rPr>
          <t xml:space="preserve">
Els Parcs haurien d'optar per suprimir o modificar els objectius operatius que no es consideren obligats per a tots els Parcs (columna I)</t>
        </r>
      </text>
    </comment>
    <comment ref="N87" authorId="2" shapeId="0">
      <text>
        <r>
          <rPr>
            <b/>
            <sz val="9"/>
            <color indexed="81"/>
            <rFont val="Tahoma"/>
            <family val="2"/>
          </rPr>
          <t>Orriols Alsina, Maria Carme:</t>
        </r>
        <r>
          <rPr>
            <sz val="9"/>
            <color indexed="81"/>
            <rFont val="Tahoma"/>
            <family val="2"/>
          </rPr>
          <t xml:space="preserve">
* Jornades de recuperació de murs de pedra seca
* Actuacions de la brigada en punts d'aigua pel correcte manteniment
* propostres de millora de la gestió de punts d'aigua i marges</t>
        </r>
      </text>
    </comment>
  </commentList>
</comments>
</file>

<file path=xl/sharedStrings.xml><?xml version="1.0" encoding="utf-8"?>
<sst xmlns="http://schemas.openxmlformats.org/spreadsheetml/2006/main" count="3662" uniqueCount="1529">
  <si>
    <t>MODEL DE PLA ESTRATÈGIC PELS ENP</t>
  </si>
  <si>
    <t>EIXOS</t>
  </si>
  <si>
    <t>OBJECTIUS Generals (PP)</t>
  </si>
  <si>
    <t>OBJECTIUS Estratègics</t>
  </si>
  <si>
    <t>OBJECTIUS operatius / Línia estratègica</t>
  </si>
  <si>
    <t>Comú / Específic</t>
  </si>
  <si>
    <t>Obligatori / Optatiu</t>
  </si>
  <si>
    <t>Prioritat</t>
  </si>
  <si>
    <t>Marc de referència</t>
  </si>
  <si>
    <t>Resultats derivats</t>
  </si>
  <si>
    <t>NATURA</t>
  </si>
  <si>
    <t>CONSERVAR LA NATURA i restaurar els ecosistemes, els processos naturals i seminaturals, la biodiversitat i la geodiversitat associada.</t>
  </si>
  <si>
    <t>01.1</t>
  </si>
  <si>
    <t>Adequar i fer eficient la conservació dels elements objecte de gestió prioritària marcats per la DG a l'ENP</t>
  </si>
  <si>
    <t>01.1.1</t>
  </si>
  <si>
    <t>Implementar i executar plans de gestió específics per a hàbitats i espècies de conservació prioritària dins l'ENP</t>
  </si>
  <si>
    <t>Comú</t>
  </si>
  <si>
    <t xml:space="preserve">Obligatori </t>
  </si>
  <si>
    <t>ALTA</t>
  </si>
  <si>
    <t>MAP</t>
  </si>
  <si>
    <t>SFF: Elaboració de plans de gestió específics per a espècies de conservació prioritària i directrius de gestió d'hàbitats.
SFF/SENP: Definir a nivell de cluster quins son els que es poden elaborar conjuntament.</t>
  </si>
  <si>
    <t>01.1.2</t>
  </si>
  <si>
    <t>Adaptar i executar plans de gestió específics per a elements geològics de conservació prioritària dins l'ENP</t>
  </si>
  <si>
    <t>MITJANA</t>
  </si>
  <si>
    <t>01.2</t>
  </si>
  <si>
    <t>Executar les mesures de gestió directa previstes en els intruments de planificació per la conservació i la gestió adaptativa dels elements clau de l'ENP</t>
  </si>
  <si>
    <t>01.2.1</t>
  </si>
  <si>
    <t>Implementar la metodologia de gestió adaptativa (Estàndards Oberts de Gestió Adaptativa a Catalunya) en tots els processos de l'ENP</t>
  </si>
  <si>
    <t>Obligatori</t>
  </si>
  <si>
    <t>MÀXIMA</t>
  </si>
  <si>
    <t>ESNATURA</t>
  </si>
  <si>
    <t>SENP: Elaboració d'un manual per la implementació dels OSAM</t>
  </si>
  <si>
    <t>01.2.2</t>
  </si>
  <si>
    <t>Executar les mesures previstes en els plans de conservació o recuperació d'espècies amenaçades de forma coordinada amb el Servei de Flora i Fauna en l'àmbit de l'ENP</t>
  </si>
  <si>
    <t>MAP
Catàlegs</t>
  </si>
  <si>
    <t>SFF: Elaboració de plans de conservació o recuperació d'espècies protegides</t>
  </si>
  <si>
    <t>01.2.3</t>
  </si>
  <si>
    <t>Executar les mesures de gestió previstes en els plans de control i erradicació d'espècies exòtiques de forma coordinada amb el Servei de Flora i Fauna en l'àmbit de l'ENP</t>
  </si>
  <si>
    <t>ESNATURA
MAP</t>
  </si>
  <si>
    <t>SFF: Elaboració de plans de control i erradicació d'espècies exòtiques</t>
  </si>
  <si>
    <t>01.2.4</t>
  </si>
  <si>
    <t xml:space="preserve">Desplegar els objectius i tasques recollits en els instruments de referència i compromisos internacionals  </t>
  </si>
  <si>
    <t>Específic</t>
  </si>
  <si>
    <t xml:space="preserve">Optatiu </t>
  </si>
  <si>
    <t>01.3</t>
  </si>
  <si>
    <t>Crear ecosistemes complexes, resilients, i d'alta biodiversitat per garantir la recuperació dels processos ecosistèmics</t>
  </si>
  <si>
    <t>01.3.1</t>
  </si>
  <si>
    <t>Identificar espais pel foment de la dinàmica natural i l'aprofitament no extractiu</t>
  </si>
  <si>
    <t>*Participar en la identificació d'espais pel foment de la dinàmica natural i l'aprofitament no extractiu dins l'ENP en base a uns criteris metodològics predefinits
*Afavorir la creació d'hàbitats per a la conservació d'espècies</t>
  </si>
  <si>
    <t>SENP/SFF: Definir criteris metodològics</t>
  </si>
  <si>
    <t>01.3.2</t>
  </si>
  <si>
    <t>Afavorir la maduresa dels sistemes forestals</t>
  </si>
  <si>
    <t>*Participar i impulsar la planificació i execució d'accions d'acceleració de la maduresa forestal en zones boscoses dins l'ENP en base als criteris metodològics predefinits</t>
  </si>
  <si>
    <t>01.3.3</t>
  </si>
  <si>
    <t>Generar pertorbacions controlades</t>
  </si>
  <si>
    <t>01.3.4</t>
  </si>
  <si>
    <t xml:space="preserve">Restaurar la dinàmica natural dels rius </t>
  </si>
  <si>
    <t>01.3.5</t>
  </si>
  <si>
    <t>Fomentar el paisatge en mosaïc</t>
  </si>
  <si>
    <t>01.3.6</t>
  </si>
  <si>
    <t>Gestionar i intervenir en la dinàmica de poblacions de fauna que no tenen depredador natural</t>
  </si>
  <si>
    <t>01.4</t>
  </si>
  <si>
    <t>Alinear l'activitat de propietaris i gestors del territori amb la conservació, millora i restauració dels valors de l'ENP</t>
  </si>
  <si>
    <t>01.4.1</t>
  </si>
  <si>
    <t>Fomentar acords de custòdia en espais d'alt valor dins l'ENP per a la gestió dels elements prioritaris</t>
  </si>
  <si>
    <t>SENP/SENP: Dissenyar el protocol i elaborar un model d'acord</t>
  </si>
  <si>
    <t>01.4.2</t>
  </si>
  <si>
    <t>Fomentar bones pràctiques entre els col·lectius de propietaris i gestors del territori</t>
  </si>
  <si>
    <t>01.4.3</t>
  </si>
  <si>
    <t>Impulsar la coordinació amb els ens locals en la gestió finques públiques situades dins d’ENP</t>
  </si>
  <si>
    <t>*Boscos comunals
*Medi marí
*Lleres i boscos de ribera</t>
  </si>
  <si>
    <t>ADAPTAR ELS ECOSISTEMES AL CANVI CLIMÀTIC i millorar-ne la resiliència en front dels riscos associats.</t>
  </si>
  <si>
    <t>02.1</t>
  </si>
  <si>
    <t>Planificar l'adaptació dels sistemes naturals al canvi climàtic</t>
  </si>
  <si>
    <t>02.1.1</t>
  </si>
  <si>
    <t>Adaptar i implementar el Pla d'adaptació de l'ENP al canvi climàtic</t>
  </si>
  <si>
    <t xml:space="preserve">OCCC/SENP: Elaboració del model de Pla d'adaptació dels ENP al canvi climàtic </t>
  </si>
  <si>
    <t>02.1.2</t>
  </si>
  <si>
    <t>Gestionar i planificar els recursos hídrics de l'ENP</t>
  </si>
  <si>
    <t>02.1.3</t>
  </si>
  <si>
    <t>Participar en la redacció i execució dels instruments d'ordenació forestal sostenible i per la conservació en finques públiques</t>
  </si>
  <si>
    <t>DGEFMN: Redacció d'IOF en finques públiques</t>
  </si>
  <si>
    <t>02.1.4</t>
  </si>
  <si>
    <t>Promoure la redacció d'instruments d'ordenació forestal per reduir la sensibilitat i vulnerabilitat dels boscos al canvi climàtic en finques privades</t>
  </si>
  <si>
    <t>Optatiu</t>
  </si>
  <si>
    <t>02.2</t>
  </si>
  <si>
    <t xml:space="preserve">Planificar la prevenció i extinció d’incendis forestals i la gestió del foc de forma coordinada amb els diferents agents del territori </t>
  </si>
  <si>
    <t>02.2.1</t>
  </si>
  <si>
    <t xml:space="preserve">Redactar i implementar el Pla de Prevenció d'Incendis </t>
  </si>
  <si>
    <t>Equip de PPI: Disseny del protocol de treball</t>
  </si>
  <si>
    <t>02.2.2</t>
  </si>
  <si>
    <t>Definir i planificar la gestió del foc per a la millora de l'ENP</t>
  </si>
  <si>
    <t>SPEN: Elaboració d'un model de pla de gestió</t>
  </si>
  <si>
    <t>02.2.3</t>
  </si>
  <si>
    <t>Treballar per a la prevenció d'incendis juntament amb els propietaris, ajuntaments, protecció civil, ADF i bombers.</t>
  </si>
  <si>
    <t>PROTEGIR LA BIODIVERSITAT, i especialment els elements fràgils i amenaçats, d’interès comunitari o de major interès natural.</t>
  </si>
  <si>
    <t>03.1</t>
  </si>
  <si>
    <t>Prevenir, minimitzar i compensar els impactes ambientals dels usos i activitats que es desenvolupin en l'àmbit de l'ENP</t>
  </si>
  <si>
    <t>03.1.1</t>
  </si>
  <si>
    <t>Participar en les consultes dels procesos d'Avaluació Ambiental que afectin directament o indirectament l’espai del ENP</t>
  </si>
  <si>
    <t>03.1.2</t>
  </si>
  <si>
    <t>Exercir un seguiment efectiu de les obres al Parc juntament amb les Oficines Territorials d'Acció i Avaluació Ambiental als efectes d'assegurar la correcta translació de la tutela administrativa.</t>
  </si>
  <si>
    <t>03.1.3</t>
  </si>
  <si>
    <t>Participar en la compensació d'impactes residuals durant els processos d'avaluació ambiental mitjançant la identificació de necessitats d'actuació prioritària dins i fora dels límits de l’ENP</t>
  </si>
  <si>
    <t>*Catàleg de possibles actuacions compensatories
*Catàleg de sectors amb necessitats d'intervenció (incloent també zones fora dels límits de l'ENP que es considerin importants per al manteniment de la connectivitat ecològica dels espais)</t>
  </si>
  <si>
    <t>03.2</t>
  </si>
  <si>
    <t>Garantir el compliment dels objectius de conservació dotant l'ENP de la planificació adequada segons estableix la normativa vigent (Pla de Protecció, PRUG, plans específics...)</t>
  </si>
  <si>
    <t>03.2.1</t>
  </si>
  <si>
    <t>Participar en l'elaboració dels instruments de planificació de l'ENP</t>
  </si>
  <si>
    <t>SPEN: Elaboració del Pla rector d'usos i gestió.
SPEN: Elaboració del Pla rector d'usos i gestió</t>
  </si>
  <si>
    <t>03.3</t>
  </si>
  <si>
    <t>Vetllar pel manteniment dels cabals ecològics i la bona qualitat dels cursos fluvials de l'ENP de forma coordinada amb l'administració competent</t>
  </si>
  <si>
    <t>03.3.1</t>
  </si>
  <si>
    <t>Vetllar pel manteniment del cabal ecològic dels rius definit al Pla sectorial corresponent</t>
  </si>
  <si>
    <t>ACA/CHE: Determinar els cabals ecològics en espais naturals protegits</t>
  </si>
  <si>
    <t>03.3.2</t>
  </si>
  <si>
    <t>Vetllar per la regulació dels dragatges, canalitzacions o implantació d'activitats extractives que puguin modificar la llera i el cabal dels rius</t>
  </si>
  <si>
    <t>03.3.3</t>
  </si>
  <si>
    <t>Avaluar i controlar les actuacions que produeixin drenatges, captacions o que puguin impedir l’arribada d’aigua tant superficial com freàtica</t>
  </si>
  <si>
    <t>03.3.4</t>
  </si>
  <si>
    <t>Vetllar pel compliment de la normativa de depuració dels efluents agroramaders, urbans i industrials que s'aboquen als cursos fluvials</t>
  </si>
  <si>
    <t>03.4</t>
  </si>
  <si>
    <t>Incrementar el patrimoni públic destinat a la conservació i millora del patrimoni natural</t>
  </si>
  <si>
    <t>03.4.1</t>
  </si>
  <si>
    <t xml:space="preserve">Identificar espais prioritaris per a la compra de terrenys de més valor dins l'ENP </t>
  </si>
  <si>
    <t>SENP/SPEN: Facilitar els criteris a seguir</t>
  </si>
  <si>
    <t>03.4.2</t>
  </si>
  <si>
    <t>Identificar espais prioritaris per a la gestió directa</t>
  </si>
  <si>
    <t xml:space="preserve"> CULTURA</t>
  </si>
  <si>
    <t>CONSERVAR ELS ELEMENTS CULTURALS materials i immaterials vinculats a la natura</t>
  </si>
  <si>
    <t>04.1</t>
  </si>
  <si>
    <t>Millorar el coneixement disponible sobre el patrimoni arquitectònic i cultural (material i immaterial) vinculat al patrimoni natural, el seu estat de conservació i els estils propis dels territoris de l'ENP</t>
  </si>
  <si>
    <t>04.1.1</t>
  </si>
  <si>
    <t>Elaborar l'inventari i cartografia de patrimoni cultural de l'ENP, que també inclogui el patrimoni etnològic i immaterial</t>
  </si>
  <si>
    <t>04.1.2</t>
  </si>
  <si>
    <t>Elaborar el catàleg lingüístic (localismes) de patrimoni natural, geografia popular, festes i activitats tradicionals de l'ENP</t>
  </si>
  <si>
    <t>04.1.3</t>
  </si>
  <si>
    <t>Elaborar la cartografia de la xarxa de camins ramaders i senders tradicionals de l'ENP</t>
  </si>
  <si>
    <t>04.2</t>
  </si>
  <si>
    <t>Conservar i gestionar el patrimoni cultural de l'ENP de forma coordinada amb els agents responsables i entitats de referència</t>
  </si>
  <si>
    <t>04.2.1</t>
  </si>
  <si>
    <t>Identificar els ens de referència en patrimoni cultural (entitats, associacions, museus i ecomuseus, etc.) en l'àmbit de l'ENP</t>
  </si>
  <si>
    <t>04.2.2</t>
  </si>
  <si>
    <t>Articular treballs conjunts entre l'ENP i representants, gestors o custodis del patrimoni cultural per a la seva protecció i millora</t>
  </si>
  <si>
    <t>04.2.3</t>
  </si>
  <si>
    <t>04.2.4</t>
  </si>
  <si>
    <t>Disposar de personal especialitzat en patrimoni cultural</t>
  </si>
  <si>
    <t>*Formació del personal tècnic de l'ENP en la gestió i conservació dels valors culturals de l'ENP</t>
  </si>
  <si>
    <t>04.3</t>
  </si>
  <si>
    <t>Potenciar la conservació i recuperació del patrimoni cultural material i immaterial de l'ENP</t>
  </si>
  <si>
    <t>04.3.1</t>
  </si>
  <si>
    <t>04.3.2</t>
  </si>
  <si>
    <t>Recuperar i conservar el patrimoni cultural rural vinculat específicament a construccions de pedra en sec</t>
  </si>
  <si>
    <t>04.3.3</t>
  </si>
  <si>
    <t>04.3.4</t>
  </si>
  <si>
    <t>Identificar i conservar la diversitat domesticada de varietats agrícoles i ramaderes locals</t>
  </si>
  <si>
    <t>04.4</t>
  </si>
  <si>
    <t xml:space="preserve">Donar a conèixer els elements culturals com a valors del paisatge de l'ENP en les activitats d'ús públic </t>
  </si>
  <si>
    <t>04.4.1</t>
  </si>
  <si>
    <t>Integrar el patrimoni cultural als itineraris i cartelleria de l'ENP.</t>
  </si>
  <si>
    <t>04.4.2</t>
  </si>
  <si>
    <t>Incorporar el patrimoni cultural en els plans d’ús públic i educació ambiental per fomentar-ne la seva conservació i divulgació.</t>
  </si>
  <si>
    <t>04.4.3</t>
  </si>
  <si>
    <t>Formar el personal dels punts d’informació en els valors culturals de l'ENP</t>
  </si>
  <si>
    <t>PROTEGIR EL PAISATGE i la qualitat de l'ambient visual, sonor i lumínic.</t>
  </si>
  <si>
    <t>05.1</t>
  </si>
  <si>
    <t>Identificar els elements d'interès paisatgístic de l'espai</t>
  </si>
  <si>
    <t>05.1.1</t>
  </si>
  <si>
    <t xml:space="preserve">Elaborar un inventari d'elements d'interès paisatgístic de l'ENP d'acord amb el Catàleg de paisatge de la zona </t>
  </si>
  <si>
    <t>05.2</t>
  </si>
  <si>
    <t>Millorar la qualitat paisatgística</t>
  </si>
  <si>
    <t>05.2.1</t>
  </si>
  <si>
    <t>Desplegar actuacions de restauració dels elements d'interès paisatgístic degradats</t>
  </si>
  <si>
    <t>BAIXA</t>
  </si>
  <si>
    <t>05.2.2</t>
  </si>
  <si>
    <t>05.2.3</t>
  </si>
  <si>
    <t>Minimitzar la brutícia, deixalles, vandalisme i males praxis dins l'ENP</t>
  </si>
  <si>
    <t>05.3</t>
  </si>
  <si>
    <t>Protegir la qualitat acústica i lumínica de l'ENP</t>
  </si>
  <si>
    <t>05.3.1</t>
  </si>
  <si>
    <t>Promoure la certificació de qualitat del cel nocturn</t>
  </si>
  <si>
    <t>05.3.2</t>
  </si>
  <si>
    <t>Promoure la certificació de zones d'especial protecció de la qualitat acústica</t>
  </si>
  <si>
    <t xml:space="preserve">CONEIXEMENT </t>
  </si>
  <si>
    <t>MILLORAR EL CONEIXEMENT DE L'ENTORN, del patrimoni natural, cultural i social.</t>
  </si>
  <si>
    <t>06.1</t>
  </si>
  <si>
    <t>Identificar els objectes de gestió prioritària de l'ENP en el marc dels objectius de govern</t>
  </si>
  <si>
    <t>06.1.1</t>
  </si>
  <si>
    <t>Identificar i prioritzar els elements clau i d'interès per la gestió de la biodiversitat i geodiversitat de Catalunya es troben dins l'ENP (especies amenaçades, espècies exòtiques invasores,.. )</t>
  </si>
  <si>
    <t>Directriva Habitats
Carta emplaçament
ESNATURA
Catàlegs</t>
  </si>
  <si>
    <t>UIC/SFF/SPEN: Definir criteris d'identificació d'elements interès.
UIC/SFF/SPEN: Definició dels objectes de conservació clau comuns a nivell de Xarxa d'ENP o clúster territorial</t>
  </si>
  <si>
    <t>06.1.2</t>
  </si>
  <si>
    <t>Definir espais fràgils i zones d'especial atenció</t>
  </si>
  <si>
    <t>SPEN: Inventari i cartografia d'espais fràgils i zones d'especial atenció</t>
  </si>
  <si>
    <t>06.2</t>
  </si>
  <si>
    <t>Conèixer l'estat de conservació i la seva tendència dels hàbitats, les espècies els elements de la gea i els processos ecològics com a eina per avaluar i optimitzar la gestió</t>
  </si>
  <si>
    <t>06.2.1</t>
  </si>
  <si>
    <t>Participar en l'elaboració de la cartografia que elabora la UIC</t>
  </si>
  <si>
    <t>UIC: Coordinar i contractar l'elaboració de la cartografia</t>
  </si>
  <si>
    <t>06.2.2</t>
  </si>
  <si>
    <t>Conèixer i estudiar els processos naturals propis de l’espai, la seva funcionalitat, i ecologia en referència als ecosistemes</t>
  </si>
  <si>
    <t>06.2.3</t>
  </si>
  <si>
    <t>Conèixer els usos i factors de canvi rellevants en l'evolució dels elements de conservació, i avaluar els efectes que generen en l’espai (pressions i amenaces)</t>
  </si>
  <si>
    <t xml:space="preserve">SENP/UIC: Elaborar la classificació i cartografia de les pressions o factors de canvi sobre el medi natural </t>
  </si>
  <si>
    <t>06.2.4</t>
  </si>
  <si>
    <t>Conèixer l'impacte de les gestió de l'aigua, sobre la biodiversitat.</t>
  </si>
  <si>
    <t>*Programa de seguiment de l’estat hidrològic de les masses d’aigua
*Establiment d’una xarxa automatitzada de control (sensors, inventaris, models hidrològics, etc.).</t>
  </si>
  <si>
    <t>06.2.5</t>
  </si>
  <si>
    <t>Participar en el coneixement de la tendència d'espècies plaga amb afectacions sobre ecosistemes o activitats econòmiques dins l'ENP</t>
  </si>
  <si>
    <t>06.2.6</t>
  </si>
  <si>
    <t>Conèixer la tendència d'espècies exòtiques invasores amb afectacions sobre ecosistemes o activitats econòmiques dins l'ENP</t>
  </si>
  <si>
    <t>06.2.7</t>
  </si>
  <si>
    <t>Coneixer com millorar la connectivitat de forma coordinada amb altres ENP</t>
  </si>
  <si>
    <t>06.3</t>
  </si>
  <si>
    <t xml:space="preserve">Estandaritzar els seguiments periòdics dels grups clau </t>
  </si>
  <si>
    <t>06.3.1</t>
  </si>
  <si>
    <t>Participar en la definició del sistema estàndard de seguiment de flora, fauna i hàbitats de la DG</t>
  </si>
  <si>
    <t xml:space="preserve">*Suport a la UIC en la definició dels sistemes de seguiment </t>
  </si>
  <si>
    <t>UIC/SFF/SENP: Crear espais de participació
UIC/SFF: Definir el sistema estàndard de seguiment i el protocol d'aplicació</t>
  </si>
  <si>
    <t>06.3.2</t>
  </si>
  <si>
    <t>Adequar i executar el sistema de seguiment periòdic dels grups clau de l'ENP al sistema estàndard de seguiment</t>
  </si>
  <si>
    <t>UIC/SFF: Definir el sistema estàndard de seguiment i el protocol d'aplicació
UIC: Elaborar el protocol d'informació i coneixement</t>
  </si>
  <si>
    <t>06.3.3</t>
  </si>
  <si>
    <t xml:space="preserve">Mantenir una base de dades de seguiment de patrimoni natural de l'ENP actualitzada i ordenada </t>
  </si>
  <si>
    <t>06.3.4</t>
  </si>
  <si>
    <t>UIC/SENP: Crear i coordinar una metodologia participativa per a la definició del SINATCAT</t>
  </si>
  <si>
    <t>06.4</t>
  </si>
  <si>
    <t>Incrementar el coneixement de qualitat mitjançant l’establiment de marcs de col·laboració, assessorament i suport amb centres de recerca, museus i entitats naturalistes per al desenvolupament de part de la seva activitat en l’ENP</t>
  </si>
  <si>
    <t>06.4.1</t>
  </si>
  <si>
    <t>Crear sinèrgies i col·laborar amb museus i equipaments de referència per definir línies d'actuació conjunta entre patrimoni cultural i natural</t>
  </si>
  <si>
    <t>SENP: Elaborar un mapa d'agents de referència</t>
  </si>
  <si>
    <t>06.4.2</t>
  </si>
  <si>
    <t>Establir acords amb les institucions de recerca i naturalistes per al desenvolupament d'estudis i inventaris dins l'ENP en el marc de les seves línies de recerca</t>
  </si>
  <si>
    <t>SENP: Elaborar un mapa d'agents de referècia</t>
  </si>
  <si>
    <t>06.4.3</t>
  </si>
  <si>
    <t xml:space="preserve">Potenciar la ciència ciutadana en l’ENP com a eina per generar coneixement </t>
  </si>
  <si>
    <t>*Vinculació amb projectes de ciència ciutana existents per generar dades en l'ENP</t>
  </si>
  <si>
    <t>06.4.4</t>
  </si>
  <si>
    <t xml:space="preserve">Crear i desenvolupar jornades de recerca de l'ENP de forma anual on els diferents centres mostrin els estudis realizats en l'ENP </t>
  </si>
  <si>
    <t>SENP: Suport en l'organització de les jornades</t>
  </si>
  <si>
    <t>06.4.5</t>
  </si>
  <si>
    <t>Posar a disposició de la recerca, equipaments i serveis de l'ENP</t>
  </si>
  <si>
    <t>06.4.6</t>
  </si>
  <si>
    <t xml:space="preserve">Crear l'Observatori de recerca de l'ENP vinculat a l'Observatori del Patrimoni natural i la biodiversitat </t>
  </si>
  <si>
    <t>UIC: Suport en la creació de l'Observatori de reserca</t>
  </si>
  <si>
    <t>06.5</t>
  </si>
  <si>
    <t>Millorar el coneixement global de les dinàmiques d'usos antròpics de l’ENP</t>
  </si>
  <si>
    <t>06.5.1</t>
  </si>
  <si>
    <t>Participar en la definició del sistema estándard de seguiment de l'ús públic amb el SENP</t>
  </si>
  <si>
    <t>SENP: Crear espais de participació. Definició del sistema estándard de seguiment de l'ús públic</t>
  </si>
  <si>
    <t>06.5.2</t>
  </si>
  <si>
    <t xml:space="preserve">Disposar de dades de freqüentació i perfil d'usuari en l'ENP i en especial en equipaments i en zones d'alta freqüentació segons el model de DG </t>
  </si>
  <si>
    <t>SENP: Disseny i elaboració del sistema estandaritzat de presa de dades i seguiment de la freqüentació en ENP</t>
  </si>
  <si>
    <t>06.5.3</t>
  </si>
  <si>
    <t>Identificar les activitats i actors de l’espai.</t>
  </si>
  <si>
    <t>06.5.4</t>
  </si>
  <si>
    <t>Identificar en cartografia les males praxis i punts de massificació</t>
  </si>
  <si>
    <t>06.5.5</t>
  </si>
  <si>
    <t>UIC: Disseny d'un model de registre d'activitats, actors i inciències en ús públic</t>
  </si>
  <si>
    <t>06.5.6</t>
  </si>
  <si>
    <t>Identificar els impactes (positius i negatius) que generen les activitats d'ús públic dins l'ENP</t>
  </si>
  <si>
    <t xml:space="preserve">DESENVOLUPAMENT LOCAL </t>
  </si>
  <si>
    <t>FIXAR LA POBLACIÓ AL TERRITORI d'acord amb les oportunitats que generen els objectius de l'espai.</t>
  </si>
  <si>
    <t>07.1</t>
  </si>
  <si>
    <t xml:space="preserve">Fomentar i donar suport tècnic als Plans de desenvolupament socioecòmonic local sostenible dels municipis </t>
  </si>
  <si>
    <t>07.1.1</t>
  </si>
  <si>
    <t xml:space="preserve">APROFITAR ELS RECURSOS NATURALS DE FORMA SOSTENIBLE mitjançant desenvolupament dels aprofitaments tradicionals de forma compatible amb la conservació de l'espai </t>
  </si>
  <si>
    <t>08.1</t>
  </si>
  <si>
    <t>Impulsar models productius agraris i forestals per tal d'afavorir la conservació dels hàbitats i els paisatges modelats per aquestes, i contribuir a la millora socioeconòmica de les persones que la fan possible</t>
  </si>
  <si>
    <t>08.1.1</t>
  </si>
  <si>
    <t xml:space="preserve">Acompanyar i assessorar els productors agraris per millorar les tècniques productives agràries i afavorir la conservació dels hàbitats i paisatges </t>
  </si>
  <si>
    <t>08.1.2</t>
  </si>
  <si>
    <t xml:space="preserve">Oferir formació als productors agraris per millorar el seu coneixement sobre tècniques eficients i respectuoses amb la conservació del patrimoni natural i cultural </t>
  </si>
  <si>
    <t>*Programa de formació a sector primari</t>
  </si>
  <si>
    <t>08.1.3</t>
  </si>
  <si>
    <t>Promoure la recuperació i conservació de marges i punts d'aigua associats a la ramaderia i l'agricultura i d'interès per la biodiversitat</t>
  </si>
  <si>
    <t>08.2</t>
  </si>
  <si>
    <t>Promoure la coordinació amb els agents socioeconòmics del territori pel foment del desenvolupament sostenible de l'espai (sector primari i secundari)</t>
  </si>
  <si>
    <t>08.2.1</t>
  </si>
  <si>
    <t>Establir una relació contínua amb agents socioeconòmics del territori, i si s'escau, crear una Taula de desenvolupament local</t>
  </si>
  <si>
    <t>08.3</t>
  </si>
  <si>
    <t>Millorar la valorització i comercialització dels productes generats a l'ENP que contribueixen al desenvolupament socioeconòmic i la conservació del patrimoni de l'ENP</t>
  </si>
  <si>
    <t>08.3.1</t>
  </si>
  <si>
    <t>Implantar un distintiu de qualitat i compatibilitat amb la conservació dels productes de la Xarxa d'ENP o criteris de qualitat propis de l'ENP</t>
  </si>
  <si>
    <t>SENP: Crear una marca que identifiqui els productes agroalimentaris generats en els ENP</t>
  </si>
  <si>
    <t>08.3.2</t>
  </si>
  <si>
    <t>Integrar els productes i activitats locals de qualitat en l'oferta d'activitats d'informació i turístiques de l'ENP</t>
  </si>
  <si>
    <t>ESNATURA
CETS</t>
  </si>
  <si>
    <t>08.3.3</t>
  </si>
  <si>
    <t>Promoure fires d'artesania i productes locals de l'ENP</t>
  </si>
  <si>
    <t>08.3.4</t>
  </si>
  <si>
    <t xml:space="preserve">Generar aliances entre el sector primari, el turisme, la restauració i altres per fomentar la gastronomia local </t>
  </si>
  <si>
    <t>08.3.5</t>
  </si>
  <si>
    <t>Elaborar una diagnòsi del teixit productiu local i un pla d’acció amb línies de treball i actuacions concretes per donar-li suport</t>
  </si>
  <si>
    <t>08.3.6</t>
  </si>
  <si>
    <t>08.4</t>
  </si>
  <si>
    <t>Contribuir a una correcta planificació i gestió dels recursos cinegètics i piscícoles de forma compatible amb els valors de l'ENP</t>
  </si>
  <si>
    <t>08.4.1</t>
  </si>
  <si>
    <t>Treballar amb l'autoritat competent per garantir objectius de conservació d’espècies i hàbitats en la revisió dels Plans de Gestió Cinegètica</t>
  </si>
  <si>
    <t>*Foment d'acords amb les Societats de Caçadors per a incorporar objectius de conservació d’espècies i hàbitats en la revisió dels Plans de Gestió Cinegètica</t>
  </si>
  <si>
    <t>08.4.2</t>
  </si>
  <si>
    <t>Col·laborar en la regulació i ordenació de la caça i la pesca en zones sensibles o amb risc d'afectació d'elements clau objecte de conservació</t>
  </si>
  <si>
    <t>08.4.3</t>
  </si>
  <si>
    <t>Donar suport en la gestió de poblacions que generen danys a les activitats econòmiques de l'ENP</t>
  </si>
  <si>
    <t>*Gestió directa d'ungulats (protecció de conreus, cooperació amb carreteres, etc.) a partir d'un procediment d’aplicació del control d'ungulats 
*Acords amb caçadors de la APC
*Foment d’actuacions per prevenció de col·lisions amb vehicles d'acord amb titulars de les carreteres</t>
  </si>
  <si>
    <t xml:space="preserve">FOMENTAR UN TURISME SOSTENIBLE compatible amb la conservació de l'espai </t>
  </si>
  <si>
    <t>09.1</t>
  </si>
  <si>
    <t xml:space="preserve">Fomentar un model de turisme que promogui els valors dels espais naturals protegits d'acord amb els agents turístics del territori </t>
  </si>
  <si>
    <t>09.1.1</t>
  </si>
  <si>
    <t>Desplegar la Carta Europea de Turisme Sostenible (CETS)</t>
  </si>
  <si>
    <t>09.1.2</t>
  </si>
  <si>
    <t>Tramitar la certificació Biosphere</t>
  </si>
  <si>
    <t>09.2</t>
  </si>
  <si>
    <t>Promoure la coordinació amb els agents turístics del territori (empreses, industries, administració).</t>
  </si>
  <si>
    <t>09.2.1</t>
  </si>
  <si>
    <t xml:space="preserve">Treballar amb les empreses turístiques per trobar eines de canvi cap a un model de turisme sostenible i de qualitat </t>
  </si>
  <si>
    <t>09.2.2</t>
  </si>
  <si>
    <t>Crear productes i paquets turístics amb associacions d’empreses turístiques i operadors turístics</t>
  </si>
  <si>
    <t>ÚS PÚBLIC I SOCIAL</t>
  </si>
  <si>
    <t>ORDENAR ELS USOS I APROFITAMENTS per garantir l'equilibri de les activitats humanes amb la conservació de la biodiversitat</t>
  </si>
  <si>
    <t>10.1</t>
  </si>
  <si>
    <t>Estandarditzar de regulació d'usos i aprofitaments  en base al model de Pla de protecció</t>
  </si>
  <si>
    <t>10.1.1</t>
  </si>
  <si>
    <t>Establir un model de construcció a l'ENP en base al model de Pla de protecció</t>
  </si>
  <si>
    <t>SPEN: Elaborar model</t>
  </si>
  <si>
    <t>ORDENAR L'ÚS PÚBLIC I SOCIAL per a la protecció dels hàbitats, espècies i elements geològics</t>
  </si>
  <si>
    <t>11.1</t>
  </si>
  <si>
    <t>Estandaritzar regulació de l’ús públic i social en base al model acordat per govern</t>
  </si>
  <si>
    <t>11.1.1</t>
  </si>
  <si>
    <t>11.1.2</t>
  </si>
  <si>
    <t>11.1.3</t>
  </si>
  <si>
    <t>11.1.4</t>
  </si>
  <si>
    <t>11.1.5</t>
  </si>
  <si>
    <t>11.1.6</t>
  </si>
  <si>
    <t>11.1.7</t>
  </si>
  <si>
    <t>11.1.8</t>
  </si>
  <si>
    <t>11.1.9</t>
  </si>
  <si>
    <t>11.1.10</t>
  </si>
  <si>
    <t>11.1.11</t>
  </si>
  <si>
    <t>11.1.12</t>
  </si>
  <si>
    <t>11.2</t>
  </si>
  <si>
    <t>Disposar de la xarxa viària i itineraris oficials de l'ENP</t>
  </si>
  <si>
    <t>11.2.1</t>
  </si>
  <si>
    <t xml:space="preserve">Identificar i classificar la xarxa viària bàsica, secundària, senders i itineraris senyalitzats d'acord amb els ajuntaments </t>
  </si>
  <si>
    <t>Persones i natura: concretar criteris</t>
  </si>
  <si>
    <t>11.2.2</t>
  </si>
  <si>
    <t>Treballar conjuntament amb els principals canals d’informació de rutes  per prioritzar itineraris oficials dins l’ENP</t>
  </si>
  <si>
    <t>Persones i natura: Coordinació</t>
  </si>
  <si>
    <t>11.3</t>
  </si>
  <si>
    <t>Implementar el protocol estandarditzat basat en el pla per la regulació al accés, circulació i ús de la xarxa viària</t>
  </si>
  <si>
    <t>11.3.1</t>
  </si>
  <si>
    <t>11.3.2</t>
  </si>
  <si>
    <t>11.3.3</t>
  </si>
  <si>
    <t>11.3.4</t>
  </si>
  <si>
    <t>Aplicar limitacions temporals d'accés o circulació</t>
  </si>
  <si>
    <t>11.3.5</t>
  </si>
  <si>
    <t>11.4</t>
  </si>
  <si>
    <t>Enfortir la col·laboració i coordinació amb els agents d'ús públic (empreses, entitats i ajuntaments)</t>
  </si>
  <si>
    <t>11.4.1</t>
  </si>
  <si>
    <t>Implementar l'ordenació de l'ús públic en col·laboració amb els agents del territori</t>
  </si>
  <si>
    <t>11.4.2</t>
  </si>
  <si>
    <t>Promoció i acompanyament en l'ordenació de l'ús públic de l'ENP des de l'àmbit municipal</t>
  </si>
  <si>
    <r>
      <t>*Aplicació del Manual jurídic d'U</t>
    </r>
    <r>
      <rPr>
        <sz val="11"/>
        <color rgb="FF000000"/>
        <rFont val="Calibri"/>
        <family val="2"/>
        <scheme val="minor"/>
      </rPr>
      <t>P i model d'ordenança municipal</t>
    </r>
  </si>
  <si>
    <t>11.5</t>
  </si>
  <si>
    <t>Mantenir i millorar la senyalització de l'ENP</t>
  </si>
  <si>
    <t>11.5.1</t>
  </si>
  <si>
    <t>Realitzar l'inventari de senyalètica de l'ENP</t>
  </si>
  <si>
    <t>11.5.2</t>
  </si>
  <si>
    <t xml:space="preserve">Implantar el programa de senyalització i manteniment </t>
  </si>
  <si>
    <t>*Programa de senyalització
*Revisió i actualització de la senyalització en base al manual de senyalització vigent</t>
  </si>
  <si>
    <t>Persones i natura: Revisió del manual de senyalització</t>
  </si>
  <si>
    <t>11.6</t>
  </si>
  <si>
    <t>Prevenir i gestionar els impactes derivats de la sobrefreqüentació</t>
  </si>
  <si>
    <t>11.6.1</t>
  </si>
  <si>
    <t xml:space="preserve">Potenciar la visita a espais alternatius dins de l'àmbit d'influència de l'espai natural per reduir la pressió en zones sensibles </t>
  </si>
  <si>
    <t>11.6.2</t>
  </si>
  <si>
    <t xml:space="preserve">Implementar les mesures extraordinàries de regulació de l'ús públic </t>
  </si>
  <si>
    <t>11.7</t>
  </si>
  <si>
    <t>Ordenar i estandaritzar els espais d'acollida de visitants i equipaments d'ús públic, i garantir un correcte servei d'atenció i acollida dels visitants</t>
  </si>
  <si>
    <t>11.7.1</t>
  </si>
  <si>
    <t>Adequar els principals accessos, aparcaments i centres d'interès amb un ús elevat</t>
  </si>
  <si>
    <t>11.7.2</t>
  </si>
  <si>
    <t>11.7.3</t>
  </si>
  <si>
    <t>Desenvolupar el Pla d'acollida als visitants en base al model de la DG</t>
  </si>
  <si>
    <t>Persones i natura: model de protocol d'acollida</t>
  </si>
  <si>
    <t>11.7.4</t>
  </si>
  <si>
    <t>Adaptar els missatges a donar des d'oficines d’informació, pròpies i alienes, d'acord amb el model de la DG</t>
  </si>
  <si>
    <t>Persones i natura: Unifica missatges que s'incorporen en el model de protocol d'acollida</t>
  </si>
  <si>
    <t>11.8</t>
  </si>
  <si>
    <t>Garantir el compliment de la normativa dins els ENP, especialment en l'accés motoritzat, zones amb hiperfrequentació i elements amb aprofitament comercial</t>
  </si>
  <si>
    <t>11.8.1</t>
  </si>
  <si>
    <t>Elaborar i executar el Pla de vigilància de l’espai d'acord amb els cossos d’inspecció i seguretat</t>
  </si>
  <si>
    <t>11.8.2</t>
  </si>
  <si>
    <t>Millorar la coordinació amb els cossos de seguretat per efectuar accions de control i vigilància</t>
  </si>
  <si>
    <t>11.8.3</t>
  </si>
  <si>
    <t>Vetllar pel compliment d'informes i la vigilància tècnica de l'espai</t>
  </si>
  <si>
    <t>GESTIONAR ELS RISCOS NATURALS per a l'autoprotecció de la població local</t>
  </si>
  <si>
    <t>12.1</t>
  </si>
  <si>
    <t>Col·laborar amb les autoritats competents per a la gestió de riscos dins l’ENP</t>
  </si>
  <si>
    <t>12.1.1</t>
  </si>
  <si>
    <t>Ordenar el pla d’emergències</t>
  </si>
  <si>
    <t>*Plans especials
*Plans d'autoprotecció</t>
  </si>
  <si>
    <t>12.1.2</t>
  </si>
  <si>
    <t>Contribuir a la protecció dels assentaments humans respecte dels riscos naturals</t>
  </si>
  <si>
    <t>*Adaptació al canvi climàtic
*Cobertura 112
*Prevenció i protecció d'incendis
*Prevenció i protecció de malalties</t>
  </si>
  <si>
    <t xml:space="preserve">EDUCACIÓ, VOLUNTARIAT I COMUNICACIÓ </t>
  </si>
  <si>
    <t>FORMAR I SENSIBILITZAR la població incrementant la valoració i estima social de l'ENP</t>
  </si>
  <si>
    <t>13.1</t>
  </si>
  <si>
    <t xml:space="preserve">Afavorir la vinculació entre la comunitat educativa de l'entorn i l'ENP </t>
  </si>
  <si>
    <t>13.1.1</t>
  </si>
  <si>
    <t>Definir el model de Xarxa d'Escoles de l'Espai Natural (XEEN) a l'ENP amb els agents educatius del territori</t>
  </si>
  <si>
    <t>PEEVA
ESNATURA</t>
  </si>
  <si>
    <t>13.1.2</t>
  </si>
  <si>
    <t>Desplegar el model de Xarxa d'Escoles de l'Espai Natural (XEEN) a l'ENP d'acord amb el model general</t>
  </si>
  <si>
    <t>SEA: Elabora model de xarxa</t>
  </si>
  <si>
    <t>13.1.3</t>
  </si>
  <si>
    <t xml:space="preserve">Formar i capacitar al professorat de la XEEN </t>
  </si>
  <si>
    <t>13.2</t>
  </si>
  <si>
    <t>Promoure una oferta pedagògica basada en metodologies innovadores i actives que estiguin alineades amb el currículum educatiu del Departament d'Educació</t>
  </si>
  <si>
    <t>13.2.1</t>
  </si>
  <si>
    <t>Adaptar i millorar l'oferta pedagògica de l'ENP generant situacions d'aprenentatge i treballs per projecte</t>
  </si>
  <si>
    <t>SEA: Comparteix models de situcions d'aprenentatge i de projects.</t>
  </si>
  <si>
    <t>13.2.2</t>
  </si>
  <si>
    <t>Dissenyar projectes d'ApS ambiental i Ciència ciutadana i projectes compartits amb entitats del territori que s'incloguin dins de l'oferta pedagògica.</t>
  </si>
  <si>
    <t>13.2.3</t>
  </si>
  <si>
    <t>Elaborar recursos educatius sobre l’espai (que tinguin en compte les problemàtiques singulars del seu espai) i posar-los a disposició dels centres educatius</t>
  </si>
  <si>
    <t>13.2.4</t>
  </si>
  <si>
    <t>Oferir projectes de recerca vinculats a l'espai natural per a l'alumnat universitari i de la XEEN</t>
  </si>
  <si>
    <t>13.3</t>
  </si>
  <si>
    <t>Establir mecanismes estables de formació, treball i coordinació amb els col·lectius implicats en la sensibilització i l'educació dins el ENP</t>
  </si>
  <si>
    <t>13.3.1</t>
  </si>
  <si>
    <t>Establir un model de coordinació territorial amb agents clau de l'educació ambiental</t>
  </si>
  <si>
    <t>13.3.2</t>
  </si>
  <si>
    <t>Cercar i establir col·laboracions i projectes conjunts amb agents clau del territori</t>
  </si>
  <si>
    <t>13.3.3</t>
  </si>
  <si>
    <t>Elaborar formacions dirigides als informadors, educadors i altres prescriptors del territori</t>
  </si>
  <si>
    <t>*Curs del bon coneixedor de l'ENP
*Formacions continuades en el marc del contracte del servei d'informació i educació ambiental.
*Formació dels actors implicats en la gestió dels ENP en aspectes vinculats a la conservació dels elements d'interès comunitari</t>
  </si>
  <si>
    <t>SEA: Elabora propostes MODEL de programes de formació</t>
  </si>
  <si>
    <t>13.4</t>
  </si>
  <si>
    <t>Desplegar un programa de divulgació i sensibilització per a visitants</t>
  </si>
  <si>
    <t>13.4.1</t>
  </si>
  <si>
    <t>Desplegar en el territori les campanyes de sensibilització i bones pràctiques que s'impulsin des de la DG</t>
  </si>
  <si>
    <t>SEA: Elabora un document marc per unificar missatges i coordinar la difusió</t>
  </si>
  <si>
    <t>13.4.2</t>
  </si>
  <si>
    <t xml:space="preserve">Adaptar el programa de divulgació i sensibilització de l'ENP perquè incorpori una oferta d’activitats adequada per a famílies </t>
  </si>
  <si>
    <t>13.4.3</t>
  </si>
  <si>
    <t xml:space="preserve">Adaptar el programa de divulgació i sensibilització de l'ENP perquè incorpori una oferta d’activitats adequada per a altres perfils </t>
  </si>
  <si>
    <t>13.4.4</t>
  </si>
  <si>
    <t xml:space="preserve">Adaptar el programa de divulgació i sensibilització de l'ENP perquè incorpori una oferta d’activitats dirigida al lleure educatiu </t>
  </si>
  <si>
    <t>13.5</t>
  </si>
  <si>
    <t>Desplegar un programa de sensibilització i formació per als col·lectius del territori estratègics en la conservació de la natura</t>
  </si>
  <si>
    <t>13.5.1</t>
  </si>
  <si>
    <t>Identificar col·lectius estratègics implicats en la gestió i l'ús del territori</t>
  </si>
  <si>
    <t>13.5.2</t>
  </si>
  <si>
    <t>Executar els projectes de sensibilització i formació dirigits al sector turístic, esportiu i de lleure</t>
  </si>
  <si>
    <t>13.5.3</t>
  </si>
  <si>
    <t xml:space="preserve">Executar els projectes de sensibilització i formació dirigits als agents de lleure educatiu </t>
  </si>
  <si>
    <t>13.5.4</t>
  </si>
  <si>
    <t xml:space="preserve">Executar els projectes de sensibilització i formació dirigits als agents del sector primari </t>
  </si>
  <si>
    <t>13.5.5</t>
  </si>
  <si>
    <t>Elaborar i renovar periòdicament un programa d’educació ambiental adreçat a la població local que contribueixi a fomentar el sentiment de pertinença i la implicació en la conservació de l'ENP.</t>
  </si>
  <si>
    <t>13.6</t>
  </si>
  <si>
    <t xml:space="preserve">Fomentar accions de voluntariat per conservar el patrimoni natural i cultural </t>
  </si>
  <si>
    <t>13.6.1</t>
  </si>
  <si>
    <t>Identificar els programes, projectes i accions en marxa o previstos a l’ENP que poden rebre el suport del voluntariat</t>
  </si>
  <si>
    <t>13.6.2</t>
  </si>
  <si>
    <t>Establir un model de coordinació territorial amb agents clau del voluntariat ambiental</t>
  </si>
  <si>
    <t>ESNATURA
PEEVA</t>
  </si>
  <si>
    <t xml:space="preserve">SEA: Elabora Model de Taula de Voluntariat Ambiental </t>
  </si>
  <si>
    <t>13.7</t>
  </si>
  <si>
    <t xml:space="preserve">Treballar per a la universalitat de les accions d’educació, sensibilització i voluntariat ambiental </t>
  </si>
  <si>
    <t>13.7.1</t>
  </si>
  <si>
    <t>Dissenyar i adaptar activitats inclusives per a persones amb necessitats específiques</t>
  </si>
  <si>
    <t>13.7.2</t>
  </si>
  <si>
    <t>Formar el personal de l'ENP (informadors i personal que treballa de cara al públic) en accessibilitat, diversitat funcional i diversitat de gènere</t>
  </si>
  <si>
    <t>13.7.3</t>
  </si>
  <si>
    <t>Incorporar la perspectiva de gènere als continguts i activitats de l'ENP</t>
  </si>
  <si>
    <t>13.8</t>
  </si>
  <si>
    <t>Desplegar i adaptar el programa Salut i Natura de la DG en l'àmbit de l'ENP</t>
  </si>
  <si>
    <t>13.8.1</t>
  </si>
  <si>
    <t>Dissenyar, implementar i fomentar itineraris saludables dins dels itineraris oficials dels ENP i en la zona d'influència</t>
  </si>
  <si>
    <t>13.8.2</t>
  </si>
  <si>
    <t>Identificar els agents clau i els àmbits de col·laboració per implementar el binomi salut i natura</t>
  </si>
  <si>
    <t>13.8.3</t>
  </si>
  <si>
    <t xml:space="preserve">Incloure el concepte de salut i natura en els missatges educatius i comunicatius de l'ENP </t>
  </si>
  <si>
    <t>13.8.4</t>
  </si>
  <si>
    <t>COMUNICAR I DIFONDRE ELS VALORS DE L'ENP, contribuint a l'educació ambiental de la societat</t>
  </si>
  <si>
    <t>14.1</t>
  </si>
  <si>
    <t>Augmentar el coneixement de l'ENP entre la població</t>
  </si>
  <si>
    <t>14.1.1</t>
  </si>
  <si>
    <t>Informar periòdicament sobre les tasques, projectes i actuacions que duu a terme l'ENP a la població</t>
  </si>
  <si>
    <t>Pla de comunicació</t>
  </si>
  <si>
    <t>SENP: Elaborar els productes comunicatius</t>
  </si>
  <si>
    <t>14.1.2</t>
  </si>
  <si>
    <t>Garantir l'accessibilitat i gestió del coneixement disponible sobre l'ENP</t>
  </si>
  <si>
    <t>*Oferir diferents versions idiomàtiques dels materials de difusió
*Ús d'un llenguatge planer quan ens adrecem a la ciutadania
*Crear un nou espai al web de Preguntes freqüents</t>
  </si>
  <si>
    <t>14.2</t>
  </si>
  <si>
    <t>Conscienciar sobre els valors de l'ENP als diferents públics objectiu</t>
  </si>
  <si>
    <t>14.2.1</t>
  </si>
  <si>
    <t>Sensibilitzar als diferents agents sobre els valors de l'ENP</t>
  </si>
  <si>
    <t>SEA: Crear material divulgatiu</t>
  </si>
  <si>
    <t>14.3</t>
  </si>
  <si>
    <t xml:space="preserve">Disposar d'una comunicació ordenada efectiva, positiva i coordinada que arribi a la ciutadania i aquesta pugui reconèixer fàcilment </t>
  </si>
  <si>
    <t>14.3.1</t>
  </si>
  <si>
    <t>Optimitzar els canals de comunicació</t>
  </si>
  <si>
    <t>14.3.2</t>
  </si>
  <si>
    <t>Garantir l'harmonització de la comunicació com a Parc, Xarxa i Generalitat.</t>
  </si>
  <si>
    <t>GESTIÓ I ADMINISTRACIÓ</t>
  </si>
  <si>
    <t>ESTABLIR EL MARC PER A LA GOVERNANÇA i la gestió eficient de l'espai i la xarxa d'ENP</t>
  </si>
  <si>
    <t>15.1</t>
  </si>
  <si>
    <t>Disposar d'espais per a la participació de personal expert i agents del territori en la governança de l'ENP</t>
  </si>
  <si>
    <t>15.1.1</t>
  </si>
  <si>
    <t>Crear una taula de treball amb els agents prioritaris per a la gestió de l'ENP i els grups de treball temàtics necessaris</t>
  </si>
  <si>
    <t>15.1.2</t>
  </si>
  <si>
    <t>Disposar d'assessorament científic en l'ENP</t>
  </si>
  <si>
    <t>15.1.3</t>
  </si>
  <si>
    <t>Incloure entitats i organismes científics i culturals de referència en els mecanismes de presa de decisions de l'ENP</t>
  </si>
  <si>
    <t>*Inclusió de personal expert exter en els òrgans gestors dels ENP / Inclusió d'entitats i organismes científics i culturals a les reunions de la junta rectora de l'ENP</t>
  </si>
  <si>
    <t>15.1.4</t>
  </si>
  <si>
    <t>Adaptar i desplegar el model de governança dels espais naturals protegits</t>
  </si>
  <si>
    <t>SENP: Elaborar una proposta de model de governança dels espais naturals protegits</t>
  </si>
  <si>
    <t>MILLORAR L'EFICIÈNCIA de la gestió administrativa</t>
  </si>
  <si>
    <t>16.1</t>
  </si>
  <si>
    <t>Optimitzar l'aplicació pressupostaria</t>
  </si>
  <si>
    <t>16.1.1</t>
  </si>
  <si>
    <t>16.2</t>
  </si>
  <si>
    <t>Planificar i optimitzar els processos de contractació, concessió d'ajuts, i les col·laboracions amb ens públics i privats</t>
  </si>
  <si>
    <t>16.2.1</t>
  </si>
  <si>
    <t>SENP: Crear espais de coordinació entre ENP per detectar necessitats conjuntes.</t>
  </si>
  <si>
    <t>16.2.2</t>
  </si>
  <si>
    <t>*Preveure amb una antelació mínima de 6 mesos les convocatòries d'ajuts per augmentar l'eficiència de la tramitació i disposar de marge de maniobra davant qualsevol eventualitat.
*Implementació de gestor d'expedients
*Treballar amb SSCC per adaptar les convocatòries d'ajuts a les necessitats de l'ENP</t>
  </si>
  <si>
    <t>16.2.3</t>
  </si>
  <si>
    <t>Establir i renovar en temps i forma convenis de col·laboració, convenis marc, acords, protocols i altres instruments de col·laboració.</t>
  </si>
  <si>
    <t>UGA: Coordinar l'elaboració dels catàlegs col·lectius amb ENP, universitats i centres documentació</t>
  </si>
  <si>
    <t>16.3</t>
  </si>
  <si>
    <t>Agilitzar, incrementar l'eficiència  i incrementar l’assoliment dels procediments administratius</t>
  </si>
  <si>
    <t>16.3.1</t>
  </si>
  <si>
    <t>Optimitzar l'elaboració d'informes</t>
  </si>
  <si>
    <t>16.3.2</t>
  </si>
  <si>
    <t>Adequar i actualitzar els procediments i tramitacions realitzats des de l'ENP als nous processos i eines conjuntes proposades des de Serveis Centrals</t>
  </si>
  <si>
    <t>*Ús dels formularis simplificats
*Implementació de gestor d'expedients</t>
  </si>
  <si>
    <t>UGA: Simplificació i optimització de formularis. Tipificació de peticions (tràmits específics)</t>
  </si>
  <si>
    <t>16.3.3</t>
  </si>
  <si>
    <t>Augmentar el coneixement de l'equip de treball en matèria de procediment administratiu</t>
  </si>
  <si>
    <t>16.3.4</t>
  </si>
  <si>
    <t>Garantir la transparència administrativa</t>
  </si>
  <si>
    <t>*Difondre o permetre l'accés a la informació pública
*Atendre les sol·licituds d'informació</t>
  </si>
  <si>
    <t>16.3.5</t>
  </si>
  <si>
    <t>*Millora del material i els serveis informàtics
*Compra de material d'oficina
*Reparació i millora del material de la brigada</t>
  </si>
  <si>
    <t>16.4</t>
  </si>
  <si>
    <t>Ordenar l'estat dels béns patrimonials</t>
  </si>
  <si>
    <t>16.4.1</t>
  </si>
  <si>
    <t>Revisar l’estat dels béns patrimonials i la situació administrativa-legal dels equipaments del parc</t>
  </si>
  <si>
    <t>UGA: tramitar els expedients de cessió de titularitat, declaracions d'obra nova, compra, lloguer, etc.</t>
  </si>
  <si>
    <t>16.4.2</t>
  </si>
  <si>
    <t>Tenir cobertes les pèrdues o danys materials del patrimoni de la Direcció General que hi ha a l'àmbit territorial del Parc, com a conseqüència de la materialització de qualsevol dels riscs emparats en el plec de prescripcions tècniques de la pòlissa.</t>
  </si>
  <si>
    <t>UGA: Tramitar les assegurances dels béns patrimonials.</t>
  </si>
  <si>
    <t>16.5</t>
  </si>
  <si>
    <t>Estructurar la gestió documental</t>
  </si>
  <si>
    <t>16.5.1</t>
  </si>
  <si>
    <t>SENP: Disseny d'una metodologia de treball conjunta</t>
  </si>
  <si>
    <t>16.6</t>
  </si>
  <si>
    <t>Gestionar recursos humans</t>
  </si>
  <si>
    <t>16.6.1</t>
  </si>
  <si>
    <t>Gestió de la brigada de manteniment</t>
  </si>
  <si>
    <t>16.6.2</t>
  </si>
  <si>
    <t>Pel POA</t>
  </si>
  <si>
    <t>Si</t>
  </si>
  <si>
    <t>No</t>
  </si>
  <si>
    <t>Objectiu operatiu concret a l'espai</t>
  </si>
  <si>
    <t>7 Eixos temàtics</t>
  </si>
  <si>
    <t>Objectius operacionals:</t>
  </si>
  <si>
    <t>Tasques a realitzar:</t>
  </si>
  <si>
    <t xml:space="preserve">El llistat d'objectius operacionals té una columna al costa (columna I) on s'indica si l'objectiu és obligatori de mantenir al Pla estratègic o no. </t>
  </si>
  <si>
    <t>Espai natural protegit:</t>
  </si>
  <si>
    <t>Objectius operacionals: definits en un grup de treball intern de serveis Centrals i dels Parcs durant l'any 2023</t>
  </si>
  <si>
    <t>Explicació de la decisió presa en el cas de canvis respecte al llistat inicial (columna G)</t>
  </si>
  <si>
    <t>Objectiu amb mesures incorporables a la planificació anual de la gestió de l'espai?</t>
  </si>
  <si>
    <t>FORA DEL TERMINI DEL PLA</t>
  </si>
  <si>
    <t>Propostes genèriques d'accions</t>
  </si>
  <si>
    <t>Propostes genèriques d'accions:</t>
  </si>
  <si>
    <t xml:space="preserve">En el cas dels objectius operatius que s'ha considerat que no són aplicables a l'espai, cal avaluar si podrien tenir alguna acció que sí tindria sentit d'incloure al Pla estratègic tot i que l'objectiu de manera global no hi ´seria d'aplicació. </t>
  </si>
  <si>
    <t>Tasca 5: Columna L. Incloure un Si/No avaluant si l'objectiu operatiu podria tenir mesures a incorporar a la programació d'actuacions de l'espai (Si) o, per altra banda, el seu assoliment depèn d'altres òrgans, com l'ACA o altres serveis dins la DGPAMN (No).</t>
  </si>
  <si>
    <t>Tasca 4: Columna K. Per tots els casos en que hi ha modificació respecte al redactat original de l'objectiu operatiu -i, també, en el cas que es consideri que s'ha d'eliminar-, a la columna K cal redactar molt breument el motiu pel qual es prèn la decisió.</t>
  </si>
  <si>
    <t xml:space="preserve">Tasca 3: Columna J. En ambdós casos, cal posar a la columna J, el redactat final de l'objectiu concretat a l'espai. En el cas de que l'objectiu s'elimina, posar "NA". Ara es reprodueix el redactat dels objectius operacionals derivats del grup de treball esmentat </t>
  </si>
  <si>
    <t>Tasca 2: Columna I. Revisar els que posa "Opcional" per identificar els que són aplicables o no a l'espai. O, també, determinar si algun d'ells seria aplicable o es pot concretar millor el redactat de l'objectiu.</t>
  </si>
  <si>
    <t>Tasca 1: Columna I. Revisar els que es posa com a obligatoris per veure si són realment aplicables a l'espai o no.</t>
  </si>
  <si>
    <t>indicadors</t>
  </si>
  <si>
    <t>Mínima</t>
  </si>
  <si>
    <t>Fita a assolir en 4 anys</t>
  </si>
  <si>
    <t>Àrea responsable</t>
  </si>
  <si>
    <t>Indicadors:</t>
  </si>
  <si>
    <t>Fites a assolir en 4 anys:</t>
  </si>
  <si>
    <t>Àrea responsable:</t>
  </si>
  <si>
    <t>Persona responsable:</t>
  </si>
  <si>
    <t>Tasca 6: Columna M. Definir la prioritat que hauria de tenir l'assoliment de l'objectiu (màxima, si cal assolir en els propers 4 anys, o altrament alta, mitja o baixa). També hi ha l'opció de prioritat a assolir a més llarg termini.</t>
  </si>
  <si>
    <t>Màxim (Desitjable)</t>
  </si>
  <si>
    <t>Hores de dedicació:</t>
  </si>
  <si>
    <t>Tasca 8: Columna Q. Posar un indicar SMART per avaluar el compliment de la mesura proposada a la columna N</t>
  </si>
  <si>
    <t>Tasca 9: Posar un valor de l'indicador a asolir: valor mínim necessari (columna R) o valor desitjable (columna S).</t>
  </si>
  <si>
    <t xml:space="preserve">Tasca 10: Columna T. Realitzar una aproximació el més acurada que es pugui de les hores del personal de gestió de l'espai que cal destinar per a la realització de l'acció. </t>
  </si>
  <si>
    <t>Tasca 12: Columna V. Indicar quina persona dins l'àrea seria l'encarregada.</t>
  </si>
  <si>
    <t>Explicacions:</t>
  </si>
  <si>
    <t>Els objectius generals estan directament associats als objectius generals dels Plans de Protecció del medi naatural i del paisatge. NO ES PODEN RETOCAR</t>
  </si>
  <si>
    <t>Objectius estratègics: definits en un grup de treball intern de serveis Centrals i dels Parcs durant l'any 2023. NO ES PODEN RETOCAR</t>
  </si>
  <si>
    <t>PESTANYA DEL PLA</t>
  </si>
  <si>
    <t>PESTANYA DE PRIORITZACIÓ</t>
  </si>
  <si>
    <t>* Elaboració de l'inventari d'elements geològics a l'espai
*Aplicació de les directrius de gestió de l'inventari de patrimoni geològic (ICGC)</t>
  </si>
  <si>
    <t>*Definició d'un protocol per tal d'incorporar la metodologia dels Estàndards Oberts pels processos més rellevants per a la conservació a l'espai</t>
  </si>
  <si>
    <t xml:space="preserve">* Implicació i participació en la redacció dels plans de conservació /recuperació d'espècies amenaçades
* Execució de les accions dins els plans que pertoquin a cada espai (incorporar totes les mesures que surten als plans ja aprovats que tenen incidència a l'espai)
* Col.laboració en l'obtenció de la informació necessària dins els espais per al desenvolupament dels Plans </t>
  </si>
  <si>
    <t xml:space="preserve">* Implicació  i participació en la redacció (cal identificar els plans que estan ja en marxa o previstos i posar les mesures concretes) 
* Execució de les accions dins els plans que pertoquin a cada espai
* Col.laboració en l'obtenció de la informació necessària dins els espais per al desenvolupament dels Plans </t>
  </si>
  <si>
    <t>*Elaboració d'una planificació d'actuacions de simulació d'incendis forestals naturals (cremes controlades) dins l'espai en base als criteris metodològics predefinits.
*Realització dels estudis necessaris i participació en la reintroducció de grans herbívors, carnívors o carronyaires dins l'ENP en base als criteris metodològics predefinits.</t>
  </si>
  <si>
    <t>*Realització i impuls de la renaturalització de lleres i creació de zones de laminació dins l'ENP en base als criteris metodològics predefinits</t>
  </si>
  <si>
    <t>*Realització d'accions per gestionar l'herbivoria domèstica associada a la ramaderia extensiva
*Aplicació dels criteris metodològics predefinits en un manual tècnic de bones pràctiques en ramaderia extensiva i recuperació i manteniment de pastures aplicat a l'ENP.
*Coordinació i gestió dels ramats locals en actuacions de restauració de pastures i desembosc.</t>
  </si>
  <si>
    <t>*Realització d'acords amb societats de caçadors.
*Participació i impuls del control directe de poblacions de fauna en base als criteris metodològics predefinits.</t>
  </si>
  <si>
    <t>*Realització d'acords de custòdia aplicant el model d'acord elaborat per Serveis Centrals</t>
  </si>
  <si>
    <t>*Realització d'actuacions demostratives en finques pròpies per al foment de bones pràctiques</t>
  </si>
  <si>
    <t>*Participació en la redacció d'IOF de finques públiques
*Realització d'accions demostratives en finca pública o amb acord de custòdia
*Realització de tractaments silvícoles i tallades selectives
*Promoció de boscos mixtes i de la biodiversitat</t>
  </si>
  <si>
    <t>* Realització d'accions per donar a conèixer subvencions entre propietaris</t>
  </si>
  <si>
    <t>*Elaboració del Pla de Prevenció d'Incendis 
*Definició de: xarxa estratègica i complementària de vials forestals, xarxa estratègica i complementària de punts d’aigua, tractaments de vegetació, punts estratègics de gestió</t>
  </si>
  <si>
    <t>*Participació en l'elaboració del Pla de Protecció (PP) juntament amb l'SPEN.
*Participació en l'elaboració del Pla Rector d'usos i Gestió (PRUG) juntament amb l'SPEN.
*Participació en l'elaboració d'altres instruments de planificació juntament amb l'SPEN.</t>
  </si>
  <si>
    <t>*Participació en la identificació de finques prioritàries en base als criteris indicats</t>
  </si>
  <si>
    <t xml:space="preserve">*Participació en la identificació de finques prioritàries en base als criteris indicats
*Participació i foment de la compra o adquisició de drets d’aprofitament </t>
  </si>
  <si>
    <t>*Elaboració d'un mapa d'entitats, associacions, museus, ecomuseus, OPEI (Observatori del Patrimoni Etnològic i Immaterial), etc.</t>
  </si>
  <si>
    <t xml:space="preserve">
*Participació en la definició dels objectes de conservació clau (hàbitats, espècies, processos i elements d’interès geològic) comuns a nivell de Xarxa d'ENP o clúster territorial</t>
  </si>
  <si>
    <t>*Generació d'informació per a l'inventari i cartografia d'espais fràgils
*Realització o actualització de l'inventari de ZH, espais interès geològic, etc.</t>
  </si>
  <si>
    <t>*Participació en la programació de la realització de la cartografia d'hàbitats en el contracte plurienal que existeix amb GeoVeg-UB</t>
  </si>
  <si>
    <t>*Foment i coordinació dels estudis d'ecologia del foc, el règim hidrològic, la pol·linització, la tipificació i funcionament de les cadenes tròfiques pròpies de l’espai, la dinàmica de la neu i les allaus, dinàmica litoral, dinàmica geomorfològica i morfodinàmica de les roques, etc.
*Millora del coneixement de la geoconservació (escala més detallada de 1:50.000)
*Implementació del protocol de fluxos d'informació i coneixement de biodiversitat</t>
  </si>
  <si>
    <t>*Foment de l'estudi de l'afectació de determinats processos naturals o activitats antròpiques (contaminació, fragmentació d'hàbitats, atropellaments, noves arts de pesca o pràctiques agrícoles de muntanya, etc.) en l’ENP (amenaces i impacte ambiental).
*Avaluació de l'impacte del canvi climàtic en l'ENP i la seva capacitat d'adaptació i resiliència.
*Avaluació dels resultats de les estratègies de gestió aplicades en l'ENP
*Col.laboració amb l?Observatori per aportar els coneixements generats a l'ENP.</t>
  </si>
  <si>
    <t>*Participació en dels estudis de les autoritats competents</t>
  </si>
  <si>
    <t>*Realització i foment d'estudis de forma coordinada amb el SFF</t>
  </si>
  <si>
    <t>* Elaboració d'una cartografia detallada i actualitzada de connectors ecològics</t>
  </si>
  <si>
    <t xml:space="preserve">* Seguiment de les directrius del sistema de seguiment establerts segons la versió més recent aportada per la UIC
*Reforç i estabilització de la xarxa de voluntariat per a determinats seguiments de biodiversitat.
*Contractació plurianual d’especialistes
*Aplicació del protocol establert de compartir informació per al seguiment global d’indicadors de l’estat de la natura, el seguiment dels pol·linitzadors silvestres, o el seguiment dels pol·linitzadors silvestres </t>
  </si>
  <si>
    <t>*Impuls de la creació de l'Observatori de recerca de l'ENP en col·laboració amb la UIC</t>
  </si>
  <si>
    <t xml:space="preserve">*Elaboració i actualització periòdica del mapa d’agents socioeconòmics de l’ENP (sector primari i secundari)
*Establiment de canals de comunicació i coordinació amb els agents socioeconòmics clau del territori.
*Estudi de la idoneïtat de crear una Taula de desenvolupament local, en els ENP que encara no ho tinguin (per ENP o agrupacions d’ENP).
*Convocar les taules de desenvolupament local ja constituïdes de cada ENP (o agrupacions d’ENP).
*Promoció i enfortiment de la participació dels agents clau a les taules de desenvolupament local ja constituïdes.
*Participació en la definició i desplegament dels plans de treball de la taula de desenvolupament local. </t>
  </si>
  <si>
    <t>*Elaboració d'un catàleg de productors i artesans de l'ENP 
*Inclusió de visites a productors o artesans en el catàleg d'activitats de l'ENP</t>
  </si>
  <si>
    <t>*Impuls a la declaració de refugis de caça i pesca
*Foment de la implicació dels caçadors i pescadors del territori en la conservació dels valors de l'espai</t>
  </si>
  <si>
    <t>*Adaptació i implementació el protocol de regulació d'enregistraments i observació de fauna i natura  en base al model de Pla de protecció</t>
  </si>
  <si>
    <t>*Adaptació i implementació el protocol de regulació d'activitats científiques en base al model de Pla de protecció</t>
  </si>
  <si>
    <t>*Adaptació i implementació el protocol de regulació de zones de bany</t>
  </si>
  <si>
    <t>*Adaptació i implementació el protocol de regulació d'enlairament i aterratge sense motor</t>
  </si>
  <si>
    <t>*Adaptació i implementació el protocol de regulació de submarinisme i snorkel</t>
  </si>
  <si>
    <t>*Adaptació i implementació el protocol de regulació d'activitats aquàtiques i nàutiques i zones de fondeig</t>
  </si>
  <si>
    <t>*Adaptació i implementació el protocol de regulació d'animals de companyia</t>
  </si>
  <si>
    <t>*Adaptació i implementació el protocol de regulació de l'accés i circulació</t>
  </si>
  <si>
    <t>*Adaptació i implementació el protocol de regulació de la xarxa viària principal, secundària i restringida</t>
  </si>
  <si>
    <t>*Adaptació i implementació el protocol de regulació de drons, d'enlairament i aterratge</t>
  </si>
  <si>
    <t>*Adaptació i implementació el protocol de limitacions temporals d'accés o circulació
*Coordinar amb el CAR la vinculació amb el Pla Alfa</t>
  </si>
  <si>
    <t>*Adaptació i implementació el protocol de regulació d'aparcament de vehicles</t>
  </si>
  <si>
    <t>*Adaptació i implementació el protocol de regulació d'acampada i pernoctació  en base al model de Pla de protecció</t>
  </si>
  <si>
    <t>*Adaptació i implementació el protocol de regulació de circulació rodada no motoritzada en base al model de Pla de protecció</t>
  </si>
  <si>
    <t>*Adaptació i implementació el protocol de regulació d'escalada i alpinisme, barranquisme, i espeleologia  en base al model de Pla de protecció</t>
  </si>
  <si>
    <t>*Adaptació i implementació el protocol de regulació de curses i altres activitats esportives organitzades en base al model de Pla de protecció</t>
  </si>
  <si>
    <t>*Definició d'una xarxa d'itineraris oficial i categoritzada per tipus d'ús per on es poden realitzar activitats (curses a peu, en bicicleta, etc.) d'acord amb els criteris de serveis centrals</t>
  </si>
  <si>
    <t>*Incorporació de les tecnologies de Wikiloc o Google Maps</t>
  </si>
  <si>
    <t>*Dinamització d'un espai coordinat de treball per fer el seguiment i millores en el desplegament de la gestió de l'UP</t>
  </si>
  <si>
    <t>*Revisió i actualització els equipaments al SIEQ
*Mantenimet dels espais i infraestructures existents
*Revisió i identificació de necessitats d'inversió
*Trobades amb titulars d'espais emblemàtics
*Establiment dels acords necessaris amb la propietat 
*Adaptació dels equipaments i infraestructures a persones amb diversitat funcional</t>
  </si>
  <si>
    <t>*Cerca d'entitats del territori i centres de recerca amb qui elaborar projectes de ciència ciutadana o d'ApS que donin resposta a les necessitats de l'EN. 
*Dinamització de la realització d'aquests projectes.</t>
  </si>
  <si>
    <t>*Valoració de la idoneïtat de crear una Taula territorial d’Educació Ambiental (de l’ENP o del conjunt d’ENPs).
*Creació d'una Taula territorial d’Educació Ambiental</t>
  </si>
  <si>
    <t xml:space="preserve">*Disseny i promoció una oferta d’activitats a la carta per a grups especialitzats (empreses, entitats esportives o excursionistes, gent gran...), identificant cada parc a quins segments prioritaris es vol adreçar.
 </t>
  </si>
  <si>
    <t>*Entendre els campaments i estades com un públic prioritari i definir quin és el seu objectiu en aquest àmbit: 
*Promoció de campaments i estades, 
*Establiment de vincles entre els campaments i estades que ja es realitzen al parc i l’activitat d’EiVA del parc.</t>
  </si>
  <si>
    <t xml:space="preserve">*Disseny d'activitats adreçades als agents turístics locals i/o en col·laboració amb ells per promoure el seu paper com a prescriptors de la conservació de la natura (oficines de turisme, agències receptives, allotjaments, empreses d'activitats esportives / recreatives, restaurants...) (punt molt relacionat amb la CETS). </t>
  </si>
  <si>
    <t xml:space="preserve">* Promoure itineraris saludables,                                                                                                                                                                                                                            * Incorporació i promoció de guiatges terapèutics en aquests itineraris </t>
  </si>
  <si>
    <t>*Proposta d'espais per a la integració d'equipaments assistencials dins l'ENP
*Desplegament, de forma coordinada amb els CAPs, activitats i programes adreçats a col·lectius diana dins l'ENP (Ex: prescripció de natura (recepta verda i blava).
*Facilitar projectes pilot de recerca sobre els beneficis del contacte amb la natura per la salut, per a la població en general o perfils específics.</t>
  </si>
  <si>
    <t>*Inclusió en el pla d'acció de la CETS, o la seva renovació, de l'Eix Salut i Natura
*Inclusió del concepte de Salut i Natura en els missatges comunicatius de conservació i sensibilització
*Inclusió en els cursos i formacions de l'ENP elements de la interdependència salut i natura. 
*Oferir i donar a conèixer els recursos que es generin en relació aquesta temàtica a la Xarxa d'Escoles del parc, entitats i altres agents del territori</t>
  </si>
  <si>
    <t>*Creació de material divulgatiu específic a partir de les campanyes de comunicació elaborades conjuntament amb Serveis Centrals (comunicació externa)
*Foment de la formació de l'equip del Parc i augmentar el coneixement d'aquests valors (comunicació interna)
*Potenciació de la doble funció dels Centres de documentació: generar informació (material de recerca) i oferir informació als visitants.</t>
  </si>
  <si>
    <t>*Definició i clarificació dels rols de l'equip del parc i una correcta definició de les tasques de cada membre.
*Actualització del web segons el format i estàndards establerts des de Serveis Centrals.
*Tenir un responsable/equip de comunicació amb formació tècnica.
*Estudiar la necessitat i viabilitat d'obrir nous canals comunicatius (butlletí, xxss, revistes etc.) conjuntament amb Serveis Centrals.
*Reunions d'equip periòdiques amb una freqüència no superior a 15 dies.
*Reunions bimensuals de coordinació de la Xarxa dels grups de conservació, d’ús públic i turisme, de gestió econòmica o RAE, d’educació ambiental, de centres de documentació, de millora rural, i de direcció.</t>
  </si>
  <si>
    <t>*Planificació i disseny de la comunicació de cada Parc conjuntament amb els Serveis Centrals,  per garantir-ne la imatge corporativa i la coherència com a xarxa (publicacions, xxss, web, NP, merxandatge etc.)
*Implementació dels protocols vigents d'informació i comunicació
*Aplicació dels manuals existents i vigents en quan a comunicació corporativa
*Elaboració i aplicació del Pla de comunicació de l'ENP
*Participació en els espais d'intercanvi d'informació entre ENP
*Aplicació del protocol comunicatiu específic per a Juntes Rectores d'ENP</t>
  </si>
  <si>
    <t>*Presentació de la proposta de PE a junta amb un pressupost associat per validar-lo. Possibles aportacions al consell de participació</t>
  </si>
  <si>
    <t>*Aplicació del nou sistema de seguiment pressupostari conjunt per a tots els ENP per al control de les despeses (quan entri en funcionament).
*Aplicació del manual per al règim de gestió econòmica als ENP per traspassar dades al RAE.
*Participació dels espais de coordinació entre ENP per identificar les despeses comunes tramitables a càrrec del pressupost de la DG.</t>
  </si>
  <si>
    <t>*Amb els espais de coordinació entre ENP, detecció de les necessitats conjuntes que es puguin agrupar en contractes únics (amb o sense lots) o en convocatòries amb concurrència.
*Encaix de les necessitats específiques de cada ENP a les necessitats conjuntes detectades a nivell de Xarxa.
*Preveure amb una antelació mínima de 6 mesos les necessitats de contractació per augmentar l'eficiència de la tramitació i disposar de marge de maniobra davant qualsevol eventualitat.</t>
  </si>
  <si>
    <t>*Elaboració d'un llistat de convenis i altres instruments de col·laboració vigents i planificar les pròrrogues que es requereixin.
*Participació en l'elaboració coordinada dels catàlegs col·lectius amb universitats i centres documentació
*Implementació del gestor d'expedients (d'un registre únic de convenis)</t>
  </si>
  <si>
    <t>*Optimitzar la comunicació i acompanyament durant els processos administratius amb el personal tècnic de Serveis Centrals
*Designació d'interlocutors tècnics per al desenvolupament d'accions que requereixen procediments administratius.
*Manteniment d'una comunicació continuada amb l'UGA.
*Elaboració d'una llista dels tràmits realitzats pels ENP per detectar necessitats de suport i acompanyament administratiu.
*Implementació de gestor d'expedients</t>
  </si>
  <si>
    <t>*Participació de les formacions ofertades des del Centre de formació i estudis agrorurals per al personal administratiu.
*Respondre a la demanda activa de formacions quan es planifica el Pla anual de formació ofertat des del Centre de formació i estudis agrorurals.
*Formació interna de l'equip administratiu de l'ENP per adquirir coneixements bàsics en temes prioritaris (comptabilitat, contractació, tramitació electrònica, accessibilitat i transparència, propietat intel·lectual) i processos de tramitació (CQS, peticions informació genèrica, solicituds accés informació ambiental)</t>
  </si>
  <si>
    <t xml:space="preserve">*Revisió de tota la documentació relativa als béns patrimonials de l'ENP
*Traspas de tota la informació del béns patrimonials i col·laborar amb el Servei de Contractació i Patrimoni per tramitar els expedients de cessió de titularitat, declaracions d'obra nova, compra, lloguer...             </t>
  </si>
  <si>
    <t>*Revisió que tots els equipaments del parc estiguin correctament assegurats dins la pòlissa d'assegurança de danys materials (número 86-5034332) de la Generalitat, en col·laboració amb  serveis centrals i d'acord amb les seves directrius.
*Col·laboració amb el Servei de Contractació i Patrimoni per tramitar les assegurances dels béns patrimonials.</t>
  </si>
  <si>
    <t>*Desenvolupament del repositori digital, recollint, preservant i difonent la informació generada.
*Catalogar i digitalitzar el fons documental.
*Millora de l'accessibilitat documental al web.
* Implementació de gestor d'expedients</t>
  </si>
  <si>
    <t>LLISTAT D'ELEMENTS PRESENT A L'ESPAI</t>
  </si>
  <si>
    <t>DELS ESTÀNDARDS OBERTS PER A LA GESTIÓ ADAPTATIVA A CATALUNYA</t>
  </si>
  <si>
    <t>Gestió interna</t>
  </si>
  <si>
    <t>TAULA DE VINCLE ENTRE LES AMENACES I ELS OBJECTIUS OPERATIUS DE L'EIX DEL PATRIMONI NATURAL</t>
  </si>
  <si>
    <t>Codi</t>
  </si>
  <si>
    <t>Eix 1. Natura</t>
  </si>
  <si>
    <t>PESTANYA DEL VINCLE</t>
  </si>
  <si>
    <t>Tasca 11: Columna U. Indicar quina àrea de l'equip de gestió és responsable de coordinar l'execució de l'acció.</t>
  </si>
  <si>
    <t>Definir vincle amenaça vs. Obj. Operatiu</t>
  </si>
  <si>
    <t xml:space="preserve">Taxonomia d'Amenaces  - Xarxa d'ENP Catalunya </t>
  </si>
  <si>
    <t>Versió 1_revisada pels equips del PNAT Cap de Creus, PNAT Montgrí-Medes, PNAT els Ports, PNIN Poblet, PNAT Delta de l'Ebre, PNAT Alt Pirineu i PNAT Capçaleres del Ter i Freser</t>
  </si>
  <si>
    <r>
      <t xml:space="preserve">Font de dades 1: </t>
    </r>
    <r>
      <rPr>
        <u/>
        <sz val="10"/>
        <color rgb="FF1155CC"/>
        <rFont val="Arial"/>
        <family val="2"/>
      </rPr>
      <t xml:space="preserve">List of pressures and threats for reporting 2019-2024 v1.1 </t>
    </r>
    <r>
      <rPr>
        <sz val="10"/>
        <color rgb="FF000000"/>
        <rFont val="Calibri"/>
        <family val="2"/>
        <scheme val="minor"/>
      </rPr>
      <t>(Comissió Europea)</t>
    </r>
  </si>
  <si>
    <t>Font de dades 2: Llistat de pressions i amenaces del Pla de Protecció del Cadí-Moixeró, inspirat en el llistat de la Comissió Europea</t>
  </si>
  <si>
    <r>
      <t xml:space="preserve">Font de dades 3: </t>
    </r>
    <r>
      <rPr>
        <u/>
        <sz val="10"/>
        <color rgb="FF1155CC"/>
        <rFont val="Arial"/>
        <family val="2"/>
      </rPr>
      <t>IUCN/CMP Threats Classification v 3.3 (2016)</t>
    </r>
    <r>
      <rPr>
        <sz val="10"/>
        <color rgb="FF000000"/>
        <rFont val="Calibri"/>
        <family val="2"/>
        <scheme val="minor"/>
      </rPr>
      <t xml:space="preserve"> i v4.0 draft (2023)</t>
    </r>
  </si>
  <si>
    <t>Codi Amenaça</t>
  </si>
  <si>
    <t>Tipologia d'amenaça</t>
  </si>
  <si>
    <t>Nom Amenaça</t>
  </si>
  <si>
    <t>Exemples i descripció del grup</t>
  </si>
  <si>
    <t>Urbanització i edificació</t>
  </si>
  <si>
    <t>Urbanització residencial</t>
  </si>
  <si>
    <t>Construccions relacionades amb àrees residencials. Tot i que la normativa no permet noves construccions, existeixen edificacions fóra d'ordenació. També casos de remodelacions, reconstruccions o ampliacions d'edificis rurals per usos agrícoles, forestals, ramaders, recreatius, residencials, etc). Restauracions de cabanes i bordes que no deixen forats per ratpenats. cases forestals. Bordes que es canvien d'ús per hosteleria</t>
  </si>
  <si>
    <t>Urbanització comercial o industrial</t>
  </si>
  <si>
    <t>Àrees recretives i turístiques</t>
  </si>
  <si>
    <t>Refugis de muntanya que es remodelen, impacten etc</t>
  </si>
  <si>
    <t>Producció primària</t>
  </si>
  <si>
    <t>Activitat agrícola</t>
  </si>
  <si>
    <t>Cultius annuals i perennes. Canvis de tipus de cultiu, secà a regadiu o al revés. Canvi d'usos del sòl com cultius de vinya a muntanya, Inclosos el cultiu de l'arròs amb substàncies biocides. Inclòs el cultiu de marihuana</t>
  </si>
  <si>
    <t>Plantacions forestals</t>
  </si>
  <si>
    <t>Ramaderia</t>
  </si>
  <si>
    <t>Ramaderia tan intensiva com extensiva i semi-intensiva (pastura de dia i nit en corral)</t>
  </si>
  <si>
    <t>Aqüicultura</t>
  </si>
  <si>
    <t>Aquicultura marina i d'aigua dolça, a l'interior o als voltants del parc</t>
  </si>
  <si>
    <t>Producció d'energia i mineria</t>
  </si>
  <si>
    <t xml:space="preserve">Activitats de la mineria </t>
  </si>
  <si>
    <t>Mineria de qualsevol tipus (a cel obert, marina, al·luvial com extracció d'àrids i còdols, subterrània), a l'interior o als voltants del parc. Extracció de torba i salines. Si aplica, extracció d'hidrocarburs terrestres o marins</t>
  </si>
  <si>
    <t>Producció d'energia renovable</t>
  </si>
  <si>
    <t>Centrals de producció d'energia renovable (molins eòlics terrestres o marins, instal·lacions solars, hidroelèctriques, geotèrmia inclosos els impactes de fauna contra les instal·lacions). A dins del parc o afectant connectors entre parcs</t>
  </si>
  <si>
    <t>Infrastructures de transport i serveis</t>
  </si>
  <si>
    <t>Vials de transport</t>
  </si>
  <si>
    <t>Carreteres, pistes forestals, línies fèrries i cremalleres</t>
  </si>
  <si>
    <t>Conduccions</t>
  </si>
  <si>
    <t>Conduccions elèctriques, aqueductes, canals de rec, estacions de bombament, conduccions d'aigua o gas</t>
  </si>
  <si>
    <t>Infrastructures marines</t>
  </si>
  <si>
    <t>Rutes marines, canals, impactes de vaixells sobre balenes i infrastructura associada. Ports, pantalans, etc</t>
  </si>
  <si>
    <t>Tancaments i vallats</t>
  </si>
  <si>
    <t>Tancaments, valles perimetrals i parets de tota mena, en carreteres, per bestiar, estètiques, etc</t>
  </si>
  <si>
    <t>Extracció de recursos naturals</t>
  </si>
  <si>
    <t>Caça i recol·lecció d'animals</t>
  </si>
  <si>
    <t>Caça i recolecció d'animals, ous, mel silvestre, etc ja sigui per subsistència, esport, tradició, comerç o de forma accidental</t>
  </si>
  <si>
    <t>Recol·lecció de vegetals</t>
  </si>
  <si>
    <t>Recolecció de plantes, bolets, resines, líquens, etc</t>
  </si>
  <si>
    <t xml:space="preserve">Treballs forestals </t>
  </si>
  <si>
    <t>Treball forestals de tota mena (arreu, selectiva, carboneig, aclarides, etc)</t>
  </si>
  <si>
    <t>Pesca i semblants</t>
  </si>
  <si>
    <t>Pesca i recollida de recursos aquàtics de tota mena i amb qualsevol tècnica (artesanal, xarxa, marisqueig, recollida de corall, pesca accidental, recreativa, etc)</t>
  </si>
  <si>
    <t>Molèsties</t>
  </si>
  <si>
    <t>Molèsties per activitats recreatives</t>
  </si>
  <si>
    <t>Per activitats recreatives al medi natural de qualsevol tipus (excursionisme, bicicleta, cavall, vehicles a motor, escalada, esquí de muntanya, acampada temporal, pernoctació, ornitòlegs, fotografs, esports nàutics, pesca turisme, àrees recreatives, drons, globus, parapents, buggy-kite, sobrevol amb helicòpters, amb ultralleugers, motos de neu, etc) i tan sigui esporàdica com recurrent</t>
  </si>
  <si>
    <t>Molèsties per activitats militars</t>
  </si>
  <si>
    <t>Activitats militars de qualsevol mena (camps militars, assajos amb artilleria, etc)</t>
  </si>
  <si>
    <t>Altres tipus de molèsties</t>
  </si>
  <si>
    <t>Qualsevol altra molèstia (per bany en rius i tolles, passeig de gossos, peregrinatges, aplecs, recerca sobre espècies, extraccions arqueològiques, vandalisme, tràfic de drogues, etc)</t>
  </si>
  <si>
    <t>Molèsties per activitats multitudinàries</t>
  </si>
  <si>
    <t>Activitats organitzades i multitudinàries, per exemple curses de muntanya, festivals, esdeveniments, filmacions, fins i tot enterraments</t>
  </si>
  <si>
    <t>Gestió i modificació de sistemes naturals</t>
  </si>
  <si>
    <t>Foc</t>
  </si>
  <si>
    <t>Foc, grans incendis forestals i supressió del foc, incloses activitats de restauració post-foc</t>
  </si>
  <si>
    <t>Gestió de l'aigua</t>
  </si>
  <si>
    <t xml:space="preserve">Construcció i utilització de preses, canals, captacions, pous, dics, etc de qualsevol mena. Extracció / captacions d'aigua per rec, etc.  Construcció de basses per fer neu artificial. Dessaladores, potabilitzadores, depuradores, conduccions, trasvassaments, emissaris de salmorres, alteració de cabals, gestió de cabals en rius  </t>
  </si>
  <si>
    <t>Moviments de terres i sediments</t>
  </si>
  <si>
    <t>Gestió i estabilització de terrenys i sediments (estabilització de dunes, construccions en litorals, remediació de sòls, restauració de mines, dragatges, moviments de sorres, etc)</t>
  </si>
  <si>
    <t>Modificació del clima</t>
  </si>
  <si>
    <t>Activitats per modificar el clima o processos naturals (prevenció de gelades, fertilització amb ferro a l'oceà, captura de carboni, etc)</t>
  </si>
  <si>
    <t>Gestió d'hàbitats</t>
  </si>
  <si>
    <t>Gestió d'hàbitats: gestió d'aigua dolça de rec i arrossars (que pot afectar a llacunes, etc), retirada de fustes en rius, desbrossades, creació d'esculls artificials, alimentació d'ocells, tancament de coves, barreres elèctriques</t>
  </si>
  <si>
    <t>Desaparició d'activitats tradicionals</t>
  </si>
  <si>
    <t>Desaparició de pràctiques tradicionals com pastura extensiva, canvi en el maneig de la pastura, la tipologia de bestiar, caça per control de predadors, etc</t>
  </si>
  <si>
    <t>Espècies invasores i patògens</t>
  </si>
  <si>
    <t>Espècies invasores</t>
  </si>
  <si>
    <t>Espècies invasores com rates en illes, animals domèstics assilvestrats, musclo zebra, bambú, peixos introduïts com Phoxinus en estanys d'alta muntanya, etc</t>
  </si>
  <si>
    <t>Espècies desestabilitzades</t>
  </si>
  <si>
    <t>Espècies natives desestabilitzades com superpoblació de cèrvids, porcs senglars, manca de carnívors, blooms d'algues, plagues d'insectes, o amb impactes puntuals com predadors sobre espècies sensibles com colònies d'ocells, gall fer, etc</t>
  </si>
  <si>
    <t>Introducció de genotips aliens</t>
  </si>
  <si>
    <t>Material genètic introduït com cultius resistents a plagues, creuament de gat domèstic amb gat fer, restauracions d'hàbitats fetes amb varietats alienes, arbres o instectes modificats genèticament, aquicultura amb espècies no natives, etc</t>
  </si>
  <si>
    <t>Plagues i patògens</t>
  </si>
  <si>
    <t>Malalties que afecten conills, grip aviar, botulisme, castanyers, oliveres, cítrics, amfibis, etc</t>
  </si>
  <si>
    <t>Polució</t>
  </si>
  <si>
    <t>Polució aquàtica</t>
  </si>
  <si>
    <t xml:space="preserve">Polució dissolta en aigua (aigües sèptiques, efluents industrials, pesticides, fertilitzants, efluents de la mineria, excès de nutrients en activitats de l'aquicultura, purins, potasses per desfer la neu en pistes i carreteres, etc </t>
  </si>
  <si>
    <t>Residus sòlids</t>
  </si>
  <si>
    <t>Residus sòlids de qualsevol orígen i en medi terrestre o marí, inclosos de la caça, pesca, agricultura, aqüicultura, del turisme, construcció, transport, xarxes fantasma i elements abandonats al medi</t>
  </si>
  <si>
    <t>Polució aèria</t>
  </si>
  <si>
    <t>Residus en medi aeri com partícules, gasos, o partícules radioactives</t>
  </si>
  <si>
    <t>Contaminació acústica, llumínica o per radiació</t>
  </si>
  <si>
    <t>Contaminació lumínica, tèrmica com efluents de centrals elèctriques en rius, acústica com soroll en aeroports o zones industrials o per escoles de formació de pilots d'helicòpters al Pirineu, camps electromagnètics en cables, sonars submarins, soroll i onades causades per embarcacions recreatives,  llums de les maquinàries a pistes d'esquí, il·luminació nocturna en estacions d'esquí, il·luminació de monuments, etc</t>
  </si>
  <si>
    <t>Grans pertorbacions naturals</t>
  </si>
  <si>
    <t>Pertorbacions d'origen geològic</t>
  </si>
  <si>
    <t>De tipus geològic com terratrèmols, esllavissades, allaus, erupcions volcàniques</t>
  </si>
  <si>
    <t>Pertorbacions d'origen metereològic</t>
  </si>
  <si>
    <t>Per fenòmens extrems com inundacions, temporals, pedregades, etc</t>
  </si>
  <si>
    <t>Canvi global i/o climàtic</t>
  </si>
  <si>
    <t>Impactes del canvi climàtic en sistemes físics i químics</t>
  </si>
  <si>
    <t>Canvis en sistemes físics i químics com acidificació d'oceans, augment del CO2 atmosfèric, pèrdua de sediments, colmatació de basses i llacunes, canvis en corrents marins, regressió de la línia de costa, subsidència del Delta, canvis en la cobertura de núvols, etc</t>
  </si>
  <si>
    <t>Impactes del canvi climàtic relatius a l'alteració del règim de temperatures</t>
  </si>
  <si>
    <t>Canvis en règims de temperatures: onades de calor o de fred, canvis en la temperatura del mar, fusió de glaceres, etc</t>
  </si>
  <si>
    <t>Impactes del canvi climàtic relatius a l'alteració del règim de precipitació i sequera</t>
  </si>
  <si>
    <t>Canvis en règims de precipitació i règims hidrològics com patrons de pluja, d'innivació, generant sequeres, increment de la severitat d'inundacions, reducció de la superfície de llacs i estanys, etc</t>
  </si>
  <si>
    <t>Pujada del nivell del mar</t>
  </si>
  <si>
    <t>Objectius operatius</t>
  </si>
  <si>
    <t>Llista d'amenaces OS</t>
  </si>
  <si>
    <t>Alytes obstetricans</t>
  </si>
  <si>
    <t>Anthus campestris</t>
  </si>
  <si>
    <t>Caprimulgus europaeus</t>
  </si>
  <si>
    <t>Circaetus gallicus</t>
  </si>
  <si>
    <t>Falco peregrinus</t>
  </si>
  <si>
    <t>Lullula arborea</t>
  </si>
  <si>
    <t>Lutra lutra</t>
  </si>
  <si>
    <t>Miniopterus schreibersii</t>
  </si>
  <si>
    <t>Myotis blythii</t>
  </si>
  <si>
    <t>Myotis emarginatus</t>
  </si>
  <si>
    <t>Rhinolophus ferrumequinum</t>
  </si>
  <si>
    <t>Rhinolophus hipposideros</t>
  </si>
  <si>
    <t>Sylvia undata</t>
  </si>
  <si>
    <t>Prioritzat</t>
  </si>
  <si>
    <t>Si/No</t>
  </si>
  <si>
    <t>Dubtós</t>
  </si>
  <si>
    <t>Aquila chrysaetos</t>
  </si>
  <si>
    <t>Barbastella barbastellus</t>
  </si>
  <si>
    <t>Bubo bubo</t>
  </si>
  <si>
    <t>Emberiza hortulana</t>
  </si>
  <si>
    <t>Euphydryas aurinia</t>
  </si>
  <si>
    <t>Hieraaetus pennatus</t>
  </si>
  <si>
    <t>Pernis apivorus</t>
  </si>
  <si>
    <t>Llistat elements:</t>
  </si>
  <si>
    <t>Tasca 1: Revisar el llistat d'elements prioritzats per tal d'avaluar si cal afegir-ne algun o treure'n algun. A la columna comentaris cal argumentar, breument, el perquè de la decisió.</t>
  </si>
  <si>
    <t>Llistat amenaces:</t>
  </si>
  <si>
    <t>Tasca 2: A partir de la taxonomia d'amenaces que es troba a la pestanya final, cal omplir les tres columnes (E, F i G) amb les tres principals amenaces per a la conservació de l'element. S'afegeixi una darrera columna per si hi ha amenaces que no es troben incloses a la taxonomia.</t>
  </si>
  <si>
    <t xml:space="preserve">Tasca 7: Columna N. En aquest columna cal introduir les accions, de manera genèrica, que caldria aplicar a l'espai per tal d'assolir l'objectiu operatiu. No es tracta d'un llistat d'accions concretes si no, més aviat, accions generals que acabarien concretant-se en la programació anual. PER A INICIAR AMB LA TAULA US PODEU BASAR MOLT EN LA FEINA JA FETA DE PRIORITZACIÓ DE MESURES PEL MAP  </t>
  </si>
  <si>
    <t xml:space="preserve">Tasca 1: Establir / Revisar el vincle entre les amenaces identificades a la pestanya de priorització i els objectius operatius definits a la columna J de la pestanya Pla. La columna B conté el llistat dels objectius operatius tal i com quedaran definits després de la vostra revisió. </t>
  </si>
  <si>
    <t xml:space="preserve">Tasca 2: En cas que es pugui, definir l'amenaça / factor / causa concret a la que atén l'objectiu definit al Pla. Poden ser més d'una. </t>
  </si>
  <si>
    <t xml:space="preserve"> És important que es visualitzi a quina amenaça es dirigeix l'objectiu operatiu que es proposa al Pla, tot i que, no sempre hi ha d'haver un vincle clar. Pot haver algun objectiu sense amenaça vinculada.</t>
  </si>
  <si>
    <t>AMENACES PER A CADA ELEMENT</t>
  </si>
  <si>
    <t>Puntuació índex rellevància</t>
  </si>
  <si>
    <t>Comentaris en cas de canvi en la priorització</t>
  </si>
  <si>
    <t>Amenaça 1 segons taxonomia</t>
  </si>
  <si>
    <t>Amenaça 2 segons taxonomia</t>
  </si>
  <si>
    <t>Amenaça 3 segons taxonomia</t>
  </si>
  <si>
    <t>Altres amenaces</t>
  </si>
  <si>
    <t>No especificada</t>
  </si>
  <si>
    <t>Tipologia amenaça</t>
  </si>
  <si>
    <t>Amenaça concreta</t>
  </si>
  <si>
    <t>Nota: La priorització d'elements actual inclou els Elements Clau que es van determinar en l'instrument de gestió aprovat amb l'Acord de Govern 150/2014 (Annex 6)</t>
  </si>
  <si>
    <t>Aquest Acord era per les Zones Especials de Conservació, no per les ZEPA i, per tant, no es va fer l'exercici de priorització de les aus.</t>
  </si>
  <si>
    <t>També inclou el primer quartil de l'exercici de la UIC per prioritzar els elements present a cada espai de Natura 2000, és a dir, el 25% dels</t>
  </si>
  <si>
    <t>elements amb major índex de rellevància a l'espai. Veure document metodològic aquí:</t>
  </si>
  <si>
    <t>https://gencat.sharepoint.com/sites/Informaciiconeixementpatrimoninatural2/Documents%20compartits/Forms/AllItems.aspx?csf=1&amp;web=1&amp;e=3x4ZkK&amp;ovuser=3b9427dc%2Dd30e%2D43bc%2D8c06%2Dff7253676fec%2Cjordiparpal%40gencat%2Ecat&amp;OR=Teams%2DHL&amp;CT=1713942253212&amp;clic</t>
  </si>
  <si>
    <t>Cinclus cinclus</t>
  </si>
  <si>
    <t>Dryocopus martius</t>
  </si>
  <si>
    <t>Lanius collurio</t>
  </si>
  <si>
    <t>Lucanus cervus</t>
  </si>
  <si>
    <t>El llistat original d'elements prové de les taules del MAP que heu estat treballant amb el SENP</t>
  </si>
  <si>
    <t>Austropotamobius pallipes</t>
  </si>
  <si>
    <t>Cerambyx cerdo</t>
  </si>
  <si>
    <t>Rhinolophus euryale</t>
  </si>
  <si>
    <t>Espècies presents a l'espai</t>
  </si>
  <si>
    <t>Aegolius funereus</t>
  </si>
  <si>
    <t>Buxbaumia viridis</t>
  </si>
  <si>
    <t>Canis lupus</t>
  </si>
  <si>
    <t>Euplagia quadripunctaria</t>
  </si>
  <si>
    <t>Galemys pyrenaicus</t>
  </si>
  <si>
    <t>Graellsia isabellae</t>
  </si>
  <si>
    <t>Gypaetus barbatus</t>
  </si>
  <si>
    <t>Gyps fulvus</t>
  </si>
  <si>
    <t>Milvus milvus</t>
  </si>
  <si>
    <t>Parachondrostoma miegii</t>
  </si>
  <si>
    <t>Perdix perdix hispaniensis</t>
  </si>
  <si>
    <t>Pyrrhocorax pyrrhocorax</t>
  </si>
  <si>
    <t>Tetrao urogallus aquitanicus</t>
  </si>
  <si>
    <t>Actitis hypoleucos</t>
  </si>
  <si>
    <t>Anthus spinoletta</t>
  </si>
  <si>
    <t>Monticola saxatilis</t>
  </si>
  <si>
    <t>Oenanthe oenanthe</t>
  </si>
  <si>
    <t>Prunella collaris</t>
  </si>
  <si>
    <t>Tichodroma muraria</t>
  </si>
  <si>
    <t>Turdus torquatus</t>
  </si>
  <si>
    <t>Accipiter gentilis gentilis</t>
  </si>
  <si>
    <t>Anas platyrhynchos</t>
  </si>
  <si>
    <t>Buteo buteo</t>
  </si>
  <si>
    <t>Certhia brachydactyla all others</t>
  </si>
  <si>
    <t>Columba palumbus palumbus</t>
  </si>
  <si>
    <t>Coturnix coturnix</t>
  </si>
  <si>
    <t>Falco tinnunculus</t>
  </si>
  <si>
    <t>Fringilla coelebs all others</t>
  </si>
  <si>
    <t>Jynx torquilla</t>
  </si>
  <si>
    <t>Loxia curvirostra</t>
  </si>
  <si>
    <t>Muscicapa striata</t>
  </si>
  <si>
    <t>Otus scops</t>
  </si>
  <si>
    <t>Periparus ater all others</t>
  </si>
  <si>
    <t>Phalacrocorax carbo sinensis</t>
  </si>
  <si>
    <t>Phyrrocorax graculus</t>
  </si>
  <si>
    <t>Rosalia alpina</t>
  </si>
  <si>
    <t>Saxicola rubetra</t>
  </si>
  <si>
    <t>Scolopax rusticola</t>
  </si>
  <si>
    <t>Sylvia cantillans</t>
  </si>
  <si>
    <t>Troglodytes troglodytes all others</t>
  </si>
  <si>
    <t>3240 - Rius de tipus alpí amb bosquines de muntanya</t>
  </si>
  <si>
    <t>4030 - Landes atlàntiques i subatlàntiques seques</t>
  </si>
  <si>
    <t>4060 - Matollars alpins i boreals</t>
  </si>
  <si>
    <t>5110 - Boixedes xerotermòfiles permanents, dels vessants rocosos</t>
  </si>
  <si>
    <t>5120 - Formacions muntanyenques de bàlec (Genista balansae subsp. europaea = Cytisus purgans)</t>
  </si>
  <si>
    <t>5130 - Formacions de Juniperus communis colonitzadores de landes o de pastures calcícoles</t>
  </si>
  <si>
    <t>6110p - Prats calcàris o basòfils d'Alysso-Sedion albi (*)</t>
  </si>
  <si>
    <t>6170 - Prats calcícoles alpins i subalpins</t>
  </si>
  <si>
    <t>6210 - Prats -i fàcies emmatades- medioeuropeus, seminaturals, sobre substrat calcari (Festuco-Brometea)</t>
  </si>
  <si>
    <t>6410 - Herbassars de Molinia coerulea en sòls calcaris torbosos o argil·lollimosos (Molinion caeruleae)</t>
  </si>
  <si>
    <t>6420 - Jonqueres i herbassars graminoides humits, mediterranis, del Molinio-Holoschoenion</t>
  </si>
  <si>
    <t>6520 - Prats de dall altimontans i subalpins (Triseto-Polygonion bistortae)</t>
  </si>
  <si>
    <t>7230 - Molleres alcalines</t>
  </si>
  <si>
    <t>8130 - Tarteres de l'Europa meridional amb vegetació poc o molt termòfila</t>
  </si>
  <si>
    <t>8210 - Costers rocosos calcaris amb vegetació rupícola</t>
  </si>
  <si>
    <t>8220 - Costers rocosos silicis amb vegetació rupícola</t>
  </si>
  <si>
    <t>8230 - Terraprims silicis amb vegetació pionera (Sedo-Scleranthion)</t>
  </si>
  <si>
    <t>8310 - Coves no explotades pel turisme</t>
  </si>
  <si>
    <t>9120 - Fagedes acidòfiles</t>
  </si>
  <si>
    <t>9130 - Fagedes neutròfiles</t>
  </si>
  <si>
    <t>9180p - Boscos de vessants rostos, tarteres o barrancs, del Tilio-Acerion</t>
  </si>
  <si>
    <t>91E0p - Vernedes i altres boscos de ribera afins (Alno-Padion)</t>
  </si>
  <si>
    <t>9340 - Alzinars i carrascars</t>
  </si>
  <si>
    <t>9430 - Boscos de pi negre (Pinus uncinata) sobre substrat silici</t>
  </si>
  <si>
    <t>9430p - Boscos de pi negre (Pinus uncinata) sobre substrat calcari</t>
  </si>
  <si>
    <t>9530p - Pinedes submediterrànies de pinassa (Pinus nigra subsp. salzmannii)</t>
  </si>
  <si>
    <t>Llistats corresponent a l'espai de Natura 2000 ES0000018 "Prepirineu Central català"</t>
  </si>
  <si>
    <t>4090 - Matollars xerocàntics endèmics oromediterranis</t>
  </si>
  <si>
    <t>5210 - Màquies i garrigues amb Juniperus spp. arborescents, no dunars</t>
  </si>
  <si>
    <t>6230p - Prats de pèl caní (Nardus stricta), rics florísticament, dels terrenys silicis de la muntanya mitjana atlàntica o subatlàntica</t>
  </si>
  <si>
    <t>6510 - Prats de dall de terra baixa i de la muntanya mitjana (Arrhenatherion)</t>
  </si>
  <si>
    <t>8120 - Tarteres calcàries dels indrets frescals de muntanya</t>
  </si>
  <si>
    <t>9150 - Fagedes calcícoles xerotermòfiles</t>
  </si>
  <si>
    <t>9240 - Rouredes ibèriques de roure valencià (Quercus faginea) i roure africà (Quercus canariensis)</t>
  </si>
  <si>
    <t>Circus cyaneus</t>
  </si>
  <si>
    <t>Cypripedium calceolus</t>
  </si>
  <si>
    <t>Dracocephalum austriacum</t>
  </si>
  <si>
    <t>Eriogaster catax</t>
  </si>
  <si>
    <t>Falco subbuteo</t>
  </si>
  <si>
    <t>Lanius excubitor meridionalis</t>
  </si>
  <si>
    <t>Motacilla flava</t>
  </si>
  <si>
    <t>Myotis bechsteinii</t>
  </si>
  <si>
    <t>Myotis capaccinii</t>
  </si>
  <si>
    <t>Neophron percnopterus</t>
  </si>
  <si>
    <t>Upupa epops</t>
  </si>
  <si>
    <t>Lacerta agilis</t>
  </si>
  <si>
    <t>Plecotus auritus</t>
  </si>
  <si>
    <t>Regulus regulus</t>
  </si>
  <si>
    <t>Emberiza cia</t>
  </si>
  <si>
    <t>Ptyonoprogne rupestris</t>
  </si>
  <si>
    <t>Pyrrhula pyrrhula</t>
  </si>
  <si>
    <t>Plecotus macrobullaris</t>
  </si>
  <si>
    <t>Calotriton asper</t>
  </si>
  <si>
    <t>Coronella austriaca</t>
  </si>
  <si>
    <t>Felis sylvestris</t>
  </si>
  <si>
    <t>Hierophis viridiflavus</t>
  </si>
  <si>
    <t>Podarcis muralis</t>
  </si>
  <si>
    <t>Rana temporaria</t>
  </si>
  <si>
    <t>Anthericum ramosum</t>
  </si>
  <si>
    <t>Chrysosplenium alternifolium</t>
  </si>
  <si>
    <t>Orchis spitzelii</t>
  </si>
  <si>
    <t>Woodsia pulchella</t>
  </si>
  <si>
    <t>Epipogium aphyllum</t>
  </si>
  <si>
    <t>Gymnadenia odoratissima</t>
  </si>
  <si>
    <t>Hericium erinaceus</t>
  </si>
  <si>
    <t>en vermell, espècies que no estaven als llistats del MAP i s'han afegit amb l'exercici de l'índex de rellevància</t>
  </si>
  <si>
    <t xml:space="preserve">ESQUEMA CONCEPTUAL PER A L'ELABORACIÓ DEL PLA ESTRATÈGIC EN EL MARC </t>
  </si>
  <si>
    <t xml:space="preserve">Fomentar la recuperació i conservació de l'arquitectura tradicional d'interès de les edificacions i construccions </t>
  </si>
  <si>
    <t>Gestionar l'abandonament d'infraestructures i instal·lacions amb impactes sobre els valors de l'espai</t>
  </si>
  <si>
    <t>Adaptar i mantenir un registre d'activitats, actors i incidències en ús públic (curses, conflictes, queixes, etc)</t>
  </si>
  <si>
    <t>Conservant bosocs madurs és suficient</t>
  </si>
  <si>
    <t>pot entrar per sp paraigua</t>
  </si>
  <si>
    <t>Augment cobertura vegetal</t>
  </si>
  <si>
    <t>Espècie abundant</t>
  </si>
  <si>
    <t>espècie comuna</t>
  </si>
  <si>
    <t>Distribució propera al parc</t>
  </si>
  <si>
    <t>Comuna i en augment</t>
  </si>
  <si>
    <t>Alteració hábitat</t>
  </si>
  <si>
    <t>No presència</t>
  </si>
  <si>
    <t>Comuna i abundant</t>
  </si>
  <si>
    <t>No representatiu del Parc</t>
  </si>
  <si>
    <t>Falta de bosc madur</t>
  </si>
  <si>
    <t>Abundant</t>
  </si>
  <si>
    <t>Montifringilla nivalis</t>
  </si>
  <si>
    <t>No present al Parc</t>
  </si>
  <si>
    <t>Comuna</t>
  </si>
  <si>
    <t>Espècie estable</t>
  </si>
  <si>
    <t>No és espècie d'alta muntanya</t>
  </si>
  <si>
    <t>Espècie en augment</t>
  </si>
  <si>
    <t>No és una espècie representativa del Parc</t>
  </si>
  <si>
    <t>No és represntatiu del Parc no existeix de forma estable</t>
  </si>
  <si>
    <t>Espècie abundant i en augment</t>
  </si>
  <si>
    <t>Escaladors/ residus orgànics abocadors no tinguin aliment/ verins</t>
  </si>
  <si>
    <t>No representativa del Parc</t>
  </si>
  <si>
    <t>Espècie abundant i distribució en augment</t>
  </si>
  <si>
    <t>Espècie abundant i comuna al Parc</t>
  </si>
  <si>
    <t>Població estable i distribució en augment</t>
  </si>
  <si>
    <t>Saxicola rubicola</t>
  </si>
  <si>
    <t>paraigua dels bitxacs i les curruques</t>
  </si>
  <si>
    <t>Espècie comuna i en augment (paraigua bitxac)</t>
  </si>
  <si>
    <t>Àpliament distribuïda</t>
  </si>
  <si>
    <t>Espècie abundant i comuna</t>
  </si>
  <si>
    <t>Espècie preocupació menor (paraigües d'altres espècies)</t>
  </si>
  <si>
    <t>Espècie estables</t>
  </si>
  <si>
    <t>No hi ha presència destacable d'aquesta espècie al Parc</t>
  </si>
  <si>
    <t>Espècie no present al Parc</t>
  </si>
  <si>
    <t>Pot ser espècie paraigües de les serps i altres rèptils</t>
  </si>
  <si>
    <t>En expansió</t>
  </si>
  <si>
    <t>No present al Parc/ Una cita per confusió</t>
  </si>
  <si>
    <t>Actualment, no n'hi ha al parc ni previsió de reintroducció</t>
  </si>
  <si>
    <t>No el tenim al Parc del Cadí</t>
  </si>
  <si>
    <t>No hi ha molt hàbitat aquàtic</t>
  </si>
  <si>
    <t>Falta d'hàbitat aquàtic de rius i aiguamolls</t>
  </si>
  <si>
    <t>Falta de cavitats per nidificar
Pressió depredadors</t>
  </si>
  <si>
    <t>Depredació herbívors (Isards)</t>
  </si>
  <si>
    <t>Evitar tractaments fitosanitaris en aquests boscos, campanyes conscienciació, mantenir zones aclarides
manteniment de marges amb Crataegus monogyna i Prunus spinosa plantes nutrÍcies erugues</t>
  </si>
  <si>
    <t>Augment de cobertura/ aÏllament o falta connectivitat de les poblacions per barreres fÍsiques</t>
  </si>
  <si>
    <t>Manca de Rouredes i fagedes madures per refugiar-se i aliment-se i criar</t>
  </si>
  <si>
    <t>Disponibilitat de menjar/ Turisme de Muntanya</t>
  </si>
  <si>
    <t>Hàbitats d'interès comunitari</t>
  </si>
  <si>
    <t>Comuna i distribució contínua a Catalunya</t>
  </si>
  <si>
    <t>Espècie comuna (difícil de detectar)</t>
  </si>
  <si>
    <t>No rellevant pel Parc</t>
  </si>
  <si>
    <t xml:space="preserve">Absent </t>
  </si>
  <si>
    <t>Espècies invasores,</t>
  </si>
  <si>
    <t>7220 Fonts petrificants en formació de travertí</t>
  </si>
  <si>
    <t>Erosió</t>
  </si>
  <si>
    <t>Absent al parc</t>
  </si>
  <si>
    <t xml:space="preserve">No rellevant pel Parc </t>
  </si>
  <si>
    <t>Trepig i erosió per fauna salvatge</t>
  </si>
  <si>
    <t>abocaments</t>
  </si>
  <si>
    <t>Vespertilio murinus</t>
  </si>
  <si>
    <t>Absent</t>
  </si>
  <si>
    <t>* Col·laboració en el compliment dels objectius i tasques derivats de la Mediterranean Climate Action Partnership en matèria de biodiversitat i canvi climàtic i els seus impactes sobre la sequera, calor i incendis
* Col·laboració en la implementació pràctica de projectes de l'àrea internacional i dels compromisos amb les entitats membres UICN, Euroregió Pirineus Mediterrània</t>
  </si>
  <si>
    <t>NA</t>
  </si>
  <si>
    <t>De moment no és una prioritat pel parc</t>
  </si>
  <si>
    <t>*Planificació del sistema d'espais oberts</t>
  </si>
  <si>
    <t xml:space="preserve">Implementar el Pla de Prevenció d'Incendis </t>
  </si>
  <si>
    <t xml:space="preserve">Promoure i col·laborar amb els productors locals del Parc </t>
  </si>
  <si>
    <t xml:space="preserve">*Promoure el consum de productes locals en els visitants del Parc.
*Crear un espai entre productors locals i restauradors.
*Actualitzar periòdicament els productors locals. 
*Desplegar les actuacions proposades per la diagnosi. </t>
  </si>
  <si>
    <t xml:space="preserve">
Promoure l'ús de producte local entre totes les empreses adherides a la Fase II de la CETS del PNCM.</t>
  </si>
  <si>
    <t>Relació empreses CETS amb productors locals</t>
  </si>
  <si>
    <t>Tenim el distintiu de productors locals del Parc</t>
  </si>
  <si>
    <t>*Promoure una fira intinerant d'artesans i productors locals del Parc.</t>
  </si>
  <si>
    <t>Crear una grup de treball en el marc de la CETS per fomentar l'interncanvi d'experiències entre el sector primari, el turisme, la restauració i altres per fomentar la gastronomia local</t>
  </si>
  <si>
    <t>Nou Grup de Treball de la CETS</t>
  </si>
  <si>
    <t>*Creació i coordinació d'un grup de treball en el marc de la CETS
*Creació d'espais de treball comú</t>
  </si>
  <si>
    <t>*Divulgació i comunicació, formació i assessorament tècnic i treball en xarxa</t>
  </si>
  <si>
    <t xml:space="preserve">
*Mantenir els espais de treball de la Fase I
*Crear nous grups de treball
*Iniciar el desplagament de la Fase II de la CETS.
*Iniciar el desplegament de la Fase III</t>
  </si>
  <si>
    <t>Compatibilitzar els distintius CETS i Biosphere a l'ENP.</t>
  </si>
  <si>
    <t xml:space="preserve">*Promoure els espais de treball de la CETS. </t>
  </si>
  <si>
    <t>Elaborar un pla d'acollida dels visitants en base al model de la DG i als documents elaborats per Pedratour.</t>
  </si>
  <si>
    <t>Contracte d'informació i educació ambienal fins 2028.</t>
  </si>
  <si>
    <t xml:space="preserve">*Revisió dels documents generats per l'empresa adjudicatària. 
*Adaptació dels protocols als diferents centres d'informació. </t>
  </si>
  <si>
    <t xml:space="preserve">*Revisió dels espais existents i necessitats d'inversió.
*Fer accessibles els missatges a públics amb alguna discapacitat. </t>
  </si>
  <si>
    <t xml:space="preserve">Adaptar i homogeneïtzar els missatges i la informació que es dona sobre l'ENP i fer-los accessibles per a persones amb discapacitat. </t>
  </si>
  <si>
    <t xml:space="preserve">Ordenar l'inventari de patrimoni etnològic immaterial per donar-li visibilitat o alguna utilitat. Analitzar si és necessari actualitzar-lo i/o ampliar-lo. 
Elaborar l'inventari i cartografia del patrimoni cultural del Parc. </t>
  </si>
  <si>
    <t xml:space="preserve">Normalment aquests serveis els externalitzem. </t>
  </si>
  <si>
    <t>Programa d'actuacions CETS, línia estratègica 1 "Preservar el patrimoni natural i cultural", actuació 5 "Preservar el patrimoni de pedra seca"</t>
  </si>
  <si>
    <t>* Inventari del patrimoni de pedra seca 
* Formació sobre tècniques de restauració 
* Promoure actuacions de voluntariat formatiu per restaurar patrimoni de pedra seca
* Disseny i creació de la situació d'aprenentatge de la pedra seca a l'escola</t>
  </si>
  <si>
    <t>Identificar i conservar la diversitat domesticada de varietats agrícoles, fruiters i ramaderes locals.</t>
  </si>
  <si>
    <t xml:space="preserve">* Creació d'activitats d'educació ambiental per divulgar els valors culturals del Parc; per incorporar-les a l'oferta pedagògica del Parc. </t>
  </si>
  <si>
    <t xml:space="preserve">* Mantenir el bloc de patrimoni cultural als cursos de bon coneixedors i bons informadors del Parc. </t>
  </si>
  <si>
    <t xml:space="preserve">*Actualització del mapa d'agents col·laboradors: cercar entitats i institucions locals que col·laborin amb la Xarxa (CRPs, administració local, entitats ambientals i educatives...). 
*Reunions periòdiques amb els centres educatius per definir objectius i necessitats de la Xarxa. 
</t>
  </si>
  <si>
    <t>Desplegar el model de Xarxa d'Escoles de l'Espai Natural (XEEN) a l'ENP</t>
  </si>
  <si>
    <t>No existeix model general i ens agrada treballar segons les necessitats de les escoles del territori</t>
  </si>
  <si>
    <t>*Constitució i dinamització dels espais de treball conjunt amb els agents col·laboradors de la XEEN.
* Crear un mapa d'activitats que fan les escoles vinculades al Parc, com a informació útil per compartir amb els CRPs i altres agents.  
*Cercar entitats i institucions locals que col·laborin amb la Xarxa (CRPs, administració local, entitats ambientals i educatives...).
*Disseny i desenvolupament de projectes compartits.  
*Organització de trobades d'ntercanvi amb alumnat.
* Avaluació de les accions de la Xarxa.</t>
  </si>
  <si>
    <t>* Coordinació amb els centres educatius per acordar les necessitats formatives. 
*Coordinació amb els Centres de Rercursos Pedagògics (CRP) perquè les formacions estiguin reconegudes  pel Departament d'Educació.</t>
  </si>
  <si>
    <t>Actualitzar l'oferta pedagògica de l'ENP per incloure noves activitats i crear situacions d'aprenentatge i treballs per projecte</t>
  </si>
  <si>
    <t>Aquest any ja tocava revisar l'oferta pedagògica i s'aprofitarà el contracte d'educació i informació ambiental per fer aquesta tasca</t>
  </si>
  <si>
    <t xml:space="preserve">* Ampliar l'oferta pedagògica amb dues activitats noves anualment.
* Revisió i millora de dues activitats existents per enfocar-les tipus situacions d'aprenentatge i/o treball per projectes.
* Coordinació amb l'empresa que gestiona el contracte d'educació i informació ambiental. 
</t>
  </si>
  <si>
    <t xml:space="preserve">Dissenyar i/o promoure projectes d'ApS ambiental i Ciència ciutadana i projectes compartits amb entitats del territori. </t>
  </si>
  <si>
    <t xml:space="preserve">No creiem que sigui necessari incloure-ho a l'oferta pedagògica. </t>
  </si>
  <si>
    <t xml:space="preserve">* Vincular els recursos educatius del Parc a les problemàtiques.
* Crear un nou recurs vinculat a una problemàtica específica del Parc. 
* Crear un recurs educatiu comú vinculat a una problemàtica general als parcs pirinencs. </t>
  </si>
  <si>
    <t>*Elaboració d'una proposta de possibles temàtiques per oferir als centres educatius de projectes vinculats a l'espai natural (treball de recerca, crèdit de síntesi, servei comunitari, pràctiques, etc.).
*Acompanyament de l'alumnat en la relació dels projectes.</t>
  </si>
  <si>
    <t>Ampliem a estudiants d'ESO, batxillerat i cicles formatius per tenir més marge i adaptar-nos a la realitat</t>
  </si>
  <si>
    <t>Oferir projectes de recerca vinculats a l'espai natural per a l'alumnat d'ESO, batxillerat, cicles formatius i universitari i de la XEEN</t>
  </si>
  <si>
    <t xml:space="preserve">Establir una trobada anual territorial amb agents clau de l'educació ambiental per crear xarxa. </t>
  </si>
  <si>
    <t xml:space="preserve">*Participació en la concreció dels missatges i peces creatives de la campanya de la DG.  
*Difusió de la campanya aprofintant les eines i equipaments de l'ENP. 
*Establiment d'acords amb entitats i institucions locals i empreses de la fase II de la CETS, per a la difusió local de la campanya.  </t>
  </si>
  <si>
    <t>*Disseny d'una oferta d’activitats d’educació ambiental de caire lúdic adreçada a famílies.
*Tenir en compte temes de salut i natura.</t>
  </si>
  <si>
    <t>* Elaborar un mapa de col·lectius estratègics del territori.
* Recopilar els contactes en una base de dades.</t>
  </si>
  <si>
    <t>Fomentar la creació d'un grup de treball entre les empreses de serveis turístic, esportiu i de lleure de la CETS.</t>
  </si>
  <si>
    <t xml:space="preserve">Creiem que en el marc de la CETS hi encaixa millor. </t>
  </si>
  <si>
    <t>*Establiment i consolidació d'aliances amb programes i entitats de lleure educatiu locals (activitats extraescolars, casals d’estiu, caus i esplais...). 
* Proposta als campaments de fer petites accions de manteniment dels espais del parc.</t>
  </si>
  <si>
    <t>Creiem que primer cal consolidar els productors locals del Parc i llavors estarem en situació d'oferir-los formacions</t>
  </si>
  <si>
    <t xml:space="preserve">*Estudi de percepció local
*Renovació del programa educatiu de forma adaptativa
* Agenda escolar dels parcs del Pirineu. </t>
  </si>
  <si>
    <t>* Elaborar un mapa de programes, projectes i accions que poden rebre el suport de voluntariat. 
* Divulgar aquest mapa a través de la Taula de voluntariat del Pirineu occidental català.</t>
  </si>
  <si>
    <t xml:space="preserve">*Elaboració i actualització periòdica del mapa d’agents de voluntariat que actuen a l’ENP, incloent entitats ambientals i altres entitats que participen en activitats de voluntariat ambiental
*Establiment d'acords i col·laboracions i projectes conjunts de voluntariat ambiental amb els agents clau del territori.
*Convocar la taula de voluntariat del Pirineu occidental català.
*Enfortiment i promoció de la participació de noves entitats a les TVPOCC.
*Participació en la definició i desplegament dels plans de treball de la taula de voluntariat ambiental. </t>
  </si>
  <si>
    <t xml:space="preserve">Taula de voluntariat del Pirineu occidental català (TVPOCC)
En aquest objectiu l'empresa que gestiona el contracte d'educació, informació i voluntariat ambiental té l'encàrrec de realitzar totes aquestes accions, per tant, des del Parc ens tocaria la coordinació amb aquesta empresa. </t>
  </si>
  <si>
    <t xml:space="preserve">* Realitzar una diagnosi de les activitats d'educació ambiental que es realitzen al Parc.
* Adaptació i creació d'activitats inclusives per a persones amb necessitats específiques. 
* Desplegar les accions resultants de la diagnosi de l'accessibilitat dels equipaments del Parc. </t>
  </si>
  <si>
    <t>Dissenyar i adaptar els equipaments i les activitats per a persones amb necessitats específiques</t>
  </si>
  <si>
    <t>Formar el personal de l'ENP (informadors i personal que treballa de cara al públic) en accessibilitat i diversitat funcional.</t>
  </si>
  <si>
    <t>Hem tret la perspectiva de gènere d'aquest apartat perquè ja té un objectiu per si mateixa al 13.7.3 i creiem que són temàtiques que està bé treballar-les separadament</t>
  </si>
  <si>
    <t xml:space="preserve">* Programar una formació anual per a informadors/es i personal del Parc en accessibilitat i diversitat funcional.
* Elaborar un catàleg de l'oferta de "turisme per a tothom". </t>
  </si>
  <si>
    <t xml:space="preserve">* Contractar serveis d'assessorament extern i formació per incorporar la perspectiva de gènere entre l'equip del Parc i l'empresa que realitza el servei d'informació, educació i voluntariat ambiental. </t>
  </si>
  <si>
    <t>Xarxes socials, butlletí, Picot Negre</t>
  </si>
  <si>
    <t xml:space="preserve">*Animar als ajuntaments que declarin zones amb cel nocturn de qualitat. </t>
  </si>
  <si>
    <t>Tenir-ho en compte per incloure-ho a la renovació del programa d'actuacions 2028 de la CETS</t>
  </si>
  <si>
    <t>Canalització d'aigua</t>
  </si>
  <si>
    <t>Incendis naturals</t>
  </si>
  <si>
    <t>absència Troncs morts avets/coníferes</t>
  </si>
  <si>
    <t>Incendi natural</t>
  </si>
  <si>
    <t>eliminació sotabosca, canvi climatic temperatura</t>
  </si>
  <si>
    <t>*Participació quan els treballs estan vinculats a l’àrea d’ús públic de l’ENP</t>
  </si>
  <si>
    <t xml:space="preserve">* Inventari de localismes de patrimoni natural, geografia popular, festes i activitats tradicionals de l'ENP.
* Divulgar amb una eina dinàmica tota la informació inventariada. </t>
  </si>
  <si>
    <t>Ho hem ajuntat amb l'objectiu 4.1.1</t>
  </si>
  <si>
    <t xml:space="preserve">*Tenir en compte la informació recollida en les diferents diagnosis sobre patrimoni cultural per tal d'integrar-la a la nova cartelleria i al programa d'activitats divulgatives. </t>
  </si>
  <si>
    <t xml:space="preserve">*Convalidar els distintius CETS i Biosphere de les empreses adherides de la província de Barcelona. 
*Treballar per replicar la convalidació a les provínices de Lleida i Girona. </t>
  </si>
  <si>
    <t xml:space="preserve">*Elaborar un document amb propostes de visites alternatives en èpoques de major afluència de visitants.
*Distribuir el document als diferents centres, punts i àrees d'informació del Parc i oficines de turisme dels diversos municipis del Parc i comarcals.
*Oferir una formació per a informadors/es per a divulgar aquestes alternatives en moments de major afluència. </t>
  </si>
  <si>
    <t>* Creació d'un programa de visites a productors locals.</t>
  </si>
  <si>
    <t>Ús públic i educació ambiental</t>
  </si>
  <si>
    <t>Carme O.</t>
  </si>
  <si>
    <t>ús de biocides</t>
  </si>
  <si>
    <t>Direcció</t>
  </si>
  <si>
    <t>Nº de productors locals en actiu per any</t>
  </si>
  <si>
    <t>Nº d'accions de difusió sobre riscos naturals en un any</t>
  </si>
  <si>
    <t>Nº de personal tècnic i administratiu en l'equip gestor/ personal tècnic i adm. Any 2024</t>
  </si>
  <si>
    <t xml:space="preserve">*Recopilació de la informació dels catàlegs dels ajuntaments de l'ENP i fer diagnosi
*Fer un Inventari de patrimoni cultural material
*Ordenar l'inventari de patrimoni cultural immaterial (metodologia de l'inventari de la unesco)
*Recopilar i conservar la informació de patrimoni cultural rural immaterial associat a les activitats i aprofitaments tradicionals </t>
  </si>
  <si>
    <t>Elaborar i publicar la cartografia</t>
  </si>
  <si>
    <t>10
50%</t>
  </si>
  <si>
    <t>17
80%</t>
  </si>
  <si>
    <t>Percentatge de xarxa elaborada</t>
  </si>
  <si>
    <t>* Fer un buidatge dels catàlegs del paisatge de les dues regions del Parc i elaborar l'inventari conjunt</t>
  </si>
  <si>
    <t>* Dissenyar actuacions de restauració dels elements d'interès paisatgístic degradats</t>
  </si>
  <si>
    <t>Nombre d'actuacions</t>
  </si>
  <si>
    <t>* Restaurar o eliminar infraestructures o instal·lacions amb impactes.</t>
  </si>
  <si>
    <t>Elaborar el llistat d'impactes (positius i negatius) que generen les activitats d'ús públic dins l'ENP</t>
  </si>
  <si>
    <t>Nombre d'impactes identificats per any</t>
  </si>
  <si>
    <t>Nombre de denúncies de pernoctació Il·legal/Nombre d'informes de pernoctació * 100</t>
  </si>
  <si>
    <t>Nombre de denúncies/100</t>
  </si>
  <si>
    <t>* Millorar la senyalització del Parc</t>
  </si>
  <si>
    <t>Nombre d'itineraris penjats a Wikiloc</t>
  </si>
  <si>
    <t>Nombre de pistes regulades/Nombre de pistes per regular</t>
  </si>
  <si>
    <t>Nombre de limitacions fetes/Nombre de limitacions decretades</t>
  </si>
  <si>
    <t>Nombre de senyals canviat per any</t>
  </si>
  <si>
    <t>Nombre anual de reunions amb els cossos de seguretat</t>
  </si>
  <si>
    <t>Control trimestral de l'execució del pressupost del RAE d'acord amb el que estableix el Manual de RAE. Enviament trimestral del % d'execució a tot l'equip del Parc</t>
  </si>
  <si>
    <t>Preparació i enviament del llistat de contractes a tramitar per la Direcció General en el termini establert per la pròpia DG respecte el número total de peticions d'aquest llistat realitzades per la DG.</t>
  </si>
  <si>
    <t>Administració</t>
  </si>
  <si>
    <t>Redacció de la proposta inicial dels convenis de col·laboració pendents de formalització. 2 amb els 4 anys</t>
  </si>
  <si>
    <t>Número d'informes resolts i emesos en temps i forma respecte el total d'informes rebuts. Periodicitat trimestral</t>
  </si>
  <si>
    <t>Adequació i actualització dels nous procediments, formularis i eines proposades pels Serveis Centrals als procediments emprats pel Parc respecte el total de propostes formulades</t>
  </si>
  <si>
    <t>Número d'hores de formació en cursos realitzats pel personal administratiu en matèria de procediment administratiu</t>
  </si>
  <si>
    <t>104 hores</t>
  </si>
  <si>
    <t>160 hores</t>
  </si>
  <si>
    <t>Publicacions a la pàgina web del Parc respecte el total d'informacions rellevants de cada any (Memòria d'actuacions, actes de la Junta Rectora i actualització de les pautes de conducta -si procedeix-)</t>
  </si>
  <si>
    <t>&gt;80%</t>
  </si>
  <si>
    <t>Temps de reposició/reparació de material des del moment que es necessita. Mitjana de dies</t>
  </si>
  <si>
    <t>1 mes</t>
  </si>
  <si>
    <t>15 dies</t>
  </si>
  <si>
    <t>Seguiment periòdic amb l'àrea responsable del Departament en matèria d'assegurances i qüestions registrals dels béns patrimonials del Parc. Seguiment anual</t>
  </si>
  <si>
    <t>* Difusió de l'arquitectura tradicional en edificacions i construccions</t>
  </si>
  <si>
    <t>Nº de publicacions divulgatives sobre arquitectura tradicional</t>
  </si>
  <si>
    <t xml:space="preserve">*Identificació dels agents clau del territori
* Creació una taula de treball / grups de treball temàtics </t>
  </si>
  <si>
    <t>* En els projectes amb un caire tècnic, comptar amb l'assesorament científic necessari per la presa de decisions</t>
  </si>
  <si>
    <t>% Nº de projectes amb assesorament científic especilitzat per any / nº total de projectes realitzats</t>
  </si>
  <si>
    <t>% Nº de participants d'entitats i organismes científics en les JR en 2 anys/nº total de participants a les JR</t>
  </si>
  <si>
    <t>% Nº de membres participants a la junta rectora en 1 any/ nº de membres total</t>
  </si>
  <si>
    <t>* Equip gestor de professionals amb amplis coneixaments en els projectes/tasques a desenvolupar.</t>
  </si>
  <si>
    <t>Pla de protecció / modificació de la composició de la JR</t>
  </si>
  <si>
    <t>Percentatge de dades anuals de l'inventari</t>
  </si>
  <si>
    <t>Nombre d'infraestructures restaurades o eliminades per any</t>
  </si>
  <si>
    <t>* Elaboració d'un mapa de punts calents.</t>
  </si>
  <si>
    <t>Percentatge del nombre de punts calents identificats anualment</t>
  </si>
  <si>
    <t>Numero de punts clau i rutes de vigilància diferents identificats anualment</t>
  </si>
  <si>
    <t xml:space="preserve">*Pla de vigilància de l’espai d'acord amb els cossos d’inspecció i seguretat
</t>
  </si>
  <si>
    <t>*Reunions periódiques per controlar compliment del Pla  de vigilància</t>
  </si>
  <si>
    <t>*Informes i autoritzacions enviats al CAR i altres cossos de vigilància per supervisar</t>
  </si>
  <si>
    <t>Numero d'informes i/o autoritzacions anuals enviades a supervisar</t>
  </si>
  <si>
    <t>Nombre de catàlegs recopilats
Percentatge del nombre d'elements inventariats del PCM</t>
  </si>
  <si>
    <t>Número de catalogacions realitzades durant l'any</t>
  </si>
  <si>
    <t>Tenim els fruiterars</t>
  </si>
  <si>
    <t>%  d'accions que promoguin la conservació de races i varietats locals per les accions total del ENP</t>
  </si>
  <si>
    <t>Senyalització de punts de gran afluencia, concienciació dels visitants i recollida de deixalles per part de la brigada</t>
  </si>
  <si>
    <t>Reducció del percentatge de residus no reciclables en àrees de l'ENP.</t>
  </si>
  <si>
    <t>&lt;20%</t>
  </si>
  <si>
    <t>No tenim productors agràris, nomès ramaders i forestals</t>
  </si>
  <si>
    <t xml:space="preserve">Acompanyar i assessorar els productors ramaders i forestals per millorar les tècniques productives i afavorir la conservació dels hàbitats i paisatges </t>
  </si>
  <si>
    <t>Vetllar per la conservació dels habitats i paisatges assessorant als agents del sector primàri dins de l'ENP</t>
  </si>
  <si>
    <t>% Sensibilització de la conservació als agents del sector primàri del ENP per el número d'accions totals al ENP</t>
  </si>
  <si>
    <t>Formar en aspectes de conservació als agents del sector primàri del ENP anualment</t>
  </si>
  <si>
    <t>% d'actuacions orientades a la recuperació d'elements d'interès per la biodiversitat pel núm. d'accions total del ENP</t>
  </si>
  <si>
    <t>informes realitzats sobre construccions dins l'ENP a l'any</t>
  </si>
  <si>
    <t>* Programació de tasques diàries de la brigada de manteniment</t>
  </si>
  <si>
    <t>= % d'execució de les tasques programades</t>
  </si>
  <si>
    <t>300
100</t>
  </si>
  <si>
    <t>% Nº de municipis que disposen de PPI i pla d'autoprotecció aprovat en 4 anys/ Total de municipis del parc</t>
  </si>
  <si>
    <t>60 (anual)</t>
  </si>
  <si>
    <t>85 (anual)</t>
  </si>
  <si>
    <t>10 (anual)</t>
  </si>
  <si>
    <t>20 (anual)</t>
  </si>
  <si>
    <t>% Fases de creacció de la taula/total fases previstesX100
1 Fase identificació dels agents / sinèrgies possibles
2 Fase definir els grups de treball
3 Fase creació grups de treball
4 Fase creació de la taula</t>
  </si>
  <si>
    <t>Nombre de cartells amb informació cultural</t>
  </si>
  <si>
    <t>Percentatge nombre d'itineraris identificats i classificats respecte al total</t>
  </si>
  <si>
    <t>Percentatge entre el nombre de pistes regulades/Nombre de pistes per regular</t>
  </si>
  <si>
    <t>* Ser part activa dels procesos de participació d'avaluació ambiental que afectin al PNCM</t>
  </si>
  <si>
    <t>*Aglutinar les dades recollides internament (projecte Memento Brigades), dades externes (Seguiment CAR i altres seguiments) i les dades provinents de Bases de Dades com Ornitho i Base de Dades de Biodiversitat</t>
  </si>
  <si>
    <t>Qui té competències d'això és la reserva de caça</t>
  </si>
  <si>
    <t>-</t>
  </si>
  <si>
    <t>Implementar la col·laboració  amb els ens locals a la gestió de 2 finques públiques per any que afavoreixin la maduresa del bosc cada any</t>
  </si>
  <si>
    <t>% participació en els procesos d'Avaluació ambiental</t>
  </si>
  <si>
    <t>* Col·laboració amb les Oficines Territorials d'Avaluació Ambiental per fer el seguiment d'obres</t>
  </si>
  <si>
    <t>% participació en el seguiment d'obres al parc</t>
  </si>
  <si>
    <t>% participació en l'elaboració dels instruments de planificació al parc</t>
  </si>
  <si>
    <t>participació en la identificació d'espais prioritaris per la gestió directa al parc - Indicador de rang</t>
  </si>
  <si>
    <t>%  de capes cartogràfiques elaborades respecte a les totals sol·licitades</t>
  </si>
  <si>
    <t>Conèixer i estudiar 5 processos naturals cada any</t>
  </si>
  <si>
    <t>Conèixer i estudiar 3 usos i factors de canvi rellevants</t>
  </si>
  <si>
    <t>% participació en la definició  de sistemes estàndard de seguiment al parc</t>
  </si>
  <si>
    <t>En un futur, de moment no ens ho podem plantejar</t>
  </si>
  <si>
    <t>Hores de dedicació (4 anys)</t>
  </si>
  <si>
    <t>% de convenis de col·laboració redactats</t>
  </si>
  <si>
    <t>*Impulsar la bona cooperació, i si s'escau, establir convenis de colaboració amb els equipaments culturals de l'àmbit del Parc
*Projecte parcs i museus
*Impulsa dels convenis de col·laboració amb la xarxa de museus i altres equipaments i entitats de referència
*Foment de la cooperació tècnica dels gestors de l'ENP amb els representants o custodis del patrimoni cultural, i coordinar-ne l'ús compartit dels recursos</t>
  </si>
  <si>
    <t>% de municipis del Parc on s'ha actualitzat l'inventari de pedra seca</t>
  </si>
  <si>
    <t xml:space="preserve">% d'activitats sobre valors culturals a l'oferta pedagògica </t>
  </si>
  <si>
    <t>Mantenir el bloc de patrimoni cultural als cursos oferts</t>
  </si>
  <si>
    <t>Realitzar l'acció 4 (Preservar i posar en valor la qualitat del cel nocturn) del programa d'actuacions de la CETS</t>
  </si>
  <si>
    <t xml:space="preserve">% de línies d'actuació </t>
  </si>
  <si>
    <t>Patrimoni Natural i Ús públic i educació ambiental</t>
  </si>
  <si>
    <t>200
150</t>
  </si>
  <si>
    <t>% de vinculacions a projectes de ciència ciutadana</t>
  </si>
  <si>
    <t>* Realitzar una jornada de recerca i conservació anual itinerant</t>
  </si>
  <si>
    <t>*Col·laborar amb el SENP en la definició del Sistema Estàndard de Seguiment de l'Ús Públic</t>
  </si>
  <si>
    <t>Realització de jornades de recerca i conservació</t>
  </si>
  <si>
    <t>% d'assistència a reunions amb el SENP per definir el Sistema Estàndard de Seguiment de l'Ús Públic</t>
  </si>
  <si>
    <t>Disposició d'un sistema homogeni de recollida de dades i seguiment de l'ús públic als ENP liderat pel SENP</t>
  </si>
  <si>
    <t>Inventari de les activitats i actors del PNCM</t>
  </si>
  <si>
    <t>*Dur a terme un registre d'activitats, actors i incidències en ús públic que s'actualitzi periòdicament</t>
  </si>
  <si>
    <t>Actualització anual del registre d'activitats, actors i incidències en ús públic</t>
  </si>
  <si>
    <t>% d'empreses CETS que inclouen l'ús de producte local al seu programa d'actuacions</t>
  </si>
  <si>
    <t>Catàleg de visites a productors o artesans locals</t>
  </si>
  <si>
    <t>Realització d'una fira itinerant d'artesans i productors locals</t>
  </si>
  <si>
    <t>Crear el grup de treball per intercanvi d'experiències entre sector primari i terciari en el marc de la CETS</t>
  </si>
  <si>
    <t>Ja ho fa IDAPA</t>
  </si>
  <si>
    <t>Iniciar la Fase II de la CETS</t>
  </si>
  <si>
    <t>% d'empreses que gaudeixen de la convalidació</t>
  </si>
  <si>
    <t>Mantenir els espais de treball de la CETS (grups de treball, fòrum permanent i taules temàtiques)</t>
  </si>
  <si>
    <t>Això correspon a la Fase III de la CETS</t>
  </si>
  <si>
    <t>*Disposar d'informació de les activitats d'educació ambiental que es realitzen en l'àmbit del Parc</t>
  </si>
  <si>
    <t>% d'espais coordinats de treball per la gestió de l'UP</t>
  </si>
  <si>
    <t>*Promoure sistemes de transport públic en zones freqüentades.</t>
  </si>
  <si>
    <t>% de protocols redactas per als centres/punts/àrees d'informació</t>
  </si>
  <si>
    <t>% de propostes de la diagnosi executades</t>
  </si>
  <si>
    <r>
      <t xml:space="preserve">%  d'agents que participen a les reunions periòdiques durant </t>
    </r>
    <r>
      <rPr>
        <b/>
        <sz val="11"/>
        <rFont val="Calibri"/>
        <family val="2"/>
        <scheme val="minor"/>
      </rPr>
      <t>l'any.</t>
    </r>
  </si>
  <si>
    <t>% de formacions realitzades</t>
  </si>
  <si>
    <t>Realització del curs bon/a coneixedor del Parc o curs d'informador/a del Parc anualment</t>
  </si>
  <si>
    <t>% de campanyes de sensibilització i bones pràctiques difoses</t>
  </si>
  <si>
    <t>≥50%</t>
  </si>
  <si>
    <t>% promoció de l'oferta d'activitats a la carta per a grups especialitzats</t>
  </si>
  <si>
    <t>% d'activitats i píndoles formatives per al grup de treball d'empreses d'activitats de la CETS</t>
  </si>
  <si>
    <t>Lleuger canvi en el redactat</t>
  </si>
  <si>
    <t>% d'activitats realitzades per millorar la inclusivitat al Parc</t>
  </si>
  <si>
    <t>% d'activitats relacionades amb salut i natura promogudes</t>
  </si>
  <si>
    <r>
      <t xml:space="preserve">*Elaborar els productes comunicatius que es determinin conjuntament amb Serveis Centrals : ex.un telegrama mensual, butlletí , agenda activitats trimestral, fulletó informatiu vinculats amb ús públic. Etc
</t>
    </r>
    <r>
      <rPr>
        <b/>
        <sz val="11"/>
        <color rgb="FF0070C0"/>
        <rFont val="Calibri"/>
        <family val="2"/>
        <scheme val="minor"/>
      </rPr>
      <t>* Potenciar les eines de comunicació que tenim a l'abast (xarxes socials, pàgina web, butleltí eelctrònic i revista informativa El picot negre).</t>
    </r>
    <r>
      <rPr>
        <sz val="11"/>
        <rFont val="Calibri"/>
        <family val="2"/>
        <scheme val="minor"/>
      </rPr>
      <t xml:space="preserve">
*Donar a conèixer l'equip del Parc a través dels diferents canals comunicatius.
*Inclusió d'aspectes de transparència informativa sobre el que s’està treballant des de l’ENP.
*Creació d'un banc d’imatges, vídeos, vídeos amb vols de dron
*Posar a disposició de la societat els estudis i informes que s'han fet del Parc (realització de jornades, infografies etc)
*Generació d'un servei geogràfic d'oferta de senders oficials i equipaments
*Vetllar pel correcte tractament i emmagatzematge d'aquests estudis i informes (repositori)</t>
    </r>
  </si>
  <si>
    <t>% de comunicacions sobre tasques de gestió que duu a terme l'ENP</t>
  </si>
  <si>
    <t>% de materials de difusió accessibles</t>
  </si>
  <si>
    <t xml:space="preserve">% de materials divulgatius realitzats </t>
  </si>
  <si>
    <t>Administració i Ús Públic i Educació Ambiental</t>
  </si>
  <si>
    <t>*Pla d’ordenació de l’acollida dels visitants
*Millora d'accessos i equipaments amb un ús elevat del Parc</t>
  </si>
  <si>
    <t>% d'escoles que participen a la trobada anual.</t>
  </si>
  <si>
    <t>% d'activitats noves realitzades anualment</t>
  </si>
  <si>
    <t>≥85%</t>
  </si>
  <si>
    <t>% de nous recursos realitzades anualment</t>
  </si>
  <si>
    <t>Combinant els dos objectius creiem que és el més realista</t>
  </si>
  <si>
    <t>% de noves entitats de voluntariat que participen a la TVPOCC</t>
  </si>
  <si>
    <t>01.3.7</t>
  </si>
  <si>
    <t>Afavorir la connectivitat ecològica del territori</t>
  </si>
  <si>
    <t>03.3.5</t>
  </si>
  <si>
    <t>Colaborar amb l'òrgan competent per la conservació del domini públic d'acord amb les delimitacions i la normativa d'usos vigent</t>
  </si>
  <si>
    <t>Impulsar i/o participar dels treballs de restauració arquitectònica, arqueològica i del patrimoni cultural</t>
  </si>
  <si>
    <t>Recuperar i conservar el patrimoni cultural immaterial (associat a les activitats i aprofitaments rurals tradicionals) i els valors espirituals</t>
  </si>
  <si>
    <t>Participar en la definició, organització i bolcatge de dades del SINATCAT</t>
  </si>
  <si>
    <t xml:space="preserve">Promoure i/o col·laborar en l'aplicació de Plans de Desenvolupament Local Sostenible </t>
  </si>
  <si>
    <t>Promoure els agents del territori que potencien i difonen els productes locals i de qualitat (artesanies, allotjaments, restaurants, cellers, establiments, elaboradors i productors) que afavoreixin la conservació</t>
  </si>
  <si>
    <t>09.1.3</t>
  </si>
  <si>
    <t>Fomentar la creació d'allotjaments i altres recursos turístics d'acord amb les necessitats i els agents turístics del territori que es vinculin als valors naturals de l'espai</t>
  </si>
  <si>
    <t>10.1.2</t>
  </si>
  <si>
    <t>Ordenar els aprofitaments i extraccions dins l'espai</t>
  </si>
  <si>
    <t>Ordenar l'acampada i pernoctació  en base a un model estandarditzat de Pla de protecció</t>
  </si>
  <si>
    <t>Ordenar la circulació rodada no motoritzada en base a un model estàndard de Pla de protecció</t>
  </si>
  <si>
    <t>Ordenar l'escalada i alpinisme, barranquisme, i espeleologia  en base a un model estàndard de Pla de protecció</t>
  </si>
  <si>
    <t>Ordenar les curses i altres activitats esportives organitzades en base a un model estàndard de Pla de protecció</t>
  </si>
  <si>
    <t>Ordenar els enregistraments i l'observació de fauna i natura en base a un model estàndard de Pla de protecció</t>
  </si>
  <si>
    <t>Ordenar les activitats científiques en base a un model estàndard de Pla de protecció</t>
  </si>
  <si>
    <t>Ordenar les zones de bany</t>
  </si>
  <si>
    <t>Ordenar l'enlairament i aterratge sense motor</t>
  </si>
  <si>
    <t>Ordenar el submarinisme i l'snorkel</t>
  </si>
  <si>
    <t>Ordenar les activitats aquàtiques i nàutiques i zones de fondeig</t>
  </si>
  <si>
    <t>Ordenar la presència d'animals de companyia</t>
  </si>
  <si>
    <t>Ordenar lels activitats d'educació ambiental i el lleure educatiu</t>
  </si>
  <si>
    <t>Ordenar l'accés i la circulació</t>
  </si>
  <si>
    <t>Ordenar la xarxa viària principal, secundària i restringida</t>
  </si>
  <si>
    <t>Ordenar l'ús de drons, l'enlairament i l'aterratge</t>
  </si>
  <si>
    <t>Ordenar l'aparcament de vehícles</t>
  </si>
  <si>
    <t>Disposar i mantenir els serveis, equipaments i infraestructures necessàries i accessibles per acollir, informar, facilitar la visita i garantir la seguretat dels visitants i la protecció de l'entorn</t>
  </si>
  <si>
    <t>13.2.5</t>
  </si>
  <si>
    <t>13.6.3</t>
  </si>
  <si>
    <t>Desplegar i/o participar a les Taules territorials de Salut i Natura</t>
  </si>
  <si>
    <t xml:space="preserve">Gestionar i millorar administrativament els pressupostos anuals d'entrades i despeses </t>
  </si>
  <si>
    <t>Planificar, detectar les necessitats de contractació del l'ENP per a l'optimització dels contractes a nivell de Xarxa i gestionar els contractes</t>
  </si>
  <si>
    <t>Planificar i gestionar els ajuts</t>
  </si>
  <si>
    <t>Millorar i mantenir el material, infraestructures i equipaments de gestió de l'espai</t>
  </si>
  <si>
    <t>Millorar l'accessibilitat i de la gestió documental i digital de l'ENP</t>
  </si>
  <si>
    <t>Gestionar, enfortir i consolidar l'equip de gestió del parc</t>
  </si>
  <si>
    <t>16.6.3</t>
  </si>
  <si>
    <t>Gestió ordinària i imprevistos no contemplats en cap dels Objectius opertatius anteriors</t>
  </si>
  <si>
    <t>Crear el catàleg língüístic de patrimoni natural, geografia popular, festes i activitats tradicionals.
%Fases de creació del catàleg</t>
  </si>
  <si>
    <t>Elaboració del mapa d'entitats relacionades amb el patrimoni cultural
%Fases de creació del mapa</t>
  </si>
  <si>
    <t>% fases de l'inventari d'activitats d'educació ambiental i lleure educatiu que es realitzen al Parc</t>
  </si>
  <si>
    <t xml:space="preserve">Elaborar el document amb propostes alternatives per èpoques de major afluència
% fases de per potenciar la visita a espais alternatius per èpoques de major afluència
</t>
  </si>
  <si>
    <t xml:space="preserve">Servei de tranport públic en zones freqüentades
% fases per promoure el transport públic en zones freqüentades/ total de fases previstes  x 100
</t>
  </si>
  <si>
    <t>% de propostes de temàtiques de recerca elaborades</t>
  </si>
  <si>
    <t>% fases per la realització d'una trobada anual amb escoles, CdA, Serveis Educatius i Parc</t>
  </si>
  <si>
    <t>% fases per la creació d'un programa de visites a productors locals</t>
  </si>
  <si>
    <t>% d'activitats d'EA noves dissenyades de caire lúdic adreçada a famílies</t>
  </si>
  <si>
    <t>% fases per l'establiment de vincles amb el lleure educatiu que es realitza al Parc</t>
  </si>
  <si>
    <t xml:space="preserve">% fases de creació del mapa de col·lectius estratègics del territori. </t>
  </si>
  <si>
    <t xml:space="preserve">*Estudi de percepció local
*Renovació del programa educatiu de forma adaptativa
</t>
  </si>
  <si>
    <t>% d'aliances amb programes i entitats de lleure educatiu establertes</t>
  </si>
  <si>
    <t>% fases per l'elaboració de l'agenda escolar dels Parcs del Pirineu</t>
  </si>
  <si>
    <t>% fases de creació del mapa de programes, projectes i accions que poden rebre suport de voluntariat</t>
  </si>
  <si>
    <t>% Realització formació anual en accessibilitat i diversitat funcional</t>
  </si>
  <si>
    <t>%Realització d'una formació anual en perspectiva de gènere</t>
  </si>
  <si>
    <t>% fases per identificar els agents clau i àmbits de col·laboració per implementar el binomi salut i natura</t>
  </si>
  <si>
    <t>% fases per dissenyar la comunicació del Parc</t>
  </si>
  <si>
    <t>% del nombre d'accions de millora implementades l'any, el target són 10 accions l'any</t>
  </si>
  <si>
    <t xml:space="preserve">Formació d'open standards als tècnics i augmentar en 6 processos en 4 anys on s'apliquin els open standards - Indicador de fases:
Fase 1. formació d'Open Standards (OS)
Fase 2. Evaluar  aplicació d'Open Standrds 
Fase 3. implementació
</t>
  </si>
  <si>
    <t>% de mesures implementades per any, el target són 10 accions l'any</t>
  </si>
  <si>
    <t>% d'accions implementades per any, el target són 10 accions l'any</t>
  </si>
  <si>
    <t>% tasques i objectius implementats dels compromisos internacionals per any, el target són 3 tasques/objectius per any</t>
  </si>
  <si>
    <t>% de Número d'espais on s'han fet accions per any respecte el número d'espais identificats</t>
  </si>
  <si>
    <t>% d'accions que afavoreixen la maduresa del bosc cada any, el target són 5 accions l'any</t>
  </si>
  <si>
    <t>Indicador per fases
1-Fer una reunió per plantejar les cremes controlades
2-identificar possibles zones on fer aquestes actuacions</t>
  </si>
  <si>
    <t xml:space="preserve">Indicador per fases
1- Reunir-nos per veure si cal fer-ho, i plantejar línies de treball bàsiques
2-  Identificar possibles zones on es podrien fer actuacions
3- Veure com es podria fer i quins actors hi hauria implicats
4- dur a terme alguna acció com a prova pilot. </t>
  </si>
  <si>
    <t xml:space="preserve">% de les fases assolides 
1- Plantejar possibles línies d'actuació
2- Decidir línies d'actuació prioritàries pels propers 4 anys
3- Identificar la bona pràctica i els actors implicats
4- dur a terme jornades teorico pràctiques. </t>
  </si>
  <si>
    <t>*Millora de punts d'aigua</t>
  </si>
  <si>
    <t xml:space="preserve">% d'execució de les 4 fases
1- Reunir-nos per veure si cal fer-ho, i plantejar línies de treball bàsiques
2-  Identificar possibles zones on es podrien fer actuacions
3- Veure com es podria fer i quins actors hi hauria implicats
4- dur a terme alguna acció com a prova pilot. </t>
  </si>
  <si>
    <t>% d'execució de les 4 fases
1- Reunir-nos per veure si cal fer-ho, i plantejar línies de treball bàsiques
2-  Inventeriar recursos hídrics (rius, fonts, abeuradors, basses naturals, basses d'incendis, etc) i el seu estat
3- Avaluar la necessitat d'actuar sobre cadascun dels recursos
4- planificar les actuacions anualment i dur-les a terme</t>
  </si>
  <si>
    <t xml:space="preserve">*Participació en la conservació del domini públic
*Repassar, si cal i quan calgui, la delimitació </t>
  </si>
  <si>
    <t>% de col·laboracions fetes respecte a les demanades per any</t>
  </si>
  <si>
    <t>participació en la identificació d'espais prioritaris de compra al parc - indicador de rang
0 quan s'ha demanat la participació i no s'ha fet la feina d'identificar espais
1 quan s'ha demanat la participació i s'ha fet la feina o bé que no s'hagi demanat la participació</t>
  </si>
  <si>
    <t>% d'elements claus identificats cada any, el target són 10 elements l'any</t>
  </si>
  <si>
    <t>% de fases assolides en l'elaboració del mapa final
Fase 1 - Definir línies d'actuació
Fase 2 - Recopil·lar la informació necessària
Fase 3 - Fer els anàlisis pertinents
Fase 4 - Elaboració d'un mapa final que cal revisar cada any</t>
  </si>
  <si>
    <t>% assoliment de les fases
1- Fer el seguiment anual dels Empedrats
2- Avaluar si cal fer seguiment ecològic en cap altre riu/torrent del parc</t>
  </si>
  <si>
    <t>participació en el coneixement i tendència d'espècies plaga al parc - indicador de rang
Rang
0 quan s'ha demanat la participació i no s'ha fet la feina amb espècies plaga
1 quan s'ha demanat la participació i s'ha fet la feina o bé que no s'hagi demanat la participació</t>
  </si>
  <si>
    <t>participació en el coneixement i tendència d'espècies exòtiques invasores al parc - indicador de rang
Rang
0 quan s'ha demanat la participació i no s'ha fet la feina amb espècies exòtiques invasores
1 quan s'ha demanat la participació i s'ha fet la feina o bé que no s'hagi demanat la participació</t>
  </si>
  <si>
    <t>% de Seguiment estàndards cada any, el target anual és 10</t>
  </si>
  <si>
    <t xml:space="preserve">*Implementar l'ús del SINATCAT al dia a dia del processos i gestió del parc. </t>
  </si>
  <si>
    <t>% fases assolides 
Fase 1 - identificar fonts de dades (dades esparses a la carpeta de patrimoni natural, Externes com CAR o seguiments varis, Bases de dades com ornitho i Banc de dades de biodiversitat, etc.)
Fase 2 - Elaborar una base de dades única
Fase 3 - Sistematitzar l'actualització de la base de dades</t>
  </si>
  <si>
    <t>Indicador de rang 
0 quan s'ha demanat la participació i no s'ha participat en els grups de treball del SINATCAT
1 quan s'ha demanat la participació i s'ha fet la feina o bé que no s'hagi demanat la participació</t>
  </si>
  <si>
    <t>* Gestió ordinària i d'imprevistos</t>
  </si>
  <si>
    <t>% nº de reunions de coordinació per any/ nº de reunions de coordinacion estimades per any</t>
  </si>
  <si>
    <t>55 % (6/11)</t>
  </si>
  <si>
    <t>100% (11/11)</t>
  </si>
  <si>
    <t>Fer 4 accions anuals aplicant les Directrius de gestió de l'Inventari del patrimoni geològic</t>
  </si>
  <si>
    <t>Comentaris</t>
  </si>
  <si>
    <t>No tinc ni idea de si hi ha possibles amenaces</t>
  </si>
  <si>
    <t>En aquest cas la tipologia d'amenaces podrien ser diferents:
- Urbanització i edificació
- Infrastructures de transport i serveis
- i qualsevol altre actuació per la qual calgui una avaluació d'impacte ambiental</t>
  </si>
  <si>
    <t>En aquest cas la tipologia d'amenaces podrien ser diferents:
- Urbanització i edificació
- Infrastructures de transport i serveis</t>
  </si>
  <si>
    <t>% fases assolides 
Fase 1 - Definir línies d'actuació i recopil·lar informacio
Fase 2 - Reunir-nos amb actors/gestors dels ENP veïns
Fase 3 - Fer els anàlisis pertinents
Fase 4 - Elaboració d'un mapa final i planificar actuacions futures (que es durant a terme més enllà del 2028)</t>
  </si>
  <si>
    <t xml:space="preserve">Aquest projecte o un de semblant hauria de sorgir de l'espai d'intercanvi exposat en la línia estratègica anterior. 
</t>
  </si>
  <si>
    <t>% d'IOF aprovats en els que ha participat l'ENP</t>
  </si>
  <si>
    <t>Execució de les actuacions recollides dins del PPIF                       Integrar la variable prevenció d'incendis en la recuperació i manteniment d'espais oberts</t>
  </si>
  <si>
    <t>Número d'actuacions d'interès per la prevenció IIFF</t>
  </si>
  <si>
    <t>2% anual</t>
  </si>
  <si>
    <t>10% anual</t>
  </si>
  <si>
    <t>Administració i Millora Rural</t>
  </si>
  <si>
    <t xml:space="preserve"> Nº sol·licituds convocatòria en curs/ nº de sol·licituds convocatòria anterior*100</t>
  </si>
  <si>
    <t>Brigada i personal d'informació</t>
  </si>
  <si>
    <t>Àrea de patrimoni natural i Millora rural</t>
  </si>
  <si>
    <t>Integració de criteris sobre zones sensibles al foc i zones no sensibles pels valors naturals que hi alberguen</t>
  </si>
  <si>
    <t>Percentatge d'accions realitzades respecte les que planteja el PPIF</t>
  </si>
  <si>
    <t>Carme O. 
Montse R.</t>
  </si>
  <si>
    <t xml:space="preserve">Montse R.
</t>
  </si>
  <si>
    <t>Montse R.</t>
  </si>
  <si>
    <t>Montse R.
Carme A. 
Gisela P.</t>
  </si>
  <si>
    <t>Aricia nicias</t>
  </si>
  <si>
    <t>Arvicola sapidus</t>
  </si>
  <si>
    <t>Boloria eunomia</t>
  </si>
  <si>
    <t>Erebia epistygne</t>
  </si>
  <si>
    <t>Mustela putorius</t>
  </si>
  <si>
    <t>Verins, peticides i rodenticides
Declivi població conill</t>
  </si>
  <si>
    <t>Pyrgus andromedae</t>
  </si>
  <si>
    <t>Lorena D.</t>
  </si>
  <si>
    <t>Marina V.</t>
  </si>
  <si>
    <t>Marina V.
Lorena D.</t>
  </si>
  <si>
    <t>Carme A.
Gisela P.</t>
  </si>
  <si>
    <t>75
75</t>
  </si>
  <si>
    <t>50
50</t>
  </si>
  <si>
    <t>75
50</t>
  </si>
  <si>
    <t>40
40</t>
  </si>
  <si>
    <t>150
100
75</t>
  </si>
  <si>
    <r>
      <t xml:space="preserve">150
</t>
    </r>
    <r>
      <rPr>
        <sz val="11"/>
        <color theme="1"/>
        <rFont val="Calibri"/>
        <family val="2"/>
        <scheme val="minor"/>
      </rPr>
      <t xml:space="preserve">100
100
</t>
    </r>
  </si>
  <si>
    <t>200
150
100</t>
  </si>
  <si>
    <t>225
100</t>
  </si>
  <si>
    <t>100
100</t>
  </si>
  <si>
    <t>50
100</t>
  </si>
  <si>
    <t>150
150</t>
  </si>
  <si>
    <t>250
250</t>
  </si>
  <si>
    <t>60
60</t>
  </si>
  <si>
    <t>100
60</t>
  </si>
  <si>
    <t>25
25</t>
  </si>
  <si>
    <t>100 
80</t>
  </si>
  <si>
    <t>20
100</t>
  </si>
  <si>
    <t>50
150</t>
  </si>
  <si>
    <t xml:space="preserve">50
75
</t>
  </si>
  <si>
    <t>Carme A. 
Lorena D.</t>
  </si>
  <si>
    <t xml:space="preserve">Montse R.
Queralt T.
</t>
  </si>
  <si>
    <t>480
80</t>
  </si>
  <si>
    <t>Brigada</t>
  </si>
  <si>
    <t xml:space="preserve">Persona responsable </t>
  </si>
  <si>
    <r>
      <t xml:space="preserve">Hores </t>
    </r>
    <r>
      <rPr>
        <b/>
        <sz val="10"/>
        <color theme="1"/>
        <rFont val="Calibri"/>
        <family val="2"/>
        <scheme val="minor"/>
      </rPr>
      <t>(Brigada i personal d'informació</t>
    </r>
    <r>
      <rPr>
        <b/>
        <sz val="11"/>
        <color theme="1"/>
        <rFont val="Calibri"/>
        <family val="2"/>
        <scheme val="minor"/>
      </rPr>
      <t>)</t>
    </r>
  </si>
  <si>
    <t>150
20</t>
  </si>
  <si>
    <t>Joan C.
Queralt T.</t>
  </si>
  <si>
    <t>1920
80</t>
  </si>
  <si>
    <t>960
50</t>
  </si>
  <si>
    <t>Àrea de Patrimoni Natural</t>
  </si>
  <si>
    <t>120
50</t>
  </si>
  <si>
    <t>1920
150</t>
  </si>
  <si>
    <t>Montse R.
Carme O
Queralt T..</t>
  </si>
  <si>
    <t>60
48
50</t>
  </si>
  <si>
    <t>Àrea de Patrimoni Natural i Millora rural</t>
  </si>
  <si>
    <t>Montse R.
Carme O.
Queralt T.</t>
  </si>
  <si>
    <t xml:space="preserve">120 
30
40 </t>
  </si>
  <si>
    <t xml:space="preserve">240 
30
80 </t>
  </si>
  <si>
    <t xml:space="preserve">120 
30
50 </t>
  </si>
  <si>
    <t>Carme O.
Queralt T.</t>
  </si>
  <si>
    <t>30
15</t>
  </si>
  <si>
    <t>120
30
30</t>
  </si>
  <si>
    <t>Carme O.
Joan C.</t>
  </si>
  <si>
    <t>Carme O.
Joan C.
Queralt T.</t>
  </si>
  <si>
    <t>280
40</t>
  </si>
  <si>
    <t>120
40</t>
  </si>
  <si>
    <t>40
25</t>
  </si>
  <si>
    <t xml:space="preserve">Montse R.
Joan C.
Queralt T.
</t>
  </si>
  <si>
    <t>40
15</t>
  </si>
  <si>
    <t>Joan C.</t>
  </si>
  <si>
    <t>110
20</t>
  </si>
  <si>
    <t>Personal informació</t>
  </si>
  <si>
    <t>Carme A.
Gisela P.
Queralt T.</t>
  </si>
  <si>
    <t>50
50
30</t>
  </si>
  <si>
    <t>100
75
30</t>
  </si>
  <si>
    <t>* Difondre l'inventari de patrimoni immaterial del qual disposa el PNCM (al públic local, ajuntaments i visitants)</t>
  </si>
  <si>
    <t>Queralt T.</t>
  </si>
  <si>
    <t>150
30</t>
  </si>
  <si>
    <t xml:space="preserve">Carme A.
Gisela P.
</t>
  </si>
  <si>
    <t>40
40
15</t>
  </si>
  <si>
    <t>20
30</t>
  </si>
  <si>
    <t>50
40
15</t>
  </si>
  <si>
    <t>160
40</t>
  </si>
  <si>
    <t>68
80</t>
  </si>
  <si>
    <t>100
75
50</t>
  </si>
  <si>
    <t>Brigada
Personal informació</t>
  </si>
  <si>
    <t>200
500</t>
  </si>
  <si>
    <t>75
50
20</t>
  </si>
  <si>
    <t>50
20</t>
  </si>
  <si>
    <t>80
20</t>
  </si>
  <si>
    <t>340
60</t>
  </si>
  <si>
    <t>50
50
40</t>
  </si>
  <si>
    <t>* Redacció d'informes i/o autoritzacions (segons tipologia) sobre aprofitaments i extraccions</t>
  </si>
  <si>
    <t>160
20</t>
  </si>
  <si>
    <t>140
20</t>
  </si>
  <si>
    <t>190
20</t>
  </si>
  <si>
    <t>250
20</t>
  </si>
  <si>
    <t>200
15</t>
  </si>
  <si>
    <t>300
20</t>
  </si>
  <si>
    <t>240
20</t>
  </si>
  <si>
    <t>300
15</t>
  </si>
  <si>
    <t>60
15</t>
  </si>
  <si>
    <t>200
75</t>
  </si>
  <si>
    <t>100
40</t>
  </si>
  <si>
    <t>200
40</t>
  </si>
  <si>
    <t>150
40</t>
  </si>
  <si>
    <t>Carme O
Queralt</t>
  </si>
  <si>
    <t>200
50</t>
  </si>
  <si>
    <t>Ja tenim un pla estratègic fet (va caducar el 2022) i cal revisar-lo i actualitzar-lo</t>
  </si>
  <si>
    <t>150
150
20</t>
  </si>
  <si>
    <t>50
50
20</t>
  </si>
  <si>
    <t>100
50
20</t>
  </si>
  <si>
    <t>100
275
20</t>
  </si>
  <si>
    <t>810
250</t>
  </si>
  <si>
    <t>40
40
20</t>
  </si>
  <si>
    <t>No tenim coneixement d'aquestes taules de salut i natura al territori</t>
  </si>
  <si>
    <t>Carme A.
Queralt T.</t>
  </si>
  <si>
    <t>Lorena D.
Queralt T.</t>
  </si>
  <si>
    <t>800
90</t>
  </si>
  <si>
    <t>Marina V.
Carme O.
Queralt T.</t>
  </si>
  <si>
    <t>Lorena D.
Marina V.
Queralt T.</t>
  </si>
  <si>
    <t>Marina V.
Lorena D.
Queralt T.</t>
  </si>
  <si>
    <t>400
150</t>
  </si>
  <si>
    <t xml:space="preserve">Queralt T.
Marina V.
</t>
  </si>
  <si>
    <t>Productes locals</t>
  </si>
  <si>
    <t>nª de publicacions sobre patrimoni immaterial</t>
  </si>
  <si>
    <t>% Nombre d'informes emesos en termini per any / nº total d'informes emesos</t>
  </si>
  <si>
    <t>nª de reunions per tractar temes d'ordenació de l'UP amb ajuntaments</t>
  </si>
  <si>
    <t>Àrea de Millora rural</t>
  </si>
  <si>
    <t>320
800
90</t>
  </si>
  <si>
    <t>3400
2300
90</t>
  </si>
  <si>
    <t>70
70
80</t>
  </si>
  <si>
    <t>400
400
20</t>
  </si>
  <si>
    <t>200
200</t>
  </si>
  <si>
    <t xml:space="preserve">*Realització d'accions per a la millora dels elements prioritzats a l'espai
*Elaboració de plans de gestió per elements prioritzats a l'espai </t>
  </si>
  <si>
    <t>1920 
150</t>
  </si>
  <si>
    <t xml:space="preserve">
*Cercar museus i equipaments de referència per treballar el binomi cultura i natura.
*Disseny i desenvolupament de les línies d'actuació compatides.
</t>
  </si>
  <si>
    <t>Consultat expert</t>
  </si>
  <si>
    <t>Desplegar el Pla estratègic 2025-2030 d’educació i voluntariat ambiental del Parc Natural del Cadí-Moixeró (PEEVA): Educació ambiental</t>
  </si>
  <si>
    <t>* Revisar el pla estratègic 2019-2022 d'educació i voluntariat ambiental (què queda pendent de fer)
* Actualitzar i redactar un nou pla estratègic 2025-2030</t>
  </si>
  <si>
    <t>% fases per la revisió i actualització del Pla Estratègic</t>
  </si>
  <si>
    <t>Desplegar el Pla estratègic 2025-2030 d’educació i voluntariat ambiental del Parc Natural del Cadí-Moixeró (PEEVA): Voluntariat</t>
  </si>
  <si>
    <t>120
100
100</t>
  </si>
  <si>
    <t>Assistència a cursos de formació pel personal responsable en temes de comunicació.</t>
  </si>
  <si>
    <t xml:space="preserve">500
500
500
500
1000
500
500
500
</t>
  </si>
  <si>
    <t>1500
1000</t>
  </si>
  <si>
    <t>Queralt T
Joan C
Carme A
Gisela P.
Montse R
Carme O
Lorena D.
Marina V.</t>
  </si>
  <si>
    <t>No participem de manera activa en treballs d'aquest tipus. Si en el futur hi ha aquesta demanda, buscarem personal format en aquest àmbit per donar-li resposta.</t>
  </si>
  <si>
    <t>100
70
50</t>
  </si>
  <si>
    <t>200
75
140</t>
  </si>
  <si>
    <t>50
175</t>
  </si>
  <si>
    <t>50
125</t>
  </si>
  <si>
    <t>100
300</t>
  </si>
  <si>
    <t>100
150</t>
  </si>
  <si>
    <t>350
110</t>
  </si>
  <si>
    <t>Nº d'actuacions de manteniment i millora a accessos, aparcaments i centres d'interès</t>
  </si>
  <si>
    <t>Nº d'actuacions de manteniment i millora d'espais i intraestructures existents</t>
  </si>
  <si>
    <t>20
20</t>
  </si>
  <si>
    <t>40
10
15</t>
  </si>
  <si>
    <t>64
10
20</t>
  </si>
  <si>
    <t>150
150
100</t>
  </si>
  <si>
    <t xml:space="preserve">300
</t>
  </si>
  <si>
    <t>250
70</t>
  </si>
  <si>
    <t>UGA: Dissenyar i desplegar el nou sistema de seguiment pressupostari conjunt per a tots els ENP.
SENP:  Crear espais de coordinació entre ENP per identificar les despeses comunes</t>
  </si>
  <si>
    <t>Cadí-Moixeró</t>
  </si>
  <si>
    <t>Per la quantiat, magnitud i estat de conservació, els rius no són un element prioritari pel parc</t>
  </si>
  <si>
    <t>Se'n ocupa la Reserva Nacional de Caça</t>
  </si>
  <si>
    <t>No és una prioritat pel parc</t>
  </si>
  <si>
    <t>Tenim un esborrany PPIF i estem en procés d'actualització/legalització</t>
  </si>
  <si>
    <t>% de cartografia compartida amb els diferents departaments</t>
  </si>
  <si>
    <t>Ja disposem d'un inventari de patrimoni etnològic immaterial del Parc.</t>
  </si>
  <si>
    <t>Promoure i conservar les varietats i raçes locals:
Banc de llavors
*Convenis ramaders per la cria de races locals
* Manteniment dels fruiterars de salvaguarda
* Explorar nous punts de plantació de fruiterars ja siguin públics o privats</t>
  </si>
  <si>
    <r>
      <t xml:space="preserve">
*Cercar museus i equipaments de referència per treballar el binomi cultura i natura.
*</t>
    </r>
    <r>
      <rPr>
        <sz val="11"/>
        <rFont val="Calibri"/>
        <family val="2"/>
      </rPr>
      <t xml:space="preserve">Disseny i desenvolupament de les línies d'actuació compatides.
</t>
    </r>
  </si>
  <si>
    <t>En un futur ho creiem molt interessant. De moment, hem de fer un treball previ de maduresa.</t>
  </si>
  <si>
    <t>S'ha fet i es fa. Per tant no és un objectiu a assolir</t>
  </si>
  <si>
    <t xml:space="preserve">*Implementació del sistema estandaritzat de presa de dades i seguiment de la freqüentació en ENP del SENP
*Establiment de models de freqüentació que serveixin per gestionar l'ús públic en l'ENP conjuntament amb la UIC
*Seguiment i gestió dels eco-comptadors de vehicles i persones d'entrada al PNCM
*Anàlisi estadístic del perfil de visitants als Centres d'Informació del PNCM
*Estudi de Freqüentació i Caracterització de Visitants del PNCM
*Estudis de Capacitat de Càrrega del PNCM
</t>
  </si>
  <si>
    <t>*Inventariar les activitats no organitzades que es desenvolupen al PNCM
*Inventariar les activitats organitzades que s'organitzen al PNCM sense afany de lucre
*Inventariar les activitats organitzades que es comercialitzen al PNCM, així com les empreses implicades</t>
  </si>
  <si>
    <t>Recomanacions i accions per mantenir punts d'interès:
 Jornades de recuperació de murs de pedra seca
* Actuacions de la brigada en punts d'aigua pel correcte manteniment
* propostres de millora de la gestió de punts d'aigua i marges</t>
  </si>
  <si>
    <t>150
75</t>
  </si>
  <si>
    <t>1100
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</si>
</sst>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9"/>
      <color rgb="FF1F1F1F"/>
      <name val="&quot;Google Sans&quot;"/>
    </font>
    <font>
      <u/>
      <sz val="11"/>
      <color theme="10"/>
      <name val="Calibri"/>
      <family val="2"/>
      <scheme val="minor"/>
    </font>
    <font>
      <sz val="11"/>
      <color rgb="FFFFC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3D9B35"/>
        <bgColor indexed="64"/>
      </patternFill>
    </fill>
    <fill>
      <patternFill patternType="solid">
        <fgColor rgb="FFBCBF00"/>
        <bgColor indexed="64"/>
      </patternFill>
    </fill>
    <fill>
      <patternFill patternType="solid">
        <fgColor rgb="FF00ABD4"/>
        <bgColor indexed="64"/>
      </patternFill>
    </fill>
    <fill>
      <patternFill patternType="solid">
        <fgColor rgb="FFF85C26"/>
        <bgColor indexed="64"/>
      </patternFill>
    </fill>
    <fill>
      <patternFill patternType="solid">
        <fgColor rgb="FFFABC2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094A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1D33"/>
        <bgColor indexed="64"/>
      </patternFill>
    </fill>
    <fill>
      <patternFill patternType="solid">
        <fgColor rgb="FFCC99FF"/>
        <bgColor indexed="64"/>
      </patternFill>
    </fill>
  </fills>
  <borders count="110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theme="8"/>
      </left>
      <right/>
      <top style="thin">
        <color rgb="FF00B0F0"/>
      </top>
      <bottom/>
      <diagonal/>
    </border>
    <border>
      <left/>
      <right style="thin">
        <color theme="8"/>
      </right>
      <top style="thin">
        <color rgb="FF00B0F0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8497B0"/>
      </right>
      <top/>
      <bottom/>
      <diagonal/>
    </border>
    <border>
      <left style="thin">
        <color rgb="FF8497B0"/>
      </left>
      <right/>
      <top style="thin">
        <color rgb="FF8497B0"/>
      </top>
      <bottom/>
      <diagonal/>
    </border>
    <border>
      <left style="thin">
        <color rgb="FF8497B0"/>
      </left>
      <right/>
      <top/>
      <bottom/>
      <diagonal/>
    </border>
    <border>
      <left style="thin">
        <color rgb="FF8497B0"/>
      </left>
      <right/>
      <top style="thin">
        <color rgb="FF8497B0"/>
      </top>
      <bottom style="thin">
        <color rgb="FF8497B0"/>
      </bottom>
      <diagonal/>
    </border>
    <border>
      <left/>
      <right style="thin">
        <color rgb="FF8497B0"/>
      </right>
      <top style="thin">
        <color theme="3" tint="0.39994506668294322"/>
      </top>
      <bottom/>
      <diagonal/>
    </border>
    <border>
      <left style="thin">
        <color rgb="FF8497B0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 style="thin">
        <color rgb="FF8497B0"/>
      </left>
      <right/>
      <top/>
      <bottom style="thin">
        <color theme="3" tint="0.39994506668294322"/>
      </bottom>
      <diagonal/>
    </border>
    <border>
      <left/>
      <right style="thin">
        <color theme="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5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6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5"/>
      </top>
      <bottom style="thin">
        <color theme="4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 style="thin">
        <color theme="8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 style="thin">
        <color theme="8"/>
      </right>
      <top/>
      <bottom style="thin">
        <color theme="8" tint="-0.24994659260841701"/>
      </bottom>
      <diagonal/>
    </border>
    <border>
      <left/>
      <right/>
      <top/>
      <bottom style="thin">
        <color theme="9"/>
      </bottom>
      <diagonal/>
    </border>
    <border>
      <left style="thin">
        <color rgb="FF8497B0"/>
      </left>
      <right/>
      <top/>
      <bottom style="thin">
        <color rgb="FF8497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/>
      <top/>
      <bottom style="thin">
        <color theme="5"/>
      </bottom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rgb="FF00B0F0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9"/>
      </top>
      <bottom/>
      <diagonal/>
    </border>
    <border>
      <left/>
      <right/>
      <top/>
      <bottom style="thin">
        <color theme="3" tint="0.39994506668294322"/>
      </bottom>
      <diagonal/>
    </border>
    <border>
      <left/>
      <right/>
      <top style="thin">
        <color rgb="FF8497B0"/>
      </top>
      <bottom/>
      <diagonal/>
    </border>
    <border>
      <left/>
      <right/>
      <top style="thin">
        <color rgb="FF8497B0"/>
      </top>
      <bottom style="thin">
        <color rgb="FF8497B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B0F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B0F0"/>
      </bottom>
      <diagonal/>
    </border>
    <border>
      <left/>
      <right style="thin">
        <color indexed="64"/>
      </right>
      <top/>
      <bottom style="thin">
        <color theme="8"/>
      </bottom>
      <diagonal/>
    </border>
    <border>
      <left/>
      <right style="thin">
        <color indexed="64"/>
      </right>
      <top style="thin">
        <color theme="9"/>
      </top>
      <bottom/>
      <diagonal/>
    </border>
    <border>
      <left/>
      <right style="thin">
        <color indexed="64"/>
      </right>
      <top/>
      <bottom style="thin">
        <color theme="9"/>
      </bottom>
      <diagonal/>
    </border>
    <border>
      <left/>
      <right style="thin">
        <color indexed="64"/>
      </right>
      <top style="thin">
        <color rgb="FF8497B0"/>
      </top>
      <bottom/>
      <diagonal/>
    </border>
    <border>
      <left/>
      <right style="thin">
        <color indexed="64"/>
      </right>
      <top/>
      <bottom style="thin">
        <color rgb="FF8497B0"/>
      </bottom>
      <diagonal/>
    </border>
    <border>
      <left/>
      <right style="thin">
        <color indexed="64"/>
      </right>
      <top style="thin">
        <color theme="5"/>
      </top>
      <bottom/>
      <diagonal/>
    </border>
    <border>
      <left/>
      <right style="thin">
        <color indexed="64"/>
      </right>
      <top/>
      <bottom style="thin">
        <color theme="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9" fillId="0" borderId="0"/>
    <xf numFmtId="0" fontId="27" fillId="0" borderId="0" applyNumberFormat="0" applyFill="0" applyBorder="0" applyAlignment="0" applyProtection="0"/>
    <xf numFmtId="9" fontId="32" fillId="0" borderId="0" applyFont="0" applyFill="0" applyBorder="0" applyAlignment="0" applyProtection="0"/>
  </cellStyleXfs>
  <cellXfs count="454"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12" borderId="2" xfId="0" applyNumberFormat="1" applyFont="1" applyFill="1" applyBorder="1" applyAlignment="1">
      <alignment horizontal="center" vertical="center" wrapText="1"/>
    </xf>
    <xf numFmtId="49" fontId="4" fillId="8" borderId="0" xfId="0" applyNumberFormat="1" applyFont="1" applyFill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3" fillId="15" borderId="21" xfId="0" applyNumberFormat="1" applyFont="1" applyFill="1" applyBorder="1" applyAlignment="1">
      <alignment horizontal="center" vertical="center" wrapText="1"/>
    </xf>
    <xf numFmtId="49" fontId="3" fillId="19" borderId="3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3" borderId="40" xfId="0" applyFont="1" applyFill="1" applyBorder="1" applyAlignment="1">
      <alignment vertical="center" wrapText="1"/>
    </xf>
    <xf numFmtId="49" fontId="3" fillId="23" borderId="40" xfId="0" applyNumberFormat="1" applyFont="1" applyFill="1" applyBorder="1" applyAlignment="1">
      <alignment horizontal="center" vertical="center" wrapText="1"/>
    </xf>
    <xf numFmtId="0" fontId="3" fillId="25" borderId="46" xfId="0" applyFont="1" applyFill="1" applyBorder="1" applyAlignment="1">
      <alignment horizontal="center" vertical="center" wrapText="1"/>
    </xf>
    <xf numFmtId="0" fontId="3" fillId="25" borderId="44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7" borderId="1" xfId="0" applyNumberFormat="1" applyFont="1" applyFill="1" applyBorder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4" fillId="4" borderId="0" xfId="0" applyNumberFormat="1" applyFont="1" applyFill="1" applyAlignment="1">
      <alignment horizontal="center" vertical="top" wrapText="1"/>
    </xf>
    <xf numFmtId="49" fontId="4" fillId="5" borderId="0" xfId="0" applyNumberFormat="1" applyFont="1" applyFill="1" applyAlignment="1">
      <alignment horizontal="center" vertical="top" wrapText="1"/>
    </xf>
    <xf numFmtId="49" fontId="4" fillId="6" borderId="0" xfId="0" applyNumberFormat="1" applyFont="1" applyFill="1" applyAlignment="1">
      <alignment horizontal="center" vertical="top" wrapText="1"/>
    </xf>
    <xf numFmtId="49" fontId="4" fillId="9" borderId="0" xfId="0" applyNumberFormat="1" applyFont="1" applyFill="1" applyAlignment="1">
      <alignment horizontal="center" vertical="top" wrapText="1"/>
    </xf>
    <xf numFmtId="0" fontId="3" fillId="17" borderId="27" xfId="0" applyFont="1" applyFill="1" applyBorder="1" applyAlignment="1">
      <alignment horizontal="center" vertical="top" wrapText="1"/>
    </xf>
    <xf numFmtId="0" fontId="3" fillId="17" borderId="29" xfId="0" applyFont="1" applyFill="1" applyBorder="1" applyAlignment="1">
      <alignment horizontal="center" vertical="top"/>
    </xf>
    <xf numFmtId="0" fontId="3" fillId="17" borderId="26" xfId="0" applyFont="1" applyFill="1" applyBorder="1" applyAlignment="1">
      <alignment horizontal="center" vertical="top"/>
    </xf>
    <xf numFmtId="0" fontId="3" fillId="11" borderId="6" xfId="0" applyFont="1" applyFill="1" applyBorder="1" applyAlignment="1">
      <alignment horizontal="center" vertical="top"/>
    </xf>
    <xf numFmtId="0" fontId="3" fillId="11" borderId="7" xfId="0" applyFont="1" applyFill="1" applyBorder="1" applyAlignment="1">
      <alignment horizontal="center" vertical="top"/>
    </xf>
    <xf numFmtId="0" fontId="3" fillId="11" borderId="8" xfId="0" applyFont="1" applyFill="1" applyBorder="1" applyAlignment="1">
      <alignment horizontal="center" vertical="top"/>
    </xf>
    <xf numFmtId="0" fontId="3" fillId="16" borderId="15" xfId="0" applyFont="1" applyFill="1" applyBorder="1" applyAlignment="1">
      <alignment horizontal="center" vertical="top"/>
    </xf>
    <xf numFmtId="0" fontId="3" fillId="16" borderId="16" xfId="0" applyFont="1" applyFill="1" applyBorder="1" applyAlignment="1">
      <alignment horizontal="left" vertical="top" wrapText="1"/>
    </xf>
    <xf numFmtId="0" fontId="3" fillId="13" borderId="11" xfId="0" applyFont="1" applyFill="1" applyBorder="1" applyAlignment="1">
      <alignment horizontal="left" vertical="top" wrapText="1"/>
    </xf>
    <xf numFmtId="0" fontId="3" fillId="13" borderId="12" xfId="0" applyFont="1" applyFill="1" applyBorder="1" applyAlignment="1">
      <alignment horizontal="center" vertical="top"/>
    </xf>
    <xf numFmtId="0" fontId="3" fillId="25" borderId="4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vertical="top" wrapText="1"/>
    </xf>
    <xf numFmtId="0" fontId="3" fillId="11" borderId="4" xfId="0" applyFont="1" applyFill="1" applyBorder="1" applyAlignment="1">
      <alignment vertical="top" wrapText="1"/>
    </xf>
    <xf numFmtId="0" fontId="3" fillId="11" borderId="5" xfId="0" applyFont="1" applyFill="1" applyBorder="1" applyAlignment="1">
      <alignment vertical="top" wrapText="1"/>
    </xf>
    <xf numFmtId="49" fontId="4" fillId="8" borderId="55" xfId="0" applyNumberFormat="1" applyFont="1" applyFill="1" applyBorder="1" applyAlignment="1">
      <alignment horizontal="center" vertical="top" wrapText="1"/>
    </xf>
    <xf numFmtId="0" fontId="3" fillId="16" borderId="15" xfId="0" applyFont="1" applyFill="1" applyBorder="1" applyAlignment="1">
      <alignment vertical="top"/>
    </xf>
    <xf numFmtId="0" fontId="3" fillId="16" borderId="17" xfId="0" applyFont="1" applyFill="1" applyBorder="1" applyAlignment="1">
      <alignment vertical="top"/>
    </xf>
    <xf numFmtId="49" fontId="4" fillId="4" borderId="0" xfId="0" applyNumberFormat="1" applyFont="1" applyFill="1" applyAlignment="1">
      <alignment vertical="top" wrapText="1"/>
    </xf>
    <xf numFmtId="0" fontId="3" fillId="17" borderId="27" xfId="0" applyFont="1" applyFill="1" applyBorder="1" applyAlignment="1">
      <alignment vertical="top" wrapText="1"/>
    </xf>
    <xf numFmtId="0" fontId="3" fillId="17" borderId="26" xfId="0" applyFont="1" applyFill="1" applyBorder="1" applyAlignment="1">
      <alignment vertical="top"/>
    </xf>
    <xf numFmtId="0" fontId="3" fillId="16" borderId="16" xfId="0" applyFont="1" applyFill="1" applyBorder="1" applyAlignment="1">
      <alignment vertical="top" wrapText="1"/>
    </xf>
    <xf numFmtId="0" fontId="3" fillId="16" borderId="18" xfId="0" applyFont="1" applyFill="1" applyBorder="1" applyAlignment="1">
      <alignment vertical="top" wrapText="1"/>
    </xf>
    <xf numFmtId="0" fontId="3" fillId="13" borderId="11" xfId="0" applyFont="1" applyFill="1" applyBorder="1" applyAlignment="1">
      <alignment vertical="top" wrapText="1"/>
    </xf>
    <xf numFmtId="0" fontId="3" fillId="13" borderId="10" xfId="0" applyFont="1" applyFill="1" applyBorder="1" applyAlignment="1">
      <alignment vertical="top"/>
    </xf>
    <xf numFmtId="49" fontId="4" fillId="3" borderId="0" xfId="0" applyNumberFormat="1" applyFont="1" applyFill="1" applyAlignment="1">
      <alignment vertical="top" wrapText="1"/>
    </xf>
    <xf numFmtId="0" fontId="3" fillId="17" borderId="25" xfId="0" applyFont="1" applyFill="1" applyBorder="1" applyAlignment="1">
      <alignment vertical="top" wrapText="1"/>
    </xf>
    <xf numFmtId="0" fontId="3" fillId="22" borderId="49" xfId="0" applyFont="1" applyFill="1" applyBorder="1" applyAlignment="1">
      <alignment vertical="top" wrapText="1"/>
    </xf>
    <xf numFmtId="0" fontId="3" fillId="22" borderId="50" xfId="0" applyFont="1" applyFill="1" applyBorder="1" applyAlignment="1">
      <alignment vertical="top" wrapText="1"/>
    </xf>
    <xf numFmtId="0" fontId="3" fillId="22" borderId="52" xfId="0" applyFont="1" applyFill="1" applyBorder="1" applyAlignment="1">
      <alignment vertical="top"/>
    </xf>
    <xf numFmtId="0" fontId="3" fillId="22" borderId="53" xfId="0" applyFont="1" applyFill="1" applyBorder="1" applyAlignment="1">
      <alignment vertical="top"/>
    </xf>
    <xf numFmtId="0" fontId="3" fillId="17" borderId="61" xfId="0" applyFont="1" applyFill="1" applyBorder="1" applyAlignment="1">
      <alignment horizontal="center" vertical="top" wrapText="1"/>
    </xf>
    <xf numFmtId="0" fontId="3" fillId="17" borderId="62" xfId="0" applyFont="1" applyFill="1" applyBorder="1" applyAlignment="1">
      <alignment horizontal="center" vertical="top" wrapText="1"/>
    </xf>
    <xf numFmtId="0" fontId="3" fillId="17" borderId="63" xfId="0" applyFont="1" applyFill="1" applyBorder="1" applyAlignment="1">
      <alignment horizontal="center" vertical="top" wrapText="1"/>
    </xf>
    <xf numFmtId="0" fontId="3" fillId="17" borderId="64" xfId="0" applyFont="1" applyFill="1" applyBorder="1" applyAlignment="1">
      <alignment horizontal="center" vertical="top" wrapText="1"/>
    </xf>
    <xf numFmtId="0" fontId="3" fillId="25" borderId="42" xfId="0" applyFont="1" applyFill="1" applyBorder="1" applyAlignment="1">
      <alignment vertical="center" wrapText="1"/>
    </xf>
    <xf numFmtId="0" fontId="3" fillId="25" borderId="43" xfId="0" applyFont="1" applyFill="1" applyBorder="1" applyAlignment="1">
      <alignment vertical="center" wrapText="1"/>
    </xf>
    <xf numFmtId="0" fontId="3" fillId="24" borderId="45" xfId="0" applyFont="1" applyFill="1" applyBorder="1" applyAlignment="1">
      <alignment vertical="top" wrapText="1"/>
    </xf>
    <xf numFmtId="0" fontId="3" fillId="24" borderId="41" xfId="0" applyFont="1" applyFill="1" applyBorder="1" applyAlignment="1">
      <alignment vertical="top" wrapText="1"/>
    </xf>
    <xf numFmtId="0" fontId="7" fillId="10" borderId="0" xfId="0" applyFont="1" applyFill="1" applyAlignment="1">
      <alignment vertical="top" wrapText="1"/>
    </xf>
    <xf numFmtId="0" fontId="3" fillId="21" borderId="47" xfId="0" applyFont="1" applyFill="1" applyBorder="1" applyAlignment="1">
      <alignment vertical="top"/>
    </xf>
    <xf numFmtId="0" fontId="3" fillId="21" borderId="0" xfId="0" applyFont="1" applyFill="1" applyAlignment="1">
      <alignment vertical="top"/>
    </xf>
    <xf numFmtId="0" fontId="0" fillId="0" borderId="0" xfId="0" applyAlignment="1">
      <alignment wrapText="1"/>
    </xf>
    <xf numFmtId="0" fontId="3" fillId="0" borderId="67" xfId="0" applyFont="1" applyBorder="1" applyAlignment="1">
      <alignment vertical="top" wrapText="1"/>
    </xf>
    <xf numFmtId="49" fontId="14" fillId="0" borderId="0" xfId="0" applyNumberFormat="1" applyFont="1" applyAlignment="1">
      <alignment horizontal="left"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49" fontId="14" fillId="0" borderId="0" xfId="0" applyNumberFormat="1" applyFont="1" applyAlignment="1">
      <alignment horizontal="center" vertical="top" wrapText="1"/>
    </xf>
    <xf numFmtId="49" fontId="14" fillId="0" borderId="0" xfId="0" applyNumberFormat="1" applyFont="1" applyAlignment="1">
      <alignment horizontal="right" vertical="top"/>
    </xf>
    <xf numFmtId="0" fontId="4" fillId="20" borderId="0" xfId="0" applyFont="1" applyFill="1" applyAlignment="1">
      <alignment horizontal="center" vertical="center" wrapText="1"/>
    </xf>
    <xf numFmtId="0" fontId="5" fillId="20" borderId="0" xfId="0" applyFont="1" applyFill="1" applyAlignment="1">
      <alignment horizontal="center" vertical="center" wrapText="1"/>
    </xf>
    <xf numFmtId="0" fontId="5" fillId="20" borderId="0" xfId="0" applyFont="1" applyFill="1" applyAlignment="1">
      <alignment horizontal="center" vertical="center"/>
    </xf>
    <xf numFmtId="49" fontId="5" fillId="20" borderId="0" xfId="0" applyNumberFormat="1" applyFont="1" applyFill="1" applyAlignment="1">
      <alignment horizontal="center" vertical="center" wrapText="1"/>
    </xf>
    <xf numFmtId="0" fontId="16" fillId="0" borderId="0" xfId="0" applyFont="1" applyFill="1" applyBorder="1" applyAlignment="1">
      <alignment vertical="top" wrapText="1"/>
    </xf>
    <xf numFmtId="0" fontId="1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12" borderId="9" xfId="0" applyFont="1" applyFill="1" applyBorder="1" applyAlignment="1">
      <alignment vertical="center" wrapText="1"/>
    </xf>
    <xf numFmtId="0" fontId="3" fillId="15" borderId="23" xfId="0" applyFont="1" applyFill="1" applyBorder="1" applyAlignment="1">
      <alignment vertical="center" wrapText="1"/>
    </xf>
    <xf numFmtId="0" fontId="3" fillId="19" borderId="39" xfId="0" applyFont="1" applyFill="1" applyBorder="1" applyAlignment="1">
      <alignment horizontal="left" vertical="center" wrapText="1"/>
    </xf>
    <xf numFmtId="0" fontId="3" fillId="25" borderId="47" xfId="0" applyFont="1" applyFill="1" applyBorder="1" applyAlignment="1">
      <alignment horizontal="left" vertical="center" wrapText="1"/>
    </xf>
    <xf numFmtId="0" fontId="3" fillId="25" borderId="75" xfId="0" applyFont="1" applyFill="1" applyBorder="1" applyAlignment="1">
      <alignment vertical="center" wrapText="1"/>
    </xf>
    <xf numFmtId="0" fontId="3" fillId="25" borderId="0" xfId="0" applyFont="1" applyFill="1" applyBorder="1" applyAlignment="1">
      <alignment vertical="center" wrapText="1"/>
    </xf>
    <xf numFmtId="0" fontId="3" fillId="25" borderId="0" xfId="0" applyFont="1" applyFill="1" applyBorder="1" applyAlignment="1">
      <alignment horizontal="left" vertical="center" wrapText="1"/>
    </xf>
    <xf numFmtId="0" fontId="3" fillId="25" borderId="76" xfId="0" applyFont="1" applyFill="1" applyBorder="1" applyAlignment="1">
      <alignment vertical="center" wrapText="1"/>
    </xf>
    <xf numFmtId="0" fontId="5" fillId="20" borderId="67" xfId="0" applyFont="1" applyFill="1" applyBorder="1" applyAlignment="1">
      <alignment horizontal="center" vertical="center" wrapText="1"/>
    </xf>
    <xf numFmtId="0" fontId="5" fillId="20" borderId="67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/>
    </xf>
    <xf numFmtId="0" fontId="4" fillId="20" borderId="67" xfId="0" applyFont="1" applyFill="1" applyBorder="1" applyAlignment="1">
      <alignment horizontal="center" vertical="center"/>
    </xf>
    <xf numFmtId="0" fontId="4" fillId="20" borderId="67" xfId="0" applyFont="1" applyFill="1" applyBorder="1" applyAlignment="1">
      <alignment horizontal="center" vertical="center" wrapText="1"/>
    </xf>
    <xf numFmtId="0" fontId="3" fillId="20" borderId="67" xfId="0" applyFont="1" applyFill="1" applyBorder="1" applyAlignment="1">
      <alignment horizontal="center" vertical="center" wrapText="1"/>
    </xf>
    <xf numFmtId="0" fontId="3" fillId="20" borderId="67" xfId="0" applyFont="1" applyFill="1" applyBorder="1" applyAlignment="1">
      <alignment horizontal="left" vertical="center" wrapText="1"/>
    </xf>
    <xf numFmtId="0" fontId="3" fillId="20" borderId="67" xfId="0" applyFont="1" applyFill="1" applyBorder="1" applyAlignment="1">
      <alignment horizontal="center" vertical="center"/>
    </xf>
    <xf numFmtId="0" fontId="3" fillId="0" borderId="67" xfId="0" applyFont="1" applyBorder="1" applyAlignment="1">
      <alignment horizontal="left" vertical="center" wrapText="1"/>
    </xf>
    <xf numFmtId="0" fontId="0" fillId="0" borderId="67" xfId="0" applyBorder="1" applyAlignment="1">
      <alignment horizontal="center" vertical="center"/>
    </xf>
    <xf numFmtId="0" fontId="0" fillId="20" borderId="67" xfId="0" applyFill="1" applyBorder="1" applyAlignment="1">
      <alignment horizontal="center" vertical="center"/>
    </xf>
    <xf numFmtId="0" fontId="0" fillId="20" borderId="67" xfId="0" applyFill="1" applyBorder="1" applyAlignment="1">
      <alignment horizontal="left" vertical="center" wrapText="1"/>
    </xf>
    <xf numFmtId="0" fontId="0" fillId="0" borderId="67" xfId="0" applyBorder="1" applyAlignment="1">
      <alignment vertical="top"/>
    </xf>
    <xf numFmtId="0" fontId="1" fillId="20" borderId="67" xfId="0" applyFont="1" applyFill="1" applyBorder="1" applyAlignment="1">
      <alignment horizontal="left" vertical="center" wrapText="1"/>
    </xf>
    <xf numFmtId="0" fontId="0" fillId="20" borderId="67" xfId="0" applyFill="1" applyBorder="1" applyAlignment="1">
      <alignment horizontal="center" vertical="center" wrapText="1"/>
    </xf>
    <xf numFmtId="0" fontId="9" fillId="20" borderId="67" xfId="0" applyFont="1" applyFill="1" applyBorder="1" applyAlignment="1">
      <alignment horizontal="left" vertical="center" wrapText="1"/>
    </xf>
    <xf numFmtId="0" fontId="3" fillId="0" borderId="67" xfId="0" applyFont="1" applyBorder="1" applyAlignment="1">
      <alignment horizontal="left" vertical="top" wrapText="1"/>
    </xf>
    <xf numFmtId="0" fontId="3" fillId="0" borderId="67" xfId="0" quotePrefix="1" applyFont="1" applyBorder="1" applyAlignment="1">
      <alignment vertical="top" wrapText="1"/>
    </xf>
    <xf numFmtId="0" fontId="9" fillId="20" borderId="67" xfId="0" applyFont="1" applyFill="1" applyBorder="1" applyAlignment="1">
      <alignment horizontal="center" vertical="center" wrapText="1"/>
    </xf>
    <xf numFmtId="0" fontId="9" fillId="0" borderId="67" xfId="0" applyFont="1" applyBorder="1" applyAlignment="1">
      <alignment vertical="top" wrapText="1"/>
    </xf>
    <xf numFmtId="0" fontId="8" fillId="20" borderId="67" xfId="0" applyFont="1" applyFill="1" applyBorder="1" applyAlignment="1">
      <alignment horizontal="left" vertical="center" wrapText="1"/>
    </xf>
    <xf numFmtId="0" fontId="9" fillId="20" borderId="67" xfId="0" applyFont="1" applyFill="1" applyBorder="1" applyAlignment="1">
      <alignment horizontal="center" vertical="center"/>
    </xf>
    <xf numFmtId="0" fontId="6" fillId="20" borderId="67" xfId="0" applyFont="1" applyFill="1" applyBorder="1" applyAlignment="1">
      <alignment horizontal="left" vertical="center" wrapText="1"/>
    </xf>
    <xf numFmtId="0" fontId="0" fillId="0" borderId="67" xfId="0" applyBorder="1" applyAlignment="1">
      <alignment vertical="top" wrapText="1"/>
    </xf>
    <xf numFmtId="0" fontId="4" fillId="0" borderId="67" xfId="0" applyFont="1" applyBorder="1" applyAlignment="1">
      <alignment horizontal="center" vertical="center" wrapText="1"/>
    </xf>
    <xf numFmtId="0" fontId="6" fillId="0" borderId="67" xfId="0" applyFont="1" applyBorder="1" applyAlignment="1">
      <alignment vertical="top" wrapText="1"/>
    </xf>
    <xf numFmtId="0" fontId="4" fillId="26" borderId="0" xfId="0" applyFont="1" applyFill="1" applyAlignment="1">
      <alignment wrapText="1"/>
    </xf>
    <xf numFmtId="0" fontId="0" fillId="26" borderId="0" xfId="0" applyFill="1" applyAlignment="1">
      <alignment wrapText="1"/>
    </xf>
    <xf numFmtId="0" fontId="4" fillId="26" borderId="0" xfId="0" applyFont="1" applyFill="1" applyAlignment="1"/>
    <xf numFmtId="0" fontId="18" fillId="0" borderId="0" xfId="0" applyFont="1"/>
    <xf numFmtId="0" fontId="4" fillId="0" borderId="0" xfId="0" applyFont="1"/>
    <xf numFmtId="0" fontId="13" fillId="0" borderId="0" xfId="0" applyFont="1"/>
    <xf numFmtId="0" fontId="0" fillId="0" borderId="67" xfId="0" applyBorder="1"/>
    <xf numFmtId="0" fontId="0" fillId="0" borderId="79" xfId="0" applyBorder="1"/>
    <xf numFmtId="0" fontId="13" fillId="0" borderId="80" xfId="0" applyFont="1" applyBorder="1" applyAlignment="1">
      <alignment horizontal="center"/>
    </xf>
    <xf numFmtId="0" fontId="13" fillId="0" borderId="81" xfId="0" applyFont="1" applyBorder="1" applyAlignment="1">
      <alignment horizontal="center"/>
    </xf>
    <xf numFmtId="0" fontId="13" fillId="0" borderId="82" xfId="0" applyFont="1" applyBorder="1" applyAlignment="1">
      <alignment horizontal="center" wrapText="1"/>
    </xf>
    <xf numFmtId="0" fontId="20" fillId="0" borderId="0" xfId="1" applyFont="1" applyAlignment="1">
      <alignment vertical="center"/>
    </xf>
    <xf numFmtId="0" fontId="21" fillId="0" borderId="0" xfId="1" applyFont="1" applyAlignment="1">
      <alignment horizontal="left" vertical="center"/>
    </xf>
    <xf numFmtId="0" fontId="21" fillId="0" borderId="0" xfId="1" applyFont="1" applyAlignment="1">
      <alignment vertical="center"/>
    </xf>
    <xf numFmtId="0" fontId="21" fillId="0" borderId="0" xfId="1" applyFont="1" applyAlignment="1">
      <alignment vertical="center" wrapText="1"/>
    </xf>
    <xf numFmtId="0" fontId="19" fillId="0" borderId="0" xfId="1" applyFont="1" applyAlignment="1"/>
    <xf numFmtId="0" fontId="22" fillId="0" borderId="0" xfId="1" applyFont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7" fillId="27" borderId="0" xfId="1" applyFont="1" applyFill="1" applyAlignment="1">
      <alignment horizontal="center" vertical="top" wrapText="1"/>
    </xf>
    <xf numFmtId="0" fontId="7" fillId="27" borderId="0" xfId="1" applyFont="1" applyFill="1" applyAlignment="1">
      <alignment horizontal="left" vertical="top" wrapText="1"/>
    </xf>
    <xf numFmtId="0" fontId="7" fillId="27" borderId="0" xfId="1" applyFont="1" applyFill="1" applyAlignment="1">
      <alignment vertical="top" wrapText="1"/>
    </xf>
    <xf numFmtId="0" fontId="21" fillId="0" borderId="0" xfId="1" applyFont="1" applyAlignment="1">
      <alignment horizontal="center" vertical="top" wrapText="1"/>
    </xf>
    <xf numFmtId="0" fontId="21" fillId="0" borderId="0" xfId="1" applyFont="1" applyAlignment="1">
      <alignment vertical="top" wrapText="1"/>
    </xf>
    <xf numFmtId="0" fontId="21" fillId="0" borderId="0" xfId="1" applyFont="1" applyAlignment="1">
      <alignment vertical="top"/>
    </xf>
    <xf numFmtId="0" fontId="25" fillId="28" borderId="0" xfId="1" applyFont="1" applyFill="1" applyAlignment="1">
      <alignment horizontal="center" vertical="top" wrapText="1"/>
    </xf>
    <xf numFmtId="0" fontId="21" fillId="0" borderId="0" xfId="1" applyFont="1" applyAlignment="1">
      <alignment horizontal="left" vertical="top" wrapText="1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left" vertical="center" wrapText="1"/>
    </xf>
    <xf numFmtId="0" fontId="21" fillId="0" borderId="0" xfId="1" applyFont="1" applyAlignment="1">
      <alignment horizontal="center" vertical="center" wrapText="1"/>
    </xf>
    <xf numFmtId="0" fontId="26" fillId="28" borderId="0" xfId="1" applyFont="1" applyFill="1" applyAlignment="1">
      <alignment horizontal="center" vertical="center" wrapText="1"/>
    </xf>
    <xf numFmtId="0" fontId="0" fillId="0" borderId="79" xfId="0" applyBorder="1" applyAlignment="1">
      <alignment wrapText="1"/>
    </xf>
    <xf numFmtId="0" fontId="13" fillId="0" borderId="81" xfId="0" applyFont="1" applyBorder="1" applyAlignment="1">
      <alignment horizontal="center" wrapText="1"/>
    </xf>
    <xf numFmtId="0" fontId="3" fillId="0" borderId="67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/>
    </xf>
    <xf numFmtId="0" fontId="21" fillId="0" borderId="0" xfId="1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84" xfId="0" applyBorder="1"/>
    <xf numFmtId="0" fontId="0" fillId="0" borderId="85" xfId="0" applyBorder="1"/>
    <xf numFmtId="0" fontId="4" fillId="18" borderId="89" xfId="0" applyFont="1" applyFill="1" applyBorder="1"/>
    <xf numFmtId="0" fontId="4" fillId="18" borderId="90" xfId="0" applyFont="1" applyFill="1" applyBorder="1"/>
    <xf numFmtId="0" fontId="0" fillId="0" borderId="91" xfId="0" applyBorder="1"/>
    <xf numFmtId="0" fontId="0" fillId="0" borderId="93" xfId="0" applyBorder="1"/>
    <xf numFmtId="0" fontId="0" fillId="0" borderId="94" xfId="0" applyBorder="1"/>
    <xf numFmtId="0" fontId="27" fillId="0" borderId="0" xfId="2"/>
    <xf numFmtId="0" fontId="17" fillId="0" borderId="0" xfId="0" applyFont="1" applyAlignment="1">
      <alignment wrapText="1"/>
    </xf>
    <xf numFmtId="0" fontId="4" fillId="0" borderId="83" xfId="0" applyFont="1" applyBorder="1" applyAlignment="1">
      <alignment wrapText="1"/>
    </xf>
    <xf numFmtId="0" fontId="4" fillId="18" borderId="88" xfId="0" applyFont="1" applyFill="1" applyBorder="1" applyAlignment="1">
      <alignment wrapText="1"/>
    </xf>
    <xf numFmtId="0" fontId="0" fillId="0" borderId="0" xfId="0" applyAlignment="1"/>
    <xf numFmtId="0" fontId="16" fillId="20" borderId="67" xfId="0" applyFont="1" applyFill="1" applyBorder="1" applyAlignment="1">
      <alignment vertical="top" wrapText="1"/>
    </xf>
    <xf numFmtId="0" fontId="10" fillId="0" borderId="67" xfId="0" applyFont="1" applyFill="1" applyBorder="1" applyAlignment="1">
      <alignment wrapText="1"/>
    </xf>
    <xf numFmtId="0" fontId="0" fillId="0" borderId="67" xfId="0" applyBorder="1" applyAlignment="1">
      <alignment wrapText="1"/>
    </xf>
    <xf numFmtId="0" fontId="0" fillId="0" borderId="0" xfId="0" applyFill="1"/>
    <xf numFmtId="0" fontId="10" fillId="0" borderId="0" xfId="0" applyFont="1" applyFill="1"/>
    <xf numFmtId="0" fontId="28" fillId="0" borderId="0" xfId="0" applyFont="1" applyFill="1"/>
    <xf numFmtId="0" fontId="29" fillId="0" borderId="0" xfId="0" applyFont="1" applyFill="1"/>
    <xf numFmtId="0" fontId="30" fillId="0" borderId="0" xfId="0" applyFont="1" applyFill="1"/>
    <xf numFmtId="0" fontId="0" fillId="0" borderId="67" xfId="0" applyFill="1" applyBorder="1"/>
    <xf numFmtId="0" fontId="4" fillId="18" borderId="83" xfId="0" applyFont="1" applyFill="1" applyBorder="1" applyAlignment="1">
      <alignment wrapText="1"/>
    </xf>
    <xf numFmtId="0" fontId="4" fillId="18" borderId="84" xfId="0" applyFont="1" applyFill="1" applyBorder="1"/>
    <xf numFmtId="0" fontId="4" fillId="18" borderId="87" xfId="0" applyFont="1" applyFill="1" applyBorder="1"/>
    <xf numFmtId="0" fontId="0" fillId="0" borderId="89" xfId="0" applyFill="1" applyBorder="1"/>
    <xf numFmtId="0" fontId="4" fillId="0" borderId="89" xfId="0" applyFont="1" applyFill="1" applyBorder="1"/>
    <xf numFmtId="0" fontId="4" fillId="0" borderId="90" xfId="0" applyFont="1" applyFill="1" applyBorder="1"/>
    <xf numFmtId="0" fontId="0" fillId="0" borderId="95" xfId="0" applyFill="1" applyBorder="1"/>
    <xf numFmtId="0" fontId="0" fillId="0" borderId="78" xfId="0" applyFill="1" applyBorder="1"/>
    <xf numFmtId="0" fontId="10" fillId="0" borderId="78" xfId="0" applyFont="1" applyFill="1" applyBorder="1"/>
    <xf numFmtId="0" fontId="9" fillId="0" borderId="78" xfId="0" applyFont="1" applyFill="1" applyBorder="1"/>
    <xf numFmtId="0" fontId="10" fillId="0" borderId="93" xfId="0" applyFont="1" applyFill="1" applyBorder="1"/>
    <xf numFmtId="0" fontId="1" fillId="0" borderId="0" xfId="0" applyFont="1" applyAlignment="1">
      <alignment wrapText="1"/>
    </xf>
    <xf numFmtId="164" fontId="0" fillId="0" borderId="67" xfId="0" applyNumberFormat="1" applyBorder="1"/>
    <xf numFmtId="164" fontId="0" fillId="0" borderId="67" xfId="0" applyNumberFormat="1" applyFill="1" applyBorder="1"/>
    <xf numFmtId="0" fontId="0" fillId="29" borderId="67" xfId="0" applyFill="1" applyBorder="1"/>
    <xf numFmtId="0" fontId="0" fillId="0" borderId="89" xfId="0" applyFont="1" applyFill="1" applyBorder="1"/>
    <xf numFmtId="0" fontId="0" fillId="31" borderId="67" xfId="0" applyFill="1" applyBorder="1"/>
    <xf numFmtId="0" fontId="31" fillId="0" borderId="78" xfId="0" applyFont="1" applyFill="1" applyBorder="1"/>
    <xf numFmtId="0" fontId="30" fillId="30" borderId="0" xfId="0" applyFont="1" applyFill="1" applyBorder="1"/>
    <xf numFmtId="0" fontId="10" fillId="0" borderId="0" xfId="0" applyFont="1" applyFill="1" applyBorder="1"/>
    <xf numFmtId="0" fontId="0" fillId="0" borderId="0" xfId="0" applyBorder="1"/>
    <xf numFmtId="0" fontId="0" fillId="31" borderId="78" xfId="0" applyFill="1" applyBorder="1"/>
    <xf numFmtId="0" fontId="0" fillId="0" borderId="91" xfId="0" applyBorder="1" applyAlignment="1"/>
    <xf numFmtId="0" fontId="10" fillId="31" borderId="67" xfId="0" applyFont="1" applyFill="1" applyBorder="1" applyAlignment="1">
      <alignment wrapText="1"/>
    </xf>
    <xf numFmtId="0" fontId="31" fillId="31" borderId="78" xfId="0" applyFont="1" applyFill="1" applyBorder="1"/>
    <xf numFmtId="0" fontId="10" fillId="31" borderId="78" xfId="0" applyFont="1" applyFill="1" applyBorder="1"/>
    <xf numFmtId="0" fontId="31" fillId="31" borderId="67" xfId="0" applyFont="1" applyFill="1" applyBorder="1" applyAlignment="1">
      <alignment wrapText="1"/>
    </xf>
    <xf numFmtId="0" fontId="0" fillId="31" borderId="91" xfId="0" applyFill="1" applyBorder="1"/>
    <xf numFmtId="0" fontId="0" fillId="0" borderId="67" xfId="0" applyFill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7" xfId="0" applyFont="1" applyFill="1" applyBorder="1" applyAlignment="1">
      <alignment horizontal="left" vertical="center" wrapText="1"/>
    </xf>
    <xf numFmtId="0" fontId="3" fillId="31" borderId="67" xfId="0" applyFont="1" applyFill="1" applyBorder="1" applyAlignment="1">
      <alignment horizontal="left" vertical="center" wrapText="1"/>
    </xf>
    <xf numFmtId="0" fontId="0" fillId="20" borderId="67" xfId="0" applyFont="1" applyFill="1" applyBorder="1" applyAlignment="1">
      <alignment horizontal="left" vertical="center" wrapText="1"/>
    </xf>
    <xf numFmtId="0" fontId="0" fillId="0" borderId="67" xfId="0" applyFont="1" applyBorder="1" applyAlignment="1">
      <alignment horizontal="center" vertical="center"/>
    </xf>
    <xf numFmtId="0" fontId="0" fillId="0" borderId="67" xfId="0" applyFont="1" applyBorder="1" applyAlignment="1">
      <alignment vertical="top" wrapText="1"/>
    </xf>
    <xf numFmtId="0" fontId="3" fillId="31" borderId="67" xfId="0" applyFont="1" applyFill="1" applyBorder="1" applyAlignment="1">
      <alignment vertical="top" wrapText="1"/>
    </xf>
    <xf numFmtId="0" fontId="3" fillId="31" borderId="67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vertical="top" wrapText="1"/>
    </xf>
    <xf numFmtId="0" fontId="0" fillId="0" borderId="67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3" fillId="0" borderId="67" xfId="0" applyFont="1" applyBorder="1" applyAlignment="1">
      <alignment vertical="center" wrapText="1"/>
    </xf>
    <xf numFmtId="49" fontId="4" fillId="4" borderId="0" xfId="0" applyNumberFormat="1" applyFont="1" applyFill="1" applyAlignment="1">
      <alignment horizontal="center" vertical="top" wrapText="1"/>
    </xf>
    <xf numFmtId="0" fontId="3" fillId="11" borderId="7" xfId="0" applyFont="1" applyFill="1" applyBorder="1" applyAlignment="1">
      <alignment horizontal="center" vertical="top"/>
    </xf>
    <xf numFmtId="0" fontId="0" fillId="0" borderId="67" xfId="0" applyBorder="1" applyAlignment="1">
      <alignment horizontal="left" vertical="center" wrapText="1"/>
    </xf>
    <xf numFmtId="0" fontId="0" fillId="0" borderId="67" xfId="0" applyBorder="1" applyAlignment="1">
      <alignment horizontal="center" vertical="center" wrapText="1"/>
    </xf>
    <xf numFmtId="0" fontId="1" fillId="0" borderId="67" xfId="0" applyFont="1" applyBorder="1" applyAlignment="1">
      <alignment vertical="top" wrapText="1"/>
    </xf>
    <xf numFmtId="0" fontId="3" fillId="0" borderId="96" xfId="0" applyFont="1" applyBorder="1" applyAlignment="1">
      <alignment horizontal="left" vertical="top" wrapText="1"/>
    </xf>
    <xf numFmtId="0" fontId="3" fillId="0" borderId="96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4" fillId="0" borderId="67" xfId="0" applyFont="1" applyBorder="1" applyAlignment="1">
      <alignment wrapText="1"/>
    </xf>
    <xf numFmtId="0" fontId="0" fillId="32" borderId="67" xfId="0" applyFill="1" applyBorder="1"/>
    <xf numFmtId="0" fontId="0" fillId="32" borderId="67" xfId="0" applyFill="1" applyBorder="1" applyAlignment="1">
      <alignment wrapText="1"/>
    </xf>
    <xf numFmtId="0" fontId="0" fillId="0" borderId="67" xfId="0" applyBorder="1" applyAlignment="1">
      <alignment horizontal="center" vertical="center" wrapText="1"/>
    </xf>
    <xf numFmtId="0" fontId="0" fillId="0" borderId="67" xfId="0" applyFill="1" applyBorder="1" applyAlignment="1">
      <alignment vertical="top"/>
    </xf>
    <xf numFmtId="0" fontId="0" fillId="0" borderId="67" xfId="0" quotePrefix="1" applyFill="1" applyBorder="1" applyAlignment="1">
      <alignment vertical="top" wrapText="1"/>
    </xf>
    <xf numFmtId="0" fontId="0" fillId="0" borderId="67" xfId="0" quotePrefix="1" applyFill="1" applyBorder="1" applyAlignment="1">
      <alignment vertical="top"/>
    </xf>
    <xf numFmtId="0" fontId="0" fillId="31" borderId="67" xfId="0" applyFill="1" applyBorder="1" applyAlignment="1">
      <alignment horizontal="right" vertical="top" wrapText="1"/>
    </xf>
    <xf numFmtId="0" fontId="0" fillId="0" borderId="91" xfId="0" applyBorder="1" applyAlignment="1">
      <alignment wrapText="1"/>
    </xf>
    <xf numFmtId="0" fontId="0" fillId="29" borderId="0" xfId="0" applyFill="1"/>
    <xf numFmtId="0" fontId="9" fillId="29" borderId="67" xfId="0" applyFont="1" applyFill="1" applyBorder="1"/>
    <xf numFmtId="0" fontId="0" fillId="33" borderId="67" xfId="0" applyFont="1" applyFill="1" applyBorder="1"/>
    <xf numFmtId="0" fontId="3" fillId="29" borderId="67" xfId="0" applyFont="1" applyFill="1" applyBorder="1"/>
    <xf numFmtId="0" fontId="10" fillId="0" borderId="67" xfId="0" applyFont="1" applyFill="1" applyBorder="1"/>
    <xf numFmtId="0" fontId="30" fillId="0" borderId="67" xfId="0" applyFont="1" applyFill="1" applyBorder="1"/>
    <xf numFmtId="0" fontId="0" fillId="0" borderId="67" xfId="0" applyFont="1" applyFill="1" applyBorder="1"/>
    <xf numFmtId="0" fontId="3" fillId="0" borderId="67" xfId="0" applyFont="1" applyFill="1" applyBorder="1"/>
    <xf numFmtId="0" fontId="1" fillId="0" borderId="67" xfId="0" applyFont="1" applyFill="1" applyBorder="1"/>
    <xf numFmtId="0" fontId="30" fillId="0" borderId="92" xfId="0" applyFont="1" applyFill="1" applyBorder="1"/>
    <xf numFmtId="0" fontId="0" fillId="0" borderId="67" xfId="0" quotePrefix="1" applyBorder="1" applyAlignment="1">
      <alignment vertical="top" wrapText="1"/>
    </xf>
    <xf numFmtId="0" fontId="0" fillId="0" borderId="67" xfId="0" quotePrefix="1" applyBorder="1" applyAlignment="1">
      <alignment vertical="top"/>
    </xf>
    <xf numFmtId="0" fontId="0" fillId="0" borderId="67" xfId="0" applyFill="1" applyBorder="1" applyAlignment="1">
      <alignment vertical="top" wrapText="1"/>
    </xf>
    <xf numFmtId="0" fontId="3" fillId="0" borderId="67" xfId="0" quotePrefix="1" applyFont="1" applyFill="1" applyBorder="1" applyAlignment="1">
      <alignment vertical="top" wrapText="1"/>
    </xf>
    <xf numFmtId="0" fontId="0" fillId="0" borderId="67" xfId="0" applyFont="1" applyBorder="1" applyAlignment="1">
      <alignment horizontal="center" vertical="center" wrapText="1"/>
    </xf>
    <xf numFmtId="0" fontId="0" fillId="0" borderId="67" xfId="0" applyFill="1" applyBorder="1" applyAlignment="1">
      <alignment horizontal="center" vertical="center" wrapText="1"/>
    </xf>
    <xf numFmtId="0" fontId="0" fillId="31" borderId="108" xfId="0" applyFill="1" applyBorder="1"/>
    <xf numFmtId="0" fontId="0" fillId="31" borderId="96" xfId="0" applyFill="1" applyBorder="1"/>
    <xf numFmtId="0" fontId="0" fillId="0" borderId="96" xfId="0" applyBorder="1"/>
    <xf numFmtId="0" fontId="0" fillId="0" borderId="109" xfId="0" applyBorder="1"/>
    <xf numFmtId="0" fontId="31" fillId="29" borderId="67" xfId="0" applyFont="1" applyFill="1" applyBorder="1"/>
    <xf numFmtId="0" fontId="0" fillId="0" borderId="91" xfId="0" applyFill="1" applyBorder="1"/>
    <xf numFmtId="0" fontId="0" fillId="0" borderId="91" xfId="0" applyFill="1" applyBorder="1" applyAlignment="1">
      <alignment wrapText="1"/>
    </xf>
    <xf numFmtId="0" fontId="3" fillId="31" borderId="0" xfId="0" applyFont="1" applyFill="1" applyAlignment="1">
      <alignment horizontal="left" vertical="center" wrapText="1"/>
    </xf>
    <xf numFmtId="0" fontId="5" fillId="31" borderId="67" xfId="0" applyFont="1" applyFill="1" applyBorder="1" applyAlignment="1">
      <alignment horizontal="center" vertical="center" wrapText="1"/>
    </xf>
    <xf numFmtId="0" fontId="0" fillId="31" borderId="67" xfId="0" applyFont="1" applyFill="1" applyBorder="1" applyAlignment="1">
      <alignment horizontal="left" vertical="center" wrapText="1"/>
    </xf>
    <xf numFmtId="0" fontId="3" fillId="31" borderId="0" xfId="0" applyFont="1" applyFill="1" applyAlignment="1">
      <alignment horizontal="center" vertical="center" wrapText="1"/>
    </xf>
    <xf numFmtId="0" fontId="3" fillId="31" borderId="0" xfId="0" applyFont="1" applyFill="1" applyAlignment="1">
      <alignment vertical="top"/>
    </xf>
    <xf numFmtId="0" fontId="5" fillId="31" borderId="67" xfId="0" applyFont="1" applyFill="1" applyBorder="1" applyAlignment="1">
      <alignment horizontal="left" vertical="center" wrapText="1"/>
    </xf>
    <xf numFmtId="0" fontId="3" fillId="31" borderId="67" xfId="0" applyFont="1" applyFill="1" applyBorder="1" applyAlignment="1">
      <alignment horizontal="center" vertical="center"/>
    </xf>
    <xf numFmtId="0" fontId="1" fillId="31" borderId="67" xfId="0" applyFont="1" applyFill="1" applyBorder="1" applyAlignment="1">
      <alignment horizontal="center" vertical="center" wrapText="1"/>
    </xf>
    <xf numFmtId="0" fontId="0" fillId="31" borderId="67" xfId="0" applyFont="1" applyFill="1" applyBorder="1" applyAlignment="1">
      <alignment horizontal="center" vertical="center" wrapText="1"/>
    </xf>
    <xf numFmtId="0" fontId="0" fillId="31" borderId="67" xfId="0" applyFill="1" applyBorder="1" applyAlignment="1">
      <alignment horizontal="center" vertical="center" wrapText="1"/>
    </xf>
    <xf numFmtId="0" fontId="3" fillId="31" borderId="96" xfId="0" applyFont="1" applyFill="1" applyBorder="1" applyAlignment="1">
      <alignment horizontal="center" vertical="center" wrapText="1"/>
    </xf>
    <xf numFmtId="0" fontId="0" fillId="31" borderId="67" xfId="0" applyFill="1" applyBorder="1" applyAlignment="1">
      <alignment vertical="top" wrapText="1"/>
    </xf>
    <xf numFmtId="9" fontId="0" fillId="31" borderId="67" xfId="0" applyNumberFormat="1" applyFill="1" applyBorder="1" applyAlignment="1">
      <alignment vertical="top"/>
    </xf>
    <xf numFmtId="0" fontId="0" fillId="31" borderId="67" xfId="0" applyFill="1" applyBorder="1" applyAlignment="1">
      <alignment vertical="top"/>
    </xf>
    <xf numFmtId="0" fontId="0" fillId="31" borderId="77" xfId="0" applyFill="1" applyBorder="1" applyAlignment="1">
      <alignment horizontal="right" vertical="top" wrapText="1"/>
    </xf>
    <xf numFmtId="0" fontId="0" fillId="31" borderId="67" xfId="0" quotePrefix="1" applyFill="1" applyBorder="1" applyAlignment="1">
      <alignment horizontal="right" vertical="top"/>
    </xf>
    <xf numFmtId="0" fontId="0" fillId="31" borderId="0" xfId="0" applyFill="1" applyAlignment="1">
      <alignment vertical="top"/>
    </xf>
    <xf numFmtId="0" fontId="4" fillId="31" borderId="67" xfId="0" applyFont="1" applyFill="1" applyBorder="1" applyAlignment="1">
      <alignment horizontal="center" vertical="center" wrapText="1"/>
    </xf>
    <xf numFmtId="9" fontId="0" fillId="31" borderId="96" xfId="0" applyNumberFormat="1" applyFill="1" applyBorder="1" applyAlignment="1">
      <alignment vertical="top"/>
    </xf>
    <xf numFmtId="0" fontId="0" fillId="31" borderId="96" xfId="0" applyFill="1" applyBorder="1" applyAlignment="1">
      <alignment vertical="top"/>
    </xf>
    <xf numFmtId="0" fontId="0" fillId="31" borderId="97" xfId="0" applyFill="1" applyBorder="1" applyAlignment="1">
      <alignment horizontal="right" vertical="top" wrapText="1"/>
    </xf>
    <xf numFmtId="0" fontId="0" fillId="31" borderId="96" xfId="0" applyFill="1" applyBorder="1" applyAlignment="1">
      <alignment horizontal="right" vertical="top"/>
    </xf>
    <xf numFmtId="0" fontId="0" fillId="31" borderId="67" xfId="0" applyFill="1" applyBorder="1" applyAlignment="1">
      <alignment horizontal="right" vertical="top"/>
    </xf>
    <xf numFmtId="0" fontId="3" fillId="31" borderId="67" xfId="0" applyFont="1" applyFill="1" applyBorder="1" applyAlignment="1">
      <alignment vertical="top"/>
    </xf>
    <xf numFmtId="9" fontId="0" fillId="31" borderId="67" xfId="0" applyNumberFormat="1" applyFill="1" applyBorder="1" applyAlignment="1">
      <alignment vertical="top" wrapText="1"/>
    </xf>
    <xf numFmtId="0" fontId="0" fillId="31" borderId="67" xfId="0" quotePrefix="1" applyFill="1" applyBorder="1" applyAlignment="1">
      <alignment vertical="top"/>
    </xf>
    <xf numFmtId="0" fontId="0" fillId="31" borderId="67" xfId="0" quotePrefix="1" applyFill="1" applyBorder="1" applyAlignment="1">
      <alignment horizontal="right" vertical="top" wrapText="1"/>
    </xf>
    <xf numFmtId="3" fontId="35" fillId="31" borderId="67" xfId="0" quotePrefix="1" applyNumberFormat="1" applyFont="1" applyFill="1" applyBorder="1" applyAlignment="1">
      <alignment horizontal="right" vertical="top" wrapText="1"/>
    </xf>
    <xf numFmtId="0" fontId="0" fillId="31" borderId="67" xfId="0" applyFont="1" applyFill="1" applyBorder="1" applyAlignment="1">
      <alignment horizontal="right" vertical="top" wrapText="1"/>
    </xf>
    <xf numFmtId="0" fontId="3" fillId="31" borderId="67" xfId="0" quotePrefix="1" applyFont="1" applyFill="1" applyBorder="1" applyAlignment="1">
      <alignment horizontal="right" vertical="top" wrapText="1"/>
    </xf>
    <xf numFmtId="9" fontId="0" fillId="31" borderId="67" xfId="0" applyNumberFormat="1" applyFont="1" applyFill="1" applyBorder="1" applyAlignment="1">
      <alignment vertical="top" wrapText="1"/>
    </xf>
    <xf numFmtId="9" fontId="0" fillId="31" borderId="67" xfId="0" quotePrefix="1" applyNumberFormat="1" applyFill="1" applyBorder="1" applyAlignment="1">
      <alignment horizontal="right" vertical="top"/>
    </xf>
    <xf numFmtId="0" fontId="0" fillId="31" borderId="67" xfId="0" quotePrefix="1" applyFill="1" applyBorder="1" applyAlignment="1">
      <alignment vertical="top" wrapText="1"/>
    </xf>
    <xf numFmtId="0" fontId="0" fillId="31" borderId="77" xfId="0" quotePrefix="1" applyFill="1" applyBorder="1" applyAlignment="1">
      <alignment horizontal="right" vertical="top" wrapText="1"/>
    </xf>
    <xf numFmtId="0" fontId="3" fillId="31" borderId="77" xfId="0" applyFont="1" applyFill="1" applyBorder="1" applyAlignment="1">
      <alignment horizontal="right" vertical="top" wrapText="1"/>
    </xf>
    <xf numFmtId="0" fontId="0" fillId="31" borderId="77" xfId="0" applyFill="1" applyBorder="1" applyAlignment="1">
      <alignment vertical="top" wrapText="1"/>
    </xf>
    <xf numFmtId="9" fontId="3" fillId="31" borderId="67" xfId="3" applyFont="1" applyFill="1" applyBorder="1" applyAlignment="1">
      <alignment horizontal="right" vertical="top"/>
    </xf>
    <xf numFmtId="1" fontId="0" fillId="31" borderId="67" xfId="0" applyNumberFormat="1" applyFill="1" applyBorder="1" applyAlignment="1">
      <alignment vertical="top"/>
    </xf>
    <xf numFmtId="9" fontId="0" fillId="31" borderId="67" xfId="0" applyNumberFormat="1" applyFill="1" applyBorder="1" applyAlignment="1">
      <alignment horizontal="center" vertical="top"/>
    </xf>
    <xf numFmtId="0" fontId="0" fillId="31" borderId="67" xfId="0" applyFill="1" applyBorder="1" applyAlignment="1">
      <alignment horizontal="center" vertical="top"/>
    </xf>
    <xf numFmtId="0" fontId="0" fillId="31" borderId="67" xfId="0" applyFill="1" applyBorder="1" applyAlignment="1">
      <alignment horizontal="center" vertical="top" wrapText="1"/>
    </xf>
    <xf numFmtId="0" fontId="0" fillId="31" borderId="77" xfId="0" applyFont="1" applyFill="1" applyBorder="1" applyAlignment="1">
      <alignment horizontal="right" vertical="top" wrapText="1"/>
    </xf>
    <xf numFmtId="0" fontId="3" fillId="0" borderId="67" xfId="0" applyFont="1" applyBorder="1" applyAlignment="1">
      <alignment horizontal="center" vertical="center" wrapText="1"/>
    </xf>
    <xf numFmtId="0" fontId="3" fillId="34" borderId="67" xfId="0" applyFont="1" applyFill="1" applyBorder="1" applyAlignment="1">
      <alignment horizontal="center" vertical="center" wrapText="1"/>
    </xf>
    <xf numFmtId="0" fontId="3" fillId="34" borderId="67" xfId="0" applyFont="1" applyFill="1" applyBorder="1" applyAlignment="1">
      <alignment horizontal="center" vertical="center"/>
    </xf>
    <xf numFmtId="0" fontId="3" fillId="0" borderId="67" xfId="0" quotePrefix="1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/>
    </xf>
    <xf numFmtId="0" fontId="4" fillId="0" borderId="86" xfId="0" applyFont="1" applyBorder="1" applyAlignment="1">
      <alignment horizontal="center"/>
    </xf>
    <xf numFmtId="0" fontId="4" fillId="0" borderId="87" xfId="0" applyFont="1" applyBorder="1" applyAlignment="1">
      <alignment horizontal="center"/>
    </xf>
    <xf numFmtId="0" fontId="7" fillId="10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21" borderId="0" xfId="0" applyFont="1" applyFill="1" applyAlignment="1">
      <alignment vertical="top"/>
    </xf>
    <xf numFmtId="0" fontId="0" fillId="0" borderId="0" xfId="0" applyAlignment="1">
      <alignment vertical="top"/>
    </xf>
    <xf numFmtId="0" fontId="3" fillId="24" borderId="0" xfId="0" applyFont="1" applyFill="1" applyBorder="1" applyAlignment="1">
      <alignment vertical="top" wrapText="1"/>
    </xf>
    <xf numFmtId="0" fontId="3" fillId="25" borderId="42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3" fillId="25" borderId="104" xfId="0" applyFont="1" applyFill="1" applyBorder="1" applyAlignment="1">
      <alignment vertical="center" wrapText="1"/>
    </xf>
    <xf numFmtId="0" fontId="0" fillId="0" borderId="99" xfId="0" applyBorder="1" applyAlignment="1">
      <alignment vertical="center" wrapText="1"/>
    </xf>
    <xf numFmtId="0" fontId="0" fillId="0" borderId="105" xfId="0" applyBorder="1" applyAlignment="1">
      <alignment vertical="center" wrapText="1"/>
    </xf>
    <xf numFmtId="0" fontId="3" fillId="19" borderId="102" xfId="0" applyFont="1" applyFill="1" applyBorder="1" applyAlignment="1">
      <alignment horizontal="left" vertical="center" wrapText="1"/>
    </xf>
    <xf numFmtId="0" fontId="3" fillId="19" borderId="99" xfId="0" applyFont="1" applyFill="1" applyBorder="1" applyAlignment="1">
      <alignment horizontal="left" vertical="center" wrapText="1"/>
    </xf>
    <xf numFmtId="0" fontId="0" fillId="0" borderId="103" xfId="0" applyBorder="1" applyAlignment="1">
      <alignment horizontal="left" vertical="center" wrapText="1"/>
    </xf>
    <xf numFmtId="49" fontId="3" fillId="19" borderId="32" xfId="0" applyNumberFormat="1" applyFont="1" applyFill="1" applyBorder="1" applyAlignment="1">
      <alignment horizontal="center" vertical="center" wrapText="1"/>
    </xf>
    <xf numFmtId="49" fontId="3" fillId="19" borderId="33" xfId="0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3" fillId="12" borderId="106" xfId="0" applyFont="1" applyFill="1" applyBorder="1" applyAlignment="1">
      <alignment vertical="center" wrapText="1"/>
    </xf>
    <xf numFmtId="0" fontId="3" fillId="12" borderId="99" xfId="0" applyFont="1" applyFill="1" applyBorder="1" applyAlignment="1">
      <alignment vertical="center" wrapText="1"/>
    </xf>
    <xf numFmtId="0" fontId="0" fillId="0" borderId="107" xfId="0" applyBorder="1" applyAlignment="1">
      <alignment vertical="center" wrapText="1"/>
    </xf>
    <xf numFmtId="49" fontId="3" fillId="12" borderId="6" xfId="0" applyNumberFormat="1" applyFont="1" applyFill="1" applyBorder="1" applyAlignment="1">
      <alignment horizontal="center" vertical="center" wrapText="1"/>
    </xf>
    <xf numFmtId="49" fontId="3" fillId="12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17" borderId="26" xfId="0" applyFont="1" applyFill="1" applyBorder="1" applyAlignment="1">
      <alignment vertical="top"/>
    </xf>
    <xf numFmtId="0" fontId="0" fillId="0" borderId="28" xfId="0" applyBorder="1" applyAlignment="1">
      <alignment vertical="top"/>
    </xf>
    <xf numFmtId="0" fontId="9" fillId="19" borderId="73" xfId="0" applyFont="1" applyFill="1" applyBorder="1" applyAlignment="1">
      <alignment horizontal="left" vertical="center" wrapText="1"/>
    </xf>
    <xf numFmtId="0" fontId="3" fillId="19" borderId="0" xfId="0" applyFont="1" applyFill="1" applyBorder="1" applyAlignment="1">
      <alignment horizontal="left" vertical="center" wrapText="1"/>
    </xf>
    <xf numFmtId="0" fontId="3" fillId="19" borderId="65" xfId="0" applyFont="1" applyFill="1" applyBorder="1" applyAlignment="1">
      <alignment horizontal="left" vertical="center" wrapText="1"/>
    </xf>
    <xf numFmtId="0" fontId="10" fillId="19" borderId="73" xfId="0" applyFont="1" applyFill="1" applyBorder="1" applyAlignment="1">
      <alignment horizontal="left" vertical="center" wrapText="1"/>
    </xf>
    <xf numFmtId="0" fontId="3" fillId="19" borderId="32" xfId="0" applyFont="1" applyFill="1" applyBorder="1" applyAlignment="1">
      <alignment horizontal="center" vertical="center"/>
    </xf>
    <xf numFmtId="0" fontId="3" fillId="19" borderId="33" xfId="0" applyFont="1" applyFill="1" applyBorder="1" applyAlignment="1">
      <alignment horizontal="center" vertical="center"/>
    </xf>
    <xf numFmtId="0" fontId="3" fillId="19" borderId="35" xfId="0" applyFont="1" applyFill="1" applyBorder="1" applyAlignment="1">
      <alignment horizontal="center" vertical="center"/>
    </xf>
    <xf numFmtId="0" fontId="3" fillId="22" borderId="57" xfId="0" applyFont="1" applyFill="1" applyBorder="1" applyAlignment="1">
      <alignment horizontal="center" vertical="top"/>
    </xf>
    <xf numFmtId="0" fontId="3" fillId="22" borderId="0" xfId="0" applyFont="1" applyFill="1" applyAlignment="1">
      <alignment horizontal="center" vertical="top"/>
    </xf>
    <xf numFmtId="0" fontId="3" fillId="22" borderId="58" xfId="0" applyFont="1" applyFill="1" applyBorder="1" applyAlignment="1">
      <alignment horizontal="center" vertical="top"/>
    </xf>
    <xf numFmtId="0" fontId="3" fillId="17" borderId="31" xfId="0" applyFont="1" applyFill="1" applyBorder="1" applyAlignment="1">
      <alignment horizontal="left" vertical="top" wrapText="1"/>
    </xf>
    <xf numFmtId="0" fontId="3" fillId="17" borderId="27" xfId="0" applyFont="1" applyFill="1" applyBorder="1" applyAlignment="1">
      <alignment horizontal="left" vertical="top" wrapText="1"/>
    </xf>
    <xf numFmtId="49" fontId="3" fillId="15" borderId="15" xfId="0" applyNumberFormat="1" applyFont="1" applyFill="1" applyBorder="1" applyAlignment="1">
      <alignment horizontal="center" vertical="center" wrapText="1"/>
    </xf>
    <xf numFmtId="49" fontId="3" fillId="15" borderId="19" xfId="0" applyNumberFormat="1" applyFont="1" applyFill="1" applyBorder="1" applyAlignment="1">
      <alignment horizontal="center" vertical="center" wrapText="1"/>
    </xf>
    <xf numFmtId="0" fontId="3" fillId="15" borderId="70" xfId="0" applyFont="1" applyFill="1" applyBorder="1" applyAlignment="1">
      <alignment horizontal="left" vertical="center" wrapText="1"/>
    </xf>
    <xf numFmtId="0" fontId="3" fillId="15" borderId="71" xfId="0" applyFont="1" applyFill="1" applyBorder="1" applyAlignment="1">
      <alignment horizontal="left" vertical="center" wrapText="1"/>
    </xf>
    <xf numFmtId="0" fontId="3" fillId="15" borderId="98" xfId="0" applyFont="1" applyFill="1" applyBorder="1" applyAlignment="1">
      <alignment horizontal="center" vertical="center" wrapText="1"/>
    </xf>
    <xf numFmtId="0" fontId="3" fillId="15" borderId="99" xfId="0" applyFont="1" applyFill="1" applyBorder="1" applyAlignment="1">
      <alignment horizontal="center" vertical="center" wrapText="1"/>
    </xf>
    <xf numFmtId="0" fontId="3" fillId="15" borderId="100" xfId="0" applyFont="1" applyFill="1" applyBorder="1" applyAlignment="1">
      <alignment horizontal="center" vertical="center" wrapText="1"/>
    </xf>
    <xf numFmtId="49" fontId="3" fillId="15" borderId="15" xfId="0" applyNumberFormat="1" applyFont="1" applyFill="1" applyBorder="1" applyAlignment="1">
      <alignment horizontal="center" vertical="center"/>
    </xf>
    <xf numFmtId="49" fontId="3" fillId="15" borderId="17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18" borderId="98" xfId="0" applyFont="1" applyFill="1" applyBorder="1" applyAlignment="1">
      <alignment horizontal="center" vertical="center" wrapText="1"/>
    </xf>
    <xf numFmtId="0" fontId="6" fillId="18" borderId="101" xfId="0" applyFont="1" applyFill="1" applyBorder="1" applyAlignment="1">
      <alignment horizontal="center" vertical="center" wrapText="1"/>
    </xf>
    <xf numFmtId="49" fontId="3" fillId="18" borderId="24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9" fillId="19" borderId="102" xfId="0" applyFont="1" applyFill="1" applyBorder="1" applyAlignment="1">
      <alignment horizontal="center" vertical="center" wrapText="1"/>
    </xf>
    <xf numFmtId="0" fontId="9" fillId="19" borderId="99" xfId="0" applyFont="1" applyFill="1" applyBorder="1" applyAlignment="1">
      <alignment horizontal="center" vertical="center" wrapText="1"/>
    </xf>
    <xf numFmtId="0" fontId="9" fillId="19" borderId="103" xfId="0" applyFont="1" applyFill="1" applyBorder="1" applyAlignment="1">
      <alignment horizontal="center" vertical="center" wrapText="1"/>
    </xf>
    <xf numFmtId="49" fontId="3" fillId="19" borderId="32" xfId="0" applyNumberFormat="1" applyFont="1" applyFill="1" applyBorder="1" applyAlignment="1">
      <alignment horizontal="center" vertical="center"/>
    </xf>
    <xf numFmtId="49" fontId="3" fillId="19" borderId="33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18" borderId="30" xfId="0" applyFont="1" applyFill="1" applyBorder="1" applyAlignment="1">
      <alignment horizontal="left" vertical="center" wrapText="1"/>
    </xf>
    <xf numFmtId="0" fontId="3" fillId="18" borderId="72" xfId="0" applyFont="1" applyFill="1" applyBorder="1" applyAlignment="1">
      <alignment horizontal="left" vertical="center" wrapText="1"/>
    </xf>
    <xf numFmtId="0" fontId="3" fillId="25" borderId="46" xfId="0" applyFont="1" applyFill="1" applyBorder="1" applyAlignment="1">
      <alignment horizontal="center" vertical="center" wrapText="1"/>
    </xf>
    <xf numFmtId="0" fontId="3" fillId="25" borderId="43" xfId="0" applyFont="1" applyFill="1" applyBorder="1" applyAlignment="1">
      <alignment horizontal="center" vertical="center" wrapText="1"/>
    </xf>
    <xf numFmtId="0" fontId="3" fillId="25" borderId="47" xfId="0" applyFont="1" applyFill="1" applyBorder="1" applyAlignment="1">
      <alignment horizontal="left" vertical="center" wrapText="1"/>
    </xf>
    <xf numFmtId="0" fontId="3" fillId="25" borderId="0" xfId="0" applyFont="1" applyFill="1" applyBorder="1" applyAlignment="1">
      <alignment horizontal="left" vertical="center" wrapText="1"/>
    </xf>
    <xf numFmtId="0" fontId="3" fillId="18" borderId="0" xfId="0" applyFont="1" applyFill="1" applyBorder="1" applyAlignment="1">
      <alignment horizontal="left" vertical="center" wrapText="1"/>
    </xf>
    <xf numFmtId="49" fontId="3" fillId="18" borderId="29" xfId="0" applyNumberFormat="1" applyFont="1" applyFill="1" applyBorder="1" applyAlignment="1">
      <alignment horizontal="center" vertical="center" wrapText="1"/>
    </xf>
    <xf numFmtId="49" fontId="3" fillId="18" borderId="26" xfId="0" applyNumberFormat="1" applyFont="1" applyFill="1" applyBorder="1" applyAlignment="1">
      <alignment horizontal="center" vertical="center" wrapText="1"/>
    </xf>
    <xf numFmtId="49" fontId="3" fillId="18" borderId="28" xfId="0" applyNumberFormat="1" applyFont="1" applyFill="1" applyBorder="1" applyAlignment="1">
      <alignment horizontal="center" vertical="center" wrapText="1"/>
    </xf>
    <xf numFmtId="0" fontId="3" fillId="18" borderId="30" xfId="0" applyFont="1" applyFill="1" applyBorder="1" applyAlignment="1">
      <alignment horizontal="center" vertical="center"/>
    </xf>
    <xf numFmtId="0" fontId="3" fillId="18" borderId="72" xfId="0" applyFont="1" applyFill="1" applyBorder="1" applyAlignment="1">
      <alignment horizontal="center" vertical="center"/>
    </xf>
    <xf numFmtId="49" fontId="3" fillId="23" borderId="53" xfId="0" applyNumberFormat="1" applyFont="1" applyFill="1" applyBorder="1" applyAlignment="1">
      <alignment horizontal="center" vertical="center" wrapText="1"/>
    </xf>
    <xf numFmtId="49" fontId="3" fillId="23" borderId="54" xfId="0" applyNumberFormat="1" applyFont="1" applyFill="1" applyBorder="1" applyAlignment="1">
      <alignment horizontal="center" vertical="center" wrapText="1"/>
    </xf>
    <xf numFmtId="0" fontId="3" fillId="23" borderId="40" xfId="0" applyFont="1" applyFill="1" applyBorder="1" applyAlignment="1">
      <alignment horizontal="center" vertical="center"/>
    </xf>
    <xf numFmtId="0" fontId="3" fillId="25" borderId="75" xfId="0" applyFont="1" applyFill="1" applyBorder="1" applyAlignment="1">
      <alignment horizontal="left" vertical="center" wrapText="1"/>
    </xf>
    <xf numFmtId="49" fontId="3" fillId="23" borderId="22" xfId="0" applyNumberFormat="1" applyFont="1" applyFill="1" applyBorder="1" applyAlignment="1">
      <alignment horizontal="center" vertical="center" wrapText="1"/>
    </xf>
    <xf numFmtId="49" fontId="3" fillId="23" borderId="58" xfId="0" applyNumberFormat="1" applyFont="1" applyFill="1" applyBorder="1" applyAlignment="1">
      <alignment horizontal="center" vertical="center" wrapText="1"/>
    </xf>
    <xf numFmtId="0" fontId="3" fillId="23" borderId="57" xfId="0" applyFont="1" applyFill="1" applyBorder="1" applyAlignment="1">
      <alignment horizontal="left" vertical="center" wrapText="1"/>
    </xf>
    <xf numFmtId="0" fontId="3" fillId="23" borderId="0" xfId="0" applyFont="1" applyFill="1" applyBorder="1" applyAlignment="1">
      <alignment horizontal="left" vertical="center" wrapText="1"/>
    </xf>
    <xf numFmtId="0" fontId="3" fillId="23" borderId="58" xfId="0" applyFont="1" applyFill="1" applyBorder="1" applyAlignment="1">
      <alignment horizontal="left" vertical="center" wrapText="1"/>
    </xf>
    <xf numFmtId="49" fontId="3" fillId="19" borderId="35" xfId="0" applyNumberFormat="1" applyFont="1" applyFill="1" applyBorder="1" applyAlignment="1">
      <alignment horizontal="center" vertical="center" wrapText="1"/>
    </xf>
    <xf numFmtId="49" fontId="3" fillId="12" borderId="8" xfId="0" applyNumberFormat="1" applyFont="1" applyFill="1" applyBorder="1" applyAlignment="1">
      <alignment horizontal="center" vertical="center" wrapText="1"/>
    </xf>
    <xf numFmtId="0" fontId="3" fillId="23" borderId="60" xfId="0" applyFont="1" applyFill="1" applyBorder="1" applyAlignment="1">
      <alignment horizontal="center" vertical="center"/>
    </xf>
    <xf numFmtId="0" fontId="3" fillId="23" borderId="59" xfId="0" applyFont="1" applyFill="1" applyBorder="1" applyAlignment="1">
      <alignment horizontal="center" vertical="center"/>
    </xf>
    <xf numFmtId="0" fontId="3" fillId="23" borderId="68" xfId="0" applyFont="1" applyFill="1" applyBorder="1" applyAlignment="1">
      <alignment vertical="center" wrapText="1"/>
    </xf>
    <xf numFmtId="0" fontId="3" fillId="23" borderId="0" xfId="0" applyFont="1" applyFill="1" applyBorder="1" applyAlignment="1">
      <alignment vertical="center" wrapText="1"/>
    </xf>
    <xf numFmtId="0" fontId="3" fillId="23" borderId="55" xfId="0" applyFont="1" applyFill="1" applyBorder="1" applyAlignment="1">
      <alignment vertical="center" wrapText="1"/>
    </xf>
    <xf numFmtId="0" fontId="3" fillId="11" borderId="3" xfId="0" applyFont="1" applyFill="1" applyBorder="1" applyAlignment="1">
      <alignment horizontal="left" vertical="top" wrapText="1"/>
    </xf>
    <xf numFmtId="0" fontId="3" fillId="11" borderId="4" xfId="0" applyFont="1" applyFill="1" applyBorder="1" applyAlignment="1">
      <alignment horizontal="left" vertical="top" wrapText="1"/>
    </xf>
    <xf numFmtId="0" fontId="3" fillId="11" borderId="5" xfId="0" applyFont="1" applyFill="1" applyBorder="1" applyAlignment="1">
      <alignment horizontal="left" vertical="top" wrapText="1"/>
    </xf>
    <xf numFmtId="0" fontId="3" fillId="23" borderId="40" xfId="0" applyFont="1" applyFill="1" applyBorder="1" applyAlignment="1">
      <alignment vertical="center" wrapText="1"/>
    </xf>
    <xf numFmtId="0" fontId="3" fillId="12" borderId="9" xfId="0" applyFont="1" applyFill="1" applyBorder="1" applyAlignment="1">
      <alignment horizontal="left" vertical="center" wrapText="1"/>
    </xf>
    <xf numFmtId="49" fontId="3" fillId="12" borderId="2" xfId="0" applyNumberFormat="1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left" vertical="top" wrapText="1"/>
    </xf>
    <xf numFmtId="0" fontId="3" fillId="16" borderId="18" xfId="0" applyFont="1" applyFill="1" applyBorder="1" applyAlignment="1">
      <alignment horizontal="left" vertical="top" wrapText="1"/>
    </xf>
    <xf numFmtId="0" fontId="3" fillId="16" borderId="20" xfId="0" applyFont="1" applyFill="1" applyBorder="1" applyAlignment="1">
      <alignment horizontal="left" vertical="top" wrapText="1"/>
    </xf>
    <xf numFmtId="49" fontId="3" fillId="23" borderId="57" xfId="0" applyNumberFormat="1" applyFont="1" applyFill="1" applyBorder="1" applyAlignment="1">
      <alignment horizontal="center" vertical="center" wrapText="1"/>
    </xf>
    <xf numFmtId="49" fontId="3" fillId="23" borderId="0" xfId="0" applyNumberFormat="1" applyFont="1" applyFill="1" applyAlignment="1">
      <alignment horizontal="center" vertical="center" wrapText="1"/>
    </xf>
    <xf numFmtId="49" fontId="3" fillId="14" borderId="13" xfId="0" applyNumberFormat="1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vertical="center" wrapText="1"/>
    </xf>
    <xf numFmtId="0" fontId="3" fillId="19" borderId="73" xfId="0" applyFont="1" applyFill="1" applyBorder="1" applyAlignment="1">
      <alignment horizontal="left" vertical="center" wrapText="1"/>
    </xf>
    <xf numFmtId="0" fontId="3" fillId="20" borderId="38" xfId="0" applyFont="1" applyFill="1" applyBorder="1" applyAlignment="1">
      <alignment horizontal="left" vertical="top" wrapText="1"/>
    </xf>
    <xf numFmtId="0" fontId="6" fillId="19" borderId="73" xfId="0" applyFont="1" applyFill="1" applyBorder="1" applyAlignment="1">
      <alignment horizontal="left" vertical="center" wrapText="1"/>
    </xf>
    <xf numFmtId="0" fontId="3" fillId="19" borderId="39" xfId="0" applyFont="1" applyFill="1" applyBorder="1" applyAlignment="1">
      <alignment horizontal="left" vertical="center" wrapText="1"/>
    </xf>
    <xf numFmtId="0" fontId="3" fillId="20" borderId="34" xfId="0" applyFont="1" applyFill="1" applyBorder="1" applyAlignment="1">
      <alignment horizontal="left" vertical="top" wrapText="1"/>
    </xf>
    <xf numFmtId="0" fontId="3" fillId="20" borderId="36" xfId="0" applyFont="1" applyFill="1" applyBorder="1" applyAlignment="1">
      <alignment horizontal="left" vertical="top" wrapText="1"/>
    </xf>
    <xf numFmtId="0" fontId="3" fillId="21" borderId="47" xfId="0" applyFont="1" applyFill="1" applyBorder="1" applyAlignment="1">
      <alignment horizontal="center" vertical="top"/>
    </xf>
    <xf numFmtId="0" fontId="3" fillId="21" borderId="0" xfId="0" applyFont="1" applyFill="1" applyAlignment="1">
      <alignment horizontal="center" vertical="top"/>
    </xf>
    <xf numFmtId="0" fontId="3" fillId="20" borderId="37" xfId="0" applyFont="1" applyFill="1" applyBorder="1" applyAlignment="1">
      <alignment horizontal="center" vertical="top"/>
    </xf>
    <xf numFmtId="0" fontId="3" fillId="20" borderId="33" xfId="0" applyFont="1" applyFill="1" applyBorder="1" applyAlignment="1">
      <alignment horizontal="center" vertical="top"/>
    </xf>
    <xf numFmtId="0" fontId="3" fillId="20" borderId="35" xfId="0" applyFont="1" applyFill="1" applyBorder="1" applyAlignment="1">
      <alignment horizontal="center" vertical="top"/>
    </xf>
    <xf numFmtId="49" fontId="3" fillId="19" borderId="37" xfId="0" applyNumberFormat="1" applyFont="1" applyFill="1" applyBorder="1" applyAlignment="1">
      <alignment horizontal="center" vertical="center" wrapText="1"/>
    </xf>
    <xf numFmtId="0" fontId="3" fillId="25" borderId="48" xfId="0" applyFont="1" applyFill="1" applyBorder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top" wrapText="1"/>
    </xf>
    <xf numFmtId="0" fontId="3" fillId="15" borderId="0" xfId="0" applyFont="1" applyFill="1" applyBorder="1" applyAlignment="1">
      <alignment horizontal="left" vertical="center" wrapText="1"/>
    </xf>
    <xf numFmtId="0" fontId="3" fillId="16" borderId="15" xfId="0" applyFont="1" applyFill="1" applyBorder="1" applyAlignment="1">
      <alignment horizontal="center" vertical="top"/>
    </xf>
    <xf numFmtId="0" fontId="3" fillId="16" borderId="17" xfId="0" applyFont="1" applyFill="1" applyBorder="1" applyAlignment="1">
      <alignment horizontal="center" vertical="top"/>
    </xf>
    <xf numFmtId="0" fontId="3" fillId="16" borderId="19" xfId="0" applyFont="1" applyFill="1" applyBorder="1" applyAlignment="1">
      <alignment horizontal="center" vertical="top"/>
    </xf>
    <xf numFmtId="49" fontId="3" fillId="15" borderId="17" xfId="0" applyNumberFormat="1" applyFont="1" applyFill="1" applyBorder="1" applyAlignment="1">
      <alignment horizontal="center" vertical="center" wrapText="1"/>
    </xf>
    <xf numFmtId="0" fontId="3" fillId="15" borderId="23" xfId="0" applyFont="1" applyFill="1" applyBorder="1" applyAlignment="1">
      <alignment vertical="center" wrapText="1"/>
    </xf>
    <xf numFmtId="49" fontId="3" fillId="15" borderId="21" xfId="0" applyNumberFormat="1" applyFont="1" applyFill="1" applyBorder="1" applyAlignment="1">
      <alignment horizontal="center" vertical="center" wrapText="1"/>
    </xf>
    <xf numFmtId="0" fontId="3" fillId="15" borderId="23" xfId="0" applyFont="1" applyFill="1" applyBorder="1" applyAlignment="1">
      <alignment horizontal="left" vertical="center" wrapText="1"/>
    </xf>
    <xf numFmtId="0" fontId="3" fillId="21" borderId="47" xfId="0" applyFont="1" applyFill="1" applyBorder="1" applyAlignment="1">
      <alignment horizontal="left" vertical="top" wrapText="1"/>
    </xf>
    <xf numFmtId="0" fontId="3" fillId="21" borderId="0" xfId="0" applyFont="1" applyFill="1" applyAlignment="1">
      <alignment horizontal="left" vertical="top" wrapText="1"/>
    </xf>
    <xf numFmtId="0" fontId="3" fillId="25" borderId="74" xfId="0" applyFont="1" applyFill="1" applyBorder="1" applyAlignment="1">
      <alignment horizontal="left" vertical="center" wrapText="1"/>
    </xf>
    <xf numFmtId="0" fontId="4" fillId="31" borderId="67" xfId="0" applyFont="1" applyFill="1" applyBorder="1" applyAlignment="1">
      <alignment horizontal="center" vertical="top"/>
    </xf>
    <xf numFmtId="0" fontId="0" fillId="31" borderId="67" xfId="0" applyFill="1" applyBorder="1" applyAlignment="1">
      <alignment vertical="top"/>
    </xf>
    <xf numFmtId="0" fontId="3" fillId="31" borderId="96" xfId="0" applyFont="1" applyFill="1" applyBorder="1" applyAlignment="1">
      <alignment horizontal="center" vertical="center" wrapText="1"/>
    </xf>
    <xf numFmtId="0" fontId="3" fillId="31" borderId="79" xfId="0" applyFont="1" applyFill="1" applyBorder="1" applyAlignment="1">
      <alignment horizontal="center" vertical="center" wrapText="1"/>
    </xf>
    <xf numFmtId="0" fontId="4" fillId="31" borderId="77" xfId="0" applyFont="1" applyFill="1" applyBorder="1" applyAlignment="1">
      <alignment horizontal="center" vertical="top"/>
    </xf>
    <xf numFmtId="0" fontId="4" fillId="31" borderId="78" xfId="0" applyFont="1" applyFill="1" applyBorder="1" applyAlignment="1">
      <alignment horizontal="center" vertical="top"/>
    </xf>
    <xf numFmtId="0" fontId="3" fillId="11" borderId="6" xfId="0" applyFont="1" applyFill="1" applyBorder="1" applyAlignment="1">
      <alignment horizontal="center" vertical="top"/>
    </xf>
    <xf numFmtId="0" fontId="3" fillId="11" borderId="7" xfId="0" applyFont="1" applyFill="1" applyBorder="1" applyAlignment="1">
      <alignment horizontal="center" vertical="top"/>
    </xf>
    <xf numFmtId="0" fontId="3" fillId="11" borderId="8" xfId="0" applyFont="1" applyFill="1" applyBorder="1" applyAlignment="1">
      <alignment horizontal="center" vertical="top"/>
    </xf>
    <xf numFmtId="0" fontId="3" fillId="12" borderId="9" xfId="0" applyFont="1" applyFill="1" applyBorder="1" applyAlignment="1">
      <alignment vertical="center" wrapText="1"/>
    </xf>
    <xf numFmtId="0" fontId="3" fillId="23" borderId="55" xfId="0" applyFont="1" applyFill="1" applyBorder="1" applyAlignment="1">
      <alignment horizontal="left" vertical="center" wrapText="1"/>
    </xf>
    <xf numFmtId="0" fontId="3" fillId="12" borderId="68" xfId="0" applyFont="1" applyFill="1" applyBorder="1" applyAlignment="1">
      <alignment horizontal="left" vertical="center" wrapText="1"/>
    </xf>
    <xf numFmtId="0" fontId="3" fillId="12" borderId="0" xfId="0" applyFont="1" applyFill="1" applyBorder="1" applyAlignment="1">
      <alignment horizontal="left" vertical="center" wrapText="1"/>
    </xf>
    <xf numFmtId="0" fontId="3" fillId="12" borderId="69" xfId="0" applyFont="1" applyFill="1" applyBorder="1" applyAlignment="1">
      <alignment horizontal="left" vertical="center" wrapText="1"/>
    </xf>
    <xf numFmtId="0" fontId="3" fillId="22" borderId="56" xfId="0" applyFont="1" applyFill="1" applyBorder="1" applyAlignment="1">
      <alignment horizontal="left" vertical="top" wrapText="1"/>
    </xf>
    <xf numFmtId="0" fontId="3" fillId="22" borderId="50" xfId="0" applyFont="1" applyFill="1" applyBorder="1" applyAlignment="1">
      <alignment horizontal="left" vertical="top" wrapText="1"/>
    </xf>
    <xf numFmtId="0" fontId="3" fillId="22" borderId="51" xfId="0" applyFont="1" applyFill="1" applyBorder="1" applyAlignment="1">
      <alignment horizontal="left" vertical="top" wrapText="1"/>
    </xf>
    <xf numFmtId="0" fontId="21" fillId="0" borderId="0" xfId="1" applyFont="1" applyAlignment="1">
      <alignment horizontal="center" vertical="top"/>
    </xf>
    <xf numFmtId="0" fontId="19" fillId="0" borderId="0" xfId="1" applyFont="1" applyAlignment="1"/>
    <xf numFmtId="0" fontId="21" fillId="0" borderId="0" xfId="1" applyFont="1" applyAlignment="1">
      <alignment horizontal="left" vertical="top" wrapText="1"/>
    </xf>
  </cellXfs>
  <cellStyles count="4">
    <cellStyle name="Enllaç" xfId="2" builtinId="8"/>
    <cellStyle name="Normal" xfId="0" builtinId="0"/>
    <cellStyle name="Normal 2" xfId="1"/>
    <cellStyle name="Percentatge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1D33"/>
      <color rgb="FFCC99FF"/>
      <color rgb="FFFABC20"/>
      <color rgb="FF99CC0D"/>
      <color rgb="FF3D9B35"/>
      <color rgb="FFF85C26"/>
      <color rgb="FFBCBF00"/>
      <color rgb="FFAE8055"/>
      <color rgb="FFDCC8B6"/>
      <color rgb="FFC5A3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20159</xdr:colOff>
      <xdr:row>34</xdr:row>
      <xdr:rowOff>45176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944959" cy="52013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olfa\Documents\arxius%20cameres\PARC%20NATURAL%20CAD&#205;\PLA%20ESTRAT&#200;GIC%20SILVIA\JOAN\C&#242;pia%20de%20Model%20Pla%20Estrategic%20ENP_v2024_Cad&#237;_Rev.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olfa\Downloads\Model%20Pla%20Estrategic%20ENP_v2024_final_revisat%20des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%20Pla%20Estrategic%20ENP_v2024_Cad&#237;_Rev.00_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olfa\Documents\arxius%20cameres\PARC%20NATURAL%20CAD&#205;\PLA%20ESTRAT&#200;GIC%20SILVIA\Montse\12_01_25\Monts%20Model%20Pla%20Estrategic%20ENP_v2024_Cad&#237;_Rev.00_PatNa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ATÈGIA"/>
      <sheetName val="INSTRUCCIONS"/>
      <sheetName val="PRIORITZACIÓ"/>
      <sheetName val="PLA"/>
      <sheetName val="VINCLE AMENAÇA_OBJ. OPERATIU"/>
      <sheetName val="Taxonomia Amenaces"/>
      <sheetName val="Llistes"/>
      <sheetName val="Ful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ATÈGIA"/>
      <sheetName val="INSTRUCCIONS"/>
      <sheetName val="PRIORITZACIÓ"/>
      <sheetName val="PLA"/>
      <sheetName val="VINCLE AMENAÇA_OBJ. OPERATIU"/>
      <sheetName val="Taxonomia Amenaces"/>
      <sheetName val="Llistes"/>
      <sheetName val="Ful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ATÈGIA"/>
      <sheetName val="INSTRUCCIONS"/>
      <sheetName val="PRIORITZACIÓ"/>
      <sheetName val="PLA"/>
      <sheetName val="VINCLE AMENAÇA_OBJ. OPERATIU"/>
      <sheetName val="Taxonomia Amenaces"/>
      <sheetName val="Llistes"/>
      <sheetName val="Full1"/>
    </sheetNames>
    <sheetDataSet>
      <sheetData sheetId="0"/>
      <sheetData sheetId="1"/>
      <sheetData sheetId="2"/>
      <sheetData sheetId="3">
        <row r="36">
          <cell r="J36" t="str">
            <v>Colaborar amb l'òrgan competent per la conservació del domini públic d'acord amb les delimitacions i la normativa d'usos vigent</v>
          </cell>
        </row>
        <row r="37">
          <cell r="J37" t="str">
            <v xml:space="preserve">Identificar espais prioritaris per a la compra de terrenys de més valor dins l'ENP </v>
          </cell>
        </row>
      </sheetData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sas Bruy, Pau" id="{EDEA10FC-B9BC-4097-824A-21E06673236F}" userId="S::paucasas@gencat.cat::10b6dd32-7fdb-4aaa-a675-3493beeb1399" providerId="AD"/>
</personList>
</file>

<file path=xl/theme/theme1.xml><?xml version="1.0" encoding="utf-8"?>
<a:theme xmlns:a="http://schemas.openxmlformats.org/drawingml/2006/main" name="Office Theme">
  <a:themeElements>
    <a:clrScheme name="Generalita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8CB33"/>
      </a:accent1>
      <a:accent2>
        <a:srgbClr val="3D9B35"/>
      </a:accent2>
      <a:accent3>
        <a:srgbClr val="BCBF00"/>
      </a:accent3>
      <a:accent4>
        <a:srgbClr val="60A9D1"/>
      </a:accent4>
      <a:accent5>
        <a:srgbClr val="F85C26"/>
      </a:accent5>
      <a:accent6>
        <a:srgbClr val="FABC20"/>
      </a:accent6>
      <a:hlink>
        <a:srgbClr val="AE8055"/>
      </a:hlink>
      <a:folHlink>
        <a:srgbClr val="C0CEC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4-10-29T13:40:14.76" personId="{EDEA10FC-B9BC-4097-824A-21E06673236F}" id="{B06791AC-9C72-4667-BCA5-61437CAF134E}">
    <text>Demanar Joan Casoliva</text>
  </threadedComment>
  <threadedComment ref="G7" dT="2024-10-29T13:41:24.74" personId="{EDEA10FC-B9BC-4097-824A-21E06673236F}" id="{DF18E7F0-1A3F-4328-A007-AEAB4C772581}">
    <text xml:space="preserve">Mirar vídeos open standards
</text>
  </threadedComment>
  <threadedComment ref="K10" dT="2024-10-29T13:46:06.58" personId="{EDEA10FC-B9BC-4097-824A-21E06673236F}" id="{A5090DF4-6490-4445-9D25-15374D55BF46}">
    <text>Demanar què és la tercera proposta- Queralt Tor</text>
  </threadedComment>
  <threadedComment ref="M25" dT="2024-10-30T09:48:41.74" personId="{EDEA10FC-B9BC-4097-824A-21E06673236F}" id="{D17280D7-6089-4487-B9C0-86272DD51794}">
    <text>Queralt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encat.sharepoint.com/sites/Informaciiconeixementpatrimoninatural2/Documents%20compartits/Forms/AllItems.aspx?csf=1&amp;web=1&amp;e=3x4ZkK&amp;ovuser=3b9427dc%2Dd30e%2D43bc%2D8c06%2Dff7253676fec%2Cjordiparpal%40gencat%2Ecat&amp;OR=Teams%2DHL&amp;CT=1713942253212&amp;clic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conservationstandards.org/library-item/threats-and-actions-taxonomies/" TargetMode="External"/><Relationship Id="rId1" Type="http://schemas.openxmlformats.org/officeDocument/2006/relationships/hyperlink" Target="https://cdr.eionet.europa.eu/help/habitats_art17/Reporting2025/List%20of%20pressures%20and%20threats%20for%20reporting%202019-2024%20v1.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4"/>
  <sheetViews>
    <sheetView workbookViewId="0">
      <selection activeCell="O2" sqref="O2"/>
    </sheetView>
  </sheetViews>
  <sheetFormatPr defaultRowHeight="14.5"/>
  <sheetData>
    <row r="3" spans="3:3" ht="26">
      <c r="C3" s="124" t="s">
        <v>948</v>
      </c>
    </row>
    <row r="4" spans="3:3" ht="26">
      <c r="C4" s="124" t="s">
        <v>678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3"/>
  <sheetViews>
    <sheetView zoomScale="120" zoomScaleNormal="120" workbookViewId="0">
      <selection activeCell="B23" sqref="B23"/>
    </sheetView>
  </sheetViews>
  <sheetFormatPr defaultRowHeight="14.5"/>
  <cols>
    <col min="1" max="1" width="23.453125" style="72" customWidth="1"/>
    <col min="2" max="2" width="95.26953125" style="72" customWidth="1"/>
  </cols>
  <sheetData>
    <row r="1" spans="1:2">
      <c r="A1" s="123" t="s">
        <v>606</v>
      </c>
      <c r="B1" s="122"/>
    </row>
    <row r="2" spans="1:2" ht="29">
      <c r="A2" s="157" t="s">
        <v>810</v>
      </c>
      <c r="B2" s="156" t="s">
        <v>811</v>
      </c>
    </row>
    <row r="3" spans="1:2">
      <c r="A3" s="156"/>
      <c r="B3" s="156"/>
    </row>
    <row r="4" spans="1:2" ht="43.5">
      <c r="A4" s="157" t="s">
        <v>812</v>
      </c>
      <c r="B4" s="156" t="s">
        <v>813</v>
      </c>
    </row>
    <row r="5" spans="1:2">
      <c r="A5" s="156"/>
      <c r="B5" s="156"/>
    </row>
    <row r="6" spans="1:2">
      <c r="A6" s="121" t="s">
        <v>605</v>
      </c>
      <c r="B6" s="122"/>
    </row>
    <row r="7" spans="1:2" ht="15.5">
      <c r="A7" s="84" t="s">
        <v>602</v>
      </c>
    </row>
    <row r="8" spans="1:2">
      <c r="B8" s="72" t="s">
        <v>570</v>
      </c>
    </row>
    <row r="9" spans="1:2" ht="29">
      <c r="B9" s="72" t="s">
        <v>603</v>
      </c>
    </row>
    <row r="10" spans="1:2" ht="29">
      <c r="B10" s="72" t="s">
        <v>604</v>
      </c>
    </row>
    <row r="11" spans="1:2">
      <c r="B11" s="72" t="s">
        <v>575</v>
      </c>
    </row>
    <row r="14" spans="1:2" ht="15.5">
      <c r="A14" s="84" t="s">
        <v>572</v>
      </c>
    </row>
    <row r="15" spans="1:2" ht="29">
      <c r="A15" s="85" t="s">
        <v>571</v>
      </c>
      <c r="B15" s="72" t="s">
        <v>573</v>
      </c>
    </row>
    <row r="16" spans="1:2">
      <c r="B16" s="72" t="s">
        <v>586</v>
      </c>
    </row>
    <row r="17" spans="1:2" ht="29">
      <c r="B17" s="72" t="s">
        <v>585</v>
      </c>
    </row>
    <row r="18" spans="1:2" ht="43.5">
      <c r="B18" s="72" t="s">
        <v>584</v>
      </c>
    </row>
    <row r="19" spans="1:2" ht="43.5">
      <c r="B19" s="72" t="s">
        <v>583</v>
      </c>
    </row>
    <row r="20" spans="1:2" ht="43.5">
      <c r="B20" s="72" t="s">
        <v>582</v>
      </c>
    </row>
    <row r="21" spans="1:2" ht="29">
      <c r="B21" s="72" t="s">
        <v>595</v>
      </c>
    </row>
    <row r="22" spans="1:2" ht="58">
      <c r="A22" s="85" t="s">
        <v>580</v>
      </c>
      <c r="B22" s="72" t="s">
        <v>814</v>
      </c>
    </row>
    <row r="23" spans="1:2" ht="43.5">
      <c r="B23" s="72" t="s">
        <v>581</v>
      </c>
    </row>
    <row r="24" spans="1:2" ht="47.65" customHeight="1">
      <c r="A24" s="85" t="s">
        <v>591</v>
      </c>
      <c r="B24" s="72" t="s">
        <v>598</v>
      </c>
    </row>
    <row r="25" spans="1:2">
      <c r="A25" s="85" t="s">
        <v>592</v>
      </c>
      <c r="B25" s="72" t="s">
        <v>599</v>
      </c>
    </row>
    <row r="26" spans="1:2" ht="29">
      <c r="A26" s="85" t="s">
        <v>597</v>
      </c>
      <c r="B26" s="72" t="s">
        <v>600</v>
      </c>
    </row>
    <row r="27" spans="1:2">
      <c r="A27" s="85" t="s">
        <v>593</v>
      </c>
      <c r="B27" s="72" t="s">
        <v>684</v>
      </c>
    </row>
    <row r="28" spans="1:2">
      <c r="A28" s="85" t="s">
        <v>594</v>
      </c>
      <c r="B28" s="72" t="s">
        <v>601</v>
      </c>
    </row>
    <row r="30" spans="1:2">
      <c r="A30" s="121" t="s">
        <v>683</v>
      </c>
      <c r="B30" s="122"/>
    </row>
    <row r="31" spans="1:2" ht="43.5">
      <c r="A31" s="72" t="s">
        <v>685</v>
      </c>
      <c r="B31" s="72" t="s">
        <v>815</v>
      </c>
    </row>
    <row r="32" spans="1:2" ht="29">
      <c r="B32" s="72" t="s">
        <v>816</v>
      </c>
    </row>
    <row r="33" spans="2:2" ht="29">
      <c r="B33" s="72" t="s">
        <v>817</v>
      </c>
    </row>
  </sheetData>
  <pageMargins left="0.7" right="0.7" top="0.75" bottom="0.75" header="0.3" footer="0.3"/>
  <pageSetup paperSize="9"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54"/>
  <sheetViews>
    <sheetView zoomScaleNormal="100" workbookViewId="0">
      <selection activeCell="A126" sqref="A126:XFD126"/>
    </sheetView>
  </sheetViews>
  <sheetFormatPr defaultRowHeight="14.5"/>
  <cols>
    <col min="1" max="1" width="68.26953125" style="72" customWidth="1"/>
    <col min="2" max="2" width="8.7265625" customWidth="1"/>
    <col min="3" max="3" width="24.7265625" customWidth="1"/>
    <col min="4" max="4" width="37.26953125" customWidth="1"/>
    <col min="5" max="6" width="26.26953125" customWidth="1"/>
    <col min="7" max="7" width="28.54296875" customWidth="1"/>
    <col min="8" max="8" width="18.7265625" customWidth="1"/>
  </cols>
  <sheetData>
    <row r="1" spans="1:10">
      <c r="A1" s="166"/>
    </row>
    <row r="2" spans="1:10" ht="15" thickBot="1">
      <c r="A2" s="169" t="s">
        <v>908</v>
      </c>
    </row>
    <row r="3" spans="1:10" ht="15" thickBot="1">
      <c r="A3" s="167" t="s">
        <v>677</v>
      </c>
      <c r="B3" s="158"/>
      <c r="C3" s="158"/>
      <c r="D3" s="159"/>
      <c r="E3" s="308" t="s">
        <v>818</v>
      </c>
      <c r="F3" s="309"/>
      <c r="G3" s="309"/>
      <c r="H3" s="310"/>
    </row>
    <row r="4" spans="1:10">
      <c r="A4" s="168" t="s">
        <v>1001</v>
      </c>
      <c r="B4" s="160" t="s">
        <v>800</v>
      </c>
      <c r="C4" s="160" t="s">
        <v>819</v>
      </c>
      <c r="D4" s="160" t="s">
        <v>820</v>
      </c>
      <c r="E4" s="160" t="s">
        <v>821</v>
      </c>
      <c r="F4" s="160" t="s">
        <v>822</v>
      </c>
      <c r="G4" s="160" t="s">
        <v>823</v>
      </c>
      <c r="H4" s="161" t="s">
        <v>824</v>
      </c>
    </row>
    <row r="5" spans="1:10">
      <c r="A5" s="171" t="s">
        <v>882</v>
      </c>
      <c r="B5" s="127" t="s">
        <v>567</v>
      </c>
      <c r="C5" s="127">
        <v>3.875</v>
      </c>
      <c r="D5" s="127"/>
      <c r="E5" s="127" t="s">
        <v>705</v>
      </c>
      <c r="F5" s="127" t="s">
        <v>744</v>
      </c>
      <c r="G5" s="127" t="s">
        <v>733</v>
      </c>
      <c r="H5" s="162"/>
      <c r="J5" t="s">
        <v>828</v>
      </c>
    </row>
    <row r="6" spans="1:10">
      <c r="A6" s="171" t="s">
        <v>883</v>
      </c>
      <c r="B6" s="195" t="s">
        <v>568</v>
      </c>
      <c r="C6" s="195"/>
      <c r="D6" s="195" t="s">
        <v>1010</v>
      </c>
      <c r="E6" s="127"/>
      <c r="F6" s="127"/>
      <c r="G6" s="127"/>
      <c r="H6" s="162"/>
    </row>
    <row r="7" spans="1:10">
      <c r="A7" s="171" t="s">
        <v>884</v>
      </c>
      <c r="B7" s="127" t="s">
        <v>567</v>
      </c>
      <c r="C7" s="127">
        <v>3.875</v>
      </c>
      <c r="D7" s="127"/>
      <c r="E7" s="127" t="s">
        <v>752</v>
      </c>
      <c r="F7" s="127" t="s">
        <v>705</v>
      </c>
      <c r="G7" s="127"/>
      <c r="H7" s="162" t="s">
        <v>954</v>
      </c>
      <c r="J7" t="s">
        <v>829</v>
      </c>
    </row>
    <row r="8" spans="1:10">
      <c r="A8" s="171" t="s">
        <v>909</v>
      </c>
      <c r="B8" s="195" t="s">
        <v>567</v>
      </c>
      <c r="C8" s="195"/>
      <c r="D8" s="195"/>
      <c r="E8" s="127" t="s">
        <v>705</v>
      </c>
      <c r="F8" s="127" t="s">
        <v>752</v>
      </c>
      <c r="G8" s="127"/>
      <c r="H8" s="162" t="s">
        <v>954</v>
      </c>
      <c r="J8" t="s">
        <v>830</v>
      </c>
    </row>
    <row r="9" spans="1:10">
      <c r="A9" s="171" t="s">
        <v>885</v>
      </c>
      <c r="B9" s="127" t="s">
        <v>567</v>
      </c>
      <c r="C9" s="127">
        <v>4.875</v>
      </c>
      <c r="D9" s="127"/>
      <c r="E9" s="127" t="s">
        <v>761</v>
      </c>
      <c r="F9" s="127"/>
      <c r="G9" s="127" t="s">
        <v>752</v>
      </c>
      <c r="H9" s="162" t="s">
        <v>954</v>
      </c>
      <c r="J9" t="s">
        <v>831</v>
      </c>
    </row>
    <row r="10" spans="1:10" ht="29">
      <c r="A10" s="171" t="s">
        <v>886</v>
      </c>
      <c r="B10" s="195" t="s">
        <v>568</v>
      </c>
      <c r="C10" s="195"/>
      <c r="D10" s="195"/>
      <c r="E10" s="127"/>
      <c r="F10" s="127"/>
      <c r="G10" s="127"/>
      <c r="H10" s="162"/>
      <c r="J10" s="165" t="s">
        <v>832</v>
      </c>
    </row>
    <row r="11" spans="1:10" ht="29">
      <c r="A11" s="171" t="s">
        <v>887</v>
      </c>
      <c r="B11" s="127" t="s">
        <v>567</v>
      </c>
      <c r="C11" s="127">
        <v>5.125</v>
      </c>
      <c r="D11" s="127"/>
      <c r="E11" s="127" t="s">
        <v>752</v>
      </c>
      <c r="F11" s="127" t="s">
        <v>780</v>
      </c>
      <c r="G11" s="127"/>
      <c r="H11" s="162" t="s">
        <v>954</v>
      </c>
      <c r="J11" t="s">
        <v>837</v>
      </c>
    </row>
    <row r="12" spans="1:10">
      <c r="A12" s="171" t="s">
        <v>910</v>
      </c>
      <c r="B12" s="127" t="s">
        <v>568</v>
      </c>
      <c r="C12" s="127"/>
      <c r="D12" s="195"/>
      <c r="E12" s="127"/>
      <c r="F12" s="127"/>
      <c r="G12" s="127"/>
      <c r="H12" s="162"/>
    </row>
    <row r="13" spans="1:10">
      <c r="A13" s="202" t="s">
        <v>888</v>
      </c>
      <c r="B13" s="127" t="s">
        <v>567</v>
      </c>
      <c r="C13" s="191">
        <v>4</v>
      </c>
      <c r="D13" s="195"/>
      <c r="E13" s="127" t="s">
        <v>705</v>
      </c>
      <c r="F13" s="127" t="s">
        <v>733</v>
      </c>
      <c r="G13" s="127"/>
      <c r="H13" s="162" t="s">
        <v>954</v>
      </c>
    </row>
    <row r="14" spans="1:10">
      <c r="A14" s="171" t="s">
        <v>889</v>
      </c>
      <c r="B14" s="127" t="s">
        <v>567</v>
      </c>
      <c r="C14" s="127">
        <v>5.125</v>
      </c>
      <c r="D14" s="195"/>
      <c r="E14" s="127" t="s">
        <v>752</v>
      </c>
      <c r="F14" s="127" t="s">
        <v>705</v>
      </c>
      <c r="G14" s="127" t="s">
        <v>733</v>
      </c>
      <c r="H14" s="162"/>
    </row>
    <row r="15" spans="1:10" ht="29">
      <c r="A15" s="171" t="s">
        <v>890</v>
      </c>
      <c r="B15" s="127" t="s">
        <v>567</v>
      </c>
      <c r="C15" s="127">
        <v>5.375</v>
      </c>
      <c r="D15" s="127"/>
      <c r="E15" s="127" t="s">
        <v>705</v>
      </c>
      <c r="F15" s="127" t="s">
        <v>752</v>
      </c>
      <c r="G15" s="127"/>
      <c r="H15" s="162" t="s">
        <v>954</v>
      </c>
    </row>
    <row r="16" spans="1:10" ht="29">
      <c r="A16" s="205" t="s">
        <v>911</v>
      </c>
      <c r="B16" s="127" t="s">
        <v>568</v>
      </c>
      <c r="C16" s="127"/>
      <c r="D16" s="127" t="s">
        <v>1014</v>
      </c>
      <c r="E16" s="127" t="s">
        <v>705</v>
      </c>
      <c r="F16" s="127"/>
      <c r="G16" s="127"/>
      <c r="H16" s="162"/>
    </row>
    <row r="17" spans="1:8" ht="29">
      <c r="A17" s="171" t="s">
        <v>891</v>
      </c>
      <c r="B17" s="127" t="s">
        <v>568</v>
      </c>
      <c r="C17" s="127" t="s">
        <v>1005</v>
      </c>
      <c r="D17" s="127"/>
      <c r="E17" s="127"/>
      <c r="F17" s="127"/>
      <c r="G17" s="127"/>
      <c r="H17" s="162"/>
    </row>
    <row r="18" spans="1:8" ht="29">
      <c r="A18" s="171" t="s">
        <v>892</v>
      </c>
      <c r="B18" s="127" t="s">
        <v>567</v>
      </c>
      <c r="C18" s="127"/>
      <c r="D18" s="127"/>
      <c r="E18" s="127" t="s">
        <v>705</v>
      </c>
      <c r="F18" s="127" t="s">
        <v>733</v>
      </c>
      <c r="G18" s="127"/>
      <c r="H18" s="162" t="s">
        <v>954</v>
      </c>
    </row>
    <row r="19" spans="1:8">
      <c r="A19" s="202" t="s">
        <v>912</v>
      </c>
      <c r="B19" s="127" t="s">
        <v>568</v>
      </c>
      <c r="C19" s="127"/>
      <c r="D19" s="127" t="s">
        <v>1004</v>
      </c>
      <c r="E19" s="127"/>
      <c r="F19" s="127"/>
      <c r="G19" s="127"/>
      <c r="H19" s="162"/>
    </row>
    <row r="20" spans="1:8">
      <c r="A20" s="171" t="s">
        <v>893</v>
      </c>
      <c r="B20" s="127" t="s">
        <v>568</v>
      </c>
      <c r="C20" s="127"/>
      <c r="D20" s="127" t="s">
        <v>1004</v>
      </c>
      <c r="E20" s="127"/>
      <c r="F20" s="127"/>
      <c r="G20" s="127"/>
      <c r="H20" s="162"/>
    </row>
    <row r="21" spans="1:8">
      <c r="A21" s="202" t="s">
        <v>1007</v>
      </c>
      <c r="B21" s="127" t="s">
        <v>567</v>
      </c>
      <c r="C21" s="127"/>
      <c r="D21" s="127"/>
      <c r="E21" s="127" t="s">
        <v>744</v>
      </c>
      <c r="F21" s="127" t="s">
        <v>764</v>
      </c>
      <c r="G21" s="127" t="s">
        <v>782</v>
      </c>
      <c r="H21" s="162"/>
    </row>
    <row r="22" spans="1:8">
      <c r="A22" s="171" t="s">
        <v>894</v>
      </c>
      <c r="B22" s="127" t="s">
        <v>567</v>
      </c>
      <c r="C22" s="127"/>
      <c r="D22" s="127"/>
      <c r="E22" s="127" t="s">
        <v>705</v>
      </c>
      <c r="F22" s="127" t="s">
        <v>752</v>
      </c>
      <c r="G22" s="127" t="s">
        <v>728</v>
      </c>
      <c r="H22" s="162" t="s">
        <v>1006</v>
      </c>
    </row>
    <row r="23" spans="1:8">
      <c r="A23" s="171" t="s">
        <v>913</v>
      </c>
      <c r="B23" s="127" t="s">
        <v>567</v>
      </c>
      <c r="C23" s="127">
        <v>6.375</v>
      </c>
      <c r="D23" s="127"/>
      <c r="E23" s="127" t="s">
        <v>733</v>
      </c>
      <c r="F23" s="127"/>
      <c r="G23" s="127"/>
      <c r="H23" s="162" t="s">
        <v>1011</v>
      </c>
    </row>
    <row r="24" spans="1:8">
      <c r="A24" s="171" t="s">
        <v>895</v>
      </c>
      <c r="B24" s="127" t="s">
        <v>567</v>
      </c>
      <c r="C24" s="127"/>
      <c r="D24" s="127"/>
      <c r="E24" s="127" t="s">
        <v>733</v>
      </c>
      <c r="F24" s="127"/>
      <c r="G24" s="195" t="s">
        <v>746</v>
      </c>
      <c r="H24" s="162" t="s">
        <v>1011</v>
      </c>
    </row>
    <row r="25" spans="1:8">
      <c r="A25" s="171" t="s">
        <v>896</v>
      </c>
      <c r="B25" s="127" t="s">
        <v>567</v>
      </c>
      <c r="C25" s="127">
        <v>5.125</v>
      </c>
      <c r="D25" s="195"/>
      <c r="E25" s="127" t="s">
        <v>728</v>
      </c>
      <c r="F25" s="127" t="s">
        <v>733</v>
      </c>
      <c r="G25" s="127"/>
      <c r="H25" s="206" t="s">
        <v>1011</v>
      </c>
    </row>
    <row r="26" spans="1:8">
      <c r="A26" s="171" t="s">
        <v>897</v>
      </c>
      <c r="B26" s="127" t="s">
        <v>568</v>
      </c>
      <c r="C26" s="127"/>
      <c r="D26" s="127" t="s">
        <v>1010</v>
      </c>
      <c r="E26" s="127"/>
      <c r="F26" s="127"/>
      <c r="G26" s="127"/>
      <c r="H26" s="162"/>
    </row>
    <row r="27" spans="1:8">
      <c r="A27" s="171" t="s">
        <v>898</v>
      </c>
      <c r="B27" s="127" t="s">
        <v>567</v>
      </c>
      <c r="C27" s="191">
        <v>5.25</v>
      </c>
      <c r="D27" s="195"/>
      <c r="E27" s="127" t="s">
        <v>705</v>
      </c>
      <c r="F27" s="127" t="s">
        <v>733</v>
      </c>
      <c r="G27" s="127"/>
      <c r="H27" s="162" t="s">
        <v>1008</v>
      </c>
    </row>
    <row r="28" spans="1:8">
      <c r="A28" s="171" t="s">
        <v>899</v>
      </c>
      <c r="B28" s="127" t="s">
        <v>567</v>
      </c>
      <c r="C28" s="127"/>
      <c r="D28" s="195"/>
      <c r="E28" s="127" t="s">
        <v>733</v>
      </c>
      <c r="F28" s="127" t="s">
        <v>744</v>
      </c>
      <c r="G28" s="127" t="s">
        <v>764</v>
      </c>
      <c r="H28" s="162" t="s">
        <v>1012</v>
      </c>
    </row>
    <row r="29" spans="1:8">
      <c r="A29" s="171" t="s">
        <v>900</v>
      </c>
      <c r="B29" s="127" t="s">
        <v>568</v>
      </c>
      <c r="C29" s="127"/>
      <c r="D29" s="127" t="s">
        <v>1004</v>
      </c>
      <c r="E29" s="127"/>
      <c r="F29" s="127"/>
      <c r="G29" s="127"/>
      <c r="H29" s="162"/>
    </row>
    <row r="30" spans="1:8">
      <c r="A30" s="202" t="s">
        <v>901</v>
      </c>
      <c r="B30" s="127" t="s">
        <v>567</v>
      </c>
      <c r="C30" s="127">
        <v>3.625</v>
      </c>
      <c r="D30" s="195"/>
      <c r="E30" s="127" t="s">
        <v>728</v>
      </c>
      <c r="F30" s="127" t="s">
        <v>757</v>
      </c>
      <c r="G30" s="127" t="s">
        <v>782</v>
      </c>
      <c r="H30" s="162"/>
    </row>
    <row r="31" spans="1:8">
      <c r="A31" s="171" t="s">
        <v>914</v>
      </c>
      <c r="B31" s="127" t="s">
        <v>567</v>
      </c>
      <c r="C31" s="127">
        <v>3.875</v>
      </c>
      <c r="D31" s="127"/>
      <c r="E31" s="127" t="s">
        <v>728</v>
      </c>
      <c r="F31" s="127" t="s">
        <v>757</v>
      </c>
      <c r="G31" s="127" t="s">
        <v>782</v>
      </c>
      <c r="H31" s="162"/>
    </row>
    <row r="32" spans="1:8">
      <c r="A32" s="171" t="s">
        <v>902</v>
      </c>
      <c r="B32" s="127" t="s">
        <v>567</v>
      </c>
      <c r="C32" s="127"/>
      <c r="D32" s="195"/>
      <c r="E32" s="127" t="s">
        <v>728</v>
      </c>
      <c r="F32" s="127" t="s">
        <v>757</v>
      </c>
      <c r="G32" s="127" t="s">
        <v>782</v>
      </c>
      <c r="H32" s="162"/>
    </row>
    <row r="33" spans="1:8">
      <c r="A33" s="171" t="s">
        <v>903</v>
      </c>
      <c r="B33" s="127" t="s">
        <v>567</v>
      </c>
      <c r="C33" s="127"/>
      <c r="D33" s="127"/>
      <c r="E33" s="127" t="s">
        <v>728</v>
      </c>
      <c r="F33" s="127" t="s">
        <v>744</v>
      </c>
      <c r="G33" s="127"/>
      <c r="H33" s="162"/>
    </row>
    <row r="34" spans="1:8" ht="29">
      <c r="A34" s="202" t="s">
        <v>915</v>
      </c>
      <c r="B34" s="127" t="s">
        <v>568</v>
      </c>
      <c r="C34" s="127"/>
      <c r="D34" s="195" t="s">
        <v>1005</v>
      </c>
      <c r="E34" s="127"/>
      <c r="F34" s="127"/>
      <c r="G34" s="127"/>
      <c r="H34" s="162"/>
    </row>
    <row r="35" spans="1:8">
      <c r="A35" s="171" t="s">
        <v>904</v>
      </c>
      <c r="B35" s="127" t="s">
        <v>567</v>
      </c>
      <c r="C35" s="191">
        <v>4</v>
      </c>
      <c r="D35" s="195"/>
      <c r="E35" s="127" t="s">
        <v>728</v>
      </c>
      <c r="F35" s="127" t="s">
        <v>782</v>
      </c>
      <c r="G35" s="127"/>
      <c r="H35" s="162"/>
    </row>
    <row r="36" spans="1:8">
      <c r="A36" s="171" t="s">
        <v>905</v>
      </c>
      <c r="B36" s="127" t="s">
        <v>568</v>
      </c>
      <c r="C36" s="127">
        <v>5.375</v>
      </c>
      <c r="D36" s="195"/>
      <c r="E36" s="127" t="s">
        <v>728</v>
      </c>
      <c r="F36" s="127"/>
      <c r="G36" s="127"/>
      <c r="H36" s="162"/>
    </row>
    <row r="37" spans="1:8">
      <c r="A37" s="171" t="s">
        <v>907</v>
      </c>
      <c r="B37" s="127" t="s">
        <v>568</v>
      </c>
      <c r="C37" s="127"/>
      <c r="D37" s="127"/>
      <c r="E37" s="127"/>
      <c r="F37" s="127"/>
      <c r="G37" s="127"/>
      <c r="H37" s="162"/>
    </row>
    <row r="38" spans="1:8">
      <c r="A38" s="171" t="s">
        <v>906</v>
      </c>
      <c r="B38" s="127" t="s">
        <v>567</v>
      </c>
      <c r="C38" s="127"/>
      <c r="D38" s="127"/>
      <c r="E38" s="127" t="s">
        <v>728</v>
      </c>
      <c r="F38" s="127" t="s">
        <v>705</v>
      </c>
      <c r="G38" s="127" t="s">
        <v>733</v>
      </c>
      <c r="H38" s="162"/>
    </row>
    <row r="39" spans="1:8" ht="15" thickBot="1">
      <c r="A39" s="171"/>
      <c r="B39" s="127"/>
      <c r="C39" s="127"/>
      <c r="D39" s="127"/>
      <c r="E39" s="127"/>
      <c r="F39" s="127"/>
      <c r="G39" s="127"/>
      <c r="H39" s="162"/>
    </row>
    <row r="40" spans="1:8" ht="15" thickBot="1">
      <c r="A40" s="179" t="s">
        <v>841</v>
      </c>
      <c r="B40" s="180" t="s">
        <v>800</v>
      </c>
      <c r="C40" s="180" t="s">
        <v>819</v>
      </c>
      <c r="D40" s="180" t="s">
        <v>820</v>
      </c>
      <c r="E40" s="180" t="s">
        <v>821</v>
      </c>
      <c r="F40" s="180" t="s">
        <v>822</v>
      </c>
      <c r="G40" s="180" t="s">
        <v>823</v>
      </c>
      <c r="H40" s="181" t="s">
        <v>824</v>
      </c>
    </row>
    <row r="41" spans="1:8" s="173" customFormat="1">
      <c r="A41" s="241" t="s">
        <v>862</v>
      </c>
      <c r="B41" s="185" t="s">
        <v>568</v>
      </c>
      <c r="C41" s="182"/>
      <c r="D41" s="194" t="s">
        <v>952</v>
      </c>
      <c r="E41" s="183"/>
      <c r="F41" s="183"/>
      <c r="G41" s="183"/>
      <c r="H41" s="184"/>
    </row>
    <row r="42" spans="1:8">
      <c r="A42" s="241" t="s">
        <v>855</v>
      </c>
      <c r="B42" s="186" t="s">
        <v>568</v>
      </c>
      <c r="C42" s="178"/>
      <c r="D42" s="127" t="s">
        <v>994</v>
      </c>
      <c r="E42" s="127"/>
      <c r="F42" s="127"/>
      <c r="G42" s="127"/>
      <c r="H42" s="162"/>
    </row>
    <row r="43" spans="1:8">
      <c r="A43" s="241" t="s">
        <v>842</v>
      </c>
      <c r="B43" s="186" t="s">
        <v>567</v>
      </c>
      <c r="C43" s="178">
        <v>1.722</v>
      </c>
      <c r="D43" s="127"/>
      <c r="E43" s="127" t="s">
        <v>825</v>
      </c>
      <c r="F43" s="127" t="s">
        <v>728</v>
      </c>
      <c r="G43" s="127"/>
      <c r="H43" s="201" t="s">
        <v>995</v>
      </c>
    </row>
    <row r="44" spans="1:8">
      <c r="A44" s="241" t="s">
        <v>787</v>
      </c>
      <c r="B44" s="186" t="s">
        <v>567</v>
      </c>
      <c r="C44" s="178" t="s">
        <v>953</v>
      </c>
      <c r="D44" s="127"/>
      <c r="E44" s="127" t="s">
        <v>705</v>
      </c>
      <c r="F44" s="127" t="s">
        <v>761</v>
      </c>
      <c r="G44" s="127" t="s">
        <v>782</v>
      </c>
      <c r="H44" s="162"/>
    </row>
    <row r="45" spans="1:8">
      <c r="A45" s="241" t="s">
        <v>863</v>
      </c>
      <c r="B45" s="186" t="s">
        <v>568</v>
      </c>
      <c r="C45" s="178"/>
      <c r="D45" s="127" t="s">
        <v>993</v>
      </c>
      <c r="E45" s="127"/>
      <c r="F45" s="127"/>
      <c r="G45" s="127"/>
      <c r="H45" s="162"/>
    </row>
    <row r="46" spans="1:8">
      <c r="A46" s="242" t="s">
        <v>940</v>
      </c>
      <c r="B46" s="186" t="s">
        <v>568</v>
      </c>
      <c r="C46" s="178"/>
      <c r="D46" s="127" t="s">
        <v>992</v>
      </c>
      <c r="E46" s="127"/>
      <c r="F46" s="127"/>
      <c r="G46" s="127"/>
      <c r="H46" s="162"/>
    </row>
    <row r="47" spans="1:8">
      <c r="A47" s="241" t="s">
        <v>788</v>
      </c>
      <c r="B47" s="186" t="s">
        <v>567</v>
      </c>
      <c r="C47" s="178"/>
      <c r="D47" s="127"/>
      <c r="E47" s="127" t="s">
        <v>752</v>
      </c>
      <c r="F47" s="127" t="s">
        <v>780</v>
      </c>
      <c r="G47" s="127"/>
      <c r="H47" s="162"/>
    </row>
    <row r="48" spans="1:8">
      <c r="A48" s="241" t="s">
        <v>856</v>
      </c>
      <c r="B48" s="186" t="s">
        <v>567</v>
      </c>
      <c r="C48" s="178"/>
      <c r="D48" s="127"/>
      <c r="E48" s="127" t="s">
        <v>752</v>
      </c>
      <c r="F48" s="127" t="s">
        <v>780</v>
      </c>
      <c r="G48" s="127"/>
      <c r="H48" s="162"/>
    </row>
    <row r="49" spans="1:9">
      <c r="A49" s="241" t="s">
        <v>803</v>
      </c>
      <c r="B49" s="186" t="s">
        <v>567</v>
      </c>
      <c r="C49" s="178"/>
      <c r="D49" s="127"/>
      <c r="E49" s="127" t="s">
        <v>733</v>
      </c>
      <c r="F49" s="127" t="s">
        <v>825</v>
      </c>
      <c r="G49" s="127"/>
      <c r="H49" s="162" t="s">
        <v>954</v>
      </c>
    </row>
    <row r="50" spans="1:9">
      <c r="A50" s="193" t="s">
        <v>1358</v>
      </c>
      <c r="B50" s="186" t="s">
        <v>567</v>
      </c>
      <c r="C50" s="178"/>
      <c r="D50" s="127"/>
      <c r="E50" s="127" t="s">
        <v>705</v>
      </c>
      <c r="F50" s="127" t="s">
        <v>782</v>
      </c>
      <c r="G50" s="127"/>
      <c r="H50" s="162"/>
    </row>
    <row r="51" spans="1:9">
      <c r="A51" s="193" t="s">
        <v>1359</v>
      </c>
      <c r="B51" s="186" t="s">
        <v>567</v>
      </c>
      <c r="C51" s="178"/>
      <c r="D51" s="127"/>
      <c r="E51" s="127" t="s">
        <v>744</v>
      </c>
      <c r="F51" s="127" t="s">
        <v>728</v>
      </c>
      <c r="G51" s="127"/>
      <c r="H51" s="162"/>
    </row>
    <row r="52" spans="1:9">
      <c r="A52" s="241" t="s">
        <v>838</v>
      </c>
      <c r="B52" s="186" t="s">
        <v>567</v>
      </c>
      <c r="C52" s="178"/>
      <c r="D52" s="127"/>
      <c r="E52" s="127" t="s">
        <v>755</v>
      </c>
      <c r="F52" s="127" t="s">
        <v>761</v>
      </c>
      <c r="G52" s="127"/>
      <c r="H52" s="258" t="s">
        <v>1080</v>
      </c>
    </row>
    <row r="53" spans="1:9">
      <c r="A53" s="242" t="s">
        <v>804</v>
      </c>
      <c r="B53" s="186" t="s">
        <v>567</v>
      </c>
      <c r="C53" s="192">
        <v>2</v>
      </c>
      <c r="D53" s="127"/>
      <c r="E53" s="127" t="s">
        <v>728</v>
      </c>
      <c r="F53" s="127" t="s">
        <v>778</v>
      </c>
      <c r="G53" s="127"/>
      <c r="H53" s="258" t="s">
        <v>1081</v>
      </c>
    </row>
    <row r="54" spans="1:9">
      <c r="A54" s="237" t="s">
        <v>1360</v>
      </c>
      <c r="B54" s="186" t="s">
        <v>567</v>
      </c>
      <c r="C54" s="192"/>
      <c r="D54" s="127"/>
      <c r="E54" s="127" t="s">
        <v>705</v>
      </c>
      <c r="F54" s="127" t="s">
        <v>782</v>
      </c>
      <c r="G54" s="127" t="s">
        <v>780</v>
      </c>
      <c r="H54" s="258"/>
    </row>
    <row r="55" spans="1:9">
      <c r="A55" s="241" t="s">
        <v>805</v>
      </c>
      <c r="B55" s="187" t="s">
        <v>567</v>
      </c>
      <c r="C55" s="127"/>
      <c r="D55" s="127"/>
      <c r="E55" s="127" t="s">
        <v>825</v>
      </c>
      <c r="F55" s="127" t="s">
        <v>733</v>
      </c>
      <c r="G55" s="127"/>
      <c r="H55" s="162" t="s">
        <v>954</v>
      </c>
    </row>
    <row r="56" spans="1:9">
      <c r="A56" s="241" t="s">
        <v>864</v>
      </c>
      <c r="B56" s="187" t="s">
        <v>568</v>
      </c>
      <c r="C56" s="127"/>
      <c r="D56" s="127" t="s">
        <v>955</v>
      </c>
      <c r="E56" s="127"/>
      <c r="F56" s="127"/>
      <c r="G56" s="127"/>
      <c r="H56" s="162"/>
    </row>
    <row r="57" spans="1:9">
      <c r="A57" s="242" t="s">
        <v>843</v>
      </c>
      <c r="B57" s="187" t="s">
        <v>567</v>
      </c>
      <c r="C57" s="127">
        <v>1.833</v>
      </c>
      <c r="D57" s="127"/>
      <c r="E57" s="127" t="s">
        <v>825</v>
      </c>
      <c r="F57" s="127"/>
      <c r="G57" s="127"/>
      <c r="H57" s="258" t="s">
        <v>1082</v>
      </c>
      <c r="I57" t="s">
        <v>1084</v>
      </c>
    </row>
    <row r="58" spans="1:9">
      <c r="A58" s="242" t="s">
        <v>934</v>
      </c>
      <c r="B58" s="187" t="s">
        <v>567</v>
      </c>
      <c r="C58" s="127">
        <v>1.667</v>
      </c>
      <c r="D58" s="127"/>
      <c r="E58" s="127" t="s">
        <v>764</v>
      </c>
      <c r="F58" s="127" t="s">
        <v>782</v>
      </c>
      <c r="G58" s="127" t="s">
        <v>780</v>
      </c>
      <c r="H58" s="162"/>
    </row>
    <row r="59" spans="1:9">
      <c r="A59" s="241" t="s">
        <v>844</v>
      </c>
      <c r="B59" s="186" t="s">
        <v>568</v>
      </c>
      <c r="C59" s="178">
        <v>2.1669999999999998</v>
      </c>
      <c r="D59" s="193" t="s">
        <v>991</v>
      </c>
      <c r="E59" s="127"/>
      <c r="F59" s="127"/>
      <c r="G59" s="127"/>
      <c r="H59" s="162"/>
    </row>
    <row r="60" spans="1:9">
      <c r="A60" s="241" t="s">
        <v>789</v>
      </c>
      <c r="B60" s="186" t="s">
        <v>568</v>
      </c>
      <c r="C60" s="127"/>
      <c r="D60" s="127" t="s">
        <v>956</v>
      </c>
      <c r="E60" s="127"/>
      <c r="F60" s="127"/>
      <c r="G60" s="127"/>
      <c r="H60" s="162"/>
    </row>
    <row r="61" spans="1:9">
      <c r="A61" s="241" t="s">
        <v>839</v>
      </c>
      <c r="B61" s="187" t="s">
        <v>568</v>
      </c>
      <c r="C61" s="127"/>
      <c r="D61" s="127" t="s">
        <v>957</v>
      </c>
      <c r="E61" s="127"/>
      <c r="F61" s="127"/>
      <c r="G61" s="127"/>
      <c r="H61" s="162"/>
    </row>
    <row r="62" spans="1:9">
      <c r="A62" s="241" t="s">
        <v>865</v>
      </c>
      <c r="B62" s="196" t="s">
        <v>568</v>
      </c>
      <c r="C62" s="127"/>
      <c r="D62" s="127" t="s">
        <v>958</v>
      </c>
      <c r="E62" s="127"/>
      <c r="F62" s="127"/>
      <c r="G62" s="127"/>
      <c r="H62" s="162"/>
    </row>
    <row r="63" spans="1:9">
      <c r="A63" s="242" t="s">
        <v>941</v>
      </c>
      <c r="B63" s="196" t="s">
        <v>567</v>
      </c>
      <c r="C63" s="127"/>
      <c r="D63" s="127"/>
      <c r="E63" s="127" t="s">
        <v>705</v>
      </c>
      <c r="F63" s="127" t="s">
        <v>825</v>
      </c>
      <c r="G63" s="127"/>
      <c r="H63" s="162" t="s">
        <v>959</v>
      </c>
    </row>
    <row r="64" spans="1:9">
      <c r="A64" s="241" t="s">
        <v>833</v>
      </c>
      <c r="B64" s="186" t="s">
        <v>568</v>
      </c>
      <c r="C64" s="127"/>
      <c r="D64" s="127"/>
      <c r="E64" s="127"/>
      <c r="F64" s="127"/>
      <c r="G64" s="127"/>
      <c r="H64" s="162"/>
    </row>
    <row r="65" spans="1:8">
      <c r="A65" s="241" t="s">
        <v>790</v>
      </c>
      <c r="B65" s="186" t="s">
        <v>568</v>
      </c>
      <c r="C65" s="127"/>
      <c r="D65" s="127" t="s">
        <v>961</v>
      </c>
      <c r="E65" s="127"/>
      <c r="F65" s="127"/>
      <c r="G65" s="127"/>
      <c r="H65" s="162"/>
    </row>
    <row r="66" spans="1:8">
      <c r="A66" s="241" t="s">
        <v>916</v>
      </c>
      <c r="B66" s="186" t="s">
        <v>568</v>
      </c>
      <c r="C66" s="127"/>
      <c r="D66" s="127" t="s">
        <v>960</v>
      </c>
      <c r="E66" s="127"/>
      <c r="F66" s="127"/>
      <c r="G66" s="127"/>
      <c r="H66" s="162"/>
    </row>
    <row r="67" spans="1:8">
      <c r="A67" s="241" t="s">
        <v>866</v>
      </c>
      <c r="B67" s="186" t="s">
        <v>568</v>
      </c>
      <c r="C67" s="127"/>
      <c r="D67" s="127" t="s">
        <v>961</v>
      </c>
      <c r="E67" s="127"/>
      <c r="F67" s="127"/>
      <c r="G67" s="127"/>
      <c r="H67" s="162"/>
    </row>
    <row r="68" spans="1:8">
      <c r="A68" s="242" t="s">
        <v>935</v>
      </c>
      <c r="B68" s="186" t="s">
        <v>568</v>
      </c>
      <c r="C68" s="178">
        <v>1.667</v>
      </c>
      <c r="D68" s="178" t="s">
        <v>1003</v>
      </c>
      <c r="E68" s="127"/>
      <c r="F68" s="127"/>
      <c r="G68" s="127"/>
      <c r="H68" s="162"/>
    </row>
    <row r="69" spans="1:8">
      <c r="A69" s="241" t="s">
        <v>867</v>
      </c>
      <c r="B69" s="186" t="s">
        <v>568</v>
      </c>
      <c r="C69" s="127"/>
      <c r="D69" s="127"/>
      <c r="E69" s="127"/>
      <c r="F69" s="127"/>
      <c r="G69" s="127"/>
      <c r="H69" s="162"/>
    </row>
    <row r="70" spans="1:8">
      <c r="A70" s="241" t="s">
        <v>917</v>
      </c>
      <c r="B70" s="186" t="s">
        <v>568</v>
      </c>
      <c r="C70" s="127">
        <v>1.889</v>
      </c>
      <c r="D70" s="127" t="s">
        <v>960</v>
      </c>
      <c r="E70" s="127"/>
      <c r="F70" s="127"/>
      <c r="G70" s="127"/>
      <c r="H70" s="162"/>
    </row>
    <row r="71" spans="1:8">
      <c r="A71" s="241" t="s">
        <v>918</v>
      </c>
      <c r="B71" s="187" t="s">
        <v>567</v>
      </c>
      <c r="C71" s="127">
        <v>2.8889999999999998</v>
      </c>
      <c r="D71" s="127"/>
      <c r="E71" s="127" t="s">
        <v>825</v>
      </c>
      <c r="F71" s="127" t="s">
        <v>733</v>
      </c>
      <c r="G71" s="127" t="s">
        <v>755</v>
      </c>
      <c r="H71" s="258" t="s">
        <v>996</v>
      </c>
    </row>
    <row r="72" spans="1:8">
      <c r="A72" s="241" t="s">
        <v>834</v>
      </c>
      <c r="B72" s="186" t="s">
        <v>568</v>
      </c>
      <c r="C72" s="178">
        <v>1.556</v>
      </c>
      <c r="D72" s="127"/>
      <c r="E72" s="127"/>
      <c r="F72" s="127"/>
      <c r="G72" s="127"/>
      <c r="H72" s="162"/>
    </row>
    <row r="73" spans="1:8">
      <c r="A73" s="242" t="s">
        <v>930</v>
      </c>
      <c r="B73" s="186" t="s">
        <v>567</v>
      </c>
      <c r="C73" s="127">
        <v>1.833</v>
      </c>
      <c r="D73" s="127"/>
      <c r="E73" s="127" t="s">
        <v>825</v>
      </c>
      <c r="F73" s="127" t="s">
        <v>752</v>
      </c>
      <c r="G73" s="127"/>
      <c r="H73" s="162" t="s">
        <v>954</v>
      </c>
    </row>
    <row r="74" spans="1:8">
      <c r="A74" s="241" t="s">
        <v>806</v>
      </c>
      <c r="B74" s="186" t="s">
        <v>568</v>
      </c>
      <c r="C74" s="127"/>
      <c r="D74" s="127" t="s">
        <v>962</v>
      </c>
      <c r="E74" s="127"/>
      <c r="F74" s="127"/>
      <c r="G74" s="127"/>
      <c r="H74" s="162"/>
    </row>
    <row r="75" spans="1:8">
      <c r="A75" s="242" t="s">
        <v>944</v>
      </c>
      <c r="B75" s="186" t="s">
        <v>567</v>
      </c>
      <c r="C75" s="127"/>
      <c r="D75" s="127"/>
      <c r="E75" s="127" t="s">
        <v>825</v>
      </c>
      <c r="F75" s="127"/>
      <c r="G75" s="127"/>
      <c r="H75" s="162" t="s">
        <v>963</v>
      </c>
    </row>
    <row r="76" spans="1:8">
      <c r="A76" s="238" t="s">
        <v>1361</v>
      </c>
      <c r="B76" s="186" t="s">
        <v>567</v>
      </c>
      <c r="C76" s="127"/>
      <c r="D76" s="127"/>
      <c r="E76" s="127" t="s">
        <v>705</v>
      </c>
      <c r="F76" s="127" t="s">
        <v>782</v>
      </c>
      <c r="G76" s="127"/>
      <c r="H76" s="162"/>
    </row>
    <row r="77" spans="1:8" ht="16.149999999999999" customHeight="1">
      <c r="A77" s="241" t="s">
        <v>919</v>
      </c>
      <c r="B77" s="186" t="s">
        <v>567</v>
      </c>
      <c r="C77" s="127"/>
      <c r="D77" s="127"/>
      <c r="E77" s="127" t="s">
        <v>728</v>
      </c>
      <c r="F77" s="127"/>
      <c r="G77" s="127"/>
      <c r="H77" s="259" t="s">
        <v>997</v>
      </c>
    </row>
    <row r="78" spans="1:8">
      <c r="A78" s="241" t="s">
        <v>807</v>
      </c>
      <c r="B78" s="187" t="s">
        <v>568</v>
      </c>
      <c r="C78" s="178"/>
      <c r="D78" s="127" t="s">
        <v>964</v>
      </c>
      <c r="E78" s="127"/>
      <c r="F78" s="127"/>
      <c r="G78" s="127"/>
      <c r="H78" s="258"/>
    </row>
    <row r="79" spans="1:8">
      <c r="A79" s="241" t="s">
        <v>845</v>
      </c>
      <c r="B79" s="186" t="s">
        <v>568</v>
      </c>
      <c r="C79" s="127"/>
      <c r="D79" s="127" t="s">
        <v>961</v>
      </c>
      <c r="E79" s="127"/>
      <c r="F79" s="127"/>
      <c r="G79" s="127"/>
      <c r="H79" s="162"/>
    </row>
    <row r="80" spans="1:8">
      <c r="A80" s="241" t="s">
        <v>791</v>
      </c>
      <c r="B80" s="186" t="s">
        <v>567</v>
      </c>
      <c r="C80" s="127"/>
      <c r="D80" s="127"/>
      <c r="E80" s="127" t="s">
        <v>733</v>
      </c>
      <c r="F80" s="127" t="s">
        <v>724</v>
      </c>
      <c r="G80" s="127"/>
      <c r="H80" s="162"/>
    </row>
    <row r="81" spans="1:8">
      <c r="A81" s="241" t="s">
        <v>920</v>
      </c>
      <c r="B81" s="186" t="s">
        <v>568</v>
      </c>
      <c r="C81" s="127"/>
      <c r="D81" s="127" t="s">
        <v>962</v>
      </c>
      <c r="E81" s="127"/>
      <c r="F81" s="127"/>
      <c r="G81" s="127"/>
      <c r="H81" s="162"/>
    </row>
    <row r="82" spans="1:8">
      <c r="A82" s="241" t="s">
        <v>868</v>
      </c>
      <c r="B82" s="186" t="s">
        <v>568</v>
      </c>
      <c r="C82" s="127"/>
      <c r="D82" s="127" t="s">
        <v>964</v>
      </c>
      <c r="E82" s="127"/>
      <c r="F82" s="127"/>
      <c r="G82" s="127"/>
      <c r="H82" s="162"/>
    </row>
    <row r="83" spans="1:8">
      <c r="A83" s="242" t="s">
        <v>936</v>
      </c>
      <c r="B83" s="186" t="s">
        <v>567</v>
      </c>
      <c r="C83" s="127">
        <v>1.667</v>
      </c>
      <c r="D83" s="127"/>
      <c r="E83" s="127" t="s">
        <v>759</v>
      </c>
      <c r="F83" s="127" t="s">
        <v>715</v>
      </c>
      <c r="G83" s="127"/>
      <c r="H83" s="162"/>
    </row>
    <row r="84" spans="1:8">
      <c r="A84" s="241" t="s">
        <v>869</v>
      </c>
      <c r="B84" s="187" t="s">
        <v>567</v>
      </c>
      <c r="C84" s="127"/>
      <c r="D84" s="127" t="s">
        <v>965</v>
      </c>
      <c r="E84" s="127" t="s">
        <v>752</v>
      </c>
      <c r="F84" s="127"/>
      <c r="G84" s="127"/>
      <c r="H84" s="162"/>
    </row>
    <row r="85" spans="1:8">
      <c r="A85" s="241" t="s">
        <v>846</v>
      </c>
      <c r="B85" s="186" t="s">
        <v>568</v>
      </c>
      <c r="C85" s="127"/>
      <c r="D85" s="127" t="s">
        <v>966</v>
      </c>
      <c r="E85" s="127"/>
      <c r="F85" s="127"/>
      <c r="G85" s="127"/>
      <c r="H85" s="162"/>
    </row>
    <row r="86" spans="1:8">
      <c r="A86" s="241" t="s">
        <v>847</v>
      </c>
      <c r="B86" s="187" t="s">
        <v>567</v>
      </c>
      <c r="C86" s="191">
        <v>1.75</v>
      </c>
      <c r="D86" s="127"/>
      <c r="E86" s="127" t="s">
        <v>728</v>
      </c>
      <c r="F86" s="127"/>
      <c r="G86" s="127"/>
      <c r="H86" s="258" t="s">
        <v>1083</v>
      </c>
    </row>
    <row r="87" spans="1:8">
      <c r="A87" s="242" t="s">
        <v>945</v>
      </c>
      <c r="B87" s="187" t="s">
        <v>568</v>
      </c>
      <c r="C87" s="127"/>
      <c r="D87" s="127" t="s">
        <v>990</v>
      </c>
      <c r="E87" s="127"/>
      <c r="F87" s="127"/>
      <c r="G87" s="127"/>
      <c r="H87" s="162"/>
    </row>
    <row r="88" spans="1:8" ht="10.9" customHeight="1">
      <c r="A88" s="241" t="s">
        <v>848</v>
      </c>
      <c r="B88" s="188" t="s">
        <v>567</v>
      </c>
      <c r="C88" s="127">
        <v>1.944</v>
      </c>
      <c r="D88" s="127"/>
      <c r="E88" s="127" t="s">
        <v>825</v>
      </c>
      <c r="F88" s="127" t="s">
        <v>825</v>
      </c>
      <c r="G88" s="127" t="s">
        <v>733</v>
      </c>
      <c r="H88" s="236" t="s">
        <v>1000</v>
      </c>
    </row>
    <row r="89" spans="1:8">
      <c r="A89" s="241" t="s">
        <v>849</v>
      </c>
      <c r="B89" s="186" t="s">
        <v>568</v>
      </c>
      <c r="C89" s="127"/>
      <c r="D89" s="127" t="s">
        <v>989</v>
      </c>
      <c r="E89" s="127"/>
      <c r="F89" s="127"/>
      <c r="G89" s="127"/>
      <c r="H89" s="162"/>
    </row>
    <row r="90" spans="1:8">
      <c r="A90" s="242" t="s">
        <v>946</v>
      </c>
      <c r="B90" s="186" t="s">
        <v>567</v>
      </c>
      <c r="C90" s="127"/>
      <c r="D90" s="127"/>
      <c r="E90" s="127" t="s">
        <v>728</v>
      </c>
      <c r="F90" s="127"/>
      <c r="G90" s="127"/>
      <c r="H90" s="162"/>
    </row>
    <row r="91" spans="1:8">
      <c r="A91" s="241" t="s">
        <v>808</v>
      </c>
      <c r="B91" s="186" t="s">
        <v>568</v>
      </c>
      <c r="C91" s="127"/>
      <c r="D91" s="127" t="s">
        <v>989</v>
      </c>
      <c r="E91" s="127"/>
      <c r="F91" s="127"/>
      <c r="G91" s="127"/>
      <c r="H91" s="162"/>
    </row>
    <row r="92" spans="1:8">
      <c r="A92" s="242" t="s">
        <v>937</v>
      </c>
      <c r="B92" s="200" t="s">
        <v>568</v>
      </c>
      <c r="C92" s="195">
        <v>1.667</v>
      </c>
      <c r="D92" s="127" t="s">
        <v>1002</v>
      </c>
      <c r="E92" s="127"/>
      <c r="F92" s="127"/>
      <c r="G92" s="127"/>
      <c r="H92" s="162"/>
    </row>
    <row r="93" spans="1:8">
      <c r="A93" s="241" t="s">
        <v>870</v>
      </c>
      <c r="B93" s="187" t="s">
        <v>568</v>
      </c>
      <c r="C93" s="127"/>
      <c r="D93" s="127" t="s">
        <v>967</v>
      </c>
      <c r="E93" s="127"/>
      <c r="F93" s="127"/>
      <c r="G93" s="127"/>
      <c r="H93" s="162"/>
    </row>
    <row r="94" spans="1:8" ht="13.9" customHeight="1">
      <c r="A94" s="242" t="s">
        <v>927</v>
      </c>
      <c r="B94" s="187" t="s">
        <v>567</v>
      </c>
      <c r="C94" s="127">
        <v>2.1669999999999998</v>
      </c>
      <c r="D94" s="178" t="s">
        <v>988</v>
      </c>
      <c r="E94" s="127" t="s">
        <v>825</v>
      </c>
      <c r="F94" s="127" t="s">
        <v>733</v>
      </c>
      <c r="G94" s="127" t="s">
        <v>705</v>
      </c>
      <c r="H94" s="236" t="s">
        <v>998</v>
      </c>
    </row>
    <row r="95" spans="1:8">
      <c r="A95" s="241" t="s">
        <v>835</v>
      </c>
      <c r="B95" s="186" t="s">
        <v>568</v>
      </c>
      <c r="C95" s="127"/>
      <c r="D95" s="127" t="s">
        <v>968</v>
      </c>
      <c r="E95" s="127"/>
      <c r="F95" s="127"/>
      <c r="G95" s="127"/>
      <c r="H95" s="162"/>
    </row>
    <row r="96" spans="1:8">
      <c r="A96" s="241" t="s">
        <v>921</v>
      </c>
      <c r="B96" s="196" t="s">
        <v>568</v>
      </c>
      <c r="C96" s="127"/>
      <c r="D96" s="127" t="s">
        <v>969</v>
      </c>
      <c r="E96" s="127"/>
      <c r="F96" s="127"/>
      <c r="G96" s="127"/>
      <c r="H96" s="162"/>
    </row>
    <row r="97" spans="1:14">
      <c r="A97" s="241" t="s">
        <v>871</v>
      </c>
      <c r="B97" s="186" t="s">
        <v>567</v>
      </c>
      <c r="C97" s="178"/>
      <c r="D97" s="127"/>
      <c r="E97" s="127" t="s">
        <v>728</v>
      </c>
      <c r="F97" s="127" t="s">
        <v>780</v>
      </c>
      <c r="G97" s="127"/>
      <c r="H97" s="162"/>
    </row>
    <row r="98" spans="1:14">
      <c r="A98" s="241" t="s">
        <v>836</v>
      </c>
      <c r="B98" s="186" t="s">
        <v>568</v>
      </c>
      <c r="C98" s="127"/>
      <c r="D98" s="127" t="s">
        <v>987</v>
      </c>
      <c r="E98" s="127"/>
      <c r="F98" s="127"/>
      <c r="G98" s="127"/>
      <c r="H98" s="162"/>
    </row>
    <row r="99" spans="1:14">
      <c r="A99" s="241" t="s">
        <v>792</v>
      </c>
      <c r="B99" s="186" t="s">
        <v>568</v>
      </c>
      <c r="C99" s="127"/>
      <c r="D99" s="127" t="s">
        <v>970</v>
      </c>
      <c r="E99" s="127"/>
      <c r="F99" s="127"/>
      <c r="G99" s="127"/>
      <c r="H99" s="162"/>
    </row>
    <row r="100" spans="1:14">
      <c r="A100" s="241" t="s">
        <v>793</v>
      </c>
      <c r="B100" s="187" t="s">
        <v>568</v>
      </c>
      <c r="C100" s="127"/>
      <c r="D100" s="127" t="s">
        <v>971</v>
      </c>
      <c r="E100" s="127"/>
      <c r="F100" s="127"/>
      <c r="G100" s="127"/>
      <c r="H100" s="162"/>
    </row>
    <row r="101" spans="1:14">
      <c r="A101" s="243" t="s">
        <v>850</v>
      </c>
      <c r="B101" s="186" t="s">
        <v>568</v>
      </c>
      <c r="C101" s="127"/>
      <c r="D101" s="127" t="s">
        <v>972</v>
      </c>
      <c r="E101" s="127"/>
      <c r="F101" s="127"/>
      <c r="G101" s="127"/>
      <c r="H101" s="162"/>
    </row>
    <row r="102" spans="1:14">
      <c r="A102" s="243" t="s">
        <v>794</v>
      </c>
      <c r="B102" s="203" t="s">
        <v>568</v>
      </c>
      <c r="C102" s="195"/>
      <c r="D102" s="127" t="s">
        <v>1009</v>
      </c>
      <c r="E102" s="127"/>
      <c r="F102" s="127"/>
      <c r="G102" s="127"/>
      <c r="H102" s="162"/>
    </row>
    <row r="103" spans="1:14">
      <c r="A103" s="243" t="s">
        <v>857</v>
      </c>
      <c r="B103" s="186" t="s">
        <v>567</v>
      </c>
      <c r="C103" s="127">
        <v>1.833</v>
      </c>
      <c r="D103" s="127"/>
      <c r="E103" s="127" t="s">
        <v>728</v>
      </c>
      <c r="F103" s="127" t="s">
        <v>780</v>
      </c>
      <c r="G103" s="127"/>
      <c r="H103" s="162"/>
    </row>
    <row r="104" spans="1:14">
      <c r="A104" s="243" t="s">
        <v>922</v>
      </c>
      <c r="B104" s="186" t="s">
        <v>568</v>
      </c>
      <c r="C104" s="127"/>
      <c r="D104" s="127" t="s">
        <v>971</v>
      </c>
      <c r="E104" s="127"/>
      <c r="F104" s="127"/>
      <c r="G104" s="127"/>
      <c r="H104" s="162"/>
    </row>
    <row r="105" spans="1:14">
      <c r="A105" s="243" t="s">
        <v>872</v>
      </c>
      <c r="B105" s="186" t="s">
        <v>568</v>
      </c>
      <c r="C105" s="127"/>
      <c r="D105" s="127" t="s">
        <v>973</v>
      </c>
      <c r="E105" s="127"/>
      <c r="F105" s="127"/>
      <c r="G105" s="127"/>
      <c r="H105" s="162"/>
    </row>
    <row r="106" spans="1:14" ht="15.65" customHeight="1">
      <c r="A106" s="239" t="s">
        <v>1362</v>
      </c>
      <c r="B106" s="186" t="s">
        <v>567</v>
      </c>
      <c r="C106" s="127"/>
      <c r="D106" s="127"/>
      <c r="E106" s="127" t="s">
        <v>825</v>
      </c>
      <c r="F106" s="127"/>
      <c r="G106" s="127"/>
      <c r="H106" s="236" t="s">
        <v>1363</v>
      </c>
    </row>
    <row r="107" spans="1:14" ht="17.5" customHeight="1">
      <c r="A107" s="244" t="s">
        <v>923</v>
      </c>
      <c r="B107" s="186" t="s">
        <v>567</v>
      </c>
      <c r="C107" s="191">
        <v>2</v>
      </c>
      <c r="D107" s="127"/>
      <c r="E107" s="127" t="s">
        <v>728</v>
      </c>
      <c r="F107" s="127"/>
      <c r="G107" s="127"/>
      <c r="H107" s="259" t="s">
        <v>999</v>
      </c>
      <c r="I107" s="173"/>
      <c r="J107" s="173"/>
      <c r="K107" s="173"/>
      <c r="L107" s="173"/>
      <c r="M107" s="173"/>
      <c r="N107" s="173"/>
    </row>
    <row r="108" spans="1:14">
      <c r="A108" s="243" t="s">
        <v>795</v>
      </c>
      <c r="B108" s="200" t="s">
        <v>568</v>
      </c>
      <c r="C108" s="195"/>
      <c r="D108" s="127" t="s">
        <v>1009</v>
      </c>
      <c r="E108" s="127"/>
      <c r="F108" s="127"/>
      <c r="G108" s="127"/>
      <c r="H108" s="162"/>
    </row>
    <row r="109" spans="1:14">
      <c r="A109" s="243" t="s">
        <v>924</v>
      </c>
      <c r="B109" s="204" t="s">
        <v>568</v>
      </c>
      <c r="C109" s="195"/>
      <c r="D109" s="127" t="s">
        <v>1009</v>
      </c>
      <c r="E109" s="127"/>
      <c r="F109" s="127"/>
      <c r="G109" s="127"/>
      <c r="H109" s="162"/>
    </row>
    <row r="110" spans="1:14">
      <c r="A110" s="243" t="s">
        <v>796</v>
      </c>
      <c r="B110" s="187" t="s">
        <v>567</v>
      </c>
      <c r="C110" s="178"/>
      <c r="D110" s="127"/>
      <c r="E110" s="127" t="s">
        <v>728</v>
      </c>
      <c r="F110" s="127" t="s">
        <v>780</v>
      </c>
      <c r="G110" s="127" t="s">
        <v>702</v>
      </c>
      <c r="H110" s="258"/>
    </row>
    <row r="111" spans="1:14">
      <c r="A111" s="243" t="s">
        <v>925</v>
      </c>
      <c r="B111" s="186" t="s">
        <v>567</v>
      </c>
      <c r="C111" s="127">
        <v>2.1110000000000002</v>
      </c>
      <c r="D111" s="127"/>
      <c r="E111" s="127" t="s">
        <v>733</v>
      </c>
      <c r="F111" s="127" t="s">
        <v>825</v>
      </c>
      <c r="G111" s="127" t="s">
        <v>825</v>
      </c>
      <c r="H111" s="162" t="s">
        <v>974</v>
      </c>
    </row>
    <row r="112" spans="1:14">
      <c r="A112" s="243" t="s">
        <v>858</v>
      </c>
      <c r="B112" s="186" t="s">
        <v>567</v>
      </c>
      <c r="C112" s="127">
        <v>2.1110000000000002</v>
      </c>
      <c r="D112" s="127"/>
      <c r="E112" s="127" t="s">
        <v>752</v>
      </c>
      <c r="F112" s="127" t="s">
        <v>825</v>
      </c>
      <c r="G112" s="127"/>
      <c r="H112" s="162" t="s">
        <v>954</v>
      </c>
    </row>
    <row r="113" spans="1:8">
      <c r="A113" s="245" t="s">
        <v>942</v>
      </c>
      <c r="B113" s="186" t="s">
        <v>567</v>
      </c>
      <c r="C113" s="127"/>
      <c r="D113" s="127"/>
      <c r="E113" s="127" t="s">
        <v>728</v>
      </c>
      <c r="F113" s="127" t="s">
        <v>733</v>
      </c>
      <c r="G113" s="127" t="s">
        <v>782</v>
      </c>
      <c r="H113" s="162"/>
    </row>
    <row r="114" spans="1:8">
      <c r="A114" s="243" t="s">
        <v>873</v>
      </c>
      <c r="B114" s="186" t="s">
        <v>568</v>
      </c>
      <c r="C114" s="127"/>
      <c r="D114" s="127" t="s">
        <v>975</v>
      </c>
      <c r="E114" s="127"/>
      <c r="F114" s="127"/>
      <c r="G114" s="127"/>
      <c r="H114" s="162"/>
    </row>
    <row r="115" spans="1:8">
      <c r="A115" s="243" t="s">
        <v>851</v>
      </c>
      <c r="B115" s="186" t="s">
        <v>568</v>
      </c>
      <c r="C115" s="127">
        <v>1.944</v>
      </c>
      <c r="D115" s="127" t="s">
        <v>986</v>
      </c>
      <c r="E115" s="127"/>
      <c r="F115" s="127"/>
      <c r="G115" s="127"/>
      <c r="H115" s="162"/>
    </row>
    <row r="116" spans="1:8">
      <c r="A116" s="243" t="s">
        <v>852</v>
      </c>
      <c r="B116" s="186" t="s">
        <v>567</v>
      </c>
      <c r="C116" s="127">
        <v>2.056</v>
      </c>
      <c r="D116" s="127"/>
      <c r="E116" s="127" t="s">
        <v>750</v>
      </c>
      <c r="F116" s="127" t="s">
        <v>733</v>
      </c>
      <c r="G116" s="127" t="s">
        <v>757</v>
      </c>
      <c r="H116" s="162"/>
    </row>
    <row r="117" spans="1:8">
      <c r="A117" s="243" t="s">
        <v>874</v>
      </c>
      <c r="B117" s="186" t="s">
        <v>568</v>
      </c>
      <c r="C117" s="127"/>
      <c r="D117" s="127" t="s">
        <v>985</v>
      </c>
      <c r="E117" s="127"/>
      <c r="F117" s="127"/>
      <c r="G117" s="127"/>
      <c r="H117" s="162"/>
    </row>
    <row r="118" spans="1:8">
      <c r="A118" s="243" t="s">
        <v>809</v>
      </c>
      <c r="B118" s="186" t="s">
        <v>568</v>
      </c>
      <c r="C118" s="127">
        <v>1.611</v>
      </c>
      <c r="D118" s="127" t="s">
        <v>976</v>
      </c>
      <c r="E118" s="127"/>
      <c r="F118" s="127"/>
      <c r="G118" s="127"/>
      <c r="H118" s="162"/>
    </row>
    <row r="119" spans="1:8">
      <c r="A119" s="243" t="s">
        <v>875</v>
      </c>
      <c r="B119" s="186" t="s">
        <v>568</v>
      </c>
      <c r="C119" s="127"/>
      <c r="D119" s="127" t="s">
        <v>975</v>
      </c>
      <c r="E119" s="127"/>
      <c r="F119" s="127"/>
      <c r="G119" s="127"/>
      <c r="H119" s="162"/>
    </row>
    <row r="120" spans="1:8">
      <c r="A120" s="243" t="s">
        <v>876</v>
      </c>
      <c r="B120" s="186" t="s">
        <v>567</v>
      </c>
      <c r="C120" s="127"/>
      <c r="D120" s="127"/>
      <c r="E120" s="127" t="s">
        <v>780</v>
      </c>
      <c r="F120" s="127" t="s">
        <v>752</v>
      </c>
      <c r="G120" s="127"/>
      <c r="H120" s="162"/>
    </row>
    <row r="121" spans="1:8">
      <c r="A121" s="245" t="s">
        <v>928</v>
      </c>
      <c r="B121" s="186" t="s">
        <v>567</v>
      </c>
      <c r="C121" s="192">
        <v>2</v>
      </c>
      <c r="D121" s="127"/>
      <c r="E121" s="127" t="s">
        <v>728</v>
      </c>
      <c r="F121" s="127" t="s">
        <v>780</v>
      </c>
      <c r="G121" s="127"/>
      <c r="H121" s="162"/>
    </row>
    <row r="122" spans="1:8">
      <c r="A122" s="245" t="s">
        <v>933</v>
      </c>
      <c r="B122" s="186" t="s">
        <v>567</v>
      </c>
      <c r="C122" s="192">
        <v>1.75</v>
      </c>
      <c r="D122" s="127" t="s">
        <v>977</v>
      </c>
      <c r="E122" s="127" t="s">
        <v>733</v>
      </c>
      <c r="F122" s="127" t="s">
        <v>780</v>
      </c>
      <c r="G122" s="127"/>
      <c r="H122" s="162"/>
    </row>
    <row r="123" spans="1:8">
      <c r="A123" s="245" t="s">
        <v>938</v>
      </c>
      <c r="B123" s="186" t="s">
        <v>568</v>
      </c>
      <c r="C123" s="195">
        <v>1.667</v>
      </c>
      <c r="D123" s="127" t="s">
        <v>983</v>
      </c>
      <c r="E123" s="127"/>
      <c r="F123" s="127"/>
      <c r="G123" s="127"/>
      <c r="H123" s="162"/>
    </row>
    <row r="124" spans="1:8">
      <c r="A124" s="243" t="s">
        <v>859</v>
      </c>
      <c r="B124" s="186" t="s">
        <v>568</v>
      </c>
      <c r="C124" s="127"/>
      <c r="D124" s="127" t="s">
        <v>984</v>
      </c>
      <c r="E124" s="127"/>
      <c r="F124" s="127"/>
      <c r="G124" s="127"/>
      <c r="H124" s="162"/>
    </row>
    <row r="125" spans="1:8">
      <c r="A125" s="245" t="s">
        <v>931</v>
      </c>
      <c r="B125" s="186" t="s">
        <v>568</v>
      </c>
      <c r="C125" s="127">
        <v>1.833</v>
      </c>
      <c r="D125" s="127" t="s">
        <v>978</v>
      </c>
      <c r="E125" s="127"/>
      <c r="F125" s="127"/>
      <c r="G125" s="127"/>
      <c r="H125" s="162"/>
    </row>
    <row r="126" spans="1:8">
      <c r="A126" s="240" t="s">
        <v>1364</v>
      </c>
      <c r="B126" s="186" t="s">
        <v>567</v>
      </c>
      <c r="C126" s="127"/>
      <c r="D126" s="127"/>
      <c r="E126" s="127" t="s">
        <v>705</v>
      </c>
      <c r="F126" s="127" t="s">
        <v>782</v>
      </c>
      <c r="G126" s="127" t="s">
        <v>780</v>
      </c>
      <c r="H126" s="162"/>
    </row>
    <row r="127" spans="1:8">
      <c r="A127" s="243" t="s">
        <v>853</v>
      </c>
      <c r="B127" s="186" t="s">
        <v>567</v>
      </c>
      <c r="C127" s="127">
        <v>1.833</v>
      </c>
      <c r="D127" s="127"/>
      <c r="E127" s="127" t="s">
        <v>752</v>
      </c>
      <c r="F127" s="127" t="s">
        <v>733</v>
      </c>
      <c r="G127" s="127"/>
      <c r="H127" s="162"/>
    </row>
    <row r="128" spans="1:8">
      <c r="A128" s="245" t="s">
        <v>932</v>
      </c>
      <c r="B128" s="186" t="s">
        <v>567</v>
      </c>
      <c r="C128" s="127">
        <v>1.833</v>
      </c>
      <c r="D128" s="127"/>
      <c r="E128" s="127" t="s">
        <v>780</v>
      </c>
      <c r="F128" s="127" t="s">
        <v>728</v>
      </c>
      <c r="G128" s="127"/>
      <c r="H128" s="162"/>
    </row>
    <row r="129" spans="1:8">
      <c r="A129" s="245" t="s">
        <v>939</v>
      </c>
      <c r="B129" s="186" t="s">
        <v>567</v>
      </c>
      <c r="C129" s="127">
        <v>1.667</v>
      </c>
      <c r="D129" s="127"/>
      <c r="E129" s="127" t="s">
        <v>782</v>
      </c>
      <c r="F129" s="127" t="s">
        <v>705</v>
      </c>
      <c r="G129" s="127" t="s">
        <v>761</v>
      </c>
      <c r="H129" s="162"/>
    </row>
    <row r="130" spans="1:8">
      <c r="A130" s="245" t="s">
        <v>929</v>
      </c>
      <c r="B130" s="186" t="s">
        <v>567</v>
      </c>
      <c r="C130" s="191">
        <v>2</v>
      </c>
      <c r="D130" s="127"/>
      <c r="E130" s="127" t="s">
        <v>780</v>
      </c>
      <c r="F130" s="127"/>
      <c r="G130" s="127"/>
      <c r="H130" s="162"/>
    </row>
    <row r="131" spans="1:8">
      <c r="A131" s="243" t="s">
        <v>840</v>
      </c>
      <c r="B131" s="186" t="s">
        <v>567</v>
      </c>
      <c r="C131" s="178">
        <v>1.667</v>
      </c>
      <c r="D131" s="127" t="s">
        <v>1486</v>
      </c>
      <c r="E131" s="127" t="s">
        <v>733</v>
      </c>
      <c r="F131" s="127" t="s">
        <v>728</v>
      </c>
      <c r="G131" s="127" t="s">
        <v>764</v>
      </c>
      <c r="H131" s="258"/>
    </row>
    <row r="132" spans="1:8">
      <c r="A132" s="243" t="s">
        <v>797</v>
      </c>
      <c r="B132" s="186" t="s">
        <v>567</v>
      </c>
      <c r="C132" s="178"/>
      <c r="D132" s="127" t="s">
        <v>1486</v>
      </c>
      <c r="E132" s="127" t="s">
        <v>733</v>
      </c>
      <c r="F132" s="127" t="s">
        <v>728</v>
      </c>
      <c r="G132" s="127" t="s">
        <v>780</v>
      </c>
      <c r="H132" s="258"/>
    </row>
    <row r="133" spans="1:8">
      <c r="A133" s="243" t="s">
        <v>798</v>
      </c>
      <c r="B133" s="186" t="s">
        <v>567</v>
      </c>
      <c r="C133" s="178"/>
      <c r="D133" s="178" t="s">
        <v>1486</v>
      </c>
      <c r="E133" s="127" t="s">
        <v>728</v>
      </c>
      <c r="F133" s="127" t="s">
        <v>733</v>
      </c>
      <c r="G133" s="127" t="s">
        <v>780</v>
      </c>
      <c r="H133" s="258"/>
    </row>
    <row r="134" spans="1:8">
      <c r="A134" s="243" t="s">
        <v>877</v>
      </c>
      <c r="B134" s="187" t="s">
        <v>567</v>
      </c>
      <c r="C134" s="127"/>
      <c r="D134" s="127"/>
      <c r="E134" s="127" t="s">
        <v>728</v>
      </c>
      <c r="F134" s="127" t="s">
        <v>733</v>
      </c>
      <c r="G134" s="127" t="s">
        <v>780</v>
      </c>
      <c r="H134" s="258" t="s">
        <v>1094</v>
      </c>
    </row>
    <row r="135" spans="1:8">
      <c r="A135" s="243" t="s">
        <v>878</v>
      </c>
      <c r="B135" s="187" t="s">
        <v>567</v>
      </c>
      <c r="C135" s="127"/>
      <c r="D135" s="127"/>
      <c r="E135" s="127" t="s">
        <v>752</v>
      </c>
      <c r="F135" s="127" t="s">
        <v>780</v>
      </c>
      <c r="G135" s="127"/>
      <c r="H135" s="162"/>
    </row>
    <row r="136" spans="1:8">
      <c r="A136" s="243" t="s">
        <v>979</v>
      </c>
      <c r="B136" s="186" t="s">
        <v>567</v>
      </c>
      <c r="C136" s="127"/>
      <c r="D136" s="127"/>
      <c r="E136" s="127" t="s">
        <v>780</v>
      </c>
      <c r="F136" s="127" t="s">
        <v>752</v>
      </c>
      <c r="G136" s="127"/>
      <c r="H136" s="162"/>
    </row>
    <row r="137" spans="1:8">
      <c r="A137" s="243" t="s">
        <v>879</v>
      </c>
      <c r="B137" s="186" t="s">
        <v>567</v>
      </c>
      <c r="C137" s="127"/>
      <c r="D137" s="127"/>
      <c r="E137" s="127" t="s">
        <v>752</v>
      </c>
      <c r="F137" s="127" t="s">
        <v>728</v>
      </c>
      <c r="G137" s="127" t="s">
        <v>780</v>
      </c>
      <c r="H137" s="162"/>
    </row>
    <row r="138" spans="1:8">
      <c r="A138" s="243" t="s">
        <v>880</v>
      </c>
      <c r="B138" s="186" t="s">
        <v>568</v>
      </c>
      <c r="C138" s="127"/>
      <c r="D138" s="195" t="s">
        <v>981</v>
      </c>
      <c r="E138" s="127"/>
      <c r="F138" s="127"/>
      <c r="G138" s="127"/>
      <c r="H138" s="162"/>
    </row>
    <row r="139" spans="1:8">
      <c r="A139" s="243" t="s">
        <v>799</v>
      </c>
      <c r="B139" s="186" t="s">
        <v>568</v>
      </c>
      <c r="C139" s="127"/>
      <c r="D139" s="195" t="s">
        <v>981</v>
      </c>
      <c r="E139" s="127"/>
      <c r="F139" s="127"/>
      <c r="G139" s="127"/>
      <c r="H139" s="162"/>
    </row>
    <row r="140" spans="1:8">
      <c r="A140" s="243" t="s">
        <v>854</v>
      </c>
      <c r="B140" s="186" t="s">
        <v>567</v>
      </c>
      <c r="C140" s="127">
        <v>2.6669999999999998</v>
      </c>
      <c r="D140" s="127"/>
      <c r="E140" s="127" t="s">
        <v>757</v>
      </c>
      <c r="F140" s="127" t="s">
        <v>733</v>
      </c>
      <c r="G140" s="127" t="s">
        <v>705</v>
      </c>
      <c r="H140" s="162"/>
    </row>
    <row r="141" spans="1:8">
      <c r="A141" s="243" t="s">
        <v>860</v>
      </c>
      <c r="B141" s="186" t="s">
        <v>567</v>
      </c>
      <c r="C141" s="127">
        <v>2.056</v>
      </c>
      <c r="D141" s="127"/>
      <c r="E141" s="127" t="s">
        <v>733</v>
      </c>
      <c r="F141" s="127" t="s">
        <v>780</v>
      </c>
      <c r="G141" s="127"/>
      <c r="H141" s="162"/>
    </row>
    <row r="142" spans="1:8">
      <c r="A142" s="243" t="s">
        <v>881</v>
      </c>
      <c r="B142" s="196" t="s">
        <v>568</v>
      </c>
      <c r="C142" s="127"/>
      <c r="D142" s="127" t="s">
        <v>982</v>
      </c>
      <c r="E142" s="127"/>
      <c r="F142" s="127"/>
      <c r="G142" s="127"/>
      <c r="H142" s="162"/>
    </row>
    <row r="143" spans="1:8">
      <c r="A143" s="243" t="s">
        <v>861</v>
      </c>
      <c r="B143" s="196" t="s">
        <v>567</v>
      </c>
      <c r="C143" s="127">
        <v>1.778</v>
      </c>
      <c r="D143" s="127" t="s">
        <v>980</v>
      </c>
      <c r="E143" s="127" t="s">
        <v>752</v>
      </c>
      <c r="F143" s="127" t="s">
        <v>733</v>
      </c>
      <c r="G143" s="127" t="s">
        <v>780</v>
      </c>
      <c r="H143" s="162"/>
    </row>
    <row r="144" spans="1:8">
      <c r="A144" s="243" t="s">
        <v>926</v>
      </c>
      <c r="B144" s="200" t="s">
        <v>568</v>
      </c>
      <c r="C144" s="195"/>
      <c r="D144" s="127" t="s">
        <v>975</v>
      </c>
      <c r="E144" s="127"/>
      <c r="F144" s="127"/>
      <c r="G144" s="127"/>
      <c r="H144" s="162"/>
    </row>
    <row r="145" spans="1:8">
      <c r="A145" s="257" t="s">
        <v>1013</v>
      </c>
      <c r="B145" s="253" t="s">
        <v>567</v>
      </c>
      <c r="C145" s="254"/>
      <c r="D145" s="255"/>
      <c r="E145" s="255" t="s">
        <v>705</v>
      </c>
      <c r="F145" s="255" t="s">
        <v>728</v>
      </c>
      <c r="G145" s="255"/>
      <c r="H145" s="256"/>
    </row>
    <row r="146" spans="1:8" ht="15" thickBot="1">
      <c r="A146" s="246" t="s">
        <v>943</v>
      </c>
      <c r="B146" s="189" t="s">
        <v>567</v>
      </c>
      <c r="C146" s="163"/>
      <c r="D146" s="163"/>
      <c r="E146" s="163" t="s">
        <v>733</v>
      </c>
      <c r="F146" s="163" t="s">
        <v>780</v>
      </c>
      <c r="G146" s="163"/>
      <c r="H146" s="164"/>
    </row>
    <row r="147" spans="1:8">
      <c r="A147" s="197"/>
      <c r="B147" s="198"/>
      <c r="C147" s="199"/>
      <c r="D147" s="199"/>
      <c r="E147" s="199"/>
      <c r="F147" s="199"/>
      <c r="G147" s="199"/>
      <c r="H147" s="199"/>
    </row>
    <row r="149" spans="1:8" ht="29">
      <c r="A149" s="190" t="s">
        <v>947</v>
      </c>
    </row>
    <row r="151" spans="1:8">
      <c r="A151" s="174"/>
    </row>
    <row r="152" spans="1:8">
      <c r="A152" s="176"/>
    </row>
    <row r="153" spans="1:8">
      <c r="A153" s="177"/>
    </row>
    <row r="154" spans="1:8">
      <c r="A154" s="175"/>
    </row>
  </sheetData>
  <autoFilter ref="A40:I146"/>
  <sortState ref="A62:C138">
    <sortCondition ref="A62:A138"/>
  </sortState>
  <mergeCells count="1">
    <mergeCell ref="E3:H3"/>
  </mergeCells>
  <hyperlinks>
    <hyperlink ref="J10" r:id="rId1"/>
  </hyperlinks>
  <pageMargins left="0.7" right="0.7" top="0.75" bottom="0.75" header="0.3" footer="0.3"/>
  <pageSetup paperSize="9" orientation="portrait" horizontalDpi="200" verticalDpi="200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Llistes!$D$2:$D$4</xm:f>
          </x14:formula1>
          <xm:sqref>B5:B39 B41:B147</xm:sqref>
        </x14:dataValidation>
        <x14:dataValidation type="list" allowBlank="1" showInputMessage="1" showErrorMessage="1">
          <x14:formula1>
            <xm:f>Llistes!$H$2:$H$43</xm:f>
          </x14:formula1>
          <xm:sqref>E5:G39 E42:G147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X192"/>
  <sheetViews>
    <sheetView showGridLines="0" tabSelected="1" topLeftCell="K1" zoomScale="80" zoomScaleNormal="80" workbookViewId="0">
      <pane ySplit="4" topLeftCell="A17" activePane="bottomLeft" state="frozen"/>
      <selection pane="bottomLeft" activeCell="K16" sqref="K16"/>
    </sheetView>
  </sheetViews>
  <sheetFormatPr defaultColWidth="8.7265625" defaultRowHeight="14.5"/>
  <cols>
    <col min="1" max="1" width="22.7265625" style="24" customWidth="1"/>
    <col min="2" max="2" width="4" style="5" customWidth="1"/>
    <col min="3" max="3" width="34.26953125" style="6" customWidth="1"/>
    <col min="4" max="4" width="7.26953125" style="10" customWidth="1"/>
    <col min="5" max="5" width="50" style="7" customWidth="1"/>
    <col min="6" max="6" width="7.7265625" style="8" customWidth="1"/>
    <col min="7" max="7" width="54.7265625" style="260" customWidth="1"/>
    <col min="8" max="8" width="15.453125" style="9" hidden="1" customWidth="1"/>
    <col min="9" max="9" width="18.26953125" style="9" hidden="1" customWidth="1"/>
    <col min="10" max="10" width="55.7265625" style="260" customWidth="1"/>
    <col min="11" max="11" width="30.7265625" style="263" customWidth="1"/>
    <col min="12" max="12" width="28.26953125" style="264" customWidth="1"/>
    <col min="13" max="13" width="10.54296875" style="16" customWidth="1"/>
    <col min="14" max="14" width="56" style="6" customWidth="1"/>
    <col min="15" max="15" width="23.7265625" style="16" hidden="1" customWidth="1"/>
    <col min="16" max="16" width="91.453125" style="18" hidden="1" customWidth="1"/>
    <col min="17" max="17" width="31.453125" style="3" customWidth="1"/>
    <col min="18" max="18" width="9.7265625" style="276" customWidth="1"/>
    <col min="19" max="19" width="11.453125" style="276" customWidth="1"/>
    <col min="20" max="20" width="13" style="276" customWidth="1"/>
    <col min="21" max="21" width="16.453125" style="276" customWidth="1"/>
    <col min="22" max="22" width="17.7265625" style="276" customWidth="1"/>
    <col min="23" max="23" width="21.26953125" style="276" customWidth="1"/>
    <col min="24" max="24" width="16.26953125" style="276" customWidth="1"/>
    <col min="25" max="16384" width="8.7265625" style="3"/>
  </cols>
  <sheetData>
    <row r="1" spans="1:24" ht="18.5">
      <c r="A1" s="74" t="s">
        <v>0</v>
      </c>
      <c r="B1" s="75"/>
      <c r="C1" s="76"/>
    </row>
    <row r="2" spans="1:24" ht="18.5">
      <c r="A2" s="77"/>
      <c r="B2" s="78" t="s">
        <v>574</v>
      </c>
      <c r="C2" s="170" t="s">
        <v>1513</v>
      </c>
    </row>
    <row r="3" spans="1:24" ht="18.5">
      <c r="A3" s="77"/>
      <c r="B3" s="78"/>
      <c r="C3" s="83"/>
      <c r="R3" s="438" t="s">
        <v>589</v>
      </c>
      <c r="S3" s="439"/>
      <c r="T3" s="434" t="s">
        <v>679</v>
      </c>
      <c r="U3" s="434"/>
      <c r="V3" s="434"/>
      <c r="W3" s="435"/>
      <c r="X3" s="273"/>
    </row>
    <row r="4" spans="1:24" s="17" customFormat="1" ht="56.5" customHeight="1">
      <c r="A4" s="79" t="s">
        <v>1</v>
      </c>
      <c r="B4" s="81"/>
      <c r="C4" s="80" t="s">
        <v>2</v>
      </c>
      <c r="D4" s="82"/>
      <c r="E4" s="80" t="s">
        <v>3</v>
      </c>
      <c r="F4" s="94"/>
      <c r="G4" s="94" t="s">
        <v>4</v>
      </c>
      <c r="H4" s="94" t="s">
        <v>5</v>
      </c>
      <c r="I4" s="95" t="s">
        <v>6</v>
      </c>
      <c r="J4" s="265" t="s">
        <v>569</v>
      </c>
      <c r="K4" s="261" t="s">
        <v>576</v>
      </c>
      <c r="L4" s="261" t="s">
        <v>577</v>
      </c>
      <c r="M4" s="97" t="s">
        <v>7</v>
      </c>
      <c r="N4" s="96" t="s">
        <v>579</v>
      </c>
      <c r="O4" s="98" t="s">
        <v>8</v>
      </c>
      <c r="P4" s="99" t="s">
        <v>9</v>
      </c>
      <c r="Q4" s="119" t="s">
        <v>587</v>
      </c>
      <c r="R4" s="277" t="s">
        <v>588</v>
      </c>
      <c r="S4" s="277" t="s">
        <v>596</v>
      </c>
      <c r="T4" s="277" t="s">
        <v>1192</v>
      </c>
      <c r="U4" s="277" t="s">
        <v>590</v>
      </c>
      <c r="V4" s="277" t="s">
        <v>1392</v>
      </c>
      <c r="W4" s="277" t="s">
        <v>1350</v>
      </c>
      <c r="X4" s="277" t="s">
        <v>1393</v>
      </c>
    </row>
    <row r="5" spans="1:24" ht="124.9" customHeight="1">
      <c r="A5" s="13" t="s">
        <v>10</v>
      </c>
      <c r="B5" s="34">
        <v>1</v>
      </c>
      <c r="C5" s="42" t="s">
        <v>11</v>
      </c>
      <c r="D5" s="401" t="s">
        <v>12</v>
      </c>
      <c r="E5" s="443" t="s">
        <v>13</v>
      </c>
      <c r="F5" s="100" t="s">
        <v>14</v>
      </c>
      <c r="G5" s="211" t="s">
        <v>15</v>
      </c>
      <c r="H5" s="102" t="s">
        <v>16</v>
      </c>
      <c r="I5" s="102" t="s">
        <v>17</v>
      </c>
      <c r="J5" s="210" t="str">
        <f>G5</f>
        <v>Implementar i executar plans de gestió específics per a hàbitats i espècies de conservació prioritària dins l'ENP</v>
      </c>
      <c r="K5" s="215"/>
      <c r="L5" s="302" t="s">
        <v>567</v>
      </c>
      <c r="M5" s="207" t="s">
        <v>18</v>
      </c>
      <c r="N5" s="73" t="s">
        <v>1483</v>
      </c>
      <c r="O5" s="105" t="s">
        <v>19</v>
      </c>
      <c r="P5" s="106" t="s">
        <v>20</v>
      </c>
      <c r="Q5" s="225" t="s">
        <v>1307</v>
      </c>
      <c r="R5" s="278">
        <v>0.5</v>
      </c>
      <c r="S5" s="278">
        <v>0.8</v>
      </c>
      <c r="T5" s="235" t="s">
        <v>1390</v>
      </c>
      <c r="U5" s="279" t="s">
        <v>1398</v>
      </c>
      <c r="V5" s="280" t="s">
        <v>1389</v>
      </c>
      <c r="W5" s="281" t="s">
        <v>1391</v>
      </c>
      <c r="X5" s="282">
        <v>150</v>
      </c>
    </row>
    <row r="6" spans="1:24" ht="42" customHeight="1">
      <c r="A6" s="25"/>
      <c r="B6" s="35"/>
      <c r="C6" s="43"/>
      <c r="D6" s="401"/>
      <c r="E6" s="443"/>
      <c r="F6" s="100" t="s">
        <v>21</v>
      </c>
      <c r="G6" s="211" t="s">
        <v>22</v>
      </c>
      <c r="H6" s="102" t="s">
        <v>16</v>
      </c>
      <c r="I6" s="102" t="s">
        <v>17</v>
      </c>
      <c r="J6" s="210" t="str">
        <f t="shared" ref="J6:J71" si="0">G6</f>
        <v>Adaptar i executar plans de gestió específics per a elements geològics de conservació prioritària dins l'ENP</v>
      </c>
      <c r="K6" s="215"/>
      <c r="L6" s="208" t="s">
        <v>567</v>
      </c>
      <c r="M6" s="104" t="s">
        <v>18</v>
      </c>
      <c r="N6" s="73" t="s">
        <v>607</v>
      </c>
      <c r="O6" s="105"/>
      <c r="P6" s="108"/>
      <c r="Q6" s="73" t="s">
        <v>1336</v>
      </c>
      <c r="R6" s="272">
        <v>0.5</v>
      </c>
      <c r="S6" s="272">
        <v>1</v>
      </c>
      <c r="T6" s="235" t="s">
        <v>1394</v>
      </c>
      <c r="U6" s="273" t="s">
        <v>1477</v>
      </c>
      <c r="V6" s="235" t="s">
        <v>1395</v>
      </c>
      <c r="W6" s="281" t="s">
        <v>1391</v>
      </c>
      <c r="X6" s="282">
        <v>50</v>
      </c>
    </row>
    <row r="7" spans="1:24" ht="40.9" customHeight="1">
      <c r="A7" s="25"/>
      <c r="B7" s="35"/>
      <c r="C7" s="43"/>
      <c r="D7" s="331" t="s">
        <v>24</v>
      </c>
      <c r="E7" s="445" t="s">
        <v>25</v>
      </c>
      <c r="F7" s="102" t="s">
        <v>26</v>
      </c>
      <c r="G7" s="211" t="s">
        <v>27</v>
      </c>
      <c r="H7" s="102" t="s">
        <v>16</v>
      </c>
      <c r="I7" s="102" t="s">
        <v>28</v>
      </c>
      <c r="J7" s="210" t="str">
        <f t="shared" si="0"/>
        <v>Implementar la metodologia de gestió adaptativa (Estàndards Oberts de Gestió Adaptativa a Catalunya) en tots els processos de l'ENP</v>
      </c>
      <c r="K7" s="215"/>
      <c r="L7" s="208" t="s">
        <v>567</v>
      </c>
      <c r="M7" s="207" t="s">
        <v>18</v>
      </c>
      <c r="N7" s="73" t="s">
        <v>608</v>
      </c>
      <c r="O7" s="105" t="s">
        <v>30</v>
      </c>
      <c r="P7" s="106" t="s">
        <v>31</v>
      </c>
      <c r="Q7" s="118" t="s">
        <v>1308</v>
      </c>
      <c r="R7" s="272">
        <v>0.5</v>
      </c>
      <c r="S7" s="272">
        <v>0.7</v>
      </c>
      <c r="T7" s="273">
        <v>400</v>
      </c>
      <c r="U7" s="279" t="s">
        <v>1398</v>
      </c>
      <c r="V7" s="280" t="s">
        <v>1355</v>
      </c>
      <c r="W7" s="275" t="s">
        <v>1180</v>
      </c>
      <c r="X7" s="275" t="s">
        <v>1180</v>
      </c>
    </row>
    <row r="8" spans="1:24" ht="101.5">
      <c r="A8" s="25"/>
      <c r="B8" s="35"/>
      <c r="C8" s="43"/>
      <c r="D8" s="332"/>
      <c r="E8" s="446"/>
      <c r="F8" s="102" t="s">
        <v>32</v>
      </c>
      <c r="G8" s="101" t="s">
        <v>33</v>
      </c>
      <c r="H8" s="102" t="s">
        <v>16</v>
      </c>
      <c r="I8" s="102" t="s">
        <v>17</v>
      </c>
      <c r="J8" s="210" t="str">
        <f t="shared" si="0"/>
        <v>Executar les mesures previstes en els plans de conservació o recuperació d'espècies amenaçades de forma coordinada amb el Servei de Flora i Fauna en l'àmbit de l'ENP</v>
      </c>
      <c r="K8" s="215"/>
      <c r="L8" s="302" t="s">
        <v>567</v>
      </c>
      <c r="M8" s="104" t="s">
        <v>29</v>
      </c>
      <c r="N8" s="73" t="s">
        <v>609</v>
      </c>
      <c r="O8" s="109" t="s">
        <v>34</v>
      </c>
      <c r="P8" s="106" t="s">
        <v>35</v>
      </c>
      <c r="Q8" s="226" t="s">
        <v>1309</v>
      </c>
      <c r="R8" s="272">
        <v>0.5</v>
      </c>
      <c r="S8" s="272">
        <v>0.8</v>
      </c>
      <c r="T8" s="235" t="s">
        <v>1396</v>
      </c>
      <c r="U8" s="279" t="s">
        <v>1398</v>
      </c>
      <c r="V8" s="280" t="s">
        <v>1389</v>
      </c>
      <c r="W8" s="281" t="s">
        <v>1391</v>
      </c>
      <c r="X8" s="282">
        <v>150</v>
      </c>
    </row>
    <row r="9" spans="1:24" ht="87">
      <c r="A9" s="25"/>
      <c r="B9" s="35"/>
      <c r="C9" s="43"/>
      <c r="D9" s="332"/>
      <c r="E9" s="446"/>
      <c r="F9" s="102" t="s">
        <v>36</v>
      </c>
      <c r="G9" s="101" t="s">
        <v>37</v>
      </c>
      <c r="H9" s="102" t="s">
        <v>16</v>
      </c>
      <c r="I9" s="102" t="s">
        <v>17</v>
      </c>
      <c r="J9" s="210" t="str">
        <f t="shared" si="0"/>
        <v>Executar les mesures de gestió previstes en els plans de control i erradicació d'espècies exòtiques de forma coordinada amb el Servei de Flora i Fauna en l'àmbit de l'ENP</v>
      </c>
      <c r="K9" s="215"/>
      <c r="L9" s="302" t="s">
        <v>567</v>
      </c>
      <c r="M9" s="104" t="s">
        <v>29</v>
      </c>
      <c r="N9" s="73" t="s">
        <v>610</v>
      </c>
      <c r="O9" s="109" t="s">
        <v>38</v>
      </c>
      <c r="P9" s="106" t="s">
        <v>39</v>
      </c>
      <c r="Q9" s="226" t="s">
        <v>1310</v>
      </c>
      <c r="R9" s="272">
        <v>0.5</v>
      </c>
      <c r="S9" s="272">
        <v>0.8</v>
      </c>
      <c r="T9" s="235" t="s">
        <v>1397</v>
      </c>
      <c r="U9" s="279" t="s">
        <v>1398</v>
      </c>
      <c r="V9" s="280" t="s">
        <v>1389</v>
      </c>
      <c r="W9" s="281" t="s">
        <v>1391</v>
      </c>
      <c r="X9" s="282">
        <v>200</v>
      </c>
    </row>
    <row r="10" spans="1:24" ht="101.5">
      <c r="A10" s="25"/>
      <c r="B10" s="35"/>
      <c r="C10" s="43"/>
      <c r="D10" s="390"/>
      <c r="E10" s="447"/>
      <c r="F10" s="102" t="s">
        <v>40</v>
      </c>
      <c r="G10" s="101" t="s">
        <v>41</v>
      </c>
      <c r="H10" s="102" t="s">
        <v>42</v>
      </c>
      <c r="I10" s="102" t="s">
        <v>43</v>
      </c>
      <c r="J10" s="210" t="str">
        <f t="shared" si="0"/>
        <v xml:space="preserve">Desplegar els objectius i tasques recollits en els instruments de referència i compromisos internacionals  </v>
      </c>
      <c r="K10" s="267"/>
      <c r="L10" s="303" t="s">
        <v>567</v>
      </c>
      <c r="M10" s="212" t="s">
        <v>18</v>
      </c>
      <c r="N10" s="213" t="s">
        <v>1015</v>
      </c>
      <c r="O10" s="109"/>
      <c r="P10" s="106"/>
      <c r="Q10" s="118" t="s">
        <v>1311</v>
      </c>
      <c r="R10" s="272">
        <v>0.3</v>
      </c>
      <c r="S10" s="272">
        <v>0.7</v>
      </c>
      <c r="T10" s="235" t="s">
        <v>1399</v>
      </c>
      <c r="U10" s="279" t="s">
        <v>1398</v>
      </c>
      <c r="V10" s="280" t="s">
        <v>1389</v>
      </c>
      <c r="W10" s="281" t="s">
        <v>1391</v>
      </c>
      <c r="X10" s="282">
        <v>50</v>
      </c>
    </row>
    <row r="11" spans="1:24" ht="58">
      <c r="A11" s="25"/>
      <c r="B11" s="35"/>
      <c r="C11" s="43"/>
      <c r="D11" s="331" t="s">
        <v>44</v>
      </c>
      <c r="E11" s="328" t="s">
        <v>45</v>
      </c>
      <c r="F11" s="100" t="s">
        <v>46</v>
      </c>
      <c r="G11" s="101" t="s">
        <v>47</v>
      </c>
      <c r="H11" s="102" t="s">
        <v>16</v>
      </c>
      <c r="I11" s="102" t="s">
        <v>17</v>
      </c>
      <c r="J11" s="210" t="str">
        <f t="shared" si="0"/>
        <v>Identificar espais pel foment de la dinàmica natural i l'aprofitament no extractiu</v>
      </c>
      <c r="K11" s="215"/>
      <c r="L11" s="302" t="s">
        <v>567</v>
      </c>
      <c r="M11" s="104" t="s">
        <v>23</v>
      </c>
      <c r="N11" s="73" t="s">
        <v>48</v>
      </c>
      <c r="O11" s="105" t="s">
        <v>30</v>
      </c>
      <c r="P11" s="106" t="s">
        <v>49</v>
      </c>
      <c r="Q11" s="118" t="s">
        <v>1312</v>
      </c>
      <c r="R11" s="272">
        <v>0.25</v>
      </c>
      <c r="S11" s="272">
        <v>0.5</v>
      </c>
      <c r="T11" s="235" t="s">
        <v>1400</v>
      </c>
      <c r="U11" s="279" t="s">
        <v>1398</v>
      </c>
      <c r="V11" s="280" t="s">
        <v>1389</v>
      </c>
      <c r="W11" s="281" t="s">
        <v>1391</v>
      </c>
      <c r="X11" s="282">
        <v>200</v>
      </c>
    </row>
    <row r="12" spans="1:24" ht="43.5">
      <c r="A12" s="25"/>
      <c r="B12" s="35"/>
      <c r="C12" s="43"/>
      <c r="D12" s="332"/>
      <c r="E12" s="329"/>
      <c r="F12" s="100" t="s">
        <v>50</v>
      </c>
      <c r="G12" s="101" t="s">
        <v>51</v>
      </c>
      <c r="H12" s="102" t="s">
        <v>42</v>
      </c>
      <c r="I12" s="102" t="s">
        <v>43</v>
      </c>
      <c r="J12" s="210" t="str">
        <f t="shared" si="0"/>
        <v>Afavorir la maduresa dels sistemes forestals</v>
      </c>
      <c r="K12" s="215"/>
      <c r="L12" s="303" t="s">
        <v>567</v>
      </c>
      <c r="M12" s="104" t="s">
        <v>18</v>
      </c>
      <c r="N12" s="73" t="s">
        <v>52</v>
      </c>
      <c r="O12" s="105" t="s">
        <v>19</v>
      </c>
      <c r="P12" s="106" t="s">
        <v>49</v>
      </c>
      <c r="Q12" s="118" t="s">
        <v>1313</v>
      </c>
      <c r="R12" s="272">
        <v>0.4</v>
      </c>
      <c r="S12" s="272">
        <v>0.8</v>
      </c>
      <c r="T12" s="235" t="s">
        <v>1484</v>
      </c>
      <c r="U12" s="279" t="s">
        <v>1398</v>
      </c>
      <c r="V12" s="280" t="s">
        <v>1389</v>
      </c>
      <c r="W12" s="281" t="s">
        <v>1391</v>
      </c>
      <c r="X12" s="282">
        <v>100</v>
      </c>
    </row>
    <row r="13" spans="1:24" ht="87">
      <c r="A13" s="25"/>
      <c r="B13" s="35"/>
      <c r="C13" s="43"/>
      <c r="D13" s="332"/>
      <c r="E13" s="329"/>
      <c r="F13" s="100" t="s">
        <v>53</v>
      </c>
      <c r="G13" s="101" t="s">
        <v>54</v>
      </c>
      <c r="H13" s="102" t="s">
        <v>42</v>
      </c>
      <c r="I13" s="102" t="s">
        <v>43</v>
      </c>
      <c r="J13" s="210" t="s">
        <v>54</v>
      </c>
      <c r="K13" s="215"/>
      <c r="L13" s="303" t="s">
        <v>567</v>
      </c>
      <c r="M13" s="251" t="s">
        <v>578</v>
      </c>
      <c r="N13" s="73" t="s">
        <v>611</v>
      </c>
      <c r="O13" s="105" t="s">
        <v>19</v>
      </c>
      <c r="P13" s="106" t="s">
        <v>49</v>
      </c>
      <c r="Q13" s="118" t="s">
        <v>1314</v>
      </c>
      <c r="R13" s="272">
        <v>0.5</v>
      </c>
      <c r="S13" s="272">
        <v>1</v>
      </c>
      <c r="T13" s="273">
        <v>10</v>
      </c>
      <c r="U13" s="279" t="s">
        <v>1398</v>
      </c>
      <c r="V13" s="280" t="s">
        <v>1355</v>
      </c>
      <c r="W13" s="282"/>
      <c r="X13" s="282"/>
    </row>
    <row r="14" spans="1:24" ht="43.5">
      <c r="A14" s="25"/>
      <c r="B14" s="35"/>
      <c r="C14" s="43"/>
      <c r="D14" s="332"/>
      <c r="E14" s="329"/>
      <c r="F14" s="100" t="s">
        <v>55</v>
      </c>
      <c r="G14" s="101" t="s">
        <v>56</v>
      </c>
      <c r="H14" s="102" t="s">
        <v>42</v>
      </c>
      <c r="I14" s="102" t="s">
        <v>84</v>
      </c>
      <c r="J14" s="210" t="s">
        <v>1016</v>
      </c>
      <c r="K14" s="215" t="s">
        <v>1514</v>
      </c>
      <c r="L14" s="302"/>
      <c r="M14" s="104" t="s">
        <v>173</v>
      </c>
      <c r="N14" s="73" t="s">
        <v>612</v>
      </c>
      <c r="O14" s="105" t="s">
        <v>19</v>
      </c>
      <c r="P14" s="106" t="s">
        <v>49</v>
      </c>
      <c r="Q14" s="118" t="s">
        <v>1180</v>
      </c>
      <c r="R14" s="282" t="s">
        <v>1180</v>
      </c>
      <c r="S14" s="282" t="s">
        <v>1180</v>
      </c>
      <c r="T14" s="282" t="s">
        <v>1180</v>
      </c>
      <c r="U14" s="279" t="s">
        <v>1398</v>
      </c>
      <c r="V14" s="280" t="s">
        <v>1355</v>
      </c>
      <c r="W14" s="282"/>
      <c r="X14" s="282"/>
    </row>
    <row r="15" spans="1:24" ht="130.5">
      <c r="A15" s="25"/>
      <c r="B15" s="35"/>
      <c r="C15" s="43"/>
      <c r="D15" s="332"/>
      <c r="E15" s="329"/>
      <c r="F15" s="100" t="s">
        <v>57</v>
      </c>
      <c r="G15" s="101" t="s">
        <v>58</v>
      </c>
      <c r="H15" s="102" t="s">
        <v>42</v>
      </c>
      <c r="I15" s="102" t="s">
        <v>43</v>
      </c>
      <c r="J15" s="210" t="str">
        <f t="shared" si="0"/>
        <v>Fomentar el paisatge en mosaïc</v>
      </c>
      <c r="K15" s="215"/>
      <c r="L15" s="303" t="s">
        <v>567</v>
      </c>
      <c r="M15" s="104" t="s">
        <v>18</v>
      </c>
      <c r="N15" s="73" t="s">
        <v>613</v>
      </c>
      <c r="O15" s="105" t="s">
        <v>30</v>
      </c>
      <c r="P15" s="106" t="s">
        <v>49</v>
      </c>
      <c r="Q15" s="118" t="s">
        <v>1315</v>
      </c>
      <c r="R15" s="272">
        <v>0.25</v>
      </c>
      <c r="S15" s="272">
        <v>0.75</v>
      </c>
      <c r="T15" s="235" t="s">
        <v>1402</v>
      </c>
      <c r="U15" s="273" t="s">
        <v>1403</v>
      </c>
      <c r="V15" s="274" t="s">
        <v>1401</v>
      </c>
      <c r="W15" s="282" t="s">
        <v>1391</v>
      </c>
      <c r="X15" s="282">
        <v>500</v>
      </c>
    </row>
    <row r="16" spans="1:24" ht="43.5">
      <c r="A16" s="25"/>
      <c r="B16" s="35"/>
      <c r="C16" s="43"/>
      <c r="D16" s="332"/>
      <c r="E16" s="329"/>
      <c r="F16" s="100" t="s">
        <v>59</v>
      </c>
      <c r="G16" s="101" t="s">
        <v>60</v>
      </c>
      <c r="H16" s="102" t="s">
        <v>42</v>
      </c>
      <c r="I16" s="102" t="s">
        <v>84</v>
      </c>
      <c r="J16" s="210" t="s">
        <v>1016</v>
      </c>
      <c r="K16" s="215" t="s">
        <v>1515</v>
      </c>
      <c r="L16" s="302"/>
      <c r="M16" s="104" t="s">
        <v>23</v>
      </c>
      <c r="N16" s="73" t="s">
        <v>614</v>
      </c>
      <c r="O16" s="105"/>
      <c r="P16" s="106" t="s">
        <v>49</v>
      </c>
      <c r="Q16" s="118" t="s">
        <v>1180</v>
      </c>
      <c r="R16" s="282" t="s">
        <v>1180</v>
      </c>
      <c r="S16" s="282" t="s">
        <v>1180</v>
      </c>
      <c r="T16" s="282" t="s">
        <v>1180</v>
      </c>
      <c r="U16" s="279" t="s">
        <v>1398</v>
      </c>
      <c r="V16" s="280" t="s">
        <v>1355</v>
      </c>
      <c r="W16" s="275" t="s">
        <v>1180</v>
      </c>
      <c r="X16" s="275" t="s">
        <v>1180</v>
      </c>
    </row>
    <row r="17" spans="1:24" ht="91.9" customHeight="1">
      <c r="A17" s="25"/>
      <c r="B17" s="221"/>
      <c r="C17" s="43"/>
      <c r="D17" s="333"/>
      <c r="E17" s="330"/>
      <c r="F17" s="100" t="s">
        <v>1247</v>
      </c>
      <c r="G17" s="101" t="s">
        <v>1248</v>
      </c>
      <c r="H17" s="102" t="s">
        <v>16</v>
      </c>
      <c r="I17" s="102" t="s">
        <v>28</v>
      </c>
      <c r="J17" s="210" t="s">
        <v>1016</v>
      </c>
      <c r="K17" s="215" t="s">
        <v>1516</v>
      </c>
      <c r="L17" s="302"/>
      <c r="M17" s="104" t="s">
        <v>173</v>
      </c>
      <c r="N17" s="73"/>
      <c r="O17" s="105"/>
      <c r="P17" s="106"/>
      <c r="Q17" s="118" t="s">
        <v>1180</v>
      </c>
      <c r="R17" s="282" t="s">
        <v>1180</v>
      </c>
      <c r="S17" s="282" t="s">
        <v>1180</v>
      </c>
      <c r="T17" s="282" t="s">
        <v>1180</v>
      </c>
      <c r="U17" s="279" t="s">
        <v>1398</v>
      </c>
      <c r="V17" s="280" t="s">
        <v>1355</v>
      </c>
      <c r="W17" s="275" t="s">
        <v>1180</v>
      </c>
      <c r="X17" s="275" t="s">
        <v>1180</v>
      </c>
    </row>
    <row r="18" spans="1:24" ht="51.65" customHeight="1">
      <c r="A18" s="25"/>
      <c r="B18" s="35"/>
      <c r="C18" s="43"/>
      <c r="D18" s="401" t="s">
        <v>61</v>
      </c>
      <c r="E18" s="443" t="s">
        <v>62</v>
      </c>
      <c r="F18" s="100" t="s">
        <v>63</v>
      </c>
      <c r="G18" s="101" t="s">
        <v>64</v>
      </c>
      <c r="H18" s="102" t="s">
        <v>16</v>
      </c>
      <c r="I18" s="102" t="s">
        <v>43</v>
      </c>
      <c r="J18" s="210" t="s">
        <v>1016</v>
      </c>
      <c r="K18" s="215" t="s">
        <v>1017</v>
      </c>
      <c r="L18" s="153"/>
      <c r="M18" s="208" t="s">
        <v>173</v>
      </c>
      <c r="N18" s="73" t="s">
        <v>615</v>
      </c>
      <c r="O18" s="105" t="s">
        <v>19</v>
      </c>
      <c r="P18" s="106" t="s">
        <v>65</v>
      </c>
      <c r="Q18" s="118" t="s">
        <v>1180</v>
      </c>
      <c r="R18" s="282" t="s">
        <v>1180</v>
      </c>
      <c r="S18" s="282" t="s">
        <v>1180</v>
      </c>
      <c r="T18" s="275" t="s">
        <v>1180</v>
      </c>
      <c r="U18" s="279" t="s">
        <v>1398</v>
      </c>
      <c r="V18" s="280" t="s">
        <v>1355</v>
      </c>
      <c r="W18" s="275" t="s">
        <v>1180</v>
      </c>
      <c r="X18" s="275" t="s">
        <v>1180</v>
      </c>
    </row>
    <row r="19" spans="1:24" ht="51.65" customHeight="1">
      <c r="A19" s="25"/>
      <c r="B19" s="35"/>
      <c r="C19" s="43"/>
      <c r="D19" s="401"/>
      <c r="E19" s="443"/>
      <c r="F19" s="100" t="s">
        <v>66</v>
      </c>
      <c r="G19" s="101" t="s">
        <v>67</v>
      </c>
      <c r="H19" s="102" t="s">
        <v>16</v>
      </c>
      <c r="I19" s="102" t="s">
        <v>84</v>
      </c>
      <c r="J19" s="210" t="s">
        <v>67</v>
      </c>
      <c r="K19" s="215"/>
      <c r="L19" s="302" t="s">
        <v>567</v>
      </c>
      <c r="M19" s="104" t="s">
        <v>18</v>
      </c>
      <c r="N19" s="73" t="s">
        <v>616</v>
      </c>
      <c r="O19" s="105"/>
      <c r="P19" s="106"/>
      <c r="Q19" s="118" t="s">
        <v>1316</v>
      </c>
      <c r="R19" s="272">
        <v>0.25</v>
      </c>
      <c r="S19" s="272">
        <v>0.75</v>
      </c>
      <c r="T19" s="235" t="s">
        <v>1405</v>
      </c>
      <c r="U19" s="273" t="s">
        <v>1403</v>
      </c>
      <c r="V19" s="274" t="s">
        <v>1404</v>
      </c>
      <c r="W19" s="282"/>
      <c r="X19" s="282"/>
    </row>
    <row r="20" spans="1:24" ht="52.9" customHeight="1">
      <c r="A20" s="25"/>
      <c r="B20" s="36"/>
      <c r="C20" s="44"/>
      <c r="D20" s="401"/>
      <c r="E20" s="443"/>
      <c r="F20" s="100" t="s">
        <v>68</v>
      </c>
      <c r="G20" s="101" t="s">
        <v>69</v>
      </c>
      <c r="H20" s="102" t="s">
        <v>42</v>
      </c>
      <c r="I20" s="102" t="s">
        <v>84</v>
      </c>
      <c r="J20" s="210" t="s">
        <v>69</v>
      </c>
      <c r="K20" s="215"/>
      <c r="L20" s="302" t="s">
        <v>567</v>
      </c>
      <c r="M20" s="104" t="s">
        <v>29</v>
      </c>
      <c r="N20" s="73" t="s">
        <v>70</v>
      </c>
      <c r="O20" s="105" t="s">
        <v>30</v>
      </c>
      <c r="P20" s="106"/>
      <c r="Q20" s="118" t="s">
        <v>1181</v>
      </c>
      <c r="R20" s="272">
        <v>0.5</v>
      </c>
      <c r="S20" s="272">
        <v>1</v>
      </c>
      <c r="T20" s="235" t="s">
        <v>1406</v>
      </c>
      <c r="U20" s="273" t="s">
        <v>1403</v>
      </c>
      <c r="V20" s="274" t="s">
        <v>1404</v>
      </c>
      <c r="W20" s="275" t="s">
        <v>1180</v>
      </c>
      <c r="X20" s="275" t="s">
        <v>1180</v>
      </c>
    </row>
    <row r="21" spans="1:24" ht="48" customHeight="1">
      <c r="A21" s="25"/>
      <c r="B21" s="440">
        <v>2</v>
      </c>
      <c r="C21" s="396" t="s">
        <v>71</v>
      </c>
      <c r="D21" s="331" t="s">
        <v>72</v>
      </c>
      <c r="E21" s="445" t="s">
        <v>73</v>
      </c>
      <c r="F21" s="100" t="s">
        <v>74</v>
      </c>
      <c r="G21" s="101" t="s">
        <v>75</v>
      </c>
      <c r="H21" s="102" t="s">
        <v>16</v>
      </c>
      <c r="I21" s="102" t="s">
        <v>17</v>
      </c>
      <c r="J21" s="210" t="str">
        <f t="shared" si="0"/>
        <v>Adaptar i implementar el Pla d'adaptació de l'ENP al canvi climàtic</v>
      </c>
      <c r="K21" s="215"/>
      <c r="L21" s="302" t="s">
        <v>567</v>
      </c>
      <c r="M21" s="223" t="s">
        <v>578</v>
      </c>
      <c r="N21" s="73" t="s">
        <v>1018</v>
      </c>
      <c r="O21" s="105"/>
      <c r="P21" s="106" t="s">
        <v>76</v>
      </c>
      <c r="Q21" s="118" t="s">
        <v>1318</v>
      </c>
      <c r="R21" s="272">
        <v>0.25</v>
      </c>
      <c r="S21" s="272">
        <v>0.5</v>
      </c>
      <c r="T21" s="235" t="s">
        <v>1407</v>
      </c>
      <c r="U21" s="273" t="s">
        <v>1403</v>
      </c>
      <c r="V21" s="274" t="s">
        <v>1404</v>
      </c>
      <c r="W21" s="275" t="s">
        <v>1180</v>
      </c>
      <c r="X21" s="275" t="s">
        <v>1180</v>
      </c>
    </row>
    <row r="22" spans="1:24" ht="54" customHeight="1">
      <c r="A22" s="25"/>
      <c r="B22" s="441"/>
      <c r="C22" s="397"/>
      <c r="D22" s="332"/>
      <c r="E22" s="446"/>
      <c r="F22" s="100" t="s">
        <v>77</v>
      </c>
      <c r="G22" s="101" t="s">
        <v>78</v>
      </c>
      <c r="H22" s="102" t="s">
        <v>16</v>
      </c>
      <c r="I22" s="102" t="s">
        <v>28</v>
      </c>
      <c r="J22" s="210" t="str">
        <f t="shared" si="0"/>
        <v>Gestionar i planificar els recursos hídrics de l'ENP</v>
      </c>
      <c r="L22" s="303" t="s">
        <v>567</v>
      </c>
      <c r="M22" s="104" t="s">
        <v>18</v>
      </c>
      <c r="N22" s="73" t="s">
        <v>1317</v>
      </c>
      <c r="O22" s="105"/>
      <c r="P22" s="106"/>
      <c r="Q22" s="118" t="s">
        <v>1319</v>
      </c>
      <c r="R22" s="272">
        <v>0.25</v>
      </c>
      <c r="S22" s="272">
        <v>0.75</v>
      </c>
      <c r="T22" s="235" t="s">
        <v>1409</v>
      </c>
      <c r="U22" s="273" t="s">
        <v>1477</v>
      </c>
      <c r="V22" s="235" t="s">
        <v>1408</v>
      </c>
      <c r="W22" s="282" t="s">
        <v>1391</v>
      </c>
      <c r="X22" s="282">
        <v>200</v>
      </c>
    </row>
    <row r="23" spans="1:24" ht="72.5">
      <c r="A23" s="25"/>
      <c r="B23" s="441"/>
      <c r="C23" s="397"/>
      <c r="D23" s="332"/>
      <c r="E23" s="446"/>
      <c r="F23" s="100" t="s">
        <v>79</v>
      </c>
      <c r="G23" s="101" t="s">
        <v>80</v>
      </c>
      <c r="H23" s="102" t="s">
        <v>42</v>
      </c>
      <c r="I23" s="102" t="s">
        <v>43</v>
      </c>
      <c r="J23" s="210" t="str">
        <f t="shared" si="0"/>
        <v>Participar en la redacció i execució dels instruments d'ordenació forestal sostenible i per la conservació en finques públiques</v>
      </c>
      <c r="K23" s="215"/>
      <c r="L23" s="303" t="s">
        <v>568</v>
      </c>
      <c r="M23" s="104" t="s">
        <v>23</v>
      </c>
      <c r="N23" s="73" t="s">
        <v>617</v>
      </c>
      <c r="O23" s="105"/>
      <c r="P23" s="106" t="s">
        <v>81</v>
      </c>
      <c r="Q23" s="232" t="s">
        <v>1343</v>
      </c>
      <c r="R23" s="272">
        <v>0.2</v>
      </c>
      <c r="S23" s="272">
        <v>0.4</v>
      </c>
      <c r="T23" s="235" t="s">
        <v>1410</v>
      </c>
      <c r="U23" s="273" t="s">
        <v>1403</v>
      </c>
      <c r="V23" s="274" t="s">
        <v>1404</v>
      </c>
      <c r="W23" s="282" t="s">
        <v>1391</v>
      </c>
      <c r="X23" s="282">
        <v>50</v>
      </c>
    </row>
    <row r="24" spans="1:24" ht="43.5">
      <c r="A24" s="25"/>
      <c r="B24" s="441"/>
      <c r="C24" s="397"/>
      <c r="D24" s="390"/>
      <c r="E24" s="447"/>
      <c r="F24" s="100" t="s">
        <v>82</v>
      </c>
      <c r="G24" s="101" t="s">
        <v>83</v>
      </c>
      <c r="H24" s="102" t="s">
        <v>42</v>
      </c>
      <c r="I24" s="102" t="s">
        <v>84</v>
      </c>
      <c r="J24" s="210" t="str">
        <f t="shared" si="0"/>
        <v>Promoure la redacció d'instruments d'ordenació forestal per reduir la sensibilitat i vulnerabilitat dels boscos al canvi climàtic en finques privades</v>
      </c>
      <c r="K24" s="215"/>
      <c r="L24" s="153"/>
      <c r="M24" s="231" t="s">
        <v>578</v>
      </c>
      <c r="N24" s="73" t="s">
        <v>618</v>
      </c>
      <c r="O24" s="105"/>
      <c r="P24" s="106"/>
      <c r="Q24" s="234" t="s">
        <v>1180</v>
      </c>
      <c r="R24" s="275" t="s">
        <v>1180</v>
      </c>
      <c r="S24" s="275" t="s">
        <v>1180</v>
      </c>
      <c r="T24" s="275" t="s">
        <v>1180</v>
      </c>
      <c r="U24" s="273" t="s">
        <v>1477</v>
      </c>
      <c r="V24" s="274" t="s">
        <v>1093</v>
      </c>
      <c r="W24" s="275" t="s">
        <v>1180</v>
      </c>
      <c r="X24" s="275" t="s">
        <v>1180</v>
      </c>
    </row>
    <row r="25" spans="1:24" ht="58">
      <c r="A25" s="25"/>
      <c r="B25" s="441"/>
      <c r="C25" s="397"/>
      <c r="D25" s="401" t="s">
        <v>85</v>
      </c>
      <c r="E25" s="443" t="s">
        <v>86</v>
      </c>
      <c r="F25" s="100" t="s">
        <v>87</v>
      </c>
      <c r="G25" s="101" t="s">
        <v>88</v>
      </c>
      <c r="H25" s="102" t="s">
        <v>16</v>
      </c>
      <c r="I25" s="102" t="s">
        <v>17</v>
      </c>
      <c r="J25" s="210" t="s">
        <v>1019</v>
      </c>
      <c r="K25" s="215" t="s">
        <v>1517</v>
      </c>
      <c r="L25" s="153" t="s">
        <v>567</v>
      </c>
      <c r="M25" s="104" t="s">
        <v>18</v>
      </c>
      <c r="N25" s="73" t="s">
        <v>619</v>
      </c>
      <c r="O25" s="105" t="s">
        <v>30</v>
      </c>
      <c r="P25" s="106" t="s">
        <v>89</v>
      </c>
      <c r="Q25" s="249" t="s">
        <v>1353</v>
      </c>
      <c r="R25" s="272">
        <v>0.1</v>
      </c>
      <c r="S25" s="272">
        <v>0.5</v>
      </c>
      <c r="T25" s="235" t="s">
        <v>1509</v>
      </c>
      <c r="U25" s="273" t="s">
        <v>1477</v>
      </c>
      <c r="V25" s="235" t="s">
        <v>1412</v>
      </c>
      <c r="W25" s="275" t="s">
        <v>1180</v>
      </c>
      <c r="X25" s="275" t="s">
        <v>1180</v>
      </c>
    </row>
    <row r="26" spans="1:24" s="276" customFormat="1" ht="29">
      <c r="A26" s="25"/>
      <c r="B26" s="441"/>
      <c r="C26" s="397"/>
      <c r="D26" s="401"/>
      <c r="E26" s="443"/>
      <c r="F26" s="100" t="s">
        <v>90</v>
      </c>
      <c r="G26" s="101" t="s">
        <v>91</v>
      </c>
      <c r="H26" s="102" t="s">
        <v>42</v>
      </c>
      <c r="I26" s="102" t="s">
        <v>43</v>
      </c>
      <c r="J26" s="210" t="str">
        <f t="shared" si="0"/>
        <v>Definir i planificar la gestió del foc per a la millora de l'ENP</v>
      </c>
      <c r="K26" s="215"/>
      <c r="L26" s="153"/>
      <c r="M26" s="266" t="s">
        <v>173</v>
      </c>
      <c r="N26" s="214" t="s">
        <v>1352</v>
      </c>
      <c r="O26" s="105"/>
      <c r="P26" s="106" t="s">
        <v>92</v>
      </c>
      <c r="Q26" s="271" t="s">
        <v>1518</v>
      </c>
      <c r="R26" s="272">
        <v>0.6</v>
      </c>
      <c r="S26" s="272">
        <v>1</v>
      </c>
      <c r="T26" s="235" t="s">
        <v>1506</v>
      </c>
      <c r="U26" s="273" t="s">
        <v>1477</v>
      </c>
      <c r="V26" s="274" t="s">
        <v>1411</v>
      </c>
      <c r="W26" s="275" t="s">
        <v>1180</v>
      </c>
      <c r="X26" s="275" t="s">
        <v>1180</v>
      </c>
    </row>
    <row r="27" spans="1:24" ht="43.5">
      <c r="A27" s="25"/>
      <c r="B27" s="441"/>
      <c r="C27" s="397"/>
      <c r="D27" s="401"/>
      <c r="E27" s="443"/>
      <c r="F27" s="100" t="s">
        <v>93</v>
      </c>
      <c r="G27" s="101" t="s">
        <v>94</v>
      </c>
      <c r="H27" s="102" t="s">
        <v>16</v>
      </c>
      <c r="I27" s="102" t="s">
        <v>17</v>
      </c>
      <c r="J27" s="210" t="str">
        <f t="shared" si="0"/>
        <v>Treballar per a la prevenció d'incendis juntament amb els propietaris, ajuntaments, protecció civil, ADF i bombers.</v>
      </c>
      <c r="K27" s="215"/>
      <c r="L27" s="303" t="s">
        <v>568</v>
      </c>
      <c r="M27" s="104" t="s">
        <v>23</v>
      </c>
      <c r="N27" s="73" t="s">
        <v>1344</v>
      </c>
      <c r="O27" s="105"/>
      <c r="P27" s="106"/>
      <c r="Q27" s="249" t="s">
        <v>1345</v>
      </c>
      <c r="R27" s="273">
        <v>2</v>
      </c>
      <c r="S27" s="273">
        <v>8</v>
      </c>
      <c r="T27" s="235" t="s">
        <v>1413</v>
      </c>
      <c r="U27" s="273" t="s">
        <v>1477</v>
      </c>
      <c r="V27" s="235" t="s">
        <v>1408</v>
      </c>
      <c r="W27" s="282" t="s">
        <v>1391</v>
      </c>
      <c r="X27" s="282">
        <v>100</v>
      </c>
    </row>
    <row r="28" spans="1:24" ht="43.5">
      <c r="A28" s="25"/>
      <c r="B28" s="440">
        <v>3</v>
      </c>
      <c r="C28" s="396" t="s">
        <v>95</v>
      </c>
      <c r="D28" s="401" t="s">
        <v>96</v>
      </c>
      <c r="E28" s="400" t="s">
        <v>97</v>
      </c>
      <c r="F28" s="100" t="s">
        <v>98</v>
      </c>
      <c r="G28" s="101" t="s">
        <v>99</v>
      </c>
      <c r="H28" s="102" t="s">
        <v>16</v>
      </c>
      <c r="I28" s="102" t="s">
        <v>28</v>
      </c>
      <c r="J28" s="210" t="str">
        <f t="shared" si="0"/>
        <v>Participar en les consultes dels procesos d'Avaluació Ambiental que afectin directament o indirectament l’espai del ENP</v>
      </c>
      <c r="K28" s="215"/>
      <c r="L28" s="215" t="s">
        <v>567</v>
      </c>
      <c r="M28" s="104" t="s">
        <v>23</v>
      </c>
      <c r="N28" s="216" t="s">
        <v>1177</v>
      </c>
      <c r="O28" s="105"/>
      <c r="P28" s="106"/>
      <c r="Q28" s="118" t="s">
        <v>1182</v>
      </c>
      <c r="R28" s="272">
        <v>0.5</v>
      </c>
      <c r="S28" s="272">
        <v>0.8</v>
      </c>
      <c r="T28" s="235" t="s">
        <v>1414</v>
      </c>
      <c r="U28" s="279" t="s">
        <v>1398</v>
      </c>
      <c r="V28" s="280" t="s">
        <v>1389</v>
      </c>
      <c r="W28" s="275" t="s">
        <v>1180</v>
      </c>
      <c r="X28" s="275" t="s">
        <v>1180</v>
      </c>
    </row>
    <row r="29" spans="1:24" ht="58">
      <c r="A29" s="25"/>
      <c r="B29" s="441"/>
      <c r="C29" s="397"/>
      <c r="D29" s="401"/>
      <c r="E29" s="400"/>
      <c r="F29" s="100" t="s">
        <v>100</v>
      </c>
      <c r="G29" s="101" t="s">
        <v>101</v>
      </c>
      <c r="H29" s="102" t="s">
        <v>16</v>
      </c>
      <c r="I29" s="102" t="s">
        <v>28</v>
      </c>
      <c r="J29" s="210" t="str">
        <f t="shared" si="0"/>
        <v>Exercir un seguiment efectiu de les obres al Parc juntament amb les Oficines Territorials d'Acció i Avaluació Ambiental als efectes d'assegurar la correcta translació de la tutela administrativa.</v>
      </c>
      <c r="K29" s="215"/>
      <c r="L29" s="303" t="s">
        <v>568</v>
      </c>
      <c r="M29" s="104" t="s">
        <v>23</v>
      </c>
      <c r="N29" s="214" t="s">
        <v>1183</v>
      </c>
      <c r="O29" s="105"/>
      <c r="P29" s="106"/>
      <c r="Q29" s="118" t="s">
        <v>1184</v>
      </c>
      <c r="R29" s="272">
        <v>0.5</v>
      </c>
      <c r="S29" s="272">
        <v>0.8</v>
      </c>
      <c r="T29" s="235" t="s">
        <v>1415</v>
      </c>
      <c r="U29" s="279" t="s">
        <v>1398</v>
      </c>
      <c r="V29" s="280" t="s">
        <v>1389</v>
      </c>
      <c r="W29" s="275" t="s">
        <v>1180</v>
      </c>
      <c r="X29" s="275" t="s">
        <v>1180</v>
      </c>
    </row>
    <row r="30" spans="1:24" ht="72.5">
      <c r="A30" s="25"/>
      <c r="B30" s="441"/>
      <c r="C30" s="397"/>
      <c r="D30" s="401"/>
      <c r="E30" s="400"/>
      <c r="F30" s="100" t="s">
        <v>102</v>
      </c>
      <c r="G30" s="101" t="s">
        <v>103</v>
      </c>
      <c r="H30" s="102" t="s">
        <v>16</v>
      </c>
      <c r="I30" s="102" t="s">
        <v>84</v>
      </c>
      <c r="J30" s="210" t="s">
        <v>1016</v>
      </c>
      <c r="K30" s="215" t="s">
        <v>1017</v>
      </c>
      <c r="L30" s="302"/>
      <c r="M30" s="104" t="s">
        <v>173</v>
      </c>
      <c r="N30" s="73" t="s">
        <v>104</v>
      </c>
      <c r="O30" s="105"/>
      <c r="P30" s="106"/>
      <c r="Q30" s="118" t="s">
        <v>1180</v>
      </c>
      <c r="R30" s="282" t="s">
        <v>1180</v>
      </c>
      <c r="S30" s="282" t="s">
        <v>1180</v>
      </c>
      <c r="T30" s="282" t="s">
        <v>1180</v>
      </c>
      <c r="U30" s="279" t="s">
        <v>1398</v>
      </c>
      <c r="V30" s="280" t="s">
        <v>1355</v>
      </c>
      <c r="W30" s="275" t="s">
        <v>1180</v>
      </c>
      <c r="X30" s="275" t="s">
        <v>1180</v>
      </c>
    </row>
    <row r="31" spans="1:24" ht="87">
      <c r="A31" s="25"/>
      <c r="B31" s="441"/>
      <c r="C31" s="397"/>
      <c r="D31" s="11" t="s">
        <v>105</v>
      </c>
      <c r="E31" s="86" t="s">
        <v>106</v>
      </c>
      <c r="F31" s="100" t="s">
        <v>107</v>
      </c>
      <c r="G31" s="101" t="s">
        <v>108</v>
      </c>
      <c r="H31" s="102" t="s">
        <v>16</v>
      </c>
      <c r="I31" s="100" t="s">
        <v>28</v>
      </c>
      <c r="J31" s="210" t="str">
        <f t="shared" si="0"/>
        <v>Participar en l'elaboració dels instruments de planificació de l'ENP</v>
      </c>
      <c r="K31" s="215"/>
      <c r="L31" s="303" t="s">
        <v>567</v>
      </c>
      <c r="M31" s="104" t="s">
        <v>29</v>
      </c>
      <c r="N31" s="73" t="s">
        <v>620</v>
      </c>
      <c r="O31" s="105"/>
      <c r="P31" s="106" t="s">
        <v>109</v>
      </c>
      <c r="Q31" s="118" t="s">
        <v>1185</v>
      </c>
      <c r="R31" s="272">
        <v>0.25</v>
      </c>
      <c r="S31" s="272">
        <v>0.75</v>
      </c>
      <c r="T31" s="235" t="s">
        <v>1491</v>
      </c>
      <c r="U31" s="279" t="s">
        <v>1398</v>
      </c>
      <c r="V31" s="280" t="s">
        <v>1416</v>
      </c>
      <c r="W31" s="275" t="s">
        <v>1180</v>
      </c>
      <c r="X31" s="275" t="s">
        <v>1180</v>
      </c>
    </row>
    <row r="32" spans="1:24" ht="43.15" customHeight="1">
      <c r="A32" s="25"/>
      <c r="B32" s="441"/>
      <c r="C32" s="397"/>
      <c r="D32" s="331" t="s">
        <v>110</v>
      </c>
      <c r="E32" s="328" t="s">
        <v>111</v>
      </c>
      <c r="F32" s="100" t="s">
        <v>112</v>
      </c>
      <c r="G32" s="101" t="s">
        <v>113</v>
      </c>
      <c r="H32" s="102" t="s">
        <v>42</v>
      </c>
      <c r="I32" s="102" t="s">
        <v>84</v>
      </c>
      <c r="J32" s="210" t="s">
        <v>1016</v>
      </c>
      <c r="K32" s="215" t="s">
        <v>1514</v>
      </c>
      <c r="L32" s="302"/>
      <c r="M32" s="104" t="s">
        <v>173</v>
      </c>
      <c r="N32" s="73"/>
      <c r="O32" s="105" t="s">
        <v>30</v>
      </c>
      <c r="P32" s="106" t="s">
        <v>114</v>
      </c>
      <c r="Q32" s="118" t="s">
        <v>1180</v>
      </c>
      <c r="R32" s="282" t="s">
        <v>1180</v>
      </c>
      <c r="S32" s="282" t="s">
        <v>1180</v>
      </c>
      <c r="T32" s="282" t="s">
        <v>1180</v>
      </c>
      <c r="U32" s="279" t="s">
        <v>1398</v>
      </c>
      <c r="V32" s="280" t="s">
        <v>1355</v>
      </c>
      <c r="W32" s="275" t="s">
        <v>1180</v>
      </c>
      <c r="X32" s="275" t="s">
        <v>1180</v>
      </c>
    </row>
    <row r="33" spans="1:24" ht="43.5">
      <c r="A33" s="25"/>
      <c r="B33" s="441"/>
      <c r="C33" s="397"/>
      <c r="D33" s="332"/>
      <c r="E33" s="329"/>
      <c r="F33" s="100" t="s">
        <v>115</v>
      </c>
      <c r="G33" s="101" t="s">
        <v>116</v>
      </c>
      <c r="H33" s="102" t="s">
        <v>42</v>
      </c>
      <c r="I33" s="102" t="s">
        <v>84</v>
      </c>
      <c r="J33" s="210" t="s">
        <v>1016</v>
      </c>
      <c r="K33" s="215" t="s">
        <v>1514</v>
      </c>
      <c r="L33" s="302"/>
      <c r="M33" s="104" t="s">
        <v>173</v>
      </c>
      <c r="N33" s="73"/>
      <c r="O33" s="105"/>
      <c r="P33" s="106"/>
      <c r="Q33" s="118" t="s">
        <v>1180</v>
      </c>
      <c r="R33" s="282" t="s">
        <v>1180</v>
      </c>
      <c r="S33" s="282" t="s">
        <v>1180</v>
      </c>
      <c r="T33" s="282" t="s">
        <v>1180</v>
      </c>
      <c r="U33" s="279" t="s">
        <v>1398</v>
      </c>
      <c r="V33" s="280" t="s">
        <v>1355</v>
      </c>
      <c r="W33" s="275" t="s">
        <v>1180</v>
      </c>
      <c r="X33" s="275" t="s">
        <v>1180</v>
      </c>
    </row>
    <row r="34" spans="1:24" ht="43.5">
      <c r="A34" s="25"/>
      <c r="B34" s="441"/>
      <c r="C34" s="397"/>
      <c r="D34" s="332"/>
      <c r="E34" s="329"/>
      <c r="F34" s="100" t="s">
        <v>117</v>
      </c>
      <c r="G34" s="101" t="s">
        <v>118</v>
      </c>
      <c r="H34" s="102" t="s">
        <v>42</v>
      </c>
      <c r="I34" s="102" t="s">
        <v>84</v>
      </c>
      <c r="J34" s="210" t="s">
        <v>1016</v>
      </c>
      <c r="K34" s="215" t="s">
        <v>1514</v>
      </c>
      <c r="L34" s="302"/>
      <c r="M34" s="104" t="s">
        <v>173</v>
      </c>
      <c r="N34" s="73"/>
      <c r="O34" s="105"/>
      <c r="P34" s="106"/>
      <c r="Q34" s="118" t="s">
        <v>1180</v>
      </c>
      <c r="R34" s="282" t="s">
        <v>1180</v>
      </c>
      <c r="S34" s="282" t="s">
        <v>1180</v>
      </c>
      <c r="T34" s="282" t="s">
        <v>1180</v>
      </c>
      <c r="U34" s="279" t="s">
        <v>1398</v>
      </c>
      <c r="V34" s="280" t="s">
        <v>1355</v>
      </c>
      <c r="W34" s="275" t="s">
        <v>1180</v>
      </c>
      <c r="X34" s="275" t="s">
        <v>1180</v>
      </c>
    </row>
    <row r="35" spans="1:24" ht="43.5">
      <c r="A35" s="25"/>
      <c r="B35" s="441"/>
      <c r="C35" s="397"/>
      <c r="D35" s="332"/>
      <c r="E35" s="329"/>
      <c r="F35" s="100" t="s">
        <v>119</v>
      </c>
      <c r="G35" s="101" t="s">
        <v>120</v>
      </c>
      <c r="H35" s="102" t="s">
        <v>42</v>
      </c>
      <c r="I35" s="102" t="s">
        <v>84</v>
      </c>
      <c r="J35" s="210" t="s">
        <v>1016</v>
      </c>
      <c r="K35" s="215" t="s">
        <v>1514</v>
      </c>
      <c r="L35" s="302"/>
      <c r="M35" s="104" t="s">
        <v>173</v>
      </c>
      <c r="N35" s="73"/>
      <c r="O35" s="105"/>
      <c r="P35" s="106"/>
      <c r="Q35" s="118" t="s">
        <v>1180</v>
      </c>
      <c r="R35" s="282" t="s">
        <v>1180</v>
      </c>
      <c r="S35" s="282" t="s">
        <v>1180</v>
      </c>
      <c r="T35" s="282" t="s">
        <v>1180</v>
      </c>
      <c r="U35" s="279" t="s">
        <v>1398</v>
      </c>
      <c r="V35" s="280" t="s">
        <v>1355</v>
      </c>
      <c r="W35" s="275" t="s">
        <v>1180</v>
      </c>
      <c r="X35" s="275" t="s">
        <v>1180</v>
      </c>
    </row>
    <row r="36" spans="1:24" ht="39.65" customHeight="1">
      <c r="A36" s="25"/>
      <c r="B36" s="441"/>
      <c r="C36" s="397"/>
      <c r="D36" s="333"/>
      <c r="E36" s="330"/>
      <c r="F36" s="100" t="s">
        <v>1249</v>
      </c>
      <c r="G36" s="101" t="s">
        <v>1250</v>
      </c>
      <c r="H36" s="102" t="s">
        <v>16</v>
      </c>
      <c r="I36" s="102" t="s">
        <v>84</v>
      </c>
      <c r="J36" s="210" t="str">
        <f t="shared" ref="J36" si="1">G36</f>
        <v>Colaborar amb l'òrgan competent per la conservació del domini públic d'acord amb les delimitacions i la normativa d'usos vigent</v>
      </c>
      <c r="K36" s="215"/>
      <c r="L36" s="302" t="s">
        <v>568</v>
      </c>
      <c r="M36" s="104" t="s">
        <v>173</v>
      </c>
      <c r="N36" s="73" t="s">
        <v>1320</v>
      </c>
      <c r="O36" s="105"/>
      <c r="P36" s="106"/>
      <c r="Q36" s="118" t="s">
        <v>1321</v>
      </c>
      <c r="R36" s="272">
        <v>0.25</v>
      </c>
      <c r="S36" s="272">
        <v>0.75</v>
      </c>
      <c r="T36" s="273">
        <v>96</v>
      </c>
      <c r="U36" s="279" t="s">
        <v>1398</v>
      </c>
      <c r="V36" s="274" t="s">
        <v>1355</v>
      </c>
      <c r="W36" s="275" t="s">
        <v>1180</v>
      </c>
      <c r="X36" s="275" t="s">
        <v>1180</v>
      </c>
    </row>
    <row r="37" spans="1:24" ht="87.65" customHeight="1">
      <c r="A37" s="25"/>
      <c r="B37" s="441"/>
      <c r="C37" s="397"/>
      <c r="D37" s="401" t="s">
        <v>121</v>
      </c>
      <c r="E37" s="443" t="s">
        <v>122</v>
      </c>
      <c r="F37" s="100" t="s">
        <v>123</v>
      </c>
      <c r="G37" s="101" t="s">
        <v>124</v>
      </c>
      <c r="H37" s="102" t="s">
        <v>16</v>
      </c>
      <c r="I37" s="102" t="s">
        <v>43</v>
      </c>
      <c r="J37" s="210" t="str">
        <f t="shared" si="0"/>
        <v xml:space="preserve">Identificar espais prioritaris per a la compra de terrenys de més valor dins l'ENP </v>
      </c>
      <c r="K37" s="215"/>
      <c r="L37" s="303" t="s">
        <v>568</v>
      </c>
      <c r="M37" s="104" t="s">
        <v>23</v>
      </c>
      <c r="N37" s="73" t="s">
        <v>621</v>
      </c>
      <c r="O37" s="105"/>
      <c r="P37" s="106" t="s">
        <v>125</v>
      </c>
      <c r="Q37" s="118" t="s">
        <v>1322</v>
      </c>
      <c r="R37" s="273">
        <v>0</v>
      </c>
      <c r="S37" s="273">
        <v>1</v>
      </c>
      <c r="T37" s="235" t="s">
        <v>1417</v>
      </c>
      <c r="U37" s="279" t="s">
        <v>1398</v>
      </c>
      <c r="V37" s="280" t="s">
        <v>1389</v>
      </c>
      <c r="W37" s="282" t="s">
        <v>1391</v>
      </c>
      <c r="X37" s="282">
        <v>20</v>
      </c>
    </row>
    <row r="38" spans="1:24" ht="87" customHeight="1">
      <c r="A38" s="25"/>
      <c r="B38" s="442"/>
      <c r="C38" s="398"/>
      <c r="D38" s="401"/>
      <c r="E38" s="443"/>
      <c r="F38" s="100" t="s">
        <v>126</v>
      </c>
      <c r="G38" s="101" t="s">
        <v>127</v>
      </c>
      <c r="H38" s="102" t="s">
        <v>16</v>
      </c>
      <c r="I38" s="102" t="s">
        <v>84</v>
      </c>
      <c r="J38" s="210" t="str">
        <f t="shared" si="0"/>
        <v>Identificar espais prioritaris per a la gestió directa</v>
      </c>
      <c r="K38" s="215"/>
      <c r="L38" s="302" t="s">
        <v>567</v>
      </c>
      <c r="M38" s="104" t="s">
        <v>18</v>
      </c>
      <c r="N38" s="73" t="s">
        <v>622</v>
      </c>
      <c r="O38" s="105"/>
      <c r="P38" s="106" t="s">
        <v>125</v>
      </c>
      <c r="Q38" s="73" t="s">
        <v>1186</v>
      </c>
      <c r="R38" s="283">
        <v>0</v>
      </c>
      <c r="S38" s="283">
        <v>1</v>
      </c>
      <c r="T38" s="235" t="s">
        <v>1417</v>
      </c>
      <c r="U38" s="279" t="s">
        <v>1398</v>
      </c>
      <c r="V38" s="280" t="s">
        <v>1389</v>
      </c>
      <c r="W38" s="282" t="s">
        <v>1391</v>
      </c>
      <c r="X38" s="282">
        <v>50</v>
      </c>
    </row>
    <row r="39" spans="1:24" ht="64.150000000000006" customHeight="1">
      <c r="A39" s="12" t="s">
        <v>128</v>
      </c>
      <c r="B39" s="59">
        <v>4</v>
      </c>
      <c r="C39" s="57" t="s">
        <v>129</v>
      </c>
      <c r="D39" s="391" t="s">
        <v>130</v>
      </c>
      <c r="E39" s="393" t="s">
        <v>131</v>
      </c>
      <c r="F39" s="100" t="s">
        <v>132</v>
      </c>
      <c r="G39" s="101" t="s">
        <v>133</v>
      </c>
      <c r="H39" s="102" t="s">
        <v>16</v>
      </c>
      <c r="I39" s="102" t="s">
        <v>84</v>
      </c>
      <c r="J39" s="210" t="s">
        <v>1038</v>
      </c>
      <c r="K39" s="215" t="s">
        <v>1519</v>
      </c>
      <c r="L39" s="303" t="s">
        <v>567</v>
      </c>
      <c r="M39" s="104" t="s">
        <v>23</v>
      </c>
      <c r="N39" s="73" t="s">
        <v>1099</v>
      </c>
      <c r="O39" s="105"/>
      <c r="P39" s="106"/>
      <c r="Q39" s="118" t="s">
        <v>1151</v>
      </c>
      <c r="R39" s="271" t="s">
        <v>1101</v>
      </c>
      <c r="S39" s="284" t="s">
        <v>1102</v>
      </c>
      <c r="T39" s="235" t="s">
        <v>1510</v>
      </c>
      <c r="U39" s="273" t="s">
        <v>1477</v>
      </c>
      <c r="V39" s="274" t="s">
        <v>1418</v>
      </c>
      <c r="W39" s="275" t="s">
        <v>1180</v>
      </c>
      <c r="X39" s="275" t="s">
        <v>1180</v>
      </c>
    </row>
    <row r="40" spans="1:24" ht="186" customHeight="1">
      <c r="A40" s="12"/>
      <c r="B40" s="60"/>
      <c r="C40" s="58"/>
      <c r="D40" s="392"/>
      <c r="E40" s="394"/>
      <c r="F40" s="100" t="s">
        <v>134</v>
      </c>
      <c r="G40" s="101" t="s">
        <v>135</v>
      </c>
      <c r="H40" s="102" t="s">
        <v>16</v>
      </c>
      <c r="I40" s="102" t="s">
        <v>84</v>
      </c>
      <c r="J40" s="210" t="str">
        <f>G40</f>
        <v>Elaborar el catàleg lingüístic (localismes) de patrimoni natural, geografia popular, festes i activitats tradicionals de l'ENP</v>
      </c>
      <c r="K40" s="215"/>
      <c r="L40" s="302" t="s">
        <v>567</v>
      </c>
      <c r="M40" s="104" t="s">
        <v>173</v>
      </c>
      <c r="N40" s="73" t="s">
        <v>1086</v>
      </c>
      <c r="O40" s="105"/>
      <c r="P40" s="106"/>
      <c r="Q40" s="118" t="s">
        <v>1288</v>
      </c>
      <c r="R40" s="272">
        <v>0.33</v>
      </c>
      <c r="S40" s="272">
        <v>0.66</v>
      </c>
      <c r="T40" s="235" t="s">
        <v>1369</v>
      </c>
      <c r="U40" s="271" t="s">
        <v>1092</v>
      </c>
      <c r="V40" s="235" t="s">
        <v>1368</v>
      </c>
      <c r="W40" s="275" t="s">
        <v>1180</v>
      </c>
      <c r="X40" s="275" t="s">
        <v>1180</v>
      </c>
    </row>
    <row r="41" spans="1:24" ht="127.9" customHeight="1">
      <c r="A41" s="12"/>
      <c r="B41" s="60"/>
      <c r="C41" s="58"/>
      <c r="D41" s="392"/>
      <c r="E41" s="395"/>
      <c r="F41" s="100" t="s">
        <v>136</v>
      </c>
      <c r="G41" s="101" t="s">
        <v>137</v>
      </c>
      <c r="H41" s="102" t="s">
        <v>16</v>
      </c>
      <c r="I41" s="102" t="s">
        <v>28</v>
      </c>
      <c r="J41" s="210" t="s">
        <v>137</v>
      </c>
      <c r="K41" s="215"/>
      <c r="L41" s="302" t="s">
        <v>567</v>
      </c>
      <c r="M41" s="104" t="s">
        <v>23</v>
      </c>
      <c r="N41" s="73" t="s">
        <v>1100</v>
      </c>
      <c r="O41" s="105"/>
      <c r="P41" s="106"/>
      <c r="Q41" s="107" t="s">
        <v>1103</v>
      </c>
      <c r="R41" s="272">
        <v>0.9</v>
      </c>
      <c r="S41" s="272">
        <v>1</v>
      </c>
      <c r="T41" s="235" t="s">
        <v>1419</v>
      </c>
      <c r="U41" s="273" t="s">
        <v>1477</v>
      </c>
      <c r="V41" s="274" t="s">
        <v>1395</v>
      </c>
      <c r="W41" s="275" t="s">
        <v>1180</v>
      </c>
      <c r="X41" s="275" t="s">
        <v>1180</v>
      </c>
    </row>
    <row r="42" spans="1:24" ht="58">
      <c r="A42" s="12"/>
      <c r="B42" s="60"/>
      <c r="C42" s="58"/>
      <c r="D42" s="380" t="s">
        <v>138</v>
      </c>
      <c r="E42" s="387" t="s">
        <v>139</v>
      </c>
      <c r="F42" s="100" t="s">
        <v>140</v>
      </c>
      <c r="G42" s="101" t="s">
        <v>141</v>
      </c>
      <c r="H42" s="102" t="s">
        <v>16</v>
      </c>
      <c r="I42" s="102" t="s">
        <v>28</v>
      </c>
      <c r="J42" s="210" t="str">
        <f t="shared" si="0"/>
        <v>Identificar els ens de referència en patrimoni cultural (entitats, associacions, museus i ecomuseus, etc.) en l'àmbit de l'ENP</v>
      </c>
      <c r="K42" s="215"/>
      <c r="L42" s="302" t="s">
        <v>567</v>
      </c>
      <c r="M42" s="104" t="s">
        <v>173</v>
      </c>
      <c r="N42" s="73" t="s">
        <v>623</v>
      </c>
      <c r="O42" s="105"/>
      <c r="P42" s="106"/>
      <c r="Q42" s="118" t="s">
        <v>1289</v>
      </c>
      <c r="R42" s="272">
        <v>0.25</v>
      </c>
      <c r="S42" s="272">
        <v>0.75</v>
      </c>
      <c r="T42" s="235" t="s">
        <v>1422</v>
      </c>
      <c r="U42" s="271" t="s">
        <v>1092</v>
      </c>
      <c r="V42" s="235" t="s">
        <v>1421</v>
      </c>
      <c r="W42" s="282" t="s">
        <v>1420</v>
      </c>
      <c r="X42" s="282">
        <v>150</v>
      </c>
    </row>
    <row r="43" spans="1:24" ht="189.65" customHeight="1">
      <c r="A43" s="45"/>
      <c r="B43" s="60"/>
      <c r="C43" s="58"/>
      <c r="D43" s="380"/>
      <c r="E43" s="387"/>
      <c r="F43" s="100" t="s">
        <v>142</v>
      </c>
      <c r="G43" s="101" t="s">
        <v>143</v>
      </c>
      <c r="H43" s="102" t="s">
        <v>16</v>
      </c>
      <c r="I43" s="102" t="s">
        <v>28</v>
      </c>
      <c r="J43" s="210" t="str">
        <f t="shared" si="0"/>
        <v>Articular treballs conjunts entre l'ENP i representants, gestors o custodis del patrimoni cultural per a la seva protecció i millora</v>
      </c>
      <c r="K43" s="215"/>
      <c r="L43" s="303" t="s">
        <v>568</v>
      </c>
      <c r="M43" s="104" t="s">
        <v>23</v>
      </c>
      <c r="N43" s="73" t="s">
        <v>1194</v>
      </c>
      <c r="O43" s="105"/>
      <c r="P43" s="106"/>
      <c r="Q43" s="118" t="s">
        <v>1193</v>
      </c>
      <c r="R43" s="272">
        <v>0.1</v>
      </c>
      <c r="S43" s="272">
        <v>0.4</v>
      </c>
      <c r="T43" s="235" t="s">
        <v>1423</v>
      </c>
      <c r="U43" s="271" t="s">
        <v>1092</v>
      </c>
      <c r="V43" s="235" t="s">
        <v>1421</v>
      </c>
      <c r="W43" s="282" t="s">
        <v>1420</v>
      </c>
      <c r="X43" s="282">
        <v>70</v>
      </c>
    </row>
    <row r="44" spans="1:24" ht="110.5" customHeight="1">
      <c r="A44" s="45"/>
      <c r="B44" s="60"/>
      <c r="C44" s="58"/>
      <c r="D44" s="380"/>
      <c r="E44" s="387"/>
      <c r="F44" s="100" t="s">
        <v>144</v>
      </c>
      <c r="G44" s="101" t="s">
        <v>1251</v>
      </c>
      <c r="H44" s="102" t="s">
        <v>16</v>
      </c>
      <c r="I44" s="102" t="s">
        <v>84</v>
      </c>
      <c r="J44" s="210" t="s">
        <v>1016</v>
      </c>
      <c r="K44" s="268" t="s">
        <v>1496</v>
      </c>
      <c r="L44" s="302"/>
      <c r="M44" s="104" t="s">
        <v>23</v>
      </c>
      <c r="N44" s="73" t="s">
        <v>1085</v>
      </c>
      <c r="O44" s="105"/>
      <c r="P44" s="106"/>
      <c r="Q44" s="248" t="s">
        <v>1180</v>
      </c>
      <c r="R44" s="275" t="s">
        <v>1180</v>
      </c>
      <c r="S44" s="275" t="s">
        <v>1180</v>
      </c>
      <c r="T44" s="275" t="s">
        <v>1180</v>
      </c>
      <c r="U44" s="285" t="s">
        <v>1180</v>
      </c>
      <c r="V44" s="285" t="s">
        <v>1180</v>
      </c>
      <c r="W44" s="285" t="s">
        <v>1180</v>
      </c>
      <c r="X44" s="285" t="s">
        <v>1180</v>
      </c>
    </row>
    <row r="45" spans="1:24" ht="51" customHeight="1">
      <c r="A45" s="12"/>
      <c r="B45" s="60"/>
      <c r="C45" s="58"/>
      <c r="D45" s="381"/>
      <c r="E45" s="444"/>
      <c r="F45" s="100" t="s">
        <v>145</v>
      </c>
      <c r="G45" s="101" t="s">
        <v>146</v>
      </c>
      <c r="H45" s="102" t="s">
        <v>16</v>
      </c>
      <c r="I45" s="102" t="s">
        <v>84</v>
      </c>
      <c r="J45" s="210" t="s">
        <v>1016</v>
      </c>
      <c r="K45" s="215" t="s">
        <v>1039</v>
      </c>
      <c r="L45" s="302"/>
      <c r="M45" s="104" t="s">
        <v>173</v>
      </c>
      <c r="N45" s="73" t="s">
        <v>147</v>
      </c>
      <c r="O45" s="105"/>
      <c r="P45" s="106"/>
      <c r="Q45" s="248" t="s">
        <v>1180</v>
      </c>
      <c r="R45" s="275" t="s">
        <v>1180</v>
      </c>
      <c r="S45" s="275" t="s">
        <v>1180</v>
      </c>
      <c r="T45" s="275" t="s">
        <v>1180</v>
      </c>
      <c r="U45" s="285" t="s">
        <v>1180</v>
      </c>
      <c r="V45" s="285" t="s">
        <v>1180</v>
      </c>
      <c r="W45" s="285" t="s">
        <v>1180</v>
      </c>
      <c r="X45" s="285" t="s">
        <v>1180</v>
      </c>
    </row>
    <row r="46" spans="1:24" ht="43.9" customHeight="1">
      <c r="A46" s="12"/>
      <c r="B46" s="60"/>
      <c r="C46" s="58"/>
      <c r="D46" s="382" t="s">
        <v>148</v>
      </c>
      <c r="E46" s="399" t="s">
        <v>149</v>
      </c>
      <c r="F46" s="100" t="s">
        <v>150</v>
      </c>
      <c r="G46" s="101" t="s">
        <v>1252</v>
      </c>
      <c r="H46" s="102" t="s">
        <v>16</v>
      </c>
      <c r="I46" s="102" t="s">
        <v>28</v>
      </c>
      <c r="J46" s="210" t="str">
        <f t="shared" ref="J46" si="2">G46</f>
        <v>Recuperar i conservar el patrimoni cultural immaterial (associat a les activitats i aprofitaments rurals tradicionals) i els valors espirituals</v>
      </c>
      <c r="K46" s="215" t="s">
        <v>1087</v>
      </c>
      <c r="L46" s="302" t="s">
        <v>567</v>
      </c>
      <c r="M46" s="104" t="s">
        <v>23</v>
      </c>
      <c r="N46" s="216" t="s">
        <v>1424</v>
      </c>
      <c r="O46" s="105" t="s">
        <v>19</v>
      </c>
      <c r="P46" s="106"/>
      <c r="Q46" s="249" t="s">
        <v>1474</v>
      </c>
      <c r="R46" s="273">
        <v>4</v>
      </c>
      <c r="S46" s="273">
        <v>12</v>
      </c>
      <c r="T46" s="235">
        <v>20</v>
      </c>
      <c r="U46" s="273" t="s">
        <v>1095</v>
      </c>
      <c r="V46" s="274" t="s">
        <v>1425</v>
      </c>
      <c r="W46" s="282" t="s">
        <v>1420</v>
      </c>
      <c r="X46" s="282">
        <v>150</v>
      </c>
    </row>
    <row r="47" spans="1:24" ht="87">
      <c r="A47" s="12"/>
      <c r="B47" s="60"/>
      <c r="C47" s="58"/>
      <c r="D47" s="382"/>
      <c r="E47" s="399"/>
      <c r="F47" s="100" t="s">
        <v>151</v>
      </c>
      <c r="G47" s="101" t="s">
        <v>152</v>
      </c>
      <c r="H47" s="102" t="s">
        <v>42</v>
      </c>
      <c r="I47" s="102" t="s">
        <v>17</v>
      </c>
      <c r="J47" s="210" t="str">
        <f t="shared" si="0"/>
        <v>Recuperar i conservar el patrimoni cultural rural vinculat específicament a construccions de pedra en sec</v>
      </c>
      <c r="K47" s="215" t="s">
        <v>1040</v>
      </c>
      <c r="L47" s="302" t="s">
        <v>567</v>
      </c>
      <c r="M47" s="104" t="s">
        <v>18</v>
      </c>
      <c r="N47" s="73" t="s">
        <v>1041</v>
      </c>
      <c r="O47" s="105" t="s">
        <v>19</v>
      </c>
      <c r="P47" s="106"/>
      <c r="Q47" s="118" t="s">
        <v>1195</v>
      </c>
      <c r="R47" s="272">
        <v>0.06</v>
      </c>
      <c r="S47" s="272">
        <v>0.28999999999999998</v>
      </c>
      <c r="T47" s="235" t="s">
        <v>1371</v>
      </c>
      <c r="U47" s="271" t="s">
        <v>1092</v>
      </c>
      <c r="V47" s="235" t="s">
        <v>1368</v>
      </c>
      <c r="W47" s="282" t="s">
        <v>1391</v>
      </c>
      <c r="X47" s="282">
        <v>50</v>
      </c>
    </row>
    <row r="48" spans="1:24" ht="64.900000000000006" customHeight="1">
      <c r="A48" s="12"/>
      <c r="B48" s="60"/>
      <c r="C48" s="58"/>
      <c r="D48" s="382"/>
      <c r="E48" s="399"/>
      <c r="F48" s="100" t="s">
        <v>153</v>
      </c>
      <c r="G48" s="101" t="s">
        <v>949</v>
      </c>
      <c r="H48" s="102" t="s">
        <v>16</v>
      </c>
      <c r="I48" s="102" t="s">
        <v>43</v>
      </c>
      <c r="J48" s="210" t="str">
        <f t="shared" si="0"/>
        <v xml:space="preserve">Fomentar la recuperació i conservació de l'arquitectura tradicional d'interès de les edificacions i construccions </v>
      </c>
      <c r="K48" s="215"/>
      <c r="L48" s="302" t="s">
        <v>567</v>
      </c>
      <c r="M48" s="104" t="s">
        <v>173</v>
      </c>
      <c r="N48" s="73" t="s">
        <v>1133</v>
      </c>
      <c r="O48" s="105"/>
      <c r="P48" s="106"/>
      <c r="Q48" s="73" t="s">
        <v>1134</v>
      </c>
      <c r="R48" s="273">
        <v>1</v>
      </c>
      <c r="S48" s="273">
        <v>6</v>
      </c>
      <c r="T48" s="235">
        <v>20</v>
      </c>
      <c r="U48" s="273" t="s">
        <v>1095</v>
      </c>
      <c r="V48" s="274" t="s">
        <v>1425</v>
      </c>
      <c r="W48" s="275" t="s">
        <v>1180</v>
      </c>
      <c r="X48" s="275" t="s">
        <v>1180</v>
      </c>
    </row>
    <row r="49" spans="1:24" ht="100.9" customHeight="1">
      <c r="A49" s="12"/>
      <c r="B49" s="60"/>
      <c r="C49" s="58"/>
      <c r="D49" s="382"/>
      <c r="E49" s="399"/>
      <c r="F49" s="100" t="s">
        <v>154</v>
      </c>
      <c r="G49" s="101" t="s">
        <v>155</v>
      </c>
      <c r="H49" s="102" t="s">
        <v>16</v>
      </c>
      <c r="I49" s="102" t="s">
        <v>28</v>
      </c>
      <c r="J49" s="210" t="s">
        <v>1042</v>
      </c>
      <c r="K49" s="215" t="s">
        <v>1153</v>
      </c>
      <c r="L49" s="302" t="s">
        <v>567</v>
      </c>
      <c r="M49" s="104" t="s">
        <v>18</v>
      </c>
      <c r="N49" s="73" t="s">
        <v>1520</v>
      </c>
      <c r="O49" s="105" t="s">
        <v>30</v>
      </c>
      <c r="P49" s="106"/>
      <c r="Q49" s="73" t="s">
        <v>1154</v>
      </c>
      <c r="R49" s="272">
        <v>0.05</v>
      </c>
      <c r="S49" s="272">
        <v>0.2</v>
      </c>
      <c r="T49" s="235" t="s">
        <v>1426</v>
      </c>
      <c r="U49" s="273" t="s">
        <v>1477</v>
      </c>
      <c r="V49" s="274" t="s">
        <v>1408</v>
      </c>
      <c r="W49" s="282" t="s">
        <v>1391</v>
      </c>
      <c r="X49" s="282">
        <v>150</v>
      </c>
    </row>
    <row r="50" spans="1:24" ht="97.15" customHeight="1">
      <c r="A50" s="12"/>
      <c r="B50" s="60"/>
      <c r="C50" s="58"/>
      <c r="D50" s="382" t="s">
        <v>156</v>
      </c>
      <c r="E50" s="399" t="s">
        <v>157</v>
      </c>
      <c r="F50" s="102" t="s">
        <v>158</v>
      </c>
      <c r="G50" s="101" t="s">
        <v>159</v>
      </c>
      <c r="H50" s="102" t="s">
        <v>16</v>
      </c>
      <c r="I50" s="102" t="s">
        <v>17</v>
      </c>
      <c r="J50" s="210" t="str">
        <f t="shared" si="0"/>
        <v>Integrar el patrimoni cultural als itineraris i cartelleria de l'ENP.</v>
      </c>
      <c r="K50" s="215"/>
      <c r="L50" s="302" t="s">
        <v>567</v>
      </c>
      <c r="M50" s="104" t="s">
        <v>18</v>
      </c>
      <c r="N50" s="73" t="s">
        <v>1088</v>
      </c>
      <c r="O50" s="105"/>
      <c r="P50" s="106"/>
      <c r="Q50" s="107" t="s">
        <v>1174</v>
      </c>
      <c r="R50" s="273">
        <v>5</v>
      </c>
      <c r="S50" s="273">
        <v>20</v>
      </c>
      <c r="T50" s="273">
        <v>160</v>
      </c>
      <c r="U50" s="273" t="s">
        <v>1477</v>
      </c>
      <c r="V50" s="274" t="s">
        <v>1418</v>
      </c>
      <c r="W50" s="282" t="s">
        <v>1420</v>
      </c>
      <c r="X50" s="282">
        <v>50</v>
      </c>
    </row>
    <row r="51" spans="1:24" ht="43.15" customHeight="1">
      <c r="A51" s="12"/>
      <c r="B51" s="60"/>
      <c r="C51" s="58"/>
      <c r="D51" s="382"/>
      <c r="E51" s="399"/>
      <c r="F51" s="102" t="s">
        <v>160</v>
      </c>
      <c r="G51" s="101" t="s">
        <v>161</v>
      </c>
      <c r="H51" s="102" t="s">
        <v>16</v>
      </c>
      <c r="I51" s="102" t="s">
        <v>17</v>
      </c>
      <c r="J51" s="210" t="str">
        <f t="shared" si="0"/>
        <v>Incorporar el patrimoni cultural en els plans d’ús públic i educació ambiental per fomentar-ne la seva conservació i divulgació.</v>
      </c>
      <c r="K51" s="215"/>
      <c r="L51" s="302" t="s">
        <v>567</v>
      </c>
      <c r="M51" s="104" t="s">
        <v>23</v>
      </c>
      <c r="N51" s="73" t="s">
        <v>1043</v>
      </c>
      <c r="O51" s="105"/>
      <c r="P51" s="106"/>
      <c r="Q51" s="118" t="s">
        <v>1196</v>
      </c>
      <c r="R51" s="272">
        <v>0.05</v>
      </c>
      <c r="S51" s="272">
        <v>0.2</v>
      </c>
      <c r="T51" s="235" t="s">
        <v>1370</v>
      </c>
      <c r="U51" s="271" t="s">
        <v>1092</v>
      </c>
      <c r="V51" s="235" t="s">
        <v>1427</v>
      </c>
      <c r="W51" s="275" t="s">
        <v>1180</v>
      </c>
      <c r="X51" s="275" t="s">
        <v>1180</v>
      </c>
    </row>
    <row r="52" spans="1:24" ht="84" customHeight="1">
      <c r="A52" s="12"/>
      <c r="B52" s="60"/>
      <c r="C52" s="58"/>
      <c r="D52" s="382"/>
      <c r="E52" s="399"/>
      <c r="F52" s="102" t="s">
        <v>162</v>
      </c>
      <c r="G52" s="101" t="s">
        <v>163</v>
      </c>
      <c r="H52" s="102" t="s">
        <v>16</v>
      </c>
      <c r="I52" s="102" t="s">
        <v>17</v>
      </c>
      <c r="J52" s="210" t="str">
        <f t="shared" si="0"/>
        <v>Formar el personal dels punts d’informació en els valors culturals de l'ENP</v>
      </c>
      <c r="K52" s="215"/>
      <c r="L52" s="302" t="s">
        <v>567</v>
      </c>
      <c r="M52" s="104" t="s">
        <v>23</v>
      </c>
      <c r="N52" s="73" t="s">
        <v>1044</v>
      </c>
      <c r="O52" s="105"/>
      <c r="P52" s="106"/>
      <c r="Q52" s="118" t="s">
        <v>1197</v>
      </c>
      <c r="R52" s="272">
        <v>0.14000000000000001</v>
      </c>
      <c r="S52" s="272">
        <v>0.21</v>
      </c>
      <c r="T52" s="235" t="s">
        <v>1428</v>
      </c>
      <c r="U52" s="271" t="s">
        <v>1092</v>
      </c>
      <c r="V52" s="235" t="s">
        <v>1421</v>
      </c>
      <c r="W52" s="282" t="s">
        <v>1420</v>
      </c>
      <c r="X52" s="282">
        <v>50</v>
      </c>
    </row>
    <row r="53" spans="1:24" ht="99.65" customHeight="1">
      <c r="A53" s="12"/>
      <c r="B53" s="343">
        <v>5</v>
      </c>
      <c r="C53" s="448" t="s">
        <v>164</v>
      </c>
      <c r="D53" s="20" t="s">
        <v>165</v>
      </c>
      <c r="E53" s="19" t="s">
        <v>166</v>
      </c>
      <c r="F53" s="102" t="s">
        <v>167</v>
      </c>
      <c r="G53" s="101" t="s">
        <v>168</v>
      </c>
      <c r="H53" s="102" t="s">
        <v>16</v>
      </c>
      <c r="I53" s="102" t="s">
        <v>84</v>
      </c>
      <c r="J53" s="210" t="str">
        <f t="shared" si="0"/>
        <v xml:space="preserve">Elaborar un inventari d'elements d'interès paisatgístic de l'ENP d'acord amb el Catàleg de paisatge de la zona </v>
      </c>
      <c r="K53" s="267"/>
      <c r="L53" s="302" t="s">
        <v>567</v>
      </c>
      <c r="M53" s="104" t="s">
        <v>173</v>
      </c>
      <c r="N53" s="73" t="s">
        <v>1104</v>
      </c>
      <c r="O53" s="105"/>
      <c r="P53" s="106"/>
      <c r="Q53" s="73" t="s">
        <v>1142</v>
      </c>
      <c r="R53" s="272">
        <v>0.5</v>
      </c>
      <c r="S53" s="272">
        <v>1</v>
      </c>
      <c r="T53" s="235" t="s">
        <v>1417</v>
      </c>
      <c r="U53" s="273" t="s">
        <v>1477</v>
      </c>
      <c r="V53" s="274" t="s">
        <v>1395</v>
      </c>
      <c r="W53" s="282" t="s">
        <v>1391</v>
      </c>
      <c r="X53" s="282">
        <v>50</v>
      </c>
    </row>
    <row r="54" spans="1:24" ht="91.9" customHeight="1">
      <c r="A54" s="12"/>
      <c r="B54" s="344"/>
      <c r="C54" s="449"/>
      <c r="D54" s="405" t="s">
        <v>169</v>
      </c>
      <c r="E54" s="386" t="s">
        <v>170</v>
      </c>
      <c r="F54" s="100" t="s">
        <v>171</v>
      </c>
      <c r="G54" s="101" t="s">
        <v>172</v>
      </c>
      <c r="H54" s="102" t="s">
        <v>16</v>
      </c>
      <c r="I54" s="102" t="s">
        <v>84</v>
      </c>
      <c r="J54" s="262" t="str">
        <f t="shared" si="0"/>
        <v>Desplegar actuacions de restauració dels elements d'interès paisatgístic degradats</v>
      </c>
      <c r="K54" s="215"/>
      <c r="L54" s="302" t="s">
        <v>567</v>
      </c>
      <c r="M54" s="104" t="s">
        <v>578</v>
      </c>
      <c r="N54" s="103" t="s">
        <v>1105</v>
      </c>
      <c r="O54" s="105"/>
      <c r="P54" s="106"/>
      <c r="Q54" s="73" t="s">
        <v>1106</v>
      </c>
      <c r="R54" s="273">
        <v>1</v>
      </c>
      <c r="S54" s="273">
        <v>2</v>
      </c>
      <c r="T54" s="235">
        <v>10</v>
      </c>
      <c r="U54" s="273" t="s">
        <v>1477</v>
      </c>
      <c r="V54" s="274" t="s">
        <v>1418</v>
      </c>
      <c r="W54" s="275" t="s">
        <v>1180</v>
      </c>
      <c r="X54" s="275" t="s">
        <v>1180</v>
      </c>
    </row>
    <row r="55" spans="1:24" ht="142.15" customHeight="1">
      <c r="A55" s="12"/>
      <c r="B55" s="344"/>
      <c r="C55" s="449"/>
      <c r="D55" s="406"/>
      <c r="E55" s="387"/>
      <c r="F55" s="100" t="s">
        <v>174</v>
      </c>
      <c r="G55" s="101" t="s">
        <v>950</v>
      </c>
      <c r="H55" s="102" t="s">
        <v>16</v>
      </c>
      <c r="I55" s="102" t="s">
        <v>28</v>
      </c>
      <c r="J55" s="262" t="str">
        <f t="shared" si="0"/>
        <v>Gestionar l'abandonament d'infraestructures i instal·lacions amb impactes sobre els valors de l'espai</v>
      </c>
      <c r="K55" s="215"/>
      <c r="L55" s="302" t="s">
        <v>567</v>
      </c>
      <c r="M55" s="104" t="s">
        <v>23</v>
      </c>
      <c r="N55" s="73" t="s">
        <v>1107</v>
      </c>
      <c r="O55" s="105"/>
      <c r="P55" s="106"/>
      <c r="Q55" s="73" t="s">
        <v>1143</v>
      </c>
      <c r="R55" s="273">
        <v>1</v>
      </c>
      <c r="S55" s="273">
        <v>2</v>
      </c>
      <c r="T55" s="235" t="s">
        <v>1429</v>
      </c>
      <c r="U55" s="273" t="s">
        <v>1477</v>
      </c>
      <c r="V55" s="274" t="s">
        <v>1395</v>
      </c>
      <c r="W55" s="275" t="s">
        <v>1180</v>
      </c>
      <c r="X55" s="275" t="s">
        <v>1180</v>
      </c>
    </row>
    <row r="56" spans="1:24" ht="86.5" customHeight="1">
      <c r="A56" s="12"/>
      <c r="B56" s="344"/>
      <c r="C56" s="449"/>
      <c r="D56" s="385"/>
      <c r="E56" s="388"/>
      <c r="F56" s="100" t="s">
        <v>175</v>
      </c>
      <c r="G56" s="101" t="s">
        <v>176</v>
      </c>
      <c r="H56" s="102" t="s">
        <v>16</v>
      </c>
      <c r="I56" s="102" t="s">
        <v>28</v>
      </c>
      <c r="J56" s="210" t="str">
        <f t="shared" si="0"/>
        <v>Minimitzar la brutícia, deixalles, vandalisme i males praxis dins l'ENP</v>
      </c>
      <c r="K56" s="267"/>
      <c r="L56" s="302" t="s">
        <v>567</v>
      </c>
      <c r="M56" s="104" t="s">
        <v>18</v>
      </c>
      <c r="N56" s="73" t="s">
        <v>1155</v>
      </c>
      <c r="O56" s="105"/>
      <c r="P56" s="106"/>
      <c r="Q56" s="73" t="s">
        <v>1156</v>
      </c>
      <c r="R56" s="272">
        <v>0.5</v>
      </c>
      <c r="S56" s="272" t="s">
        <v>1157</v>
      </c>
      <c r="T56" s="235">
        <v>150</v>
      </c>
      <c r="U56" s="273" t="s">
        <v>1477</v>
      </c>
      <c r="V56" s="274" t="s">
        <v>1093</v>
      </c>
      <c r="W56" s="282" t="s">
        <v>1391</v>
      </c>
      <c r="X56" s="282">
        <v>1500</v>
      </c>
    </row>
    <row r="57" spans="1:24" ht="72.650000000000006" customHeight="1">
      <c r="A57" s="12"/>
      <c r="B57" s="344"/>
      <c r="C57" s="449"/>
      <c r="D57" s="384" t="s">
        <v>177</v>
      </c>
      <c r="E57" s="386" t="s">
        <v>178</v>
      </c>
      <c r="F57" s="100" t="s">
        <v>179</v>
      </c>
      <c r="G57" s="101" t="s">
        <v>180</v>
      </c>
      <c r="H57" s="102" t="s">
        <v>42</v>
      </c>
      <c r="I57" s="102" t="s">
        <v>28</v>
      </c>
      <c r="J57" s="210" t="str">
        <f t="shared" si="0"/>
        <v>Promoure la certificació de qualitat del cel nocturn</v>
      </c>
      <c r="K57" s="215"/>
      <c r="L57" s="303" t="s">
        <v>567</v>
      </c>
      <c r="M57" s="104" t="s">
        <v>23</v>
      </c>
      <c r="N57" s="73" t="s">
        <v>1078</v>
      </c>
      <c r="O57" s="105" t="s">
        <v>30</v>
      </c>
      <c r="P57" s="106"/>
      <c r="Q57" s="118" t="s">
        <v>1198</v>
      </c>
      <c r="R57" s="272">
        <v>0.05</v>
      </c>
      <c r="S57" s="272">
        <v>0.23</v>
      </c>
      <c r="T57" s="235" t="s">
        <v>1430</v>
      </c>
      <c r="U57" s="271" t="s">
        <v>1092</v>
      </c>
      <c r="V57" s="235" t="s">
        <v>1421</v>
      </c>
      <c r="W57" s="275" t="s">
        <v>1180</v>
      </c>
      <c r="X57" s="275" t="s">
        <v>1180</v>
      </c>
    </row>
    <row r="58" spans="1:24" ht="169.15" customHeight="1">
      <c r="A58" s="12"/>
      <c r="B58" s="345"/>
      <c r="C58" s="450"/>
      <c r="D58" s="385"/>
      <c r="E58" s="387"/>
      <c r="F58" s="100" t="s">
        <v>181</v>
      </c>
      <c r="G58" s="101" t="s">
        <v>182</v>
      </c>
      <c r="H58" s="102" t="s">
        <v>42</v>
      </c>
      <c r="I58" s="102" t="s">
        <v>84</v>
      </c>
      <c r="J58" s="210" t="str">
        <f t="shared" si="0"/>
        <v>Promoure la certificació de zones d'especial protecció de la qualitat acústica</v>
      </c>
      <c r="K58" s="215" t="s">
        <v>1079</v>
      </c>
      <c r="L58" s="302"/>
      <c r="M58" s="217" t="s">
        <v>578</v>
      </c>
      <c r="N58" s="73" t="s">
        <v>1521</v>
      </c>
      <c r="O58" s="105" t="s">
        <v>30</v>
      </c>
      <c r="P58" s="106"/>
      <c r="Q58" s="112" t="s">
        <v>1180</v>
      </c>
      <c r="R58" s="275" t="s">
        <v>1180</v>
      </c>
      <c r="S58" s="275" t="s">
        <v>1180</v>
      </c>
      <c r="T58" s="286" t="s">
        <v>1180</v>
      </c>
      <c r="U58" s="271" t="s">
        <v>1092</v>
      </c>
      <c r="V58" s="235" t="s">
        <v>1421</v>
      </c>
      <c r="W58" s="287" t="s">
        <v>1180</v>
      </c>
      <c r="X58" s="275" t="s">
        <v>1180</v>
      </c>
    </row>
    <row r="59" spans="1:24" ht="57.65" customHeight="1">
      <c r="A59" s="26" t="s">
        <v>183</v>
      </c>
      <c r="B59" s="40">
        <v>6</v>
      </c>
      <c r="C59" s="39" t="s">
        <v>184</v>
      </c>
      <c r="D59" s="407" t="s">
        <v>185</v>
      </c>
      <c r="E59" s="408" t="s">
        <v>186</v>
      </c>
      <c r="F59" s="100" t="s">
        <v>187</v>
      </c>
      <c r="G59" s="110" t="s">
        <v>188</v>
      </c>
      <c r="H59" s="102" t="s">
        <v>16</v>
      </c>
      <c r="I59" s="102" t="s">
        <v>28</v>
      </c>
      <c r="J59" s="210" t="str">
        <f t="shared" si="0"/>
        <v>Identificar i prioritzar els elements clau i d'interès per la gestió de la biodiversitat i geodiversitat de Catalunya es troben dins l'ENP (especies amenaçades, espècies exòtiques invasores,.. )</v>
      </c>
      <c r="K59" s="215"/>
      <c r="L59" s="303" t="s">
        <v>567</v>
      </c>
      <c r="M59" s="104" t="s">
        <v>29</v>
      </c>
      <c r="N59" s="73" t="s">
        <v>624</v>
      </c>
      <c r="O59" s="109" t="s">
        <v>189</v>
      </c>
      <c r="P59" s="106" t="s">
        <v>190</v>
      </c>
      <c r="Q59" s="118" t="s">
        <v>1323</v>
      </c>
      <c r="R59" s="272">
        <v>0.4</v>
      </c>
      <c r="S59" s="272">
        <v>0.8</v>
      </c>
      <c r="T59" s="235" t="s">
        <v>1507</v>
      </c>
      <c r="U59" s="273" t="s">
        <v>1403</v>
      </c>
      <c r="V59" s="274" t="s">
        <v>1416</v>
      </c>
      <c r="W59" s="282" t="s">
        <v>1391</v>
      </c>
      <c r="X59" s="282">
        <v>20</v>
      </c>
    </row>
    <row r="60" spans="1:24" ht="113.5" customHeight="1">
      <c r="A60" s="26"/>
      <c r="B60" s="54"/>
      <c r="C60" s="39"/>
      <c r="D60" s="407"/>
      <c r="E60" s="408"/>
      <c r="F60" s="100" t="s">
        <v>191</v>
      </c>
      <c r="G60" s="101" t="s">
        <v>192</v>
      </c>
      <c r="H60" s="102" t="s">
        <v>16</v>
      </c>
      <c r="I60" s="102" t="s">
        <v>28</v>
      </c>
      <c r="J60" s="210" t="str">
        <f t="shared" si="0"/>
        <v>Definir espais fràgils i zones d'especial atenció</v>
      </c>
      <c r="K60" s="215"/>
      <c r="L60" s="303" t="s">
        <v>567</v>
      </c>
      <c r="M60" s="104" t="s">
        <v>29</v>
      </c>
      <c r="N60" s="73" t="s">
        <v>625</v>
      </c>
      <c r="O60" s="105"/>
      <c r="P60" s="106" t="s">
        <v>193</v>
      </c>
      <c r="Q60" s="118" t="s">
        <v>1324</v>
      </c>
      <c r="R60" s="272">
        <v>0.25</v>
      </c>
      <c r="S60" s="272">
        <v>0.75</v>
      </c>
      <c r="T60" s="235" t="s">
        <v>1508</v>
      </c>
      <c r="U60" s="273" t="s">
        <v>1403</v>
      </c>
      <c r="V60" s="274" t="s">
        <v>1416</v>
      </c>
      <c r="W60" s="282" t="s">
        <v>1391</v>
      </c>
      <c r="X60" s="282">
        <v>50</v>
      </c>
    </row>
    <row r="61" spans="1:24" ht="28.9" customHeight="1">
      <c r="A61" s="26"/>
      <c r="B61" s="54"/>
      <c r="C61" s="53"/>
      <c r="D61" s="407" t="s">
        <v>194</v>
      </c>
      <c r="E61" s="408" t="s">
        <v>195</v>
      </c>
      <c r="F61" s="100" t="s">
        <v>196</v>
      </c>
      <c r="G61" s="101" t="s">
        <v>197</v>
      </c>
      <c r="H61" s="102" t="s">
        <v>16</v>
      </c>
      <c r="I61" s="102" t="s">
        <v>28</v>
      </c>
      <c r="J61" s="210" t="str">
        <f t="shared" si="0"/>
        <v>Participar en l'elaboració de la cartografia que elabora la UIC</v>
      </c>
      <c r="K61" s="215"/>
      <c r="L61" s="303" t="s">
        <v>568</v>
      </c>
      <c r="M61" s="104" t="s">
        <v>18</v>
      </c>
      <c r="N61" s="73" t="s">
        <v>626</v>
      </c>
      <c r="O61" s="105" t="s">
        <v>30</v>
      </c>
      <c r="P61" s="106" t="s">
        <v>198</v>
      </c>
      <c r="Q61" s="118" t="s">
        <v>1187</v>
      </c>
      <c r="R61" s="272">
        <v>0.25</v>
      </c>
      <c r="S61" s="272">
        <v>0.75</v>
      </c>
      <c r="T61" s="273">
        <v>24</v>
      </c>
      <c r="U61" s="273" t="s">
        <v>1398</v>
      </c>
      <c r="V61" s="274" t="s">
        <v>1356</v>
      </c>
      <c r="W61" s="275" t="s">
        <v>1180</v>
      </c>
      <c r="X61" s="275" t="s">
        <v>1180</v>
      </c>
    </row>
    <row r="62" spans="1:24" ht="129.65" customHeight="1">
      <c r="A62" s="55"/>
      <c r="B62" s="54"/>
      <c r="C62" s="53"/>
      <c r="D62" s="407"/>
      <c r="E62" s="408"/>
      <c r="F62" s="100" t="s">
        <v>199</v>
      </c>
      <c r="G62" s="101" t="s">
        <v>200</v>
      </c>
      <c r="H62" s="102" t="s">
        <v>16</v>
      </c>
      <c r="I62" s="102" t="s">
        <v>28</v>
      </c>
      <c r="J62" s="210" t="str">
        <f t="shared" si="0"/>
        <v>Conèixer i estudiar els processos naturals propis de l’espai, la seva funcionalitat, i ecologia en referència als ecosistemes</v>
      </c>
      <c r="K62" s="215"/>
      <c r="L62" s="303" t="s">
        <v>567</v>
      </c>
      <c r="M62" s="104" t="s">
        <v>23</v>
      </c>
      <c r="N62" s="73" t="s">
        <v>627</v>
      </c>
      <c r="O62" s="105"/>
      <c r="P62" s="106"/>
      <c r="Q62" s="118" t="s">
        <v>1188</v>
      </c>
      <c r="R62" s="272">
        <v>0.4</v>
      </c>
      <c r="S62" s="272">
        <v>0.8</v>
      </c>
      <c r="T62" s="273">
        <v>320</v>
      </c>
      <c r="U62" s="273" t="s">
        <v>1398</v>
      </c>
      <c r="V62" s="274" t="s">
        <v>1356</v>
      </c>
      <c r="W62" s="282" t="s">
        <v>1391</v>
      </c>
      <c r="X62" s="282">
        <v>200</v>
      </c>
    </row>
    <row r="63" spans="1:24" ht="158.5" customHeight="1">
      <c r="A63" s="55"/>
      <c r="B63" s="54"/>
      <c r="C63" s="53"/>
      <c r="D63" s="407"/>
      <c r="E63" s="408"/>
      <c r="F63" s="100" t="s">
        <v>201</v>
      </c>
      <c r="G63" s="101" t="s">
        <v>202</v>
      </c>
      <c r="H63" s="102" t="s">
        <v>16</v>
      </c>
      <c r="I63" s="102" t="s">
        <v>28</v>
      </c>
      <c r="J63" s="210" t="str">
        <f t="shared" si="0"/>
        <v>Conèixer els usos i factors de canvi rellevants en l'evolució dels elements de conservació, i avaluar els efectes que generen en l’espai (pressions i amenaces)</v>
      </c>
      <c r="K63" s="215"/>
      <c r="L63" s="303" t="s">
        <v>567</v>
      </c>
      <c r="M63" s="104" t="s">
        <v>18</v>
      </c>
      <c r="N63" s="73" t="s">
        <v>628</v>
      </c>
      <c r="O63" s="105" t="s">
        <v>30</v>
      </c>
      <c r="P63" s="106" t="s">
        <v>203</v>
      </c>
      <c r="Q63" s="118" t="s">
        <v>1189</v>
      </c>
      <c r="R63" s="272">
        <v>0.35</v>
      </c>
      <c r="S63" s="272">
        <v>0.7</v>
      </c>
      <c r="T63" s="235" t="s">
        <v>1414</v>
      </c>
      <c r="U63" s="273" t="s">
        <v>1398</v>
      </c>
      <c r="V63" s="274" t="s">
        <v>1389</v>
      </c>
      <c r="W63" s="282" t="s">
        <v>1391</v>
      </c>
      <c r="X63" s="282">
        <v>200</v>
      </c>
    </row>
    <row r="64" spans="1:24" ht="97.15" customHeight="1">
      <c r="A64" s="55"/>
      <c r="B64" s="54"/>
      <c r="C64" s="53"/>
      <c r="D64" s="407"/>
      <c r="E64" s="408"/>
      <c r="F64" s="100" t="s">
        <v>204</v>
      </c>
      <c r="G64" s="101" t="s">
        <v>205</v>
      </c>
      <c r="H64" s="102" t="s">
        <v>16</v>
      </c>
      <c r="I64" s="102" t="s">
        <v>84</v>
      </c>
      <c r="J64" s="210" t="s">
        <v>205</v>
      </c>
      <c r="K64" s="215"/>
      <c r="L64" s="302" t="s">
        <v>567</v>
      </c>
      <c r="M64" s="104" t="s">
        <v>23</v>
      </c>
      <c r="N64" s="73" t="s">
        <v>206</v>
      </c>
      <c r="O64" s="105"/>
      <c r="P64" s="106"/>
      <c r="Q64" s="118" t="s">
        <v>1325</v>
      </c>
      <c r="R64" s="272">
        <v>0.5</v>
      </c>
      <c r="S64" s="272">
        <v>1</v>
      </c>
      <c r="T64" s="273">
        <v>38</v>
      </c>
      <c r="U64" s="273" t="s">
        <v>1398</v>
      </c>
      <c r="V64" s="274" t="s">
        <v>1356</v>
      </c>
      <c r="W64" s="282" t="s">
        <v>1391</v>
      </c>
      <c r="X64" s="282">
        <v>50</v>
      </c>
    </row>
    <row r="65" spans="1:24" ht="43.15" customHeight="1">
      <c r="A65" s="55"/>
      <c r="B65" s="54"/>
      <c r="C65" s="53"/>
      <c r="D65" s="407"/>
      <c r="E65" s="408"/>
      <c r="F65" s="100" t="s">
        <v>207</v>
      </c>
      <c r="G65" s="101" t="s">
        <v>208</v>
      </c>
      <c r="H65" s="102" t="s">
        <v>16</v>
      </c>
      <c r="I65" s="102" t="s">
        <v>84</v>
      </c>
      <c r="J65" s="210" t="str">
        <f t="shared" si="0"/>
        <v>Participar en el coneixement de la tendència d'espècies plaga amb afectacions sobre ecosistemes o activitats econòmiques dins l'ENP</v>
      </c>
      <c r="K65" s="215"/>
      <c r="L65" s="303" t="s">
        <v>567</v>
      </c>
      <c r="M65" s="104" t="s">
        <v>23</v>
      </c>
      <c r="N65" s="73" t="s">
        <v>629</v>
      </c>
      <c r="O65" s="105"/>
      <c r="P65" s="106"/>
      <c r="Q65" s="118" t="s">
        <v>1326</v>
      </c>
      <c r="R65" s="273">
        <v>0</v>
      </c>
      <c r="S65" s="273">
        <v>1</v>
      </c>
      <c r="T65" s="273">
        <v>24</v>
      </c>
      <c r="U65" s="273" t="s">
        <v>1398</v>
      </c>
      <c r="V65" s="274" t="s">
        <v>1356</v>
      </c>
      <c r="W65" s="282" t="s">
        <v>1391</v>
      </c>
      <c r="X65" s="282">
        <v>50</v>
      </c>
    </row>
    <row r="66" spans="1:24" ht="43.15" customHeight="1">
      <c r="A66" s="55"/>
      <c r="B66" s="54"/>
      <c r="C66" s="53"/>
      <c r="D66" s="407"/>
      <c r="E66" s="408"/>
      <c r="F66" s="100" t="s">
        <v>209</v>
      </c>
      <c r="G66" s="101" t="s">
        <v>210</v>
      </c>
      <c r="H66" s="102" t="s">
        <v>16</v>
      </c>
      <c r="I66" s="102" t="s">
        <v>28</v>
      </c>
      <c r="J66" s="210" t="str">
        <f t="shared" si="0"/>
        <v>Conèixer la tendència d'espècies exòtiques invasores amb afectacions sobre ecosistemes o activitats econòmiques dins l'ENP</v>
      </c>
      <c r="K66" s="215"/>
      <c r="L66" s="303" t="s">
        <v>567</v>
      </c>
      <c r="M66" s="104" t="s">
        <v>18</v>
      </c>
      <c r="N66" s="73" t="s">
        <v>630</v>
      </c>
      <c r="O66" s="105" t="s">
        <v>30</v>
      </c>
      <c r="P66" s="106"/>
      <c r="Q66" s="118" t="s">
        <v>1327</v>
      </c>
      <c r="R66" s="273">
        <v>0</v>
      </c>
      <c r="S66" s="273">
        <v>1</v>
      </c>
      <c r="T66" s="273">
        <v>24</v>
      </c>
      <c r="U66" s="273" t="s">
        <v>1398</v>
      </c>
      <c r="V66" s="274" t="s">
        <v>1356</v>
      </c>
      <c r="W66" s="282" t="s">
        <v>1391</v>
      </c>
      <c r="X66" s="282">
        <v>50</v>
      </c>
    </row>
    <row r="67" spans="1:24" ht="28.9" customHeight="1">
      <c r="A67" s="55"/>
      <c r="B67" s="54"/>
      <c r="C67" s="53"/>
      <c r="D67" s="407"/>
      <c r="E67" s="408"/>
      <c r="F67" s="100" t="s">
        <v>211</v>
      </c>
      <c r="G67" s="101" t="s">
        <v>212</v>
      </c>
      <c r="H67" s="102" t="s">
        <v>16</v>
      </c>
      <c r="I67" s="102" t="s">
        <v>84</v>
      </c>
      <c r="J67" s="210" t="str">
        <f t="shared" si="0"/>
        <v>Coneixer com millorar la connectivitat de forma coordinada amb altres ENP</v>
      </c>
      <c r="K67" s="215"/>
      <c r="L67" s="303" t="s">
        <v>568</v>
      </c>
      <c r="M67" s="104" t="s">
        <v>18</v>
      </c>
      <c r="N67" s="73" t="s">
        <v>631</v>
      </c>
      <c r="O67" s="105" t="s">
        <v>30</v>
      </c>
      <c r="P67" s="106"/>
      <c r="Q67" s="118" t="s">
        <v>1341</v>
      </c>
      <c r="R67" s="272">
        <v>0.25</v>
      </c>
      <c r="S67" s="272">
        <v>0.75</v>
      </c>
      <c r="T67" s="273">
        <v>96</v>
      </c>
      <c r="U67" s="273" t="s">
        <v>1398</v>
      </c>
      <c r="V67" s="274" t="s">
        <v>1356</v>
      </c>
      <c r="W67" s="275" t="s">
        <v>1180</v>
      </c>
      <c r="X67" s="275" t="s">
        <v>1180</v>
      </c>
    </row>
    <row r="68" spans="1:24" ht="43.15" customHeight="1">
      <c r="A68" s="55"/>
      <c r="B68" s="54"/>
      <c r="C68" s="53"/>
      <c r="D68" s="407" t="s">
        <v>213</v>
      </c>
      <c r="E68" s="408" t="s">
        <v>214</v>
      </c>
      <c r="F68" s="100" t="s">
        <v>215</v>
      </c>
      <c r="G68" s="101" t="s">
        <v>216</v>
      </c>
      <c r="H68" s="102" t="s">
        <v>16</v>
      </c>
      <c r="I68" s="102" t="s">
        <v>28</v>
      </c>
      <c r="J68" s="210" t="str">
        <f t="shared" si="0"/>
        <v>Participar en la definició del sistema estàndard de seguiment de flora, fauna i hàbitats de la DG</v>
      </c>
      <c r="K68" s="215"/>
      <c r="L68" s="303" t="s">
        <v>567</v>
      </c>
      <c r="M68" s="104" t="s">
        <v>18</v>
      </c>
      <c r="N68" s="73" t="s">
        <v>217</v>
      </c>
      <c r="O68" s="105" t="s">
        <v>30</v>
      </c>
      <c r="P68" s="106" t="s">
        <v>218</v>
      </c>
      <c r="Q68" s="118" t="s">
        <v>1190</v>
      </c>
      <c r="R68" s="272">
        <v>0.25</v>
      </c>
      <c r="S68" s="272">
        <v>0.75</v>
      </c>
      <c r="T68" s="273">
        <v>40</v>
      </c>
      <c r="U68" s="273" t="s">
        <v>1398</v>
      </c>
      <c r="V68" s="274" t="s">
        <v>1356</v>
      </c>
      <c r="W68" s="275" t="s">
        <v>1180</v>
      </c>
      <c r="X68" s="275" t="s">
        <v>1180</v>
      </c>
    </row>
    <row r="69" spans="1:24" ht="129.65" customHeight="1">
      <c r="A69" s="55"/>
      <c r="B69" s="54"/>
      <c r="C69" s="53"/>
      <c r="D69" s="407"/>
      <c r="E69" s="408"/>
      <c r="F69" s="100" t="s">
        <v>219</v>
      </c>
      <c r="G69" s="101" t="s">
        <v>220</v>
      </c>
      <c r="H69" s="102" t="s">
        <v>16</v>
      </c>
      <c r="I69" s="102" t="s">
        <v>28</v>
      </c>
      <c r="J69" s="210" t="str">
        <f t="shared" si="0"/>
        <v>Adequar i executar el sistema de seguiment periòdic dels grups clau de l'ENP al sistema estàndard de seguiment</v>
      </c>
      <c r="K69" s="215"/>
      <c r="L69" s="303" t="s">
        <v>567</v>
      </c>
      <c r="M69" s="104" t="s">
        <v>18</v>
      </c>
      <c r="N69" s="73" t="s">
        <v>632</v>
      </c>
      <c r="O69" s="105" t="s">
        <v>30</v>
      </c>
      <c r="P69" s="106" t="s">
        <v>221</v>
      </c>
      <c r="Q69" s="118" t="s">
        <v>1328</v>
      </c>
      <c r="R69" s="272">
        <v>0.4</v>
      </c>
      <c r="S69" s="272">
        <v>0.8</v>
      </c>
      <c r="T69" s="288" t="s">
        <v>1431</v>
      </c>
      <c r="U69" s="273" t="s">
        <v>1398</v>
      </c>
      <c r="V69" s="274" t="s">
        <v>1389</v>
      </c>
      <c r="W69" s="282" t="s">
        <v>1391</v>
      </c>
      <c r="X69" s="282">
        <v>400</v>
      </c>
    </row>
    <row r="70" spans="1:24" ht="28.9" customHeight="1">
      <c r="A70" s="55"/>
      <c r="B70" s="54"/>
      <c r="C70" s="53"/>
      <c r="D70" s="407"/>
      <c r="E70" s="408"/>
      <c r="F70" s="100" t="s">
        <v>222</v>
      </c>
      <c r="G70" s="101" t="s">
        <v>223</v>
      </c>
      <c r="H70" s="102" t="s">
        <v>16</v>
      </c>
      <c r="I70" s="102" t="s">
        <v>28</v>
      </c>
      <c r="J70" s="210" t="str">
        <f t="shared" si="0"/>
        <v xml:space="preserve">Mantenir una base de dades de seguiment de patrimoni natural de l'ENP actualitzada i ordenada </v>
      </c>
      <c r="K70" s="215"/>
      <c r="L70" s="302" t="s">
        <v>567</v>
      </c>
      <c r="M70" s="104" t="s">
        <v>23</v>
      </c>
      <c r="N70" s="216" t="s">
        <v>1178</v>
      </c>
      <c r="O70" s="105"/>
      <c r="P70" s="106"/>
      <c r="Q70" s="118" t="s">
        <v>1330</v>
      </c>
      <c r="R70" s="272">
        <v>0.33</v>
      </c>
      <c r="S70" s="272">
        <v>0.66</v>
      </c>
      <c r="T70" s="273">
        <v>96</v>
      </c>
      <c r="U70" s="273" t="s">
        <v>1398</v>
      </c>
      <c r="V70" s="274" t="s">
        <v>1356</v>
      </c>
      <c r="W70" s="282" t="s">
        <v>1391</v>
      </c>
      <c r="X70" s="282">
        <v>300</v>
      </c>
    </row>
    <row r="71" spans="1:24" ht="28.9" customHeight="1">
      <c r="A71" s="55"/>
      <c r="B71" s="54"/>
      <c r="C71" s="53"/>
      <c r="D71" s="407"/>
      <c r="E71" s="408"/>
      <c r="F71" s="100" t="s">
        <v>224</v>
      </c>
      <c r="G71" s="101" t="s">
        <v>1253</v>
      </c>
      <c r="H71" s="102" t="s">
        <v>16</v>
      </c>
      <c r="I71" s="102" t="s">
        <v>28</v>
      </c>
      <c r="J71" s="210" t="str">
        <f t="shared" si="0"/>
        <v>Participar en la definició, organització i bolcatge de dades del SINATCAT</v>
      </c>
      <c r="K71" s="215"/>
      <c r="L71" s="304" t="s">
        <v>568</v>
      </c>
      <c r="M71" s="104" t="s">
        <v>23</v>
      </c>
      <c r="N71" s="73" t="s">
        <v>1329</v>
      </c>
      <c r="O71" s="105"/>
      <c r="P71" s="106" t="s">
        <v>225</v>
      </c>
      <c r="Q71" s="118" t="s">
        <v>1331</v>
      </c>
      <c r="R71" s="273">
        <v>0</v>
      </c>
      <c r="S71" s="273">
        <v>1</v>
      </c>
      <c r="T71" s="288" t="s">
        <v>1432</v>
      </c>
      <c r="U71" s="273" t="s">
        <v>1398</v>
      </c>
      <c r="V71" s="274" t="s">
        <v>1389</v>
      </c>
      <c r="W71" s="275" t="s">
        <v>1180</v>
      </c>
      <c r="X71" s="275" t="s">
        <v>1180</v>
      </c>
    </row>
    <row r="72" spans="1:24" ht="115.15" customHeight="1">
      <c r="A72" s="55"/>
      <c r="B72" s="54"/>
      <c r="C72" s="53"/>
      <c r="D72" s="407" t="s">
        <v>226</v>
      </c>
      <c r="E72" s="408" t="s">
        <v>227</v>
      </c>
      <c r="F72" s="100" t="s">
        <v>228</v>
      </c>
      <c r="G72" s="101" t="s">
        <v>229</v>
      </c>
      <c r="H72" s="102" t="s">
        <v>16</v>
      </c>
      <c r="I72" s="102" t="s">
        <v>84</v>
      </c>
      <c r="J72" s="210" t="str">
        <f t="shared" ref="J72:J137" si="3">G72</f>
        <v>Crear sinèrgies i col·laborar amb museus i equipaments de referència per definir línies d'actuació conjunta entre patrimoni cultural i natural</v>
      </c>
      <c r="K72" s="215"/>
      <c r="L72" s="303" t="s">
        <v>567</v>
      </c>
      <c r="M72" s="104" t="s">
        <v>23</v>
      </c>
      <c r="N72" s="114" t="s">
        <v>1485</v>
      </c>
      <c r="O72" s="105"/>
      <c r="P72" s="106" t="s">
        <v>230</v>
      </c>
      <c r="Q72" s="118" t="s">
        <v>1199</v>
      </c>
      <c r="R72" s="272">
        <v>0.25</v>
      </c>
      <c r="S72" s="272">
        <v>0.75</v>
      </c>
      <c r="T72" s="288" t="s">
        <v>1373</v>
      </c>
      <c r="U72" s="271" t="s">
        <v>1200</v>
      </c>
      <c r="V72" s="274" t="s">
        <v>1357</v>
      </c>
      <c r="W72" s="275" t="s">
        <v>1180</v>
      </c>
      <c r="X72" s="275" t="s">
        <v>1180</v>
      </c>
    </row>
    <row r="73" spans="1:24" ht="43.15" customHeight="1">
      <c r="A73" s="55"/>
      <c r="B73" s="54"/>
      <c r="C73" s="53"/>
      <c r="D73" s="407"/>
      <c r="E73" s="408"/>
      <c r="F73" s="100" t="s">
        <v>231</v>
      </c>
      <c r="G73" s="101" t="s">
        <v>232</v>
      </c>
      <c r="H73" s="102" t="s">
        <v>16</v>
      </c>
      <c r="I73" s="102" t="s">
        <v>84</v>
      </c>
      <c r="J73" s="210" t="s">
        <v>1016</v>
      </c>
      <c r="K73" s="215" t="s">
        <v>1522</v>
      </c>
      <c r="L73" s="302"/>
      <c r="M73" s="104" t="s">
        <v>173</v>
      </c>
      <c r="N73" s="73"/>
      <c r="O73" s="105"/>
      <c r="P73" s="106" t="s">
        <v>233</v>
      </c>
      <c r="Q73" s="118" t="s">
        <v>1180</v>
      </c>
      <c r="R73" s="282" t="s">
        <v>1180</v>
      </c>
      <c r="S73" s="282" t="s">
        <v>1180</v>
      </c>
      <c r="T73" s="282" t="s">
        <v>1180</v>
      </c>
      <c r="U73" s="273" t="s">
        <v>1398</v>
      </c>
      <c r="V73" s="274" t="s">
        <v>1356</v>
      </c>
      <c r="W73" s="275" t="s">
        <v>1180</v>
      </c>
      <c r="X73" s="275" t="s">
        <v>1180</v>
      </c>
    </row>
    <row r="74" spans="1:24" ht="55.15" customHeight="1">
      <c r="A74" s="55"/>
      <c r="B74" s="54"/>
      <c r="C74" s="53"/>
      <c r="D74" s="407"/>
      <c r="E74" s="408"/>
      <c r="F74" s="100" t="s">
        <v>234</v>
      </c>
      <c r="G74" s="101" t="s">
        <v>235</v>
      </c>
      <c r="H74" s="102" t="s">
        <v>16</v>
      </c>
      <c r="I74" s="102" t="s">
        <v>84</v>
      </c>
      <c r="J74" s="210" t="str">
        <f t="shared" si="3"/>
        <v xml:space="preserve">Potenciar la ciència ciutadana en l’ENP com a eina per generar coneixement </v>
      </c>
      <c r="K74" s="215"/>
      <c r="L74" s="302" t="s">
        <v>567</v>
      </c>
      <c r="M74" s="104" t="s">
        <v>23</v>
      </c>
      <c r="N74" s="73" t="s">
        <v>236</v>
      </c>
      <c r="O74" s="105"/>
      <c r="P74" s="106"/>
      <c r="Q74" s="118" t="s">
        <v>1202</v>
      </c>
      <c r="R74" s="272">
        <v>0.25</v>
      </c>
      <c r="S74" s="272">
        <v>0.75</v>
      </c>
      <c r="T74" s="288" t="s">
        <v>1374</v>
      </c>
      <c r="U74" s="271" t="s">
        <v>1200</v>
      </c>
      <c r="V74" s="274" t="s">
        <v>1357</v>
      </c>
      <c r="W74" s="275" t="s">
        <v>1180</v>
      </c>
      <c r="X74" s="275" t="s">
        <v>1180</v>
      </c>
    </row>
    <row r="75" spans="1:24" ht="152.5" customHeight="1">
      <c r="A75" s="55"/>
      <c r="B75" s="54"/>
      <c r="C75" s="53"/>
      <c r="D75" s="407"/>
      <c r="E75" s="408"/>
      <c r="F75" s="100" t="s">
        <v>237</v>
      </c>
      <c r="G75" s="101" t="s">
        <v>238</v>
      </c>
      <c r="H75" s="102" t="s">
        <v>16</v>
      </c>
      <c r="I75" s="102" t="s">
        <v>84</v>
      </c>
      <c r="J75" s="210" t="str">
        <f t="shared" si="3"/>
        <v xml:space="preserve">Crear i desenvolupar jornades de recerca de l'ENP de forma anual on els diferents centres mostrin els estudis realizats en l'ENP </v>
      </c>
      <c r="K75" s="215"/>
      <c r="L75" s="302" t="s">
        <v>567</v>
      </c>
      <c r="M75" s="104" t="s">
        <v>23</v>
      </c>
      <c r="N75" s="73" t="s">
        <v>1203</v>
      </c>
      <c r="O75" s="105"/>
      <c r="P75" s="106" t="s">
        <v>239</v>
      </c>
      <c r="Q75" s="118" t="s">
        <v>1205</v>
      </c>
      <c r="R75" s="272">
        <v>0.75</v>
      </c>
      <c r="S75" s="272">
        <v>1</v>
      </c>
      <c r="T75" s="288" t="s">
        <v>1375</v>
      </c>
      <c r="U75" s="271" t="s">
        <v>1200</v>
      </c>
      <c r="V75" s="274" t="s">
        <v>1357</v>
      </c>
      <c r="W75" s="282" t="s">
        <v>1420</v>
      </c>
      <c r="X75" s="282">
        <v>100</v>
      </c>
    </row>
    <row r="76" spans="1:24" ht="14.5" customHeight="1">
      <c r="A76" s="55"/>
      <c r="B76" s="54"/>
      <c r="C76" s="53"/>
      <c r="D76" s="407"/>
      <c r="E76" s="408"/>
      <c r="F76" s="100" t="s">
        <v>240</v>
      </c>
      <c r="G76" s="101" t="s">
        <v>241</v>
      </c>
      <c r="H76" s="102" t="s">
        <v>16</v>
      </c>
      <c r="I76" s="102" t="s">
        <v>84</v>
      </c>
      <c r="J76" s="210" t="str">
        <f t="shared" si="3"/>
        <v>Posar a disposició de la recerca, equipaments i serveis de l'ENP</v>
      </c>
      <c r="K76" s="215" t="s">
        <v>1523</v>
      </c>
      <c r="L76" s="302"/>
      <c r="M76" s="104" t="s">
        <v>23</v>
      </c>
      <c r="N76" s="73"/>
      <c r="O76" s="105" t="s">
        <v>30</v>
      </c>
      <c r="P76" s="106"/>
      <c r="Q76" s="118" t="s">
        <v>1180</v>
      </c>
      <c r="R76" s="282" t="s">
        <v>1180</v>
      </c>
      <c r="S76" s="282" t="s">
        <v>1180</v>
      </c>
      <c r="T76" s="282" t="s">
        <v>1180</v>
      </c>
      <c r="U76" s="273" t="s">
        <v>1398</v>
      </c>
      <c r="V76" s="274" t="s">
        <v>1356</v>
      </c>
      <c r="W76" s="275" t="s">
        <v>1180</v>
      </c>
      <c r="X76" s="275" t="s">
        <v>1180</v>
      </c>
    </row>
    <row r="77" spans="1:24" ht="103.9" customHeight="1">
      <c r="A77" s="55"/>
      <c r="B77" s="54"/>
      <c r="C77" s="53"/>
      <c r="D77" s="407"/>
      <c r="E77" s="408"/>
      <c r="F77" s="100" t="s">
        <v>242</v>
      </c>
      <c r="G77" s="101" t="s">
        <v>243</v>
      </c>
      <c r="H77" s="102" t="s">
        <v>16</v>
      </c>
      <c r="I77" s="102" t="s">
        <v>84</v>
      </c>
      <c r="J77" s="210" t="s">
        <v>1016</v>
      </c>
      <c r="K77" s="215" t="s">
        <v>1191</v>
      </c>
      <c r="L77" s="302"/>
      <c r="M77" s="104" t="s">
        <v>173</v>
      </c>
      <c r="N77" s="73" t="s">
        <v>633</v>
      </c>
      <c r="O77" s="105"/>
      <c r="P77" s="106" t="s">
        <v>244</v>
      </c>
      <c r="Q77" s="118" t="s">
        <v>1180</v>
      </c>
      <c r="R77" s="235" t="s">
        <v>1180</v>
      </c>
      <c r="S77" s="282" t="s">
        <v>1180</v>
      </c>
      <c r="T77" s="282" t="s">
        <v>1180</v>
      </c>
      <c r="U77" s="273" t="s">
        <v>1398</v>
      </c>
      <c r="V77" s="274" t="s">
        <v>1356</v>
      </c>
      <c r="W77" s="275" t="s">
        <v>1180</v>
      </c>
      <c r="X77" s="275" t="s">
        <v>1180</v>
      </c>
    </row>
    <row r="78" spans="1:24" ht="42.65" customHeight="1">
      <c r="A78" s="55"/>
      <c r="B78" s="54"/>
      <c r="C78" s="53"/>
      <c r="D78" s="407" t="s">
        <v>245</v>
      </c>
      <c r="E78" s="408" t="s">
        <v>246</v>
      </c>
      <c r="F78" s="100" t="s">
        <v>247</v>
      </c>
      <c r="G78" s="101" t="s">
        <v>248</v>
      </c>
      <c r="H78" s="102" t="s">
        <v>16</v>
      </c>
      <c r="I78" s="102" t="s">
        <v>28</v>
      </c>
      <c r="J78" s="210" t="str">
        <f t="shared" si="3"/>
        <v>Participar en la definició del sistema estándard de seguiment de l'ús públic amb el SENP</v>
      </c>
      <c r="K78" s="215"/>
      <c r="L78" s="302" t="s">
        <v>567</v>
      </c>
      <c r="M78" s="104" t="s">
        <v>23</v>
      </c>
      <c r="N78" s="73" t="s">
        <v>1204</v>
      </c>
      <c r="O78" s="105"/>
      <c r="P78" s="106" t="s">
        <v>249</v>
      </c>
      <c r="Q78" s="118" t="s">
        <v>1206</v>
      </c>
      <c r="R78" s="272">
        <v>0.5</v>
      </c>
      <c r="S78" s="272">
        <v>0.8</v>
      </c>
      <c r="T78" s="235" t="s">
        <v>1497</v>
      </c>
      <c r="U78" s="271" t="s">
        <v>1092</v>
      </c>
      <c r="V78" s="274" t="s">
        <v>1421</v>
      </c>
      <c r="W78" s="275" t="s">
        <v>1180</v>
      </c>
      <c r="X78" s="275" t="s">
        <v>1180</v>
      </c>
    </row>
    <row r="79" spans="1:24" ht="76.900000000000006" customHeight="1">
      <c r="A79" s="55"/>
      <c r="B79" s="54"/>
      <c r="C79" s="53"/>
      <c r="D79" s="407"/>
      <c r="E79" s="408"/>
      <c r="F79" s="100" t="s">
        <v>250</v>
      </c>
      <c r="G79" s="101" t="s">
        <v>251</v>
      </c>
      <c r="H79" s="102" t="s">
        <v>16</v>
      </c>
      <c r="I79" s="102" t="s">
        <v>28</v>
      </c>
      <c r="J79" s="210" t="str">
        <f t="shared" si="3"/>
        <v xml:space="preserve">Disposar de dades de freqüentació i perfil d'usuari en l'ENP i en especial en equipaments i en zones d'alta freqüentació segons el model de DG </v>
      </c>
      <c r="K79" s="215"/>
      <c r="L79" s="302" t="s">
        <v>567</v>
      </c>
      <c r="M79" s="104" t="s">
        <v>29</v>
      </c>
      <c r="N79" s="73" t="s">
        <v>1524</v>
      </c>
      <c r="O79" s="105"/>
      <c r="P79" s="106" t="s">
        <v>252</v>
      </c>
      <c r="Q79" s="118" t="s">
        <v>1207</v>
      </c>
      <c r="R79" s="272">
        <v>0.25</v>
      </c>
      <c r="S79" s="272">
        <v>0.5</v>
      </c>
      <c r="T79" s="235" t="s">
        <v>1369</v>
      </c>
      <c r="U79" s="271" t="s">
        <v>1092</v>
      </c>
      <c r="V79" s="274" t="s">
        <v>1368</v>
      </c>
      <c r="W79" s="235" t="s">
        <v>1434</v>
      </c>
      <c r="X79" s="235" t="s">
        <v>1435</v>
      </c>
    </row>
    <row r="80" spans="1:24" ht="45" customHeight="1">
      <c r="A80" s="55"/>
      <c r="B80" s="54"/>
      <c r="C80" s="53"/>
      <c r="D80" s="407"/>
      <c r="E80" s="408"/>
      <c r="F80" s="100" t="s">
        <v>253</v>
      </c>
      <c r="G80" s="101" t="s">
        <v>254</v>
      </c>
      <c r="H80" s="102" t="s">
        <v>16</v>
      </c>
      <c r="I80" s="102" t="s">
        <v>28</v>
      </c>
      <c r="J80" s="210" t="str">
        <f t="shared" si="3"/>
        <v>Identificar les activitats i actors de l’espai.</v>
      </c>
      <c r="K80" s="215"/>
      <c r="L80" s="302" t="s">
        <v>567</v>
      </c>
      <c r="M80" s="104" t="s">
        <v>23</v>
      </c>
      <c r="N80" s="73" t="s">
        <v>1525</v>
      </c>
      <c r="O80" s="105"/>
      <c r="P80" s="106"/>
      <c r="Q80" s="118" t="s">
        <v>1208</v>
      </c>
      <c r="R80" s="272">
        <v>0.3</v>
      </c>
      <c r="S80" s="272">
        <v>0.7</v>
      </c>
      <c r="T80" s="235" t="s">
        <v>1436</v>
      </c>
      <c r="U80" s="271" t="s">
        <v>1092</v>
      </c>
      <c r="V80" s="274" t="s">
        <v>1421</v>
      </c>
      <c r="W80" s="282" t="s">
        <v>1420</v>
      </c>
      <c r="X80" s="282">
        <v>150</v>
      </c>
    </row>
    <row r="81" spans="1:24" ht="28.9" customHeight="1">
      <c r="A81" s="55"/>
      <c r="B81" s="54"/>
      <c r="C81" s="53"/>
      <c r="D81" s="407"/>
      <c r="E81" s="408"/>
      <c r="F81" s="100" t="s">
        <v>255</v>
      </c>
      <c r="G81" s="101" t="s">
        <v>256</v>
      </c>
      <c r="H81" s="102" t="s">
        <v>16</v>
      </c>
      <c r="I81" s="102" t="s">
        <v>84</v>
      </c>
      <c r="J81" s="210" t="str">
        <f t="shared" si="3"/>
        <v>Identificar en cartografia les males praxis i punts de massificació</v>
      </c>
      <c r="K81" s="215"/>
      <c r="L81" s="302" t="s">
        <v>567</v>
      </c>
      <c r="M81" s="104" t="s">
        <v>23</v>
      </c>
      <c r="N81" s="73" t="s">
        <v>1144</v>
      </c>
      <c r="O81" s="105"/>
      <c r="P81" s="106"/>
      <c r="Q81" s="73" t="s">
        <v>1145</v>
      </c>
      <c r="R81" s="272">
        <v>0.25</v>
      </c>
      <c r="S81" s="272">
        <v>0.7</v>
      </c>
      <c r="T81" s="273">
        <v>120</v>
      </c>
      <c r="U81" s="273" t="s">
        <v>1477</v>
      </c>
      <c r="V81" s="274" t="s">
        <v>1418</v>
      </c>
      <c r="W81" s="275" t="s">
        <v>1180</v>
      </c>
      <c r="X81" s="275" t="s">
        <v>1180</v>
      </c>
    </row>
    <row r="82" spans="1:24" ht="48" customHeight="1">
      <c r="A82" s="55"/>
      <c r="B82" s="54"/>
      <c r="C82" s="53"/>
      <c r="D82" s="407"/>
      <c r="E82" s="408"/>
      <c r="F82" s="100" t="s">
        <v>257</v>
      </c>
      <c r="G82" s="101" t="s">
        <v>951</v>
      </c>
      <c r="H82" s="102" t="s">
        <v>16</v>
      </c>
      <c r="I82" s="102" t="s">
        <v>28</v>
      </c>
      <c r="J82" s="210" t="str">
        <f t="shared" si="3"/>
        <v>Adaptar i mantenir un registre d'activitats, actors i incidències en ús públic (curses, conflictes, queixes, etc)</v>
      </c>
      <c r="K82" s="215"/>
      <c r="L82" s="302" t="s">
        <v>567</v>
      </c>
      <c r="M82" s="104" t="s">
        <v>23</v>
      </c>
      <c r="N82" s="73" t="s">
        <v>1209</v>
      </c>
      <c r="O82" s="105"/>
      <c r="P82" s="106" t="s">
        <v>258</v>
      </c>
      <c r="Q82" s="118" t="s">
        <v>1210</v>
      </c>
      <c r="R82" s="272">
        <v>0.5</v>
      </c>
      <c r="S82" s="272">
        <v>0.75</v>
      </c>
      <c r="T82" s="235" t="s">
        <v>1422</v>
      </c>
      <c r="U82" s="271" t="s">
        <v>1092</v>
      </c>
      <c r="V82" s="274" t="s">
        <v>1421</v>
      </c>
      <c r="W82" s="282" t="s">
        <v>1420</v>
      </c>
      <c r="X82" s="282">
        <v>50</v>
      </c>
    </row>
    <row r="83" spans="1:24" ht="38.5" customHeight="1">
      <c r="A83" s="55"/>
      <c r="B83" s="54"/>
      <c r="C83" s="53"/>
      <c r="D83" s="407"/>
      <c r="E83" s="408"/>
      <c r="F83" s="100" t="s">
        <v>259</v>
      </c>
      <c r="G83" s="101" t="s">
        <v>260</v>
      </c>
      <c r="H83" s="102" t="s">
        <v>16</v>
      </c>
      <c r="I83" s="102" t="s">
        <v>28</v>
      </c>
      <c r="J83" s="210" t="str">
        <f t="shared" si="3"/>
        <v>Identificar els impactes (positius i negatius) que generen les activitats d'ús públic dins l'ENP</v>
      </c>
      <c r="K83" s="215"/>
      <c r="L83" s="302" t="s">
        <v>567</v>
      </c>
      <c r="M83" s="104" t="s">
        <v>18</v>
      </c>
      <c r="N83" s="73" t="s">
        <v>1108</v>
      </c>
      <c r="O83" s="105" t="s">
        <v>30</v>
      </c>
      <c r="P83" s="106"/>
      <c r="Q83" s="73" t="s">
        <v>1109</v>
      </c>
      <c r="R83" s="273">
        <v>5</v>
      </c>
      <c r="S83" s="273">
        <v>10</v>
      </c>
      <c r="T83" s="235" t="s">
        <v>1437</v>
      </c>
      <c r="U83" s="273" t="s">
        <v>1477</v>
      </c>
      <c r="V83" s="274" t="s">
        <v>1395</v>
      </c>
      <c r="W83" s="282" t="s">
        <v>1391</v>
      </c>
      <c r="X83" s="282">
        <v>50</v>
      </c>
    </row>
    <row r="84" spans="1:24" ht="72.5">
      <c r="A84" s="27" t="s">
        <v>261</v>
      </c>
      <c r="B84" s="37">
        <v>7</v>
      </c>
      <c r="C84" s="38" t="s">
        <v>262</v>
      </c>
      <c r="D84" s="14" t="s">
        <v>263</v>
      </c>
      <c r="E84" s="87" t="s">
        <v>264</v>
      </c>
      <c r="F84" s="100" t="s">
        <v>265</v>
      </c>
      <c r="G84" s="101" t="s">
        <v>1254</v>
      </c>
      <c r="H84" s="102" t="s">
        <v>16</v>
      </c>
      <c r="I84" s="102" t="s">
        <v>17</v>
      </c>
      <c r="J84" s="210" t="s">
        <v>1020</v>
      </c>
      <c r="K84" s="215" t="s">
        <v>1473</v>
      </c>
      <c r="L84" s="302" t="s">
        <v>567</v>
      </c>
      <c r="M84" s="104" t="s">
        <v>23</v>
      </c>
      <c r="N84" s="73" t="s">
        <v>1021</v>
      </c>
      <c r="O84" s="105"/>
      <c r="P84" s="106"/>
      <c r="Q84" s="73" t="s">
        <v>1096</v>
      </c>
      <c r="R84" s="282" t="s">
        <v>1169</v>
      </c>
      <c r="S84" s="282" t="s">
        <v>1170</v>
      </c>
      <c r="T84" s="273">
        <v>200</v>
      </c>
      <c r="U84" s="273" t="s">
        <v>1095</v>
      </c>
      <c r="V84" s="274" t="s">
        <v>1425</v>
      </c>
      <c r="W84" s="275" t="s">
        <v>1180</v>
      </c>
      <c r="X84" s="275" t="s">
        <v>1180</v>
      </c>
    </row>
    <row r="85" spans="1:24" ht="144" customHeight="1">
      <c r="A85" s="27"/>
      <c r="B85" s="424">
        <v>8</v>
      </c>
      <c r="C85" s="402" t="s">
        <v>266</v>
      </c>
      <c r="D85" s="348" t="s">
        <v>267</v>
      </c>
      <c r="E85" s="350" t="s">
        <v>268</v>
      </c>
      <c r="F85" s="100" t="s">
        <v>269</v>
      </c>
      <c r="G85" s="101" t="s">
        <v>270</v>
      </c>
      <c r="H85" s="102" t="s">
        <v>16</v>
      </c>
      <c r="I85" s="102" t="s">
        <v>17</v>
      </c>
      <c r="J85" s="210" t="s">
        <v>1159</v>
      </c>
      <c r="K85" s="215" t="s">
        <v>1158</v>
      </c>
      <c r="L85" s="302" t="s">
        <v>567</v>
      </c>
      <c r="M85" s="104" t="s">
        <v>23</v>
      </c>
      <c r="N85" s="73" t="s">
        <v>1160</v>
      </c>
      <c r="O85" s="105"/>
      <c r="P85" s="106"/>
      <c r="Q85" s="73" t="s">
        <v>1161</v>
      </c>
      <c r="R85" s="272" t="s">
        <v>1346</v>
      </c>
      <c r="S85" s="272" t="s">
        <v>1347</v>
      </c>
      <c r="T85" s="235" t="s">
        <v>1394</v>
      </c>
      <c r="U85" s="273" t="s">
        <v>1477</v>
      </c>
      <c r="V85" s="274" t="s">
        <v>1408</v>
      </c>
      <c r="W85" s="275" t="s">
        <v>1180</v>
      </c>
      <c r="X85" s="275" t="s">
        <v>1180</v>
      </c>
    </row>
    <row r="86" spans="1:24" ht="187.15" customHeight="1">
      <c r="A86" s="27"/>
      <c r="B86" s="425"/>
      <c r="C86" s="403"/>
      <c r="D86" s="427"/>
      <c r="E86" s="423"/>
      <c r="F86" s="100" t="s">
        <v>271</v>
      </c>
      <c r="G86" s="101" t="s">
        <v>272</v>
      </c>
      <c r="H86" s="102" t="s">
        <v>16</v>
      </c>
      <c r="I86" s="102" t="s">
        <v>17</v>
      </c>
      <c r="J86" s="210" t="str">
        <f t="shared" si="3"/>
        <v xml:space="preserve">Oferir formació als productors agraris per millorar el seu coneixement sobre tècniques eficients i respectuoses amb la conservació del patrimoni natural i cultural </v>
      </c>
      <c r="K86" s="215"/>
      <c r="L86" s="303" t="s">
        <v>567</v>
      </c>
      <c r="M86" s="104" t="s">
        <v>23</v>
      </c>
      <c r="N86" s="73" t="s">
        <v>273</v>
      </c>
      <c r="O86" s="105"/>
      <c r="P86" s="106"/>
      <c r="Q86" s="73" t="s">
        <v>1162</v>
      </c>
      <c r="R86" s="273">
        <v>2</v>
      </c>
      <c r="S86" s="273">
        <v>4</v>
      </c>
      <c r="T86" s="235" t="s">
        <v>1438</v>
      </c>
      <c r="U86" s="273" t="s">
        <v>1477</v>
      </c>
      <c r="V86" s="274" t="s">
        <v>1408</v>
      </c>
      <c r="W86" s="275" t="s">
        <v>1180</v>
      </c>
      <c r="X86" s="275" t="s">
        <v>1180</v>
      </c>
    </row>
    <row r="87" spans="1:24" ht="158.5" customHeight="1">
      <c r="A87" s="27"/>
      <c r="B87" s="425"/>
      <c r="C87" s="403"/>
      <c r="D87" s="349"/>
      <c r="E87" s="351"/>
      <c r="F87" s="100" t="s">
        <v>274</v>
      </c>
      <c r="G87" s="101" t="s">
        <v>275</v>
      </c>
      <c r="H87" s="102" t="s">
        <v>42</v>
      </c>
      <c r="I87" s="102" t="s">
        <v>84</v>
      </c>
      <c r="J87" s="210" t="str">
        <f t="shared" si="3"/>
        <v>Promoure la recuperació i conservació de marges i punts d'aigua associats a la ramaderia i l'agricultura i d'interès per la biodiversitat</v>
      </c>
      <c r="K87" s="215"/>
      <c r="L87" s="302" t="s">
        <v>567</v>
      </c>
      <c r="M87" s="104" t="s">
        <v>23</v>
      </c>
      <c r="N87" s="73" t="s">
        <v>1526</v>
      </c>
      <c r="O87" s="105"/>
      <c r="P87" s="106"/>
      <c r="Q87" s="73" t="s">
        <v>1163</v>
      </c>
      <c r="R87" s="272">
        <v>0.15</v>
      </c>
      <c r="S87" s="272">
        <v>0.3</v>
      </c>
      <c r="T87" s="235" t="s">
        <v>1439</v>
      </c>
      <c r="U87" s="273" t="s">
        <v>1477</v>
      </c>
      <c r="V87" s="274" t="s">
        <v>1408</v>
      </c>
      <c r="W87" s="282" t="s">
        <v>1391</v>
      </c>
      <c r="X87" s="282">
        <v>2000</v>
      </c>
    </row>
    <row r="88" spans="1:24" ht="51.65" customHeight="1">
      <c r="A88" s="422"/>
      <c r="B88" s="425"/>
      <c r="C88" s="403"/>
      <c r="D88" s="14" t="s">
        <v>276</v>
      </c>
      <c r="E88" s="87" t="s">
        <v>277</v>
      </c>
      <c r="F88" s="102" t="s">
        <v>278</v>
      </c>
      <c r="G88" s="101" t="s">
        <v>279</v>
      </c>
      <c r="H88" s="105" t="s">
        <v>16</v>
      </c>
      <c r="I88" s="102" t="s">
        <v>28</v>
      </c>
      <c r="J88" s="210" t="s">
        <v>1022</v>
      </c>
      <c r="K88" s="269" t="s">
        <v>1023</v>
      </c>
      <c r="L88" s="302" t="s">
        <v>567</v>
      </c>
      <c r="M88" s="104" t="s">
        <v>23</v>
      </c>
      <c r="N88" s="73" t="s">
        <v>634</v>
      </c>
      <c r="O88" s="105" t="s">
        <v>30</v>
      </c>
      <c r="P88" s="106"/>
      <c r="Q88" s="118" t="s">
        <v>1211</v>
      </c>
      <c r="R88" s="272">
        <v>0.16</v>
      </c>
      <c r="S88" s="272">
        <v>0.5</v>
      </c>
      <c r="T88" s="235" t="s">
        <v>1527</v>
      </c>
      <c r="U88" s="271" t="s">
        <v>1092</v>
      </c>
      <c r="V88" s="274" t="s">
        <v>1368</v>
      </c>
      <c r="W88" s="282" t="s">
        <v>1420</v>
      </c>
      <c r="X88" s="282">
        <v>50</v>
      </c>
    </row>
    <row r="89" spans="1:24" ht="43.15" customHeight="1">
      <c r="A89" s="422"/>
      <c r="B89" s="425"/>
      <c r="C89" s="403"/>
      <c r="D89" s="429" t="s">
        <v>280</v>
      </c>
      <c r="E89" s="428" t="s">
        <v>281</v>
      </c>
      <c r="F89" s="100" t="s">
        <v>282</v>
      </c>
      <c r="G89" s="101" t="s">
        <v>283</v>
      </c>
      <c r="H89" s="102" t="s">
        <v>16</v>
      </c>
      <c r="I89" s="102" t="s">
        <v>84</v>
      </c>
      <c r="J89" s="210" t="s">
        <v>1016</v>
      </c>
      <c r="K89" s="215" t="s">
        <v>1024</v>
      </c>
      <c r="L89" s="302"/>
      <c r="M89" s="104" t="s">
        <v>23</v>
      </c>
      <c r="N89" s="73"/>
      <c r="O89" s="105" t="s">
        <v>30</v>
      </c>
      <c r="P89" s="106" t="s">
        <v>284</v>
      </c>
      <c r="Q89" s="112" t="s">
        <v>1180</v>
      </c>
      <c r="R89" s="289" t="s">
        <v>1180</v>
      </c>
      <c r="S89" s="289" t="s">
        <v>1180</v>
      </c>
      <c r="T89" s="289" t="s">
        <v>1180</v>
      </c>
      <c r="U89" s="271" t="s">
        <v>1092</v>
      </c>
      <c r="V89" s="274" t="s">
        <v>1368</v>
      </c>
      <c r="W89" s="275" t="s">
        <v>1180</v>
      </c>
      <c r="X89" s="275" t="s">
        <v>1180</v>
      </c>
    </row>
    <row r="90" spans="1:24" ht="74.5" customHeight="1">
      <c r="A90" s="422"/>
      <c r="B90" s="425"/>
      <c r="C90" s="403"/>
      <c r="D90" s="429"/>
      <c r="E90" s="428"/>
      <c r="F90" s="100" t="s">
        <v>285</v>
      </c>
      <c r="G90" s="101" t="s">
        <v>286</v>
      </c>
      <c r="H90" s="102" t="s">
        <v>16</v>
      </c>
      <c r="I90" s="102" t="s">
        <v>28</v>
      </c>
      <c r="J90" s="210" t="str">
        <f t="shared" si="3"/>
        <v>Integrar els productes i activitats locals de qualitat en l'oferta d'activitats d'informació i turístiques de l'ENP</v>
      </c>
      <c r="K90" s="215"/>
      <c r="L90" s="302" t="s">
        <v>567</v>
      </c>
      <c r="M90" s="104" t="s">
        <v>18</v>
      </c>
      <c r="N90" s="73" t="s">
        <v>635</v>
      </c>
      <c r="O90" s="109" t="s">
        <v>287</v>
      </c>
      <c r="P90" s="106"/>
      <c r="Q90" s="118" t="s">
        <v>1212</v>
      </c>
      <c r="R90" s="272">
        <v>0.1</v>
      </c>
      <c r="S90" s="290">
        <v>0.3</v>
      </c>
      <c r="T90" s="235" t="s">
        <v>1370</v>
      </c>
      <c r="U90" s="271" t="s">
        <v>1092</v>
      </c>
      <c r="V90" s="274" t="s">
        <v>1368</v>
      </c>
      <c r="W90" s="282" t="s">
        <v>1420</v>
      </c>
      <c r="X90" s="282">
        <v>150</v>
      </c>
    </row>
    <row r="91" spans="1:24" ht="31.15" customHeight="1">
      <c r="A91" s="422"/>
      <c r="B91" s="425"/>
      <c r="C91" s="403"/>
      <c r="D91" s="429"/>
      <c r="E91" s="428"/>
      <c r="F91" s="100" t="s">
        <v>288</v>
      </c>
      <c r="G91" s="101" t="s">
        <v>289</v>
      </c>
      <c r="H91" s="102" t="s">
        <v>16</v>
      </c>
      <c r="I91" s="102" t="s">
        <v>84</v>
      </c>
      <c r="J91" s="210" t="str">
        <f t="shared" si="3"/>
        <v>Promoure fires d'artesania i productes locals de l'ENP</v>
      </c>
      <c r="K91" s="215"/>
      <c r="L91" s="304" t="s">
        <v>567</v>
      </c>
      <c r="M91" s="104" t="s">
        <v>173</v>
      </c>
      <c r="N91" s="73" t="s">
        <v>1025</v>
      </c>
      <c r="O91" s="105"/>
      <c r="P91" s="106"/>
      <c r="Q91" s="118" t="s">
        <v>1213</v>
      </c>
      <c r="R91" s="272">
        <v>0.1</v>
      </c>
      <c r="S91" s="290">
        <v>0.25</v>
      </c>
      <c r="T91" s="235" t="s">
        <v>1370</v>
      </c>
      <c r="U91" s="271" t="s">
        <v>1092</v>
      </c>
      <c r="V91" s="274" t="s">
        <v>1368</v>
      </c>
      <c r="W91" s="282" t="s">
        <v>1420</v>
      </c>
      <c r="X91" s="282">
        <v>50</v>
      </c>
    </row>
    <row r="92" spans="1:24" ht="43.15" customHeight="1">
      <c r="A92" s="422"/>
      <c r="B92" s="425"/>
      <c r="C92" s="403"/>
      <c r="D92" s="429"/>
      <c r="E92" s="428"/>
      <c r="F92" s="100" t="s">
        <v>290</v>
      </c>
      <c r="G92" s="101" t="s">
        <v>291</v>
      </c>
      <c r="H92" s="102" t="s">
        <v>16</v>
      </c>
      <c r="I92" s="102" t="s">
        <v>28</v>
      </c>
      <c r="J92" s="210" t="s">
        <v>1026</v>
      </c>
      <c r="K92" s="215" t="s">
        <v>1027</v>
      </c>
      <c r="L92" s="302" t="s">
        <v>567</v>
      </c>
      <c r="M92" s="104" t="s">
        <v>23</v>
      </c>
      <c r="N92" s="73" t="s">
        <v>1028</v>
      </c>
      <c r="O92" s="109" t="s">
        <v>287</v>
      </c>
      <c r="P92" s="106"/>
      <c r="Q92" s="118" t="s">
        <v>1214</v>
      </c>
      <c r="R92" s="272">
        <v>0.5</v>
      </c>
      <c r="S92" s="272">
        <v>0.7</v>
      </c>
      <c r="T92" s="235" t="s">
        <v>1440</v>
      </c>
      <c r="U92" s="271" t="s">
        <v>1092</v>
      </c>
      <c r="V92" s="274" t="s">
        <v>1421</v>
      </c>
      <c r="W92" s="275" t="s">
        <v>1180</v>
      </c>
      <c r="X92" s="275" t="s">
        <v>1180</v>
      </c>
    </row>
    <row r="93" spans="1:24" ht="83.5" customHeight="1">
      <c r="A93" s="422"/>
      <c r="B93" s="425"/>
      <c r="C93" s="403"/>
      <c r="D93" s="429"/>
      <c r="E93" s="428"/>
      <c r="F93" s="100" t="s">
        <v>292</v>
      </c>
      <c r="G93" s="101" t="s">
        <v>293</v>
      </c>
      <c r="H93" s="102" t="s">
        <v>16</v>
      </c>
      <c r="I93" s="102" t="s">
        <v>84</v>
      </c>
      <c r="J93" s="210" t="s">
        <v>1016</v>
      </c>
      <c r="K93" s="215" t="s">
        <v>1215</v>
      </c>
      <c r="L93" s="303" t="s">
        <v>568</v>
      </c>
      <c r="M93" s="104" t="s">
        <v>173</v>
      </c>
      <c r="N93" s="73" t="s">
        <v>1029</v>
      </c>
      <c r="O93" s="109" t="s">
        <v>30</v>
      </c>
      <c r="P93" s="106"/>
      <c r="Q93" s="112" t="s">
        <v>1180</v>
      </c>
      <c r="R93" s="289" t="s">
        <v>1180</v>
      </c>
      <c r="S93" s="289" t="s">
        <v>1180</v>
      </c>
      <c r="T93" s="289" t="s">
        <v>1180</v>
      </c>
      <c r="U93" s="271" t="s">
        <v>1092</v>
      </c>
      <c r="V93" s="274" t="s">
        <v>1368</v>
      </c>
      <c r="W93" s="275" t="s">
        <v>1180</v>
      </c>
      <c r="X93" s="275" t="s">
        <v>1180</v>
      </c>
    </row>
    <row r="94" spans="1:24" ht="104.5" customHeight="1">
      <c r="A94" s="422"/>
      <c r="B94" s="425"/>
      <c r="C94" s="403"/>
      <c r="D94" s="429"/>
      <c r="E94" s="428"/>
      <c r="F94" s="100" t="s">
        <v>294</v>
      </c>
      <c r="G94" s="101" t="s">
        <v>1255</v>
      </c>
      <c r="H94" s="102" t="s">
        <v>16</v>
      </c>
      <c r="I94" s="102" t="s">
        <v>84</v>
      </c>
      <c r="J94" s="210" t="s">
        <v>1016</v>
      </c>
      <c r="K94" s="215" t="s">
        <v>1342</v>
      </c>
      <c r="L94" s="208"/>
      <c r="M94" s="104" t="s">
        <v>173</v>
      </c>
      <c r="N94" s="73"/>
      <c r="O94" s="105"/>
      <c r="P94" s="106"/>
      <c r="Q94" s="112" t="s">
        <v>1180</v>
      </c>
      <c r="R94" s="289" t="s">
        <v>1180</v>
      </c>
      <c r="S94" s="289" t="s">
        <v>1180</v>
      </c>
      <c r="T94" s="289" t="s">
        <v>1180</v>
      </c>
      <c r="U94" s="271" t="s">
        <v>1092</v>
      </c>
      <c r="V94" s="274" t="s">
        <v>1368</v>
      </c>
      <c r="W94" s="275" t="s">
        <v>1180</v>
      </c>
      <c r="X94" s="275" t="s">
        <v>1180</v>
      </c>
    </row>
    <row r="95" spans="1:24" ht="154.15" customHeight="1">
      <c r="A95" s="422"/>
      <c r="B95" s="425"/>
      <c r="C95" s="403"/>
      <c r="D95" s="429" t="s">
        <v>295</v>
      </c>
      <c r="E95" s="430" t="s">
        <v>296</v>
      </c>
      <c r="F95" s="100" t="s">
        <v>297</v>
      </c>
      <c r="G95" s="101" t="s">
        <v>298</v>
      </c>
      <c r="H95" s="102" t="s">
        <v>16</v>
      </c>
      <c r="I95" s="102" t="s">
        <v>28</v>
      </c>
      <c r="J95" s="210" t="s">
        <v>1016</v>
      </c>
      <c r="K95" s="215" t="s">
        <v>1179</v>
      </c>
      <c r="L95" s="302"/>
      <c r="M95" s="104" t="s">
        <v>23</v>
      </c>
      <c r="N95" s="73" t="s">
        <v>299</v>
      </c>
      <c r="O95" s="105" t="s">
        <v>19</v>
      </c>
      <c r="P95" s="106"/>
      <c r="Q95" s="73"/>
      <c r="R95" s="235" t="s">
        <v>1180</v>
      </c>
      <c r="S95" s="282" t="s">
        <v>1180</v>
      </c>
      <c r="T95" s="282" t="s">
        <v>1180</v>
      </c>
      <c r="U95" s="273" t="s">
        <v>1398</v>
      </c>
      <c r="V95" s="274" t="s">
        <v>1356</v>
      </c>
      <c r="W95" s="275" t="s">
        <v>1180</v>
      </c>
      <c r="X95" s="275" t="s">
        <v>1180</v>
      </c>
    </row>
    <row r="96" spans="1:24" ht="147.65" customHeight="1">
      <c r="A96" s="422"/>
      <c r="B96" s="425"/>
      <c r="C96" s="403"/>
      <c r="D96" s="429"/>
      <c r="E96" s="430"/>
      <c r="F96" s="100" t="s">
        <v>300</v>
      </c>
      <c r="G96" s="101" t="s">
        <v>301</v>
      </c>
      <c r="H96" s="102" t="s">
        <v>16</v>
      </c>
      <c r="I96" s="102" t="s">
        <v>28</v>
      </c>
      <c r="J96" s="210" t="s">
        <v>1016</v>
      </c>
      <c r="K96" s="215" t="s">
        <v>1179</v>
      </c>
      <c r="L96" s="302"/>
      <c r="M96" s="104" t="s">
        <v>23</v>
      </c>
      <c r="N96" s="73" t="s">
        <v>636</v>
      </c>
      <c r="O96" s="105" t="s">
        <v>19</v>
      </c>
      <c r="P96" s="106"/>
      <c r="Q96" s="112" t="s">
        <v>1180</v>
      </c>
      <c r="R96" s="235" t="s">
        <v>1180</v>
      </c>
      <c r="S96" s="282" t="s">
        <v>1180</v>
      </c>
      <c r="T96" s="282" t="s">
        <v>1180</v>
      </c>
      <c r="U96" s="273" t="s">
        <v>1398</v>
      </c>
      <c r="V96" s="274" t="s">
        <v>1356</v>
      </c>
      <c r="W96" s="275" t="s">
        <v>1180</v>
      </c>
      <c r="X96" s="275" t="s">
        <v>1180</v>
      </c>
    </row>
    <row r="97" spans="1:24" ht="124.15" customHeight="1">
      <c r="A97" s="422"/>
      <c r="B97" s="426"/>
      <c r="C97" s="404"/>
      <c r="D97" s="429"/>
      <c r="E97" s="430"/>
      <c r="F97" s="100" t="s">
        <v>302</v>
      </c>
      <c r="G97" s="101" t="s">
        <v>303</v>
      </c>
      <c r="H97" s="102" t="s">
        <v>16</v>
      </c>
      <c r="I97" s="102" t="s">
        <v>28</v>
      </c>
      <c r="J97" s="210" t="s">
        <v>1016</v>
      </c>
      <c r="K97" s="215" t="s">
        <v>1179</v>
      </c>
      <c r="L97" s="302"/>
      <c r="M97" s="104" t="s">
        <v>23</v>
      </c>
      <c r="N97" s="73" t="s">
        <v>304</v>
      </c>
      <c r="O97" s="105"/>
      <c r="P97" s="106"/>
      <c r="Q97" s="233" t="s">
        <v>1180</v>
      </c>
      <c r="R97" s="235" t="s">
        <v>1180</v>
      </c>
      <c r="S97" s="282" t="s">
        <v>1180</v>
      </c>
      <c r="T97" s="282" t="s">
        <v>1180</v>
      </c>
      <c r="U97" s="273" t="s">
        <v>1351</v>
      </c>
      <c r="V97" s="274" t="s">
        <v>1354</v>
      </c>
      <c r="W97" s="275" t="s">
        <v>1180</v>
      </c>
      <c r="X97" s="275" t="s">
        <v>1180</v>
      </c>
    </row>
    <row r="98" spans="1:24" ht="138" customHeight="1">
      <c r="A98" s="27"/>
      <c r="B98" s="46">
        <v>9</v>
      </c>
      <c r="C98" s="51" t="s">
        <v>305</v>
      </c>
      <c r="D98" s="355" t="s">
        <v>306</v>
      </c>
      <c r="E98" s="352" t="s">
        <v>307</v>
      </c>
      <c r="F98" s="100" t="s">
        <v>308</v>
      </c>
      <c r="G98" s="101" t="s">
        <v>309</v>
      </c>
      <c r="H98" s="102" t="s">
        <v>16</v>
      </c>
      <c r="I98" s="102" t="s">
        <v>28</v>
      </c>
      <c r="J98" s="210" t="str">
        <f t="shared" si="3"/>
        <v>Desplegar la Carta Europea de Turisme Sostenible (CETS)</v>
      </c>
      <c r="K98" s="215"/>
      <c r="L98" s="208" t="s">
        <v>567</v>
      </c>
      <c r="M98" s="104" t="s">
        <v>18</v>
      </c>
      <c r="N98" s="73" t="s">
        <v>1030</v>
      </c>
      <c r="O98" s="105" t="s">
        <v>30</v>
      </c>
      <c r="P98" s="106"/>
      <c r="Q98" s="118" t="s">
        <v>1216</v>
      </c>
      <c r="R98" s="272">
        <v>0.25</v>
      </c>
      <c r="S98" s="272">
        <v>0.5</v>
      </c>
      <c r="T98" s="235" t="s">
        <v>1498</v>
      </c>
      <c r="U98" s="271" t="s">
        <v>1092</v>
      </c>
      <c r="V98" s="274" t="s">
        <v>1421</v>
      </c>
      <c r="W98" s="275" t="s">
        <v>1180</v>
      </c>
      <c r="X98" s="275" t="s">
        <v>1180</v>
      </c>
    </row>
    <row r="99" spans="1:24" ht="57.65" customHeight="1">
      <c r="A99" s="27"/>
      <c r="B99" s="47"/>
      <c r="C99" s="52"/>
      <c r="D99" s="356"/>
      <c r="E99" s="353"/>
      <c r="F99" s="100" t="s">
        <v>310</v>
      </c>
      <c r="G99" s="101" t="s">
        <v>311</v>
      </c>
      <c r="H99" s="102" t="s">
        <v>16</v>
      </c>
      <c r="I99" s="102" t="s">
        <v>28</v>
      </c>
      <c r="J99" s="210" t="s">
        <v>1031</v>
      </c>
      <c r="K99" s="267"/>
      <c r="L99" s="208" t="s">
        <v>567</v>
      </c>
      <c r="M99" s="104" t="s">
        <v>23</v>
      </c>
      <c r="N99" s="73" t="s">
        <v>1089</v>
      </c>
      <c r="O99" s="105"/>
      <c r="P99" s="106"/>
      <c r="Q99" s="118" t="s">
        <v>1217</v>
      </c>
      <c r="R99" s="272">
        <v>0.1</v>
      </c>
      <c r="S99" s="272">
        <v>0.3</v>
      </c>
      <c r="T99" s="235" t="s">
        <v>1440</v>
      </c>
      <c r="U99" s="271" t="s">
        <v>1092</v>
      </c>
      <c r="V99" s="274" t="s">
        <v>1421</v>
      </c>
      <c r="W99" s="282" t="s">
        <v>1420</v>
      </c>
      <c r="X99" s="282">
        <v>50</v>
      </c>
    </row>
    <row r="100" spans="1:24" ht="57.65" customHeight="1">
      <c r="A100" s="220"/>
      <c r="B100" s="47"/>
      <c r="C100" s="52"/>
      <c r="D100" s="357"/>
      <c r="E100" s="354"/>
      <c r="F100" s="100" t="s">
        <v>1256</v>
      </c>
      <c r="G100" s="101" t="s">
        <v>1257</v>
      </c>
      <c r="H100" s="102" t="s">
        <v>16</v>
      </c>
      <c r="I100" s="102" t="s">
        <v>84</v>
      </c>
      <c r="J100" s="210" t="s">
        <v>1016</v>
      </c>
      <c r="K100" s="267"/>
      <c r="L100" s="208"/>
      <c r="M100" s="104" t="s">
        <v>173</v>
      </c>
      <c r="N100" s="73"/>
      <c r="O100" s="105"/>
      <c r="P100" s="106"/>
      <c r="Q100" s="247" t="s">
        <v>1180</v>
      </c>
      <c r="R100" s="291" t="s">
        <v>1180</v>
      </c>
      <c r="S100" s="291" t="s">
        <v>1180</v>
      </c>
      <c r="T100" s="275" t="s">
        <v>1180</v>
      </c>
      <c r="U100" s="292" t="s">
        <v>1095</v>
      </c>
      <c r="V100" s="293" t="s">
        <v>1425</v>
      </c>
      <c r="W100" s="275" t="s">
        <v>1180</v>
      </c>
      <c r="X100" s="275" t="s">
        <v>1180</v>
      </c>
    </row>
    <row r="101" spans="1:24" ht="28.9" customHeight="1">
      <c r="A101" s="48"/>
      <c r="B101" s="47"/>
      <c r="C101" s="52"/>
      <c r="D101" s="348" t="s">
        <v>312</v>
      </c>
      <c r="E101" s="350" t="s">
        <v>313</v>
      </c>
      <c r="F101" s="100" t="s">
        <v>314</v>
      </c>
      <c r="G101" s="101" t="s">
        <v>315</v>
      </c>
      <c r="H101" s="102" t="s">
        <v>16</v>
      </c>
      <c r="I101" s="102" t="s">
        <v>28</v>
      </c>
      <c r="J101" s="210" t="str">
        <f t="shared" si="3"/>
        <v xml:space="preserve">Treballar amb les empreses turístiques per trobar eines de canvi cap a un model de turisme sostenible i de qualitat </v>
      </c>
      <c r="K101" s="215"/>
      <c r="L101" s="208" t="s">
        <v>567</v>
      </c>
      <c r="M101" s="104" t="s">
        <v>18</v>
      </c>
      <c r="N101" s="73" t="s">
        <v>1032</v>
      </c>
      <c r="O101" s="105" t="s">
        <v>30</v>
      </c>
      <c r="P101" s="106"/>
      <c r="Q101" s="118" t="s">
        <v>1218</v>
      </c>
      <c r="R101" s="272">
        <v>0.5</v>
      </c>
      <c r="S101" s="272">
        <v>0.6</v>
      </c>
      <c r="T101" s="235" t="s">
        <v>1376</v>
      </c>
      <c r="U101" s="271" t="s">
        <v>1092</v>
      </c>
      <c r="V101" s="274" t="s">
        <v>1368</v>
      </c>
      <c r="W101" s="275" t="s">
        <v>1180</v>
      </c>
      <c r="X101" s="275" t="s">
        <v>1180</v>
      </c>
    </row>
    <row r="102" spans="1:24" ht="28.9" customHeight="1">
      <c r="A102" s="48"/>
      <c r="B102" s="47"/>
      <c r="C102" s="52"/>
      <c r="D102" s="349"/>
      <c r="E102" s="351"/>
      <c r="F102" s="100" t="s">
        <v>316</v>
      </c>
      <c r="G102" s="101" t="s">
        <v>317</v>
      </c>
      <c r="H102" s="102" t="s">
        <v>16</v>
      </c>
      <c r="I102" s="102" t="s">
        <v>84</v>
      </c>
      <c r="J102" s="210" t="s">
        <v>1016</v>
      </c>
      <c r="K102" s="215" t="s">
        <v>1219</v>
      </c>
      <c r="L102" s="302"/>
      <c r="M102" s="104" t="s">
        <v>173</v>
      </c>
      <c r="N102" s="73"/>
      <c r="O102" s="105" t="s">
        <v>30</v>
      </c>
      <c r="P102" s="106"/>
      <c r="Q102" s="112" t="s">
        <v>1180</v>
      </c>
      <c r="R102" s="289" t="s">
        <v>1180</v>
      </c>
      <c r="S102" s="289" t="s">
        <v>1180</v>
      </c>
      <c r="T102" s="289" t="s">
        <v>1180</v>
      </c>
      <c r="U102" s="271" t="s">
        <v>1092</v>
      </c>
      <c r="V102" s="274" t="s">
        <v>1368</v>
      </c>
      <c r="W102" s="275" t="s">
        <v>1180</v>
      </c>
      <c r="X102" s="275" t="s">
        <v>1180</v>
      </c>
    </row>
    <row r="103" spans="1:24" ht="225" customHeight="1">
      <c r="A103" s="28" t="s">
        <v>318</v>
      </c>
      <c r="B103" s="334">
        <v>10</v>
      </c>
      <c r="C103" s="56" t="s">
        <v>319</v>
      </c>
      <c r="D103" s="360" t="s">
        <v>320</v>
      </c>
      <c r="E103" s="358" t="s">
        <v>321</v>
      </c>
      <c r="F103" s="100" t="s">
        <v>322</v>
      </c>
      <c r="G103" s="101" t="s">
        <v>323</v>
      </c>
      <c r="H103" s="102" t="s">
        <v>16</v>
      </c>
      <c r="I103" s="102" t="s">
        <v>28</v>
      </c>
      <c r="J103" s="210" t="str">
        <f t="shared" si="3"/>
        <v>Establir un model de construcció a l'ENP en base al model de Pla de protecció</v>
      </c>
      <c r="K103" s="215"/>
      <c r="L103" s="305"/>
      <c r="M103" s="231" t="s">
        <v>578</v>
      </c>
      <c r="N103" s="112"/>
      <c r="O103" s="105"/>
      <c r="P103" s="106" t="s">
        <v>324</v>
      </c>
      <c r="Q103" s="216" t="s">
        <v>1164</v>
      </c>
      <c r="R103" s="273">
        <v>5</v>
      </c>
      <c r="S103" s="273">
        <v>15</v>
      </c>
      <c r="T103" s="273">
        <v>150</v>
      </c>
      <c r="U103" s="273" t="s">
        <v>1477</v>
      </c>
      <c r="V103" s="274" t="s">
        <v>1093</v>
      </c>
      <c r="W103" s="275" t="s">
        <v>1180</v>
      </c>
      <c r="X103" s="275" t="s">
        <v>1180</v>
      </c>
    </row>
    <row r="104" spans="1:24" ht="40.9" customHeight="1">
      <c r="A104" s="28"/>
      <c r="B104" s="335"/>
      <c r="C104" s="49"/>
      <c r="D104" s="361"/>
      <c r="E104" s="359"/>
      <c r="F104" s="100" t="s">
        <v>1258</v>
      </c>
      <c r="G104" s="101" t="s">
        <v>1259</v>
      </c>
      <c r="H104" s="102" t="s">
        <v>16</v>
      </c>
      <c r="I104" s="102" t="s">
        <v>28</v>
      </c>
      <c r="J104" s="210" t="str">
        <f t="shared" si="3"/>
        <v>Ordenar els aprofitaments i extraccions dins l'espai</v>
      </c>
      <c r="K104" s="215"/>
      <c r="L104" s="305" t="s">
        <v>567</v>
      </c>
      <c r="M104" s="104" t="s">
        <v>23</v>
      </c>
      <c r="N104" s="250" t="s">
        <v>1441</v>
      </c>
      <c r="O104" s="105"/>
      <c r="P104" s="106"/>
      <c r="Q104" s="216" t="s">
        <v>1475</v>
      </c>
      <c r="R104" s="272">
        <v>0.8</v>
      </c>
      <c r="S104" s="272">
        <v>0.95</v>
      </c>
      <c r="T104" s="273">
        <v>260</v>
      </c>
      <c r="U104" s="273" t="s">
        <v>1095</v>
      </c>
      <c r="V104" s="274" t="s">
        <v>1425</v>
      </c>
      <c r="W104" s="275" t="s">
        <v>1180</v>
      </c>
      <c r="X104" s="275" t="s">
        <v>1180</v>
      </c>
    </row>
    <row r="105" spans="1:24" ht="122.5" customHeight="1">
      <c r="A105" s="28"/>
      <c r="B105" s="32">
        <v>11</v>
      </c>
      <c r="C105" s="346" t="s">
        <v>325</v>
      </c>
      <c r="D105" s="375" t="s">
        <v>326</v>
      </c>
      <c r="E105" s="368" t="s">
        <v>327</v>
      </c>
      <c r="F105" s="100" t="s">
        <v>328</v>
      </c>
      <c r="G105" s="101" t="s">
        <v>1260</v>
      </c>
      <c r="H105" s="102" t="s">
        <v>16</v>
      </c>
      <c r="I105" s="102" t="s">
        <v>28</v>
      </c>
      <c r="J105" s="210" t="str">
        <f t="shared" si="3"/>
        <v>Ordenar l'acampada i pernoctació  en base a un model estandarditzat de Pla de protecció</v>
      </c>
      <c r="K105" s="215"/>
      <c r="L105" s="302" t="s">
        <v>567</v>
      </c>
      <c r="M105" s="104" t="s">
        <v>18</v>
      </c>
      <c r="N105" s="103" t="s">
        <v>649</v>
      </c>
      <c r="O105" s="105"/>
      <c r="P105" s="106" t="s">
        <v>324</v>
      </c>
      <c r="Q105" s="73" t="s">
        <v>1110</v>
      </c>
      <c r="R105" s="272">
        <v>0.02</v>
      </c>
      <c r="S105" s="272">
        <v>0</v>
      </c>
      <c r="T105" s="235" t="s">
        <v>1442</v>
      </c>
      <c r="U105" s="273" t="s">
        <v>1477</v>
      </c>
      <c r="V105" s="274" t="s">
        <v>1395</v>
      </c>
      <c r="W105" s="275" t="s">
        <v>1180</v>
      </c>
      <c r="X105" s="275" t="s">
        <v>1180</v>
      </c>
    </row>
    <row r="106" spans="1:24" ht="75" customHeight="1">
      <c r="A106" s="28"/>
      <c r="B106" s="33"/>
      <c r="C106" s="347"/>
      <c r="D106" s="376"/>
      <c r="E106" s="374"/>
      <c r="F106" s="100" t="s">
        <v>329</v>
      </c>
      <c r="G106" s="101" t="s">
        <v>1261</v>
      </c>
      <c r="H106" s="102" t="s">
        <v>16</v>
      </c>
      <c r="I106" s="102" t="s">
        <v>28</v>
      </c>
      <c r="J106" s="210" t="str">
        <f t="shared" si="3"/>
        <v>Ordenar la circulació rodada no motoritzada en base a un model estàndard de Pla de protecció</v>
      </c>
      <c r="K106" s="215"/>
      <c r="L106" s="302" t="s">
        <v>567</v>
      </c>
      <c r="M106" s="104" t="s">
        <v>29</v>
      </c>
      <c r="N106" s="103" t="s">
        <v>650</v>
      </c>
      <c r="O106" s="105"/>
      <c r="P106" s="106" t="s">
        <v>324</v>
      </c>
      <c r="Q106" s="73" t="s">
        <v>1111</v>
      </c>
      <c r="R106" s="272">
        <v>0.04</v>
      </c>
      <c r="S106" s="272">
        <v>0.01</v>
      </c>
      <c r="T106" s="235" t="s">
        <v>1443</v>
      </c>
      <c r="U106" s="273" t="s">
        <v>1477</v>
      </c>
      <c r="V106" s="274" t="s">
        <v>1395</v>
      </c>
      <c r="W106" s="275" t="s">
        <v>1180</v>
      </c>
      <c r="X106" s="275" t="s">
        <v>1180</v>
      </c>
    </row>
    <row r="107" spans="1:24" ht="43.15" customHeight="1">
      <c r="A107" s="28"/>
      <c r="B107" s="33"/>
      <c r="C107" s="347"/>
      <c r="D107" s="376"/>
      <c r="E107" s="374"/>
      <c r="F107" s="100" t="s">
        <v>330</v>
      </c>
      <c r="G107" s="101" t="s">
        <v>1262</v>
      </c>
      <c r="H107" s="102" t="s">
        <v>42</v>
      </c>
      <c r="I107" s="102" t="s">
        <v>28</v>
      </c>
      <c r="J107" s="210" t="str">
        <f t="shared" si="3"/>
        <v>Ordenar l'escalada i alpinisme, barranquisme, i espeleologia  en base a un model estàndard de Pla de protecció</v>
      </c>
      <c r="K107" s="215"/>
      <c r="L107" s="302" t="s">
        <v>567</v>
      </c>
      <c r="M107" s="104" t="s">
        <v>29</v>
      </c>
      <c r="N107" s="103" t="s">
        <v>651</v>
      </c>
      <c r="O107" s="105"/>
      <c r="P107" s="106" t="s">
        <v>324</v>
      </c>
      <c r="Q107" s="73" t="s">
        <v>1111</v>
      </c>
      <c r="R107" s="272">
        <v>0.05</v>
      </c>
      <c r="S107" s="272">
        <v>0.01</v>
      </c>
      <c r="T107" s="235" t="s">
        <v>1444</v>
      </c>
      <c r="U107" s="273" t="s">
        <v>1477</v>
      </c>
      <c r="V107" s="274" t="s">
        <v>1395</v>
      </c>
      <c r="W107" s="275" t="s">
        <v>1180</v>
      </c>
      <c r="X107" s="275" t="s">
        <v>1180</v>
      </c>
    </row>
    <row r="108" spans="1:24" ht="43.15" customHeight="1">
      <c r="A108" s="28"/>
      <c r="B108" s="33"/>
      <c r="C108" s="31"/>
      <c r="D108" s="376"/>
      <c r="E108" s="374"/>
      <c r="F108" s="100" t="s">
        <v>331</v>
      </c>
      <c r="G108" s="101" t="s">
        <v>1263</v>
      </c>
      <c r="H108" s="102" t="s">
        <v>16</v>
      </c>
      <c r="I108" s="102" t="s">
        <v>28</v>
      </c>
      <c r="J108" s="210" t="str">
        <f t="shared" si="3"/>
        <v>Ordenar les curses i altres activitats esportives organitzades en base a un model estàndard de Pla de protecció</v>
      </c>
      <c r="K108" s="215"/>
      <c r="L108" s="302" t="s">
        <v>567</v>
      </c>
      <c r="M108" s="104" t="s">
        <v>29</v>
      </c>
      <c r="N108" s="103" t="s">
        <v>652</v>
      </c>
      <c r="O108" s="105"/>
      <c r="P108" s="106" t="s">
        <v>324</v>
      </c>
      <c r="Q108" s="73" t="s">
        <v>1111</v>
      </c>
      <c r="R108" s="272">
        <v>0.02</v>
      </c>
      <c r="S108" s="272">
        <v>0</v>
      </c>
      <c r="T108" s="235" t="s">
        <v>1445</v>
      </c>
      <c r="U108" s="273" t="s">
        <v>1477</v>
      </c>
      <c r="V108" s="274" t="s">
        <v>1395</v>
      </c>
      <c r="W108" s="275" t="s">
        <v>1180</v>
      </c>
      <c r="X108" s="275" t="s">
        <v>1180</v>
      </c>
    </row>
    <row r="109" spans="1:24" ht="43.15" customHeight="1">
      <c r="A109" s="28"/>
      <c r="B109" s="50"/>
      <c r="C109" s="49"/>
      <c r="D109" s="376"/>
      <c r="E109" s="374"/>
      <c r="F109" s="100" t="s">
        <v>332</v>
      </c>
      <c r="G109" s="101" t="s">
        <v>1264</v>
      </c>
      <c r="H109" s="102" t="s">
        <v>16</v>
      </c>
      <c r="I109" s="102" t="s">
        <v>28</v>
      </c>
      <c r="J109" s="210" t="str">
        <f t="shared" si="3"/>
        <v>Ordenar els enregistraments i l'observació de fauna i natura en base a un model estàndard de Pla de protecció</v>
      </c>
      <c r="K109" s="215"/>
      <c r="L109" s="302" t="s">
        <v>567</v>
      </c>
      <c r="M109" s="104" t="s">
        <v>23</v>
      </c>
      <c r="N109" s="103" t="s">
        <v>637</v>
      </c>
      <c r="O109" s="105"/>
      <c r="P109" s="106" t="s">
        <v>324</v>
      </c>
      <c r="Q109" s="73" t="s">
        <v>1111</v>
      </c>
      <c r="R109" s="272">
        <v>0.02</v>
      </c>
      <c r="S109" s="272">
        <v>0</v>
      </c>
      <c r="T109" s="235" t="s">
        <v>1446</v>
      </c>
      <c r="U109" s="273" t="s">
        <v>1477</v>
      </c>
      <c r="V109" s="274" t="s">
        <v>1395</v>
      </c>
      <c r="W109" s="275" t="s">
        <v>1180</v>
      </c>
      <c r="X109" s="275" t="s">
        <v>1180</v>
      </c>
    </row>
    <row r="110" spans="1:24" ht="28.9" customHeight="1">
      <c r="A110" s="28"/>
      <c r="B110" s="50"/>
      <c r="C110" s="49"/>
      <c r="D110" s="376"/>
      <c r="E110" s="374"/>
      <c r="F110" s="100" t="s">
        <v>333</v>
      </c>
      <c r="G110" s="101" t="s">
        <v>1265</v>
      </c>
      <c r="H110" s="102" t="s">
        <v>16</v>
      </c>
      <c r="I110" s="102" t="s">
        <v>28</v>
      </c>
      <c r="J110" s="210" t="str">
        <f t="shared" si="3"/>
        <v>Ordenar les activitats científiques en base a un model estàndard de Pla de protecció</v>
      </c>
      <c r="K110" s="215"/>
      <c r="L110" s="302" t="s">
        <v>567</v>
      </c>
      <c r="M110" s="104" t="s">
        <v>23</v>
      </c>
      <c r="N110" s="103" t="s">
        <v>638</v>
      </c>
      <c r="O110" s="105"/>
      <c r="P110" s="106" t="s">
        <v>324</v>
      </c>
      <c r="Q110" s="73" t="s">
        <v>1111</v>
      </c>
      <c r="R110" s="272">
        <v>0.02</v>
      </c>
      <c r="S110" s="272">
        <v>0</v>
      </c>
      <c r="T110" s="235" t="s">
        <v>1447</v>
      </c>
      <c r="U110" s="273" t="s">
        <v>1477</v>
      </c>
      <c r="V110" s="274" t="s">
        <v>1395</v>
      </c>
      <c r="W110" s="275" t="s">
        <v>1180</v>
      </c>
      <c r="X110" s="275" t="s">
        <v>1180</v>
      </c>
    </row>
    <row r="111" spans="1:24" ht="28.9" customHeight="1">
      <c r="A111" s="28"/>
      <c r="B111" s="33"/>
      <c r="C111" s="31"/>
      <c r="D111" s="376"/>
      <c r="E111" s="374"/>
      <c r="F111" s="100" t="s">
        <v>334</v>
      </c>
      <c r="G111" s="101" t="s">
        <v>1266</v>
      </c>
      <c r="H111" s="102" t="s">
        <v>42</v>
      </c>
      <c r="I111" s="102" t="s">
        <v>28</v>
      </c>
      <c r="J111" s="210" t="str">
        <f t="shared" si="3"/>
        <v>Ordenar les zones de bany</v>
      </c>
      <c r="K111" s="215"/>
      <c r="L111" s="302" t="s">
        <v>567</v>
      </c>
      <c r="M111" s="104" t="s">
        <v>18</v>
      </c>
      <c r="N111" s="103" t="s">
        <v>639</v>
      </c>
      <c r="O111" s="105"/>
      <c r="P111" s="106" t="s">
        <v>324</v>
      </c>
      <c r="Q111" s="73" t="s">
        <v>1111</v>
      </c>
      <c r="R111" s="272">
        <v>0.02</v>
      </c>
      <c r="S111" s="272">
        <v>0</v>
      </c>
      <c r="T111" s="235" t="s">
        <v>1448</v>
      </c>
      <c r="U111" s="273" t="s">
        <v>1477</v>
      </c>
      <c r="V111" s="274" t="s">
        <v>1395</v>
      </c>
      <c r="W111" s="275" t="s">
        <v>1180</v>
      </c>
      <c r="X111" s="275" t="s">
        <v>1180</v>
      </c>
    </row>
    <row r="112" spans="1:24" ht="28.9" customHeight="1">
      <c r="A112" s="28"/>
      <c r="B112" s="33"/>
      <c r="C112" s="31"/>
      <c r="D112" s="376"/>
      <c r="E112" s="374"/>
      <c r="F112" s="100" t="s">
        <v>335</v>
      </c>
      <c r="G112" s="101" t="s">
        <v>1267</v>
      </c>
      <c r="H112" s="102" t="s">
        <v>42</v>
      </c>
      <c r="I112" s="102" t="s">
        <v>28</v>
      </c>
      <c r="J112" s="210" t="str">
        <f t="shared" si="3"/>
        <v>Ordenar l'enlairament i aterratge sense motor</v>
      </c>
      <c r="K112" s="215"/>
      <c r="L112" s="302" t="s">
        <v>567</v>
      </c>
      <c r="M112" s="104" t="s">
        <v>23</v>
      </c>
      <c r="N112" s="103" t="s">
        <v>640</v>
      </c>
      <c r="O112" s="105"/>
      <c r="P112" s="106" t="s">
        <v>324</v>
      </c>
      <c r="Q112" s="73" t="s">
        <v>1111</v>
      </c>
      <c r="R112" s="272">
        <v>0.02</v>
      </c>
      <c r="S112" s="272">
        <v>0</v>
      </c>
      <c r="T112" s="235" t="s">
        <v>1449</v>
      </c>
      <c r="U112" s="273" t="s">
        <v>1477</v>
      </c>
      <c r="V112" s="274" t="s">
        <v>1395</v>
      </c>
      <c r="W112" s="275" t="s">
        <v>1180</v>
      </c>
      <c r="X112" s="282"/>
    </row>
    <row r="113" spans="1:24" ht="127.15" customHeight="1">
      <c r="A113" s="28"/>
      <c r="B113" s="33"/>
      <c r="C113" s="31"/>
      <c r="D113" s="376"/>
      <c r="E113" s="374"/>
      <c r="F113" s="100" t="s">
        <v>336</v>
      </c>
      <c r="G113" s="101" t="s">
        <v>1268</v>
      </c>
      <c r="H113" s="102" t="s">
        <v>42</v>
      </c>
      <c r="I113" s="102" t="s">
        <v>84</v>
      </c>
      <c r="J113" s="210" t="s">
        <v>1016</v>
      </c>
      <c r="K113" s="215"/>
      <c r="L113" s="153"/>
      <c r="M113" s="207" t="s">
        <v>173</v>
      </c>
      <c r="N113" s="209" t="s">
        <v>641</v>
      </c>
      <c r="O113" s="105"/>
      <c r="P113" s="106" t="s">
        <v>324</v>
      </c>
      <c r="Q113" s="112" t="s">
        <v>1180</v>
      </c>
      <c r="R113" s="275" t="s">
        <v>1180</v>
      </c>
      <c r="S113" s="275" t="s">
        <v>1180</v>
      </c>
      <c r="T113" s="275" t="s">
        <v>1180</v>
      </c>
      <c r="U113" s="273" t="s">
        <v>1477</v>
      </c>
      <c r="V113" s="274" t="s">
        <v>1418</v>
      </c>
      <c r="W113" s="275" t="s">
        <v>1180</v>
      </c>
      <c r="X113" s="275" t="s">
        <v>1180</v>
      </c>
    </row>
    <row r="114" spans="1:24" ht="28.9" customHeight="1">
      <c r="A114" s="28"/>
      <c r="B114" s="33"/>
      <c r="C114" s="31"/>
      <c r="D114" s="376"/>
      <c r="E114" s="374"/>
      <c r="F114" s="100" t="s">
        <v>337</v>
      </c>
      <c r="G114" s="101" t="s">
        <v>1269</v>
      </c>
      <c r="H114" s="102" t="s">
        <v>42</v>
      </c>
      <c r="I114" s="102" t="s">
        <v>84</v>
      </c>
      <c r="J114" s="210" t="s">
        <v>1016</v>
      </c>
      <c r="K114" s="215"/>
      <c r="L114" s="153"/>
      <c r="M114" s="207" t="s">
        <v>173</v>
      </c>
      <c r="N114" s="209" t="s">
        <v>642</v>
      </c>
      <c r="O114" s="105"/>
      <c r="P114" s="106" t="s">
        <v>324</v>
      </c>
      <c r="Q114" s="112" t="s">
        <v>1180</v>
      </c>
      <c r="R114" s="275" t="s">
        <v>1180</v>
      </c>
      <c r="S114" s="275" t="s">
        <v>1180</v>
      </c>
      <c r="T114" s="275" t="s">
        <v>1180</v>
      </c>
      <c r="U114" s="273" t="s">
        <v>1477</v>
      </c>
      <c r="V114" s="274" t="s">
        <v>1418</v>
      </c>
      <c r="W114" s="275" t="s">
        <v>1180</v>
      </c>
      <c r="X114" s="275" t="s">
        <v>1180</v>
      </c>
    </row>
    <row r="115" spans="1:24" ht="28.9" customHeight="1">
      <c r="A115" s="28"/>
      <c r="B115" s="33"/>
      <c r="C115" s="31"/>
      <c r="D115" s="376"/>
      <c r="E115" s="374"/>
      <c r="F115" s="100" t="s">
        <v>338</v>
      </c>
      <c r="G115" s="101" t="s">
        <v>1270</v>
      </c>
      <c r="H115" s="102" t="s">
        <v>16</v>
      </c>
      <c r="I115" s="102" t="s">
        <v>28</v>
      </c>
      <c r="J115" s="210" t="str">
        <f t="shared" si="3"/>
        <v>Ordenar la presència d'animals de companyia</v>
      </c>
      <c r="K115" s="215"/>
      <c r="L115" s="302" t="s">
        <v>567</v>
      </c>
      <c r="M115" s="104" t="s">
        <v>18</v>
      </c>
      <c r="N115" s="103" t="s">
        <v>643</v>
      </c>
      <c r="O115" s="105"/>
      <c r="P115" s="106" t="s">
        <v>324</v>
      </c>
      <c r="Q115" s="73" t="s">
        <v>1111</v>
      </c>
      <c r="R115" s="272">
        <v>0.1</v>
      </c>
      <c r="S115" s="272">
        <v>0.05</v>
      </c>
      <c r="T115" s="235" t="s">
        <v>1450</v>
      </c>
      <c r="U115" s="273" t="s">
        <v>1477</v>
      </c>
      <c r="V115" s="274" t="s">
        <v>1395</v>
      </c>
      <c r="W115" s="275" t="s">
        <v>1180</v>
      </c>
      <c r="X115" s="275" t="s">
        <v>1180</v>
      </c>
    </row>
    <row r="116" spans="1:24" ht="60.65" customHeight="1">
      <c r="A116" s="28"/>
      <c r="B116" s="33"/>
      <c r="C116" s="31"/>
      <c r="D116" s="377"/>
      <c r="E116" s="369"/>
      <c r="F116" s="100" t="s">
        <v>339</v>
      </c>
      <c r="G116" s="101" t="s">
        <v>1271</v>
      </c>
      <c r="H116" s="102" t="s">
        <v>16</v>
      </c>
      <c r="I116" s="102" t="s">
        <v>28</v>
      </c>
      <c r="J116" s="210" t="str">
        <f t="shared" si="3"/>
        <v>Ordenar lels activitats d'educació ambiental i el lleure educatiu</v>
      </c>
      <c r="K116" s="215"/>
      <c r="L116" s="302" t="s">
        <v>567</v>
      </c>
      <c r="M116" s="104" t="s">
        <v>23</v>
      </c>
      <c r="N116" s="103" t="s">
        <v>1220</v>
      </c>
      <c r="O116" s="105"/>
      <c r="P116" s="106" t="s">
        <v>324</v>
      </c>
      <c r="Q116" s="73" t="s">
        <v>1290</v>
      </c>
      <c r="R116" s="272">
        <v>0.33</v>
      </c>
      <c r="S116" s="272">
        <v>0.66</v>
      </c>
      <c r="T116" s="235" t="s">
        <v>1422</v>
      </c>
      <c r="U116" s="271" t="s">
        <v>1092</v>
      </c>
      <c r="V116" s="274" t="s">
        <v>1421</v>
      </c>
      <c r="W116" s="275" t="s">
        <v>1180</v>
      </c>
      <c r="X116" s="275" t="s">
        <v>1180</v>
      </c>
    </row>
    <row r="117" spans="1:24" ht="28.9" customHeight="1">
      <c r="A117" s="28"/>
      <c r="B117" s="33"/>
      <c r="C117" s="31"/>
      <c r="D117" s="375" t="s">
        <v>340</v>
      </c>
      <c r="E117" s="378" t="s">
        <v>341</v>
      </c>
      <c r="F117" s="102" t="s">
        <v>342</v>
      </c>
      <c r="G117" s="101" t="s">
        <v>343</v>
      </c>
      <c r="H117" s="102" t="s">
        <v>16</v>
      </c>
      <c r="I117" s="102" t="s">
        <v>28</v>
      </c>
      <c r="J117" s="210" t="str">
        <f t="shared" si="3"/>
        <v xml:space="preserve">Identificar i classificar la xarxa viària bàsica, secundària, senders i itineraris senyalitzats d'acord amb els ajuntaments </v>
      </c>
      <c r="K117" s="215"/>
      <c r="L117" s="302" t="s">
        <v>567</v>
      </c>
      <c r="M117" s="104" t="s">
        <v>23</v>
      </c>
      <c r="N117" s="73" t="s">
        <v>653</v>
      </c>
      <c r="O117" s="105"/>
      <c r="P117" s="101" t="s">
        <v>344</v>
      </c>
      <c r="Q117" s="73" t="s">
        <v>1175</v>
      </c>
      <c r="R117" s="272">
        <v>0.6</v>
      </c>
      <c r="S117" s="272">
        <v>0.9</v>
      </c>
      <c r="T117" s="235" t="s">
        <v>1451</v>
      </c>
      <c r="U117" s="273" t="s">
        <v>1477</v>
      </c>
      <c r="V117" s="274" t="s">
        <v>1395</v>
      </c>
      <c r="W117" s="275" t="s">
        <v>1180</v>
      </c>
      <c r="X117" s="275" t="s">
        <v>1180</v>
      </c>
    </row>
    <row r="118" spans="1:24" ht="28.9" customHeight="1">
      <c r="A118" s="28"/>
      <c r="B118" s="33"/>
      <c r="C118" s="31"/>
      <c r="D118" s="377"/>
      <c r="E118" s="379"/>
      <c r="F118" s="102" t="s">
        <v>345</v>
      </c>
      <c r="G118" s="101" t="s">
        <v>346</v>
      </c>
      <c r="H118" s="102" t="s">
        <v>16</v>
      </c>
      <c r="I118" s="102" t="s">
        <v>28</v>
      </c>
      <c r="J118" s="210" t="str">
        <f t="shared" si="3"/>
        <v>Treballar conjuntament amb els principals canals d’informació de rutes  per prioritzar itineraris oficials dins l’ENP</v>
      </c>
      <c r="K118" s="215"/>
      <c r="L118" s="302" t="s">
        <v>567</v>
      </c>
      <c r="M118" s="104" t="s">
        <v>18</v>
      </c>
      <c r="N118" s="73" t="s">
        <v>654</v>
      </c>
      <c r="O118" s="105"/>
      <c r="P118" s="101" t="s">
        <v>347</v>
      </c>
      <c r="Q118" s="73" t="s">
        <v>1113</v>
      </c>
      <c r="R118" s="273">
        <v>80</v>
      </c>
      <c r="S118" s="273">
        <v>100</v>
      </c>
      <c r="T118" s="273">
        <v>200</v>
      </c>
      <c r="U118" s="273" t="s">
        <v>1477</v>
      </c>
      <c r="V118" s="274" t="s">
        <v>1418</v>
      </c>
      <c r="W118" s="282" t="s">
        <v>1420</v>
      </c>
      <c r="X118" s="282">
        <v>150</v>
      </c>
    </row>
    <row r="119" spans="1:24" ht="85.9" customHeight="1">
      <c r="A119" s="28"/>
      <c r="B119" s="33"/>
      <c r="C119" s="31"/>
      <c r="D119" s="375" t="s">
        <v>348</v>
      </c>
      <c r="E119" s="368" t="s">
        <v>349</v>
      </c>
      <c r="F119" s="100" t="s">
        <v>350</v>
      </c>
      <c r="G119" s="101" t="s">
        <v>1272</v>
      </c>
      <c r="H119" s="102" t="s">
        <v>16</v>
      </c>
      <c r="I119" s="102" t="s">
        <v>28</v>
      </c>
      <c r="J119" s="210" t="str">
        <f t="shared" si="3"/>
        <v>Ordenar l'accés i la circulació</v>
      </c>
      <c r="K119" s="215"/>
      <c r="L119" s="302" t="s">
        <v>567</v>
      </c>
      <c r="M119" s="104" t="s">
        <v>29</v>
      </c>
      <c r="N119" s="103" t="s">
        <v>644</v>
      </c>
      <c r="O119" s="105"/>
      <c r="P119" s="106" t="s">
        <v>324</v>
      </c>
      <c r="Q119" s="73" t="s">
        <v>1176</v>
      </c>
      <c r="R119" s="272">
        <v>0.7</v>
      </c>
      <c r="S119" s="272">
        <v>0.9</v>
      </c>
      <c r="T119" s="235" t="s">
        <v>1452</v>
      </c>
      <c r="U119" s="273" t="s">
        <v>1477</v>
      </c>
      <c r="V119" s="274" t="s">
        <v>1395</v>
      </c>
      <c r="W119" s="275" t="s">
        <v>1180</v>
      </c>
      <c r="X119" s="275" t="s">
        <v>1180</v>
      </c>
    </row>
    <row r="120" spans="1:24" ht="68.5" customHeight="1">
      <c r="A120" s="28"/>
      <c r="B120" s="33"/>
      <c r="C120" s="31"/>
      <c r="D120" s="376"/>
      <c r="E120" s="374"/>
      <c r="F120" s="100" t="s">
        <v>351</v>
      </c>
      <c r="G120" s="101" t="s">
        <v>1273</v>
      </c>
      <c r="H120" s="102" t="s">
        <v>16</v>
      </c>
      <c r="I120" s="102" t="s">
        <v>28</v>
      </c>
      <c r="J120" s="210" t="str">
        <f t="shared" si="3"/>
        <v>Ordenar la xarxa viària principal, secundària i restringida</v>
      </c>
      <c r="K120" s="215"/>
      <c r="L120" s="302" t="s">
        <v>567</v>
      </c>
      <c r="M120" s="104" t="s">
        <v>23</v>
      </c>
      <c r="N120" s="103" t="s">
        <v>645</v>
      </c>
      <c r="O120" s="105"/>
      <c r="P120" s="106" t="s">
        <v>324</v>
      </c>
      <c r="Q120" s="73" t="s">
        <v>1114</v>
      </c>
      <c r="R120" s="272">
        <v>0.7</v>
      </c>
      <c r="S120" s="272">
        <v>0.9</v>
      </c>
      <c r="T120" s="235" t="s">
        <v>1452</v>
      </c>
      <c r="U120" s="273" t="s">
        <v>1477</v>
      </c>
      <c r="V120" s="274" t="s">
        <v>1395</v>
      </c>
      <c r="W120" s="275" t="s">
        <v>1180</v>
      </c>
      <c r="X120" s="275" t="s">
        <v>1180</v>
      </c>
    </row>
    <row r="121" spans="1:24" ht="28.9" customHeight="1">
      <c r="A121" s="28"/>
      <c r="B121" s="33"/>
      <c r="C121" s="31"/>
      <c r="D121" s="376"/>
      <c r="E121" s="374"/>
      <c r="F121" s="100" t="s">
        <v>352</v>
      </c>
      <c r="G121" s="101" t="s">
        <v>1274</v>
      </c>
      <c r="H121" s="102" t="s">
        <v>42</v>
      </c>
      <c r="I121" s="102" t="s">
        <v>28</v>
      </c>
      <c r="J121" s="210" t="str">
        <f t="shared" si="3"/>
        <v>Ordenar l'ús de drons, l'enlairament i l'aterratge</v>
      </c>
      <c r="K121" s="215"/>
      <c r="L121" s="302" t="s">
        <v>567</v>
      </c>
      <c r="M121" s="104" t="s">
        <v>23</v>
      </c>
      <c r="N121" s="103" t="s">
        <v>646</v>
      </c>
      <c r="O121" s="105"/>
      <c r="P121" s="106" t="s">
        <v>324</v>
      </c>
      <c r="Q121" s="73" t="s">
        <v>1111</v>
      </c>
      <c r="R121" s="272">
        <v>0.05</v>
      </c>
      <c r="S121" s="272">
        <v>0.01</v>
      </c>
      <c r="T121" s="273">
        <v>150</v>
      </c>
      <c r="U121" s="273" t="s">
        <v>1477</v>
      </c>
      <c r="V121" s="274" t="s">
        <v>1418</v>
      </c>
      <c r="W121" s="275" t="s">
        <v>1180</v>
      </c>
      <c r="X121" s="275" t="s">
        <v>1180</v>
      </c>
    </row>
    <row r="122" spans="1:24" ht="43.15" customHeight="1">
      <c r="A122" s="28"/>
      <c r="B122" s="33"/>
      <c r="C122" s="31"/>
      <c r="D122" s="376"/>
      <c r="E122" s="374"/>
      <c r="F122" s="100" t="s">
        <v>353</v>
      </c>
      <c r="G122" s="101" t="s">
        <v>354</v>
      </c>
      <c r="H122" s="102" t="s">
        <v>16</v>
      </c>
      <c r="I122" s="102" t="s">
        <v>28</v>
      </c>
      <c r="J122" s="210" t="str">
        <f t="shared" si="3"/>
        <v>Aplicar limitacions temporals d'accés o circulació</v>
      </c>
      <c r="K122" s="215"/>
      <c r="L122" s="302" t="s">
        <v>567</v>
      </c>
      <c r="M122" s="104" t="s">
        <v>23</v>
      </c>
      <c r="N122" s="103" t="s">
        <v>647</v>
      </c>
      <c r="O122" s="105"/>
      <c r="P122" s="106" t="s">
        <v>324</v>
      </c>
      <c r="Q122" s="73" t="s">
        <v>1115</v>
      </c>
      <c r="R122" s="272">
        <v>0.9</v>
      </c>
      <c r="S122" s="272">
        <v>0.95</v>
      </c>
      <c r="T122" s="235" t="s">
        <v>1453</v>
      </c>
      <c r="U122" s="273" t="s">
        <v>1477</v>
      </c>
      <c r="V122" s="274" t="s">
        <v>1395</v>
      </c>
      <c r="W122" s="235" t="s">
        <v>1434</v>
      </c>
      <c r="X122" s="235" t="s">
        <v>1370</v>
      </c>
    </row>
    <row r="123" spans="1:24" ht="82.15" customHeight="1">
      <c r="A123" s="28"/>
      <c r="B123" s="33"/>
      <c r="C123" s="31"/>
      <c r="D123" s="377"/>
      <c r="E123" s="369"/>
      <c r="F123" s="100" t="s">
        <v>355</v>
      </c>
      <c r="G123" s="101" t="s">
        <v>1275</v>
      </c>
      <c r="H123" s="102" t="s">
        <v>16</v>
      </c>
      <c r="I123" s="102" t="s">
        <v>28</v>
      </c>
      <c r="J123" s="210" t="str">
        <f t="shared" si="3"/>
        <v>Ordenar l'aparcament de vehícles</v>
      </c>
      <c r="K123" s="215"/>
      <c r="L123" s="302" t="s">
        <v>568</v>
      </c>
      <c r="M123" s="104" t="s">
        <v>23</v>
      </c>
      <c r="N123" s="103" t="s">
        <v>648</v>
      </c>
      <c r="O123" s="105"/>
      <c r="P123" s="106" t="s">
        <v>324</v>
      </c>
      <c r="Q123" s="73" t="s">
        <v>1111</v>
      </c>
      <c r="R123" s="272">
        <v>0.1</v>
      </c>
      <c r="S123" s="272">
        <v>0.05</v>
      </c>
      <c r="T123" s="235" t="s">
        <v>1454</v>
      </c>
      <c r="U123" s="273" t="s">
        <v>1477</v>
      </c>
      <c r="V123" s="274" t="s">
        <v>1395</v>
      </c>
      <c r="W123" s="282" t="s">
        <v>1391</v>
      </c>
      <c r="X123" s="282">
        <v>150</v>
      </c>
    </row>
    <row r="124" spans="1:24" ht="67.900000000000006" customHeight="1">
      <c r="A124" s="28"/>
      <c r="B124" s="33"/>
      <c r="C124" s="31"/>
      <c r="D124" s="375" t="s">
        <v>356</v>
      </c>
      <c r="E124" s="368" t="s">
        <v>357</v>
      </c>
      <c r="F124" s="100" t="s">
        <v>358</v>
      </c>
      <c r="G124" s="101" t="s">
        <v>359</v>
      </c>
      <c r="H124" s="102" t="s">
        <v>16</v>
      </c>
      <c r="I124" s="102" t="s">
        <v>28</v>
      </c>
      <c r="J124" s="210" t="str">
        <f t="shared" si="3"/>
        <v>Implementar l'ordenació de l'ús públic en col·laboració amb els agents del territori</v>
      </c>
      <c r="K124" s="215"/>
      <c r="L124" s="303" t="s">
        <v>567</v>
      </c>
      <c r="M124" s="104" t="s">
        <v>23</v>
      </c>
      <c r="N124" s="73" t="s">
        <v>655</v>
      </c>
      <c r="O124" s="105"/>
      <c r="P124" s="106"/>
      <c r="Q124" s="118" t="s">
        <v>1221</v>
      </c>
      <c r="R124" s="272">
        <v>0.1</v>
      </c>
      <c r="S124" s="272">
        <v>0.3</v>
      </c>
      <c r="T124" s="235" t="s">
        <v>1433</v>
      </c>
      <c r="U124" s="271" t="s">
        <v>1092</v>
      </c>
      <c r="V124" s="274" t="s">
        <v>1421</v>
      </c>
      <c r="W124" s="275" t="s">
        <v>1180</v>
      </c>
      <c r="X124" s="275" t="s">
        <v>1180</v>
      </c>
    </row>
    <row r="125" spans="1:24" ht="28.9" customHeight="1">
      <c r="A125" s="28"/>
      <c r="B125" s="33"/>
      <c r="C125" s="31"/>
      <c r="D125" s="377"/>
      <c r="E125" s="369"/>
      <c r="F125" s="100" t="s">
        <v>360</v>
      </c>
      <c r="G125" s="101" t="s">
        <v>361</v>
      </c>
      <c r="H125" s="102" t="s">
        <v>16</v>
      </c>
      <c r="I125" s="102" t="s">
        <v>28</v>
      </c>
      <c r="J125" s="210" t="str">
        <f t="shared" si="3"/>
        <v>Promoció i acompanyament en l'ordenació de l'ús públic de l'ENP des de l'àmbit municipal</v>
      </c>
      <c r="K125" s="215"/>
      <c r="L125" s="306" t="s">
        <v>567</v>
      </c>
      <c r="M125" s="104" t="s">
        <v>18</v>
      </c>
      <c r="N125" s="120" t="s">
        <v>362</v>
      </c>
      <c r="O125" s="105"/>
      <c r="P125" s="106"/>
      <c r="Q125" s="216" t="s">
        <v>1476</v>
      </c>
      <c r="R125" s="273">
        <v>2</v>
      </c>
      <c r="S125" s="273">
        <v>10</v>
      </c>
      <c r="T125" s="273">
        <v>100</v>
      </c>
      <c r="U125" s="273" t="s">
        <v>1095</v>
      </c>
      <c r="V125" s="294" t="s">
        <v>1425</v>
      </c>
      <c r="W125" s="275" t="s">
        <v>1180</v>
      </c>
      <c r="X125" s="275" t="s">
        <v>1180</v>
      </c>
    </row>
    <row r="126" spans="1:24" ht="124.9" customHeight="1">
      <c r="A126" s="28"/>
      <c r="B126" s="33"/>
      <c r="C126" s="31"/>
      <c r="D126" s="375" t="s">
        <v>363</v>
      </c>
      <c r="E126" s="368" t="s">
        <v>364</v>
      </c>
      <c r="F126" s="100" t="s">
        <v>365</v>
      </c>
      <c r="G126" s="101" t="s">
        <v>366</v>
      </c>
      <c r="H126" s="102" t="s">
        <v>16</v>
      </c>
      <c r="I126" s="102" t="s">
        <v>28</v>
      </c>
      <c r="J126" s="210" t="str">
        <f t="shared" si="3"/>
        <v>Realitzar l'inventari de senyalètica de l'ENP</v>
      </c>
      <c r="K126" s="215"/>
      <c r="L126" s="208" t="s">
        <v>567</v>
      </c>
      <c r="M126" s="104" t="s">
        <v>18</v>
      </c>
      <c r="N126" s="73" t="s">
        <v>1112</v>
      </c>
      <c r="O126" s="105"/>
      <c r="P126" s="106"/>
      <c r="Q126" s="73" t="s">
        <v>1116</v>
      </c>
      <c r="R126" s="273">
        <v>10</v>
      </c>
      <c r="S126" s="273">
        <v>20</v>
      </c>
      <c r="T126" s="273">
        <v>400</v>
      </c>
      <c r="U126" s="273" t="s">
        <v>1477</v>
      </c>
      <c r="V126" s="274" t="s">
        <v>1418</v>
      </c>
      <c r="W126" s="282" t="s">
        <v>1391</v>
      </c>
      <c r="X126" s="282">
        <v>3000</v>
      </c>
    </row>
    <row r="127" spans="1:24" ht="86.5" customHeight="1">
      <c r="A127" s="28"/>
      <c r="B127" s="33"/>
      <c r="C127" s="31"/>
      <c r="D127" s="377"/>
      <c r="E127" s="369"/>
      <c r="F127" s="100" t="s">
        <v>367</v>
      </c>
      <c r="G127" s="101" t="s">
        <v>368</v>
      </c>
      <c r="H127" s="102" t="s">
        <v>16</v>
      </c>
      <c r="I127" s="102" t="s">
        <v>28</v>
      </c>
      <c r="J127" s="210" t="str">
        <f t="shared" si="3"/>
        <v xml:space="preserve">Implantar el programa de senyalització i manteniment </v>
      </c>
      <c r="K127" s="215"/>
      <c r="L127" s="302" t="s">
        <v>567</v>
      </c>
      <c r="M127" s="104" t="s">
        <v>23</v>
      </c>
      <c r="N127" s="73" t="s">
        <v>369</v>
      </c>
      <c r="O127" s="109" t="s">
        <v>38</v>
      </c>
      <c r="P127" s="101" t="s">
        <v>370</v>
      </c>
      <c r="Q127" s="73" t="s">
        <v>1116</v>
      </c>
      <c r="R127" s="273">
        <v>10</v>
      </c>
      <c r="S127" s="273">
        <v>20</v>
      </c>
      <c r="T127" s="273">
        <v>400</v>
      </c>
      <c r="U127" s="273" t="s">
        <v>1477</v>
      </c>
      <c r="V127" s="274" t="s">
        <v>1418</v>
      </c>
      <c r="W127" s="282" t="s">
        <v>1391</v>
      </c>
      <c r="X127" s="282">
        <v>800</v>
      </c>
    </row>
    <row r="128" spans="1:24" ht="32.5" customHeight="1">
      <c r="A128" s="28"/>
      <c r="B128" s="33"/>
      <c r="C128" s="31"/>
      <c r="D128" s="375" t="s">
        <v>371</v>
      </c>
      <c r="E128" s="368" t="s">
        <v>372</v>
      </c>
      <c r="F128" s="100" t="s">
        <v>373</v>
      </c>
      <c r="G128" s="101" t="s">
        <v>374</v>
      </c>
      <c r="H128" s="102" t="s">
        <v>16</v>
      </c>
      <c r="I128" s="102" t="s">
        <v>84</v>
      </c>
      <c r="J128" s="210" t="str">
        <f t="shared" si="3"/>
        <v xml:space="preserve">Potenciar la visita a espais alternatius dins de l'àmbit d'influència de l'espai natural per reduir la pressió en zones sensibles </v>
      </c>
      <c r="K128" s="215"/>
      <c r="L128" s="302" t="s">
        <v>567</v>
      </c>
      <c r="M128" s="104" t="s">
        <v>23</v>
      </c>
      <c r="N128" s="73" t="s">
        <v>1090</v>
      </c>
      <c r="O128" s="105"/>
      <c r="P128" s="106"/>
      <c r="Q128" s="73" t="s">
        <v>1291</v>
      </c>
      <c r="R128" s="272">
        <v>0.3</v>
      </c>
      <c r="S128" s="272">
        <v>0.8</v>
      </c>
      <c r="T128" s="235" t="s">
        <v>1377</v>
      </c>
      <c r="U128" s="271" t="s">
        <v>1092</v>
      </c>
      <c r="V128" s="274" t="s">
        <v>1368</v>
      </c>
      <c r="W128" s="282" t="s">
        <v>1420</v>
      </c>
      <c r="X128" s="282">
        <v>500</v>
      </c>
    </row>
    <row r="129" spans="1:24" ht="51.65" customHeight="1">
      <c r="A129" s="28"/>
      <c r="B129" s="33"/>
      <c r="C129" s="31"/>
      <c r="D129" s="377"/>
      <c r="E129" s="369"/>
      <c r="F129" s="100" t="s">
        <v>375</v>
      </c>
      <c r="G129" s="110" t="s">
        <v>376</v>
      </c>
      <c r="H129" s="102" t="s">
        <v>16</v>
      </c>
      <c r="I129" s="102" t="s">
        <v>84</v>
      </c>
      <c r="J129" s="210" t="str">
        <f t="shared" si="3"/>
        <v xml:space="preserve">Implementar les mesures extraordinàries de regulació de l'ús públic </v>
      </c>
      <c r="K129" s="215"/>
      <c r="L129" s="303" t="s">
        <v>567</v>
      </c>
      <c r="M129" s="104" t="s">
        <v>29</v>
      </c>
      <c r="N129" s="73" t="s">
        <v>1222</v>
      </c>
      <c r="O129" s="105"/>
      <c r="P129" s="106"/>
      <c r="Q129" s="73" t="s">
        <v>1292</v>
      </c>
      <c r="R129" s="272">
        <v>0.25</v>
      </c>
      <c r="S129" s="272">
        <v>0.5</v>
      </c>
      <c r="T129" s="235" t="s">
        <v>1440</v>
      </c>
      <c r="U129" s="271" t="s">
        <v>1092</v>
      </c>
      <c r="V129" s="274" t="s">
        <v>1421</v>
      </c>
      <c r="W129" s="235" t="s">
        <v>1434</v>
      </c>
      <c r="X129" s="235" t="s">
        <v>1370</v>
      </c>
    </row>
    <row r="130" spans="1:24" ht="28.9" customHeight="1">
      <c r="A130" s="28"/>
      <c r="B130" s="33"/>
      <c r="C130" s="31"/>
      <c r="D130" s="375" t="s">
        <v>377</v>
      </c>
      <c r="E130" s="368" t="s">
        <v>378</v>
      </c>
      <c r="F130" s="100" t="s">
        <v>379</v>
      </c>
      <c r="G130" s="101" t="s">
        <v>380</v>
      </c>
      <c r="H130" s="102" t="s">
        <v>16</v>
      </c>
      <c r="I130" s="102" t="s">
        <v>28</v>
      </c>
      <c r="J130" s="210" t="str">
        <f t="shared" si="3"/>
        <v>Adequar els principals accessos, aparcaments i centres d'interès amb un ús elevat</v>
      </c>
      <c r="K130" s="215"/>
      <c r="L130" s="302" t="s">
        <v>567</v>
      </c>
      <c r="M130" s="104" t="s">
        <v>29</v>
      </c>
      <c r="N130" s="73" t="s">
        <v>1240</v>
      </c>
      <c r="O130" s="105"/>
      <c r="P130" s="106"/>
      <c r="Q130" s="216" t="s">
        <v>1504</v>
      </c>
      <c r="R130" s="273">
        <v>40</v>
      </c>
      <c r="S130" s="273">
        <v>80</v>
      </c>
      <c r="T130" s="235" t="s">
        <v>1452</v>
      </c>
      <c r="U130" s="273" t="s">
        <v>1477</v>
      </c>
      <c r="V130" s="295" t="s">
        <v>1455</v>
      </c>
      <c r="W130" s="282" t="s">
        <v>1391</v>
      </c>
      <c r="X130" s="282">
        <v>600</v>
      </c>
    </row>
    <row r="131" spans="1:24" ht="100.9" customHeight="1">
      <c r="A131" s="28"/>
      <c r="B131" s="33"/>
      <c r="C131" s="31"/>
      <c r="D131" s="376"/>
      <c r="E131" s="374"/>
      <c r="F131" s="100" t="s">
        <v>381</v>
      </c>
      <c r="G131" s="110" t="s">
        <v>1276</v>
      </c>
      <c r="H131" s="102" t="s">
        <v>16</v>
      </c>
      <c r="I131" s="102" t="s">
        <v>28</v>
      </c>
      <c r="J131" s="210" t="str">
        <f t="shared" si="3"/>
        <v>Disposar i mantenir els serveis, equipaments i infraestructures necessàries i accessibles per acollir, informar, facilitar la visita i garantir la seguretat dels visitants i la protecció de l'entorn</v>
      </c>
      <c r="K131" s="215"/>
      <c r="L131" s="302" t="s">
        <v>567</v>
      </c>
      <c r="M131" s="104" t="s">
        <v>18</v>
      </c>
      <c r="N131" s="73" t="s">
        <v>656</v>
      </c>
      <c r="O131" s="105"/>
      <c r="P131" s="106"/>
      <c r="Q131" s="216" t="s">
        <v>1505</v>
      </c>
      <c r="R131" s="273">
        <v>60</v>
      </c>
      <c r="S131" s="273">
        <v>120</v>
      </c>
      <c r="T131" s="235" t="s">
        <v>1377</v>
      </c>
      <c r="U131" s="273" t="s">
        <v>1477</v>
      </c>
      <c r="V131" s="295" t="s">
        <v>1455</v>
      </c>
      <c r="W131" s="282" t="s">
        <v>1391</v>
      </c>
      <c r="X131" s="282">
        <v>5000</v>
      </c>
    </row>
    <row r="132" spans="1:24" ht="28.9" customHeight="1">
      <c r="A132" s="28"/>
      <c r="B132" s="33"/>
      <c r="C132" s="31"/>
      <c r="D132" s="376"/>
      <c r="E132" s="374"/>
      <c r="F132" s="100" t="s">
        <v>382</v>
      </c>
      <c r="G132" s="110" t="s">
        <v>383</v>
      </c>
      <c r="H132" s="102" t="s">
        <v>16</v>
      </c>
      <c r="I132" s="102" t="s">
        <v>28</v>
      </c>
      <c r="J132" s="210" t="s">
        <v>1033</v>
      </c>
      <c r="K132" s="215" t="s">
        <v>1034</v>
      </c>
      <c r="L132" s="302" t="s">
        <v>567</v>
      </c>
      <c r="M132" s="208" t="s">
        <v>18</v>
      </c>
      <c r="N132" s="73" t="s">
        <v>1035</v>
      </c>
      <c r="O132" s="105"/>
      <c r="P132" s="101" t="s">
        <v>384</v>
      </c>
      <c r="Q132" s="118" t="s">
        <v>1223</v>
      </c>
      <c r="R132" s="272">
        <v>0.2</v>
      </c>
      <c r="S132" s="272">
        <v>0.7</v>
      </c>
      <c r="T132" s="235" t="s">
        <v>1378</v>
      </c>
      <c r="U132" s="271" t="s">
        <v>1092</v>
      </c>
      <c r="V132" s="274" t="s">
        <v>1368</v>
      </c>
      <c r="W132" s="282" t="s">
        <v>1420</v>
      </c>
      <c r="X132" s="282">
        <v>100</v>
      </c>
    </row>
    <row r="133" spans="1:24" ht="28.9" customHeight="1">
      <c r="A133" s="28"/>
      <c r="B133" s="33"/>
      <c r="C133" s="31"/>
      <c r="D133" s="377"/>
      <c r="E133" s="369"/>
      <c r="F133" s="100" t="s">
        <v>385</v>
      </c>
      <c r="G133" s="110" t="s">
        <v>386</v>
      </c>
      <c r="H133" s="102" t="s">
        <v>16</v>
      </c>
      <c r="I133" s="102" t="s">
        <v>28</v>
      </c>
      <c r="J133" s="210" t="s">
        <v>1037</v>
      </c>
      <c r="K133" s="215" t="s">
        <v>1034</v>
      </c>
      <c r="L133" s="302" t="s">
        <v>567</v>
      </c>
      <c r="M133" s="104" t="s">
        <v>18</v>
      </c>
      <c r="N133" s="73" t="s">
        <v>1036</v>
      </c>
      <c r="O133" s="105" t="s">
        <v>19</v>
      </c>
      <c r="P133" s="101" t="s">
        <v>387</v>
      </c>
      <c r="Q133" s="118" t="s">
        <v>1224</v>
      </c>
      <c r="R133" s="272">
        <v>0.15</v>
      </c>
      <c r="S133" s="272">
        <v>0.5</v>
      </c>
      <c r="T133" s="235" t="s">
        <v>1379</v>
      </c>
      <c r="U133" s="271" t="s">
        <v>1092</v>
      </c>
      <c r="V133" s="274" t="s">
        <v>1368</v>
      </c>
      <c r="W133" s="282" t="s">
        <v>1420</v>
      </c>
      <c r="X133" s="282">
        <v>150</v>
      </c>
    </row>
    <row r="134" spans="1:24" ht="42.65" customHeight="1">
      <c r="A134" s="28"/>
      <c r="B134" s="33"/>
      <c r="C134" s="31"/>
      <c r="D134" s="375" t="s">
        <v>388</v>
      </c>
      <c r="E134" s="368" t="s">
        <v>389</v>
      </c>
      <c r="F134" s="100" t="s">
        <v>390</v>
      </c>
      <c r="G134" s="101" t="s">
        <v>391</v>
      </c>
      <c r="H134" s="102" t="s">
        <v>16</v>
      </c>
      <c r="I134" s="102" t="s">
        <v>84</v>
      </c>
      <c r="J134" s="210" t="str">
        <f t="shared" si="3"/>
        <v>Elaborar i executar el Pla de vigilància de l’espai d'acord amb els cossos d’inspecció i seguretat</v>
      </c>
      <c r="K134" s="215"/>
      <c r="L134" s="303" t="s">
        <v>568</v>
      </c>
      <c r="M134" s="104" t="s">
        <v>23</v>
      </c>
      <c r="N134" s="73" t="s">
        <v>1147</v>
      </c>
      <c r="O134" s="105"/>
      <c r="P134" s="106"/>
      <c r="Q134" s="73" t="s">
        <v>1146</v>
      </c>
      <c r="R134" s="273">
        <v>4</v>
      </c>
      <c r="S134" s="273">
        <v>5</v>
      </c>
      <c r="T134" s="235" t="s">
        <v>1511</v>
      </c>
      <c r="U134" s="273" t="s">
        <v>1477</v>
      </c>
      <c r="V134" s="274" t="s">
        <v>1395</v>
      </c>
      <c r="W134" s="275" t="s">
        <v>1180</v>
      </c>
      <c r="X134" s="275" t="s">
        <v>1180</v>
      </c>
    </row>
    <row r="135" spans="1:24" ht="172.9" customHeight="1">
      <c r="A135" s="28"/>
      <c r="B135" s="33"/>
      <c r="C135" s="31"/>
      <c r="D135" s="376"/>
      <c r="E135" s="374"/>
      <c r="F135" s="100" t="s">
        <v>392</v>
      </c>
      <c r="G135" s="101" t="s">
        <v>393</v>
      </c>
      <c r="H135" s="102" t="s">
        <v>16</v>
      </c>
      <c r="I135" s="102" t="s">
        <v>28</v>
      </c>
      <c r="J135" s="210" t="str">
        <f t="shared" si="3"/>
        <v>Millorar la coordinació amb els cossos de seguretat per efectuar accions de control i vigilància</v>
      </c>
      <c r="K135" s="215"/>
      <c r="L135" s="303" t="s">
        <v>568</v>
      </c>
      <c r="M135" s="104" t="s">
        <v>23</v>
      </c>
      <c r="N135" s="73" t="s">
        <v>1148</v>
      </c>
      <c r="O135" s="105"/>
      <c r="P135" s="106"/>
      <c r="Q135" s="73" t="s">
        <v>1117</v>
      </c>
      <c r="R135" s="273">
        <v>2</v>
      </c>
      <c r="S135" s="273">
        <v>4</v>
      </c>
      <c r="T135" s="235" t="s">
        <v>1456</v>
      </c>
      <c r="U135" s="273" t="s">
        <v>1477</v>
      </c>
      <c r="V135" s="274" t="s">
        <v>1395</v>
      </c>
      <c r="W135" s="275" t="s">
        <v>1180</v>
      </c>
      <c r="X135" s="275" t="s">
        <v>1180</v>
      </c>
    </row>
    <row r="136" spans="1:24" ht="57.65" customHeight="1">
      <c r="A136" s="28"/>
      <c r="B136" s="33"/>
      <c r="C136" s="31"/>
      <c r="D136" s="376"/>
      <c r="E136" s="374"/>
      <c r="F136" s="100" t="s">
        <v>394</v>
      </c>
      <c r="G136" s="101" t="s">
        <v>395</v>
      </c>
      <c r="H136" s="102" t="s">
        <v>16</v>
      </c>
      <c r="I136" s="102" t="s">
        <v>28</v>
      </c>
      <c r="J136" s="210" t="str">
        <f t="shared" si="3"/>
        <v>Vetllar pel compliment d'informes i la vigilància tècnica de l'espai</v>
      </c>
      <c r="K136" s="215"/>
      <c r="L136" s="303" t="s">
        <v>568</v>
      </c>
      <c r="M136" s="104" t="s">
        <v>23</v>
      </c>
      <c r="N136" s="73" t="s">
        <v>1149</v>
      </c>
      <c r="O136" s="105"/>
      <c r="P136" s="106"/>
      <c r="Q136" s="73" t="s">
        <v>1150</v>
      </c>
      <c r="R136" s="273">
        <v>5</v>
      </c>
      <c r="S136" s="273">
        <v>10</v>
      </c>
      <c r="T136" s="235" t="s">
        <v>1456</v>
      </c>
      <c r="U136" s="273" t="s">
        <v>1477</v>
      </c>
      <c r="V136" s="274" t="s">
        <v>1395</v>
      </c>
      <c r="W136" s="275" t="s">
        <v>1180</v>
      </c>
      <c r="X136" s="275" t="s">
        <v>1180</v>
      </c>
    </row>
    <row r="137" spans="1:24" ht="109.15" customHeight="1">
      <c r="A137" s="28"/>
      <c r="B137" s="61">
        <v>12</v>
      </c>
      <c r="C137" s="62" t="s">
        <v>396</v>
      </c>
      <c r="D137" s="375" t="s">
        <v>397</v>
      </c>
      <c r="E137" s="368" t="s">
        <v>398</v>
      </c>
      <c r="F137" s="100" t="s">
        <v>399</v>
      </c>
      <c r="G137" s="101" t="s">
        <v>400</v>
      </c>
      <c r="H137" s="102" t="s">
        <v>16</v>
      </c>
      <c r="I137" s="102" t="s">
        <v>28</v>
      </c>
      <c r="J137" s="210" t="str">
        <f t="shared" si="3"/>
        <v>Ordenar el pla d’emergències</v>
      </c>
      <c r="K137" s="215"/>
      <c r="L137" s="303" t="s">
        <v>567</v>
      </c>
      <c r="M137" s="104" t="s">
        <v>18</v>
      </c>
      <c r="N137" s="73" t="s">
        <v>401</v>
      </c>
      <c r="O137" s="105"/>
      <c r="P137" s="106"/>
      <c r="Q137" s="73" t="s">
        <v>1168</v>
      </c>
      <c r="R137" s="272">
        <v>0.2</v>
      </c>
      <c r="S137" s="272">
        <v>0.6</v>
      </c>
      <c r="T137" s="273">
        <v>100</v>
      </c>
      <c r="U137" s="273" t="s">
        <v>1095</v>
      </c>
      <c r="V137" s="274" t="s">
        <v>1425</v>
      </c>
      <c r="W137" s="275" t="s">
        <v>1180</v>
      </c>
      <c r="X137" s="275" t="s">
        <v>1180</v>
      </c>
    </row>
    <row r="138" spans="1:24" ht="166.9" customHeight="1">
      <c r="A138" s="28"/>
      <c r="B138" s="63"/>
      <c r="C138" s="64"/>
      <c r="D138" s="377"/>
      <c r="E138" s="369"/>
      <c r="F138" s="100" t="s">
        <v>402</v>
      </c>
      <c r="G138" s="101" t="s">
        <v>403</v>
      </c>
      <c r="H138" s="102" t="s">
        <v>16</v>
      </c>
      <c r="I138" s="102" t="s">
        <v>28</v>
      </c>
      <c r="J138" s="210" t="str">
        <f t="shared" ref="J138:J192" si="4">G138</f>
        <v>Contribuir a la protecció dels assentaments humans respecte dels riscos naturals</v>
      </c>
      <c r="K138" s="215"/>
      <c r="L138" s="302" t="s">
        <v>568</v>
      </c>
      <c r="M138" s="104" t="s">
        <v>18</v>
      </c>
      <c r="N138" s="73" t="s">
        <v>404</v>
      </c>
      <c r="O138" s="105"/>
      <c r="P138" s="106"/>
      <c r="Q138" s="73" t="s">
        <v>1097</v>
      </c>
      <c r="R138" s="273" t="s">
        <v>1171</v>
      </c>
      <c r="S138" s="273" t="s">
        <v>1172</v>
      </c>
      <c r="T138" s="273">
        <v>100</v>
      </c>
      <c r="U138" s="273" t="s">
        <v>1095</v>
      </c>
      <c r="V138" s="274" t="s">
        <v>1425</v>
      </c>
      <c r="W138" s="282" t="s">
        <v>1391</v>
      </c>
      <c r="X138" s="282">
        <v>360</v>
      </c>
    </row>
    <row r="139" spans="1:24" ht="49.9" customHeight="1">
      <c r="A139" s="29" t="s">
        <v>405</v>
      </c>
      <c r="B139" s="418">
        <v>13</v>
      </c>
      <c r="C139" s="413" t="s">
        <v>406</v>
      </c>
      <c r="D139" s="326" t="s">
        <v>407</v>
      </c>
      <c r="E139" s="337" t="s">
        <v>408</v>
      </c>
      <c r="F139" s="113" t="s">
        <v>409</v>
      </c>
      <c r="G139" s="101" t="s">
        <v>410</v>
      </c>
      <c r="H139" s="102" t="s">
        <v>16</v>
      </c>
      <c r="I139" s="102" t="s">
        <v>28</v>
      </c>
      <c r="J139" s="210" t="str">
        <f t="shared" si="4"/>
        <v>Definir el model de Xarxa d'Escoles de l'Espai Natural (XEEN) a l'ENP amb els agents educatius del territori</v>
      </c>
      <c r="K139" s="215"/>
      <c r="L139" s="302" t="s">
        <v>567</v>
      </c>
      <c r="M139" s="104" t="s">
        <v>18</v>
      </c>
      <c r="N139" s="73" t="s">
        <v>1045</v>
      </c>
      <c r="O139" s="113" t="s">
        <v>411</v>
      </c>
      <c r="P139" s="106"/>
      <c r="Q139" s="219" t="s">
        <v>1225</v>
      </c>
      <c r="R139" s="272">
        <v>0.21</v>
      </c>
      <c r="S139" s="272">
        <v>0.8</v>
      </c>
      <c r="T139" s="235" t="s">
        <v>1370</v>
      </c>
      <c r="U139" s="271" t="s">
        <v>1092</v>
      </c>
      <c r="V139" s="274" t="s">
        <v>1368</v>
      </c>
      <c r="W139" s="275" t="s">
        <v>1180</v>
      </c>
      <c r="X139" s="275" t="s">
        <v>1180</v>
      </c>
    </row>
    <row r="140" spans="1:24" ht="35.5" customHeight="1">
      <c r="A140" s="29"/>
      <c r="B140" s="418"/>
      <c r="C140" s="413"/>
      <c r="D140" s="326"/>
      <c r="E140" s="337"/>
      <c r="F140" s="113" t="s">
        <v>412</v>
      </c>
      <c r="G140" s="110" t="s">
        <v>413</v>
      </c>
      <c r="H140" s="102" t="s">
        <v>16</v>
      </c>
      <c r="I140" s="102" t="s">
        <v>28</v>
      </c>
      <c r="J140" s="210" t="s">
        <v>1046</v>
      </c>
      <c r="K140" s="215" t="s">
        <v>1047</v>
      </c>
      <c r="L140" s="307" t="s">
        <v>567</v>
      </c>
      <c r="M140" s="104" t="s">
        <v>29</v>
      </c>
      <c r="N140" s="114" t="s">
        <v>1048</v>
      </c>
      <c r="O140" s="113" t="s">
        <v>411</v>
      </c>
      <c r="P140" s="101" t="s">
        <v>414</v>
      </c>
      <c r="Q140" s="219" t="s">
        <v>1241</v>
      </c>
      <c r="R140" s="272">
        <v>0.76</v>
      </c>
      <c r="S140" s="272">
        <v>0.9</v>
      </c>
      <c r="T140" s="235" t="s">
        <v>1385</v>
      </c>
      <c r="U140" s="214" t="s">
        <v>1092</v>
      </c>
      <c r="V140" s="274" t="s">
        <v>1368</v>
      </c>
      <c r="W140" s="275" t="s">
        <v>1180</v>
      </c>
      <c r="X140" s="275" t="s">
        <v>1180</v>
      </c>
    </row>
    <row r="141" spans="1:24" ht="28.15" customHeight="1">
      <c r="A141" s="29"/>
      <c r="B141" s="418"/>
      <c r="C141" s="413"/>
      <c r="D141" s="389"/>
      <c r="E141" s="338"/>
      <c r="F141" s="113" t="s">
        <v>415</v>
      </c>
      <c r="G141" s="101" t="s">
        <v>416</v>
      </c>
      <c r="H141" s="102" t="s">
        <v>16</v>
      </c>
      <c r="I141" s="102" t="s">
        <v>28</v>
      </c>
      <c r="J141" s="210" t="str">
        <f t="shared" si="4"/>
        <v xml:space="preserve">Formar i capacitar al professorat de la XEEN </v>
      </c>
      <c r="K141" s="215"/>
      <c r="L141" s="307" t="s">
        <v>567</v>
      </c>
      <c r="M141" s="104" t="s">
        <v>23</v>
      </c>
      <c r="N141" s="114" t="s">
        <v>1049</v>
      </c>
      <c r="O141" s="113" t="s">
        <v>411</v>
      </c>
      <c r="P141" s="101"/>
      <c r="Q141" s="118" t="s">
        <v>1226</v>
      </c>
      <c r="R141" s="272">
        <v>0.33</v>
      </c>
      <c r="S141" s="272">
        <v>0.7</v>
      </c>
      <c r="T141" s="235" t="s">
        <v>1499</v>
      </c>
      <c r="U141" s="214" t="s">
        <v>1092</v>
      </c>
      <c r="V141" s="274" t="s">
        <v>1368</v>
      </c>
      <c r="W141" s="275" t="s">
        <v>1180</v>
      </c>
      <c r="X141" s="275" t="s">
        <v>1180</v>
      </c>
    </row>
    <row r="142" spans="1:24" ht="34.9" customHeight="1">
      <c r="A142" s="29"/>
      <c r="B142" s="418"/>
      <c r="C142" s="413"/>
      <c r="D142" s="325" t="s">
        <v>417</v>
      </c>
      <c r="E142" s="322" t="s">
        <v>418</v>
      </c>
      <c r="F142" s="100" t="s">
        <v>419</v>
      </c>
      <c r="G142" s="101" t="s">
        <v>420</v>
      </c>
      <c r="H142" s="102" t="s">
        <v>16</v>
      </c>
      <c r="I142" s="102" t="s">
        <v>28</v>
      </c>
      <c r="J142" s="210" t="s">
        <v>1050</v>
      </c>
      <c r="K142" s="215" t="s">
        <v>1051</v>
      </c>
      <c r="L142" s="302" t="s">
        <v>567</v>
      </c>
      <c r="M142" s="104" t="s">
        <v>18</v>
      </c>
      <c r="N142" s="73" t="s">
        <v>1052</v>
      </c>
      <c r="O142" s="113" t="s">
        <v>411</v>
      </c>
      <c r="P142" s="101" t="s">
        <v>421</v>
      </c>
      <c r="Q142" s="118" t="s">
        <v>1242</v>
      </c>
      <c r="R142" s="272">
        <v>0.5</v>
      </c>
      <c r="S142" s="282" t="s">
        <v>1243</v>
      </c>
      <c r="T142" s="235" t="s">
        <v>1500</v>
      </c>
      <c r="U142" s="214" t="s">
        <v>1092</v>
      </c>
      <c r="V142" s="274" t="s">
        <v>1368</v>
      </c>
      <c r="W142" s="275" t="s">
        <v>1180</v>
      </c>
      <c r="X142" s="275" t="s">
        <v>1180</v>
      </c>
    </row>
    <row r="143" spans="1:24" ht="57" customHeight="1">
      <c r="A143" s="29"/>
      <c r="B143" s="418"/>
      <c r="C143" s="413"/>
      <c r="D143" s="326"/>
      <c r="E143" s="323"/>
      <c r="F143" s="100" t="s">
        <v>422</v>
      </c>
      <c r="G143" s="101" t="s">
        <v>423</v>
      </c>
      <c r="H143" s="102" t="s">
        <v>16</v>
      </c>
      <c r="I143" s="102" t="s">
        <v>84</v>
      </c>
      <c r="J143" s="210" t="s">
        <v>1053</v>
      </c>
      <c r="K143" s="215" t="s">
        <v>1054</v>
      </c>
      <c r="L143" s="302" t="s">
        <v>567</v>
      </c>
      <c r="M143" s="104" t="s">
        <v>173</v>
      </c>
      <c r="N143" s="73" t="s">
        <v>657</v>
      </c>
      <c r="O143" s="113" t="s">
        <v>411</v>
      </c>
      <c r="P143" s="106"/>
      <c r="Q143" s="118" t="s">
        <v>1202</v>
      </c>
      <c r="R143" s="272">
        <v>0.25</v>
      </c>
      <c r="S143" s="272">
        <v>0.75</v>
      </c>
      <c r="T143" s="235" t="s">
        <v>1377</v>
      </c>
      <c r="U143" s="214" t="s">
        <v>1092</v>
      </c>
      <c r="V143" s="274" t="s">
        <v>1368</v>
      </c>
      <c r="W143" s="275" t="s">
        <v>1180</v>
      </c>
      <c r="X143" s="275" t="s">
        <v>1180</v>
      </c>
    </row>
    <row r="144" spans="1:24" ht="72" customHeight="1">
      <c r="A144" s="29"/>
      <c r="B144" s="418"/>
      <c r="C144" s="413"/>
      <c r="D144" s="326"/>
      <c r="E144" s="323"/>
      <c r="F144" s="100" t="s">
        <v>424</v>
      </c>
      <c r="G144" s="101" t="s">
        <v>425</v>
      </c>
      <c r="H144" s="102" t="s">
        <v>16</v>
      </c>
      <c r="I144" s="102" t="s">
        <v>84</v>
      </c>
      <c r="J144" s="210" t="str">
        <f t="shared" si="4"/>
        <v>Elaborar recursos educatius sobre l’espai (que tinguin en compte les problemàtiques singulars del seu espai) i posar-los a disposició dels centres educatius</v>
      </c>
      <c r="K144" s="267"/>
      <c r="L144" s="302" t="s">
        <v>567</v>
      </c>
      <c r="M144" s="104" t="s">
        <v>23</v>
      </c>
      <c r="N144" s="73" t="s">
        <v>1055</v>
      </c>
      <c r="O144" s="113" t="s">
        <v>411</v>
      </c>
      <c r="P144" s="106"/>
      <c r="Q144" s="118" t="s">
        <v>1244</v>
      </c>
      <c r="R144" s="272">
        <v>0.5</v>
      </c>
      <c r="S144" s="282" t="s">
        <v>1243</v>
      </c>
      <c r="T144" s="235" t="s">
        <v>1501</v>
      </c>
      <c r="U144" s="214" t="s">
        <v>1092</v>
      </c>
      <c r="V144" s="274" t="s">
        <v>1368</v>
      </c>
      <c r="W144" s="275" t="s">
        <v>1180</v>
      </c>
      <c r="X144" s="275" t="s">
        <v>1180</v>
      </c>
    </row>
    <row r="145" spans="1:24" ht="57.65" customHeight="1">
      <c r="A145" s="29"/>
      <c r="B145" s="418"/>
      <c r="C145" s="413"/>
      <c r="D145" s="326"/>
      <c r="E145" s="323"/>
      <c r="F145" s="100" t="s">
        <v>426</v>
      </c>
      <c r="G145" s="101" t="s">
        <v>427</v>
      </c>
      <c r="H145" s="102" t="s">
        <v>16</v>
      </c>
      <c r="I145" s="102" t="s">
        <v>84</v>
      </c>
      <c r="J145" s="210" t="s">
        <v>1058</v>
      </c>
      <c r="K145" s="215" t="s">
        <v>1057</v>
      </c>
      <c r="L145" s="302" t="s">
        <v>567</v>
      </c>
      <c r="M145" s="104" t="s">
        <v>173</v>
      </c>
      <c r="N145" s="73" t="s">
        <v>1056</v>
      </c>
      <c r="O145" s="113" t="s">
        <v>411</v>
      </c>
      <c r="P145" s="106"/>
      <c r="Q145" s="118" t="s">
        <v>1293</v>
      </c>
      <c r="R145" s="272">
        <v>0.5</v>
      </c>
      <c r="S145" s="282" t="s">
        <v>1243</v>
      </c>
      <c r="T145" s="235" t="s">
        <v>1386</v>
      </c>
      <c r="U145" s="214" t="s">
        <v>1092</v>
      </c>
      <c r="V145" s="274" t="s">
        <v>1368</v>
      </c>
      <c r="W145" s="275" t="s">
        <v>1180</v>
      </c>
      <c r="X145" s="275" t="s">
        <v>1180</v>
      </c>
    </row>
    <row r="146" spans="1:24" ht="39" customHeight="1">
      <c r="A146" s="29"/>
      <c r="B146" s="418"/>
      <c r="C146" s="413"/>
      <c r="D146" s="327"/>
      <c r="E146" s="324"/>
      <c r="F146" s="100" t="s">
        <v>1277</v>
      </c>
      <c r="G146" s="101" t="s">
        <v>1487</v>
      </c>
      <c r="H146" s="102" t="s">
        <v>16</v>
      </c>
      <c r="I146" s="102" t="s">
        <v>28</v>
      </c>
      <c r="J146" s="210" t="str">
        <f t="shared" ref="J146" si="5">G146</f>
        <v>Desplegar el Pla estratègic 2025-2030 d’educació i voluntariat ambiental del Parc Natural del Cadí-Moixeró (PEEVA): Educació ambiental</v>
      </c>
      <c r="K146" s="270" t="s">
        <v>1457</v>
      </c>
      <c r="L146" s="302" t="s">
        <v>567</v>
      </c>
      <c r="M146" s="104" t="s">
        <v>18</v>
      </c>
      <c r="N146" s="216" t="s">
        <v>1488</v>
      </c>
      <c r="O146" s="113"/>
      <c r="P146" s="106"/>
      <c r="Q146" s="118" t="s">
        <v>1489</v>
      </c>
      <c r="R146" s="272">
        <v>0.5</v>
      </c>
      <c r="S146" s="272">
        <v>0.75</v>
      </c>
      <c r="T146" s="235" t="s">
        <v>1378</v>
      </c>
      <c r="U146" s="271" t="s">
        <v>1092</v>
      </c>
      <c r="V146" s="274" t="s">
        <v>1368</v>
      </c>
      <c r="W146" s="275" t="s">
        <v>1180</v>
      </c>
      <c r="X146" s="275" t="s">
        <v>1180</v>
      </c>
    </row>
    <row r="147" spans="1:24" ht="43.15" customHeight="1">
      <c r="A147" s="29"/>
      <c r="B147" s="418"/>
      <c r="C147" s="413"/>
      <c r="D147" s="325" t="s">
        <v>428</v>
      </c>
      <c r="E147" s="409" t="s">
        <v>429</v>
      </c>
      <c r="F147" s="100" t="s">
        <v>430</v>
      </c>
      <c r="G147" s="101" t="s">
        <v>431</v>
      </c>
      <c r="H147" s="102" t="s">
        <v>16</v>
      </c>
      <c r="I147" s="102" t="s">
        <v>28</v>
      </c>
      <c r="J147" s="210" t="s">
        <v>1059</v>
      </c>
      <c r="K147" s="436" t="s">
        <v>1245</v>
      </c>
      <c r="L147" s="302" t="s">
        <v>567</v>
      </c>
      <c r="M147" s="104" t="s">
        <v>173</v>
      </c>
      <c r="N147" s="73" t="s">
        <v>658</v>
      </c>
      <c r="O147" s="113" t="s">
        <v>411</v>
      </c>
      <c r="P147" s="106"/>
      <c r="Q147" s="73" t="s">
        <v>1294</v>
      </c>
      <c r="R147" s="272">
        <v>0.25</v>
      </c>
      <c r="S147" s="272">
        <v>0.5</v>
      </c>
      <c r="T147" s="235" t="s">
        <v>1440</v>
      </c>
      <c r="U147" s="271" t="s">
        <v>1092</v>
      </c>
      <c r="V147" s="274" t="s">
        <v>1421</v>
      </c>
      <c r="W147" s="275" t="s">
        <v>1180</v>
      </c>
      <c r="X147" s="275" t="s">
        <v>1180</v>
      </c>
    </row>
    <row r="148" spans="1:24" ht="46.9" customHeight="1">
      <c r="A148" s="29"/>
      <c r="B148" s="418"/>
      <c r="C148" s="413"/>
      <c r="D148" s="326"/>
      <c r="E148" s="337"/>
      <c r="F148" s="100" t="s">
        <v>432</v>
      </c>
      <c r="G148" s="101" t="s">
        <v>433</v>
      </c>
      <c r="H148" s="102" t="s">
        <v>16</v>
      </c>
      <c r="I148" s="102" t="s">
        <v>28</v>
      </c>
      <c r="J148" s="210" t="str">
        <f t="shared" ref="J148" si="6">G148</f>
        <v>Cercar i establir col·laboracions i projectes conjunts amb agents clau del territori</v>
      </c>
      <c r="K148" s="437"/>
      <c r="L148" s="302" t="s">
        <v>567</v>
      </c>
      <c r="M148" s="104" t="s">
        <v>173</v>
      </c>
      <c r="N148" s="73" t="s">
        <v>1091</v>
      </c>
      <c r="O148" s="113" t="s">
        <v>411</v>
      </c>
      <c r="P148" s="106"/>
      <c r="Q148" s="73" t="s">
        <v>1295</v>
      </c>
      <c r="R148" s="272">
        <v>0.35</v>
      </c>
      <c r="S148" s="272">
        <v>0.7</v>
      </c>
      <c r="T148" s="235" t="s">
        <v>1458</v>
      </c>
      <c r="U148" s="271" t="s">
        <v>1092</v>
      </c>
      <c r="V148" s="274" t="s">
        <v>1421</v>
      </c>
      <c r="W148" s="282" t="s">
        <v>1420</v>
      </c>
      <c r="X148" s="282">
        <v>150</v>
      </c>
    </row>
    <row r="149" spans="1:24" ht="72" customHeight="1">
      <c r="A149" s="29"/>
      <c r="B149" s="418"/>
      <c r="C149" s="413"/>
      <c r="D149" s="389"/>
      <c r="E149" s="338"/>
      <c r="F149" s="100" t="s">
        <v>434</v>
      </c>
      <c r="G149" s="101" t="s">
        <v>435</v>
      </c>
      <c r="H149" s="102" t="s">
        <v>16</v>
      </c>
      <c r="I149" s="102" t="s">
        <v>28</v>
      </c>
      <c r="J149" s="210" t="s">
        <v>435</v>
      </c>
      <c r="K149" s="215"/>
      <c r="L149" s="302" t="s">
        <v>567</v>
      </c>
      <c r="M149" s="104" t="s">
        <v>29</v>
      </c>
      <c r="N149" s="73" t="s">
        <v>436</v>
      </c>
      <c r="O149" s="113" t="s">
        <v>411</v>
      </c>
      <c r="P149" s="101" t="s">
        <v>437</v>
      </c>
      <c r="Q149" s="118" t="s">
        <v>1227</v>
      </c>
      <c r="R149" s="272">
        <v>0.2</v>
      </c>
      <c r="S149" s="272">
        <v>0.8</v>
      </c>
      <c r="T149" s="235" t="s">
        <v>1380</v>
      </c>
      <c r="U149" s="271" t="s">
        <v>1092</v>
      </c>
      <c r="V149" s="274" t="s">
        <v>1368</v>
      </c>
      <c r="W149" s="275" t="s">
        <v>1180</v>
      </c>
      <c r="X149" s="275" t="s">
        <v>1180</v>
      </c>
    </row>
    <row r="150" spans="1:24" ht="86.5" customHeight="1">
      <c r="A150" s="29"/>
      <c r="B150" s="418"/>
      <c r="C150" s="413"/>
      <c r="D150" s="325" t="s">
        <v>438</v>
      </c>
      <c r="E150" s="411" t="s">
        <v>439</v>
      </c>
      <c r="F150" s="100" t="s">
        <v>440</v>
      </c>
      <c r="G150" s="101" t="s">
        <v>441</v>
      </c>
      <c r="H150" s="102" t="s">
        <v>16</v>
      </c>
      <c r="I150" s="102" t="s">
        <v>28</v>
      </c>
      <c r="J150" s="210" t="str">
        <f t="shared" si="4"/>
        <v>Desplegar en el territori les campanyes de sensibilització i bones pràctiques que s'impulsin des de la DG</v>
      </c>
      <c r="K150" s="215"/>
      <c r="L150" s="302" t="s">
        <v>567</v>
      </c>
      <c r="M150" s="104" t="s">
        <v>29</v>
      </c>
      <c r="N150" s="73" t="s">
        <v>1060</v>
      </c>
      <c r="O150" s="113" t="s">
        <v>411</v>
      </c>
      <c r="P150" s="101" t="s">
        <v>442</v>
      </c>
      <c r="Q150" s="118" t="s">
        <v>1228</v>
      </c>
      <c r="R150" s="296" t="s">
        <v>1229</v>
      </c>
      <c r="S150" s="272">
        <v>0.85</v>
      </c>
      <c r="T150" s="235" t="s">
        <v>1459</v>
      </c>
      <c r="U150" s="271" t="s">
        <v>1092</v>
      </c>
      <c r="V150" s="274" t="s">
        <v>1421</v>
      </c>
      <c r="W150" s="282" t="s">
        <v>1420</v>
      </c>
      <c r="X150" s="282">
        <v>250</v>
      </c>
    </row>
    <row r="151" spans="1:24" ht="43.15" customHeight="1">
      <c r="A151" s="29"/>
      <c r="B151" s="418"/>
      <c r="C151" s="413"/>
      <c r="D151" s="326"/>
      <c r="E151" s="337"/>
      <c r="F151" s="100" t="s">
        <v>443</v>
      </c>
      <c r="G151" s="101" t="s">
        <v>444</v>
      </c>
      <c r="H151" s="102" t="s">
        <v>16</v>
      </c>
      <c r="I151" s="102" t="s">
        <v>28</v>
      </c>
      <c r="J151" s="210" t="str">
        <f t="shared" si="4"/>
        <v xml:space="preserve">Adaptar el programa de divulgació i sensibilització de l'ENP perquè incorpori una oferta d’activitats adequada per a famílies </v>
      </c>
      <c r="K151" s="215"/>
      <c r="L151" s="302" t="s">
        <v>567</v>
      </c>
      <c r="M151" s="104" t="s">
        <v>18</v>
      </c>
      <c r="N151" s="73" t="s">
        <v>1061</v>
      </c>
      <c r="O151" s="113" t="s">
        <v>411</v>
      </c>
      <c r="P151" s="115"/>
      <c r="Q151" s="118" t="s">
        <v>1296</v>
      </c>
      <c r="R151" s="296">
        <v>0.25</v>
      </c>
      <c r="S151" s="272">
        <v>0.75</v>
      </c>
      <c r="T151" s="235" t="s">
        <v>1201</v>
      </c>
      <c r="U151" s="271" t="s">
        <v>1092</v>
      </c>
      <c r="V151" s="274" t="s">
        <v>1368</v>
      </c>
      <c r="W151" s="275" t="s">
        <v>1180</v>
      </c>
      <c r="X151" s="275" t="s">
        <v>1180</v>
      </c>
    </row>
    <row r="152" spans="1:24" ht="72" customHeight="1">
      <c r="A152" s="29"/>
      <c r="B152" s="418"/>
      <c r="C152" s="413"/>
      <c r="D152" s="326"/>
      <c r="E152" s="337"/>
      <c r="F152" s="100" t="s">
        <v>445</v>
      </c>
      <c r="G152" s="110" t="s">
        <v>446</v>
      </c>
      <c r="H152" s="102" t="s">
        <v>16</v>
      </c>
      <c r="I152" s="102" t="s">
        <v>84</v>
      </c>
      <c r="J152" s="210" t="str">
        <f t="shared" si="4"/>
        <v xml:space="preserve">Adaptar el programa de divulgació i sensibilització de l'ENP perquè incorpori una oferta d’activitats adequada per a altres perfils </v>
      </c>
      <c r="K152" s="215"/>
      <c r="L152" s="302" t="s">
        <v>567</v>
      </c>
      <c r="M152" s="104" t="s">
        <v>23</v>
      </c>
      <c r="N152" s="73" t="s">
        <v>659</v>
      </c>
      <c r="O152" s="113" t="s">
        <v>411</v>
      </c>
      <c r="P152" s="115"/>
      <c r="Q152" s="118" t="s">
        <v>1230</v>
      </c>
      <c r="R152" s="272">
        <v>0.3</v>
      </c>
      <c r="S152" s="272">
        <v>0.7</v>
      </c>
      <c r="T152" s="235" t="s">
        <v>1440</v>
      </c>
      <c r="U152" s="271" t="s">
        <v>1092</v>
      </c>
      <c r="V152" s="274" t="s">
        <v>1421</v>
      </c>
      <c r="W152" s="282" t="s">
        <v>1420</v>
      </c>
      <c r="X152" s="282">
        <v>200</v>
      </c>
    </row>
    <row r="153" spans="1:24" ht="72" customHeight="1">
      <c r="A153" s="29"/>
      <c r="B153" s="418"/>
      <c r="C153" s="413"/>
      <c r="D153" s="389"/>
      <c r="E153" s="338"/>
      <c r="F153" s="100" t="s">
        <v>447</v>
      </c>
      <c r="G153" s="101" t="s">
        <v>448</v>
      </c>
      <c r="H153" s="102" t="s">
        <v>16</v>
      </c>
      <c r="I153" s="102" t="s">
        <v>28</v>
      </c>
      <c r="J153" s="210" t="str">
        <f t="shared" si="4"/>
        <v xml:space="preserve">Adaptar el programa de divulgació i sensibilització de l'ENP perquè incorpori una oferta d’activitats dirigida al lleure educatiu </v>
      </c>
      <c r="K153" s="267"/>
      <c r="L153" s="302" t="s">
        <v>567</v>
      </c>
      <c r="M153" s="104" t="s">
        <v>18</v>
      </c>
      <c r="N153" s="73" t="s">
        <v>660</v>
      </c>
      <c r="O153" s="113" t="s">
        <v>411</v>
      </c>
      <c r="P153" s="115"/>
      <c r="Q153" s="73" t="s">
        <v>1297</v>
      </c>
      <c r="R153" s="272">
        <v>0.25</v>
      </c>
      <c r="S153" s="272">
        <v>0.75</v>
      </c>
      <c r="T153" s="235" t="s">
        <v>1378</v>
      </c>
      <c r="U153" s="214" t="s">
        <v>1092</v>
      </c>
      <c r="V153" s="274" t="s">
        <v>1368</v>
      </c>
      <c r="W153" s="282" t="s">
        <v>1420</v>
      </c>
      <c r="X153" s="282">
        <v>200</v>
      </c>
    </row>
    <row r="154" spans="1:24" ht="39" customHeight="1">
      <c r="A154" s="29"/>
      <c r="B154" s="418"/>
      <c r="C154" s="413"/>
      <c r="D154" s="325" t="s">
        <v>449</v>
      </c>
      <c r="E154" s="409" t="s">
        <v>450</v>
      </c>
      <c r="F154" s="100" t="s">
        <v>451</v>
      </c>
      <c r="G154" s="110" t="s">
        <v>452</v>
      </c>
      <c r="H154" s="102" t="s">
        <v>16</v>
      </c>
      <c r="I154" s="102" t="s">
        <v>28</v>
      </c>
      <c r="J154" s="210" t="str">
        <f t="shared" si="4"/>
        <v>Identificar col·lectius estratègics implicats en la gestió i l'ús del territori</v>
      </c>
      <c r="K154" s="215"/>
      <c r="L154" s="302" t="s">
        <v>567</v>
      </c>
      <c r="M154" s="104" t="s">
        <v>29</v>
      </c>
      <c r="N154" s="73" t="s">
        <v>1062</v>
      </c>
      <c r="O154" s="113" t="s">
        <v>411</v>
      </c>
      <c r="P154" s="106"/>
      <c r="Q154" s="73" t="s">
        <v>1298</v>
      </c>
      <c r="R154" s="272">
        <v>0.25</v>
      </c>
      <c r="S154" s="272">
        <v>0.75</v>
      </c>
      <c r="T154" s="235" t="s">
        <v>1460</v>
      </c>
      <c r="U154" s="271" t="s">
        <v>1092</v>
      </c>
      <c r="V154" s="274" t="s">
        <v>1421</v>
      </c>
      <c r="W154" s="275" t="s">
        <v>1180</v>
      </c>
      <c r="X154" s="275" t="s">
        <v>1180</v>
      </c>
    </row>
    <row r="155" spans="1:24" ht="72" customHeight="1">
      <c r="A155" s="29"/>
      <c r="B155" s="418"/>
      <c r="C155" s="413"/>
      <c r="D155" s="326"/>
      <c r="E155" s="337"/>
      <c r="F155" s="100" t="s">
        <v>453</v>
      </c>
      <c r="G155" s="101" t="s">
        <v>454</v>
      </c>
      <c r="H155" s="102" t="s">
        <v>16</v>
      </c>
      <c r="I155" s="102" t="s">
        <v>28</v>
      </c>
      <c r="J155" s="210" t="s">
        <v>1063</v>
      </c>
      <c r="K155" s="215" t="s">
        <v>1064</v>
      </c>
      <c r="L155" s="302" t="s">
        <v>567</v>
      </c>
      <c r="M155" s="104" t="s">
        <v>18</v>
      </c>
      <c r="N155" s="73" t="s">
        <v>661</v>
      </c>
      <c r="O155" s="113" t="s">
        <v>411</v>
      </c>
      <c r="P155" s="115"/>
      <c r="Q155" s="118" t="s">
        <v>1231</v>
      </c>
      <c r="R155" s="272">
        <v>0.25</v>
      </c>
      <c r="S155" s="272">
        <v>0.75</v>
      </c>
      <c r="T155" s="235" t="s">
        <v>1380</v>
      </c>
      <c r="U155" s="271" t="s">
        <v>1092</v>
      </c>
      <c r="V155" s="274" t="s">
        <v>1368</v>
      </c>
      <c r="W155" s="282" t="s">
        <v>1420</v>
      </c>
      <c r="X155" s="282">
        <v>250</v>
      </c>
    </row>
    <row r="156" spans="1:24" ht="72" customHeight="1">
      <c r="A156" s="29"/>
      <c r="B156" s="418"/>
      <c r="C156" s="413"/>
      <c r="D156" s="326"/>
      <c r="E156" s="337"/>
      <c r="F156" s="100" t="s">
        <v>455</v>
      </c>
      <c r="G156" s="101" t="s">
        <v>456</v>
      </c>
      <c r="H156" s="102" t="s">
        <v>16</v>
      </c>
      <c r="I156" s="102" t="s">
        <v>84</v>
      </c>
      <c r="J156" s="210" t="str">
        <f t="shared" si="4"/>
        <v xml:space="preserve">Executar els projectes de sensibilització i formació dirigits als agents de lleure educatiu </v>
      </c>
      <c r="K156" s="267"/>
      <c r="L156" s="302" t="s">
        <v>567</v>
      </c>
      <c r="M156" s="104" t="s">
        <v>18</v>
      </c>
      <c r="N156" s="73" t="s">
        <v>1065</v>
      </c>
      <c r="O156" s="113" t="s">
        <v>411</v>
      </c>
      <c r="P156" s="115"/>
      <c r="Q156" s="118" t="s">
        <v>1300</v>
      </c>
      <c r="R156" s="272">
        <v>0.2</v>
      </c>
      <c r="S156" s="272">
        <v>0.6</v>
      </c>
      <c r="T156" s="235" t="s">
        <v>1387</v>
      </c>
      <c r="U156" s="214" t="s">
        <v>1092</v>
      </c>
      <c r="V156" s="274" t="s">
        <v>1368</v>
      </c>
      <c r="W156" s="282" t="s">
        <v>1391</v>
      </c>
      <c r="X156" s="282">
        <v>50</v>
      </c>
    </row>
    <row r="157" spans="1:24" ht="103.15" customHeight="1">
      <c r="A157" s="29"/>
      <c r="B157" s="418"/>
      <c r="C157" s="413"/>
      <c r="D157" s="326"/>
      <c r="E157" s="337"/>
      <c r="F157" s="100" t="s">
        <v>457</v>
      </c>
      <c r="G157" s="101" t="s">
        <v>458</v>
      </c>
      <c r="H157" s="102" t="s">
        <v>16</v>
      </c>
      <c r="I157" s="102" t="s">
        <v>84</v>
      </c>
      <c r="J157" s="210" t="str">
        <f t="shared" si="4"/>
        <v xml:space="preserve">Executar els projectes de sensibilització i formació dirigits als agents del sector primari </v>
      </c>
      <c r="K157" s="215" t="s">
        <v>1066</v>
      </c>
      <c r="L157" s="208"/>
      <c r="M157" s="218" t="s">
        <v>578</v>
      </c>
      <c r="N157" s="73" t="s">
        <v>1299</v>
      </c>
      <c r="O157" s="113" t="s">
        <v>411</v>
      </c>
      <c r="P157" s="115"/>
      <c r="Q157" s="247" t="s">
        <v>1180</v>
      </c>
      <c r="R157" s="286" t="s">
        <v>1180</v>
      </c>
      <c r="S157" s="286" t="s">
        <v>1180</v>
      </c>
      <c r="T157" s="286" t="s">
        <v>1180</v>
      </c>
      <c r="U157" s="271" t="s">
        <v>1092</v>
      </c>
      <c r="V157" s="274" t="s">
        <v>1368</v>
      </c>
      <c r="W157" s="275" t="s">
        <v>1180</v>
      </c>
      <c r="X157" s="275" t="s">
        <v>1180</v>
      </c>
    </row>
    <row r="158" spans="1:24" ht="57.65" customHeight="1">
      <c r="A158" s="29"/>
      <c r="B158" s="418"/>
      <c r="C158" s="413"/>
      <c r="D158" s="389"/>
      <c r="E158" s="338"/>
      <c r="F158" s="100" t="s">
        <v>459</v>
      </c>
      <c r="G158" s="110" t="s">
        <v>460</v>
      </c>
      <c r="H158" s="102" t="s">
        <v>16</v>
      </c>
      <c r="I158" s="102" t="s">
        <v>28</v>
      </c>
      <c r="J158" s="210" t="str">
        <f t="shared" si="4"/>
        <v>Elaborar i renovar periòdicament un programa d’educació ambiental adreçat a la població local que contribueixi a fomentar el sentiment de pertinença i la implicació en la conservació de l'ENP.</v>
      </c>
      <c r="K158" s="267"/>
      <c r="L158" s="302" t="s">
        <v>567</v>
      </c>
      <c r="M158" s="104" t="s">
        <v>29</v>
      </c>
      <c r="N158" s="73" t="s">
        <v>1067</v>
      </c>
      <c r="O158" s="113" t="s">
        <v>411</v>
      </c>
      <c r="P158" s="106"/>
      <c r="Q158" s="73" t="s">
        <v>1301</v>
      </c>
      <c r="R158" s="272">
        <v>0.25</v>
      </c>
      <c r="S158" s="272">
        <v>0.9</v>
      </c>
      <c r="T158" s="235" t="s">
        <v>1461</v>
      </c>
      <c r="U158" s="271" t="s">
        <v>1092</v>
      </c>
      <c r="V158" s="274" t="s">
        <v>1421</v>
      </c>
      <c r="W158" s="282" t="s">
        <v>1420</v>
      </c>
      <c r="X158" s="282">
        <v>100</v>
      </c>
    </row>
    <row r="159" spans="1:24" ht="57.65" customHeight="1">
      <c r="A159" s="29"/>
      <c r="B159" s="418"/>
      <c r="C159" s="413"/>
      <c r="D159" s="365" t="s">
        <v>461</v>
      </c>
      <c r="E159" s="362" t="s">
        <v>462</v>
      </c>
      <c r="F159" s="100" t="s">
        <v>463</v>
      </c>
      <c r="G159" s="101" t="s">
        <v>464</v>
      </c>
      <c r="H159" s="102" t="s">
        <v>16</v>
      </c>
      <c r="I159" s="102" t="s">
        <v>28</v>
      </c>
      <c r="J159" s="210" t="str">
        <f t="shared" si="4"/>
        <v>Identificar els programes, projectes i accions en marxa o previstos a l’ENP que poden rebre el suport del voluntariat</v>
      </c>
      <c r="K159" s="215"/>
      <c r="L159" s="302" t="s">
        <v>567</v>
      </c>
      <c r="M159" s="104" t="s">
        <v>29</v>
      </c>
      <c r="N159" s="73" t="s">
        <v>1068</v>
      </c>
      <c r="O159" s="113" t="s">
        <v>411</v>
      </c>
      <c r="P159" s="106"/>
      <c r="Q159" s="73" t="s">
        <v>1302</v>
      </c>
      <c r="R159" s="272">
        <v>0.1</v>
      </c>
      <c r="S159" s="272">
        <v>0.6</v>
      </c>
      <c r="T159" s="235" t="s">
        <v>1378</v>
      </c>
      <c r="U159" s="214" t="s">
        <v>1092</v>
      </c>
      <c r="V159" s="274" t="s">
        <v>1368</v>
      </c>
      <c r="W159" s="275" t="s">
        <v>1180</v>
      </c>
      <c r="X159" s="275" t="s">
        <v>1180</v>
      </c>
    </row>
    <row r="160" spans="1:24" ht="61.15" customHeight="1">
      <c r="A160" s="29"/>
      <c r="B160" s="418"/>
      <c r="C160" s="413"/>
      <c r="D160" s="366"/>
      <c r="E160" s="363"/>
      <c r="F160" s="100" t="s">
        <v>465</v>
      </c>
      <c r="G160" s="101" t="s">
        <v>466</v>
      </c>
      <c r="H160" s="102" t="s">
        <v>16</v>
      </c>
      <c r="I160" s="102" t="s">
        <v>28</v>
      </c>
      <c r="J160" s="210" t="str">
        <f t="shared" si="4"/>
        <v>Establir un model de coordinació territorial amb agents clau del voluntariat ambiental</v>
      </c>
      <c r="K160" s="215" t="s">
        <v>1070</v>
      </c>
      <c r="L160" s="302" t="s">
        <v>567</v>
      </c>
      <c r="M160" s="104" t="s">
        <v>18</v>
      </c>
      <c r="N160" s="73" t="s">
        <v>1069</v>
      </c>
      <c r="O160" s="109" t="s">
        <v>467</v>
      </c>
      <c r="P160" s="106" t="s">
        <v>468</v>
      </c>
      <c r="Q160" s="73" t="s">
        <v>1246</v>
      </c>
      <c r="R160" s="272">
        <v>0.5</v>
      </c>
      <c r="S160" s="272">
        <v>0.7</v>
      </c>
      <c r="T160" s="235" t="s">
        <v>1378</v>
      </c>
      <c r="U160" s="214" t="s">
        <v>1092</v>
      </c>
      <c r="V160" s="274" t="s">
        <v>1368</v>
      </c>
      <c r="W160" s="275" t="s">
        <v>1180</v>
      </c>
      <c r="X160" s="275" t="s">
        <v>1180</v>
      </c>
    </row>
    <row r="161" spans="1:24" ht="57" customHeight="1">
      <c r="A161" s="29"/>
      <c r="B161" s="418"/>
      <c r="C161" s="413"/>
      <c r="D161" s="367"/>
      <c r="E161" s="364"/>
      <c r="F161" s="100" t="s">
        <v>1278</v>
      </c>
      <c r="G161" s="101" t="s">
        <v>1490</v>
      </c>
      <c r="H161" s="102" t="s">
        <v>16</v>
      </c>
      <c r="I161" s="102" t="s">
        <v>28</v>
      </c>
      <c r="J161" s="210" t="str">
        <f t="shared" si="4"/>
        <v>Desplegar el Pla estratègic 2025-2030 d’educació i voluntariat ambiental del Parc Natural del Cadí-Moixeró (PEEVA): Voluntariat</v>
      </c>
      <c r="K161" s="270" t="s">
        <v>1457</v>
      </c>
      <c r="L161" s="302" t="s">
        <v>567</v>
      </c>
      <c r="M161" s="104"/>
      <c r="N161" s="216" t="s">
        <v>1488</v>
      </c>
      <c r="O161" s="109"/>
      <c r="P161" s="106"/>
      <c r="Q161" s="73" t="s">
        <v>1489</v>
      </c>
      <c r="R161" s="272">
        <v>0.5</v>
      </c>
      <c r="S161" s="272">
        <v>0.75</v>
      </c>
      <c r="T161" s="235" t="s">
        <v>1378</v>
      </c>
      <c r="U161" s="214" t="s">
        <v>1092</v>
      </c>
      <c r="V161" s="274" t="s">
        <v>1368</v>
      </c>
      <c r="W161" s="275" t="s">
        <v>1180</v>
      </c>
      <c r="X161" s="275" t="s">
        <v>1180</v>
      </c>
    </row>
    <row r="162" spans="1:24" ht="86.5" customHeight="1">
      <c r="A162" s="29"/>
      <c r="B162" s="418"/>
      <c r="C162" s="413"/>
      <c r="D162" s="340" t="s">
        <v>469</v>
      </c>
      <c r="E162" s="336" t="s">
        <v>470</v>
      </c>
      <c r="F162" s="116" t="s">
        <v>471</v>
      </c>
      <c r="G162" s="101" t="s">
        <v>472</v>
      </c>
      <c r="H162" s="102" t="s">
        <v>16</v>
      </c>
      <c r="I162" s="102" t="s">
        <v>28</v>
      </c>
      <c r="J162" s="210" t="s">
        <v>1072</v>
      </c>
      <c r="K162" s="215" t="s">
        <v>1232</v>
      </c>
      <c r="L162" s="302" t="s">
        <v>567</v>
      </c>
      <c r="M162" s="104" t="s">
        <v>29</v>
      </c>
      <c r="N162" s="73" t="s">
        <v>1071</v>
      </c>
      <c r="O162" s="113" t="s">
        <v>411</v>
      </c>
      <c r="P162" s="115"/>
      <c r="Q162" s="73" t="s">
        <v>1233</v>
      </c>
      <c r="R162" s="272">
        <v>0.1</v>
      </c>
      <c r="S162" s="272">
        <v>0.4</v>
      </c>
      <c r="T162" s="235" t="s">
        <v>1502</v>
      </c>
      <c r="U162" s="271" t="s">
        <v>1092</v>
      </c>
      <c r="V162" s="274" t="s">
        <v>1368</v>
      </c>
      <c r="W162" s="282" t="s">
        <v>1420</v>
      </c>
      <c r="X162" s="282">
        <v>250</v>
      </c>
    </row>
    <row r="163" spans="1:24" ht="39.65" customHeight="1">
      <c r="A163" s="29"/>
      <c r="B163" s="418"/>
      <c r="C163" s="413"/>
      <c r="D163" s="341"/>
      <c r="E163" s="337"/>
      <c r="F163" s="116" t="s">
        <v>473</v>
      </c>
      <c r="G163" s="101" t="s">
        <v>474</v>
      </c>
      <c r="H163" s="102" t="s">
        <v>16</v>
      </c>
      <c r="I163" s="102" t="s">
        <v>28</v>
      </c>
      <c r="J163" s="210" t="s">
        <v>1073</v>
      </c>
      <c r="K163" s="215" t="s">
        <v>1074</v>
      </c>
      <c r="L163" s="302" t="s">
        <v>567</v>
      </c>
      <c r="M163" s="104" t="s">
        <v>29</v>
      </c>
      <c r="N163" s="73" t="s">
        <v>1075</v>
      </c>
      <c r="O163" s="113" t="s">
        <v>411</v>
      </c>
      <c r="P163" s="106"/>
      <c r="Q163" s="73" t="s">
        <v>1303</v>
      </c>
      <c r="R163" s="272">
        <v>0.5</v>
      </c>
      <c r="S163" s="272">
        <v>0.75</v>
      </c>
      <c r="T163" s="235" t="s">
        <v>1381</v>
      </c>
      <c r="U163" s="271" t="s">
        <v>1092</v>
      </c>
      <c r="V163" s="274" t="s">
        <v>1368</v>
      </c>
      <c r="W163" s="282" t="s">
        <v>1420</v>
      </c>
      <c r="X163" s="282">
        <v>250</v>
      </c>
    </row>
    <row r="164" spans="1:24" ht="27.65" customHeight="1">
      <c r="A164" s="29"/>
      <c r="B164" s="418"/>
      <c r="C164" s="413"/>
      <c r="D164" s="342"/>
      <c r="E164" s="338"/>
      <c r="F164" s="116" t="s">
        <v>475</v>
      </c>
      <c r="G164" s="101" t="s">
        <v>476</v>
      </c>
      <c r="H164" s="102" t="s">
        <v>16</v>
      </c>
      <c r="I164" s="102" t="s">
        <v>28</v>
      </c>
      <c r="J164" s="210" t="str">
        <f t="shared" si="4"/>
        <v>Incorporar la perspectiva de gènere als continguts i activitats de l'ENP</v>
      </c>
      <c r="K164" s="215"/>
      <c r="L164" s="302" t="s">
        <v>567</v>
      </c>
      <c r="M164" s="104" t="s">
        <v>18</v>
      </c>
      <c r="N164" s="73" t="s">
        <v>1076</v>
      </c>
      <c r="O164" s="113" t="s">
        <v>411</v>
      </c>
      <c r="P164" s="106"/>
      <c r="Q164" s="73" t="s">
        <v>1304</v>
      </c>
      <c r="R164" s="272">
        <v>0.25</v>
      </c>
      <c r="S164" s="272">
        <v>0.5</v>
      </c>
      <c r="T164" s="235" t="s">
        <v>1372</v>
      </c>
      <c r="U164" s="271" t="s">
        <v>1092</v>
      </c>
      <c r="V164" s="274" t="s">
        <v>1368</v>
      </c>
      <c r="W164" s="282" t="s">
        <v>1420</v>
      </c>
      <c r="X164" s="282">
        <v>50</v>
      </c>
    </row>
    <row r="165" spans="1:24" ht="43.15" customHeight="1">
      <c r="A165" s="29"/>
      <c r="B165" s="418"/>
      <c r="C165" s="413"/>
      <c r="D165" s="340" t="s">
        <v>477</v>
      </c>
      <c r="E165" s="339" t="s">
        <v>478</v>
      </c>
      <c r="F165" s="116" t="s">
        <v>479</v>
      </c>
      <c r="G165" s="101" t="s">
        <v>480</v>
      </c>
      <c r="H165" s="102" t="s">
        <v>16</v>
      </c>
      <c r="I165" s="102" t="s">
        <v>84</v>
      </c>
      <c r="J165" s="210" t="str">
        <f t="shared" si="4"/>
        <v>Dissenyar, implementar i fomentar itineraris saludables dins dels itineraris oficials dels ENP i en la zona d'influència</v>
      </c>
      <c r="K165" s="215"/>
      <c r="L165" s="302" t="s">
        <v>567</v>
      </c>
      <c r="M165" s="104" t="s">
        <v>23</v>
      </c>
      <c r="N165" s="73" t="s">
        <v>662</v>
      </c>
      <c r="O165" s="113" t="s">
        <v>411</v>
      </c>
      <c r="P165" s="106"/>
      <c r="Q165" s="73" t="s">
        <v>1234</v>
      </c>
      <c r="R165" s="272">
        <v>0.05</v>
      </c>
      <c r="S165" s="272">
        <v>0.15</v>
      </c>
      <c r="T165" s="235" t="s">
        <v>1463</v>
      </c>
      <c r="U165" s="271" t="s">
        <v>1092</v>
      </c>
      <c r="V165" s="274" t="s">
        <v>1421</v>
      </c>
      <c r="W165" s="235" t="s">
        <v>1434</v>
      </c>
      <c r="X165" s="235" t="s">
        <v>1462</v>
      </c>
    </row>
    <row r="166" spans="1:24" ht="33" customHeight="1">
      <c r="A166" s="29"/>
      <c r="B166" s="418"/>
      <c r="C166" s="413"/>
      <c r="D166" s="341"/>
      <c r="E166" s="337"/>
      <c r="F166" s="116" t="s">
        <v>481</v>
      </c>
      <c r="G166" s="110" t="s">
        <v>482</v>
      </c>
      <c r="H166" s="102" t="s">
        <v>16</v>
      </c>
      <c r="I166" s="102" t="s">
        <v>84</v>
      </c>
      <c r="J166" s="210" t="str">
        <f t="shared" si="4"/>
        <v>Identificar els agents clau i els àmbits de col·laboració per implementar el binomi salut i natura</v>
      </c>
      <c r="K166" s="267"/>
      <c r="L166" s="307" t="s">
        <v>567</v>
      </c>
      <c r="M166" s="104" t="s">
        <v>18</v>
      </c>
      <c r="N166" s="114" t="s">
        <v>663</v>
      </c>
      <c r="O166" s="113" t="s">
        <v>411</v>
      </c>
      <c r="P166" s="106"/>
      <c r="Q166" s="73" t="s">
        <v>1305</v>
      </c>
      <c r="R166" s="272">
        <v>0.15</v>
      </c>
      <c r="S166" s="272">
        <v>1</v>
      </c>
      <c r="T166" s="235" t="s">
        <v>1382</v>
      </c>
      <c r="U166" s="271" t="s">
        <v>1092</v>
      </c>
      <c r="V166" s="274" t="s">
        <v>1368</v>
      </c>
      <c r="W166" s="282" t="s">
        <v>1420</v>
      </c>
      <c r="X166" s="282">
        <v>100</v>
      </c>
    </row>
    <row r="167" spans="1:24" ht="39.65" customHeight="1">
      <c r="A167" s="29"/>
      <c r="B167" s="418"/>
      <c r="C167" s="413"/>
      <c r="D167" s="341"/>
      <c r="E167" s="337"/>
      <c r="F167" s="116" t="s">
        <v>483</v>
      </c>
      <c r="G167" s="101" t="s">
        <v>484</v>
      </c>
      <c r="H167" s="102" t="s">
        <v>16</v>
      </c>
      <c r="I167" s="102" t="s">
        <v>84</v>
      </c>
      <c r="J167" s="210" t="str">
        <f t="shared" si="4"/>
        <v xml:space="preserve">Incloure el concepte de salut i natura en els missatges educatius i comunicatius de l'ENP </v>
      </c>
      <c r="K167" s="267"/>
      <c r="L167" s="302" t="s">
        <v>567</v>
      </c>
      <c r="M167" s="252" t="s">
        <v>578</v>
      </c>
      <c r="N167" s="73" t="s">
        <v>664</v>
      </c>
      <c r="O167" s="113" t="s">
        <v>411</v>
      </c>
      <c r="P167" s="106"/>
      <c r="Q167" s="112" t="s">
        <v>1180</v>
      </c>
      <c r="R167" s="275" t="s">
        <v>1180</v>
      </c>
      <c r="S167" s="275" t="s">
        <v>1180</v>
      </c>
      <c r="T167" s="235" t="s">
        <v>1383</v>
      </c>
      <c r="U167" s="271" t="s">
        <v>1092</v>
      </c>
      <c r="V167" s="274" t="s">
        <v>1368</v>
      </c>
      <c r="W167" s="282" t="s">
        <v>1420</v>
      </c>
      <c r="X167" s="282">
        <v>150</v>
      </c>
    </row>
    <row r="168" spans="1:24" ht="30" customHeight="1">
      <c r="A168" s="29"/>
      <c r="B168" s="419"/>
      <c r="C168" s="414"/>
      <c r="D168" s="342"/>
      <c r="E168" s="338"/>
      <c r="F168" s="116" t="s">
        <v>485</v>
      </c>
      <c r="G168" s="110" t="s">
        <v>1279</v>
      </c>
      <c r="H168" s="102" t="s">
        <v>16</v>
      </c>
      <c r="I168" s="102" t="s">
        <v>84</v>
      </c>
      <c r="J168" s="210" t="str">
        <f t="shared" si="4"/>
        <v>Desplegar i/o participar a les Taules territorials de Salut i Natura</v>
      </c>
      <c r="K168" s="215" t="s">
        <v>1464</v>
      </c>
      <c r="L168" s="303" t="s">
        <v>568</v>
      </c>
      <c r="M168" s="104" t="s">
        <v>173</v>
      </c>
      <c r="N168" s="224"/>
      <c r="O168" s="113" t="s">
        <v>411</v>
      </c>
      <c r="P168" s="106"/>
      <c r="Q168" s="112" t="s">
        <v>1180</v>
      </c>
      <c r="R168" s="275" t="s">
        <v>1180</v>
      </c>
      <c r="S168" s="275" t="s">
        <v>1180</v>
      </c>
      <c r="T168" s="275" t="s">
        <v>1180</v>
      </c>
      <c r="U168" s="271" t="s">
        <v>1092</v>
      </c>
      <c r="V168" s="274" t="s">
        <v>1368</v>
      </c>
      <c r="W168" s="282" t="s">
        <v>1420</v>
      </c>
      <c r="X168" s="282">
        <v>60</v>
      </c>
    </row>
    <row r="169" spans="1:24" ht="34.9" customHeight="1">
      <c r="A169" s="30"/>
      <c r="B169" s="417">
        <v>14</v>
      </c>
      <c r="C169" s="410" t="s">
        <v>486</v>
      </c>
      <c r="D169" s="420" t="s">
        <v>487</v>
      </c>
      <c r="E169" s="409" t="s">
        <v>488</v>
      </c>
      <c r="F169" s="100" t="s">
        <v>489</v>
      </c>
      <c r="G169" s="101" t="s">
        <v>490</v>
      </c>
      <c r="H169" s="102" t="s">
        <v>16</v>
      </c>
      <c r="I169" s="102" t="s">
        <v>28</v>
      </c>
      <c r="J169" s="210" t="str">
        <f t="shared" si="4"/>
        <v>Informar periòdicament sobre les tasques, projectes i actuacions que duu a terme l'ENP a la població</v>
      </c>
      <c r="K169" s="215" t="s">
        <v>1077</v>
      </c>
      <c r="L169" s="302" t="s">
        <v>567</v>
      </c>
      <c r="M169" s="104" t="s">
        <v>23</v>
      </c>
      <c r="N169" s="111" t="s">
        <v>1235</v>
      </c>
      <c r="O169" s="105" t="s">
        <v>491</v>
      </c>
      <c r="P169" s="106" t="s">
        <v>492</v>
      </c>
      <c r="Q169" s="118" t="s">
        <v>1236</v>
      </c>
      <c r="R169" s="272">
        <v>0.75</v>
      </c>
      <c r="S169" s="272">
        <v>0.85</v>
      </c>
      <c r="T169" s="235" t="s">
        <v>1503</v>
      </c>
      <c r="U169" s="214" t="s">
        <v>1092</v>
      </c>
      <c r="V169" s="274" t="s">
        <v>1465</v>
      </c>
      <c r="W169" s="282" t="s">
        <v>1420</v>
      </c>
      <c r="X169" s="282">
        <v>3000</v>
      </c>
    </row>
    <row r="170" spans="1:24" ht="43.15" customHeight="1">
      <c r="A170" s="30"/>
      <c r="B170" s="417"/>
      <c r="C170" s="410"/>
      <c r="D170" s="420"/>
      <c r="E170" s="338"/>
      <c r="F170" s="100" t="s">
        <v>493</v>
      </c>
      <c r="G170" s="101" t="s">
        <v>494</v>
      </c>
      <c r="H170" s="102" t="s">
        <v>16</v>
      </c>
      <c r="I170" s="102" t="s">
        <v>28</v>
      </c>
      <c r="J170" s="210" t="str">
        <f t="shared" si="4"/>
        <v>Garantir l'accessibilitat i gestió del coneixement disponible sobre l'ENP</v>
      </c>
      <c r="K170" s="215"/>
      <c r="L170" s="302" t="s">
        <v>567</v>
      </c>
      <c r="M170" s="104" t="s">
        <v>23</v>
      </c>
      <c r="N170" s="111" t="s">
        <v>495</v>
      </c>
      <c r="O170" s="105"/>
      <c r="P170" s="106"/>
      <c r="Q170" s="118" t="s">
        <v>1237</v>
      </c>
      <c r="R170" s="272">
        <v>0.05</v>
      </c>
      <c r="S170" s="272">
        <v>0.2</v>
      </c>
      <c r="T170" s="235" t="s">
        <v>1370</v>
      </c>
      <c r="U170" s="271" t="s">
        <v>1092</v>
      </c>
      <c r="V170" s="274" t="s">
        <v>1368</v>
      </c>
      <c r="W170" s="282" t="s">
        <v>1420</v>
      </c>
      <c r="X170" s="282">
        <v>500</v>
      </c>
    </row>
    <row r="171" spans="1:24" ht="115.15" customHeight="1">
      <c r="A171" s="30"/>
      <c r="B171" s="417"/>
      <c r="C171" s="410"/>
      <c r="D171" s="15" t="s">
        <v>496</v>
      </c>
      <c r="E171" s="88" t="s">
        <v>497</v>
      </c>
      <c r="F171" s="100" t="s">
        <v>498</v>
      </c>
      <c r="G171" s="101" t="s">
        <v>499</v>
      </c>
      <c r="H171" s="102" t="s">
        <v>16</v>
      </c>
      <c r="I171" s="102" t="s">
        <v>28</v>
      </c>
      <c r="J171" s="210" t="str">
        <f t="shared" si="4"/>
        <v>Sensibilitzar als diferents agents sobre els valors de l'ENP</v>
      </c>
      <c r="K171" s="215"/>
      <c r="L171" s="303" t="s">
        <v>567</v>
      </c>
      <c r="M171" s="104" t="s">
        <v>23</v>
      </c>
      <c r="N171" s="111" t="s">
        <v>665</v>
      </c>
      <c r="O171" s="105"/>
      <c r="P171" s="106" t="s">
        <v>500</v>
      </c>
      <c r="Q171" s="118" t="s">
        <v>1238</v>
      </c>
      <c r="R171" s="272">
        <v>0.15</v>
      </c>
      <c r="S171" s="272">
        <v>0.75</v>
      </c>
      <c r="T171" s="235" t="s">
        <v>1459</v>
      </c>
      <c r="U171" s="271" t="s">
        <v>1092</v>
      </c>
      <c r="V171" s="274" t="s">
        <v>1421</v>
      </c>
      <c r="W171" s="282" t="s">
        <v>1420</v>
      </c>
      <c r="X171" s="282">
        <v>300</v>
      </c>
    </row>
    <row r="172" spans="1:24" ht="133.9" customHeight="1">
      <c r="A172" s="30"/>
      <c r="B172" s="417"/>
      <c r="C172" s="410"/>
      <c r="D172" s="420" t="s">
        <v>501</v>
      </c>
      <c r="E172" s="412" t="s">
        <v>502</v>
      </c>
      <c r="F172" s="100" t="s">
        <v>503</v>
      </c>
      <c r="G172" s="101" t="s">
        <v>504</v>
      </c>
      <c r="H172" s="102" t="s">
        <v>16</v>
      </c>
      <c r="I172" s="102" t="s">
        <v>28</v>
      </c>
      <c r="J172" s="210" t="str">
        <f t="shared" si="4"/>
        <v>Optimitzar els canals de comunicació</v>
      </c>
      <c r="K172" s="215"/>
      <c r="L172" s="302" t="s">
        <v>567</v>
      </c>
      <c r="M172" s="104" t="s">
        <v>23</v>
      </c>
      <c r="N172" s="111" t="s">
        <v>666</v>
      </c>
      <c r="O172" s="105" t="s">
        <v>491</v>
      </c>
      <c r="P172" s="106"/>
      <c r="Q172" s="216" t="s">
        <v>1492</v>
      </c>
      <c r="R172" s="297">
        <v>4</v>
      </c>
      <c r="S172" s="297">
        <v>12</v>
      </c>
      <c r="T172" s="273">
        <v>200</v>
      </c>
      <c r="U172" s="271" t="s">
        <v>1095</v>
      </c>
      <c r="V172" s="274" t="s">
        <v>1425</v>
      </c>
      <c r="W172" s="282" t="s">
        <v>1420</v>
      </c>
      <c r="X172" s="282">
        <v>400</v>
      </c>
    </row>
    <row r="173" spans="1:24" ht="158.5" customHeight="1">
      <c r="A173" s="30"/>
      <c r="B173" s="417"/>
      <c r="C173" s="410"/>
      <c r="D173" s="420"/>
      <c r="E173" s="412"/>
      <c r="F173" s="100" t="s">
        <v>505</v>
      </c>
      <c r="G173" s="101" t="s">
        <v>506</v>
      </c>
      <c r="H173" s="102" t="s">
        <v>16</v>
      </c>
      <c r="I173" s="102" t="s">
        <v>28</v>
      </c>
      <c r="J173" s="210" t="str">
        <f t="shared" si="4"/>
        <v>Garantir l'harmonització de la comunicació com a Parc, Xarxa i Generalitat.</v>
      </c>
      <c r="K173" s="215"/>
      <c r="L173" s="303" t="s">
        <v>567</v>
      </c>
      <c r="M173" s="104" t="s">
        <v>23</v>
      </c>
      <c r="N173" s="111" t="s">
        <v>667</v>
      </c>
      <c r="O173" s="105" t="s">
        <v>491</v>
      </c>
      <c r="P173" s="106"/>
      <c r="Q173" s="73" t="s">
        <v>1306</v>
      </c>
      <c r="R173" s="272">
        <v>0.3</v>
      </c>
      <c r="S173" s="272">
        <v>0.5</v>
      </c>
      <c r="T173" s="235" t="s">
        <v>1440</v>
      </c>
      <c r="U173" s="271" t="s">
        <v>1092</v>
      </c>
      <c r="V173" s="274" t="s">
        <v>1421</v>
      </c>
      <c r="W173" s="282" t="s">
        <v>1420</v>
      </c>
      <c r="X173" s="282">
        <v>700</v>
      </c>
    </row>
    <row r="174" spans="1:24" ht="286.89999999999998" customHeight="1">
      <c r="A174" s="23" t="s">
        <v>507</v>
      </c>
      <c r="B174" s="415">
        <v>15</v>
      </c>
      <c r="C174" s="431" t="s">
        <v>508</v>
      </c>
      <c r="D174" s="370" t="s">
        <v>509</v>
      </c>
      <c r="E174" s="372" t="s">
        <v>510</v>
      </c>
      <c r="F174" s="100" t="s">
        <v>511</v>
      </c>
      <c r="G174" s="101" t="s">
        <v>512</v>
      </c>
      <c r="H174" s="102" t="s">
        <v>16</v>
      </c>
      <c r="I174" s="102" t="s">
        <v>84</v>
      </c>
      <c r="J174" s="210" t="str">
        <f t="shared" si="4"/>
        <v>Crear una taula de treball amb els agents prioritaris per a la gestió de l'ENP i els grups de treball temàtics necessaris</v>
      </c>
      <c r="K174" s="215"/>
      <c r="L174" s="302" t="s">
        <v>567</v>
      </c>
      <c r="M174" s="104" t="s">
        <v>23</v>
      </c>
      <c r="N174" s="111" t="s">
        <v>1135</v>
      </c>
      <c r="O174" s="105"/>
      <c r="P174" s="108"/>
      <c r="Q174" s="118" t="s">
        <v>1173</v>
      </c>
      <c r="R174" s="272">
        <v>0.25</v>
      </c>
      <c r="S174" s="272">
        <v>0.75</v>
      </c>
      <c r="T174" s="273">
        <v>200</v>
      </c>
      <c r="U174" s="273" t="s">
        <v>1095</v>
      </c>
      <c r="V174" s="274" t="s">
        <v>1425</v>
      </c>
      <c r="W174" s="275" t="s">
        <v>1180</v>
      </c>
      <c r="X174" s="275" t="s">
        <v>1180</v>
      </c>
    </row>
    <row r="175" spans="1:24" ht="58">
      <c r="A175" s="23"/>
      <c r="B175" s="416"/>
      <c r="C175" s="432"/>
      <c r="D175" s="371"/>
      <c r="E175" s="373"/>
      <c r="F175" s="100" t="s">
        <v>513</v>
      </c>
      <c r="G175" s="101" t="s">
        <v>514</v>
      </c>
      <c r="H175" s="102" t="s">
        <v>16</v>
      </c>
      <c r="I175" s="102" t="s">
        <v>84</v>
      </c>
      <c r="J175" s="210" t="str">
        <f t="shared" si="4"/>
        <v>Disposar d'assessorament científic en l'ENP</v>
      </c>
      <c r="K175" s="215"/>
      <c r="L175" s="302" t="s">
        <v>567</v>
      </c>
      <c r="M175" s="104" t="s">
        <v>23</v>
      </c>
      <c r="N175" s="111" t="s">
        <v>1136</v>
      </c>
      <c r="O175" s="105"/>
      <c r="P175" s="108"/>
      <c r="Q175" s="73" t="s">
        <v>1137</v>
      </c>
      <c r="R175" s="272">
        <v>0.15</v>
      </c>
      <c r="S175" s="272">
        <v>0.5</v>
      </c>
      <c r="T175" s="273">
        <v>40</v>
      </c>
      <c r="U175" s="273" t="s">
        <v>1095</v>
      </c>
      <c r="V175" s="274" t="s">
        <v>1425</v>
      </c>
      <c r="W175" s="275" t="s">
        <v>1180</v>
      </c>
      <c r="X175" s="275" t="s">
        <v>1180</v>
      </c>
    </row>
    <row r="176" spans="1:24" ht="96" customHeight="1">
      <c r="A176" s="23"/>
      <c r="B176" s="416"/>
      <c r="C176" s="432"/>
      <c r="D176" s="371"/>
      <c r="E176" s="373"/>
      <c r="F176" s="100" t="s">
        <v>515</v>
      </c>
      <c r="G176" s="101" t="s">
        <v>516</v>
      </c>
      <c r="H176" s="102" t="s">
        <v>16</v>
      </c>
      <c r="I176" s="102" t="s">
        <v>84</v>
      </c>
      <c r="J176" s="210" t="str">
        <f t="shared" si="4"/>
        <v>Incloure entitats i organismes científics i culturals de referència en els mecanismes de presa de decisions de l'ENP</v>
      </c>
      <c r="K176" s="215"/>
      <c r="L176" s="302" t="s">
        <v>567</v>
      </c>
      <c r="M176" s="104" t="s">
        <v>23</v>
      </c>
      <c r="N176" s="111" t="s">
        <v>517</v>
      </c>
      <c r="O176" s="105"/>
      <c r="P176" s="108"/>
      <c r="Q176" s="73" t="s">
        <v>1138</v>
      </c>
      <c r="R176" s="272">
        <v>0.1</v>
      </c>
      <c r="S176" s="272">
        <v>0.5</v>
      </c>
      <c r="T176" s="273">
        <v>20</v>
      </c>
      <c r="U176" s="273" t="s">
        <v>1095</v>
      </c>
      <c r="V176" s="274" t="s">
        <v>1425</v>
      </c>
      <c r="W176" s="275" t="s">
        <v>1180</v>
      </c>
      <c r="X176" s="275" t="s">
        <v>1180</v>
      </c>
    </row>
    <row r="177" spans="1:24" ht="43.5">
      <c r="A177" s="23"/>
      <c r="B177" s="416"/>
      <c r="C177" s="432"/>
      <c r="D177" s="421"/>
      <c r="E177" s="433"/>
      <c r="F177" s="100" t="s">
        <v>518</v>
      </c>
      <c r="G177" s="101" t="s">
        <v>519</v>
      </c>
      <c r="H177" s="102" t="s">
        <v>16</v>
      </c>
      <c r="I177" s="102" t="s">
        <v>28</v>
      </c>
      <c r="J177" s="210" t="str">
        <f t="shared" si="4"/>
        <v>Adaptar i desplegar el model de governança dels espais naturals protegits</v>
      </c>
      <c r="K177" s="215" t="s">
        <v>1141</v>
      </c>
      <c r="L177" s="303" t="s">
        <v>567</v>
      </c>
      <c r="M177" s="104" t="s">
        <v>23</v>
      </c>
      <c r="N177" s="111" t="s">
        <v>668</v>
      </c>
      <c r="O177" s="105"/>
      <c r="P177" s="101" t="s">
        <v>520</v>
      </c>
      <c r="Q177" s="73" t="s">
        <v>1139</v>
      </c>
      <c r="R177" s="272">
        <v>0.5</v>
      </c>
      <c r="S177" s="272">
        <v>0.7</v>
      </c>
      <c r="T177" s="273">
        <v>100</v>
      </c>
      <c r="U177" s="273" t="s">
        <v>1095</v>
      </c>
      <c r="V177" s="274" t="s">
        <v>1425</v>
      </c>
      <c r="W177" s="275" t="s">
        <v>1180</v>
      </c>
      <c r="X177" s="275" t="s">
        <v>1180</v>
      </c>
    </row>
    <row r="178" spans="1:24" ht="115.15" customHeight="1">
      <c r="A178" s="23"/>
      <c r="B178" s="70">
        <v>16</v>
      </c>
      <c r="C178" s="67" t="s">
        <v>521</v>
      </c>
      <c r="D178" s="21" t="s">
        <v>522</v>
      </c>
      <c r="E178" s="89" t="s">
        <v>523</v>
      </c>
      <c r="F178" s="100" t="s">
        <v>524</v>
      </c>
      <c r="G178" s="101" t="s">
        <v>1280</v>
      </c>
      <c r="H178" s="102" t="s">
        <v>16</v>
      </c>
      <c r="I178" s="102" t="s">
        <v>28</v>
      </c>
      <c r="J178" s="210" t="str">
        <f t="shared" si="4"/>
        <v xml:space="preserve">Gestionar i millorar administrativament els pressupostos anuals d'entrades i despeses </v>
      </c>
      <c r="K178" s="215"/>
      <c r="L178" s="303" t="s">
        <v>567</v>
      </c>
      <c r="M178" s="104" t="s">
        <v>23</v>
      </c>
      <c r="N178" s="111" t="s">
        <v>669</v>
      </c>
      <c r="O178" s="105"/>
      <c r="P178" s="101" t="s">
        <v>1512</v>
      </c>
      <c r="Q178" s="73" t="s">
        <v>1118</v>
      </c>
      <c r="R178" s="282">
        <v>8</v>
      </c>
      <c r="S178" s="282">
        <v>16</v>
      </c>
      <c r="T178" s="273">
        <v>3200</v>
      </c>
      <c r="U178" s="273" t="s">
        <v>1120</v>
      </c>
      <c r="V178" s="274" t="s">
        <v>1365</v>
      </c>
      <c r="W178" s="275" t="s">
        <v>1180</v>
      </c>
      <c r="X178" s="275" t="s">
        <v>1180</v>
      </c>
    </row>
    <row r="179" spans="1:24" ht="115.15" customHeight="1">
      <c r="A179" s="69"/>
      <c r="B179" s="71"/>
      <c r="C179" s="68"/>
      <c r="D179" s="316" t="s">
        <v>525</v>
      </c>
      <c r="E179" s="383" t="s">
        <v>526</v>
      </c>
      <c r="F179" s="100" t="s">
        <v>527</v>
      </c>
      <c r="G179" s="101" t="s">
        <v>1281</v>
      </c>
      <c r="H179" s="102" t="s">
        <v>16</v>
      </c>
      <c r="I179" s="102" t="s">
        <v>28</v>
      </c>
      <c r="J179" s="210" t="str">
        <f t="shared" si="4"/>
        <v>Planificar, detectar les necessitats de contractació del l'ENP per a l'optimització dels contractes a nivell de Xarxa i gestionar els contractes</v>
      </c>
      <c r="K179" s="215"/>
      <c r="L179" s="303" t="s">
        <v>567</v>
      </c>
      <c r="M179" s="104" t="s">
        <v>23</v>
      </c>
      <c r="N179" s="111" t="s">
        <v>670</v>
      </c>
      <c r="O179" s="105"/>
      <c r="P179" s="106" t="s">
        <v>528</v>
      </c>
      <c r="Q179" s="73" t="s">
        <v>1119</v>
      </c>
      <c r="R179" s="272">
        <v>0.5</v>
      </c>
      <c r="S179" s="272">
        <v>0.7</v>
      </c>
      <c r="T179" s="235" t="s">
        <v>1467</v>
      </c>
      <c r="U179" s="273" t="s">
        <v>1120</v>
      </c>
      <c r="V179" s="274" t="s">
        <v>1466</v>
      </c>
      <c r="W179" s="275" t="s">
        <v>1180</v>
      </c>
      <c r="X179" s="275" t="s">
        <v>1180</v>
      </c>
    </row>
    <row r="180" spans="1:24" ht="50.5" customHeight="1">
      <c r="A180" s="69"/>
      <c r="B180" s="71"/>
      <c r="C180" s="68"/>
      <c r="D180" s="371"/>
      <c r="E180" s="373"/>
      <c r="F180" s="100" t="s">
        <v>529</v>
      </c>
      <c r="G180" s="117" t="s">
        <v>1282</v>
      </c>
      <c r="H180" s="102" t="s">
        <v>16</v>
      </c>
      <c r="I180" s="102" t="s">
        <v>28</v>
      </c>
      <c r="J180" s="210" t="str">
        <f t="shared" si="4"/>
        <v>Planificar i gestionar els ajuts</v>
      </c>
      <c r="K180" s="215"/>
      <c r="L180" s="303" t="s">
        <v>568</v>
      </c>
      <c r="M180" s="104" t="s">
        <v>23</v>
      </c>
      <c r="N180" s="103" t="s">
        <v>530</v>
      </c>
      <c r="O180" s="105"/>
      <c r="P180" s="106"/>
      <c r="Q180" s="73" t="s">
        <v>1349</v>
      </c>
      <c r="R180" s="272">
        <v>0</v>
      </c>
      <c r="S180" s="272">
        <v>0.2</v>
      </c>
      <c r="T180" s="235" t="s">
        <v>1479</v>
      </c>
      <c r="U180" s="273" t="s">
        <v>1348</v>
      </c>
      <c r="V180" s="274" t="s">
        <v>1468</v>
      </c>
      <c r="W180" s="275" t="s">
        <v>1180</v>
      </c>
      <c r="X180" s="275" t="s">
        <v>1180</v>
      </c>
    </row>
    <row r="181" spans="1:24" ht="86.5" customHeight="1">
      <c r="A181" s="69"/>
      <c r="B181" s="71"/>
      <c r="C181" s="68"/>
      <c r="D181" s="371"/>
      <c r="E181" s="373"/>
      <c r="F181" s="100" t="s">
        <v>531</v>
      </c>
      <c r="G181" s="117" t="s">
        <v>532</v>
      </c>
      <c r="H181" s="102" t="s">
        <v>16</v>
      </c>
      <c r="I181" s="102" t="s">
        <v>28</v>
      </c>
      <c r="J181" s="210" t="str">
        <f t="shared" si="4"/>
        <v>Establir i renovar en temps i forma convenis de col·laboració, convenis marc, acords, protocols i altres instruments de col·laboració.</v>
      </c>
      <c r="K181" s="215"/>
      <c r="L181" s="303" t="s">
        <v>567</v>
      </c>
      <c r="M181" s="104" t="s">
        <v>23</v>
      </c>
      <c r="N181" s="103" t="s">
        <v>671</v>
      </c>
      <c r="O181" s="105"/>
      <c r="P181" s="101" t="s">
        <v>533</v>
      </c>
      <c r="Q181" s="73" t="s">
        <v>1121</v>
      </c>
      <c r="R181" s="282">
        <v>1</v>
      </c>
      <c r="S181" s="282">
        <v>2</v>
      </c>
      <c r="T181" s="235" t="s">
        <v>1478</v>
      </c>
      <c r="U181" s="273" t="s">
        <v>1120</v>
      </c>
      <c r="V181" s="274" t="s">
        <v>1469</v>
      </c>
      <c r="W181" s="275" t="s">
        <v>1180</v>
      </c>
      <c r="X181" s="275" t="s">
        <v>1180</v>
      </c>
    </row>
    <row r="182" spans="1:24" ht="29.5" customHeight="1">
      <c r="A182" s="69"/>
      <c r="B182" s="71"/>
      <c r="C182" s="68"/>
      <c r="D182" s="65" t="s">
        <v>534</v>
      </c>
      <c r="E182" s="90" t="s">
        <v>535</v>
      </c>
      <c r="F182" s="100" t="s">
        <v>536</v>
      </c>
      <c r="G182" s="117" t="s">
        <v>537</v>
      </c>
      <c r="H182" s="102" t="s">
        <v>16</v>
      </c>
      <c r="I182" s="102" t="s">
        <v>28</v>
      </c>
      <c r="J182" s="210" t="str">
        <f t="shared" si="4"/>
        <v>Optimitzar l'elaboració d'informes</v>
      </c>
      <c r="K182" s="215"/>
      <c r="L182" s="302" t="s">
        <v>567</v>
      </c>
      <c r="M182" s="104" t="s">
        <v>18</v>
      </c>
      <c r="N182" s="103" t="s">
        <v>672</v>
      </c>
      <c r="O182" s="105"/>
      <c r="P182" s="106"/>
      <c r="Q182" s="73" t="s">
        <v>1122</v>
      </c>
      <c r="R182" s="298">
        <v>0.6</v>
      </c>
      <c r="S182" s="298">
        <v>0.9</v>
      </c>
      <c r="T182" s="273">
        <v>800</v>
      </c>
      <c r="U182" s="273" t="s">
        <v>1120</v>
      </c>
      <c r="V182" s="274" t="s">
        <v>1366</v>
      </c>
      <c r="W182" s="275" t="s">
        <v>1180</v>
      </c>
      <c r="X182" s="275" t="s">
        <v>1180</v>
      </c>
    </row>
    <row r="183" spans="1:24" ht="115.15" customHeight="1">
      <c r="A183" s="69"/>
      <c r="B183" s="71"/>
      <c r="C183" s="68"/>
      <c r="D183" s="66"/>
      <c r="E183" s="91"/>
      <c r="F183" s="100" t="s">
        <v>538</v>
      </c>
      <c r="G183" s="101" t="s">
        <v>539</v>
      </c>
      <c r="H183" s="102" t="s">
        <v>16</v>
      </c>
      <c r="I183" s="102" t="s">
        <v>28</v>
      </c>
      <c r="J183" s="210" t="str">
        <f t="shared" si="4"/>
        <v>Adequar i actualitzar els procediments i tramitacions realitzats des de l'ENP als nous processos i eines conjuntes proposades des de Serveis Centrals</v>
      </c>
      <c r="K183" s="215"/>
      <c r="L183" s="303" t="s">
        <v>567</v>
      </c>
      <c r="M183" s="104" t="s">
        <v>23</v>
      </c>
      <c r="N183" s="111" t="s">
        <v>540</v>
      </c>
      <c r="O183" s="105"/>
      <c r="P183" s="101" t="s">
        <v>541</v>
      </c>
      <c r="Q183" s="73" t="s">
        <v>1123</v>
      </c>
      <c r="R183" s="272">
        <v>0.4</v>
      </c>
      <c r="S183" s="272">
        <v>0.8</v>
      </c>
      <c r="T183" s="235" t="s">
        <v>1380</v>
      </c>
      <c r="U183" s="273" t="s">
        <v>1120</v>
      </c>
      <c r="V183" s="274" t="s">
        <v>1367</v>
      </c>
      <c r="W183" s="275" t="s">
        <v>1180</v>
      </c>
      <c r="X183" s="275" t="s">
        <v>1180</v>
      </c>
    </row>
    <row r="184" spans="1:24" ht="48.65" customHeight="1">
      <c r="A184" s="69"/>
      <c r="B184" s="71"/>
      <c r="C184" s="68"/>
      <c r="D184" s="66"/>
      <c r="E184" s="91"/>
      <c r="F184" s="100" t="s">
        <v>542</v>
      </c>
      <c r="G184" s="117" t="s">
        <v>543</v>
      </c>
      <c r="H184" s="102" t="s">
        <v>16</v>
      </c>
      <c r="I184" s="102" t="s">
        <v>28</v>
      </c>
      <c r="J184" s="210" t="str">
        <f t="shared" si="4"/>
        <v>Augmentar el coneixement de l'equip de treball en matèria de procediment administratiu</v>
      </c>
      <c r="K184" s="215"/>
      <c r="L184" s="302" t="s">
        <v>567</v>
      </c>
      <c r="M184" s="104" t="s">
        <v>23</v>
      </c>
      <c r="N184" s="111" t="s">
        <v>673</v>
      </c>
      <c r="O184" s="105"/>
      <c r="P184" s="101"/>
      <c r="Q184" s="73" t="s">
        <v>1124</v>
      </c>
      <c r="R184" s="299" t="s">
        <v>1125</v>
      </c>
      <c r="S184" s="299" t="s">
        <v>1126</v>
      </c>
      <c r="T184" s="235" t="s">
        <v>1480</v>
      </c>
      <c r="U184" s="273" t="s">
        <v>1120</v>
      </c>
      <c r="V184" s="274" t="s">
        <v>1470</v>
      </c>
      <c r="W184" s="275" t="s">
        <v>1180</v>
      </c>
      <c r="X184" s="275" t="s">
        <v>1180</v>
      </c>
    </row>
    <row r="185" spans="1:24" ht="86.5" customHeight="1">
      <c r="A185" s="69"/>
      <c r="B185" s="71"/>
      <c r="C185" s="68"/>
      <c r="D185" s="66"/>
      <c r="E185" s="91"/>
      <c r="F185" s="100" t="s">
        <v>544</v>
      </c>
      <c r="G185" s="101" t="s">
        <v>545</v>
      </c>
      <c r="H185" s="102" t="s">
        <v>42</v>
      </c>
      <c r="I185" s="102" t="s">
        <v>28</v>
      </c>
      <c r="J185" s="210" t="str">
        <f t="shared" si="4"/>
        <v>Garantir la transparència administrativa</v>
      </c>
      <c r="K185" s="215"/>
      <c r="L185" s="302" t="s">
        <v>567</v>
      </c>
      <c r="M185" s="104" t="s">
        <v>23</v>
      </c>
      <c r="N185" s="111" t="s">
        <v>546</v>
      </c>
      <c r="O185" s="105"/>
      <c r="P185" s="101"/>
      <c r="Q185" s="73" t="s">
        <v>1127</v>
      </c>
      <c r="R185" s="298">
        <v>0.6</v>
      </c>
      <c r="S185" s="298" t="s">
        <v>1128</v>
      </c>
      <c r="T185" s="235" t="s">
        <v>1481</v>
      </c>
      <c r="U185" s="273" t="s">
        <v>1120</v>
      </c>
      <c r="V185" s="274" t="s">
        <v>1470</v>
      </c>
      <c r="W185" s="275" t="s">
        <v>1180</v>
      </c>
      <c r="X185" s="275" t="s">
        <v>1180</v>
      </c>
    </row>
    <row r="186" spans="1:24" ht="43.15" customHeight="1">
      <c r="A186" s="69"/>
      <c r="B186" s="71"/>
      <c r="C186" s="68"/>
      <c r="D186" s="41"/>
      <c r="E186" s="92"/>
      <c r="F186" s="100" t="s">
        <v>547</v>
      </c>
      <c r="G186" s="101" t="s">
        <v>1283</v>
      </c>
      <c r="H186" s="102" t="s">
        <v>16</v>
      </c>
      <c r="I186" s="102" t="s">
        <v>84</v>
      </c>
      <c r="J186" s="210" t="str">
        <f t="shared" si="4"/>
        <v>Millorar i mantenir el material, infraestructures i equipaments de gestió de l'espai</v>
      </c>
      <c r="K186" s="215"/>
      <c r="L186" s="302" t="s">
        <v>567</v>
      </c>
      <c r="M186" s="104" t="s">
        <v>23</v>
      </c>
      <c r="N186" s="111" t="s">
        <v>548</v>
      </c>
      <c r="O186" s="105"/>
      <c r="P186" s="101"/>
      <c r="Q186" s="73" t="s">
        <v>1129</v>
      </c>
      <c r="R186" s="299" t="s">
        <v>1130</v>
      </c>
      <c r="S186" s="299" t="s">
        <v>1131</v>
      </c>
      <c r="T186" s="235" t="s">
        <v>1482</v>
      </c>
      <c r="U186" s="273" t="s">
        <v>1120</v>
      </c>
      <c r="V186" s="274" t="s">
        <v>1367</v>
      </c>
      <c r="W186" s="286" t="s">
        <v>1434</v>
      </c>
      <c r="X186" s="286" t="s">
        <v>1471</v>
      </c>
    </row>
    <row r="187" spans="1:24" s="1" customFormat="1" ht="144" customHeight="1">
      <c r="A187" s="69"/>
      <c r="B187" s="71"/>
      <c r="C187" s="68"/>
      <c r="D187" s="370" t="s">
        <v>549</v>
      </c>
      <c r="E187" s="372" t="s">
        <v>550</v>
      </c>
      <c r="F187" s="100" t="s">
        <v>551</v>
      </c>
      <c r="G187" s="101" t="s">
        <v>552</v>
      </c>
      <c r="H187" s="102" t="s">
        <v>16</v>
      </c>
      <c r="I187" s="102" t="s">
        <v>28</v>
      </c>
      <c r="J187" s="210" t="str">
        <f t="shared" si="4"/>
        <v>Revisar l’estat dels béns patrimonials i la situació administrativa-legal dels equipaments del parc</v>
      </c>
      <c r="K187" s="215"/>
      <c r="L187" s="303" t="s">
        <v>567</v>
      </c>
      <c r="M187" s="104" t="s">
        <v>29</v>
      </c>
      <c r="N187" s="111" t="s">
        <v>674</v>
      </c>
      <c r="O187" s="105"/>
      <c r="P187" s="101" t="s">
        <v>553</v>
      </c>
      <c r="Q187" s="73" t="s">
        <v>1132</v>
      </c>
      <c r="R187" s="300">
        <v>4</v>
      </c>
      <c r="S187" s="300">
        <v>8</v>
      </c>
      <c r="T187" s="235" t="s">
        <v>1453</v>
      </c>
      <c r="U187" s="273" t="s">
        <v>1120</v>
      </c>
      <c r="V187" s="274" t="s">
        <v>1466</v>
      </c>
      <c r="W187" s="286" t="s">
        <v>1180</v>
      </c>
      <c r="X187" s="286" t="s">
        <v>1180</v>
      </c>
    </row>
    <row r="188" spans="1:24" ht="132" customHeight="1">
      <c r="A188" s="69"/>
      <c r="B188" s="71"/>
      <c r="C188" s="68"/>
      <c r="D188" s="371"/>
      <c r="E188" s="373"/>
      <c r="F188" s="100" t="s">
        <v>554</v>
      </c>
      <c r="G188" s="101" t="s">
        <v>555</v>
      </c>
      <c r="H188" s="102" t="s">
        <v>16</v>
      </c>
      <c r="I188" s="102" t="s">
        <v>28</v>
      </c>
      <c r="J188" s="210" t="str">
        <f t="shared" si="4"/>
        <v>Tenir cobertes les pèrdues o danys materials del patrimoni de la Direcció General que hi ha a l'àmbit territorial del Parc, com a conseqüència de la materialització de qualsevol dels riscs emparats en el plec de prescripcions tècniques de la pòlissa.</v>
      </c>
      <c r="K188" s="215"/>
      <c r="L188" s="303" t="s">
        <v>567</v>
      </c>
      <c r="M188" s="104" t="s">
        <v>29</v>
      </c>
      <c r="N188" s="111" t="s">
        <v>675</v>
      </c>
      <c r="O188" s="105"/>
      <c r="P188" s="101" t="s">
        <v>556</v>
      </c>
      <c r="Q188" s="73" t="s">
        <v>1132</v>
      </c>
      <c r="R188" s="299"/>
      <c r="S188" s="299"/>
      <c r="T188" s="235">
        <v>200</v>
      </c>
      <c r="U188" s="273" t="s">
        <v>1120</v>
      </c>
      <c r="V188" s="274" t="s">
        <v>1365</v>
      </c>
      <c r="W188" s="282"/>
      <c r="X188" s="282"/>
    </row>
    <row r="189" spans="1:24" ht="201.65" customHeight="1">
      <c r="A189" s="69"/>
      <c r="B189" s="71"/>
      <c r="C189" s="68"/>
      <c r="D189" s="22" t="s">
        <v>557</v>
      </c>
      <c r="E189" s="93" t="s">
        <v>558</v>
      </c>
      <c r="F189" s="100" t="s">
        <v>559</v>
      </c>
      <c r="G189" s="101" t="s">
        <v>1284</v>
      </c>
      <c r="H189" s="102" t="s">
        <v>16</v>
      </c>
      <c r="I189" s="102" t="s">
        <v>28</v>
      </c>
      <c r="J189" s="210" t="str">
        <f t="shared" si="4"/>
        <v>Millorar l'accessibilitat i de la gestió documental i digital de l'ENP</v>
      </c>
      <c r="K189" s="215"/>
      <c r="L189" s="302" t="s">
        <v>567</v>
      </c>
      <c r="M189" s="104" t="s">
        <v>173</v>
      </c>
      <c r="N189" s="73" t="s">
        <v>676</v>
      </c>
      <c r="O189" s="105"/>
      <c r="P189" s="106" t="s">
        <v>560</v>
      </c>
      <c r="Q189" s="73" t="s">
        <v>1152</v>
      </c>
      <c r="R189" s="299">
        <v>400</v>
      </c>
      <c r="S189" s="299">
        <v>480</v>
      </c>
      <c r="T189" s="235" t="s">
        <v>1384</v>
      </c>
      <c r="U189" s="271" t="s">
        <v>1239</v>
      </c>
      <c r="V189" s="274" t="s">
        <v>1388</v>
      </c>
      <c r="W189" s="282" t="s">
        <v>1420</v>
      </c>
      <c r="X189" s="282">
        <v>500</v>
      </c>
    </row>
    <row r="190" spans="1:24" ht="72" customHeight="1">
      <c r="A190" s="69"/>
      <c r="B190" s="71"/>
      <c r="C190" s="68"/>
      <c r="D190" s="316" t="s">
        <v>561</v>
      </c>
      <c r="E190" s="319" t="s">
        <v>562</v>
      </c>
      <c r="F190" s="100" t="s">
        <v>563</v>
      </c>
      <c r="G190" s="101" t="s">
        <v>564</v>
      </c>
      <c r="H190" s="102" t="s">
        <v>42</v>
      </c>
      <c r="I190" s="102" t="s">
        <v>28</v>
      </c>
      <c r="J190" s="210" t="str">
        <f t="shared" si="4"/>
        <v>Gestió de la brigada de manteniment</v>
      </c>
      <c r="K190" s="215"/>
      <c r="L190" s="302" t="s">
        <v>567</v>
      </c>
      <c r="M190" s="104" t="s">
        <v>18</v>
      </c>
      <c r="N190" s="73" t="s">
        <v>1165</v>
      </c>
      <c r="O190" s="105"/>
      <c r="P190" s="106"/>
      <c r="Q190" s="73" t="s">
        <v>1166</v>
      </c>
      <c r="R190" s="272">
        <v>0.6</v>
      </c>
      <c r="S190" s="272">
        <v>0.8</v>
      </c>
      <c r="T190" s="235" t="s">
        <v>1528</v>
      </c>
      <c r="U190" s="273" t="s">
        <v>1477</v>
      </c>
      <c r="V190" s="274" t="s">
        <v>1408</v>
      </c>
      <c r="W190" s="282" t="s">
        <v>1391</v>
      </c>
      <c r="X190" s="282">
        <v>600</v>
      </c>
    </row>
    <row r="191" spans="1:24" ht="60.65" customHeight="1">
      <c r="A191" s="311"/>
      <c r="B191" s="313"/>
      <c r="C191" s="315"/>
      <c r="D191" s="317"/>
      <c r="E191" s="320"/>
      <c r="F191" s="100" t="s">
        <v>565</v>
      </c>
      <c r="G191" s="101" t="s">
        <v>1285</v>
      </c>
      <c r="H191" s="102" t="s">
        <v>42</v>
      </c>
      <c r="I191" s="102" t="s">
        <v>28</v>
      </c>
      <c r="J191" s="210" t="str">
        <f t="shared" si="4"/>
        <v>Gestionar, enfortir i consolidar l'equip de gestió del parc</v>
      </c>
      <c r="K191" s="215"/>
      <c r="L191" s="303" t="s">
        <v>568</v>
      </c>
      <c r="M191" s="104" t="s">
        <v>173</v>
      </c>
      <c r="N191" s="73" t="s">
        <v>1140</v>
      </c>
      <c r="O191" s="105"/>
      <c r="P191" s="106"/>
      <c r="Q191" s="73" t="s">
        <v>1098</v>
      </c>
      <c r="R191" s="273">
        <v>10</v>
      </c>
      <c r="S191" s="273">
        <v>14</v>
      </c>
      <c r="T191" s="235" t="s">
        <v>1167</v>
      </c>
      <c r="U191" s="273" t="s">
        <v>1095</v>
      </c>
      <c r="V191" s="301" t="s">
        <v>1472</v>
      </c>
      <c r="W191" s="286" t="s">
        <v>1180</v>
      </c>
      <c r="X191" s="275" t="s">
        <v>1180</v>
      </c>
    </row>
    <row r="192" spans="1:24" ht="120.65" customHeight="1">
      <c r="A192" s="312"/>
      <c r="B192" s="314"/>
      <c r="C192" s="312"/>
      <c r="D192" s="318"/>
      <c r="E192" s="321"/>
      <c r="F192" s="100" t="s">
        <v>1286</v>
      </c>
      <c r="G192" s="101" t="s">
        <v>1287</v>
      </c>
      <c r="H192" s="102" t="s">
        <v>16</v>
      </c>
      <c r="I192" s="102" t="s">
        <v>84</v>
      </c>
      <c r="J192" s="210" t="str">
        <f t="shared" si="4"/>
        <v>Gestió ordinària i imprevistos no contemplats en cap dels Objectius opertatius anteriors</v>
      </c>
      <c r="K192" s="266"/>
      <c r="L192" s="302" t="s">
        <v>567</v>
      </c>
      <c r="M192" s="104" t="s">
        <v>18</v>
      </c>
      <c r="N192" s="73" t="s">
        <v>1332</v>
      </c>
      <c r="O192" s="104"/>
      <c r="P192" s="222"/>
      <c r="Q192" s="118" t="s">
        <v>1333</v>
      </c>
      <c r="R192" s="271" t="s">
        <v>1334</v>
      </c>
      <c r="S192" s="271" t="s">
        <v>1335</v>
      </c>
      <c r="T192" s="271" t="s">
        <v>1493</v>
      </c>
      <c r="U192" s="273" t="s">
        <v>1095</v>
      </c>
      <c r="V192" s="235" t="s">
        <v>1495</v>
      </c>
      <c r="W192" s="235" t="s">
        <v>1434</v>
      </c>
      <c r="X192" s="235" t="s">
        <v>1494</v>
      </c>
    </row>
  </sheetData>
  <autoFilter ref="A4:V191"/>
  <dataConsolidate/>
  <mergeCells count="121">
    <mergeCell ref="T3:W3"/>
    <mergeCell ref="K147:K148"/>
    <mergeCell ref="R3:S3"/>
    <mergeCell ref="B28:B38"/>
    <mergeCell ref="B21:B27"/>
    <mergeCell ref="D5:D6"/>
    <mergeCell ref="D18:D20"/>
    <mergeCell ref="D25:D27"/>
    <mergeCell ref="E5:E6"/>
    <mergeCell ref="E18:E20"/>
    <mergeCell ref="C21:C27"/>
    <mergeCell ref="E25:E27"/>
    <mergeCell ref="E37:E38"/>
    <mergeCell ref="E42:E45"/>
    <mergeCell ref="E21:E24"/>
    <mergeCell ref="E105:E116"/>
    <mergeCell ref="D105:D116"/>
    <mergeCell ref="E7:E10"/>
    <mergeCell ref="D7:D10"/>
    <mergeCell ref="D37:D38"/>
    <mergeCell ref="E68:E71"/>
    <mergeCell ref="E11:E17"/>
    <mergeCell ref="D11:D17"/>
    <mergeCell ref="C53:C58"/>
    <mergeCell ref="B174:B177"/>
    <mergeCell ref="B169:B173"/>
    <mergeCell ref="B139:B168"/>
    <mergeCell ref="D172:D173"/>
    <mergeCell ref="D169:D170"/>
    <mergeCell ref="D174:D177"/>
    <mergeCell ref="A88:A97"/>
    <mergeCell ref="E85:E87"/>
    <mergeCell ref="D61:D67"/>
    <mergeCell ref="D68:D71"/>
    <mergeCell ref="D72:D77"/>
    <mergeCell ref="D78:D83"/>
    <mergeCell ref="B85:B97"/>
    <mergeCell ref="D85:D87"/>
    <mergeCell ref="E89:E94"/>
    <mergeCell ref="D89:D94"/>
    <mergeCell ref="D95:D97"/>
    <mergeCell ref="E95:E97"/>
    <mergeCell ref="E72:E77"/>
    <mergeCell ref="E78:E83"/>
    <mergeCell ref="E61:E67"/>
    <mergeCell ref="C174:C177"/>
    <mergeCell ref="E174:E177"/>
    <mergeCell ref="D150:D153"/>
    <mergeCell ref="E154:E158"/>
    <mergeCell ref="C169:C173"/>
    <mergeCell ref="E150:E153"/>
    <mergeCell ref="E172:E173"/>
    <mergeCell ref="E169:E170"/>
    <mergeCell ref="C139:C168"/>
    <mergeCell ref="D147:D149"/>
    <mergeCell ref="E147:E149"/>
    <mergeCell ref="D162:D164"/>
    <mergeCell ref="E139:E141"/>
    <mergeCell ref="D21:D24"/>
    <mergeCell ref="D39:D41"/>
    <mergeCell ref="E39:E41"/>
    <mergeCell ref="D137:D138"/>
    <mergeCell ref="E137:E138"/>
    <mergeCell ref="D139:D141"/>
    <mergeCell ref="C28:C38"/>
    <mergeCell ref="E50:E52"/>
    <mergeCell ref="E46:E49"/>
    <mergeCell ref="E28:E30"/>
    <mergeCell ref="D28:D30"/>
    <mergeCell ref="C85:C97"/>
    <mergeCell ref="D54:D56"/>
    <mergeCell ref="D59:D60"/>
    <mergeCell ref="E59:E60"/>
    <mergeCell ref="D187:D188"/>
    <mergeCell ref="E187:E188"/>
    <mergeCell ref="E119:E123"/>
    <mergeCell ref="D119:D123"/>
    <mergeCell ref="E117:E118"/>
    <mergeCell ref="D117:D118"/>
    <mergeCell ref="D42:D45"/>
    <mergeCell ref="D46:D49"/>
    <mergeCell ref="D50:D52"/>
    <mergeCell ref="E124:E125"/>
    <mergeCell ref="D124:D125"/>
    <mergeCell ref="D126:D127"/>
    <mergeCell ref="D128:D129"/>
    <mergeCell ref="D130:D133"/>
    <mergeCell ref="D134:D136"/>
    <mergeCell ref="E134:E136"/>
    <mergeCell ref="E130:E133"/>
    <mergeCell ref="E128:E129"/>
    <mergeCell ref="D179:D181"/>
    <mergeCell ref="E179:E181"/>
    <mergeCell ref="D57:D58"/>
    <mergeCell ref="E57:E58"/>
    <mergeCell ref="E54:E56"/>
    <mergeCell ref="D154:D158"/>
    <mergeCell ref="A191:A192"/>
    <mergeCell ref="B191:B192"/>
    <mergeCell ref="C191:C192"/>
    <mergeCell ref="D190:D192"/>
    <mergeCell ref="E190:E192"/>
    <mergeCell ref="E142:E146"/>
    <mergeCell ref="D142:D146"/>
    <mergeCell ref="E32:E36"/>
    <mergeCell ref="D32:D36"/>
    <mergeCell ref="B103:B104"/>
    <mergeCell ref="E162:E164"/>
    <mergeCell ref="E165:E168"/>
    <mergeCell ref="D165:D168"/>
    <mergeCell ref="B53:B58"/>
    <mergeCell ref="C105:C107"/>
    <mergeCell ref="D101:D102"/>
    <mergeCell ref="E101:E102"/>
    <mergeCell ref="E98:E100"/>
    <mergeCell ref="D98:D100"/>
    <mergeCell ref="E103:E104"/>
    <mergeCell ref="D103:D104"/>
    <mergeCell ref="E159:E161"/>
    <mergeCell ref="D159:D161"/>
    <mergeCell ref="E126:E127"/>
  </mergeCells>
  <phoneticPr fontId="2" type="noConversion"/>
  <conditionalFormatting sqref="H160:I160 K160">
    <cfRule type="duplicateValues" dxfId="1" priority="2"/>
  </conditionalFormatting>
  <conditionalFormatting sqref="H161:I161">
    <cfRule type="duplicateValues" dxfId="0" priority="1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Full1!$A$2:$A$3</xm:f>
          </x14:formula1>
          <xm:sqref>H5:H16 H18:H35 H37:H99 H101:H103 H105:H145 H147:H160 H162:H191</xm:sqref>
        </x14:dataValidation>
        <x14:dataValidation type="list" allowBlank="1" showInputMessage="1" showErrorMessage="1">
          <x14:formula1>
            <xm:f>Full1!$B$2:$B$3</xm:f>
          </x14:formula1>
          <xm:sqref>I105:I112 I5:I16 I18:I35 I37:I99 I101:I103 I115:I145 I147:I160 I162:I191</xm:sqref>
        </x14:dataValidation>
        <x14:dataValidation type="list" allowBlank="1" showInputMessage="1" showErrorMessage="1">
          <x14:formula1>
            <xm:f>Full1!$C$2:$C$6</xm:f>
          </x14:formula1>
          <xm:sqref>M5:M192</xm:sqref>
        </x14:dataValidation>
        <x14:dataValidation type="list" allowBlank="1" showInputMessage="1" showErrorMessage="1">
          <x14:formula1>
            <xm:f>'C:\Users\Golfa\Documents\arxius cameres\PARC NATURAL CADÍ\PLA ESTRATÈGIC SILVIA\JOAN\[Còpia de Model Pla Estrategic ENP_v2024_Cadí_Rev.01.xlsx]Full1'!#REF!</xm:f>
          </x14:formula1>
          <xm:sqref>I113:I114</xm:sqref>
        </x14:dataValidation>
        <x14:dataValidation type="list" allowBlank="1" showInputMessage="1" showErrorMessage="1">
          <x14:formula1>
            <xm:f>'C:\Users\Golfa\Downloads\[Model Pla Estrategic ENP_v2024_final_revisat des2024.xlsx]Full1'!#REF!</xm:f>
          </x14:formula1>
          <xm:sqref>H192:I192 H17:I17 H36:I36 H100:I100 H104:I104 H146:I146 H161:I161</xm:sqref>
        </x14:dataValidation>
        <x14:dataValidation type="list" allowBlank="1" showInputMessage="1" showErrorMessage="1">
          <x14:formula1>
            <xm:f>'[Model Pla Estrategic ENP_v2024_Cadí_Rev.00_final.xlsx]Full1'!#REF!</xm:f>
          </x14:formula1>
          <xm:sqref>L5:L192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4"/>
  <sheetViews>
    <sheetView zoomScale="90" zoomScaleNormal="90" workbookViewId="0">
      <selection activeCell="F6" sqref="F6"/>
    </sheetView>
  </sheetViews>
  <sheetFormatPr defaultRowHeight="14.5"/>
  <cols>
    <col min="1" max="1" width="6.26953125" customWidth="1"/>
    <col min="2" max="2" width="57.26953125" customWidth="1"/>
    <col min="3" max="3" width="45" customWidth="1"/>
    <col min="4" max="4" width="61" style="72" customWidth="1"/>
    <col min="5" max="5" width="33.26953125" customWidth="1"/>
    <col min="6" max="6" width="22" customWidth="1"/>
    <col min="8" max="8" width="26.26953125" customWidth="1"/>
  </cols>
  <sheetData>
    <row r="1" spans="1:6" ht="15.5">
      <c r="A1" s="126" t="s">
        <v>680</v>
      </c>
    </row>
    <row r="2" spans="1:6" ht="15.5">
      <c r="A2" s="126"/>
    </row>
    <row r="3" spans="1:6" ht="16" thickBot="1">
      <c r="A3" s="126" t="s">
        <v>682</v>
      </c>
    </row>
    <row r="4" spans="1:6" ht="16" thickBot="1">
      <c r="A4" s="129" t="s">
        <v>681</v>
      </c>
      <c r="B4" s="152" t="s">
        <v>785</v>
      </c>
      <c r="C4" s="131" t="s">
        <v>826</v>
      </c>
      <c r="D4" s="130" t="s">
        <v>827</v>
      </c>
      <c r="E4" s="130" t="s">
        <v>827</v>
      </c>
      <c r="F4" s="228" t="s">
        <v>1337</v>
      </c>
    </row>
    <row r="5" spans="1:6" ht="29">
      <c r="A5" s="153" t="s">
        <v>14</v>
      </c>
      <c r="B5" s="151" t="str">
        <f>PLA!J5</f>
        <v>Implementar i executar plans de gestió específics per a hàbitats i espècies de conservació prioritària dins l'ENP</v>
      </c>
      <c r="C5" s="151" t="s">
        <v>741</v>
      </c>
      <c r="D5" s="128" t="s">
        <v>750</v>
      </c>
      <c r="E5" s="128"/>
      <c r="F5" s="172"/>
    </row>
    <row r="6" spans="1:6" ht="29">
      <c r="A6" s="153" t="s">
        <v>21</v>
      </c>
      <c r="B6" s="151" t="str">
        <f>PLA!J6</f>
        <v>Adaptar i executar plans de gestió específics per a elements geològics de conservació prioritària dins l'ENP</v>
      </c>
      <c r="C6" s="151" t="s">
        <v>714</v>
      </c>
      <c r="D6" s="127" t="s">
        <v>715</v>
      </c>
      <c r="E6" s="127"/>
      <c r="F6" s="172"/>
    </row>
    <row r="7" spans="1:6" ht="43.5">
      <c r="A7" s="154" t="s">
        <v>26</v>
      </c>
      <c r="B7" s="151" t="str">
        <f>PLA!J7</f>
        <v>Implementar la metodologia de gestió adaptativa (Estàndards Oberts de Gestió Adaptativa a Catalunya) en tots els processos de l'ENP</v>
      </c>
      <c r="C7" s="151" t="s">
        <v>825</v>
      </c>
      <c r="D7" s="127"/>
      <c r="E7" s="127"/>
      <c r="F7" s="172" t="s">
        <v>1338</v>
      </c>
    </row>
    <row r="8" spans="1:6" ht="43.5">
      <c r="A8" s="154" t="s">
        <v>32</v>
      </c>
      <c r="B8" s="151" t="str">
        <f>PLA!J8</f>
        <v>Executar les mesures previstes en els plans de conservació o recuperació d'espècies amenaçades de forma coordinada amb el Servei de Flora i Fauna en l'àmbit de l'ENP</v>
      </c>
      <c r="C8" s="151" t="s">
        <v>741</v>
      </c>
      <c r="D8" s="127" t="s">
        <v>750</v>
      </c>
      <c r="E8" s="127"/>
      <c r="F8" s="172"/>
    </row>
    <row r="9" spans="1:6" ht="43.5">
      <c r="A9" s="154" t="s">
        <v>36</v>
      </c>
      <c r="B9" s="151" t="str">
        <f>PLA!J9</f>
        <v>Executar les mesures de gestió previstes en els plans de control i erradicació d'espècies exòtiques de forma coordinada amb el Servei de Flora i Fauna en l'àmbit de l'ENP</v>
      </c>
      <c r="C9" s="151" t="s">
        <v>754</v>
      </c>
      <c r="D9" s="127" t="s">
        <v>755</v>
      </c>
      <c r="E9" s="127"/>
      <c r="F9" s="172"/>
    </row>
    <row r="10" spans="1:6" ht="29">
      <c r="A10" s="154" t="s">
        <v>40</v>
      </c>
      <c r="B10" s="151" t="str">
        <f>PLA!J10</f>
        <v xml:space="preserve">Desplegar els objectius i tasques recollits en els instruments de referència i compromisos internacionals  </v>
      </c>
      <c r="C10" s="151" t="s">
        <v>741</v>
      </c>
      <c r="D10" s="127" t="s">
        <v>750</v>
      </c>
      <c r="E10" s="127"/>
      <c r="F10" s="172"/>
    </row>
    <row r="11" spans="1:6" ht="29">
      <c r="A11" s="153" t="s">
        <v>46</v>
      </c>
      <c r="B11" s="151" t="str">
        <f>PLA!J11</f>
        <v>Identificar espais pel foment de la dinàmica natural i l'aprofitament no extractiu</v>
      </c>
      <c r="C11" s="151" t="s">
        <v>741</v>
      </c>
      <c r="D11" s="127" t="s">
        <v>750</v>
      </c>
      <c r="E11" s="127"/>
      <c r="F11" s="172"/>
    </row>
    <row r="12" spans="1:6">
      <c r="A12" s="153" t="s">
        <v>50</v>
      </c>
      <c r="B12" s="151" t="str">
        <f>PLA!J12</f>
        <v>Afavorir la maduresa dels sistemes forestals</v>
      </c>
      <c r="C12" s="151" t="s">
        <v>741</v>
      </c>
      <c r="D12" s="195" t="s">
        <v>750</v>
      </c>
      <c r="E12" s="178"/>
      <c r="F12" s="172"/>
    </row>
    <row r="13" spans="1:6">
      <c r="A13" s="153" t="s">
        <v>53</v>
      </c>
      <c r="B13" s="151" t="str">
        <f>PLA!J13</f>
        <v>Generar pertorbacions controlades</v>
      </c>
      <c r="C13" s="151" t="s">
        <v>741</v>
      </c>
      <c r="D13" s="127" t="s">
        <v>750</v>
      </c>
      <c r="E13" s="127"/>
      <c r="F13" s="172"/>
    </row>
    <row r="14" spans="1:6">
      <c r="A14" s="153" t="s">
        <v>55</v>
      </c>
      <c r="B14" s="151" t="str">
        <f>PLA!J14</f>
        <v>NA</v>
      </c>
      <c r="C14" s="151" t="s">
        <v>741</v>
      </c>
      <c r="D14" s="127"/>
      <c r="E14" s="127"/>
      <c r="F14" s="172"/>
    </row>
    <row r="15" spans="1:6">
      <c r="A15" s="153" t="s">
        <v>57</v>
      </c>
      <c r="B15" s="151" t="str">
        <f>PLA!J15</f>
        <v>Fomentar el paisatge en mosaïc</v>
      </c>
      <c r="C15" s="151" t="s">
        <v>741</v>
      </c>
      <c r="D15" s="127" t="s">
        <v>752</v>
      </c>
      <c r="E15" s="127"/>
      <c r="F15" s="172"/>
    </row>
    <row r="16" spans="1:6">
      <c r="A16" s="153" t="s">
        <v>59</v>
      </c>
      <c r="B16" s="151" t="str">
        <f>PLA!J16</f>
        <v>NA</v>
      </c>
      <c r="C16" s="151" t="s">
        <v>741</v>
      </c>
      <c r="D16" s="127"/>
      <c r="E16" s="127"/>
      <c r="F16" s="172"/>
    </row>
    <row r="17" spans="1:6">
      <c r="A17" s="153" t="s">
        <v>63</v>
      </c>
      <c r="B17" s="151" t="str">
        <f>PLA!J18</f>
        <v>NA</v>
      </c>
      <c r="C17" s="151" t="s">
        <v>825</v>
      </c>
      <c r="D17" s="127"/>
      <c r="E17" s="127"/>
      <c r="F17" s="172"/>
    </row>
    <row r="18" spans="1:6" ht="29">
      <c r="A18" s="153" t="s">
        <v>66</v>
      </c>
      <c r="B18" s="151" t="str">
        <f>PLA!J19</f>
        <v>Fomentar bones pràctiques entre els col·lectius de propietaris i gestors del territori</v>
      </c>
      <c r="C18" s="151" t="s">
        <v>741</v>
      </c>
      <c r="D18" s="127" t="s">
        <v>750</v>
      </c>
      <c r="E18" s="127"/>
      <c r="F18" s="172"/>
    </row>
    <row r="19" spans="1:6" ht="29">
      <c r="A19" s="153" t="s">
        <v>68</v>
      </c>
      <c r="B19" s="151" t="str">
        <f>PLA!J20</f>
        <v>Impulsar la coordinació amb els ens locals en la gestió finques públiques situades dins d’ENP</v>
      </c>
      <c r="C19" s="151" t="s">
        <v>741</v>
      </c>
      <c r="D19" s="127" t="s">
        <v>750</v>
      </c>
      <c r="E19" s="127"/>
      <c r="F19" s="172"/>
    </row>
    <row r="20" spans="1:6">
      <c r="A20" s="153" t="s">
        <v>74</v>
      </c>
      <c r="B20" s="151" t="str">
        <f>PLA!J21</f>
        <v>Adaptar i implementar el Pla d'adaptació de l'ENP al canvi climàtic</v>
      </c>
      <c r="C20" s="151" t="s">
        <v>777</v>
      </c>
      <c r="D20" s="127" t="s">
        <v>780</v>
      </c>
      <c r="E20" s="127" t="s">
        <v>782</v>
      </c>
      <c r="F20" s="172"/>
    </row>
    <row r="21" spans="1:6">
      <c r="A21" s="153" t="s">
        <v>77</v>
      </c>
      <c r="B21" s="151" t="str">
        <f>PLA!J22</f>
        <v>Gestionar i planificar els recursos hídrics de l'ENP</v>
      </c>
      <c r="C21" s="151" t="s">
        <v>741</v>
      </c>
      <c r="D21" s="127" t="s">
        <v>744</v>
      </c>
      <c r="E21" s="127"/>
      <c r="F21" s="172"/>
    </row>
    <row r="22" spans="1:6" ht="29">
      <c r="A22" s="153" t="s">
        <v>79</v>
      </c>
      <c r="B22" s="151" t="str">
        <f>PLA!J23</f>
        <v>Participar en la redacció i execució dels instruments d'ordenació forestal sostenible i per la conservació en finques públiques</v>
      </c>
      <c r="C22" s="151" t="s">
        <v>723</v>
      </c>
      <c r="D22" s="127" t="s">
        <v>728</v>
      </c>
      <c r="E22" s="127"/>
      <c r="F22" s="172"/>
    </row>
    <row r="23" spans="1:6" ht="43.5">
      <c r="A23" s="153" t="s">
        <v>82</v>
      </c>
      <c r="B23" s="151" t="str">
        <f>PLA!J24</f>
        <v>Promoure la redacció d'instruments d'ordenació forestal per reduir la sensibilitat i vulnerabilitat dels boscos al canvi climàtic en finques privades</v>
      </c>
      <c r="C23" s="151" t="s">
        <v>723</v>
      </c>
      <c r="D23" s="127" t="s">
        <v>728</v>
      </c>
      <c r="E23" s="127"/>
      <c r="F23" s="172"/>
    </row>
    <row r="24" spans="1:6">
      <c r="A24" s="153" t="s">
        <v>87</v>
      </c>
      <c r="B24" s="151" t="str">
        <f>PLA!J25</f>
        <v xml:space="preserve">Implementar el Pla de Prevenció d'Incendis </v>
      </c>
      <c r="C24" s="151" t="s">
        <v>741</v>
      </c>
      <c r="D24" s="127" t="s">
        <v>742</v>
      </c>
      <c r="E24" s="127" t="s">
        <v>750</v>
      </c>
      <c r="F24" s="172"/>
    </row>
    <row r="25" spans="1:6">
      <c r="A25" s="153" t="s">
        <v>90</v>
      </c>
      <c r="B25" s="151" t="str">
        <f>PLA!J26</f>
        <v>Definir i planificar la gestió del foc per a la millora de l'ENP</v>
      </c>
      <c r="C25" s="151" t="s">
        <v>741</v>
      </c>
      <c r="D25" s="127" t="s">
        <v>742</v>
      </c>
      <c r="E25" s="127" t="s">
        <v>750</v>
      </c>
      <c r="F25" s="172"/>
    </row>
    <row r="26" spans="1:6" ht="29">
      <c r="A26" s="153" t="s">
        <v>93</v>
      </c>
      <c r="B26" s="151" t="str">
        <f>PLA!J27</f>
        <v>Treballar per a la prevenció d'incendis juntament amb els propietaris, ajuntaments, protecció civil, ADF i bombers.</v>
      </c>
      <c r="C26" s="151" t="s">
        <v>741</v>
      </c>
      <c r="D26" s="127" t="s">
        <v>742</v>
      </c>
      <c r="E26" s="127" t="s">
        <v>750</v>
      </c>
      <c r="F26" s="172"/>
    </row>
    <row r="27" spans="1:6" ht="30" customHeight="1">
      <c r="A27" s="153" t="s">
        <v>98</v>
      </c>
      <c r="B27" s="151" t="str">
        <f>PLA!J28</f>
        <v>Participar en les consultes dels procesos d'Avaluació Ambiental que afectin directament o indirectament l’espai del ENP</v>
      </c>
      <c r="C27" s="151" t="s">
        <v>714</v>
      </c>
      <c r="D27" s="127"/>
      <c r="E27" s="127"/>
      <c r="F27" s="172" t="s">
        <v>1339</v>
      </c>
    </row>
    <row r="28" spans="1:6" ht="23.5" customHeight="1">
      <c r="A28" s="153" t="s">
        <v>100</v>
      </c>
      <c r="B28" s="151" t="str">
        <f>PLA!J29</f>
        <v>Exercir un seguiment efectiu de les obres al Parc juntament amb les Oficines Territorials d'Acció i Avaluació Ambiental als efectes d'assegurar la correcta translació de la tutela administrativa.</v>
      </c>
      <c r="C28" s="151" t="s">
        <v>825</v>
      </c>
      <c r="D28" s="127"/>
      <c r="E28" s="127"/>
      <c r="F28" s="172" t="s">
        <v>1340</v>
      </c>
    </row>
    <row r="29" spans="1:6">
      <c r="A29" s="153" t="s">
        <v>102</v>
      </c>
      <c r="B29" s="151" t="str">
        <f>PLA!J30</f>
        <v>NA</v>
      </c>
      <c r="C29" s="151" t="s">
        <v>714</v>
      </c>
      <c r="D29" s="127"/>
      <c r="E29" s="127"/>
      <c r="F29" s="172"/>
    </row>
    <row r="30" spans="1:6">
      <c r="A30" s="153" t="s">
        <v>107</v>
      </c>
      <c r="B30" s="151" t="str">
        <f>PLA!J31</f>
        <v>Participar en l'elaboració dels instruments de planificació de l'ENP</v>
      </c>
      <c r="C30" s="151" t="s">
        <v>741</v>
      </c>
      <c r="D30" s="127" t="s">
        <v>750</v>
      </c>
      <c r="E30" s="127"/>
      <c r="F30" s="172"/>
    </row>
    <row r="31" spans="1:6">
      <c r="A31" s="153" t="s">
        <v>112</v>
      </c>
      <c r="B31" s="151" t="str">
        <f>PLA!J32</f>
        <v>NA</v>
      </c>
      <c r="C31" s="151" t="s">
        <v>723</v>
      </c>
      <c r="D31" s="127"/>
      <c r="E31" s="127"/>
      <c r="F31" s="172"/>
    </row>
    <row r="32" spans="1:6">
      <c r="A32" s="153" t="s">
        <v>115</v>
      </c>
      <c r="B32" s="151" t="str">
        <f>PLA!J33</f>
        <v>NA</v>
      </c>
      <c r="C32" s="151" t="s">
        <v>723</v>
      </c>
      <c r="D32" s="127"/>
      <c r="E32" s="127"/>
      <c r="F32" s="172"/>
    </row>
    <row r="33" spans="1:6">
      <c r="A33" s="153" t="s">
        <v>117</v>
      </c>
      <c r="B33" s="151" t="str">
        <f>PLA!J34</f>
        <v>NA</v>
      </c>
      <c r="C33" s="151" t="s">
        <v>723</v>
      </c>
      <c r="D33" s="127"/>
      <c r="E33" s="127"/>
      <c r="F33" s="172"/>
    </row>
    <row r="34" spans="1:6">
      <c r="A34" s="153" t="s">
        <v>119</v>
      </c>
      <c r="B34" s="172" t="str">
        <f>PLA!J35</f>
        <v>NA</v>
      </c>
      <c r="C34" s="172" t="s">
        <v>763</v>
      </c>
      <c r="D34" s="127"/>
      <c r="E34" s="127"/>
      <c r="F34" s="172"/>
    </row>
    <row r="35" spans="1:6" ht="29">
      <c r="A35" s="153" t="s">
        <v>123</v>
      </c>
      <c r="B35" s="172" t="str">
        <f>PLA!J37</f>
        <v xml:space="preserve">Identificar espais prioritaris per a la compra de terrenys de més valor dins l'ENP </v>
      </c>
      <c r="C35" s="172" t="s">
        <v>825</v>
      </c>
      <c r="D35" s="127"/>
      <c r="E35" s="127"/>
      <c r="F35" s="172"/>
    </row>
    <row r="36" spans="1:6">
      <c r="A36" s="153" t="s">
        <v>126</v>
      </c>
      <c r="B36" s="172" t="str">
        <f>PLA!J38</f>
        <v>Identificar espais prioritaris per a la gestió directa</v>
      </c>
      <c r="C36" s="172" t="s">
        <v>741</v>
      </c>
      <c r="D36" s="127" t="s">
        <v>750</v>
      </c>
      <c r="E36" s="127"/>
      <c r="F36" s="172"/>
    </row>
    <row r="37" spans="1:6" ht="29">
      <c r="A37" s="229" t="s">
        <v>1247</v>
      </c>
      <c r="B37" s="230" t="str">
        <f>[4]PLA!J37</f>
        <v xml:space="preserve">Identificar espais prioritaris per a la compra de terrenys de més valor dins l'ENP </v>
      </c>
      <c r="C37" s="172" t="s">
        <v>825</v>
      </c>
      <c r="D37" s="127"/>
      <c r="E37" s="127"/>
      <c r="F37" s="127"/>
    </row>
    <row r="38" spans="1:6" ht="29">
      <c r="A38" s="229" t="s">
        <v>1249</v>
      </c>
      <c r="B38" s="230" t="str">
        <f>[4]PLA!J36</f>
        <v>Colaborar amb l'òrgan competent per la conservació del domini públic d'acord amb les delimitacions i la normativa d'usos vigent</v>
      </c>
      <c r="C38" s="172" t="s">
        <v>741</v>
      </c>
      <c r="D38" s="127" t="s">
        <v>750</v>
      </c>
      <c r="E38" s="127"/>
      <c r="F38" s="127"/>
    </row>
    <row r="39" spans="1:6">
      <c r="A39" s="199"/>
      <c r="B39" s="227"/>
      <c r="C39" s="199"/>
      <c r="D39" s="227"/>
      <c r="E39" s="199"/>
    </row>
    <row r="40" spans="1:6">
      <c r="A40" s="199"/>
      <c r="B40" s="227"/>
      <c r="C40" s="199"/>
      <c r="D40" s="227"/>
      <c r="E40" s="199"/>
    </row>
    <row r="41" spans="1:6">
      <c r="A41" s="199"/>
      <c r="B41" s="227"/>
      <c r="C41" s="199"/>
      <c r="D41" s="227"/>
      <c r="E41" s="199"/>
    </row>
    <row r="42" spans="1:6">
      <c r="A42" s="199"/>
      <c r="B42" s="227"/>
      <c r="C42" s="199"/>
      <c r="D42" s="227"/>
      <c r="E42" s="199"/>
    </row>
    <row r="43" spans="1:6">
      <c r="A43" s="199"/>
      <c r="B43" s="227"/>
      <c r="C43" s="199"/>
      <c r="D43" s="227"/>
      <c r="E43" s="199"/>
    </row>
    <row r="44" spans="1:6">
      <c r="A44" s="199"/>
      <c r="B44" s="227"/>
      <c r="C44" s="199"/>
      <c r="D44" s="227"/>
      <c r="E44" s="199"/>
    </row>
    <row r="45" spans="1:6">
      <c r="A45" s="199"/>
      <c r="B45" s="227"/>
      <c r="C45" s="199"/>
      <c r="D45" s="227"/>
      <c r="E45" s="199"/>
    </row>
    <row r="46" spans="1:6">
      <c r="A46" s="199"/>
      <c r="B46" s="227"/>
      <c r="C46" s="199"/>
      <c r="D46" s="227"/>
      <c r="E46" s="199"/>
    </row>
    <row r="47" spans="1:6">
      <c r="A47" s="199"/>
      <c r="B47" s="227"/>
      <c r="C47" s="199"/>
      <c r="D47" s="227"/>
      <c r="E47" s="199"/>
    </row>
    <row r="48" spans="1:6">
      <c r="A48" s="199"/>
      <c r="B48" s="227"/>
      <c r="C48" s="199"/>
      <c r="D48" s="227"/>
      <c r="E48" s="199"/>
    </row>
    <row r="49" spans="1:5">
      <c r="A49" s="199"/>
      <c r="B49" s="227"/>
      <c r="C49" s="199"/>
      <c r="D49" s="227"/>
      <c r="E49" s="199"/>
    </row>
    <row r="50" spans="1:5">
      <c r="A50" s="199"/>
      <c r="B50" s="227"/>
      <c r="C50" s="199"/>
      <c r="D50" s="227"/>
      <c r="E50" s="199"/>
    </row>
    <row r="51" spans="1:5">
      <c r="A51" s="199"/>
      <c r="B51" s="227"/>
      <c r="C51" s="199"/>
      <c r="D51" s="227"/>
      <c r="E51" s="199"/>
    </row>
    <row r="52" spans="1:5">
      <c r="A52" s="199"/>
      <c r="B52" s="227"/>
      <c r="C52" s="199"/>
      <c r="D52" s="227"/>
      <c r="E52" s="199"/>
    </row>
    <row r="53" spans="1:5">
      <c r="A53" s="199"/>
      <c r="B53" s="227"/>
      <c r="C53" s="199"/>
      <c r="D53" s="227"/>
      <c r="E53" s="199"/>
    </row>
    <row r="54" spans="1:5">
      <c r="A54" s="199"/>
      <c r="B54" s="227"/>
      <c r="C54" s="199"/>
      <c r="D54" s="227"/>
      <c r="E54" s="199"/>
    </row>
    <row r="55" spans="1:5">
      <c r="A55" s="199"/>
      <c r="B55" s="227"/>
      <c r="C55" s="199"/>
      <c r="D55" s="227"/>
      <c r="E55" s="199"/>
    </row>
    <row r="56" spans="1:5">
      <c r="A56" s="199"/>
      <c r="B56" s="227"/>
      <c r="C56" s="199"/>
      <c r="D56" s="227"/>
      <c r="E56" s="199"/>
    </row>
    <row r="57" spans="1:5">
      <c r="A57" s="199"/>
      <c r="B57" s="227"/>
      <c r="C57" s="199"/>
      <c r="D57" s="227"/>
      <c r="E57" s="199"/>
    </row>
    <row r="58" spans="1:5">
      <c r="A58" s="199"/>
      <c r="B58" s="227"/>
      <c r="C58" s="199"/>
      <c r="D58" s="227"/>
      <c r="E58" s="199"/>
    </row>
    <row r="59" spans="1:5">
      <c r="A59" s="199"/>
      <c r="B59" s="227"/>
      <c r="C59" s="199"/>
      <c r="D59" s="227"/>
      <c r="E59" s="199"/>
    </row>
    <row r="60" spans="1:5">
      <c r="A60" s="199"/>
      <c r="B60" s="227"/>
      <c r="C60" s="199"/>
      <c r="D60" s="227"/>
      <c r="E60" s="199"/>
    </row>
    <row r="61" spans="1:5">
      <c r="A61" s="199"/>
      <c r="B61" s="227"/>
      <c r="C61" s="199"/>
      <c r="D61" s="227"/>
      <c r="E61" s="199"/>
    </row>
    <row r="62" spans="1:5">
      <c r="A62" s="199"/>
      <c r="B62" s="227"/>
      <c r="C62" s="199"/>
      <c r="D62" s="227"/>
      <c r="E62" s="199"/>
    </row>
    <row r="63" spans="1:5">
      <c r="A63" s="199"/>
      <c r="B63" s="227"/>
      <c r="C63" s="199"/>
      <c r="D63" s="227"/>
      <c r="E63" s="199"/>
    </row>
    <row r="64" spans="1:5">
      <c r="A64" s="199"/>
      <c r="B64" s="227"/>
      <c r="C64" s="199"/>
      <c r="D64" s="227"/>
      <c r="E64" s="199"/>
    </row>
    <row r="65" spans="1:5">
      <c r="A65" s="199"/>
      <c r="B65" s="227"/>
      <c r="C65" s="199"/>
      <c r="D65" s="227"/>
      <c r="E65" s="199"/>
    </row>
    <row r="66" spans="1:5">
      <c r="A66" s="199"/>
      <c r="B66" s="227"/>
      <c r="C66" s="199"/>
      <c r="D66" s="227"/>
      <c r="E66" s="199"/>
    </row>
    <row r="67" spans="1:5">
      <c r="A67" s="199"/>
      <c r="B67" s="227"/>
      <c r="C67" s="199"/>
      <c r="D67" s="227"/>
      <c r="E67" s="199"/>
    </row>
    <row r="68" spans="1:5">
      <c r="A68" s="199"/>
      <c r="B68" s="227"/>
      <c r="C68" s="199"/>
      <c r="D68" s="227"/>
      <c r="E68" s="199"/>
    </row>
    <row r="69" spans="1:5">
      <c r="A69" s="199"/>
      <c r="B69" s="227"/>
      <c r="C69" s="199"/>
      <c r="D69" s="227"/>
      <c r="E69" s="199"/>
    </row>
    <row r="70" spans="1:5">
      <c r="A70" s="199"/>
      <c r="B70" s="227"/>
      <c r="C70" s="199"/>
      <c r="D70" s="227"/>
      <c r="E70" s="199"/>
    </row>
    <row r="71" spans="1:5">
      <c r="A71" s="199"/>
      <c r="B71" s="227"/>
      <c r="C71" s="199"/>
      <c r="D71" s="227"/>
      <c r="E71" s="199"/>
    </row>
    <row r="72" spans="1:5">
      <c r="A72" s="199"/>
      <c r="B72" s="227"/>
      <c r="C72" s="199"/>
      <c r="D72" s="227"/>
      <c r="E72" s="199"/>
    </row>
    <row r="73" spans="1:5">
      <c r="A73" s="199"/>
      <c r="B73" s="227"/>
      <c r="C73" s="199"/>
      <c r="D73" s="227"/>
      <c r="E73" s="199"/>
    </row>
    <row r="74" spans="1:5">
      <c r="A74" s="199"/>
      <c r="B74" s="227"/>
      <c r="C74" s="199"/>
      <c r="D74" s="227"/>
      <c r="E74" s="199"/>
    </row>
    <row r="75" spans="1:5">
      <c r="A75" s="199"/>
      <c r="B75" s="227"/>
      <c r="C75" s="199"/>
      <c r="D75" s="227"/>
      <c r="E75" s="199"/>
    </row>
    <row r="76" spans="1:5">
      <c r="A76" s="199"/>
      <c r="B76" s="227"/>
      <c r="C76" s="199"/>
      <c r="D76" s="227"/>
      <c r="E76" s="199"/>
    </row>
    <row r="77" spans="1:5">
      <c r="A77" s="199"/>
      <c r="B77" s="227"/>
      <c r="C77" s="199"/>
      <c r="D77" s="227"/>
      <c r="E77" s="199"/>
    </row>
    <row r="78" spans="1:5">
      <c r="A78" s="199"/>
      <c r="B78" s="227"/>
      <c r="C78" s="199"/>
      <c r="D78" s="227"/>
      <c r="E78" s="199"/>
    </row>
    <row r="79" spans="1:5">
      <c r="A79" s="199"/>
      <c r="B79" s="227"/>
      <c r="C79" s="199"/>
      <c r="D79" s="227"/>
      <c r="E79" s="199"/>
    </row>
    <row r="80" spans="1:5">
      <c r="A80" s="199"/>
      <c r="B80" s="227"/>
      <c r="C80" s="199"/>
      <c r="D80" s="227"/>
      <c r="E80" s="199"/>
    </row>
    <row r="81" spans="1:5">
      <c r="A81" s="199"/>
      <c r="B81" s="227"/>
      <c r="C81" s="199"/>
      <c r="D81" s="227"/>
      <c r="E81" s="199"/>
    </row>
    <row r="82" spans="1:5">
      <c r="A82" s="199"/>
      <c r="B82" s="227"/>
      <c r="C82" s="199"/>
      <c r="D82" s="227"/>
      <c r="E82" s="199"/>
    </row>
    <row r="83" spans="1:5">
      <c r="A83" s="199"/>
      <c r="B83" s="227"/>
      <c r="C83" s="199"/>
      <c r="D83" s="227"/>
      <c r="E83" s="199"/>
    </row>
    <row r="84" spans="1:5">
      <c r="A84" s="199"/>
      <c r="B84" s="227"/>
      <c r="C84" s="199"/>
      <c r="D84" s="227"/>
      <c r="E84" s="199"/>
    </row>
    <row r="85" spans="1:5">
      <c r="A85" s="199"/>
      <c r="B85" s="227"/>
      <c r="C85" s="199"/>
      <c r="D85" s="227"/>
      <c r="E85" s="199"/>
    </row>
    <row r="86" spans="1:5">
      <c r="A86" s="199"/>
      <c r="B86" s="227"/>
      <c r="C86" s="199"/>
      <c r="D86" s="227"/>
      <c r="E86" s="199"/>
    </row>
    <row r="87" spans="1:5">
      <c r="A87" s="199"/>
      <c r="B87" s="227"/>
      <c r="C87" s="199"/>
      <c r="D87" s="227"/>
      <c r="E87" s="199"/>
    </row>
    <row r="88" spans="1:5">
      <c r="A88" s="199"/>
      <c r="B88" s="227"/>
      <c r="C88" s="199"/>
      <c r="D88" s="227"/>
      <c r="E88" s="199"/>
    </row>
    <row r="89" spans="1:5">
      <c r="A89" s="199"/>
      <c r="B89" s="227"/>
      <c r="C89" s="199"/>
      <c r="D89" s="227"/>
      <c r="E89" s="199"/>
    </row>
    <row r="90" spans="1:5">
      <c r="A90" s="199"/>
      <c r="B90" s="227"/>
      <c r="C90" s="199"/>
      <c r="D90" s="227"/>
      <c r="E90" s="199"/>
    </row>
    <row r="91" spans="1:5">
      <c r="A91" s="199"/>
      <c r="B91" s="227"/>
      <c r="C91" s="199"/>
      <c r="D91" s="227"/>
      <c r="E91" s="199"/>
    </row>
    <row r="92" spans="1:5">
      <c r="A92" s="199"/>
      <c r="B92" s="227"/>
      <c r="C92" s="199"/>
      <c r="D92" s="227"/>
      <c r="E92" s="199"/>
    </row>
    <row r="93" spans="1:5">
      <c r="A93" s="199"/>
      <c r="B93" s="227"/>
      <c r="C93" s="199"/>
      <c r="D93" s="227"/>
      <c r="E93" s="199"/>
    </row>
    <row r="94" spans="1:5">
      <c r="A94" s="199"/>
      <c r="B94" s="227"/>
      <c r="C94" s="199"/>
      <c r="D94" s="227"/>
      <c r="E94" s="199"/>
    </row>
    <row r="95" spans="1:5">
      <c r="A95" s="199"/>
      <c r="B95" s="227"/>
      <c r="C95" s="199"/>
      <c r="D95" s="227"/>
      <c r="E95" s="199"/>
    </row>
    <row r="96" spans="1:5">
      <c r="A96" s="199"/>
      <c r="B96" s="227"/>
      <c r="C96" s="199"/>
      <c r="D96" s="227"/>
      <c r="E96" s="199"/>
    </row>
    <row r="97" spans="1:5">
      <c r="A97" s="199"/>
      <c r="B97" s="227"/>
      <c r="C97" s="199"/>
      <c r="D97" s="227"/>
      <c r="E97" s="199"/>
    </row>
    <row r="98" spans="1:5">
      <c r="A98" s="199"/>
      <c r="B98" s="227"/>
      <c r="C98" s="199"/>
      <c r="D98" s="227"/>
      <c r="E98" s="199"/>
    </row>
    <row r="99" spans="1:5">
      <c r="A99" s="199"/>
      <c r="B99" s="227"/>
      <c r="C99" s="199"/>
      <c r="D99" s="227"/>
      <c r="E99" s="199"/>
    </row>
    <row r="100" spans="1:5">
      <c r="A100" s="199"/>
      <c r="B100" s="227"/>
      <c r="C100" s="199"/>
      <c r="D100" s="227"/>
      <c r="E100" s="199"/>
    </row>
    <row r="101" spans="1:5">
      <c r="A101" s="199"/>
      <c r="B101" s="227"/>
      <c r="C101" s="199"/>
      <c r="D101" s="227"/>
      <c r="E101" s="199"/>
    </row>
    <row r="102" spans="1:5">
      <c r="A102" s="199"/>
      <c r="B102" s="227"/>
      <c r="C102" s="199"/>
      <c r="D102" s="227"/>
      <c r="E102" s="199"/>
    </row>
    <row r="103" spans="1:5">
      <c r="A103" s="199"/>
      <c r="B103" s="227"/>
      <c r="C103" s="199"/>
      <c r="D103" s="227"/>
      <c r="E103" s="199"/>
    </row>
    <row r="104" spans="1:5">
      <c r="A104" s="199"/>
      <c r="B104" s="227"/>
      <c r="C104" s="199"/>
      <c r="D104" s="227"/>
      <c r="E104" s="199"/>
    </row>
    <row r="105" spans="1:5">
      <c r="A105" s="199"/>
      <c r="B105" s="227"/>
      <c r="C105" s="199"/>
      <c r="D105" s="227"/>
      <c r="E105" s="199"/>
    </row>
    <row r="106" spans="1:5">
      <c r="A106" s="199"/>
      <c r="B106" s="227"/>
      <c r="C106" s="199"/>
      <c r="D106" s="227"/>
      <c r="E106" s="199"/>
    </row>
    <row r="107" spans="1:5">
      <c r="A107" s="199"/>
      <c r="B107" s="199"/>
      <c r="C107" s="199"/>
      <c r="D107" s="227"/>
      <c r="E107" s="199"/>
    </row>
    <row r="108" spans="1:5">
      <c r="A108" s="199"/>
      <c r="B108" s="199"/>
      <c r="C108" s="199"/>
      <c r="D108" s="227"/>
      <c r="E108" s="199"/>
    </row>
    <row r="109" spans="1:5">
      <c r="A109" s="199"/>
      <c r="B109" s="199"/>
      <c r="C109" s="199"/>
      <c r="D109" s="227"/>
      <c r="E109" s="199"/>
    </row>
    <row r="110" spans="1:5">
      <c r="A110" s="199"/>
      <c r="B110" s="199"/>
      <c r="C110" s="199"/>
      <c r="D110" s="227"/>
      <c r="E110" s="199"/>
    </row>
    <row r="111" spans="1:5">
      <c r="A111" s="199"/>
      <c r="B111" s="199"/>
      <c r="C111" s="199"/>
      <c r="D111" s="227"/>
      <c r="E111" s="199"/>
    </row>
    <row r="112" spans="1:5">
      <c r="A112" s="199"/>
      <c r="B112" s="199"/>
      <c r="C112" s="199"/>
      <c r="D112" s="227"/>
      <c r="E112" s="199"/>
    </row>
    <row r="113" spans="1:5">
      <c r="A113" s="199"/>
      <c r="B113" s="199"/>
      <c r="C113" s="199"/>
      <c r="D113" s="227"/>
      <c r="E113" s="199"/>
    </row>
    <row r="114" spans="1:5">
      <c r="A114" s="199"/>
      <c r="B114" s="199"/>
      <c r="C114" s="199"/>
      <c r="D114" s="227"/>
      <c r="E114" s="199"/>
    </row>
    <row r="115" spans="1:5">
      <c r="A115" s="199"/>
      <c r="B115" s="199"/>
      <c r="C115" s="199"/>
      <c r="D115" s="227"/>
      <c r="E115" s="199"/>
    </row>
    <row r="116" spans="1:5">
      <c r="A116" s="199"/>
      <c r="B116" s="199"/>
      <c r="C116" s="199"/>
      <c r="D116" s="227"/>
      <c r="E116" s="199"/>
    </row>
    <row r="117" spans="1:5">
      <c r="A117" s="199"/>
      <c r="B117" s="199"/>
      <c r="C117" s="199"/>
      <c r="D117" s="227"/>
      <c r="E117" s="199"/>
    </row>
    <row r="118" spans="1:5">
      <c r="A118" s="199"/>
      <c r="B118" s="199"/>
      <c r="C118" s="199"/>
      <c r="D118" s="227"/>
      <c r="E118" s="199"/>
    </row>
    <row r="119" spans="1:5">
      <c r="A119" s="199"/>
      <c r="B119" s="199"/>
      <c r="C119" s="199"/>
      <c r="D119" s="227"/>
      <c r="E119" s="199"/>
    </row>
    <row r="120" spans="1:5">
      <c r="A120" s="199"/>
      <c r="B120" s="199"/>
      <c r="C120" s="199"/>
      <c r="D120" s="227"/>
      <c r="E120" s="199"/>
    </row>
    <row r="121" spans="1:5">
      <c r="A121" s="199"/>
      <c r="B121" s="199"/>
      <c r="C121" s="199"/>
      <c r="D121" s="227"/>
      <c r="E121" s="199"/>
    </row>
    <row r="122" spans="1:5">
      <c r="A122" s="199"/>
      <c r="B122" s="199"/>
      <c r="C122" s="199"/>
      <c r="D122" s="227"/>
      <c r="E122" s="199"/>
    </row>
    <row r="123" spans="1:5">
      <c r="A123" s="199"/>
      <c r="B123" s="199"/>
      <c r="C123" s="199"/>
      <c r="D123" s="227"/>
      <c r="E123" s="199"/>
    </row>
    <row r="124" spans="1:5">
      <c r="A124" s="199"/>
      <c r="B124" s="199"/>
      <c r="C124" s="199"/>
      <c r="D124" s="227"/>
      <c r="E124" s="199"/>
    </row>
    <row r="125" spans="1:5">
      <c r="A125" s="199"/>
      <c r="B125" s="199"/>
      <c r="C125" s="199"/>
      <c r="D125" s="227"/>
      <c r="E125" s="199"/>
    </row>
    <row r="126" spans="1:5">
      <c r="A126" s="199"/>
      <c r="B126" s="199"/>
      <c r="C126" s="199"/>
      <c r="D126" s="227"/>
      <c r="E126" s="199"/>
    </row>
    <row r="127" spans="1:5">
      <c r="A127" s="199"/>
      <c r="B127" s="199"/>
      <c r="C127" s="199"/>
      <c r="D127" s="227"/>
      <c r="E127" s="199"/>
    </row>
    <row r="128" spans="1:5">
      <c r="A128" s="199"/>
      <c r="B128" s="199"/>
      <c r="C128" s="199"/>
      <c r="D128" s="227"/>
      <c r="E128" s="199"/>
    </row>
    <row r="129" spans="1:5">
      <c r="A129" s="199"/>
      <c r="B129" s="199"/>
      <c r="C129" s="199"/>
      <c r="D129" s="227"/>
      <c r="E129" s="199"/>
    </row>
    <row r="130" spans="1:5">
      <c r="A130" s="199"/>
      <c r="B130" s="199"/>
      <c r="C130" s="199"/>
      <c r="D130" s="227"/>
      <c r="E130" s="199"/>
    </row>
    <row r="131" spans="1:5">
      <c r="A131" s="199"/>
      <c r="B131" s="199"/>
      <c r="C131" s="199"/>
      <c r="D131" s="227"/>
      <c r="E131" s="199"/>
    </row>
    <row r="132" spans="1:5">
      <c r="A132" s="199"/>
      <c r="B132" s="199"/>
      <c r="C132" s="199"/>
      <c r="D132" s="227"/>
      <c r="E132" s="199"/>
    </row>
    <row r="133" spans="1:5">
      <c r="A133" s="199"/>
      <c r="B133" s="199"/>
      <c r="C133" s="199"/>
      <c r="D133" s="227"/>
      <c r="E133" s="199"/>
    </row>
    <row r="134" spans="1:5">
      <c r="A134" s="199"/>
      <c r="B134" s="199"/>
      <c r="C134" s="199"/>
      <c r="D134" s="227"/>
      <c r="E134" s="199"/>
    </row>
    <row r="135" spans="1:5">
      <c r="A135" s="199"/>
      <c r="B135" s="199"/>
      <c r="C135" s="199"/>
      <c r="D135" s="227"/>
      <c r="E135" s="199"/>
    </row>
    <row r="136" spans="1:5">
      <c r="A136" s="199"/>
      <c r="B136" s="199"/>
      <c r="C136" s="199"/>
      <c r="D136" s="227"/>
      <c r="E136" s="199"/>
    </row>
    <row r="137" spans="1:5">
      <c r="A137" s="199"/>
      <c r="B137" s="199"/>
      <c r="C137" s="199"/>
      <c r="D137" s="227"/>
      <c r="E137" s="199"/>
    </row>
    <row r="138" spans="1:5">
      <c r="A138" s="199"/>
      <c r="B138" s="199"/>
      <c r="C138" s="199"/>
      <c r="D138" s="227"/>
      <c r="E138" s="199"/>
    </row>
    <row r="139" spans="1:5">
      <c r="A139" s="199"/>
      <c r="B139" s="199"/>
      <c r="C139" s="199"/>
      <c r="D139" s="227"/>
      <c r="E139" s="199"/>
    </row>
    <row r="140" spans="1:5">
      <c r="A140" s="199"/>
      <c r="B140" s="199"/>
      <c r="C140" s="199"/>
      <c r="D140" s="227"/>
      <c r="E140" s="199"/>
    </row>
    <row r="141" spans="1:5">
      <c r="A141" s="199"/>
      <c r="B141" s="199"/>
      <c r="C141" s="199"/>
      <c r="D141" s="227"/>
      <c r="E141" s="199"/>
    </row>
    <row r="142" spans="1:5">
      <c r="A142" s="199"/>
      <c r="B142" s="199"/>
      <c r="C142" s="199"/>
      <c r="D142" s="227"/>
      <c r="E142" s="199"/>
    </row>
    <row r="143" spans="1:5">
      <c r="A143" s="199"/>
      <c r="B143" s="199"/>
      <c r="C143" s="199"/>
      <c r="D143" s="227"/>
      <c r="E143" s="199"/>
    </row>
    <row r="144" spans="1:5">
      <c r="A144" s="199"/>
      <c r="B144" s="199"/>
      <c r="C144" s="199"/>
      <c r="D144" s="227"/>
      <c r="E144" s="199"/>
    </row>
    <row r="145" spans="1:5">
      <c r="A145" s="199"/>
      <c r="B145" s="199"/>
      <c r="C145" s="199"/>
      <c r="D145" s="227"/>
      <c r="E145" s="199"/>
    </row>
    <row r="146" spans="1:5">
      <c r="A146" s="199"/>
      <c r="B146" s="199"/>
      <c r="C146" s="199"/>
      <c r="D146" s="227"/>
      <c r="E146" s="199"/>
    </row>
    <row r="147" spans="1:5">
      <c r="A147" s="199"/>
      <c r="B147" s="199"/>
      <c r="C147" s="199"/>
      <c r="D147" s="227"/>
      <c r="E147" s="199"/>
    </row>
    <row r="148" spans="1:5">
      <c r="A148" s="199"/>
      <c r="B148" s="199"/>
      <c r="C148" s="199"/>
      <c r="D148" s="227"/>
      <c r="E148" s="199"/>
    </row>
    <row r="149" spans="1:5">
      <c r="A149" s="199"/>
      <c r="B149" s="199"/>
      <c r="C149" s="199"/>
      <c r="D149" s="227"/>
      <c r="E149" s="199"/>
    </row>
    <row r="150" spans="1:5">
      <c r="A150" s="199"/>
      <c r="B150" s="199"/>
      <c r="C150" s="199"/>
      <c r="D150" s="227"/>
      <c r="E150" s="199"/>
    </row>
    <row r="151" spans="1:5">
      <c r="A151" s="199"/>
      <c r="B151" s="199"/>
      <c r="C151" s="199"/>
      <c r="D151" s="227"/>
      <c r="E151" s="199"/>
    </row>
    <row r="152" spans="1:5">
      <c r="A152" s="199"/>
      <c r="B152" s="199"/>
      <c r="C152" s="199"/>
      <c r="D152" s="227"/>
      <c r="E152" s="199"/>
    </row>
    <row r="153" spans="1:5">
      <c r="A153" s="199"/>
      <c r="B153" s="199"/>
      <c r="C153" s="199"/>
      <c r="D153" s="227"/>
      <c r="E153" s="199"/>
    </row>
    <row r="154" spans="1:5">
      <c r="A154" s="199"/>
      <c r="B154" s="199"/>
      <c r="C154" s="199"/>
      <c r="D154" s="227"/>
      <c r="E154" s="199"/>
    </row>
    <row r="155" spans="1:5">
      <c r="A155" s="199"/>
      <c r="B155" s="199"/>
      <c r="C155" s="199"/>
      <c r="D155" s="227"/>
      <c r="E155" s="199"/>
    </row>
    <row r="156" spans="1:5">
      <c r="A156" s="199"/>
      <c r="B156" s="199"/>
      <c r="C156" s="199"/>
      <c r="D156" s="227"/>
      <c r="E156" s="199"/>
    </row>
    <row r="157" spans="1:5">
      <c r="A157" s="199"/>
      <c r="B157" s="199"/>
      <c r="C157" s="199"/>
      <c r="D157" s="227"/>
      <c r="E157" s="199"/>
    </row>
    <row r="158" spans="1:5">
      <c r="A158" s="199"/>
      <c r="B158" s="199"/>
      <c r="C158" s="199"/>
      <c r="D158" s="227"/>
      <c r="E158" s="199"/>
    </row>
    <row r="159" spans="1:5">
      <c r="A159" s="199"/>
      <c r="B159" s="199"/>
      <c r="C159" s="199"/>
      <c r="D159" s="227"/>
      <c r="E159" s="199"/>
    </row>
    <row r="160" spans="1:5">
      <c r="A160" s="199"/>
      <c r="B160" s="199"/>
      <c r="C160" s="199"/>
      <c r="D160" s="227"/>
      <c r="E160" s="199"/>
    </row>
    <row r="161" spans="1:5">
      <c r="A161" s="199"/>
      <c r="B161" s="199"/>
      <c r="C161" s="199"/>
      <c r="D161" s="227"/>
      <c r="E161" s="199"/>
    </row>
    <row r="162" spans="1:5">
      <c r="A162" s="199"/>
      <c r="B162" s="199"/>
      <c r="C162" s="199"/>
      <c r="D162" s="227"/>
      <c r="E162" s="199"/>
    </row>
    <row r="163" spans="1:5">
      <c r="A163" s="199"/>
      <c r="B163" s="199"/>
      <c r="C163" s="199"/>
      <c r="D163" s="227"/>
      <c r="E163" s="199"/>
    </row>
    <row r="164" spans="1:5">
      <c r="A164" s="199"/>
      <c r="B164" s="199"/>
      <c r="C164" s="199"/>
      <c r="D164" s="227"/>
      <c r="E164" s="199"/>
    </row>
    <row r="165" spans="1:5">
      <c r="A165" s="199"/>
      <c r="B165" s="199"/>
      <c r="C165" s="199"/>
      <c r="D165" s="227"/>
      <c r="E165" s="199"/>
    </row>
    <row r="166" spans="1:5">
      <c r="A166" s="199"/>
      <c r="B166" s="199"/>
      <c r="C166" s="199"/>
      <c r="D166" s="227"/>
      <c r="E166" s="199"/>
    </row>
    <row r="167" spans="1:5">
      <c r="A167" s="199"/>
      <c r="B167" s="199"/>
      <c r="C167" s="199"/>
      <c r="D167" s="227"/>
      <c r="E167" s="199"/>
    </row>
    <row r="168" spans="1:5">
      <c r="A168" s="199"/>
      <c r="B168" s="199"/>
      <c r="C168" s="199"/>
      <c r="D168" s="227"/>
      <c r="E168" s="199"/>
    </row>
    <row r="169" spans="1:5">
      <c r="A169" s="199"/>
      <c r="B169" s="199"/>
      <c r="C169" s="199"/>
      <c r="D169" s="227"/>
      <c r="E169" s="199"/>
    </row>
    <row r="170" spans="1:5">
      <c r="A170" s="199"/>
      <c r="B170" s="199"/>
      <c r="C170" s="199"/>
      <c r="D170" s="227"/>
      <c r="E170" s="199"/>
    </row>
    <row r="171" spans="1:5">
      <c r="A171" s="199"/>
      <c r="B171" s="199"/>
      <c r="C171" s="199"/>
      <c r="D171" s="227"/>
      <c r="E171" s="199"/>
    </row>
    <row r="172" spans="1:5">
      <c r="A172" s="199"/>
      <c r="B172" s="199"/>
      <c r="C172" s="199"/>
      <c r="D172" s="227"/>
      <c r="E172" s="199"/>
    </row>
    <row r="173" spans="1:5">
      <c r="A173" s="199"/>
      <c r="B173" s="199"/>
      <c r="C173" s="199"/>
      <c r="D173" s="227"/>
      <c r="E173" s="199"/>
    </row>
    <row r="174" spans="1:5">
      <c r="A174" s="199"/>
      <c r="B174" s="199"/>
      <c r="C174" s="199"/>
      <c r="D174" s="227"/>
      <c r="E174" s="199"/>
    </row>
    <row r="175" spans="1:5">
      <c r="A175" s="199"/>
      <c r="B175" s="199"/>
      <c r="C175" s="199"/>
      <c r="D175" s="227"/>
      <c r="E175" s="199"/>
    </row>
    <row r="176" spans="1:5">
      <c r="A176" s="199"/>
      <c r="B176" s="199"/>
      <c r="C176" s="199"/>
      <c r="D176" s="227"/>
      <c r="E176" s="199"/>
    </row>
    <row r="177" spans="1:5">
      <c r="A177" s="199"/>
      <c r="B177" s="199"/>
      <c r="C177" s="199"/>
      <c r="D177" s="227"/>
      <c r="E177" s="199"/>
    </row>
    <row r="178" spans="1:5">
      <c r="A178" s="199"/>
      <c r="B178" s="199"/>
      <c r="C178" s="199"/>
      <c r="D178" s="227"/>
      <c r="E178" s="199"/>
    </row>
    <row r="179" spans="1:5">
      <c r="A179" s="199"/>
      <c r="B179" s="199"/>
      <c r="C179" s="199"/>
      <c r="D179" s="227"/>
      <c r="E179" s="199"/>
    </row>
    <row r="180" spans="1:5">
      <c r="A180" s="199"/>
      <c r="B180" s="199"/>
      <c r="C180" s="199"/>
      <c r="D180" s="227"/>
      <c r="E180" s="199"/>
    </row>
    <row r="181" spans="1:5">
      <c r="A181" s="199"/>
      <c r="B181" s="199"/>
      <c r="C181" s="199"/>
      <c r="D181" s="227"/>
      <c r="E181" s="199"/>
    </row>
    <row r="182" spans="1:5">
      <c r="A182" s="199"/>
      <c r="B182" s="199"/>
      <c r="C182" s="199"/>
      <c r="D182" s="227"/>
      <c r="E182" s="199"/>
    </row>
    <row r="183" spans="1:5">
      <c r="A183" s="199"/>
      <c r="B183" s="199"/>
      <c r="C183" s="199"/>
      <c r="D183" s="227"/>
      <c r="E183" s="199"/>
    </row>
    <row r="184" spans="1:5">
      <c r="A184" s="199"/>
      <c r="B184" s="199"/>
      <c r="C184" s="199"/>
      <c r="D184" s="227"/>
      <c r="E184" s="199"/>
    </row>
    <row r="185" spans="1:5">
      <c r="A185" s="199"/>
      <c r="B185" s="199"/>
      <c r="C185" s="199"/>
      <c r="D185" s="227"/>
      <c r="E185" s="199"/>
    </row>
    <row r="186" spans="1:5">
      <c r="A186" s="199"/>
      <c r="B186" s="199"/>
      <c r="C186" s="199"/>
      <c r="D186" s="227"/>
      <c r="E186" s="199"/>
    </row>
    <row r="187" spans="1:5">
      <c r="A187" s="199"/>
      <c r="B187" s="199"/>
      <c r="C187" s="199"/>
      <c r="D187" s="227"/>
      <c r="E187" s="199"/>
    </row>
    <row r="188" spans="1:5">
      <c r="A188" s="199"/>
      <c r="B188" s="199"/>
      <c r="C188" s="199"/>
      <c r="D188" s="227"/>
      <c r="E188" s="199"/>
    </row>
    <row r="189" spans="1:5">
      <c r="A189" s="199"/>
      <c r="B189" s="199"/>
      <c r="C189" s="199"/>
      <c r="D189" s="227"/>
      <c r="E189" s="199"/>
    </row>
    <row r="190" spans="1:5">
      <c r="A190" s="199"/>
      <c r="B190" s="199"/>
      <c r="C190" s="199"/>
      <c r="D190" s="227"/>
      <c r="E190" s="199"/>
    </row>
    <row r="191" spans="1:5">
      <c r="A191" s="199"/>
      <c r="B191" s="199"/>
      <c r="C191" s="199"/>
      <c r="D191" s="227"/>
      <c r="E191" s="199"/>
    </row>
    <row r="192" spans="1:5">
      <c r="A192" s="199"/>
      <c r="B192" s="199"/>
      <c r="C192" s="199"/>
      <c r="D192" s="227"/>
      <c r="E192" s="199"/>
    </row>
    <row r="193" spans="1:5">
      <c r="A193" s="199"/>
      <c r="B193" s="199"/>
      <c r="C193" s="199"/>
      <c r="D193" s="227"/>
      <c r="E193" s="199"/>
    </row>
    <row r="194" spans="1:5">
      <c r="A194" s="199"/>
      <c r="B194" s="199"/>
      <c r="C194" s="199"/>
      <c r="D194" s="227"/>
      <c r="E194" s="199"/>
    </row>
    <row r="195" spans="1:5">
      <c r="A195" s="199"/>
      <c r="B195" s="199"/>
      <c r="C195" s="199"/>
      <c r="D195" s="227"/>
      <c r="E195" s="199"/>
    </row>
    <row r="196" spans="1:5">
      <c r="A196" s="199"/>
      <c r="B196" s="199"/>
      <c r="C196" s="199"/>
      <c r="D196" s="227"/>
      <c r="E196" s="199"/>
    </row>
    <row r="197" spans="1:5">
      <c r="A197" s="199"/>
      <c r="B197" s="199"/>
      <c r="C197" s="199"/>
      <c r="D197" s="227"/>
      <c r="E197" s="199"/>
    </row>
    <row r="198" spans="1:5">
      <c r="A198" s="199"/>
      <c r="B198" s="199"/>
      <c r="C198" s="199"/>
      <c r="D198" s="227"/>
      <c r="E198" s="199"/>
    </row>
    <row r="199" spans="1:5">
      <c r="A199" s="199"/>
      <c r="B199" s="199"/>
      <c r="C199" s="199"/>
      <c r="D199" s="227"/>
      <c r="E199" s="199"/>
    </row>
    <row r="200" spans="1:5">
      <c r="A200" s="199"/>
      <c r="B200" s="199"/>
      <c r="C200" s="199"/>
      <c r="D200" s="227"/>
      <c r="E200" s="199"/>
    </row>
    <row r="201" spans="1:5">
      <c r="A201" s="199"/>
      <c r="B201" s="199"/>
      <c r="C201" s="199"/>
      <c r="D201" s="227"/>
      <c r="E201" s="199"/>
    </row>
    <row r="202" spans="1:5">
      <c r="A202" s="199"/>
      <c r="B202" s="199"/>
      <c r="C202" s="199"/>
      <c r="D202" s="227"/>
      <c r="E202" s="199"/>
    </row>
    <row r="203" spans="1:5">
      <c r="A203" s="199"/>
      <c r="B203" s="199"/>
      <c r="C203" s="199"/>
      <c r="D203" s="227"/>
      <c r="E203" s="199"/>
    </row>
    <row r="204" spans="1:5">
      <c r="A204" s="199"/>
      <c r="B204" s="199"/>
      <c r="C204" s="199"/>
      <c r="D204" s="227"/>
      <c r="E204" s="199"/>
    </row>
    <row r="205" spans="1:5">
      <c r="A205" s="199"/>
      <c r="B205" s="199"/>
      <c r="C205" s="199"/>
      <c r="D205" s="227"/>
      <c r="E205" s="199"/>
    </row>
    <row r="206" spans="1:5">
      <c r="A206" s="199"/>
      <c r="B206" s="199"/>
      <c r="C206" s="199"/>
      <c r="D206" s="227"/>
      <c r="E206" s="199"/>
    </row>
    <row r="207" spans="1:5">
      <c r="A207" s="199"/>
      <c r="B207" s="199"/>
      <c r="C207" s="199"/>
      <c r="D207" s="227"/>
      <c r="E207" s="199"/>
    </row>
    <row r="208" spans="1:5">
      <c r="A208" s="199"/>
      <c r="B208" s="199"/>
      <c r="C208" s="199"/>
      <c r="D208" s="227"/>
      <c r="E208" s="199"/>
    </row>
    <row r="209" spans="1:5">
      <c r="A209" s="199"/>
      <c r="B209" s="199"/>
      <c r="C209" s="199"/>
      <c r="D209" s="227"/>
      <c r="E209" s="199"/>
    </row>
    <row r="210" spans="1:5">
      <c r="A210" s="199"/>
      <c r="B210" s="199"/>
      <c r="C210" s="199"/>
      <c r="D210" s="227"/>
      <c r="E210" s="199"/>
    </row>
    <row r="211" spans="1:5">
      <c r="A211" s="199"/>
      <c r="B211" s="199"/>
      <c r="C211" s="199"/>
      <c r="D211" s="227"/>
      <c r="E211" s="199"/>
    </row>
    <row r="212" spans="1:5">
      <c r="A212" s="199"/>
      <c r="B212" s="199"/>
      <c r="C212" s="199"/>
      <c r="D212" s="227"/>
      <c r="E212" s="199"/>
    </row>
    <row r="213" spans="1:5">
      <c r="A213" s="199"/>
      <c r="B213" s="199"/>
      <c r="C213" s="199"/>
      <c r="D213" s="227"/>
      <c r="E213" s="199"/>
    </row>
    <row r="214" spans="1:5">
      <c r="A214" s="199"/>
      <c r="B214" s="199"/>
      <c r="C214" s="199"/>
      <c r="D214" s="227"/>
      <c r="E214" s="199"/>
    </row>
    <row r="215" spans="1:5">
      <c r="A215" s="199"/>
      <c r="B215" s="199"/>
      <c r="C215" s="199"/>
      <c r="D215" s="227"/>
      <c r="E215" s="199"/>
    </row>
    <row r="216" spans="1:5">
      <c r="A216" s="199"/>
      <c r="B216" s="199"/>
      <c r="C216" s="199"/>
      <c r="D216" s="227"/>
      <c r="E216" s="199"/>
    </row>
    <row r="217" spans="1:5">
      <c r="A217" s="199"/>
      <c r="B217" s="199"/>
      <c r="C217" s="199"/>
      <c r="D217" s="227"/>
      <c r="E217" s="199"/>
    </row>
    <row r="218" spans="1:5">
      <c r="A218" s="199"/>
      <c r="B218" s="199"/>
      <c r="C218" s="199"/>
      <c r="D218" s="227"/>
      <c r="E218" s="199"/>
    </row>
    <row r="219" spans="1:5">
      <c r="A219" s="199"/>
      <c r="B219" s="199"/>
      <c r="C219" s="199"/>
      <c r="D219" s="227"/>
      <c r="E219" s="199"/>
    </row>
    <row r="220" spans="1:5">
      <c r="A220" s="199"/>
      <c r="B220" s="199"/>
      <c r="C220" s="199"/>
      <c r="D220" s="227"/>
      <c r="E220" s="199"/>
    </row>
    <row r="221" spans="1:5">
      <c r="A221" s="199"/>
      <c r="B221" s="199"/>
      <c r="C221" s="199"/>
      <c r="D221" s="227"/>
      <c r="E221" s="199"/>
    </row>
    <row r="222" spans="1:5">
      <c r="A222" s="199"/>
      <c r="B222" s="199"/>
      <c r="C222" s="199"/>
      <c r="D222" s="227"/>
      <c r="E222" s="199"/>
    </row>
    <row r="223" spans="1:5">
      <c r="A223" s="199"/>
      <c r="B223" s="199"/>
      <c r="C223" s="199"/>
      <c r="D223" s="227"/>
      <c r="E223" s="199"/>
    </row>
    <row r="224" spans="1:5">
      <c r="A224" s="199"/>
      <c r="B224" s="199"/>
      <c r="C224" s="199"/>
      <c r="D224" s="227"/>
      <c r="E224" s="199"/>
    </row>
    <row r="225" spans="1:5">
      <c r="A225" s="199"/>
      <c r="B225" s="199"/>
      <c r="C225" s="199"/>
      <c r="D225" s="227"/>
      <c r="E225" s="199"/>
    </row>
    <row r="226" spans="1:5">
      <c r="A226" s="199"/>
      <c r="B226" s="199"/>
      <c r="C226" s="199"/>
      <c r="D226" s="227"/>
      <c r="E226" s="199"/>
    </row>
    <row r="227" spans="1:5">
      <c r="A227" s="199"/>
      <c r="B227" s="199"/>
      <c r="C227" s="199"/>
      <c r="D227" s="227"/>
      <c r="E227" s="199"/>
    </row>
    <row r="228" spans="1:5">
      <c r="A228" s="199"/>
      <c r="B228" s="199"/>
      <c r="C228" s="199"/>
      <c r="D228" s="227"/>
      <c r="E228" s="199"/>
    </row>
    <row r="229" spans="1:5">
      <c r="A229" s="199"/>
      <c r="B229" s="199"/>
      <c r="C229" s="199"/>
      <c r="D229" s="227"/>
      <c r="E229" s="199"/>
    </row>
    <row r="230" spans="1:5">
      <c r="A230" s="199"/>
      <c r="B230" s="199"/>
      <c r="C230" s="199"/>
      <c r="D230" s="227"/>
      <c r="E230" s="199"/>
    </row>
    <row r="231" spans="1:5">
      <c r="A231" s="199"/>
      <c r="B231" s="199"/>
      <c r="C231" s="199"/>
      <c r="D231" s="227"/>
      <c r="E231" s="199"/>
    </row>
    <row r="232" spans="1:5">
      <c r="A232" s="199"/>
      <c r="B232" s="199"/>
      <c r="C232" s="199"/>
      <c r="D232" s="227"/>
      <c r="E232" s="199"/>
    </row>
    <row r="233" spans="1:5">
      <c r="A233" s="199"/>
      <c r="B233" s="199"/>
      <c r="C233" s="199"/>
      <c r="D233" s="227"/>
      <c r="E233" s="199"/>
    </row>
    <row r="234" spans="1:5">
      <c r="A234" s="199"/>
      <c r="B234" s="199"/>
      <c r="C234" s="199"/>
      <c r="D234" s="227"/>
      <c r="E234" s="199"/>
    </row>
    <row r="235" spans="1:5">
      <c r="A235" s="199"/>
      <c r="B235" s="199"/>
      <c r="C235" s="199"/>
      <c r="D235" s="227"/>
      <c r="E235" s="199"/>
    </row>
    <row r="236" spans="1:5">
      <c r="A236" s="199"/>
      <c r="B236" s="199"/>
      <c r="C236" s="199"/>
      <c r="D236" s="227"/>
      <c r="E236" s="199"/>
    </row>
    <row r="237" spans="1:5">
      <c r="A237" s="199"/>
      <c r="B237" s="199"/>
      <c r="C237" s="199"/>
      <c r="D237" s="227"/>
      <c r="E237" s="199"/>
    </row>
    <row r="238" spans="1:5">
      <c r="A238" s="199"/>
      <c r="B238" s="199"/>
      <c r="C238" s="199"/>
      <c r="D238" s="227"/>
      <c r="E238" s="199"/>
    </row>
    <row r="239" spans="1:5">
      <c r="A239" s="199"/>
      <c r="B239" s="199"/>
      <c r="C239" s="199"/>
      <c r="D239" s="227"/>
      <c r="E239" s="199"/>
    </row>
    <row r="240" spans="1:5">
      <c r="A240" s="199"/>
      <c r="B240" s="199"/>
      <c r="C240" s="199"/>
      <c r="D240" s="227"/>
      <c r="E240" s="199"/>
    </row>
    <row r="241" spans="1:5">
      <c r="A241" s="199"/>
      <c r="B241" s="199"/>
      <c r="C241" s="199"/>
      <c r="D241" s="227"/>
      <c r="E241" s="199"/>
    </row>
    <row r="242" spans="1:5">
      <c r="A242" s="199"/>
      <c r="B242" s="199"/>
      <c r="C242" s="199"/>
      <c r="D242" s="227"/>
      <c r="E242" s="199"/>
    </row>
    <row r="243" spans="1:5">
      <c r="A243" s="199"/>
      <c r="B243" s="199"/>
      <c r="C243" s="199"/>
      <c r="D243" s="227"/>
      <c r="E243" s="199"/>
    </row>
    <row r="244" spans="1:5">
      <c r="A244" s="199"/>
      <c r="B244" s="199"/>
      <c r="C244" s="199"/>
      <c r="D244" s="227"/>
      <c r="E244" s="199"/>
    </row>
    <row r="245" spans="1:5">
      <c r="A245" s="199"/>
      <c r="B245" s="199"/>
      <c r="C245" s="199"/>
      <c r="D245" s="227"/>
      <c r="E245" s="199"/>
    </row>
    <row r="246" spans="1:5">
      <c r="A246" s="199"/>
      <c r="B246" s="199"/>
      <c r="C246" s="199"/>
      <c r="D246" s="227"/>
      <c r="E246" s="199"/>
    </row>
    <row r="247" spans="1:5">
      <c r="A247" s="199"/>
      <c r="B247" s="199"/>
      <c r="C247" s="199"/>
      <c r="D247" s="227"/>
      <c r="E247" s="199"/>
    </row>
    <row r="248" spans="1:5">
      <c r="A248" s="199"/>
      <c r="B248" s="199"/>
      <c r="C248" s="199"/>
      <c r="D248" s="227"/>
      <c r="E248" s="199"/>
    </row>
    <row r="249" spans="1:5">
      <c r="A249" s="199"/>
      <c r="B249" s="199"/>
      <c r="C249" s="199"/>
      <c r="D249" s="227"/>
      <c r="E249" s="199"/>
    </row>
    <row r="250" spans="1:5">
      <c r="A250" s="199"/>
      <c r="B250" s="199"/>
      <c r="C250" s="199"/>
      <c r="D250" s="227"/>
      <c r="E250" s="199"/>
    </row>
    <row r="251" spans="1:5">
      <c r="A251" s="199"/>
      <c r="B251" s="199"/>
      <c r="C251" s="199"/>
      <c r="D251" s="227"/>
      <c r="E251" s="199"/>
    </row>
    <row r="252" spans="1:5">
      <c r="A252" s="199"/>
      <c r="B252" s="199"/>
      <c r="C252" s="199"/>
      <c r="D252" s="227"/>
      <c r="E252" s="199"/>
    </row>
    <row r="253" spans="1:5">
      <c r="A253" s="199"/>
      <c r="B253" s="199"/>
      <c r="C253" s="199"/>
      <c r="D253" s="227"/>
      <c r="E253" s="199"/>
    </row>
    <row r="254" spans="1:5">
      <c r="A254" s="199"/>
      <c r="B254" s="199"/>
      <c r="C254" s="199"/>
      <c r="D254" s="227"/>
      <c r="E254" s="199"/>
    </row>
    <row r="255" spans="1:5">
      <c r="A255" s="199"/>
      <c r="B255" s="199"/>
      <c r="C255" s="199"/>
      <c r="D255" s="227"/>
      <c r="E255" s="199"/>
    </row>
    <row r="256" spans="1:5">
      <c r="A256" s="199"/>
      <c r="B256" s="199"/>
      <c r="C256" s="199"/>
      <c r="D256" s="227"/>
      <c r="E256" s="199"/>
    </row>
    <row r="257" spans="1:5">
      <c r="A257" s="199"/>
      <c r="B257" s="199"/>
      <c r="C257" s="199"/>
      <c r="D257" s="227"/>
      <c r="E257" s="199"/>
    </row>
    <row r="258" spans="1:5">
      <c r="A258" s="199"/>
      <c r="B258" s="199"/>
      <c r="C258" s="199"/>
      <c r="D258" s="227"/>
      <c r="E258" s="199"/>
    </row>
    <row r="259" spans="1:5">
      <c r="A259" s="199"/>
      <c r="B259" s="199"/>
      <c r="C259" s="199"/>
      <c r="D259" s="227"/>
      <c r="E259" s="199"/>
    </row>
    <row r="260" spans="1:5">
      <c r="A260" s="199"/>
      <c r="B260" s="199"/>
      <c r="C260" s="199"/>
      <c r="D260" s="227"/>
      <c r="E260" s="199"/>
    </row>
    <row r="261" spans="1:5">
      <c r="A261" s="199"/>
      <c r="B261" s="199"/>
      <c r="C261" s="199"/>
      <c r="D261" s="227"/>
      <c r="E261" s="199"/>
    </row>
    <row r="262" spans="1:5">
      <c r="A262" s="199"/>
      <c r="B262" s="199"/>
      <c r="C262" s="199"/>
      <c r="D262" s="227"/>
      <c r="E262" s="199"/>
    </row>
    <row r="263" spans="1:5">
      <c r="A263" s="199"/>
      <c r="B263" s="199"/>
      <c r="C263" s="199"/>
      <c r="D263" s="227"/>
      <c r="E263" s="199"/>
    </row>
    <row r="264" spans="1:5">
      <c r="A264" s="199"/>
      <c r="B264" s="199"/>
      <c r="C264" s="199"/>
      <c r="D264" s="227"/>
      <c r="E264" s="199"/>
    </row>
    <row r="265" spans="1:5">
      <c r="A265" s="199"/>
      <c r="B265" s="199"/>
      <c r="C265" s="199"/>
      <c r="D265" s="227"/>
      <c r="E265" s="199"/>
    </row>
    <row r="266" spans="1:5">
      <c r="A266" s="199"/>
      <c r="B266" s="199"/>
      <c r="C266" s="199"/>
      <c r="D266" s="227"/>
      <c r="E266" s="199"/>
    </row>
    <row r="267" spans="1:5">
      <c r="A267" s="199"/>
      <c r="B267" s="199"/>
      <c r="C267" s="199"/>
      <c r="D267" s="227"/>
      <c r="E267" s="199"/>
    </row>
    <row r="268" spans="1:5">
      <c r="A268" s="199"/>
      <c r="B268" s="199"/>
      <c r="C268" s="199"/>
      <c r="D268" s="227"/>
      <c r="E268" s="199"/>
    </row>
    <row r="269" spans="1:5">
      <c r="A269" s="199"/>
      <c r="B269" s="199"/>
      <c r="C269" s="199"/>
      <c r="D269" s="227"/>
      <c r="E269" s="199"/>
    </row>
    <row r="270" spans="1:5">
      <c r="A270" s="199"/>
      <c r="B270" s="199"/>
      <c r="C270" s="199"/>
      <c r="D270" s="227"/>
      <c r="E270" s="199"/>
    </row>
    <row r="271" spans="1:5">
      <c r="A271" s="199"/>
      <c r="B271" s="199"/>
      <c r="C271" s="199"/>
      <c r="D271" s="227"/>
      <c r="E271" s="199"/>
    </row>
    <row r="272" spans="1:5">
      <c r="A272" s="199"/>
      <c r="B272" s="199"/>
      <c r="C272" s="199"/>
      <c r="D272" s="227"/>
      <c r="E272" s="199"/>
    </row>
    <row r="273" spans="1:5">
      <c r="A273" s="199"/>
      <c r="B273" s="199"/>
      <c r="C273" s="199"/>
      <c r="D273" s="227"/>
      <c r="E273" s="199"/>
    </row>
    <row r="274" spans="1:5">
      <c r="A274" s="199"/>
      <c r="B274" s="199"/>
      <c r="C274" s="199"/>
      <c r="D274" s="227"/>
      <c r="E274" s="199"/>
    </row>
    <row r="275" spans="1:5">
      <c r="A275" s="199"/>
      <c r="B275" s="199"/>
      <c r="C275" s="199"/>
      <c r="D275" s="227"/>
      <c r="E275" s="199"/>
    </row>
    <row r="276" spans="1:5">
      <c r="A276" s="199"/>
      <c r="B276" s="199"/>
      <c r="C276" s="199"/>
      <c r="D276" s="227"/>
      <c r="E276" s="199"/>
    </row>
    <row r="277" spans="1:5">
      <c r="A277" s="199"/>
      <c r="B277" s="199"/>
      <c r="C277" s="199"/>
      <c r="D277" s="227"/>
      <c r="E277" s="199"/>
    </row>
    <row r="278" spans="1:5">
      <c r="A278" s="199"/>
      <c r="B278" s="199"/>
      <c r="C278" s="199"/>
      <c r="D278" s="227"/>
      <c r="E278" s="199"/>
    </row>
    <row r="279" spans="1:5">
      <c r="A279" s="199"/>
      <c r="B279" s="199"/>
      <c r="C279" s="199"/>
      <c r="D279" s="227"/>
      <c r="E279" s="199"/>
    </row>
    <row r="280" spans="1:5">
      <c r="A280" s="199"/>
      <c r="B280" s="199"/>
      <c r="C280" s="199"/>
      <c r="D280" s="227"/>
      <c r="E280" s="199"/>
    </row>
    <row r="281" spans="1:5">
      <c r="A281" s="199"/>
      <c r="B281" s="199"/>
      <c r="C281" s="199"/>
      <c r="D281" s="227"/>
      <c r="E281" s="199"/>
    </row>
    <row r="282" spans="1:5">
      <c r="A282" s="199"/>
      <c r="B282" s="199"/>
      <c r="C282" s="199"/>
      <c r="D282" s="227"/>
      <c r="E282" s="199"/>
    </row>
    <row r="283" spans="1:5">
      <c r="A283" s="199"/>
      <c r="B283" s="199"/>
      <c r="C283" s="199"/>
      <c r="D283" s="227"/>
      <c r="E283" s="199"/>
    </row>
    <row r="284" spans="1:5">
      <c r="A284" s="199"/>
      <c r="B284" s="199"/>
      <c r="C284" s="199"/>
      <c r="D284" s="227"/>
      <c r="E284" s="199"/>
    </row>
    <row r="285" spans="1:5">
      <c r="A285" s="199"/>
      <c r="B285" s="199"/>
      <c r="C285" s="199"/>
      <c r="D285" s="227"/>
      <c r="E285" s="199"/>
    </row>
    <row r="286" spans="1:5">
      <c r="A286" s="199"/>
      <c r="B286" s="199"/>
      <c r="C286" s="199"/>
      <c r="D286" s="227"/>
      <c r="E286" s="199"/>
    </row>
    <row r="287" spans="1:5">
      <c r="A287" s="199"/>
      <c r="B287" s="199"/>
      <c r="C287" s="199"/>
      <c r="D287" s="227"/>
      <c r="E287" s="199"/>
    </row>
    <row r="288" spans="1:5">
      <c r="A288" s="199"/>
      <c r="B288" s="199"/>
      <c r="C288" s="199"/>
      <c r="D288" s="227"/>
      <c r="E288" s="199"/>
    </row>
    <row r="289" spans="1:5">
      <c r="A289" s="199"/>
      <c r="B289" s="199"/>
      <c r="C289" s="199"/>
      <c r="D289" s="227"/>
      <c r="E289" s="199"/>
    </row>
    <row r="290" spans="1:5">
      <c r="A290" s="199"/>
      <c r="B290" s="199"/>
      <c r="C290" s="199"/>
      <c r="D290" s="227"/>
      <c r="E290" s="199"/>
    </row>
    <row r="291" spans="1:5">
      <c r="A291" s="199"/>
      <c r="B291" s="199"/>
      <c r="C291" s="199"/>
      <c r="D291" s="227"/>
      <c r="E291" s="199"/>
    </row>
    <row r="292" spans="1:5">
      <c r="A292" s="199"/>
      <c r="B292" s="199"/>
      <c r="C292" s="199"/>
      <c r="D292" s="227"/>
      <c r="E292" s="199"/>
    </row>
    <row r="293" spans="1:5">
      <c r="A293" s="199"/>
      <c r="B293" s="199"/>
      <c r="C293" s="199"/>
      <c r="D293" s="227"/>
      <c r="E293" s="199"/>
    </row>
    <row r="294" spans="1:5">
      <c r="A294" s="199"/>
      <c r="B294" s="199"/>
      <c r="C294" s="199"/>
      <c r="D294" s="227"/>
      <c r="E294" s="199"/>
    </row>
    <row r="295" spans="1:5">
      <c r="A295" s="199"/>
      <c r="B295" s="199"/>
      <c r="C295" s="199"/>
      <c r="D295" s="227"/>
      <c r="E295" s="199"/>
    </row>
    <row r="296" spans="1:5">
      <c r="A296" s="199"/>
      <c r="B296" s="199"/>
      <c r="C296" s="199"/>
      <c r="D296" s="227"/>
      <c r="E296" s="199"/>
    </row>
    <row r="297" spans="1:5">
      <c r="A297" s="199"/>
      <c r="B297" s="199"/>
      <c r="C297" s="199"/>
      <c r="D297" s="227"/>
      <c r="E297" s="199"/>
    </row>
    <row r="298" spans="1:5">
      <c r="A298" s="199"/>
      <c r="B298" s="199"/>
      <c r="C298" s="199"/>
      <c r="D298" s="227"/>
      <c r="E298" s="199"/>
    </row>
    <row r="299" spans="1:5">
      <c r="A299" s="199"/>
      <c r="B299" s="199"/>
      <c r="C299" s="199"/>
      <c r="D299" s="227"/>
      <c r="E299" s="199"/>
    </row>
    <row r="300" spans="1:5">
      <c r="A300" s="199"/>
      <c r="B300" s="199"/>
      <c r="C300" s="199"/>
      <c r="D300" s="227"/>
      <c r="E300" s="199"/>
    </row>
    <row r="301" spans="1:5">
      <c r="A301" s="199"/>
      <c r="B301" s="199"/>
      <c r="C301" s="199"/>
      <c r="D301" s="227"/>
      <c r="E301" s="199"/>
    </row>
    <row r="302" spans="1:5">
      <c r="A302" s="199"/>
      <c r="B302" s="199"/>
      <c r="C302" s="199"/>
      <c r="D302" s="227"/>
      <c r="E302" s="199"/>
    </row>
    <row r="303" spans="1:5">
      <c r="A303" s="199"/>
      <c r="B303" s="199"/>
      <c r="C303" s="199"/>
      <c r="D303" s="227"/>
      <c r="E303" s="199"/>
    </row>
    <row r="304" spans="1:5">
      <c r="A304" s="199"/>
      <c r="B304" s="199"/>
      <c r="C304" s="199"/>
      <c r="D304" s="227"/>
      <c r="E304" s="199"/>
    </row>
    <row r="305" spans="1:5">
      <c r="A305" s="199"/>
      <c r="B305" s="199"/>
      <c r="C305" s="199"/>
      <c r="D305" s="227"/>
      <c r="E305" s="199"/>
    </row>
    <row r="306" spans="1:5">
      <c r="A306" s="199"/>
      <c r="B306" s="199"/>
      <c r="C306" s="199"/>
      <c r="D306" s="227"/>
      <c r="E306" s="199"/>
    </row>
    <row r="307" spans="1:5">
      <c r="A307" s="199"/>
      <c r="B307" s="199"/>
      <c r="C307" s="199"/>
      <c r="D307" s="227"/>
      <c r="E307" s="199"/>
    </row>
    <row r="308" spans="1:5">
      <c r="A308" s="199"/>
      <c r="B308" s="199"/>
      <c r="C308" s="199"/>
      <c r="D308" s="227"/>
      <c r="E308" s="199"/>
    </row>
    <row r="309" spans="1:5">
      <c r="A309" s="199"/>
      <c r="B309" s="199"/>
      <c r="C309" s="199"/>
      <c r="D309" s="227"/>
      <c r="E309" s="199"/>
    </row>
    <row r="310" spans="1:5">
      <c r="A310" s="199"/>
      <c r="B310" s="199"/>
      <c r="C310" s="199"/>
      <c r="D310" s="227"/>
      <c r="E310" s="199"/>
    </row>
    <row r="311" spans="1:5">
      <c r="A311" s="199"/>
      <c r="B311" s="199"/>
      <c r="C311" s="199"/>
      <c r="D311" s="227"/>
      <c r="E311" s="199"/>
    </row>
    <row r="312" spans="1:5">
      <c r="A312" s="199"/>
      <c r="B312" s="199"/>
      <c r="C312" s="199"/>
      <c r="D312" s="227"/>
      <c r="E312" s="199"/>
    </row>
    <row r="313" spans="1:5">
      <c r="A313" s="199"/>
      <c r="B313" s="199"/>
      <c r="C313" s="199"/>
      <c r="D313" s="227"/>
      <c r="E313" s="199"/>
    </row>
    <row r="314" spans="1:5">
      <c r="A314" s="199"/>
      <c r="B314" s="199"/>
      <c r="C314" s="199"/>
      <c r="D314" s="227"/>
      <c r="E314" s="199"/>
    </row>
    <row r="315" spans="1:5">
      <c r="A315" s="199"/>
      <c r="B315" s="199"/>
      <c r="C315" s="199"/>
      <c r="D315" s="227"/>
      <c r="E315" s="199"/>
    </row>
    <row r="316" spans="1:5">
      <c r="A316" s="199"/>
      <c r="B316" s="199"/>
      <c r="C316" s="199"/>
      <c r="D316" s="227"/>
      <c r="E316" s="199"/>
    </row>
    <row r="317" spans="1:5">
      <c r="A317" s="199"/>
      <c r="B317" s="199"/>
      <c r="C317" s="199"/>
      <c r="D317" s="227"/>
      <c r="E317" s="199"/>
    </row>
    <row r="318" spans="1:5">
      <c r="A318" s="199"/>
      <c r="B318" s="199"/>
      <c r="C318" s="199"/>
      <c r="D318" s="227"/>
      <c r="E318" s="199"/>
    </row>
    <row r="319" spans="1:5">
      <c r="A319" s="199"/>
      <c r="B319" s="199"/>
      <c r="C319" s="199"/>
      <c r="D319" s="227"/>
      <c r="E319" s="199"/>
    </row>
    <row r="320" spans="1:5">
      <c r="A320" s="199"/>
      <c r="B320" s="199"/>
      <c r="C320" s="199"/>
      <c r="D320" s="227"/>
      <c r="E320" s="199"/>
    </row>
    <row r="321" spans="1:5">
      <c r="A321" s="199"/>
      <c r="B321" s="199"/>
      <c r="C321" s="199"/>
      <c r="D321" s="227"/>
      <c r="E321" s="199"/>
    </row>
    <row r="322" spans="1:5">
      <c r="A322" s="199"/>
      <c r="B322" s="199"/>
      <c r="C322" s="199"/>
      <c r="D322" s="227"/>
      <c r="E322" s="199"/>
    </row>
    <row r="323" spans="1:5">
      <c r="A323" s="199"/>
      <c r="B323" s="199"/>
      <c r="C323" s="199"/>
      <c r="D323" s="227"/>
      <c r="E323" s="199"/>
    </row>
    <row r="324" spans="1:5">
      <c r="A324" s="199"/>
      <c r="B324" s="199"/>
      <c r="C324" s="199"/>
      <c r="D324" s="227"/>
      <c r="E324" s="199"/>
    </row>
    <row r="325" spans="1:5">
      <c r="A325" s="199"/>
      <c r="B325" s="199"/>
      <c r="C325" s="199"/>
      <c r="D325" s="227"/>
      <c r="E325" s="199"/>
    </row>
    <row r="326" spans="1:5">
      <c r="A326" s="199"/>
      <c r="B326" s="199"/>
      <c r="C326" s="199"/>
      <c r="D326" s="227"/>
      <c r="E326" s="199"/>
    </row>
    <row r="327" spans="1:5">
      <c r="A327" s="199"/>
      <c r="B327" s="199"/>
      <c r="C327" s="199"/>
      <c r="D327" s="227"/>
      <c r="E327" s="199"/>
    </row>
    <row r="328" spans="1:5">
      <c r="A328" s="199"/>
      <c r="B328" s="199"/>
      <c r="C328" s="199"/>
      <c r="D328" s="227"/>
      <c r="E328" s="199"/>
    </row>
    <row r="329" spans="1:5">
      <c r="A329" s="199"/>
      <c r="B329" s="199"/>
      <c r="C329" s="199"/>
      <c r="D329" s="227"/>
      <c r="E329" s="199"/>
    </row>
    <row r="330" spans="1:5">
      <c r="A330" s="199"/>
      <c r="B330" s="199"/>
      <c r="C330" s="199"/>
      <c r="D330" s="227"/>
      <c r="E330" s="199"/>
    </row>
    <row r="331" spans="1:5">
      <c r="A331" s="199"/>
      <c r="B331" s="199"/>
      <c r="C331" s="199"/>
      <c r="D331" s="227"/>
      <c r="E331" s="199"/>
    </row>
    <row r="332" spans="1:5">
      <c r="A332" s="199"/>
      <c r="B332" s="199"/>
      <c r="C332" s="199"/>
      <c r="D332" s="227"/>
      <c r="E332" s="199"/>
    </row>
    <row r="333" spans="1:5">
      <c r="A333" s="199"/>
      <c r="B333" s="199"/>
      <c r="C333" s="199"/>
      <c r="D333" s="227"/>
      <c r="E333" s="199"/>
    </row>
    <row r="334" spans="1:5">
      <c r="A334" s="199"/>
      <c r="B334" s="199"/>
      <c r="C334" s="199"/>
      <c r="D334" s="227"/>
      <c r="E334" s="199"/>
    </row>
    <row r="335" spans="1:5">
      <c r="A335" s="199"/>
      <c r="B335" s="199"/>
      <c r="C335" s="199"/>
      <c r="D335" s="227"/>
      <c r="E335" s="199"/>
    </row>
    <row r="336" spans="1:5">
      <c r="A336" s="199"/>
      <c r="B336" s="199"/>
      <c r="C336" s="199"/>
      <c r="D336" s="227"/>
      <c r="E336" s="199"/>
    </row>
    <row r="337" spans="1:5">
      <c r="A337" s="199"/>
      <c r="B337" s="199"/>
      <c r="C337" s="199"/>
      <c r="D337" s="227"/>
      <c r="E337" s="199"/>
    </row>
    <row r="338" spans="1:5">
      <c r="A338" s="199"/>
      <c r="B338" s="199"/>
      <c r="C338" s="199"/>
      <c r="D338" s="227"/>
      <c r="E338" s="199"/>
    </row>
    <row r="339" spans="1:5">
      <c r="A339" s="199"/>
      <c r="B339" s="199"/>
      <c r="C339" s="199"/>
      <c r="D339" s="227"/>
      <c r="E339" s="199"/>
    </row>
    <row r="340" spans="1:5">
      <c r="A340" s="199"/>
      <c r="B340" s="199"/>
      <c r="C340" s="199"/>
      <c r="D340" s="227"/>
      <c r="E340" s="199"/>
    </row>
    <row r="341" spans="1:5">
      <c r="A341" s="199"/>
      <c r="B341" s="199"/>
      <c r="C341" s="199"/>
      <c r="D341" s="227"/>
      <c r="E341" s="199"/>
    </row>
    <row r="342" spans="1:5">
      <c r="A342" s="199"/>
      <c r="B342" s="199"/>
      <c r="C342" s="199"/>
      <c r="D342" s="227"/>
      <c r="E342" s="199"/>
    </row>
    <row r="343" spans="1:5">
      <c r="A343" s="199"/>
      <c r="B343" s="199"/>
      <c r="C343" s="199"/>
      <c r="D343" s="227"/>
      <c r="E343" s="199"/>
    </row>
    <row r="344" spans="1:5">
      <c r="A344" s="199"/>
      <c r="B344" s="199"/>
      <c r="C344" s="199"/>
      <c r="D344" s="227"/>
      <c r="E344" s="199"/>
    </row>
  </sheetData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>
          <x14:formula1>
            <xm:f>Llistes!$B$2:$B$13</xm:f>
          </x14:formula1>
          <xm:sqref>C5:C106</xm:sqref>
        </x14:dataValidation>
        <x14:dataValidation type="list" allowBlank="1" showInputMessage="1" showErrorMessage="1">
          <x14:formula1>
            <xm:f>Llistes!$H$2:$H$43</xm:f>
          </x14:formula1>
          <xm:sqref>D5:D106 E5:E38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842"/>
  <sheetViews>
    <sheetView topLeftCell="B34" workbookViewId="0">
      <selection activeCell="D37" sqref="D37"/>
    </sheetView>
  </sheetViews>
  <sheetFormatPr defaultColWidth="12.7265625" defaultRowHeight="15.75" customHeight="1"/>
  <cols>
    <col min="1" max="1" width="11.7265625" style="136" customWidth="1"/>
    <col min="2" max="2" width="24.7265625" style="136" customWidth="1"/>
    <col min="3" max="3" width="9.7265625" style="136" customWidth="1"/>
    <col min="4" max="4" width="33.26953125" style="136" customWidth="1"/>
    <col min="5" max="5" width="60.453125" style="136" customWidth="1"/>
    <col min="6" max="16384" width="12.7265625" style="136"/>
  </cols>
  <sheetData>
    <row r="1" spans="1:25" ht="22">
      <c r="A1" s="132" t="s">
        <v>686</v>
      </c>
      <c r="B1" s="133"/>
      <c r="C1" s="134"/>
      <c r="D1" s="135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5" ht="13">
      <c r="A2" s="134" t="s">
        <v>687</v>
      </c>
      <c r="B2" s="133"/>
      <c r="C2" s="134"/>
      <c r="D2" s="135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5" ht="13">
      <c r="A3" s="137" t="s">
        <v>688</v>
      </c>
      <c r="B3" s="133"/>
      <c r="C3" s="134"/>
      <c r="D3" s="135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</row>
    <row r="4" spans="1:25" ht="13">
      <c r="A4" s="133" t="s">
        <v>689</v>
      </c>
      <c r="B4" s="133"/>
      <c r="C4" s="134"/>
      <c r="D4" s="135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</row>
    <row r="5" spans="1:25" ht="17.25" customHeight="1">
      <c r="A5" s="138" t="s">
        <v>690</v>
      </c>
      <c r="B5" s="133"/>
      <c r="C5" s="134"/>
      <c r="D5" s="135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</row>
    <row r="6" spans="1:25" ht="17.25" customHeight="1">
      <c r="A6" s="134"/>
      <c r="B6" s="133"/>
      <c r="C6" s="134"/>
      <c r="D6" s="135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</row>
    <row r="7" spans="1:25" ht="17.25" customHeight="1">
      <c r="A7" s="134"/>
      <c r="B7" s="133"/>
      <c r="C7" s="134"/>
      <c r="D7" s="135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</row>
    <row r="8" spans="1:25" ht="29">
      <c r="A8" s="139" t="s">
        <v>691</v>
      </c>
      <c r="B8" s="140" t="s">
        <v>692</v>
      </c>
      <c r="C8" s="139" t="s">
        <v>691</v>
      </c>
      <c r="D8" s="141" t="s">
        <v>693</v>
      </c>
      <c r="E8" s="141" t="s">
        <v>694</v>
      </c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</row>
    <row r="9" spans="1:25" ht="78">
      <c r="A9" s="451">
        <v>1</v>
      </c>
      <c r="B9" s="453" t="s">
        <v>695</v>
      </c>
      <c r="C9" s="142">
        <v>1.1000000000000001</v>
      </c>
      <c r="D9" s="143" t="s">
        <v>696</v>
      </c>
      <c r="E9" s="143" t="s">
        <v>697</v>
      </c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</row>
    <row r="10" spans="1:25" ht="13">
      <c r="A10" s="452"/>
      <c r="B10" s="452"/>
      <c r="C10" s="142">
        <v>1.2</v>
      </c>
      <c r="D10" s="143" t="s">
        <v>698</v>
      </c>
      <c r="E10" s="14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</row>
    <row r="11" spans="1:25" ht="13">
      <c r="A11" s="452"/>
      <c r="B11" s="452"/>
      <c r="C11" s="142">
        <v>1.3</v>
      </c>
      <c r="D11" s="143" t="s">
        <v>699</v>
      </c>
      <c r="E11" s="143" t="s">
        <v>700</v>
      </c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</row>
    <row r="12" spans="1:25" ht="39">
      <c r="A12" s="451">
        <v>2</v>
      </c>
      <c r="B12" s="453" t="s">
        <v>701</v>
      </c>
      <c r="C12" s="142">
        <v>2.1</v>
      </c>
      <c r="D12" s="143" t="s">
        <v>702</v>
      </c>
      <c r="E12" s="143" t="s">
        <v>703</v>
      </c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</row>
    <row r="13" spans="1:25" ht="13">
      <c r="A13" s="452"/>
      <c r="B13" s="452"/>
      <c r="C13" s="142">
        <v>2.2000000000000002</v>
      </c>
      <c r="D13" s="143" t="s">
        <v>704</v>
      </c>
      <c r="E13" s="14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</row>
    <row r="14" spans="1:25" ht="26">
      <c r="A14" s="452"/>
      <c r="B14" s="452"/>
      <c r="C14" s="142">
        <v>2.2999999999999998</v>
      </c>
      <c r="D14" s="143" t="s">
        <v>705</v>
      </c>
      <c r="E14" s="143" t="s">
        <v>706</v>
      </c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</row>
    <row r="15" spans="1:25" ht="13">
      <c r="A15" s="452"/>
      <c r="B15" s="452"/>
      <c r="C15" s="142">
        <v>2.4</v>
      </c>
      <c r="D15" s="143" t="s">
        <v>707</v>
      </c>
      <c r="E15" s="143" t="s">
        <v>708</v>
      </c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</row>
    <row r="16" spans="1:25" ht="39">
      <c r="A16" s="451">
        <v>3</v>
      </c>
      <c r="B16" s="453" t="s">
        <v>709</v>
      </c>
      <c r="C16" s="142">
        <v>3.1</v>
      </c>
      <c r="D16" s="143" t="s">
        <v>710</v>
      </c>
      <c r="E16" s="143" t="s">
        <v>711</v>
      </c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</row>
    <row r="17" spans="1:25" ht="52">
      <c r="A17" s="452"/>
      <c r="B17" s="452"/>
      <c r="C17" s="142">
        <v>3.2</v>
      </c>
      <c r="D17" s="143" t="s">
        <v>712</v>
      </c>
      <c r="E17" s="143" t="s">
        <v>713</v>
      </c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</row>
    <row r="18" spans="1:25" ht="13">
      <c r="A18" s="451">
        <v>4</v>
      </c>
      <c r="B18" s="453" t="s">
        <v>714</v>
      </c>
      <c r="C18" s="142">
        <v>4.0999999999999996</v>
      </c>
      <c r="D18" s="143" t="s">
        <v>715</v>
      </c>
      <c r="E18" s="143" t="s">
        <v>716</v>
      </c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</row>
    <row r="19" spans="1:25" ht="26">
      <c r="A19" s="452"/>
      <c r="B19" s="452"/>
      <c r="C19" s="142">
        <v>4.2</v>
      </c>
      <c r="D19" s="143" t="s">
        <v>717</v>
      </c>
      <c r="E19" s="143" t="s">
        <v>718</v>
      </c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</row>
    <row r="20" spans="1:25" ht="26">
      <c r="A20" s="452"/>
      <c r="B20" s="452"/>
      <c r="C20" s="142">
        <v>4.3</v>
      </c>
      <c r="D20" s="143" t="s">
        <v>719</v>
      </c>
      <c r="E20" s="143" t="s">
        <v>720</v>
      </c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</row>
    <row r="21" spans="1:25" ht="26">
      <c r="A21" s="452"/>
      <c r="B21" s="452"/>
      <c r="C21" s="142">
        <v>4.4000000000000004</v>
      </c>
      <c r="D21" s="143" t="s">
        <v>721</v>
      </c>
      <c r="E21" s="143" t="s">
        <v>722</v>
      </c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</row>
    <row r="22" spans="1:25" ht="26">
      <c r="A22" s="451">
        <v>5</v>
      </c>
      <c r="B22" s="453" t="s">
        <v>723</v>
      </c>
      <c r="C22" s="142">
        <v>5.0999999999999996</v>
      </c>
      <c r="D22" s="143" t="s">
        <v>724</v>
      </c>
      <c r="E22" s="143" t="s">
        <v>725</v>
      </c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</row>
    <row r="23" spans="1:25" ht="13">
      <c r="A23" s="452"/>
      <c r="B23" s="452"/>
      <c r="C23" s="145">
        <v>5.2</v>
      </c>
      <c r="D23" s="143" t="s">
        <v>726</v>
      </c>
      <c r="E23" s="143" t="s">
        <v>727</v>
      </c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</row>
    <row r="24" spans="1:25" ht="13">
      <c r="A24" s="452"/>
      <c r="B24" s="452"/>
      <c r="C24" s="142">
        <v>5.3</v>
      </c>
      <c r="D24" s="143" t="s">
        <v>728</v>
      </c>
      <c r="E24" s="143" t="s">
        <v>729</v>
      </c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</row>
    <row r="25" spans="1:25" ht="39">
      <c r="A25" s="452"/>
      <c r="B25" s="452"/>
      <c r="C25" s="142">
        <v>5.4</v>
      </c>
      <c r="D25" s="143" t="s">
        <v>730</v>
      </c>
      <c r="E25" s="143" t="s">
        <v>731</v>
      </c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</row>
    <row r="26" spans="1:25" ht="78">
      <c r="A26" s="451">
        <v>6</v>
      </c>
      <c r="B26" s="453" t="s">
        <v>732</v>
      </c>
      <c r="C26" s="142">
        <v>6.1</v>
      </c>
      <c r="D26" s="143" t="s">
        <v>733</v>
      </c>
      <c r="E26" s="143" t="s">
        <v>734</v>
      </c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</row>
    <row r="27" spans="1:25" ht="26">
      <c r="A27" s="452"/>
      <c r="B27" s="452"/>
      <c r="C27" s="142">
        <v>6.2</v>
      </c>
      <c r="D27" s="143" t="s">
        <v>735</v>
      </c>
      <c r="E27" s="143" t="s">
        <v>736</v>
      </c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</row>
    <row r="28" spans="1:25" ht="39">
      <c r="A28" s="452"/>
      <c r="B28" s="452"/>
      <c r="C28" s="142">
        <v>6.3</v>
      </c>
      <c r="D28" s="143" t="s">
        <v>737</v>
      </c>
      <c r="E28" s="143" t="s">
        <v>738</v>
      </c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</row>
    <row r="29" spans="1:25" ht="26">
      <c r="A29" s="452"/>
      <c r="B29" s="452"/>
      <c r="C29" s="142">
        <v>6.4</v>
      </c>
      <c r="D29" s="143" t="s">
        <v>739</v>
      </c>
      <c r="E29" s="143" t="s">
        <v>740</v>
      </c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</row>
    <row r="30" spans="1:25" ht="26">
      <c r="A30" s="451">
        <v>7</v>
      </c>
      <c r="B30" s="453" t="s">
        <v>741</v>
      </c>
      <c r="C30" s="142">
        <v>7.1</v>
      </c>
      <c r="D30" s="143" t="s">
        <v>742</v>
      </c>
      <c r="E30" s="143" t="s">
        <v>743</v>
      </c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</row>
    <row r="31" spans="1:25" ht="65">
      <c r="A31" s="452"/>
      <c r="B31" s="452"/>
      <c r="C31" s="142">
        <v>7.2</v>
      </c>
      <c r="D31" s="143" t="s">
        <v>744</v>
      </c>
      <c r="E31" s="143" t="s">
        <v>745</v>
      </c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</row>
    <row r="32" spans="1:25" ht="39">
      <c r="A32" s="452"/>
      <c r="B32" s="452"/>
      <c r="C32" s="142">
        <v>7.3</v>
      </c>
      <c r="D32" s="143" t="s">
        <v>746</v>
      </c>
      <c r="E32" s="146" t="s">
        <v>747</v>
      </c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</row>
    <row r="33" spans="1:25" ht="26">
      <c r="A33" s="452"/>
      <c r="B33" s="452"/>
      <c r="C33" s="142">
        <v>7.4</v>
      </c>
      <c r="D33" s="143" t="s">
        <v>748</v>
      </c>
      <c r="E33" s="143" t="s">
        <v>749</v>
      </c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</row>
    <row r="34" spans="1:25" ht="39">
      <c r="A34" s="452"/>
      <c r="B34" s="452"/>
      <c r="C34" s="142">
        <v>7.5</v>
      </c>
      <c r="D34" s="143" t="s">
        <v>750</v>
      </c>
      <c r="E34" s="143" t="s">
        <v>751</v>
      </c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</row>
    <row r="35" spans="1:25" ht="39">
      <c r="A35" s="452"/>
      <c r="B35" s="452"/>
      <c r="C35" s="142">
        <v>7.6</v>
      </c>
      <c r="D35" s="143" t="s">
        <v>752</v>
      </c>
      <c r="E35" s="143" t="s">
        <v>753</v>
      </c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</row>
    <row r="36" spans="1:25" ht="39">
      <c r="A36" s="451">
        <v>8</v>
      </c>
      <c r="B36" s="453" t="s">
        <v>754</v>
      </c>
      <c r="C36" s="142">
        <v>8.1</v>
      </c>
      <c r="D36" s="143" t="s">
        <v>755</v>
      </c>
      <c r="E36" s="143" t="s">
        <v>756</v>
      </c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</row>
    <row r="37" spans="1:25" ht="52">
      <c r="A37" s="452"/>
      <c r="B37" s="452"/>
      <c r="C37" s="142">
        <v>8.1999999999999993</v>
      </c>
      <c r="D37" s="143" t="s">
        <v>757</v>
      </c>
      <c r="E37" s="143" t="s">
        <v>758</v>
      </c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</row>
    <row r="38" spans="1:25" ht="52">
      <c r="A38" s="452"/>
      <c r="B38" s="452"/>
      <c r="C38" s="142">
        <v>8.3000000000000007</v>
      </c>
      <c r="D38" s="143" t="s">
        <v>759</v>
      </c>
      <c r="E38" s="143" t="s">
        <v>760</v>
      </c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</row>
    <row r="39" spans="1:25" ht="26">
      <c r="A39" s="452"/>
      <c r="B39" s="452"/>
      <c r="C39" s="142">
        <v>8.4</v>
      </c>
      <c r="D39" s="143" t="s">
        <v>761</v>
      </c>
      <c r="E39" s="143" t="s">
        <v>762</v>
      </c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</row>
    <row r="40" spans="1:25" ht="39">
      <c r="A40" s="451">
        <v>9</v>
      </c>
      <c r="B40" s="453" t="s">
        <v>763</v>
      </c>
      <c r="C40" s="142">
        <v>9.1</v>
      </c>
      <c r="D40" s="143" t="s">
        <v>764</v>
      </c>
      <c r="E40" s="143" t="s">
        <v>765</v>
      </c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</row>
    <row r="41" spans="1:25" ht="39">
      <c r="A41" s="452"/>
      <c r="B41" s="452"/>
      <c r="C41" s="142">
        <v>9.1999999999999993</v>
      </c>
      <c r="D41" s="143" t="s">
        <v>766</v>
      </c>
      <c r="E41" s="143" t="s">
        <v>767</v>
      </c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</row>
    <row r="42" spans="1:25" ht="13">
      <c r="A42" s="452"/>
      <c r="B42" s="452"/>
      <c r="C42" s="142">
        <v>9.3000000000000007</v>
      </c>
      <c r="D42" s="143" t="s">
        <v>768</v>
      </c>
      <c r="E42" s="143" t="s">
        <v>769</v>
      </c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</row>
    <row r="43" spans="1:25" ht="78">
      <c r="A43" s="452"/>
      <c r="B43" s="452"/>
      <c r="C43" s="142">
        <v>9.4</v>
      </c>
      <c r="D43" s="143" t="s">
        <v>770</v>
      </c>
      <c r="E43" s="143" t="s">
        <v>771</v>
      </c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</row>
    <row r="44" spans="1:25" ht="26">
      <c r="A44" s="451">
        <v>10</v>
      </c>
      <c r="B44" s="453" t="s">
        <v>772</v>
      </c>
      <c r="C44" s="142">
        <v>10.1</v>
      </c>
      <c r="D44" s="143" t="s">
        <v>773</v>
      </c>
      <c r="E44" s="143" t="s">
        <v>774</v>
      </c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</row>
    <row r="45" spans="1:25" ht="13">
      <c r="A45" s="452"/>
      <c r="B45" s="452"/>
      <c r="C45" s="142">
        <v>10.199999999999999</v>
      </c>
      <c r="D45" s="143" t="s">
        <v>775</v>
      </c>
      <c r="E45" s="143" t="s">
        <v>776</v>
      </c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</row>
    <row r="46" spans="1:25" ht="52">
      <c r="A46" s="451">
        <v>11</v>
      </c>
      <c r="B46" s="453" t="s">
        <v>777</v>
      </c>
      <c r="C46" s="142">
        <v>11.1</v>
      </c>
      <c r="D46" s="143" t="s">
        <v>778</v>
      </c>
      <c r="E46" s="143" t="s">
        <v>779</v>
      </c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</row>
    <row r="47" spans="1:25" ht="26">
      <c r="A47" s="452"/>
      <c r="B47" s="452"/>
      <c r="C47" s="142">
        <v>11.2</v>
      </c>
      <c r="D47" s="143" t="s">
        <v>780</v>
      </c>
      <c r="E47" s="143" t="s">
        <v>781</v>
      </c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</row>
    <row r="48" spans="1:25" ht="39">
      <c r="A48" s="452"/>
      <c r="B48" s="452"/>
      <c r="C48" s="142">
        <v>11.3</v>
      </c>
      <c r="D48" s="143" t="s">
        <v>782</v>
      </c>
      <c r="E48" s="143" t="s">
        <v>783</v>
      </c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</row>
    <row r="49" spans="1:25" ht="13">
      <c r="A49" s="452"/>
      <c r="B49" s="452"/>
      <c r="C49" s="142">
        <v>11.4</v>
      </c>
      <c r="D49" s="143" t="s">
        <v>784</v>
      </c>
      <c r="E49" s="14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</row>
    <row r="50" spans="1:25" ht="13">
      <c r="A50" s="147"/>
      <c r="B50" s="148"/>
      <c r="C50" s="149"/>
      <c r="D50" s="135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</row>
    <row r="51" spans="1:25" ht="13">
      <c r="A51" s="147"/>
      <c r="B51" s="148"/>
      <c r="C51" s="149"/>
      <c r="D51" s="135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</row>
    <row r="52" spans="1:25" ht="13">
      <c r="A52" s="147"/>
      <c r="B52" s="148"/>
      <c r="C52" s="149"/>
      <c r="D52" s="135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</row>
    <row r="53" spans="1:25" ht="13">
      <c r="A53" s="133"/>
      <c r="B53" s="148"/>
      <c r="C53" s="149"/>
      <c r="D53" s="135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</row>
    <row r="54" spans="1:25" ht="13">
      <c r="A54" s="147"/>
      <c r="B54" s="148"/>
      <c r="C54" s="149"/>
      <c r="D54" s="135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</row>
    <row r="55" spans="1:25" ht="13">
      <c r="A55" s="147"/>
      <c r="B55" s="148"/>
      <c r="C55" s="149"/>
      <c r="D55" s="135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</row>
    <row r="56" spans="1:25" ht="13">
      <c r="A56" s="147"/>
      <c r="B56" s="148"/>
      <c r="C56" s="149"/>
      <c r="D56" s="135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</row>
    <row r="57" spans="1:25" ht="13">
      <c r="A57" s="147"/>
      <c r="B57" s="148"/>
      <c r="C57" s="149"/>
      <c r="D57" s="135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</row>
    <row r="58" spans="1:25" ht="13">
      <c r="A58" s="147"/>
      <c r="B58" s="135"/>
      <c r="C58" s="149"/>
      <c r="D58" s="148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</row>
    <row r="59" spans="1:25" ht="13">
      <c r="A59" s="147"/>
      <c r="B59" s="148"/>
      <c r="C59" s="149"/>
      <c r="D59" s="135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</row>
    <row r="60" spans="1:25" ht="13">
      <c r="A60" s="147"/>
      <c r="B60" s="148"/>
      <c r="C60" s="149"/>
      <c r="D60" s="135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</row>
    <row r="61" spans="1:25" ht="13">
      <c r="A61" s="147"/>
      <c r="B61" s="148"/>
      <c r="C61" s="149"/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</row>
    <row r="62" spans="1:25" ht="13">
      <c r="A62" s="147"/>
      <c r="B62" s="148"/>
      <c r="C62" s="149"/>
      <c r="D62" s="135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</row>
    <row r="63" spans="1:25" ht="13">
      <c r="A63" s="147"/>
      <c r="B63" s="148"/>
      <c r="C63" s="149"/>
      <c r="D63" s="135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</row>
    <row r="64" spans="1:25" ht="13">
      <c r="A64" s="147"/>
      <c r="B64" s="148"/>
      <c r="C64" s="149"/>
      <c r="D64" s="135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</row>
    <row r="65" spans="1:25" ht="13">
      <c r="A65" s="147"/>
      <c r="B65" s="148"/>
      <c r="C65" s="149"/>
      <c r="D65" s="135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</row>
    <row r="66" spans="1:25" ht="13">
      <c r="A66" s="147"/>
      <c r="B66" s="148"/>
      <c r="C66" s="149"/>
      <c r="D66" s="135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</row>
    <row r="67" spans="1:25" ht="13">
      <c r="A67" s="147"/>
      <c r="B67" s="148"/>
      <c r="C67" s="149"/>
      <c r="D67" s="135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</row>
    <row r="68" spans="1:25" ht="13">
      <c r="A68" s="147"/>
      <c r="B68" s="148"/>
      <c r="C68" s="149"/>
      <c r="D68" s="135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</row>
    <row r="69" spans="1:25" ht="13">
      <c r="A69" s="147"/>
      <c r="B69" s="148"/>
      <c r="C69" s="149"/>
      <c r="D69" s="135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</row>
    <row r="70" spans="1:25" ht="13">
      <c r="A70" s="147"/>
      <c r="B70" s="148"/>
      <c r="C70" s="149"/>
      <c r="D70" s="135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</row>
    <row r="71" spans="1:25" ht="13">
      <c r="A71" s="147"/>
      <c r="B71" s="148"/>
      <c r="C71" s="149"/>
      <c r="D71" s="135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</row>
    <row r="72" spans="1:25" ht="13">
      <c r="A72" s="147"/>
      <c r="B72" s="148"/>
      <c r="C72" s="149"/>
      <c r="D72" s="135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</row>
    <row r="73" spans="1:25" ht="13">
      <c r="A73" s="147"/>
      <c r="B73" s="148"/>
      <c r="C73" s="149"/>
      <c r="D73" s="135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</row>
    <row r="74" spans="1:25" ht="13">
      <c r="A74" s="147"/>
      <c r="B74" s="148"/>
      <c r="C74" s="150"/>
      <c r="D74" s="135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</row>
    <row r="75" spans="1:25" ht="13">
      <c r="A75" s="147"/>
      <c r="B75" s="148"/>
      <c r="C75" s="149"/>
      <c r="D75" s="135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</row>
    <row r="76" spans="1:25" ht="13">
      <c r="A76" s="147"/>
      <c r="B76" s="148"/>
      <c r="C76" s="149"/>
      <c r="D76" s="135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</row>
    <row r="77" spans="1:25" ht="13">
      <c r="A77" s="147"/>
      <c r="B77" s="148"/>
      <c r="C77" s="149"/>
      <c r="D77" s="135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</row>
    <row r="78" spans="1:25" ht="13">
      <c r="A78" s="147"/>
      <c r="B78" s="148"/>
      <c r="C78" s="149"/>
      <c r="D78" s="135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</row>
    <row r="79" spans="1:25" ht="13">
      <c r="A79" s="147"/>
      <c r="B79" s="148"/>
      <c r="C79" s="149"/>
      <c r="D79" s="135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</row>
    <row r="80" spans="1:25" ht="13">
      <c r="A80" s="147"/>
      <c r="B80" s="148"/>
      <c r="C80" s="149"/>
      <c r="D80" s="135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</row>
    <row r="81" spans="1:25" ht="13">
      <c r="A81" s="147"/>
      <c r="B81" s="148"/>
      <c r="C81" s="149"/>
      <c r="D81" s="135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</row>
    <row r="82" spans="1:25" ht="13">
      <c r="A82" s="147"/>
      <c r="B82" s="148"/>
      <c r="C82" s="149"/>
      <c r="D82" s="135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</row>
    <row r="83" spans="1:25" ht="13">
      <c r="A83" s="147"/>
      <c r="B83" s="148"/>
      <c r="C83" s="149"/>
      <c r="D83" s="135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</row>
    <row r="84" spans="1:25" ht="13">
      <c r="A84" s="147"/>
      <c r="B84" s="148"/>
      <c r="C84" s="149"/>
      <c r="D84" s="135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</row>
    <row r="85" spans="1:25" ht="13">
      <c r="A85" s="147"/>
      <c r="B85" s="148"/>
      <c r="C85" s="149"/>
      <c r="D85" s="148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</row>
    <row r="86" spans="1:25" ht="13">
      <c r="A86" s="147"/>
      <c r="B86" s="148"/>
      <c r="C86" s="149"/>
      <c r="D86" s="135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</row>
    <row r="87" spans="1:25" ht="13">
      <c r="A87" s="147"/>
      <c r="B87" s="148"/>
      <c r="C87" s="149"/>
      <c r="D87" s="135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</row>
    <row r="88" spans="1:25" ht="13">
      <c r="A88" s="147"/>
      <c r="B88" s="148"/>
      <c r="C88" s="149"/>
      <c r="D88" s="135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</row>
    <row r="89" spans="1:25" ht="13">
      <c r="A89" s="147"/>
      <c r="B89" s="148"/>
      <c r="C89" s="149"/>
      <c r="D89" s="135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</row>
    <row r="90" spans="1:25" ht="13">
      <c r="A90" s="147"/>
      <c r="B90" s="148"/>
      <c r="C90" s="149"/>
      <c r="D90" s="135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</row>
    <row r="91" spans="1:25" ht="13">
      <c r="A91" s="147"/>
      <c r="B91" s="148"/>
      <c r="C91" s="149"/>
      <c r="D91" s="135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</row>
    <row r="92" spans="1:25" ht="13">
      <c r="A92" s="147"/>
      <c r="B92" s="148"/>
      <c r="C92" s="149"/>
      <c r="D92" s="135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</row>
    <row r="93" spans="1:25" ht="13">
      <c r="A93" s="147"/>
      <c r="B93" s="148"/>
      <c r="C93" s="149"/>
      <c r="D93" s="135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</row>
    <row r="94" spans="1:25" ht="13">
      <c r="A94" s="147"/>
      <c r="B94" s="148"/>
      <c r="C94" s="149"/>
      <c r="D94" s="135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</row>
    <row r="95" spans="1:25" ht="13">
      <c r="A95" s="147"/>
      <c r="B95" s="148"/>
      <c r="C95" s="149"/>
      <c r="D95" s="135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</row>
    <row r="96" spans="1:25" ht="13">
      <c r="A96" s="147"/>
      <c r="B96" s="148"/>
      <c r="C96" s="149"/>
      <c r="D96" s="135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</row>
    <row r="97" spans="1:25" ht="13">
      <c r="A97" s="147"/>
      <c r="B97" s="148"/>
      <c r="C97" s="149"/>
      <c r="D97" s="135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</row>
    <row r="98" spans="1:25" ht="13">
      <c r="A98" s="147"/>
      <c r="B98" s="148"/>
      <c r="C98" s="149"/>
      <c r="D98" s="135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</row>
    <row r="99" spans="1:25" ht="13">
      <c r="A99" s="147"/>
      <c r="B99" s="148"/>
      <c r="C99" s="149"/>
      <c r="D99" s="135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</row>
    <row r="100" spans="1:25" ht="13">
      <c r="A100" s="147"/>
      <c r="B100" s="148"/>
      <c r="C100" s="149"/>
      <c r="D100" s="135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</row>
    <row r="101" spans="1:25" ht="13">
      <c r="A101" s="147"/>
      <c r="B101" s="148"/>
      <c r="C101" s="149"/>
      <c r="D101" s="135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</row>
    <row r="102" spans="1:25" ht="13">
      <c r="A102" s="147"/>
      <c r="B102" s="148"/>
      <c r="C102" s="149"/>
      <c r="D102" s="135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</row>
    <row r="103" spans="1:25" ht="13">
      <c r="A103" s="147"/>
      <c r="B103" s="148"/>
      <c r="C103" s="149"/>
      <c r="D103" s="135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</row>
    <row r="104" spans="1:25" ht="13">
      <c r="A104" s="147"/>
      <c r="B104" s="148"/>
      <c r="C104" s="149"/>
      <c r="D104" s="135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</row>
    <row r="105" spans="1:25" ht="13">
      <c r="A105" s="147"/>
      <c r="B105" s="148"/>
      <c r="C105" s="149"/>
      <c r="D105" s="135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</row>
    <row r="106" spans="1:25" ht="13">
      <c r="A106" s="147"/>
      <c r="B106" s="148"/>
      <c r="C106" s="149"/>
      <c r="D106" s="135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</row>
    <row r="107" spans="1:25" ht="13">
      <c r="A107" s="147"/>
      <c r="B107" s="148"/>
      <c r="C107" s="149"/>
      <c r="D107" s="135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</row>
    <row r="108" spans="1:25" ht="13">
      <c r="A108" s="147"/>
      <c r="B108" s="148"/>
      <c r="C108" s="149"/>
      <c r="D108" s="135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</row>
    <row r="109" spans="1:25" ht="13">
      <c r="A109" s="147"/>
      <c r="B109" s="148"/>
      <c r="C109" s="149"/>
      <c r="D109" s="135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</row>
    <row r="110" spans="1:25" ht="13">
      <c r="A110" s="147"/>
      <c r="B110" s="148"/>
      <c r="C110" s="149"/>
      <c r="D110" s="135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</row>
    <row r="111" spans="1:25" ht="13">
      <c r="A111" s="147"/>
      <c r="B111" s="148"/>
      <c r="C111" s="149"/>
      <c r="D111" s="135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</row>
    <row r="112" spans="1:25" ht="13">
      <c r="A112" s="147"/>
      <c r="B112" s="148"/>
      <c r="C112" s="149"/>
      <c r="D112" s="135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</row>
    <row r="113" spans="1:25" ht="13">
      <c r="A113" s="147"/>
      <c r="B113" s="148"/>
      <c r="C113" s="149"/>
      <c r="D113" s="135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</row>
    <row r="114" spans="1:25" ht="13">
      <c r="A114" s="147"/>
      <c r="B114" s="148"/>
      <c r="C114" s="149"/>
      <c r="D114" s="135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</row>
    <row r="115" spans="1:25" ht="13">
      <c r="A115" s="147"/>
      <c r="B115" s="148"/>
      <c r="C115" s="149"/>
      <c r="D115" s="135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</row>
    <row r="116" spans="1:25" ht="13">
      <c r="A116" s="147"/>
      <c r="B116" s="148"/>
      <c r="C116" s="149"/>
      <c r="D116" s="135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</row>
    <row r="117" spans="1:25" ht="13">
      <c r="A117" s="147"/>
      <c r="B117" s="148"/>
      <c r="C117" s="149"/>
      <c r="D117" s="135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</row>
    <row r="118" spans="1:25" ht="13">
      <c r="A118" s="147"/>
      <c r="B118" s="148"/>
      <c r="C118" s="149"/>
      <c r="D118" s="135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</row>
    <row r="119" spans="1:25" ht="13">
      <c r="A119" s="147"/>
      <c r="B119" s="148"/>
      <c r="C119" s="149"/>
      <c r="D119" s="135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</row>
    <row r="120" spans="1:25" ht="13">
      <c r="A120" s="147"/>
      <c r="B120" s="148"/>
      <c r="C120" s="149"/>
      <c r="D120" s="135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</row>
    <row r="121" spans="1:25" ht="13">
      <c r="A121" s="147"/>
      <c r="B121" s="148"/>
      <c r="C121" s="149"/>
      <c r="D121" s="135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</row>
    <row r="122" spans="1:25" ht="13">
      <c r="A122" s="147"/>
      <c r="B122" s="148"/>
      <c r="C122" s="149"/>
      <c r="D122" s="135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</row>
    <row r="123" spans="1:25" ht="13">
      <c r="A123" s="147"/>
      <c r="B123" s="148"/>
      <c r="C123" s="149"/>
      <c r="D123" s="135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</row>
    <row r="124" spans="1:25" ht="13">
      <c r="A124" s="147"/>
      <c r="B124" s="148"/>
      <c r="C124" s="149"/>
      <c r="D124" s="135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</row>
    <row r="125" spans="1:25" ht="13">
      <c r="A125" s="147"/>
      <c r="B125" s="148"/>
      <c r="C125" s="149"/>
      <c r="D125" s="135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</row>
    <row r="126" spans="1:25" ht="13">
      <c r="A126" s="147"/>
      <c r="B126" s="148"/>
      <c r="C126" s="149"/>
      <c r="D126" s="135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</row>
    <row r="127" spans="1:25" ht="13">
      <c r="A127" s="147"/>
      <c r="B127" s="148"/>
      <c r="C127" s="149"/>
      <c r="D127" s="135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</row>
    <row r="128" spans="1:25" ht="13">
      <c r="A128" s="147"/>
      <c r="B128" s="148"/>
      <c r="C128" s="149"/>
      <c r="D128" s="135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</row>
    <row r="129" spans="1:25" ht="13">
      <c r="A129" s="147"/>
      <c r="B129" s="133"/>
      <c r="C129" s="134"/>
      <c r="D129" s="135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</row>
    <row r="130" spans="1:25" ht="13">
      <c r="A130" s="147"/>
      <c r="B130" s="133"/>
      <c r="C130" s="134"/>
      <c r="D130" s="135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</row>
    <row r="131" spans="1:25" ht="13">
      <c r="A131" s="147"/>
      <c r="B131" s="133"/>
      <c r="C131" s="134"/>
      <c r="D131" s="135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</row>
    <row r="132" spans="1:25" ht="13">
      <c r="A132" s="147"/>
      <c r="B132" s="133"/>
      <c r="C132" s="134"/>
      <c r="D132" s="135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</row>
    <row r="133" spans="1:25" ht="13">
      <c r="A133" s="147"/>
      <c r="B133" s="133"/>
      <c r="C133" s="134"/>
      <c r="D133" s="135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</row>
    <row r="134" spans="1:25" ht="13">
      <c r="A134" s="147"/>
      <c r="B134" s="133"/>
      <c r="C134" s="134"/>
      <c r="D134" s="135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</row>
    <row r="135" spans="1:25" ht="13">
      <c r="A135" s="147"/>
      <c r="B135" s="133"/>
      <c r="C135" s="134"/>
      <c r="D135" s="135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</row>
    <row r="136" spans="1:25" ht="13">
      <c r="A136" s="147"/>
      <c r="B136" s="133"/>
      <c r="C136" s="134"/>
      <c r="D136" s="135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</row>
    <row r="137" spans="1:25" ht="13">
      <c r="A137" s="147"/>
      <c r="B137" s="133"/>
      <c r="C137" s="134"/>
      <c r="D137" s="135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</row>
    <row r="138" spans="1:25" ht="13">
      <c r="A138" s="147"/>
      <c r="B138" s="133"/>
      <c r="C138" s="134"/>
      <c r="D138" s="135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</row>
    <row r="139" spans="1:25" ht="13">
      <c r="A139" s="147"/>
      <c r="B139" s="133"/>
      <c r="C139" s="134"/>
      <c r="D139" s="135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</row>
    <row r="140" spans="1:25" ht="13">
      <c r="A140" s="147"/>
      <c r="B140" s="133"/>
      <c r="C140" s="134"/>
      <c r="D140" s="135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</row>
    <row r="141" spans="1:25" ht="13">
      <c r="A141" s="147"/>
      <c r="B141" s="133"/>
      <c r="C141" s="134"/>
      <c r="D141" s="135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</row>
    <row r="142" spans="1:25" ht="13">
      <c r="A142" s="147"/>
      <c r="B142" s="133"/>
      <c r="C142" s="134"/>
      <c r="D142" s="135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</row>
    <row r="143" spans="1:25" ht="13">
      <c r="A143" s="147"/>
      <c r="B143" s="133"/>
      <c r="C143" s="134"/>
      <c r="D143" s="135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</row>
    <row r="144" spans="1:25" ht="13">
      <c r="A144" s="147"/>
      <c r="B144" s="133"/>
      <c r="C144" s="134"/>
      <c r="D144" s="135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</row>
    <row r="145" spans="1:25" ht="13">
      <c r="A145" s="147"/>
      <c r="B145" s="133"/>
      <c r="C145" s="134"/>
      <c r="D145" s="135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</row>
    <row r="146" spans="1:25" ht="13">
      <c r="A146" s="147"/>
      <c r="B146" s="133"/>
      <c r="C146" s="134"/>
      <c r="D146" s="135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</row>
    <row r="147" spans="1:25" ht="13">
      <c r="A147" s="147"/>
      <c r="B147" s="133"/>
      <c r="C147" s="134"/>
      <c r="D147" s="135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</row>
    <row r="148" spans="1:25" ht="13">
      <c r="A148" s="147"/>
      <c r="B148" s="133"/>
      <c r="C148" s="134"/>
      <c r="D148" s="135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</row>
    <row r="149" spans="1:25" ht="13">
      <c r="A149" s="147"/>
      <c r="B149" s="133"/>
      <c r="C149" s="134"/>
      <c r="D149" s="135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</row>
    <row r="150" spans="1:25" ht="13">
      <c r="A150" s="147"/>
      <c r="B150" s="133"/>
      <c r="C150" s="134"/>
      <c r="D150" s="135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</row>
    <row r="151" spans="1:25" ht="13">
      <c r="A151" s="147"/>
      <c r="B151" s="133"/>
      <c r="C151" s="134"/>
      <c r="D151" s="135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</row>
    <row r="152" spans="1:25" ht="13">
      <c r="A152" s="147"/>
      <c r="B152" s="133"/>
      <c r="C152" s="134"/>
      <c r="D152" s="135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</row>
    <row r="153" spans="1:25" ht="13">
      <c r="A153" s="147"/>
      <c r="B153" s="133"/>
      <c r="C153" s="134"/>
      <c r="D153" s="135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</row>
    <row r="154" spans="1:25" ht="13">
      <c r="A154" s="147"/>
      <c r="B154" s="133"/>
      <c r="C154" s="134"/>
      <c r="D154" s="135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</row>
    <row r="155" spans="1:25" ht="13">
      <c r="A155" s="147"/>
      <c r="B155" s="133"/>
      <c r="C155" s="134"/>
      <c r="D155" s="135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</row>
    <row r="156" spans="1:25" ht="13">
      <c r="A156" s="147"/>
      <c r="B156" s="133"/>
      <c r="C156" s="134"/>
      <c r="D156" s="135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</row>
    <row r="157" spans="1:25" ht="13">
      <c r="A157" s="147"/>
      <c r="B157" s="133"/>
      <c r="C157" s="134"/>
      <c r="D157" s="135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</row>
    <row r="158" spans="1:25" ht="13">
      <c r="A158" s="147"/>
      <c r="B158" s="133"/>
      <c r="C158" s="134"/>
      <c r="D158" s="135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</row>
    <row r="159" spans="1:25" ht="13">
      <c r="A159" s="147"/>
      <c r="B159" s="133"/>
      <c r="C159" s="134"/>
      <c r="D159" s="135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</row>
    <row r="160" spans="1:25" ht="13">
      <c r="A160" s="147"/>
      <c r="B160" s="133"/>
      <c r="C160" s="134"/>
      <c r="D160" s="135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</row>
    <row r="161" spans="1:25" ht="13">
      <c r="A161" s="147"/>
      <c r="B161" s="133"/>
      <c r="C161" s="134"/>
      <c r="D161" s="135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</row>
    <row r="162" spans="1:25" ht="13">
      <c r="A162" s="147"/>
      <c r="B162" s="133"/>
      <c r="C162" s="134"/>
      <c r="D162" s="135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</row>
    <row r="163" spans="1:25" ht="13">
      <c r="A163" s="147"/>
      <c r="B163" s="133"/>
      <c r="C163" s="134"/>
      <c r="D163" s="135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</row>
    <row r="164" spans="1:25" ht="13">
      <c r="A164" s="147"/>
      <c r="B164" s="133"/>
      <c r="C164" s="134"/>
      <c r="D164" s="135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</row>
    <row r="165" spans="1:25" ht="13">
      <c r="A165" s="147"/>
      <c r="B165" s="133"/>
      <c r="C165" s="134"/>
      <c r="D165" s="135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</row>
    <row r="166" spans="1:25" ht="13">
      <c r="A166" s="147"/>
      <c r="B166" s="133"/>
      <c r="C166" s="134"/>
      <c r="D166" s="135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</row>
    <row r="167" spans="1:25" ht="13">
      <c r="A167" s="147"/>
      <c r="B167" s="133"/>
      <c r="C167" s="134"/>
      <c r="D167" s="135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</row>
    <row r="168" spans="1:25" ht="13">
      <c r="A168" s="147"/>
      <c r="B168" s="133"/>
      <c r="C168" s="134"/>
      <c r="D168" s="135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</row>
    <row r="169" spans="1:25" ht="13">
      <c r="A169" s="147"/>
      <c r="B169" s="133"/>
      <c r="C169" s="134"/>
      <c r="D169" s="135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</row>
    <row r="170" spans="1:25" ht="13">
      <c r="A170" s="147"/>
      <c r="B170" s="133"/>
      <c r="C170" s="134"/>
      <c r="D170" s="135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</row>
    <row r="171" spans="1:25" ht="13">
      <c r="A171" s="147"/>
      <c r="B171" s="133"/>
      <c r="C171" s="134"/>
      <c r="D171" s="135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</row>
    <row r="172" spans="1:25" ht="13">
      <c r="A172" s="147"/>
      <c r="B172" s="133"/>
      <c r="C172" s="134"/>
      <c r="D172" s="135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</row>
    <row r="173" spans="1:25" ht="13">
      <c r="A173" s="147"/>
      <c r="B173" s="133"/>
      <c r="C173" s="134"/>
      <c r="D173" s="135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</row>
    <row r="174" spans="1:25" ht="13">
      <c r="A174" s="147"/>
      <c r="B174" s="133"/>
      <c r="C174" s="134"/>
      <c r="D174" s="135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</row>
    <row r="175" spans="1:25" ht="13">
      <c r="A175" s="147"/>
      <c r="B175" s="133"/>
      <c r="C175" s="134"/>
      <c r="D175" s="135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</row>
    <row r="176" spans="1:25" ht="13">
      <c r="A176" s="147"/>
      <c r="B176" s="133"/>
      <c r="C176" s="134"/>
      <c r="D176" s="135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</row>
    <row r="177" spans="1:25" ht="13">
      <c r="A177" s="147"/>
      <c r="B177" s="133"/>
      <c r="C177" s="134"/>
      <c r="D177" s="135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</row>
    <row r="178" spans="1:25" ht="13">
      <c r="A178" s="147"/>
      <c r="B178" s="133"/>
      <c r="C178" s="134"/>
      <c r="D178" s="135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</row>
    <row r="179" spans="1:25" ht="13">
      <c r="A179" s="147"/>
      <c r="B179" s="133"/>
      <c r="C179" s="134"/>
      <c r="D179" s="135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</row>
    <row r="180" spans="1:25" ht="13">
      <c r="A180" s="147"/>
      <c r="B180" s="133"/>
      <c r="C180" s="134"/>
      <c r="D180" s="135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</row>
    <row r="181" spans="1:25" ht="13">
      <c r="A181" s="147"/>
      <c r="B181" s="133"/>
      <c r="C181" s="134"/>
      <c r="D181" s="135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</row>
    <row r="182" spans="1:25" ht="13">
      <c r="A182" s="147"/>
      <c r="B182" s="133"/>
      <c r="C182" s="134"/>
      <c r="D182" s="135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</row>
    <row r="183" spans="1:25" ht="13">
      <c r="A183" s="147"/>
      <c r="B183" s="133"/>
      <c r="C183" s="134"/>
      <c r="D183" s="135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</row>
    <row r="184" spans="1:25" ht="13">
      <c r="A184" s="147"/>
      <c r="B184" s="133"/>
      <c r="C184" s="134"/>
      <c r="D184" s="135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</row>
    <row r="185" spans="1:25" ht="13">
      <c r="A185" s="147"/>
      <c r="B185" s="133"/>
      <c r="C185" s="134"/>
      <c r="D185" s="135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</row>
    <row r="186" spans="1:25" ht="13">
      <c r="A186" s="147"/>
      <c r="B186" s="133"/>
      <c r="C186" s="134"/>
      <c r="D186" s="135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</row>
    <row r="187" spans="1:25" ht="13">
      <c r="A187" s="147"/>
      <c r="B187" s="133"/>
      <c r="C187" s="134"/>
      <c r="D187" s="135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</row>
    <row r="188" spans="1:25" ht="13">
      <c r="A188" s="147"/>
      <c r="B188" s="133"/>
      <c r="C188" s="134"/>
      <c r="D188" s="135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</row>
    <row r="189" spans="1:25" ht="13">
      <c r="A189" s="147"/>
      <c r="B189" s="133"/>
      <c r="C189" s="134"/>
      <c r="D189" s="135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</row>
    <row r="190" spans="1:25" ht="13">
      <c r="A190" s="147"/>
      <c r="B190" s="133"/>
      <c r="C190" s="134"/>
      <c r="D190" s="135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</row>
    <row r="191" spans="1:25" ht="13">
      <c r="A191" s="147"/>
      <c r="B191" s="133"/>
      <c r="C191" s="134"/>
      <c r="D191" s="135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</row>
    <row r="192" spans="1:25" ht="13">
      <c r="A192" s="147"/>
      <c r="B192" s="133"/>
      <c r="C192" s="134"/>
      <c r="D192" s="135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</row>
    <row r="193" spans="1:25" ht="13">
      <c r="A193" s="147"/>
      <c r="B193" s="133"/>
      <c r="C193" s="134"/>
      <c r="D193" s="135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</row>
    <row r="194" spans="1:25" ht="13">
      <c r="A194" s="147"/>
      <c r="B194" s="133"/>
      <c r="C194" s="134"/>
      <c r="D194" s="135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</row>
    <row r="195" spans="1:25" ht="13">
      <c r="A195" s="147"/>
      <c r="B195" s="133"/>
      <c r="C195" s="134"/>
      <c r="D195" s="135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</row>
    <row r="196" spans="1:25" ht="13">
      <c r="A196" s="147"/>
      <c r="B196" s="133"/>
      <c r="C196" s="134"/>
      <c r="D196" s="135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</row>
    <row r="197" spans="1:25" ht="13">
      <c r="A197" s="147"/>
      <c r="B197" s="133"/>
      <c r="C197" s="134"/>
      <c r="D197" s="135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</row>
    <row r="198" spans="1:25" ht="13">
      <c r="A198" s="147"/>
      <c r="B198" s="133"/>
      <c r="C198" s="134"/>
      <c r="D198" s="135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</row>
    <row r="199" spans="1:25" ht="13">
      <c r="A199" s="147"/>
      <c r="B199" s="133"/>
      <c r="C199" s="134"/>
      <c r="D199" s="135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</row>
    <row r="200" spans="1:25" ht="13">
      <c r="A200" s="147"/>
      <c r="B200" s="133"/>
      <c r="C200" s="134"/>
      <c r="D200" s="135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</row>
    <row r="201" spans="1:25" ht="13">
      <c r="A201" s="147"/>
      <c r="B201" s="133"/>
      <c r="C201" s="134"/>
      <c r="D201" s="135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</row>
    <row r="202" spans="1:25" ht="13">
      <c r="A202" s="147"/>
      <c r="B202" s="133"/>
      <c r="C202" s="134"/>
      <c r="D202" s="135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</row>
    <row r="203" spans="1:25" ht="13">
      <c r="A203" s="147"/>
      <c r="B203" s="133"/>
      <c r="C203" s="134"/>
      <c r="D203" s="135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</row>
    <row r="204" spans="1:25" ht="13">
      <c r="A204" s="147"/>
      <c r="B204" s="133"/>
      <c r="C204" s="134"/>
      <c r="D204" s="135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</row>
    <row r="205" spans="1:25" ht="13">
      <c r="A205" s="147"/>
      <c r="B205" s="133"/>
      <c r="C205" s="134"/>
      <c r="D205" s="135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</row>
    <row r="206" spans="1:25" ht="13">
      <c r="A206" s="147"/>
      <c r="B206" s="133"/>
      <c r="C206" s="134"/>
      <c r="D206" s="135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</row>
    <row r="207" spans="1:25" ht="13">
      <c r="A207" s="147"/>
      <c r="B207" s="133"/>
      <c r="C207" s="134"/>
      <c r="D207" s="135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</row>
    <row r="208" spans="1:25" ht="13">
      <c r="A208" s="147"/>
      <c r="B208" s="133"/>
      <c r="C208" s="134"/>
      <c r="D208" s="135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</row>
    <row r="209" spans="1:25" ht="13">
      <c r="A209" s="147"/>
      <c r="B209" s="133"/>
      <c r="C209" s="134"/>
      <c r="D209" s="135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</row>
    <row r="210" spans="1:25" ht="13">
      <c r="A210" s="147"/>
      <c r="B210" s="133"/>
      <c r="C210" s="134"/>
      <c r="D210" s="135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</row>
    <row r="211" spans="1:25" ht="13">
      <c r="A211" s="147"/>
      <c r="B211" s="133"/>
      <c r="C211" s="134"/>
      <c r="D211" s="135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</row>
    <row r="212" spans="1:25" ht="13">
      <c r="A212" s="147"/>
      <c r="B212" s="133"/>
      <c r="C212" s="134"/>
      <c r="D212" s="135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</row>
    <row r="213" spans="1:25" ht="13">
      <c r="A213" s="147"/>
      <c r="B213" s="133"/>
      <c r="C213" s="134"/>
      <c r="D213" s="135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</row>
    <row r="214" spans="1:25" ht="13">
      <c r="A214" s="147"/>
      <c r="B214" s="133"/>
      <c r="C214" s="134"/>
      <c r="D214" s="135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</row>
    <row r="215" spans="1:25" ht="13">
      <c r="A215" s="147"/>
      <c r="B215" s="133"/>
      <c r="C215" s="134"/>
      <c r="D215" s="135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</row>
    <row r="216" spans="1:25" ht="13">
      <c r="A216" s="147"/>
      <c r="B216" s="133"/>
      <c r="C216" s="134"/>
      <c r="D216" s="135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</row>
    <row r="217" spans="1:25" ht="13">
      <c r="A217" s="147"/>
      <c r="B217" s="133"/>
      <c r="C217" s="134"/>
      <c r="D217" s="135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</row>
    <row r="218" spans="1:25" ht="13">
      <c r="A218" s="147"/>
      <c r="B218" s="133"/>
      <c r="C218" s="134"/>
      <c r="D218" s="135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</row>
    <row r="219" spans="1:25" ht="13">
      <c r="A219" s="147"/>
      <c r="B219" s="133"/>
      <c r="C219" s="134"/>
      <c r="D219" s="135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</row>
    <row r="220" spans="1:25" ht="13">
      <c r="A220" s="147"/>
      <c r="B220" s="133"/>
      <c r="C220" s="134"/>
      <c r="D220" s="135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</row>
    <row r="221" spans="1:25" ht="13">
      <c r="A221" s="147"/>
      <c r="B221" s="133"/>
      <c r="C221" s="134"/>
      <c r="D221" s="135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</row>
    <row r="222" spans="1:25" ht="13">
      <c r="A222" s="147"/>
      <c r="B222" s="133"/>
      <c r="C222" s="134"/>
      <c r="D222" s="135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</row>
    <row r="223" spans="1:25" ht="13">
      <c r="A223" s="147"/>
      <c r="B223" s="133"/>
      <c r="C223" s="134"/>
      <c r="D223" s="135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</row>
    <row r="224" spans="1:25" ht="13">
      <c r="A224" s="147"/>
      <c r="B224" s="133"/>
      <c r="C224" s="134"/>
      <c r="D224" s="135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</row>
    <row r="225" spans="1:25" ht="13">
      <c r="A225" s="147"/>
      <c r="B225" s="133"/>
      <c r="C225" s="134"/>
      <c r="D225" s="135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</row>
    <row r="226" spans="1:25" ht="13">
      <c r="A226" s="147"/>
      <c r="B226" s="133"/>
      <c r="C226" s="134"/>
      <c r="D226" s="135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</row>
    <row r="227" spans="1:25" ht="13">
      <c r="A227" s="147"/>
      <c r="B227" s="133"/>
      <c r="C227" s="134"/>
      <c r="D227" s="135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</row>
    <row r="228" spans="1:25" ht="13">
      <c r="A228" s="147"/>
      <c r="B228" s="133"/>
      <c r="C228" s="134"/>
      <c r="D228" s="135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</row>
    <row r="229" spans="1:25" ht="13">
      <c r="A229" s="147"/>
      <c r="B229" s="133"/>
      <c r="C229" s="134"/>
      <c r="D229" s="135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</row>
    <row r="230" spans="1:25" ht="13">
      <c r="A230" s="147"/>
      <c r="B230" s="133"/>
      <c r="C230" s="134"/>
      <c r="D230" s="135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</row>
    <row r="231" spans="1:25" ht="13">
      <c r="A231" s="147"/>
      <c r="B231" s="133"/>
      <c r="C231" s="134"/>
      <c r="D231" s="135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</row>
    <row r="232" spans="1:25" ht="13">
      <c r="A232" s="147"/>
      <c r="B232" s="133"/>
      <c r="C232" s="134"/>
      <c r="D232" s="135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</row>
    <row r="233" spans="1:25" ht="13">
      <c r="A233" s="147"/>
      <c r="B233" s="133"/>
      <c r="C233" s="134"/>
      <c r="D233" s="135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</row>
    <row r="234" spans="1:25" ht="13">
      <c r="A234" s="147"/>
      <c r="B234" s="133"/>
      <c r="C234" s="134"/>
      <c r="D234" s="135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</row>
    <row r="235" spans="1:25" ht="13">
      <c r="A235" s="147"/>
      <c r="B235" s="133"/>
      <c r="C235" s="134"/>
      <c r="D235" s="135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</row>
    <row r="236" spans="1:25" ht="13">
      <c r="A236" s="147"/>
      <c r="B236" s="133"/>
      <c r="C236" s="134"/>
      <c r="D236" s="135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</row>
    <row r="237" spans="1:25" ht="13">
      <c r="A237" s="147"/>
      <c r="B237" s="133"/>
      <c r="C237" s="134"/>
      <c r="D237" s="135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</row>
    <row r="238" spans="1:25" ht="13">
      <c r="A238" s="147"/>
      <c r="B238" s="133"/>
      <c r="C238" s="134"/>
      <c r="D238" s="135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</row>
    <row r="239" spans="1:25" ht="13">
      <c r="A239" s="147"/>
      <c r="B239" s="133"/>
      <c r="C239" s="134"/>
      <c r="D239" s="135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</row>
    <row r="240" spans="1:25" ht="13">
      <c r="A240" s="147"/>
      <c r="B240" s="133"/>
      <c r="C240" s="134"/>
      <c r="D240" s="135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</row>
    <row r="241" spans="1:25" ht="13">
      <c r="A241" s="147"/>
      <c r="B241" s="133"/>
      <c r="C241" s="134"/>
      <c r="D241" s="135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</row>
    <row r="242" spans="1:25" ht="13">
      <c r="A242" s="147"/>
      <c r="B242" s="133"/>
      <c r="C242" s="134"/>
      <c r="D242" s="135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</row>
    <row r="243" spans="1:25" ht="13">
      <c r="A243" s="147"/>
      <c r="B243" s="133"/>
      <c r="C243" s="134"/>
      <c r="D243" s="135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</row>
    <row r="244" spans="1:25" ht="13">
      <c r="A244" s="147"/>
      <c r="B244" s="133"/>
      <c r="C244" s="134"/>
      <c r="D244" s="135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</row>
    <row r="245" spans="1:25" ht="13">
      <c r="A245" s="147"/>
      <c r="B245" s="133"/>
      <c r="C245" s="134"/>
      <c r="D245" s="135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</row>
    <row r="246" spans="1:25" ht="13">
      <c r="A246" s="147"/>
      <c r="B246" s="133"/>
      <c r="C246" s="134"/>
      <c r="D246" s="135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</row>
    <row r="247" spans="1:25" ht="13">
      <c r="A247" s="147"/>
      <c r="B247" s="133"/>
      <c r="C247" s="134"/>
      <c r="D247" s="135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</row>
    <row r="248" spans="1:25" ht="13">
      <c r="A248" s="147"/>
      <c r="B248" s="133"/>
      <c r="C248" s="134"/>
      <c r="D248" s="135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</row>
    <row r="249" spans="1:25" ht="13">
      <c r="A249" s="147"/>
      <c r="B249" s="133"/>
      <c r="C249" s="134"/>
      <c r="D249" s="135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</row>
    <row r="250" spans="1:25" ht="13">
      <c r="A250" s="147"/>
      <c r="B250" s="133"/>
      <c r="C250" s="134"/>
      <c r="D250" s="135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</row>
    <row r="251" spans="1:25" ht="13">
      <c r="A251" s="147"/>
      <c r="B251" s="133"/>
      <c r="C251" s="134"/>
      <c r="D251" s="135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</row>
    <row r="252" spans="1:25" ht="13">
      <c r="A252" s="147"/>
      <c r="B252" s="133"/>
      <c r="C252" s="134"/>
      <c r="D252" s="135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</row>
    <row r="253" spans="1:25" ht="13">
      <c r="A253" s="147"/>
      <c r="B253" s="133"/>
      <c r="C253" s="134"/>
      <c r="D253" s="135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</row>
    <row r="254" spans="1:25" ht="13">
      <c r="A254" s="147"/>
      <c r="B254" s="133"/>
      <c r="C254" s="134"/>
      <c r="D254" s="135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</row>
    <row r="255" spans="1:25" ht="13">
      <c r="A255" s="147"/>
      <c r="B255" s="133"/>
      <c r="C255" s="134"/>
      <c r="D255" s="135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</row>
    <row r="256" spans="1:25" ht="13">
      <c r="A256" s="147"/>
      <c r="B256" s="133"/>
      <c r="C256" s="134"/>
      <c r="D256" s="135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</row>
    <row r="257" spans="1:25" ht="13">
      <c r="A257" s="147"/>
      <c r="B257" s="133"/>
      <c r="C257" s="134"/>
      <c r="D257" s="135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</row>
    <row r="258" spans="1:25" ht="13">
      <c r="A258" s="147"/>
      <c r="B258" s="133"/>
      <c r="C258" s="134"/>
      <c r="D258" s="135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</row>
    <row r="259" spans="1:25" ht="13">
      <c r="A259" s="147"/>
      <c r="B259" s="133"/>
      <c r="C259" s="134"/>
      <c r="D259" s="135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</row>
    <row r="260" spans="1:25" ht="13">
      <c r="A260" s="147"/>
      <c r="B260" s="133"/>
      <c r="C260" s="134"/>
      <c r="D260" s="135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</row>
    <row r="261" spans="1:25" ht="13">
      <c r="A261" s="147"/>
      <c r="B261" s="133"/>
      <c r="C261" s="134"/>
      <c r="D261" s="135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</row>
    <row r="262" spans="1:25" ht="13">
      <c r="A262" s="147"/>
      <c r="B262" s="133"/>
      <c r="C262" s="134"/>
      <c r="D262" s="135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</row>
    <row r="263" spans="1:25" ht="13">
      <c r="A263" s="147"/>
      <c r="B263" s="133"/>
      <c r="C263" s="134"/>
      <c r="D263" s="135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</row>
    <row r="264" spans="1:25" ht="13">
      <c r="A264" s="147"/>
      <c r="B264" s="133"/>
      <c r="C264" s="134"/>
      <c r="D264" s="135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</row>
    <row r="265" spans="1:25" ht="13">
      <c r="A265" s="147"/>
      <c r="B265" s="133"/>
      <c r="C265" s="134"/>
      <c r="D265" s="135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</row>
    <row r="266" spans="1:25" ht="13">
      <c r="A266" s="147"/>
      <c r="B266" s="133"/>
      <c r="C266" s="134"/>
      <c r="D266" s="135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</row>
    <row r="267" spans="1:25" ht="13">
      <c r="A267" s="147"/>
      <c r="B267" s="133"/>
      <c r="C267" s="134"/>
      <c r="D267" s="135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</row>
    <row r="268" spans="1:25" ht="13">
      <c r="A268" s="147"/>
      <c r="B268" s="133"/>
      <c r="C268" s="134"/>
      <c r="D268" s="135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</row>
    <row r="269" spans="1:25" ht="13">
      <c r="A269" s="147"/>
      <c r="B269" s="133"/>
      <c r="C269" s="134"/>
      <c r="D269" s="135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</row>
    <row r="270" spans="1:25" ht="13">
      <c r="A270" s="147"/>
      <c r="B270" s="133"/>
      <c r="C270" s="134"/>
      <c r="D270" s="135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</row>
    <row r="271" spans="1:25" ht="13">
      <c r="A271" s="147"/>
      <c r="B271" s="133"/>
      <c r="C271" s="134"/>
      <c r="D271" s="135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</row>
    <row r="272" spans="1:25" ht="13">
      <c r="A272" s="147"/>
      <c r="B272" s="133"/>
      <c r="C272" s="134"/>
      <c r="D272" s="135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</row>
    <row r="273" spans="1:25" ht="13">
      <c r="A273" s="147"/>
      <c r="B273" s="133"/>
      <c r="C273" s="134"/>
      <c r="D273" s="135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</row>
    <row r="274" spans="1:25" ht="13">
      <c r="A274" s="147"/>
      <c r="B274" s="133"/>
      <c r="C274" s="134"/>
      <c r="D274" s="135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</row>
    <row r="275" spans="1:25" ht="13">
      <c r="A275" s="147"/>
      <c r="B275" s="133"/>
      <c r="C275" s="134"/>
      <c r="D275" s="135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</row>
    <row r="276" spans="1:25" ht="13">
      <c r="A276" s="147"/>
      <c r="B276" s="133"/>
      <c r="C276" s="134"/>
      <c r="D276" s="135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</row>
    <row r="277" spans="1:25" ht="13">
      <c r="A277" s="147"/>
      <c r="B277" s="133"/>
      <c r="C277" s="134"/>
      <c r="D277" s="135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</row>
    <row r="278" spans="1:25" ht="13">
      <c r="A278" s="147"/>
      <c r="B278" s="133"/>
      <c r="C278" s="134"/>
      <c r="D278" s="135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</row>
    <row r="279" spans="1:25" ht="13">
      <c r="A279" s="147"/>
      <c r="B279" s="133"/>
      <c r="C279" s="134"/>
      <c r="D279" s="135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</row>
    <row r="280" spans="1:25" ht="13">
      <c r="A280" s="147"/>
      <c r="B280" s="133"/>
      <c r="C280" s="134"/>
      <c r="D280" s="135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</row>
    <row r="281" spans="1:25" ht="13">
      <c r="A281" s="147"/>
      <c r="B281" s="133"/>
      <c r="C281" s="134"/>
      <c r="D281" s="135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</row>
    <row r="282" spans="1:25" ht="13">
      <c r="A282" s="147"/>
      <c r="B282" s="133"/>
      <c r="C282" s="134"/>
      <c r="D282" s="135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</row>
    <row r="283" spans="1:25" ht="13">
      <c r="A283" s="147"/>
      <c r="B283" s="133"/>
      <c r="C283" s="134"/>
      <c r="D283" s="135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</row>
    <row r="284" spans="1:25" ht="13">
      <c r="A284" s="147"/>
      <c r="B284" s="133"/>
      <c r="C284" s="134"/>
      <c r="D284" s="135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</row>
    <row r="285" spans="1:25" ht="13">
      <c r="A285" s="147"/>
      <c r="B285" s="133"/>
      <c r="C285" s="134"/>
      <c r="D285" s="135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</row>
    <row r="286" spans="1:25" ht="13">
      <c r="A286" s="147"/>
      <c r="B286" s="133"/>
      <c r="C286" s="134"/>
      <c r="D286" s="135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</row>
    <row r="287" spans="1:25" ht="13">
      <c r="A287" s="147"/>
      <c r="B287" s="133"/>
      <c r="C287" s="134"/>
      <c r="D287" s="135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</row>
    <row r="288" spans="1:25" ht="13">
      <c r="A288" s="147"/>
      <c r="B288" s="133"/>
      <c r="C288" s="134"/>
      <c r="D288" s="135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</row>
    <row r="289" spans="1:25" ht="13">
      <c r="A289" s="147"/>
      <c r="B289" s="133"/>
      <c r="C289" s="134"/>
      <c r="D289" s="135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</row>
    <row r="290" spans="1:25" ht="13">
      <c r="A290" s="147"/>
      <c r="B290" s="133"/>
      <c r="C290" s="134"/>
      <c r="D290" s="135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</row>
    <row r="291" spans="1:25" ht="13">
      <c r="A291" s="147"/>
      <c r="B291" s="133"/>
      <c r="C291" s="134"/>
      <c r="D291" s="135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</row>
    <row r="292" spans="1:25" ht="13">
      <c r="A292" s="147"/>
      <c r="B292" s="133"/>
      <c r="C292" s="134"/>
      <c r="D292" s="135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</row>
    <row r="293" spans="1:25" ht="13">
      <c r="A293" s="147"/>
      <c r="B293" s="133"/>
      <c r="C293" s="134"/>
      <c r="D293" s="135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</row>
    <row r="294" spans="1:25" ht="13">
      <c r="A294" s="147"/>
      <c r="B294" s="133"/>
      <c r="C294" s="134"/>
      <c r="D294" s="135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</row>
    <row r="295" spans="1:25" ht="13">
      <c r="A295" s="147"/>
      <c r="B295" s="133"/>
      <c r="C295" s="134"/>
      <c r="D295" s="135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</row>
    <row r="296" spans="1:25" ht="13">
      <c r="A296" s="147"/>
      <c r="B296" s="133"/>
      <c r="C296" s="134"/>
      <c r="D296" s="135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</row>
    <row r="297" spans="1:25" ht="13">
      <c r="A297" s="147"/>
      <c r="B297" s="133"/>
      <c r="C297" s="134"/>
      <c r="D297" s="135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</row>
    <row r="298" spans="1:25" ht="13">
      <c r="A298" s="147"/>
      <c r="B298" s="133"/>
      <c r="C298" s="134"/>
      <c r="D298" s="135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</row>
    <row r="299" spans="1:25" ht="13">
      <c r="A299" s="147"/>
      <c r="B299" s="133"/>
      <c r="C299" s="134"/>
      <c r="D299" s="135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</row>
    <row r="300" spans="1:25" ht="13">
      <c r="A300" s="147"/>
      <c r="B300" s="133"/>
      <c r="C300" s="134"/>
      <c r="D300" s="135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</row>
    <row r="301" spans="1:25" ht="13">
      <c r="A301" s="147"/>
      <c r="B301" s="133"/>
      <c r="C301" s="134"/>
      <c r="D301" s="135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</row>
    <row r="302" spans="1:25" ht="13">
      <c r="A302" s="147"/>
      <c r="B302" s="133"/>
      <c r="C302" s="134"/>
      <c r="D302" s="135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</row>
    <row r="303" spans="1:25" ht="13">
      <c r="A303" s="147"/>
      <c r="B303" s="133"/>
      <c r="C303" s="134"/>
      <c r="D303" s="135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</row>
    <row r="304" spans="1:25" ht="13">
      <c r="A304" s="147"/>
      <c r="B304" s="133"/>
      <c r="C304" s="134"/>
      <c r="D304" s="135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</row>
    <row r="305" spans="1:25" ht="13">
      <c r="A305" s="147"/>
      <c r="B305" s="133"/>
      <c r="C305" s="134"/>
      <c r="D305" s="135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</row>
    <row r="306" spans="1:25" ht="13">
      <c r="A306" s="147"/>
      <c r="B306" s="133"/>
      <c r="C306" s="134"/>
      <c r="D306" s="135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</row>
    <row r="307" spans="1:25" ht="13">
      <c r="A307" s="147"/>
      <c r="B307" s="133"/>
      <c r="C307" s="134"/>
      <c r="D307" s="135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</row>
    <row r="308" spans="1:25" ht="13">
      <c r="A308" s="147"/>
      <c r="B308" s="133"/>
      <c r="C308" s="134"/>
      <c r="D308" s="135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</row>
    <row r="309" spans="1:25" ht="13">
      <c r="A309" s="147"/>
      <c r="B309" s="133"/>
      <c r="C309" s="134"/>
      <c r="D309" s="135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</row>
    <row r="310" spans="1:25" ht="13">
      <c r="A310" s="147"/>
      <c r="B310" s="133"/>
      <c r="C310" s="134"/>
      <c r="D310" s="135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</row>
    <row r="311" spans="1:25" ht="13">
      <c r="A311" s="147"/>
      <c r="B311" s="133"/>
      <c r="C311" s="134"/>
      <c r="D311" s="135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</row>
    <row r="312" spans="1:25" ht="13">
      <c r="A312" s="147"/>
      <c r="B312" s="133"/>
      <c r="C312" s="134"/>
      <c r="D312" s="135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</row>
    <row r="313" spans="1:25" ht="13">
      <c r="A313" s="147"/>
      <c r="B313" s="133"/>
      <c r="C313" s="134"/>
      <c r="D313" s="135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</row>
    <row r="314" spans="1:25" ht="13">
      <c r="A314" s="147"/>
      <c r="B314" s="133"/>
      <c r="C314" s="134"/>
      <c r="D314" s="135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</row>
    <row r="315" spans="1:25" ht="13">
      <c r="A315" s="147"/>
      <c r="B315" s="133"/>
      <c r="C315" s="134"/>
      <c r="D315" s="135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</row>
    <row r="316" spans="1:25" ht="13">
      <c r="A316" s="147"/>
      <c r="B316" s="133"/>
      <c r="C316" s="134"/>
      <c r="D316" s="135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</row>
    <row r="317" spans="1:25" ht="13">
      <c r="A317" s="147"/>
      <c r="B317" s="133"/>
      <c r="C317" s="134"/>
      <c r="D317" s="135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</row>
    <row r="318" spans="1:25" ht="13">
      <c r="A318" s="147"/>
      <c r="B318" s="133"/>
      <c r="C318" s="134"/>
      <c r="D318" s="135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</row>
    <row r="319" spans="1:25" ht="13">
      <c r="A319" s="147"/>
      <c r="B319" s="133"/>
      <c r="C319" s="134"/>
      <c r="D319" s="135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</row>
    <row r="320" spans="1:25" ht="13">
      <c r="A320" s="147"/>
      <c r="B320" s="133"/>
      <c r="C320" s="134"/>
      <c r="D320" s="135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</row>
    <row r="321" spans="1:25" ht="13">
      <c r="A321" s="147"/>
      <c r="B321" s="133"/>
      <c r="C321" s="134"/>
      <c r="D321" s="135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</row>
    <row r="322" spans="1:25" ht="13">
      <c r="A322" s="147"/>
      <c r="B322" s="133"/>
      <c r="C322" s="134"/>
      <c r="D322" s="135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</row>
    <row r="323" spans="1:25" ht="13">
      <c r="A323" s="147"/>
      <c r="B323" s="133"/>
      <c r="C323" s="134"/>
      <c r="D323" s="135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</row>
    <row r="324" spans="1:25" ht="13">
      <c r="A324" s="147"/>
      <c r="B324" s="133"/>
      <c r="C324" s="134"/>
      <c r="D324" s="135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</row>
    <row r="325" spans="1:25" ht="13">
      <c r="A325" s="147"/>
      <c r="B325" s="133"/>
      <c r="C325" s="134"/>
      <c r="D325" s="135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</row>
    <row r="326" spans="1:25" ht="13">
      <c r="A326" s="147"/>
      <c r="B326" s="133"/>
      <c r="C326" s="134"/>
      <c r="D326" s="135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</row>
    <row r="327" spans="1:25" ht="13">
      <c r="A327" s="147"/>
      <c r="B327" s="133"/>
      <c r="C327" s="134"/>
      <c r="D327" s="135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</row>
    <row r="328" spans="1:25" ht="13">
      <c r="A328" s="147"/>
      <c r="B328" s="133"/>
      <c r="C328" s="134"/>
      <c r="D328" s="135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</row>
    <row r="329" spans="1:25" ht="13">
      <c r="A329" s="147"/>
      <c r="B329" s="133"/>
      <c r="C329" s="134"/>
      <c r="D329" s="135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</row>
    <row r="330" spans="1:25" ht="13">
      <c r="A330" s="147"/>
      <c r="B330" s="133"/>
      <c r="C330" s="134"/>
      <c r="D330" s="135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</row>
    <row r="331" spans="1:25" ht="13">
      <c r="A331" s="147"/>
      <c r="B331" s="133"/>
      <c r="C331" s="134"/>
      <c r="D331" s="135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</row>
    <row r="332" spans="1:25" ht="13">
      <c r="A332" s="147"/>
      <c r="B332" s="133"/>
      <c r="C332" s="134"/>
      <c r="D332" s="135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</row>
    <row r="333" spans="1:25" ht="13">
      <c r="A333" s="147"/>
      <c r="B333" s="133"/>
      <c r="C333" s="134"/>
      <c r="D333" s="135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</row>
    <row r="334" spans="1:25" ht="13">
      <c r="A334" s="147"/>
      <c r="B334" s="133"/>
      <c r="C334" s="134"/>
      <c r="D334" s="135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</row>
    <row r="335" spans="1:25" ht="13">
      <c r="A335" s="147"/>
      <c r="B335" s="133"/>
      <c r="C335" s="134"/>
      <c r="D335" s="135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</row>
    <row r="336" spans="1:25" ht="13">
      <c r="A336" s="147"/>
      <c r="B336" s="133"/>
      <c r="C336" s="134"/>
      <c r="D336" s="135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</row>
    <row r="337" spans="1:25" ht="13">
      <c r="A337" s="147"/>
      <c r="B337" s="133"/>
      <c r="C337" s="134"/>
      <c r="D337" s="135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</row>
    <row r="338" spans="1:25" ht="13">
      <c r="A338" s="147"/>
      <c r="B338" s="133"/>
      <c r="C338" s="134"/>
      <c r="D338" s="135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</row>
    <row r="339" spans="1:25" ht="13">
      <c r="A339" s="147"/>
      <c r="B339" s="133"/>
      <c r="C339" s="134"/>
      <c r="D339" s="135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</row>
    <row r="340" spans="1:25" ht="13">
      <c r="A340" s="147"/>
      <c r="B340" s="133"/>
      <c r="C340" s="134"/>
      <c r="D340" s="135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</row>
    <row r="341" spans="1:25" ht="13">
      <c r="A341" s="147"/>
      <c r="B341" s="133"/>
      <c r="C341" s="134"/>
      <c r="D341" s="135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</row>
    <row r="342" spans="1:25" ht="13">
      <c r="A342" s="147"/>
      <c r="B342" s="133"/>
      <c r="C342" s="134"/>
      <c r="D342" s="135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</row>
    <row r="343" spans="1:25" ht="13">
      <c r="A343" s="147"/>
      <c r="B343" s="133"/>
      <c r="C343" s="134"/>
      <c r="D343" s="135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</row>
    <row r="344" spans="1:25" ht="13">
      <c r="A344" s="147"/>
      <c r="B344" s="133"/>
      <c r="C344" s="134"/>
      <c r="D344" s="135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</row>
    <row r="345" spans="1:25" ht="13">
      <c r="A345" s="147"/>
      <c r="B345" s="133"/>
      <c r="C345" s="134"/>
      <c r="D345" s="135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</row>
    <row r="346" spans="1:25" ht="13">
      <c r="A346" s="147"/>
      <c r="B346" s="133"/>
      <c r="C346" s="134"/>
      <c r="D346" s="135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</row>
    <row r="347" spans="1:25" ht="13">
      <c r="A347" s="147"/>
      <c r="B347" s="133"/>
      <c r="C347" s="134"/>
      <c r="D347" s="135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</row>
    <row r="348" spans="1:25" ht="13">
      <c r="A348" s="147"/>
      <c r="B348" s="133"/>
      <c r="C348" s="134"/>
      <c r="D348" s="135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</row>
    <row r="349" spans="1:25" ht="13">
      <c r="A349" s="147"/>
      <c r="B349" s="133"/>
      <c r="C349" s="134"/>
      <c r="D349" s="135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</row>
    <row r="350" spans="1:25" ht="13">
      <c r="A350" s="147"/>
      <c r="B350" s="133"/>
      <c r="C350" s="134"/>
      <c r="D350" s="135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</row>
    <row r="351" spans="1:25" ht="13">
      <c r="A351" s="147"/>
      <c r="B351" s="133"/>
      <c r="C351" s="134"/>
      <c r="D351" s="135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</row>
    <row r="352" spans="1:25" ht="13">
      <c r="A352" s="147"/>
      <c r="B352" s="133"/>
      <c r="C352" s="134"/>
      <c r="D352" s="135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</row>
    <row r="353" spans="1:25" ht="13">
      <c r="A353" s="147"/>
      <c r="B353" s="133"/>
      <c r="C353" s="134"/>
      <c r="D353" s="135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</row>
    <row r="354" spans="1:25" ht="13">
      <c r="A354" s="147"/>
      <c r="B354" s="133"/>
      <c r="C354" s="134"/>
      <c r="D354" s="135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</row>
    <row r="355" spans="1:25" ht="13">
      <c r="A355" s="147"/>
      <c r="B355" s="133"/>
      <c r="C355" s="134"/>
      <c r="D355" s="135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</row>
    <row r="356" spans="1:25" ht="13">
      <c r="A356" s="147"/>
      <c r="B356" s="133"/>
      <c r="C356" s="134"/>
      <c r="D356" s="135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</row>
    <row r="357" spans="1:25" ht="13">
      <c r="A357" s="147"/>
      <c r="B357" s="133"/>
      <c r="C357" s="134"/>
      <c r="D357" s="135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</row>
    <row r="358" spans="1:25" ht="13">
      <c r="A358" s="147"/>
      <c r="B358" s="133"/>
      <c r="C358" s="134"/>
      <c r="D358" s="135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</row>
    <row r="359" spans="1:25" ht="13">
      <c r="A359" s="147"/>
      <c r="B359" s="133"/>
      <c r="C359" s="134"/>
      <c r="D359" s="135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</row>
    <row r="360" spans="1:25" ht="13">
      <c r="A360" s="147"/>
      <c r="B360" s="133"/>
      <c r="C360" s="134"/>
      <c r="D360" s="135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</row>
    <row r="361" spans="1:25" ht="13">
      <c r="A361" s="147"/>
      <c r="B361" s="133"/>
      <c r="C361" s="134"/>
      <c r="D361" s="135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</row>
    <row r="362" spans="1:25" ht="13">
      <c r="A362" s="147"/>
      <c r="B362" s="133"/>
      <c r="C362" s="134"/>
      <c r="D362" s="135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</row>
    <row r="363" spans="1:25" ht="13">
      <c r="A363" s="147"/>
      <c r="B363" s="133"/>
      <c r="C363" s="134"/>
      <c r="D363" s="135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</row>
    <row r="364" spans="1:25" ht="13">
      <c r="A364" s="147"/>
      <c r="B364" s="133"/>
      <c r="C364" s="134"/>
      <c r="D364" s="135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</row>
    <row r="365" spans="1:25" ht="13">
      <c r="A365" s="147"/>
      <c r="B365" s="133"/>
      <c r="C365" s="134"/>
      <c r="D365" s="135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</row>
    <row r="366" spans="1:25" ht="13">
      <c r="A366" s="147"/>
      <c r="B366" s="133"/>
      <c r="C366" s="134"/>
      <c r="D366" s="135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</row>
    <row r="367" spans="1:25" ht="13">
      <c r="A367" s="147"/>
      <c r="B367" s="133"/>
      <c r="C367" s="134"/>
      <c r="D367" s="135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</row>
    <row r="368" spans="1:25" ht="13">
      <c r="A368" s="147"/>
      <c r="B368" s="133"/>
      <c r="C368" s="134"/>
      <c r="D368" s="135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</row>
    <row r="369" spans="1:25" ht="13">
      <c r="A369" s="147"/>
      <c r="B369" s="133"/>
      <c r="C369" s="134"/>
      <c r="D369" s="135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</row>
    <row r="370" spans="1:25" ht="13">
      <c r="A370" s="147"/>
      <c r="B370" s="133"/>
      <c r="C370" s="134"/>
      <c r="D370" s="135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</row>
    <row r="371" spans="1:25" ht="13">
      <c r="A371" s="147"/>
      <c r="B371" s="133"/>
      <c r="C371" s="134"/>
      <c r="D371" s="135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</row>
    <row r="372" spans="1:25" ht="13">
      <c r="A372" s="147"/>
      <c r="B372" s="133"/>
      <c r="C372" s="134"/>
      <c r="D372" s="135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</row>
    <row r="373" spans="1:25" ht="13">
      <c r="A373" s="147"/>
      <c r="B373" s="133"/>
      <c r="C373" s="134"/>
      <c r="D373" s="135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</row>
    <row r="374" spans="1:25" ht="13">
      <c r="A374" s="147"/>
      <c r="B374" s="133"/>
      <c r="C374" s="134"/>
      <c r="D374" s="135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</row>
    <row r="375" spans="1:25" ht="13">
      <c r="A375" s="147"/>
      <c r="B375" s="133"/>
      <c r="C375" s="134"/>
      <c r="D375" s="135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</row>
    <row r="376" spans="1:25" ht="13">
      <c r="A376" s="147"/>
      <c r="B376" s="133"/>
      <c r="C376" s="134"/>
      <c r="D376" s="135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</row>
    <row r="377" spans="1:25" ht="13">
      <c r="A377" s="147"/>
      <c r="B377" s="133"/>
      <c r="C377" s="134"/>
      <c r="D377" s="135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</row>
    <row r="378" spans="1:25" ht="13">
      <c r="A378" s="147"/>
      <c r="B378" s="133"/>
      <c r="C378" s="134"/>
      <c r="D378" s="135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</row>
    <row r="379" spans="1:25" ht="13">
      <c r="A379" s="147"/>
      <c r="B379" s="133"/>
      <c r="C379" s="134"/>
      <c r="D379" s="135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</row>
    <row r="380" spans="1:25" ht="13">
      <c r="A380" s="147"/>
      <c r="B380" s="133"/>
      <c r="C380" s="134"/>
      <c r="D380" s="135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</row>
    <row r="381" spans="1:25" ht="13">
      <c r="A381" s="147"/>
      <c r="B381" s="133"/>
      <c r="C381" s="134"/>
      <c r="D381" s="135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</row>
    <row r="382" spans="1:25" ht="13">
      <c r="A382" s="147"/>
      <c r="B382" s="133"/>
      <c r="C382" s="134"/>
      <c r="D382" s="135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</row>
    <row r="383" spans="1:25" ht="13">
      <c r="A383" s="147"/>
      <c r="B383" s="133"/>
      <c r="C383" s="134"/>
      <c r="D383" s="135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</row>
    <row r="384" spans="1:25" ht="13">
      <c r="A384" s="147"/>
      <c r="B384" s="133"/>
      <c r="C384" s="134"/>
      <c r="D384" s="135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</row>
    <row r="385" spans="1:25" ht="13">
      <c r="A385" s="147"/>
      <c r="B385" s="133"/>
      <c r="C385" s="134"/>
      <c r="D385" s="135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</row>
    <row r="386" spans="1:25" ht="13">
      <c r="A386" s="147"/>
      <c r="B386" s="133"/>
      <c r="C386" s="134"/>
      <c r="D386" s="135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</row>
    <row r="387" spans="1:25" ht="13">
      <c r="A387" s="147"/>
      <c r="B387" s="133"/>
      <c r="C387" s="134"/>
      <c r="D387" s="135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</row>
    <row r="388" spans="1:25" ht="13">
      <c r="A388" s="147"/>
      <c r="B388" s="133"/>
      <c r="C388" s="134"/>
      <c r="D388" s="135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</row>
    <row r="389" spans="1:25" ht="13">
      <c r="A389" s="147"/>
      <c r="B389" s="133"/>
      <c r="C389" s="134"/>
      <c r="D389" s="135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</row>
    <row r="390" spans="1:25" ht="13">
      <c r="A390" s="147"/>
      <c r="B390" s="133"/>
      <c r="C390" s="134"/>
      <c r="D390" s="135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</row>
    <row r="391" spans="1:25" ht="13">
      <c r="A391" s="147"/>
      <c r="B391" s="133"/>
      <c r="C391" s="134"/>
      <c r="D391" s="135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</row>
    <row r="392" spans="1:25" ht="13">
      <c r="A392" s="147"/>
      <c r="B392" s="133"/>
      <c r="C392" s="134"/>
      <c r="D392" s="135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</row>
    <row r="393" spans="1:25" ht="13">
      <c r="A393" s="147"/>
      <c r="B393" s="133"/>
      <c r="C393" s="134"/>
      <c r="D393" s="135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</row>
    <row r="394" spans="1:25" ht="13">
      <c r="A394" s="147"/>
      <c r="B394" s="133"/>
      <c r="C394" s="134"/>
      <c r="D394" s="135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</row>
    <row r="395" spans="1:25" ht="13">
      <c r="A395" s="147"/>
      <c r="B395" s="133"/>
      <c r="C395" s="134"/>
      <c r="D395" s="135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</row>
    <row r="396" spans="1:25" ht="13">
      <c r="A396" s="147"/>
      <c r="B396" s="133"/>
      <c r="C396" s="134"/>
      <c r="D396" s="135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</row>
    <row r="397" spans="1:25" ht="13">
      <c r="A397" s="147"/>
      <c r="B397" s="133"/>
      <c r="C397" s="134"/>
      <c r="D397" s="135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</row>
    <row r="398" spans="1:25" ht="13">
      <c r="A398" s="147"/>
      <c r="B398" s="133"/>
      <c r="C398" s="134"/>
      <c r="D398" s="135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</row>
    <row r="399" spans="1:25" ht="13">
      <c r="A399" s="147"/>
      <c r="B399" s="133"/>
      <c r="C399" s="134"/>
      <c r="D399" s="135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</row>
    <row r="400" spans="1:25" ht="13">
      <c r="A400" s="147"/>
      <c r="B400" s="133"/>
      <c r="C400" s="134"/>
      <c r="D400" s="135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</row>
    <row r="401" spans="1:25" ht="13">
      <c r="A401" s="147"/>
      <c r="B401" s="133"/>
      <c r="C401" s="134"/>
      <c r="D401" s="135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</row>
    <row r="402" spans="1:25" ht="13">
      <c r="A402" s="147"/>
      <c r="B402" s="133"/>
      <c r="C402" s="134"/>
      <c r="D402" s="135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</row>
    <row r="403" spans="1:25" ht="13">
      <c r="A403" s="147"/>
      <c r="B403" s="133"/>
      <c r="C403" s="134"/>
      <c r="D403" s="135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</row>
    <row r="404" spans="1:25" ht="13">
      <c r="A404" s="147"/>
      <c r="B404" s="133"/>
      <c r="C404" s="134"/>
      <c r="D404" s="135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</row>
    <row r="405" spans="1:25" ht="13">
      <c r="A405" s="147"/>
      <c r="B405" s="133"/>
      <c r="C405" s="134"/>
      <c r="D405" s="135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</row>
    <row r="406" spans="1:25" ht="13">
      <c r="A406" s="147"/>
      <c r="B406" s="133"/>
      <c r="C406" s="134"/>
      <c r="D406" s="135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</row>
    <row r="407" spans="1:25" ht="13">
      <c r="A407" s="147"/>
      <c r="B407" s="133"/>
      <c r="C407" s="134"/>
      <c r="D407" s="135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</row>
    <row r="408" spans="1:25" ht="13">
      <c r="A408" s="147"/>
      <c r="B408" s="133"/>
      <c r="C408" s="134"/>
      <c r="D408" s="135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</row>
    <row r="409" spans="1:25" ht="13">
      <c r="A409" s="147"/>
      <c r="B409" s="133"/>
      <c r="C409" s="134"/>
      <c r="D409" s="135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</row>
    <row r="410" spans="1:25" ht="13">
      <c r="A410" s="147"/>
      <c r="B410" s="133"/>
      <c r="C410" s="134"/>
      <c r="D410" s="135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</row>
    <row r="411" spans="1:25" ht="13">
      <c r="A411" s="147"/>
      <c r="B411" s="133"/>
      <c r="C411" s="134"/>
      <c r="D411" s="135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</row>
    <row r="412" spans="1:25" ht="13">
      <c r="A412" s="147"/>
      <c r="B412" s="133"/>
      <c r="C412" s="134"/>
      <c r="D412" s="135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</row>
    <row r="413" spans="1:25" ht="13">
      <c r="A413" s="147"/>
      <c r="B413" s="133"/>
      <c r="C413" s="134"/>
      <c r="D413" s="135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</row>
    <row r="414" spans="1:25" ht="13">
      <c r="A414" s="147"/>
      <c r="B414" s="133"/>
      <c r="C414" s="134"/>
      <c r="D414" s="135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</row>
    <row r="415" spans="1:25" ht="13">
      <c r="A415" s="147"/>
      <c r="B415" s="133"/>
      <c r="C415" s="134"/>
      <c r="D415" s="135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</row>
    <row r="416" spans="1:25" ht="13">
      <c r="A416" s="147"/>
      <c r="B416" s="133"/>
      <c r="C416" s="134"/>
      <c r="D416" s="135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</row>
    <row r="417" spans="1:25" ht="13">
      <c r="A417" s="147"/>
      <c r="B417" s="133"/>
      <c r="C417" s="134"/>
      <c r="D417" s="135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</row>
    <row r="418" spans="1:25" ht="13">
      <c r="A418" s="147"/>
      <c r="B418" s="133"/>
      <c r="C418" s="134"/>
      <c r="D418" s="135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</row>
    <row r="419" spans="1:25" ht="13">
      <c r="A419" s="147"/>
      <c r="B419" s="133"/>
      <c r="C419" s="134"/>
      <c r="D419" s="135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</row>
    <row r="420" spans="1:25" ht="13">
      <c r="A420" s="147"/>
      <c r="B420" s="133"/>
      <c r="C420" s="134"/>
      <c r="D420" s="135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</row>
    <row r="421" spans="1:25" ht="13">
      <c r="A421" s="147"/>
      <c r="B421" s="133"/>
      <c r="C421" s="134"/>
      <c r="D421" s="135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</row>
    <row r="422" spans="1:25" ht="13">
      <c r="A422" s="147"/>
      <c r="B422" s="133"/>
      <c r="C422" s="134"/>
      <c r="D422" s="135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</row>
    <row r="423" spans="1:25" ht="13">
      <c r="A423" s="147"/>
      <c r="B423" s="133"/>
      <c r="C423" s="134"/>
      <c r="D423" s="135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</row>
    <row r="424" spans="1:25" ht="13">
      <c r="A424" s="147"/>
      <c r="B424" s="133"/>
      <c r="C424" s="134"/>
      <c r="D424" s="135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</row>
    <row r="425" spans="1:25" ht="13">
      <c r="A425" s="147"/>
      <c r="B425" s="133"/>
      <c r="C425" s="134"/>
      <c r="D425" s="135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</row>
    <row r="426" spans="1:25" ht="13">
      <c r="A426" s="147"/>
      <c r="B426" s="133"/>
      <c r="C426" s="134"/>
      <c r="D426" s="135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</row>
    <row r="427" spans="1:25" ht="13">
      <c r="A427" s="147"/>
      <c r="B427" s="133"/>
      <c r="C427" s="134"/>
      <c r="D427" s="135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</row>
    <row r="428" spans="1:25" ht="13">
      <c r="A428" s="147"/>
      <c r="B428" s="133"/>
      <c r="C428" s="134"/>
      <c r="D428" s="135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</row>
    <row r="429" spans="1:25" ht="13">
      <c r="A429" s="147"/>
      <c r="B429" s="133"/>
      <c r="C429" s="134"/>
      <c r="D429" s="135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</row>
    <row r="430" spans="1:25" ht="13">
      <c r="A430" s="147"/>
      <c r="B430" s="133"/>
      <c r="C430" s="134"/>
      <c r="D430" s="135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</row>
    <row r="431" spans="1:25" ht="13">
      <c r="A431" s="147"/>
      <c r="B431" s="133"/>
      <c r="C431" s="134"/>
      <c r="D431" s="135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</row>
    <row r="432" spans="1:25" ht="13">
      <c r="A432" s="147"/>
      <c r="B432" s="133"/>
      <c r="C432" s="134"/>
      <c r="D432" s="135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</row>
    <row r="433" spans="1:25" ht="13">
      <c r="A433" s="147"/>
      <c r="B433" s="133"/>
      <c r="C433" s="134"/>
      <c r="D433" s="135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</row>
    <row r="434" spans="1:25" ht="13">
      <c r="A434" s="147"/>
      <c r="B434" s="133"/>
      <c r="C434" s="134"/>
      <c r="D434" s="135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</row>
    <row r="435" spans="1:25" ht="13">
      <c r="A435" s="147"/>
      <c r="B435" s="133"/>
      <c r="C435" s="134"/>
      <c r="D435" s="135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</row>
    <row r="436" spans="1:25" ht="13">
      <c r="A436" s="147"/>
      <c r="B436" s="133"/>
      <c r="C436" s="134"/>
      <c r="D436" s="135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</row>
    <row r="437" spans="1:25" ht="13">
      <c r="A437" s="147"/>
      <c r="B437" s="133"/>
      <c r="C437" s="134"/>
      <c r="D437" s="135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</row>
    <row r="438" spans="1:25" ht="13">
      <c r="A438" s="147"/>
      <c r="B438" s="133"/>
      <c r="C438" s="134"/>
      <c r="D438" s="135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</row>
    <row r="439" spans="1:25" ht="13">
      <c r="A439" s="147"/>
      <c r="B439" s="133"/>
      <c r="C439" s="134"/>
      <c r="D439" s="135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</row>
    <row r="440" spans="1:25" ht="13">
      <c r="A440" s="147"/>
      <c r="B440" s="133"/>
      <c r="C440" s="134"/>
      <c r="D440" s="135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</row>
    <row r="441" spans="1:25" ht="13">
      <c r="A441" s="147"/>
      <c r="B441" s="133"/>
      <c r="C441" s="134"/>
      <c r="D441" s="135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</row>
    <row r="442" spans="1:25" ht="13">
      <c r="A442" s="147"/>
      <c r="B442" s="133"/>
      <c r="C442" s="134"/>
      <c r="D442" s="135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</row>
    <row r="443" spans="1:25" ht="13">
      <c r="A443" s="147"/>
      <c r="B443" s="133"/>
      <c r="C443" s="134"/>
      <c r="D443" s="135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</row>
    <row r="444" spans="1:25" ht="13">
      <c r="A444" s="147"/>
      <c r="B444" s="133"/>
      <c r="C444" s="134"/>
      <c r="D444" s="135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</row>
    <row r="445" spans="1:25" ht="13">
      <c r="A445" s="147"/>
      <c r="B445" s="133"/>
      <c r="C445" s="134"/>
      <c r="D445" s="135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</row>
    <row r="446" spans="1:25" ht="13">
      <c r="A446" s="147"/>
      <c r="B446" s="133"/>
      <c r="C446" s="134"/>
      <c r="D446" s="135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</row>
    <row r="447" spans="1:25" ht="13">
      <c r="A447" s="147"/>
      <c r="B447" s="133"/>
      <c r="C447" s="134"/>
      <c r="D447" s="135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</row>
    <row r="448" spans="1:25" ht="13">
      <c r="A448" s="147"/>
      <c r="B448" s="133"/>
      <c r="C448" s="134"/>
      <c r="D448" s="135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</row>
    <row r="449" spans="1:25" ht="13">
      <c r="A449" s="147"/>
      <c r="B449" s="133"/>
      <c r="C449" s="134"/>
      <c r="D449" s="135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</row>
    <row r="450" spans="1:25" ht="13">
      <c r="A450" s="147"/>
      <c r="B450" s="133"/>
      <c r="C450" s="134"/>
      <c r="D450" s="135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</row>
    <row r="451" spans="1:25" ht="13">
      <c r="A451" s="147"/>
      <c r="B451" s="133"/>
      <c r="C451" s="134"/>
      <c r="D451" s="135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</row>
    <row r="452" spans="1:25" ht="13">
      <c r="A452" s="147"/>
      <c r="B452" s="133"/>
      <c r="C452" s="134"/>
      <c r="D452" s="135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</row>
    <row r="453" spans="1:25" ht="13">
      <c r="A453" s="147"/>
      <c r="B453" s="133"/>
      <c r="C453" s="134"/>
      <c r="D453" s="135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</row>
    <row r="454" spans="1:25" ht="13">
      <c r="A454" s="147"/>
      <c r="B454" s="133"/>
      <c r="C454" s="134"/>
      <c r="D454" s="135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</row>
    <row r="455" spans="1:25" ht="13">
      <c r="A455" s="147"/>
      <c r="B455" s="133"/>
      <c r="C455" s="134"/>
      <c r="D455" s="135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</row>
    <row r="456" spans="1:25" ht="13">
      <c r="A456" s="147"/>
      <c r="B456" s="133"/>
      <c r="C456" s="134"/>
      <c r="D456" s="135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</row>
    <row r="457" spans="1:25" ht="13">
      <c r="A457" s="147"/>
      <c r="B457" s="133"/>
      <c r="C457" s="134"/>
      <c r="D457" s="135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</row>
    <row r="458" spans="1:25" ht="13">
      <c r="A458" s="147"/>
      <c r="B458" s="133"/>
      <c r="C458" s="134"/>
      <c r="D458" s="135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</row>
    <row r="459" spans="1:25" ht="13">
      <c r="A459" s="147"/>
      <c r="B459" s="133"/>
      <c r="C459" s="134"/>
      <c r="D459" s="135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</row>
    <row r="460" spans="1:25" ht="13">
      <c r="A460" s="147"/>
      <c r="B460" s="133"/>
      <c r="C460" s="134"/>
      <c r="D460" s="135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</row>
    <row r="461" spans="1:25" ht="13">
      <c r="A461" s="147"/>
      <c r="B461" s="133"/>
      <c r="C461" s="134"/>
      <c r="D461" s="135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</row>
    <row r="462" spans="1:25" ht="13">
      <c r="A462" s="147"/>
      <c r="B462" s="133"/>
      <c r="C462" s="134"/>
      <c r="D462" s="135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</row>
    <row r="463" spans="1:25" ht="13">
      <c r="A463" s="147"/>
      <c r="B463" s="133"/>
      <c r="C463" s="134"/>
      <c r="D463" s="135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</row>
    <row r="464" spans="1:25" ht="13">
      <c r="A464" s="147"/>
      <c r="B464" s="133"/>
      <c r="C464" s="134"/>
      <c r="D464" s="135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</row>
    <row r="465" spans="1:25" ht="13">
      <c r="A465" s="147"/>
      <c r="B465" s="133"/>
      <c r="C465" s="134"/>
      <c r="D465" s="135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</row>
    <row r="466" spans="1:25" ht="13">
      <c r="A466" s="147"/>
      <c r="B466" s="133"/>
      <c r="C466" s="134"/>
      <c r="D466" s="135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</row>
    <row r="467" spans="1:25" ht="13">
      <c r="A467" s="147"/>
      <c r="B467" s="133"/>
      <c r="C467" s="134"/>
      <c r="D467" s="135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</row>
    <row r="468" spans="1:25" ht="13">
      <c r="A468" s="147"/>
      <c r="B468" s="133"/>
      <c r="C468" s="134"/>
      <c r="D468" s="135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</row>
    <row r="469" spans="1:25" ht="13">
      <c r="A469" s="147"/>
      <c r="B469" s="133"/>
      <c r="C469" s="134"/>
      <c r="D469" s="135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</row>
    <row r="470" spans="1:25" ht="13">
      <c r="A470" s="147"/>
      <c r="B470" s="133"/>
      <c r="C470" s="134"/>
      <c r="D470" s="135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</row>
    <row r="471" spans="1:25" ht="13">
      <c r="A471" s="147"/>
      <c r="B471" s="133"/>
      <c r="C471" s="134"/>
      <c r="D471" s="135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</row>
    <row r="472" spans="1:25" ht="13">
      <c r="A472" s="147"/>
      <c r="B472" s="133"/>
      <c r="C472" s="134"/>
      <c r="D472" s="135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</row>
    <row r="473" spans="1:25" ht="13">
      <c r="A473" s="147"/>
      <c r="B473" s="133"/>
      <c r="C473" s="134"/>
      <c r="D473" s="135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</row>
    <row r="474" spans="1:25" ht="13">
      <c r="A474" s="147"/>
      <c r="B474" s="133"/>
      <c r="C474" s="134"/>
      <c r="D474" s="135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</row>
    <row r="475" spans="1:25" ht="13">
      <c r="A475" s="147"/>
      <c r="B475" s="133"/>
      <c r="C475" s="134"/>
      <c r="D475" s="135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</row>
    <row r="476" spans="1:25" ht="13">
      <c r="A476" s="147"/>
      <c r="B476" s="133"/>
      <c r="C476" s="134"/>
      <c r="D476" s="135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</row>
    <row r="477" spans="1:25" ht="13">
      <c r="A477" s="147"/>
      <c r="B477" s="133"/>
      <c r="C477" s="134"/>
      <c r="D477" s="135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</row>
    <row r="478" spans="1:25" ht="13">
      <c r="A478" s="147"/>
      <c r="B478" s="133"/>
      <c r="C478" s="134"/>
      <c r="D478" s="135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</row>
    <row r="479" spans="1:25" ht="13">
      <c r="A479" s="147"/>
      <c r="B479" s="133"/>
      <c r="C479" s="134"/>
      <c r="D479" s="135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</row>
    <row r="480" spans="1:25" ht="13">
      <c r="A480" s="147"/>
      <c r="B480" s="133"/>
      <c r="C480" s="134"/>
      <c r="D480" s="135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</row>
    <row r="481" spans="1:25" ht="13">
      <c r="A481" s="147"/>
      <c r="B481" s="133"/>
      <c r="C481" s="134"/>
      <c r="D481" s="135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</row>
    <row r="482" spans="1:25" ht="13">
      <c r="A482" s="147"/>
      <c r="B482" s="133"/>
      <c r="C482" s="134"/>
      <c r="D482" s="135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</row>
    <row r="483" spans="1:25" ht="13">
      <c r="A483" s="147"/>
      <c r="B483" s="133"/>
      <c r="C483" s="134"/>
      <c r="D483" s="135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</row>
    <row r="484" spans="1:25" ht="13">
      <c r="A484" s="147"/>
      <c r="B484" s="133"/>
      <c r="C484" s="134"/>
      <c r="D484" s="135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</row>
    <row r="485" spans="1:25" ht="13">
      <c r="A485" s="147"/>
      <c r="B485" s="133"/>
      <c r="C485" s="134"/>
      <c r="D485" s="135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</row>
    <row r="486" spans="1:25" ht="13">
      <c r="A486" s="147"/>
      <c r="B486" s="133"/>
      <c r="C486" s="134"/>
      <c r="D486" s="135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</row>
    <row r="487" spans="1:25" ht="13">
      <c r="A487" s="147"/>
      <c r="B487" s="133"/>
      <c r="C487" s="134"/>
      <c r="D487" s="135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</row>
    <row r="488" spans="1:25" ht="13">
      <c r="A488" s="147"/>
      <c r="B488" s="133"/>
      <c r="C488" s="134"/>
      <c r="D488" s="135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</row>
    <row r="489" spans="1:25" ht="13">
      <c r="A489" s="147"/>
      <c r="B489" s="133"/>
      <c r="C489" s="134"/>
      <c r="D489" s="135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</row>
    <row r="490" spans="1:25" ht="13">
      <c r="A490" s="147"/>
      <c r="B490" s="133"/>
      <c r="C490" s="134"/>
      <c r="D490" s="135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</row>
    <row r="491" spans="1:25" ht="13">
      <c r="A491" s="147"/>
      <c r="B491" s="133"/>
      <c r="C491" s="134"/>
      <c r="D491" s="135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</row>
    <row r="492" spans="1:25" ht="13">
      <c r="A492" s="147"/>
      <c r="B492" s="133"/>
      <c r="C492" s="134"/>
      <c r="D492" s="135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</row>
    <row r="493" spans="1:25" ht="13">
      <c r="A493" s="147"/>
      <c r="B493" s="133"/>
      <c r="C493" s="134"/>
      <c r="D493" s="135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</row>
    <row r="494" spans="1:25" ht="13">
      <c r="A494" s="147"/>
      <c r="B494" s="133"/>
      <c r="C494" s="134"/>
      <c r="D494" s="135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</row>
    <row r="495" spans="1:25" ht="13">
      <c r="A495" s="147"/>
      <c r="B495" s="133"/>
      <c r="C495" s="134"/>
      <c r="D495" s="135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</row>
    <row r="496" spans="1:25" ht="13">
      <c r="A496" s="147"/>
      <c r="B496" s="133"/>
      <c r="C496" s="134"/>
      <c r="D496" s="135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</row>
    <row r="497" spans="1:25" ht="13">
      <c r="A497" s="147"/>
      <c r="B497" s="133"/>
      <c r="C497" s="134"/>
      <c r="D497" s="135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</row>
    <row r="498" spans="1:25" ht="13">
      <c r="A498" s="147"/>
      <c r="B498" s="133"/>
      <c r="C498" s="134"/>
      <c r="D498" s="135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</row>
    <row r="499" spans="1:25" ht="13">
      <c r="A499" s="147"/>
      <c r="B499" s="133"/>
      <c r="C499" s="134"/>
      <c r="D499" s="135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</row>
    <row r="500" spans="1:25" ht="13">
      <c r="A500" s="147"/>
      <c r="B500" s="133"/>
      <c r="C500" s="134"/>
      <c r="D500" s="135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</row>
    <row r="501" spans="1:25" ht="13">
      <c r="A501" s="147"/>
      <c r="B501" s="133"/>
      <c r="C501" s="134"/>
      <c r="D501" s="135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</row>
    <row r="502" spans="1:25" ht="13">
      <c r="A502" s="147"/>
      <c r="B502" s="133"/>
      <c r="C502" s="134"/>
      <c r="D502" s="135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</row>
    <row r="503" spans="1:25" ht="13">
      <c r="A503" s="147"/>
      <c r="B503" s="133"/>
      <c r="C503" s="134"/>
      <c r="D503" s="135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</row>
    <row r="504" spans="1:25" ht="13">
      <c r="A504" s="147"/>
      <c r="B504" s="133"/>
      <c r="C504" s="134"/>
      <c r="D504" s="135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</row>
    <row r="505" spans="1:25" ht="13">
      <c r="A505" s="147"/>
      <c r="B505" s="133"/>
      <c r="C505" s="134"/>
      <c r="D505" s="135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</row>
    <row r="506" spans="1:25" ht="13">
      <c r="A506" s="147"/>
      <c r="B506" s="133"/>
      <c r="C506" s="134"/>
      <c r="D506" s="135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</row>
    <row r="507" spans="1:25" ht="13">
      <c r="A507" s="147"/>
      <c r="B507" s="133"/>
      <c r="C507" s="134"/>
      <c r="D507" s="135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</row>
    <row r="508" spans="1:25" ht="13">
      <c r="A508" s="147"/>
      <c r="B508" s="133"/>
      <c r="C508" s="134"/>
      <c r="D508" s="135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</row>
    <row r="509" spans="1:25" ht="13">
      <c r="A509" s="147"/>
      <c r="B509" s="133"/>
      <c r="C509" s="134"/>
      <c r="D509" s="135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</row>
    <row r="510" spans="1:25" ht="13">
      <c r="A510" s="147"/>
      <c r="B510" s="133"/>
      <c r="C510" s="134"/>
      <c r="D510" s="135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</row>
    <row r="511" spans="1:25" ht="13">
      <c r="A511" s="147"/>
      <c r="B511" s="133"/>
      <c r="C511" s="134"/>
      <c r="D511" s="135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</row>
    <row r="512" spans="1:25" ht="13">
      <c r="A512" s="147"/>
      <c r="B512" s="133"/>
      <c r="C512" s="134"/>
      <c r="D512" s="135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</row>
    <row r="513" spans="1:25" ht="13">
      <c r="A513" s="147"/>
      <c r="B513" s="133"/>
      <c r="C513" s="134"/>
      <c r="D513" s="135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</row>
    <row r="514" spans="1:25" ht="13">
      <c r="A514" s="147"/>
      <c r="B514" s="133"/>
      <c r="C514" s="134"/>
      <c r="D514" s="135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</row>
    <row r="515" spans="1:25" ht="13">
      <c r="A515" s="147"/>
      <c r="B515" s="133"/>
      <c r="C515" s="134"/>
      <c r="D515" s="135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</row>
    <row r="516" spans="1:25" ht="13">
      <c r="A516" s="147"/>
      <c r="B516" s="133"/>
      <c r="C516" s="134"/>
      <c r="D516" s="135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</row>
    <row r="517" spans="1:25" ht="13">
      <c r="A517" s="147"/>
      <c r="B517" s="133"/>
      <c r="C517" s="134"/>
      <c r="D517" s="135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</row>
    <row r="518" spans="1:25" ht="13">
      <c r="A518" s="147"/>
      <c r="B518" s="133"/>
      <c r="C518" s="134"/>
      <c r="D518" s="135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</row>
    <row r="519" spans="1:25" ht="13">
      <c r="A519" s="147"/>
      <c r="B519" s="133"/>
      <c r="C519" s="134"/>
      <c r="D519" s="135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</row>
    <row r="520" spans="1:25" ht="13">
      <c r="A520" s="147"/>
      <c r="B520" s="133"/>
      <c r="C520" s="134"/>
      <c r="D520" s="135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</row>
    <row r="521" spans="1:25" ht="13">
      <c r="A521" s="147"/>
      <c r="B521" s="133"/>
      <c r="C521" s="134"/>
      <c r="D521" s="135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</row>
    <row r="522" spans="1:25" ht="13">
      <c r="A522" s="147"/>
      <c r="B522" s="133"/>
      <c r="C522" s="134"/>
      <c r="D522" s="135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</row>
    <row r="523" spans="1:25" ht="13">
      <c r="A523" s="147"/>
      <c r="B523" s="133"/>
      <c r="C523" s="134"/>
      <c r="D523" s="135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</row>
    <row r="524" spans="1:25" ht="13">
      <c r="A524" s="147"/>
      <c r="B524" s="133"/>
      <c r="C524" s="134"/>
      <c r="D524" s="135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</row>
    <row r="525" spans="1:25" ht="13">
      <c r="A525" s="147"/>
      <c r="B525" s="133"/>
      <c r="C525" s="134"/>
      <c r="D525" s="135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</row>
    <row r="526" spans="1:25" ht="13">
      <c r="A526" s="147"/>
      <c r="B526" s="133"/>
      <c r="C526" s="134"/>
      <c r="D526" s="135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</row>
    <row r="527" spans="1:25" ht="13">
      <c r="A527" s="147"/>
      <c r="B527" s="133"/>
      <c r="C527" s="134"/>
      <c r="D527" s="135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</row>
    <row r="528" spans="1:25" ht="13">
      <c r="A528" s="147"/>
      <c r="B528" s="133"/>
      <c r="C528" s="134"/>
      <c r="D528" s="135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</row>
    <row r="529" spans="1:25" ht="13">
      <c r="A529" s="147"/>
      <c r="B529" s="133"/>
      <c r="C529" s="134"/>
      <c r="D529" s="135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</row>
    <row r="530" spans="1:25" ht="13">
      <c r="A530" s="147"/>
      <c r="B530" s="133"/>
      <c r="C530" s="134"/>
      <c r="D530" s="135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</row>
    <row r="531" spans="1:25" ht="13">
      <c r="A531" s="147"/>
      <c r="B531" s="133"/>
      <c r="C531" s="134"/>
      <c r="D531" s="135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</row>
    <row r="532" spans="1:25" ht="13">
      <c r="A532" s="147"/>
      <c r="B532" s="133"/>
      <c r="C532" s="134"/>
      <c r="D532" s="135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</row>
    <row r="533" spans="1:25" ht="13">
      <c r="A533" s="147"/>
      <c r="B533" s="133"/>
      <c r="C533" s="134"/>
      <c r="D533" s="135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</row>
    <row r="534" spans="1:25" ht="13">
      <c r="A534" s="147"/>
      <c r="B534" s="133"/>
      <c r="C534" s="134"/>
      <c r="D534" s="135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</row>
    <row r="535" spans="1:25" ht="13">
      <c r="A535" s="147"/>
      <c r="B535" s="133"/>
      <c r="C535" s="134"/>
      <c r="D535" s="135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</row>
    <row r="536" spans="1:25" ht="13">
      <c r="A536" s="147"/>
      <c r="B536" s="133"/>
      <c r="C536" s="134"/>
      <c r="D536" s="135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</row>
    <row r="537" spans="1:25" ht="13">
      <c r="A537" s="147"/>
      <c r="B537" s="133"/>
      <c r="C537" s="134"/>
      <c r="D537" s="135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</row>
    <row r="538" spans="1:25" ht="13">
      <c r="A538" s="147"/>
      <c r="B538" s="133"/>
      <c r="C538" s="134"/>
      <c r="D538" s="135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</row>
    <row r="539" spans="1:25" ht="13">
      <c r="A539" s="147"/>
      <c r="B539" s="133"/>
      <c r="C539" s="134"/>
      <c r="D539" s="135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</row>
    <row r="540" spans="1:25" ht="13">
      <c r="A540" s="147"/>
      <c r="B540" s="133"/>
      <c r="C540" s="134"/>
      <c r="D540" s="135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</row>
    <row r="541" spans="1:25" ht="13">
      <c r="A541" s="147"/>
      <c r="B541" s="133"/>
      <c r="C541" s="134"/>
      <c r="D541" s="135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</row>
    <row r="542" spans="1:25" ht="13">
      <c r="A542" s="147"/>
      <c r="B542" s="133"/>
      <c r="C542" s="134"/>
      <c r="D542" s="135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</row>
    <row r="543" spans="1:25" ht="13">
      <c r="A543" s="147"/>
      <c r="B543" s="133"/>
      <c r="C543" s="134"/>
      <c r="D543" s="135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</row>
    <row r="544" spans="1:25" ht="13">
      <c r="A544" s="147"/>
      <c r="B544" s="133"/>
      <c r="C544" s="134"/>
      <c r="D544" s="135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</row>
    <row r="545" spans="1:25" ht="13">
      <c r="A545" s="147"/>
      <c r="B545" s="133"/>
      <c r="C545" s="134"/>
      <c r="D545" s="135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</row>
    <row r="546" spans="1:25" ht="13">
      <c r="A546" s="147"/>
      <c r="B546" s="133"/>
      <c r="C546" s="134"/>
      <c r="D546" s="135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</row>
    <row r="547" spans="1:25" ht="13">
      <c r="A547" s="147"/>
      <c r="B547" s="133"/>
      <c r="C547" s="134"/>
      <c r="D547" s="135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</row>
    <row r="548" spans="1:25" ht="13">
      <c r="A548" s="147"/>
      <c r="B548" s="133"/>
      <c r="C548" s="134"/>
      <c r="D548" s="135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</row>
    <row r="549" spans="1:25" ht="13">
      <c r="A549" s="147"/>
      <c r="B549" s="133"/>
      <c r="C549" s="134"/>
      <c r="D549" s="135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</row>
    <row r="550" spans="1:25" ht="13">
      <c r="A550" s="147"/>
      <c r="B550" s="133"/>
      <c r="C550" s="134"/>
      <c r="D550" s="135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</row>
    <row r="551" spans="1:25" ht="13">
      <c r="A551" s="147"/>
      <c r="B551" s="133"/>
      <c r="C551" s="134"/>
      <c r="D551" s="135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</row>
    <row r="552" spans="1:25" ht="13">
      <c r="A552" s="147"/>
      <c r="B552" s="133"/>
      <c r="C552" s="134"/>
      <c r="D552" s="135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</row>
    <row r="553" spans="1:25" ht="13">
      <c r="A553" s="147"/>
      <c r="B553" s="133"/>
      <c r="C553" s="134"/>
      <c r="D553" s="135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</row>
    <row r="554" spans="1:25" ht="13">
      <c r="A554" s="147"/>
      <c r="B554" s="133"/>
      <c r="C554" s="134"/>
      <c r="D554" s="135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</row>
    <row r="555" spans="1:25" ht="13">
      <c r="A555" s="147"/>
      <c r="B555" s="133"/>
      <c r="C555" s="134"/>
      <c r="D555" s="135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</row>
    <row r="556" spans="1:25" ht="13">
      <c r="A556" s="147"/>
      <c r="B556" s="133"/>
      <c r="C556" s="134"/>
      <c r="D556" s="135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</row>
    <row r="557" spans="1:25" ht="13">
      <c r="A557" s="147"/>
      <c r="B557" s="133"/>
      <c r="C557" s="134"/>
      <c r="D557" s="135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</row>
    <row r="558" spans="1:25" ht="13">
      <c r="A558" s="147"/>
      <c r="B558" s="133"/>
      <c r="C558" s="134"/>
      <c r="D558" s="135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</row>
    <row r="559" spans="1:25" ht="13">
      <c r="A559" s="147"/>
      <c r="B559" s="133"/>
      <c r="C559" s="134"/>
      <c r="D559" s="135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</row>
    <row r="560" spans="1:25" ht="13">
      <c r="A560" s="147"/>
      <c r="B560" s="133"/>
      <c r="C560" s="134"/>
      <c r="D560" s="135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</row>
    <row r="561" spans="1:25" ht="13">
      <c r="A561" s="147"/>
      <c r="B561" s="133"/>
      <c r="C561" s="134"/>
      <c r="D561" s="135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</row>
    <row r="562" spans="1:25" ht="13">
      <c r="A562" s="147"/>
      <c r="B562" s="133"/>
      <c r="C562" s="134"/>
      <c r="D562" s="135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</row>
    <row r="563" spans="1:25" ht="13">
      <c r="A563" s="147"/>
      <c r="B563" s="133"/>
      <c r="C563" s="134"/>
      <c r="D563" s="135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</row>
    <row r="564" spans="1:25" ht="13">
      <c r="A564" s="147"/>
      <c r="B564" s="133"/>
      <c r="C564" s="134"/>
      <c r="D564" s="135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</row>
    <row r="565" spans="1:25" ht="13">
      <c r="A565" s="147"/>
      <c r="B565" s="133"/>
      <c r="C565" s="134"/>
      <c r="D565" s="135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</row>
    <row r="566" spans="1:25" ht="13">
      <c r="A566" s="147"/>
      <c r="B566" s="133"/>
      <c r="C566" s="134"/>
      <c r="D566" s="135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</row>
    <row r="567" spans="1:25" ht="13">
      <c r="A567" s="147"/>
      <c r="B567" s="133"/>
      <c r="C567" s="134"/>
      <c r="D567" s="135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</row>
    <row r="568" spans="1:25" ht="13">
      <c r="A568" s="147"/>
      <c r="B568" s="133"/>
      <c r="C568" s="134"/>
      <c r="D568" s="135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</row>
    <row r="569" spans="1:25" ht="13">
      <c r="A569" s="147"/>
      <c r="B569" s="133"/>
      <c r="C569" s="134"/>
      <c r="D569" s="135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</row>
    <row r="570" spans="1:25" ht="13">
      <c r="A570" s="147"/>
      <c r="B570" s="133"/>
      <c r="C570" s="134"/>
      <c r="D570" s="135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</row>
    <row r="571" spans="1:25" ht="13">
      <c r="A571" s="147"/>
      <c r="B571" s="133"/>
      <c r="C571" s="134"/>
      <c r="D571" s="135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</row>
    <row r="572" spans="1:25" ht="13">
      <c r="A572" s="147"/>
      <c r="B572" s="133"/>
      <c r="C572" s="134"/>
      <c r="D572" s="135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</row>
    <row r="573" spans="1:25" ht="13">
      <c r="A573" s="147"/>
      <c r="B573" s="133"/>
      <c r="C573" s="134"/>
      <c r="D573" s="135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</row>
    <row r="574" spans="1:25" ht="13">
      <c r="A574" s="147"/>
      <c r="B574" s="133"/>
      <c r="C574" s="134"/>
      <c r="D574" s="135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</row>
    <row r="575" spans="1:25" ht="13">
      <c r="A575" s="147"/>
      <c r="B575" s="133"/>
      <c r="C575" s="134"/>
      <c r="D575" s="135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</row>
    <row r="576" spans="1:25" ht="13">
      <c r="A576" s="147"/>
      <c r="B576" s="133"/>
      <c r="C576" s="134"/>
      <c r="D576" s="135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</row>
    <row r="577" spans="1:25" ht="13">
      <c r="A577" s="147"/>
      <c r="B577" s="133"/>
      <c r="C577" s="134"/>
      <c r="D577" s="135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</row>
    <row r="578" spans="1:25" ht="13">
      <c r="A578" s="147"/>
      <c r="B578" s="133"/>
      <c r="C578" s="134"/>
      <c r="D578" s="135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</row>
    <row r="579" spans="1:25" ht="13">
      <c r="A579" s="147"/>
      <c r="B579" s="133"/>
      <c r="C579" s="134"/>
      <c r="D579" s="135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</row>
    <row r="580" spans="1:25" ht="13">
      <c r="A580" s="147"/>
      <c r="B580" s="133"/>
      <c r="C580" s="134"/>
      <c r="D580" s="135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</row>
    <row r="581" spans="1:25" ht="13">
      <c r="A581" s="147"/>
      <c r="B581" s="133"/>
      <c r="C581" s="134"/>
      <c r="D581" s="135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</row>
    <row r="582" spans="1:25" ht="13">
      <c r="A582" s="147"/>
      <c r="B582" s="133"/>
      <c r="C582" s="134"/>
      <c r="D582" s="135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</row>
    <row r="583" spans="1:25" ht="13">
      <c r="A583" s="147"/>
      <c r="B583" s="133"/>
      <c r="C583" s="134"/>
      <c r="D583" s="135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</row>
    <row r="584" spans="1:25" ht="13">
      <c r="A584" s="147"/>
      <c r="B584" s="133"/>
      <c r="C584" s="134"/>
      <c r="D584" s="135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</row>
    <row r="585" spans="1:25" ht="13">
      <c r="A585" s="147"/>
      <c r="B585" s="133"/>
      <c r="C585" s="134"/>
      <c r="D585" s="135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</row>
    <row r="586" spans="1:25" ht="13">
      <c r="A586" s="147"/>
      <c r="B586" s="133"/>
      <c r="C586" s="134"/>
      <c r="D586" s="135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</row>
    <row r="587" spans="1:25" ht="13">
      <c r="A587" s="147"/>
      <c r="B587" s="133"/>
      <c r="C587" s="134"/>
      <c r="D587" s="135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</row>
    <row r="588" spans="1:25" ht="13">
      <c r="A588" s="147"/>
      <c r="B588" s="133"/>
      <c r="C588" s="134"/>
      <c r="D588" s="135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</row>
    <row r="589" spans="1:25" ht="13">
      <c r="A589" s="147"/>
      <c r="B589" s="133"/>
      <c r="C589" s="134"/>
      <c r="D589" s="135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</row>
    <row r="590" spans="1:25" ht="13">
      <c r="A590" s="147"/>
      <c r="B590" s="133"/>
      <c r="C590" s="134"/>
      <c r="D590" s="135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</row>
    <row r="591" spans="1:25" ht="13">
      <c r="A591" s="147"/>
      <c r="B591" s="133"/>
      <c r="C591" s="134"/>
      <c r="D591" s="135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</row>
    <row r="592" spans="1:25" ht="13">
      <c r="A592" s="147"/>
      <c r="B592" s="133"/>
      <c r="C592" s="134"/>
      <c r="D592" s="135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</row>
    <row r="593" spans="1:25" ht="13">
      <c r="A593" s="147"/>
      <c r="B593" s="133"/>
      <c r="C593" s="134"/>
      <c r="D593" s="135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</row>
    <row r="594" spans="1:25" ht="13">
      <c r="A594" s="147"/>
      <c r="B594" s="133"/>
      <c r="C594" s="134"/>
      <c r="D594" s="135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</row>
    <row r="595" spans="1:25" ht="13">
      <c r="A595" s="147"/>
      <c r="B595" s="133"/>
      <c r="C595" s="134"/>
      <c r="D595" s="135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</row>
    <row r="596" spans="1:25" ht="13">
      <c r="A596" s="147"/>
      <c r="B596" s="133"/>
      <c r="C596" s="134"/>
      <c r="D596" s="135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</row>
    <row r="597" spans="1:25" ht="13">
      <c r="A597" s="147"/>
      <c r="B597" s="133"/>
      <c r="C597" s="134"/>
      <c r="D597" s="135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</row>
    <row r="598" spans="1:25" ht="13">
      <c r="A598" s="147"/>
      <c r="B598" s="133"/>
      <c r="C598" s="134"/>
      <c r="D598" s="135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</row>
    <row r="599" spans="1:25" ht="13">
      <c r="A599" s="147"/>
      <c r="B599" s="133"/>
      <c r="C599" s="134"/>
      <c r="D599" s="135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</row>
    <row r="600" spans="1:25" ht="13">
      <c r="A600" s="147"/>
      <c r="B600" s="133"/>
      <c r="C600" s="134"/>
      <c r="D600" s="135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</row>
    <row r="601" spans="1:25" ht="13">
      <c r="A601" s="147"/>
      <c r="B601" s="133"/>
      <c r="C601" s="134"/>
      <c r="D601" s="135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</row>
    <row r="602" spans="1:25" ht="13">
      <c r="A602" s="147"/>
      <c r="B602" s="133"/>
      <c r="C602" s="134"/>
      <c r="D602" s="135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</row>
    <row r="603" spans="1:25" ht="13">
      <c r="A603" s="147"/>
      <c r="B603" s="133"/>
      <c r="C603" s="134"/>
      <c r="D603" s="135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</row>
    <row r="604" spans="1:25" ht="13">
      <c r="A604" s="147"/>
      <c r="B604" s="133"/>
      <c r="C604" s="134"/>
      <c r="D604" s="135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</row>
    <row r="605" spans="1:25" ht="13">
      <c r="A605" s="147"/>
      <c r="B605" s="133"/>
      <c r="C605" s="134"/>
      <c r="D605" s="135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</row>
    <row r="606" spans="1:25" ht="13">
      <c r="A606" s="147"/>
      <c r="B606" s="133"/>
      <c r="C606" s="134"/>
      <c r="D606" s="135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</row>
    <row r="607" spans="1:25" ht="13">
      <c r="A607" s="147"/>
      <c r="B607" s="133"/>
      <c r="C607" s="134"/>
      <c r="D607" s="135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</row>
    <row r="608" spans="1:25" ht="13">
      <c r="A608" s="147"/>
      <c r="B608" s="133"/>
      <c r="C608" s="134"/>
      <c r="D608" s="135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</row>
    <row r="609" spans="1:25" ht="13">
      <c r="A609" s="147"/>
      <c r="B609" s="133"/>
      <c r="C609" s="134"/>
      <c r="D609" s="135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</row>
    <row r="610" spans="1:25" ht="13">
      <c r="A610" s="147"/>
      <c r="B610" s="133"/>
      <c r="C610" s="134"/>
      <c r="D610" s="135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</row>
    <row r="611" spans="1:25" ht="13">
      <c r="A611" s="147"/>
      <c r="B611" s="133"/>
      <c r="C611" s="134"/>
      <c r="D611" s="135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</row>
    <row r="612" spans="1:25" ht="13">
      <c r="A612" s="147"/>
      <c r="B612" s="133"/>
      <c r="C612" s="134"/>
      <c r="D612" s="135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</row>
    <row r="613" spans="1:25" ht="13">
      <c r="A613" s="147"/>
      <c r="B613" s="133"/>
      <c r="C613" s="134"/>
      <c r="D613" s="135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</row>
    <row r="614" spans="1:25" ht="13">
      <c r="A614" s="147"/>
      <c r="B614" s="133"/>
      <c r="C614" s="134"/>
      <c r="D614" s="135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</row>
    <row r="615" spans="1:25" ht="13">
      <c r="A615" s="147"/>
      <c r="B615" s="133"/>
      <c r="C615" s="134"/>
      <c r="D615" s="135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</row>
    <row r="616" spans="1:25" ht="13">
      <c r="A616" s="147"/>
      <c r="B616" s="133"/>
      <c r="C616" s="134"/>
      <c r="D616" s="135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</row>
    <row r="617" spans="1:25" ht="13">
      <c r="A617" s="147"/>
      <c r="B617" s="133"/>
      <c r="C617" s="134"/>
      <c r="D617" s="135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</row>
    <row r="618" spans="1:25" ht="13">
      <c r="A618" s="147"/>
      <c r="B618" s="133"/>
      <c r="C618" s="134"/>
      <c r="D618" s="135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</row>
    <row r="619" spans="1:25" ht="13">
      <c r="A619" s="147"/>
      <c r="B619" s="133"/>
      <c r="C619" s="134"/>
      <c r="D619" s="135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</row>
    <row r="620" spans="1:25" ht="13">
      <c r="A620" s="147"/>
      <c r="B620" s="133"/>
      <c r="C620" s="134"/>
      <c r="D620" s="135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</row>
    <row r="621" spans="1:25" ht="13">
      <c r="A621" s="147"/>
      <c r="B621" s="133"/>
      <c r="C621" s="134"/>
      <c r="D621" s="135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</row>
    <row r="622" spans="1:25" ht="13">
      <c r="A622" s="147"/>
      <c r="B622" s="133"/>
      <c r="C622" s="134"/>
      <c r="D622" s="135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</row>
    <row r="623" spans="1:25" ht="13">
      <c r="A623" s="147"/>
      <c r="B623" s="133"/>
      <c r="C623" s="134"/>
      <c r="D623" s="135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</row>
    <row r="624" spans="1:25" ht="13">
      <c r="A624" s="147"/>
      <c r="B624" s="133"/>
      <c r="C624" s="134"/>
      <c r="D624" s="135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</row>
    <row r="625" spans="1:25" ht="13">
      <c r="A625" s="147"/>
      <c r="B625" s="133"/>
      <c r="C625" s="134"/>
      <c r="D625" s="135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</row>
    <row r="626" spans="1:25" ht="13">
      <c r="A626" s="147"/>
      <c r="B626" s="133"/>
      <c r="C626" s="134"/>
      <c r="D626" s="135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</row>
    <row r="627" spans="1:25" ht="13">
      <c r="A627" s="147"/>
      <c r="B627" s="133"/>
      <c r="C627" s="134"/>
      <c r="D627" s="135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</row>
    <row r="628" spans="1:25" ht="13">
      <c r="A628" s="147"/>
      <c r="B628" s="133"/>
      <c r="C628" s="134"/>
      <c r="D628" s="135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</row>
    <row r="629" spans="1:25" ht="13">
      <c r="A629" s="147"/>
      <c r="B629" s="133"/>
      <c r="C629" s="134"/>
      <c r="D629" s="135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</row>
    <row r="630" spans="1:25" ht="13">
      <c r="A630" s="147"/>
      <c r="B630" s="133"/>
      <c r="C630" s="134"/>
      <c r="D630" s="135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</row>
    <row r="631" spans="1:25" ht="13">
      <c r="A631" s="147"/>
      <c r="B631" s="133"/>
      <c r="C631" s="134"/>
      <c r="D631" s="135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</row>
    <row r="632" spans="1:25" ht="13">
      <c r="A632" s="147"/>
      <c r="B632" s="133"/>
      <c r="C632" s="134"/>
      <c r="D632" s="135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</row>
    <row r="633" spans="1:25" ht="13">
      <c r="A633" s="147"/>
      <c r="B633" s="133"/>
      <c r="C633" s="134"/>
      <c r="D633" s="135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</row>
    <row r="634" spans="1:25" ht="13">
      <c r="A634" s="147"/>
      <c r="B634" s="133"/>
      <c r="C634" s="134"/>
      <c r="D634" s="135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</row>
    <row r="635" spans="1:25" ht="13">
      <c r="A635" s="147"/>
      <c r="B635" s="133"/>
      <c r="C635" s="134"/>
      <c r="D635" s="135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</row>
    <row r="636" spans="1:25" ht="13">
      <c r="A636" s="147"/>
      <c r="B636" s="133"/>
      <c r="C636" s="134"/>
      <c r="D636" s="135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</row>
    <row r="637" spans="1:25" ht="13">
      <c r="A637" s="147"/>
      <c r="B637" s="133"/>
      <c r="C637" s="134"/>
      <c r="D637" s="135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</row>
    <row r="638" spans="1:25" ht="13">
      <c r="A638" s="147"/>
      <c r="B638" s="133"/>
      <c r="C638" s="134"/>
      <c r="D638" s="135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</row>
    <row r="639" spans="1:25" ht="13">
      <c r="A639" s="147"/>
      <c r="B639" s="133"/>
      <c r="C639" s="134"/>
      <c r="D639" s="135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</row>
    <row r="640" spans="1:25" ht="13">
      <c r="A640" s="147"/>
      <c r="B640" s="133"/>
      <c r="C640" s="134"/>
      <c r="D640" s="135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</row>
    <row r="641" spans="1:25" ht="13">
      <c r="A641" s="147"/>
      <c r="B641" s="133"/>
      <c r="C641" s="134"/>
      <c r="D641" s="135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</row>
    <row r="642" spans="1:25" ht="13">
      <c r="A642" s="147"/>
      <c r="B642" s="133"/>
      <c r="C642" s="134"/>
      <c r="D642" s="135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</row>
    <row r="643" spans="1:25" ht="13">
      <c r="A643" s="147"/>
      <c r="B643" s="133"/>
      <c r="C643" s="134"/>
      <c r="D643" s="135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</row>
    <row r="644" spans="1:25" ht="13">
      <c r="A644" s="147"/>
      <c r="B644" s="133"/>
      <c r="C644" s="134"/>
      <c r="D644" s="135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</row>
    <row r="645" spans="1:25" ht="13">
      <c r="A645" s="147"/>
      <c r="B645" s="133"/>
      <c r="C645" s="134"/>
      <c r="D645" s="135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</row>
    <row r="646" spans="1:25" ht="13">
      <c r="A646" s="147"/>
      <c r="B646" s="133"/>
      <c r="C646" s="134"/>
      <c r="D646" s="135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</row>
    <row r="647" spans="1:25" ht="13">
      <c r="A647" s="147"/>
      <c r="B647" s="133"/>
      <c r="C647" s="134"/>
      <c r="D647" s="135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</row>
    <row r="648" spans="1:25" ht="13">
      <c r="A648" s="147"/>
      <c r="B648" s="133"/>
      <c r="C648" s="134"/>
      <c r="D648" s="135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</row>
    <row r="649" spans="1:25" ht="13">
      <c r="A649" s="147"/>
      <c r="B649" s="133"/>
      <c r="C649" s="134"/>
      <c r="D649" s="135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</row>
    <row r="650" spans="1:25" ht="13">
      <c r="A650" s="147"/>
      <c r="B650" s="133"/>
      <c r="C650" s="134"/>
      <c r="D650" s="135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</row>
    <row r="651" spans="1:25" ht="13">
      <c r="A651" s="147"/>
      <c r="B651" s="133"/>
      <c r="C651" s="134"/>
      <c r="D651" s="135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</row>
    <row r="652" spans="1:25" ht="13">
      <c r="A652" s="147"/>
      <c r="B652" s="133"/>
      <c r="C652" s="134"/>
      <c r="D652" s="135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</row>
    <row r="653" spans="1:25" ht="13">
      <c r="A653" s="147"/>
      <c r="B653" s="133"/>
      <c r="C653" s="134"/>
      <c r="D653" s="135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</row>
    <row r="654" spans="1:25" ht="13">
      <c r="A654" s="147"/>
      <c r="B654" s="133"/>
      <c r="C654" s="134"/>
      <c r="D654" s="135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</row>
    <row r="655" spans="1:25" ht="13">
      <c r="A655" s="147"/>
      <c r="B655" s="133"/>
      <c r="C655" s="134"/>
      <c r="D655" s="135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</row>
    <row r="656" spans="1:25" ht="13">
      <c r="A656" s="147"/>
      <c r="B656" s="133"/>
      <c r="C656" s="134"/>
      <c r="D656" s="135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</row>
    <row r="657" spans="1:25" ht="13">
      <c r="A657" s="147"/>
      <c r="B657" s="133"/>
      <c r="C657" s="134"/>
      <c r="D657" s="135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</row>
    <row r="658" spans="1:25" ht="13">
      <c r="A658" s="147"/>
      <c r="B658" s="133"/>
      <c r="C658" s="134"/>
      <c r="D658" s="135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</row>
    <row r="659" spans="1:25" ht="13">
      <c r="A659" s="147"/>
      <c r="B659" s="133"/>
      <c r="C659" s="134"/>
      <c r="D659" s="135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</row>
    <row r="660" spans="1:25" ht="13">
      <c r="A660" s="147"/>
      <c r="B660" s="133"/>
      <c r="C660" s="134"/>
      <c r="D660" s="135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</row>
    <row r="661" spans="1:25" ht="13">
      <c r="A661" s="147"/>
      <c r="B661" s="133"/>
      <c r="C661" s="134"/>
      <c r="D661" s="135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</row>
    <row r="662" spans="1:25" ht="13">
      <c r="A662" s="147"/>
      <c r="B662" s="133"/>
      <c r="C662" s="134"/>
      <c r="D662" s="135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</row>
    <row r="663" spans="1:25" ht="13">
      <c r="A663" s="147"/>
      <c r="B663" s="133"/>
      <c r="C663" s="134"/>
      <c r="D663" s="135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</row>
    <row r="664" spans="1:25" ht="13">
      <c r="A664" s="147"/>
      <c r="B664" s="133"/>
      <c r="C664" s="134"/>
      <c r="D664" s="135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</row>
    <row r="665" spans="1:25" ht="13">
      <c r="A665" s="147"/>
      <c r="B665" s="133"/>
      <c r="C665" s="134"/>
      <c r="D665" s="135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</row>
    <row r="666" spans="1:25" ht="13">
      <c r="A666" s="147"/>
      <c r="B666" s="133"/>
      <c r="C666" s="134"/>
      <c r="D666" s="135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</row>
    <row r="667" spans="1:25" ht="13">
      <c r="A667" s="147"/>
      <c r="B667" s="133"/>
      <c r="C667" s="134"/>
      <c r="D667" s="135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</row>
    <row r="668" spans="1:25" ht="13">
      <c r="A668" s="147"/>
      <c r="B668" s="133"/>
      <c r="C668" s="134"/>
      <c r="D668" s="135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</row>
    <row r="669" spans="1:25" ht="13">
      <c r="A669" s="147"/>
      <c r="B669" s="133"/>
      <c r="C669" s="134"/>
      <c r="D669" s="135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</row>
    <row r="670" spans="1:25" ht="13">
      <c r="A670" s="147"/>
      <c r="B670" s="133"/>
      <c r="C670" s="134"/>
      <c r="D670" s="135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</row>
    <row r="671" spans="1:25" ht="13">
      <c r="A671" s="147"/>
      <c r="B671" s="133"/>
      <c r="C671" s="134"/>
      <c r="D671" s="135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</row>
    <row r="672" spans="1:25" ht="13">
      <c r="A672" s="147"/>
      <c r="B672" s="133"/>
      <c r="C672" s="134"/>
      <c r="D672" s="135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</row>
    <row r="673" spans="1:25" ht="13">
      <c r="A673" s="147"/>
      <c r="B673" s="133"/>
      <c r="C673" s="134"/>
      <c r="D673" s="135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</row>
    <row r="674" spans="1:25" ht="13">
      <c r="A674" s="147"/>
      <c r="B674" s="133"/>
      <c r="C674" s="134"/>
      <c r="D674" s="135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</row>
    <row r="675" spans="1:25" ht="13">
      <c r="A675" s="147"/>
      <c r="B675" s="133"/>
      <c r="C675" s="134"/>
      <c r="D675" s="135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</row>
    <row r="676" spans="1:25" ht="13">
      <c r="A676" s="147"/>
      <c r="B676" s="133"/>
      <c r="C676" s="134"/>
      <c r="D676" s="135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</row>
    <row r="677" spans="1:25" ht="13">
      <c r="A677" s="147"/>
      <c r="B677" s="133"/>
      <c r="C677" s="134"/>
      <c r="D677" s="135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</row>
    <row r="678" spans="1:25" ht="13">
      <c r="A678" s="147"/>
      <c r="B678" s="133"/>
      <c r="C678" s="134"/>
      <c r="D678" s="135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</row>
    <row r="679" spans="1:25" ht="13">
      <c r="A679" s="147"/>
      <c r="B679" s="133"/>
      <c r="C679" s="134"/>
      <c r="D679" s="135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</row>
    <row r="680" spans="1:25" ht="13">
      <c r="A680" s="147"/>
      <c r="B680" s="133"/>
      <c r="C680" s="134"/>
      <c r="D680" s="135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</row>
    <row r="681" spans="1:25" ht="13">
      <c r="A681" s="147"/>
      <c r="B681" s="133"/>
      <c r="C681" s="134"/>
      <c r="D681" s="135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</row>
    <row r="682" spans="1:25" ht="13">
      <c r="A682" s="147"/>
      <c r="B682" s="133"/>
      <c r="C682" s="134"/>
      <c r="D682" s="135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</row>
    <row r="683" spans="1:25" ht="13">
      <c r="A683" s="147"/>
      <c r="B683" s="133"/>
      <c r="C683" s="134"/>
      <c r="D683" s="135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</row>
    <row r="684" spans="1:25" ht="13">
      <c r="A684" s="147"/>
      <c r="B684" s="133"/>
      <c r="C684" s="134"/>
      <c r="D684" s="135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</row>
    <row r="685" spans="1:25" ht="13">
      <c r="A685" s="147"/>
      <c r="B685" s="133"/>
      <c r="C685" s="134"/>
      <c r="D685" s="135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</row>
    <row r="686" spans="1:25" ht="13">
      <c r="A686" s="147"/>
      <c r="B686" s="133"/>
      <c r="C686" s="134"/>
      <c r="D686" s="135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</row>
    <row r="687" spans="1:25" ht="13">
      <c r="A687" s="147"/>
      <c r="B687" s="133"/>
      <c r="C687" s="134"/>
      <c r="D687" s="135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</row>
    <row r="688" spans="1:25" ht="13">
      <c r="A688" s="147"/>
      <c r="B688" s="133"/>
      <c r="C688" s="134"/>
      <c r="D688" s="135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</row>
    <row r="689" spans="1:25" ht="13">
      <c r="A689" s="147"/>
      <c r="B689" s="133"/>
      <c r="C689" s="134"/>
      <c r="D689" s="135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</row>
    <row r="690" spans="1:25" ht="13">
      <c r="A690" s="147"/>
      <c r="B690" s="133"/>
      <c r="C690" s="134"/>
      <c r="D690" s="135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</row>
    <row r="691" spans="1:25" ht="13">
      <c r="A691" s="147"/>
      <c r="B691" s="133"/>
      <c r="C691" s="134"/>
      <c r="D691" s="135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</row>
    <row r="692" spans="1:25" ht="13">
      <c r="A692" s="147"/>
      <c r="B692" s="133"/>
      <c r="C692" s="134"/>
      <c r="D692" s="135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</row>
    <row r="693" spans="1:25" ht="13">
      <c r="A693" s="147"/>
      <c r="B693" s="133"/>
      <c r="C693" s="134"/>
      <c r="D693" s="135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</row>
    <row r="694" spans="1:25" ht="13">
      <c r="A694" s="147"/>
      <c r="B694" s="133"/>
      <c r="C694" s="134"/>
      <c r="D694" s="135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</row>
    <row r="695" spans="1:25" ht="13">
      <c r="A695" s="147"/>
      <c r="B695" s="133"/>
      <c r="C695" s="134"/>
      <c r="D695" s="135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</row>
    <row r="696" spans="1:25" ht="13">
      <c r="A696" s="147"/>
      <c r="B696" s="133"/>
      <c r="C696" s="134"/>
      <c r="D696" s="135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</row>
    <row r="697" spans="1:25" ht="13">
      <c r="A697" s="147"/>
      <c r="B697" s="133"/>
      <c r="C697" s="134"/>
      <c r="D697" s="135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</row>
    <row r="698" spans="1:25" ht="13">
      <c r="A698" s="147"/>
      <c r="B698" s="133"/>
      <c r="C698" s="134"/>
      <c r="D698" s="135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</row>
    <row r="699" spans="1:25" ht="13">
      <c r="A699" s="147"/>
      <c r="B699" s="133"/>
      <c r="C699" s="134"/>
      <c r="D699" s="135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</row>
    <row r="700" spans="1:25" ht="13">
      <c r="A700" s="147"/>
      <c r="B700" s="133"/>
      <c r="C700" s="134"/>
      <c r="D700" s="135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</row>
    <row r="701" spans="1:25" ht="13">
      <c r="A701" s="147"/>
      <c r="B701" s="133"/>
      <c r="C701" s="134"/>
      <c r="D701" s="135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</row>
    <row r="702" spans="1:25" ht="13">
      <c r="A702" s="147"/>
      <c r="B702" s="133"/>
      <c r="C702" s="134"/>
      <c r="D702" s="135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</row>
    <row r="703" spans="1:25" ht="13">
      <c r="A703" s="147"/>
      <c r="B703" s="133"/>
      <c r="C703" s="134"/>
      <c r="D703" s="135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</row>
    <row r="704" spans="1:25" ht="13">
      <c r="A704" s="147"/>
      <c r="B704" s="133"/>
      <c r="C704" s="134"/>
      <c r="D704" s="135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</row>
    <row r="705" spans="1:25" ht="13">
      <c r="A705" s="147"/>
      <c r="B705" s="133"/>
      <c r="C705" s="134"/>
      <c r="D705" s="135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</row>
    <row r="706" spans="1:25" ht="13">
      <c r="A706" s="147"/>
      <c r="B706" s="133"/>
      <c r="C706" s="134"/>
      <c r="D706" s="135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</row>
    <row r="707" spans="1:25" ht="13">
      <c r="A707" s="147"/>
      <c r="B707" s="133"/>
      <c r="C707" s="134"/>
      <c r="D707" s="135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</row>
    <row r="708" spans="1:25" ht="13">
      <c r="A708" s="147"/>
      <c r="B708" s="133"/>
      <c r="C708" s="134"/>
      <c r="D708" s="135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</row>
    <row r="709" spans="1:25" ht="13">
      <c r="A709" s="147"/>
      <c r="B709" s="133"/>
      <c r="C709" s="134"/>
      <c r="D709" s="135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</row>
    <row r="710" spans="1:25" ht="13">
      <c r="A710" s="147"/>
      <c r="B710" s="133"/>
      <c r="C710" s="134"/>
      <c r="D710" s="135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</row>
    <row r="711" spans="1:25" ht="13">
      <c r="A711" s="147"/>
      <c r="B711" s="133"/>
      <c r="C711" s="134"/>
      <c r="D711" s="135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</row>
    <row r="712" spans="1:25" ht="13">
      <c r="A712" s="147"/>
      <c r="B712" s="133"/>
      <c r="C712" s="134"/>
      <c r="D712" s="135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</row>
    <row r="713" spans="1:25" ht="13">
      <c r="A713" s="147"/>
      <c r="B713" s="133"/>
      <c r="C713" s="134"/>
      <c r="D713" s="135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</row>
    <row r="714" spans="1:25" ht="13">
      <c r="A714" s="147"/>
      <c r="B714" s="133"/>
      <c r="C714" s="134"/>
      <c r="D714" s="135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</row>
    <row r="715" spans="1:25" ht="13">
      <c r="A715" s="147"/>
      <c r="B715" s="133"/>
      <c r="C715" s="134"/>
      <c r="D715" s="135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</row>
    <row r="716" spans="1:25" ht="13">
      <c r="A716" s="147"/>
      <c r="B716" s="133"/>
      <c r="C716" s="134"/>
      <c r="D716" s="135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</row>
    <row r="717" spans="1:25" ht="13">
      <c r="A717" s="147"/>
      <c r="B717" s="133"/>
      <c r="C717" s="134"/>
      <c r="D717" s="135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</row>
    <row r="718" spans="1:25" ht="13">
      <c r="A718" s="147"/>
      <c r="B718" s="133"/>
      <c r="C718" s="134"/>
      <c r="D718" s="135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</row>
    <row r="719" spans="1:25" ht="13">
      <c r="A719" s="147"/>
      <c r="B719" s="133"/>
      <c r="C719" s="134"/>
      <c r="D719" s="135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</row>
    <row r="720" spans="1:25" ht="13">
      <c r="A720" s="147"/>
      <c r="B720" s="133"/>
      <c r="C720" s="134"/>
      <c r="D720" s="135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</row>
    <row r="721" spans="1:25" ht="13">
      <c r="A721" s="147"/>
      <c r="B721" s="133"/>
      <c r="C721" s="134"/>
      <c r="D721" s="135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</row>
    <row r="722" spans="1:25" ht="13">
      <c r="A722" s="147"/>
      <c r="B722" s="133"/>
      <c r="C722" s="134"/>
      <c r="D722" s="135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</row>
    <row r="723" spans="1:25" ht="13">
      <c r="A723" s="147"/>
      <c r="B723" s="133"/>
      <c r="C723" s="134"/>
      <c r="D723" s="135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</row>
    <row r="724" spans="1:25" ht="13">
      <c r="A724" s="147"/>
      <c r="B724" s="133"/>
      <c r="C724" s="134"/>
      <c r="D724" s="135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</row>
    <row r="725" spans="1:25" ht="13">
      <c r="A725" s="147"/>
      <c r="B725" s="133"/>
      <c r="C725" s="134"/>
      <c r="D725" s="135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</row>
    <row r="726" spans="1:25" ht="13">
      <c r="A726" s="147"/>
      <c r="B726" s="133"/>
      <c r="C726" s="134"/>
      <c r="D726" s="135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</row>
    <row r="727" spans="1:25" ht="13">
      <c r="A727" s="147"/>
      <c r="B727" s="133"/>
      <c r="C727" s="134"/>
      <c r="D727" s="135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</row>
    <row r="728" spans="1:25" ht="13">
      <c r="A728" s="147"/>
      <c r="B728" s="133"/>
      <c r="C728" s="134"/>
      <c r="D728" s="135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</row>
    <row r="729" spans="1:25" ht="13">
      <c r="A729" s="147"/>
      <c r="B729" s="133"/>
      <c r="C729" s="134"/>
      <c r="D729" s="135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</row>
    <row r="730" spans="1:25" ht="13">
      <c r="A730" s="147"/>
      <c r="B730" s="133"/>
      <c r="C730" s="134"/>
      <c r="D730" s="135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</row>
    <row r="731" spans="1:25" ht="13">
      <c r="A731" s="147"/>
      <c r="B731" s="133"/>
      <c r="C731" s="134"/>
      <c r="D731" s="135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</row>
    <row r="732" spans="1:25" ht="13">
      <c r="A732" s="147"/>
      <c r="B732" s="133"/>
      <c r="C732" s="134"/>
      <c r="D732" s="135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</row>
    <row r="733" spans="1:25" ht="13">
      <c r="A733" s="147"/>
      <c r="B733" s="133"/>
      <c r="C733" s="134"/>
      <c r="D733" s="135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</row>
    <row r="734" spans="1:25" ht="13">
      <c r="A734" s="147"/>
      <c r="B734" s="133"/>
      <c r="C734" s="134"/>
      <c r="D734" s="135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</row>
    <row r="735" spans="1:25" ht="13">
      <c r="A735" s="147"/>
      <c r="B735" s="133"/>
      <c r="C735" s="134"/>
      <c r="D735" s="135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</row>
    <row r="736" spans="1:25" ht="13">
      <c r="A736" s="147"/>
      <c r="B736" s="133"/>
      <c r="C736" s="134"/>
      <c r="D736" s="135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</row>
    <row r="737" spans="1:25" ht="13">
      <c r="A737" s="147"/>
      <c r="B737" s="133"/>
      <c r="C737" s="134"/>
      <c r="D737" s="135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</row>
    <row r="738" spans="1:25" ht="13">
      <c r="A738" s="147"/>
      <c r="B738" s="133"/>
      <c r="C738" s="134"/>
      <c r="D738" s="135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</row>
    <row r="739" spans="1:25" ht="13">
      <c r="A739" s="147"/>
      <c r="B739" s="133"/>
      <c r="C739" s="134"/>
      <c r="D739" s="135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</row>
    <row r="740" spans="1:25" ht="13">
      <c r="A740" s="147"/>
      <c r="B740" s="133"/>
      <c r="C740" s="134"/>
      <c r="D740" s="135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</row>
    <row r="741" spans="1:25" ht="13">
      <c r="A741" s="147"/>
      <c r="B741" s="133"/>
      <c r="C741" s="134"/>
      <c r="D741" s="135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</row>
    <row r="742" spans="1:25" ht="13">
      <c r="A742" s="147"/>
      <c r="B742" s="133"/>
      <c r="C742" s="134"/>
      <c r="D742" s="135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</row>
    <row r="743" spans="1:25" ht="13">
      <c r="A743" s="147"/>
      <c r="B743" s="133"/>
      <c r="C743" s="134"/>
      <c r="D743" s="135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</row>
    <row r="744" spans="1:25" ht="13">
      <c r="A744" s="147"/>
      <c r="B744" s="133"/>
      <c r="C744" s="134"/>
      <c r="D744" s="135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</row>
    <row r="745" spans="1:25" ht="13">
      <c r="A745" s="147"/>
      <c r="B745" s="133"/>
      <c r="C745" s="134"/>
      <c r="D745" s="135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</row>
    <row r="746" spans="1:25" ht="13">
      <c r="A746" s="147"/>
      <c r="B746" s="133"/>
      <c r="C746" s="134"/>
      <c r="D746" s="135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</row>
    <row r="747" spans="1:25" ht="13">
      <c r="A747" s="147"/>
      <c r="B747" s="133"/>
      <c r="C747" s="134"/>
      <c r="D747" s="135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</row>
    <row r="748" spans="1:25" ht="13">
      <c r="A748" s="147"/>
      <c r="B748" s="133"/>
      <c r="C748" s="134"/>
      <c r="D748" s="135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</row>
    <row r="749" spans="1:25" ht="13">
      <c r="A749" s="147"/>
      <c r="B749" s="133"/>
      <c r="C749" s="134"/>
      <c r="D749" s="135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</row>
    <row r="750" spans="1:25" ht="13">
      <c r="A750" s="147"/>
      <c r="B750" s="133"/>
      <c r="C750" s="134"/>
      <c r="D750" s="135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</row>
    <row r="751" spans="1:25" ht="13">
      <c r="A751" s="147"/>
      <c r="B751" s="133"/>
      <c r="C751" s="134"/>
      <c r="D751" s="135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</row>
    <row r="752" spans="1:25" ht="13">
      <c r="A752" s="147"/>
      <c r="B752" s="133"/>
      <c r="C752" s="134"/>
      <c r="D752" s="135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</row>
    <row r="753" spans="1:25" ht="13">
      <c r="A753" s="147"/>
      <c r="B753" s="133"/>
      <c r="C753" s="134"/>
      <c r="D753" s="135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</row>
    <row r="754" spans="1:25" ht="13">
      <c r="A754" s="147"/>
      <c r="B754" s="133"/>
      <c r="C754" s="134"/>
      <c r="D754" s="135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</row>
    <row r="755" spans="1:25" ht="13">
      <c r="A755" s="147"/>
      <c r="B755" s="133"/>
      <c r="C755" s="134"/>
      <c r="D755" s="135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</row>
    <row r="756" spans="1:25" ht="13">
      <c r="A756" s="147"/>
      <c r="B756" s="133"/>
      <c r="C756" s="134"/>
      <c r="D756" s="135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</row>
    <row r="757" spans="1:25" ht="13">
      <c r="A757" s="147"/>
      <c r="B757" s="133"/>
      <c r="C757" s="134"/>
      <c r="D757" s="135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</row>
    <row r="758" spans="1:25" ht="13">
      <c r="A758" s="147"/>
      <c r="B758" s="133"/>
      <c r="C758" s="134"/>
      <c r="D758" s="135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</row>
    <row r="759" spans="1:25" ht="13">
      <c r="A759" s="147"/>
      <c r="B759" s="133"/>
      <c r="C759" s="134"/>
      <c r="D759" s="135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</row>
    <row r="760" spans="1:25" ht="13">
      <c r="A760" s="147"/>
      <c r="B760" s="133"/>
      <c r="C760" s="134"/>
      <c r="D760" s="135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</row>
    <row r="761" spans="1:25" ht="13">
      <c r="A761" s="147"/>
      <c r="B761" s="133"/>
      <c r="C761" s="134"/>
      <c r="D761" s="135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</row>
    <row r="762" spans="1:25" ht="13">
      <c r="A762" s="147"/>
      <c r="B762" s="133"/>
      <c r="C762" s="134"/>
      <c r="D762" s="135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</row>
    <row r="763" spans="1:25" ht="13">
      <c r="A763" s="147"/>
      <c r="B763" s="133"/>
      <c r="C763" s="134"/>
      <c r="D763" s="135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</row>
    <row r="764" spans="1:25" ht="13">
      <c r="A764" s="147"/>
      <c r="B764" s="133"/>
      <c r="C764" s="134"/>
      <c r="D764" s="135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</row>
    <row r="765" spans="1:25" ht="13">
      <c r="A765" s="147"/>
      <c r="B765" s="133"/>
      <c r="C765" s="134"/>
      <c r="D765" s="135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</row>
    <row r="766" spans="1:25" ht="13">
      <c r="A766" s="147"/>
      <c r="B766" s="133"/>
      <c r="C766" s="134"/>
      <c r="D766" s="135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</row>
    <row r="767" spans="1:25" ht="13">
      <c r="A767" s="147"/>
      <c r="B767" s="133"/>
      <c r="C767" s="134"/>
      <c r="D767" s="135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</row>
    <row r="768" spans="1:25" ht="13">
      <c r="A768" s="147"/>
      <c r="B768" s="133"/>
      <c r="C768" s="134"/>
      <c r="D768" s="135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</row>
    <row r="769" spans="1:25" ht="13">
      <c r="A769" s="147"/>
      <c r="B769" s="133"/>
      <c r="C769" s="134"/>
      <c r="D769" s="135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</row>
    <row r="770" spans="1:25" ht="13">
      <c r="A770" s="147"/>
      <c r="B770" s="133"/>
      <c r="C770" s="134"/>
      <c r="D770" s="135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</row>
    <row r="771" spans="1:25" ht="13">
      <c r="A771" s="147"/>
      <c r="B771" s="133"/>
      <c r="C771" s="134"/>
      <c r="D771" s="135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</row>
    <row r="772" spans="1:25" ht="13">
      <c r="A772" s="147"/>
      <c r="B772" s="133"/>
      <c r="C772" s="134"/>
      <c r="D772" s="135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</row>
    <row r="773" spans="1:25" ht="13">
      <c r="A773" s="147"/>
      <c r="B773" s="133"/>
      <c r="C773" s="134"/>
      <c r="D773" s="135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</row>
    <row r="774" spans="1:25" ht="13">
      <c r="A774" s="147"/>
      <c r="B774" s="133"/>
      <c r="C774" s="134"/>
      <c r="D774" s="135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</row>
    <row r="775" spans="1:25" ht="13">
      <c r="A775" s="147"/>
      <c r="B775" s="133"/>
      <c r="C775" s="134"/>
      <c r="D775" s="135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</row>
    <row r="776" spans="1:25" ht="13">
      <c r="A776" s="147"/>
      <c r="B776" s="133"/>
      <c r="C776" s="134"/>
      <c r="D776" s="135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</row>
    <row r="777" spans="1:25" ht="13">
      <c r="A777" s="147"/>
      <c r="B777" s="133"/>
      <c r="C777" s="134"/>
      <c r="D777" s="135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</row>
    <row r="778" spans="1:25" ht="13">
      <c r="A778" s="147"/>
      <c r="B778" s="133"/>
      <c r="C778" s="134"/>
      <c r="D778" s="135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</row>
    <row r="779" spans="1:25" ht="13">
      <c r="A779" s="147"/>
      <c r="B779" s="133"/>
      <c r="C779" s="134"/>
      <c r="D779" s="135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</row>
    <row r="780" spans="1:25" ht="13">
      <c r="A780" s="147"/>
      <c r="B780" s="133"/>
      <c r="C780" s="134"/>
      <c r="D780" s="135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</row>
    <row r="781" spans="1:25" ht="13">
      <c r="A781" s="147"/>
      <c r="B781" s="133"/>
      <c r="C781" s="134"/>
      <c r="D781" s="135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</row>
    <row r="782" spans="1:25" ht="13">
      <c r="A782" s="147"/>
      <c r="B782" s="133"/>
      <c r="C782" s="134"/>
      <c r="D782" s="135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</row>
    <row r="783" spans="1:25" ht="13">
      <c r="A783" s="147"/>
      <c r="B783" s="133"/>
      <c r="C783" s="134"/>
      <c r="D783" s="135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</row>
    <row r="784" spans="1:25" ht="13">
      <c r="A784" s="147"/>
      <c r="B784" s="133"/>
      <c r="C784" s="134"/>
      <c r="D784" s="135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</row>
    <row r="785" spans="1:25" ht="13">
      <c r="A785" s="147"/>
      <c r="B785" s="133"/>
      <c r="C785" s="134"/>
      <c r="D785" s="135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</row>
    <row r="786" spans="1:25" ht="13">
      <c r="A786" s="147"/>
      <c r="B786" s="133"/>
      <c r="C786" s="134"/>
      <c r="D786" s="135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</row>
    <row r="787" spans="1:25" ht="13">
      <c r="A787" s="147"/>
      <c r="B787" s="133"/>
      <c r="C787" s="134"/>
      <c r="D787" s="135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</row>
    <row r="788" spans="1:25" ht="13">
      <c r="A788" s="147"/>
      <c r="B788" s="133"/>
      <c r="C788" s="134"/>
      <c r="D788" s="135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</row>
    <row r="789" spans="1:25" ht="13">
      <c r="A789" s="147"/>
      <c r="B789" s="133"/>
      <c r="C789" s="134"/>
      <c r="D789" s="135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</row>
    <row r="790" spans="1:25" ht="13">
      <c r="A790" s="147"/>
      <c r="B790" s="133"/>
      <c r="C790" s="134"/>
      <c r="D790" s="135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</row>
    <row r="791" spans="1:25" ht="13">
      <c r="A791" s="147"/>
      <c r="B791" s="133"/>
      <c r="C791" s="134"/>
      <c r="D791" s="135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</row>
    <row r="792" spans="1:25" ht="13">
      <c r="A792" s="147"/>
      <c r="B792" s="133"/>
      <c r="C792" s="134"/>
      <c r="D792" s="135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</row>
    <row r="793" spans="1:25" ht="13">
      <c r="A793" s="147"/>
      <c r="B793" s="133"/>
      <c r="C793" s="134"/>
      <c r="D793" s="135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</row>
    <row r="794" spans="1:25" ht="13">
      <c r="A794" s="147"/>
      <c r="B794" s="133"/>
      <c r="C794" s="134"/>
      <c r="D794" s="135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</row>
    <row r="795" spans="1:25" ht="13">
      <c r="A795" s="147"/>
      <c r="B795" s="133"/>
      <c r="C795" s="134"/>
      <c r="D795" s="135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</row>
    <row r="796" spans="1:25" ht="13">
      <c r="A796" s="147"/>
      <c r="B796" s="133"/>
      <c r="C796" s="134"/>
      <c r="D796" s="135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</row>
    <row r="797" spans="1:25" ht="13">
      <c r="A797" s="147"/>
      <c r="B797" s="133"/>
      <c r="C797" s="134"/>
      <c r="D797" s="135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</row>
    <row r="798" spans="1:25" ht="13">
      <c r="A798" s="147"/>
      <c r="B798" s="133"/>
      <c r="C798" s="134"/>
      <c r="D798" s="135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</row>
    <row r="799" spans="1:25" ht="13">
      <c r="A799" s="147"/>
      <c r="B799" s="133"/>
      <c r="C799" s="134"/>
      <c r="D799" s="135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</row>
    <row r="800" spans="1:25" ht="13">
      <c r="A800" s="147"/>
      <c r="B800" s="133"/>
      <c r="C800" s="134"/>
      <c r="D800" s="135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</row>
    <row r="801" spans="1:25" ht="13">
      <c r="A801" s="147"/>
      <c r="B801" s="133"/>
      <c r="C801" s="134"/>
      <c r="D801" s="135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</row>
    <row r="802" spans="1:25" ht="13">
      <c r="A802" s="147"/>
      <c r="B802" s="133"/>
      <c r="C802" s="134"/>
      <c r="D802" s="135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</row>
    <row r="803" spans="1:25" ht="13">
      <c r="A803" s="147"/>
      <c r="B803" s="133"/>
      <c r="C803" s="134"/>
      <c r="D803" s="135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</row>
    <row r="804" spans="1:25" ht="13">
      <c r="A804" s="147"/>
      <c r="B804" s="133"/>
      <c r="C804" s="134"/>
      <c r="D804" s="135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</row>
    <row r="805" spans="1:25" ht="13">
      <c r="A805" s="147"/>
      <c r="B805" s="133"/>
      <c r="C805" s="134"/>
      <c r="D805" s="135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</row>
    <row r="806" spans="1:25" ht="13">
      <c r="A806" s="147"/>
      <c r="B806" s="133"/>
      <c r="C806" s="134"/>
      <c r="D806" s="135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</row>
    <row r="807" spans="1:25" ht="13">
      <c r="A807" s="147"/>
      <c r="B807" s="133"/>
      <c r="C807" s="134"/>
      <c r="D807" s="135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</row>
    <row r="808" spans="1:25" ht="13">
      <c r="A808" s="147"/>
      <c r="B808" s="133"/>
      <c r="C808" s="134"/>
      <c r="D808" s="135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</row>
    <row r="809" spans="1:25" ht="13">
      <c r="A809" s="147"/>
      <c r="B809" s="133"/>
      <c r="C809" s="134"/>
      <c r="D809" s="135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</row>
    <row r="810" spans="1:25" ht="13">
      <c r="A810" s="147"/>
      <c r="B810" s="133"/>
      <c r="C810" s="134"/>
      <c r="D810" s="135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</row>
    <row r="811" spans="1:25" ht="13">
      <c r="A811" s="147"/>
      <c r="B811" s="133"/>
      <c r="C811" s="134"/>
      <c r="D811" s="135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</row>
    <row r="812" spans="1:25" ht="13">
      <c r="A812" s="147"/>
      <c r="B812" s="133"/>
      <c r="C812" s="134"/>
      <c r="D812" s="135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</row>
    <row r="813" spans="1:25" ht="13">
      <c r="A813" s="147"/>
      <c r="B813" s="133"/>
      <c r="C813" s="134"/>
      <c r="D813" s="135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</row>
    <row r="814" spans="1:25" ht="13">
      <c r="A814" s="147"/>
      <c r="B814" s="133"/>
      <c r="C814" s="134"/>
      <c r="D814" s="135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</row>
    <row r="815" spans="1:25" ht="13">
      <c r="A815" s="147"/>
      <c r="B815" s="133"/>
      <c r="C815" s="134"/>
      <c r="D815" s="135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</row>
    <row r="816" spans="1:25" ht="13">
      <c r="A816" s="147"/>
      <c r="B816" s="133"/>
      <c r="C816" s="134"/>
      <c r="D816" s="135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</row>
    <row r="817" spans="1:25" ht="13">
      <c r="A817" s="147"/>
      <c r="B817" s="133"/>
      <c r="C817" s="134"/>
      <c r="D817" s="135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</row>
    <row r="818" spans="1:25" ht="13">
      <c r="A818" s="147"/>
      <c r="B818" s="133"/>
      <c r="C818" s="134"/>
      <c r="D818" s="135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</row>
    <row r="819" spans="1:25" ht="13">
      <c r="A819" s="147"/>
      <c r="B819" s="133"/>
      <c r="C819" s="134"/>
      <c r="D819" s="135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</row>
    <row r="820" spans="1:25" ht="13">
      <c r="A820" s="147"/>
      <c r="B820" s="133"/>
      <c r="C820" s="134"/>
      <c r="D820" s="135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</row>
    <row r="821" spans="1:25" ht="13">
      <c r="A821" s="147"/>
      <c r="B821" s="133"/>
      <c r="C821" s="134"/>
      <c r="D821" s="135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</row>
    <row r="822" spans="1:25" ht="13">
      <c r="A822" s="147"/>
      <c r="B822" s="133"/>
      <c r="C822" s="134"/>
      <c r="D822" s="135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</row>
    <row r="823" spans="1:25" ht="13">
      <c r="A823" s="147"/>
      <c r="B823" s="133"/>
      <c r="C823" s="134"/>
      <c r="D823" s="135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</row>
    <row r="824" spans="1:25" ht="13">
      <c r="A824" s="147"/>
      <c r="B824" s="133"/>
      <c r="C824" s="134"/>
      <c r="D824" s="135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</row>
    <row r="825" spans="1:25" ht="13">
      <c r="A825" s="147"/>
      <c r="B825" s="133"/>
      <c r="C825" s="134"/>
      <c r="D825" s="135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</row>
    <row r="826" spans="1:25" ht="13">
      <c r="A826" s="147"/>
      <c r="B826" s="133"/>
      <c r="C826" s="134"/>
      <c r="D826" s="135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</row>
    <row r="827" spans="1:25" ht="13">
      <c r="A827" s="147"/>
      <c r="B827" s="133"/>
      <c r="C827" s="134"/>
      <c r="D827" s="135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</row>
    <row r="828" spans="1:25" ht="13">
      <c r="A828" s="147"/>
      <c r="B828" s="133"/>
      <c r="C828" s="134"/>
      <c r="D828" s="135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</row>
    <row r="829" spans="1:25" ht="13">
      <c r="A829" s="147"/>
      <c r="B829" s="133"/>
      <c r="C829" s="134"/>
      <c r="D829" s="135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</row>
    <row r="830" spans="1:25" ht="13">
      <c r="A830" s="147"/>
      <c r="B830" s="133"/>
      <c r="C830" s="134"/>
      <c r="D830" s="135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</row>
    <row r="831" spans="1:25" ht="13">
      <c r="A831" s="147"/>
      <c r="B831" s="133"/>
      <c r="C831" s="134"/>
      <c r="D831" s="135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</row>
    <row r="832" spans="1:25" ht="13">
      <c r="A832" s="147"/>
      <c r="B832" s="133"/>
      <c r="C832" s="134"/>
      <c r="D832" s="135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</row>
    <row r="833" spans="1:25" ht="13">
      <c r="A833" s="147"/>
      <c r="B833" s="133"/>
      <c r="C833" s="134"/>
      <c r="D833" s="135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</row>
    <row r="834" spans="1:25" ht="13">
      <c r="A834" s="147"/>
      <c r="B834" s="133"/>
      <c r="C834" s="134"/>
      <c r="D834" s="135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</row>
    <row r="835" spans="1:25" ht="13">
      <c r="A835" s="147"/>
      <c r="B835" s="133"/>
      <c r="C835" s="134"/>
      <c r="D835" s="135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</row>
    <row r="836" spans="1:25" ht="13">
      <c r="A836" s="147"/>
      <c r="B836" s="133"/>
      <c r="C836" s="134"/>
      <c r="D836" s="135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</row>
    <row r="837" spans="1:25" ht="13">
      <c r="A837" s="147"/>
      <c r="B837" s="133"/>
      <c r="C837" s="134"/>
      <c r="D837" s="135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</row>
    <row r="838" spans="1:25" ht="13">
      <c r="A838" s="147"/>
      <c r="B838" s="133"/>
      <c r="C838" s="134"/>
      <c r="D838" s="135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</row>
    <row r="839" spans="1:25" ht="13">
      <c r="A839" s="147"/>
      <c r="B839" s="133"/>
      <c r="C839" s="134"/>
      <c r="D839" s="135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</row>
    <row r="840" spans="1:25" ht="13">
      <c r="A840" s="147"/>
      <c r="B840" s="133"/>
      <c r="C840" s="134"/>
      <c r="D840" s="135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</row>
    <row r="841" spans="1:25" ht="13">
      <c r="A841" s="147"/>
      <c r="B841" s="133"/>
      <c r="C841" s="134"/>
      <c r="D841" s="135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</row>
    <row r="842" spans="1:25" ht="13">
      <c r="A842" s="147"/>
      <c r="B842" s="133"/>
      <c r="C842" s="134"/>
      <c r="D842" s="135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</row>
  </sheetData>
  <mergeCells count="22">
    <mergeCell ref="A9:A11"/>
    <mergeCell ref="B9:B11"/>
    <mergeCell ref="A12:A15"/>
    <mergeCell ref="B12:B15"/>
    <mergeCell ref="A16:A17"/>
    <mergeCell ref="B16:B17"/>
    <mergeCell ref="A18:A21"/>
    <mergeCell ref="B18:B21"/>
    <mergeCell ref="A22:A25"/>
    <mergeCell ref="B22:B25"/>
    <mergeCell ref="A26:A29"/>
    <mergeCell ref="B26:B29"/>
    <mergeCell ref="A44:A45"/>
    <mergeCell ref="B44:B45"/>
    <mergeCell ref="A46:A49"/>
    <mergeCell ref="B46:B49"/>
    <mergeCell ref="A30:A35"/>
    <mergeCell ref="B30:B35"/>
    <mergeCell ref="A36:A39"/>
    <mergeCell ref="B36:B39"/>
    <mergeCell ref="A40:A43"/>
    <mergeCell ref="B40:B43"/>
  </mergeCells>
  <hyperlinks>
    <hyperlink ref="A3" r:id="rId1"/>
    <hyperlink ref="A5" r:id="rId2"/>
  </hyperlinks>
  <printOptions horizontalCentered="1" gridLines="1"/>
  <pageMargins left="0.25" right="0.25" top="0.75" bottom="0.75" header="0" footer="0"/>
  <pageSetup paperSize="9" pageOrder="overThenDown" orientation="landscape" cellComments="atEnd"/>
  <rowBreaks count="2" manualBreakCount="2">
    <brk id="48" man="1"/>
    <brk id="25" man="1"/>
  </rowBreaks>
  <colBreaks count="2" manualBreakCount="2">
    <brk man="1"/>
    <brk id="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A9" sqref="A9"/>
    </sheetView>
  </sheetViews>
  <sheetFormatPr defaultRowHeight="14.5"/>
  <cols>
    <col min="2" max="2" width="26.7265625" customWidth="1"/>
    <col min="8" max="8" width="40.26953125" customWidth="1"/>
  </cols>
  <sheetData>
    <row r="1" spans="1:8" ht="29">
      <c r="A1" s="125" t="s">
        <v>786</v>
      </c>
      <c r="D1" t="s">
        <v>801</v>
      </c>
      <c r="G1" s="139" t="s">
        <v>691</v>
      </c>
      <c r="H1" s="141" t="s">
        <v>693</v>
      </c>
    </row>
    <row r="2" spans="1:8">
      <c r="A2">
        <v>0</v>
      </c>
      <c r="B2" s="146" t="s">
        <v>825</v>
      </c>
      <c r="D2" t="s">
        <v>567</v>
      </c>
      <c r="G2" s="143">
        <v>0</v>
      </c>
      <c r="H2" s="143" t="s">
        <v>825</v>
      </c>
    </row>
    <row r="3" spans="1:8" ht="14.65" customHeight="1">
      <c r="A3">
        <v>2</v>
      </c>
      <c r="B3" s="155" t="s">
        <v>695</v>
      </c>
      <c r="D3" t="s">
        <v>568</v>
      </c>
      <c r="G3" s="142">
        <v>1.1000000000000001</v>
      </c>
      <c r="H3" s="143" t="s">
        <v>696</v>
      </c>
    </row>
    <row r="4" spans="1:8">
      <c r="A4">
        <v>3</v>
      </c>
      <c r="B4" s="155" t="s">
        <v>701</v>
      </c>
      <c r="D4" t="s">
        <v>802</v>
      </c>
      <c r="G4" s="142">
        <v>1.2</v>
      </c>
      <c r="H4" s="143" t="s">
        <v>698</v>
      </c>
    </row>
    <row r="5" spans="1:8">
      <c r="A5">
        <v>4</v>
      </c>
      <c r="B5" s="155" t="s">
        <v>709</v>
      </c>
      <c r="G5" s="142">
        <v>1.3</v>
      </c>
      <c r="H5" s="143" t="s">
        <v>699</v>
      </c>
    </row>
    <row r="6" spans="1:8" ht="14.65" customHeight="1">
      <c r="A6">
        <v>5</v>
      </c>
      <c r="B6" s="155" t="s">
        <v>714</v>
      </c>
      <c r="G6" s="142">
        <v>2.1</v>
      </c>
      <c r="H6" s="143" t="s">
        <v>702</v>
      </c>
    </row>
    <row r="7" spans="1:8">
      <c r="A7">
        <v>6</v>
      </c>
      <c r="B7" s="155" t="s">
        <v>723</v>
      </c>
      <c r="G7" s="142">
        <v>2.2000000000000002</v>
      </c>
      <c r="H7" s="143" t="s">
        <v>704</v>
      </c>
    </row>
    <row r="8" spans="1:8">
      <c r="A8">
        <v>7</v>
      </c>
      <c r="B8" s="155" t="s">
        <v>732</v>
      </c>
      <c r="G8" s="142">
        <v>2.2999999999999998</v>
      </c>
      <c r="H8" s="143" t="s">
        <v>705</v>
      </c>
    </row>
    <row r="9" spans="1:8" ht="26">
      <c r="A9">
        <v>8</v>
      </c>
      <c r="B9" s="155" t="s">
        <v>741</v>
      </c>
      <c r="G9" s="142">
        <v>2.4</v>
      </c>
      <c r="H9" s="143" t="s">
        <v>707</v>
      </c>
    </row>
    <row r="10" spans="1:8" ht="14.65" customHeight="1">
      <c r="A10">
        <v>9</v>
      </c>
      <c r="B10" s="155" t="s">
        <v>754</v>
      </c>
      <c r="G10" s="142">
        <v>3.1</v>
      </c>
      <c r="H10" s="143" t="s">
        <v>710</v>
      </c>
    </row>
    <row r="11" spans="1:8">
      <c r="A11">
        <v>10</v>
      </c>
      <c r="B11" s="155" t="s">
        <v>763</v>
      </c>
      <c r="G11" s="142">
        <v>3.2</v>
      </c>
      <c r="H11" s="143" t="s">
        <v>712</v>
      </c>
    </row>
    <row r="12" spans="1:8" ht="14.65" customHeight="1">
      <c r="A12">
        <v>11</v>
      </c>
      <c r="B12" s="155" t="s">
        <v>772</v>
      </c>
      <c r="G12" s="142">
        <v>4.0999999999999996</v>
      </c>
      <c r="H12" s="143" t="s">
        <v>715</v>
      </c>
    </row>
    <row r="13" spans="1:8">
      <c r="B13" s="155" t="s">
        <v>777</v>
      </c>
      <c r="G13" s="142">
        <v>4.2</v>
      </c>
      <c r="H13" s="143" t="s">
        <v>717</v>
      </c>
    </row>
    <row r="14" spans="1:8">
      <c r="G14" s="142">
        <v>4.3</v>
      </c>
      <c r="H14" s="143" t="s">
        <v>719</v>
      </c>
    </row>
    <row r="15" spans="1:8">
      <c r="G15" s="142">
        <v>4.4000000000000004</v>
      </c>
      <c r="H15" s="143" t="s">
        <v>721</v>
      </c>
    </row>
    <row r="16" spans="1:8" ht="14.65" customHeight="1">
      <c r="G16" s="142">
        <v>5.0999999999999996</v>
      </c>
      <c r="H16" s="143" t="s">
        <v>724</v>
      </c>
    </row>
    <row r="17" spans="7:8">
      <c r="G17" s="145">
        <v>5.2</v>
      </c>
      <c r="H17" s="143" t="s">
        <v>726</v>
      </c>
    </row>
    <row r="18" spans="7:8">
      <c r="G18" s="142">
        <v>5.3</v>
      </c>
      <c r="H18" s="143" t="s">
        <v>728</v>
      </c>
    </row>
    <row r="19" spans="7:8">
      <c r="G19" s="142">
        <v>5.4</v>
      </c>
      <c r="H19" s="143" t="s">
        <v>730</v>
      </c>
    </row>
    <row r="20" spans="7:8">
      <c r="G20" s="142">
        <v>6.1</v>
      </c>
      <c r="H20" s="143" t="s">
        <v>733</v>
      </c>
    </row>
    <row r="21" spans="7:8">
      <c r="G21" s="142">
        <v>6.2</v>
      </c>
      <c r="H21" s="143" t="s">
        <v>735</v>
      </c>
    </row>
    <row r="22" spans="7:8">
      <c r="G22" s="142">
        <v>6.3</v>
      </c>
      <c r="H22" s="143" t="s">
        <v>737</v>
      </c>
    </row>
    <row r="23" spans="7:8">
      <c r="G23" s="142">
        <v>6.4</v>
      </c>
      <c r="H23" s="143" t="s">
        <v>739</v>
      </c>
    </row>
    <row r="24" spans="7:8" ht="14.65" customHeight="1">
      <c r="G24" s="142">
        <v>7.1</v>
      </c>
      <c r="H24" s="143" t="s">
        <v>742</v>
      </c>
    </row>
    <row r="25" spans="7:8">
      <c r="G25" s="142">
        <v>7.2</v>
      </c>
      <c r="H25" s="143" t="s">
        <v>744</v>
      </c>
    </row>
    <row r="26" spans="7:8">
      <c r="G26" s="142">
        <v>7.3</v>
      </c>
      <c r="H26" s="143" t="s">
        <v>746</v>
      </c>
    </row>
    <row r="27" spans="7:8">
      <c r="G27" s="142">
        <v>7.4</v>
      </c>
      <c r="H27" s="143" t="s">
        <v>748</v>
      </c>
    </row>
    <row r="28" spans="7:8">
      <c r="G28" s="142">
        <v>7.5</v>
      </c>
      <c r="H28" s="143" t="s">
        <v>750</v>
      </c>
    </row>
    <row r="29" spans="7:8">
      <c r="G29" s="142">
        <v>7.6</v>
      </c>
      <c r="H29" s="143" t="s">
        <v>752</v>
      </c>
    </row>
    <row r="30" spans="7:8" ht="14.65" customHeight="1">
      <c r="G30" s="142">
        <v>8.1</v>
      </c>
      <c r="H30" s="143" t="s">
        <v>755</v>
      </c>
    </row>
    <row r="31" spans="7:8">
      <c r="G31" s="142">
        <v>8.1999999999999993</v>
      </c>
      <c r="H31" s="143" t="s">
        <v>757</v>
      </c>
    </row>
    <row r="32" spans="7:8">
      <c r="G32" s="142">
        <v>8.3000000000000007</v>
      </c>
      <c r="H32" s="143" t="s">
        <v>759</v>
      </c>
    </row>
    <row r="33" spans="7:8">
      <c r="G33" s="142">
        <v>8.4</v>
      </c>
      <c r="H33" s="143" t="s">
        <v>761</v>
      </c>
    </row>
    <row r="34" spans="7:8">
      <c r="G34" s="142">
        <v>9.1</v>
      </c>
      <c r="H34" s="143" t="s">
        <v>764</v>
      </c>
    </row>
    <row r="35" spans="7:8">
      <c r="G35" s="142">
        <v>9.1999999999999993</v>
      </c>
      <c r="H35" s="143" t="s">
        <v>766</v>
      </c>
    </row>
    <row r="36" spans="7:8">
      <c r="G36" s="142">
        <v>9.3000000000000007</v>
      </c>
      <c r="H36" s="143" t="s">
        <v>768</v>
      </c>
    </row>
    <row r="37" spans="7:8">
      <c r="G37" s="142">
        <v>9.4</v>
      </c>
      <c r="H37" s="143" t="s">
        <v>770</v>
      </c>
    </row>
    <row r="38" spans="7:8" ht="14.65" customHeight="1">
      <c r="G38" s="142">
        <v>10.1</v>
      </c>
      <c r="H38" s="143" t="s">
        <v>773</v>
      </c>
    </row>
    <row r="39" spans="7:8">
      <c r="G39" s="142">
        <v>10.199999999999999</v>
      </c>
      <c r="H39" s="143" t="s">
        <v>775</v>
      </c>
    </row>
    <row r="40" spans="7:8" ht="14.65" customHeight="1">
      <c r="G40" s="142">
        <v>11.1</v>
      </c>
      <c r="H40" s="143" t="s">
        <v>778</v>
      </c>
    </row>
    <row r="41" spans="7:8" ht="26">
      <c r="G41" s="142">
        <v>11.2</v>
      </c>
      <c r="H41" s="143" t="s">
        <v>780</v>
      </c>
    </row>
    <row r="42" spans="7:8" ht="26">
      <c r="G42" s="142">
        <v>11.3</v>
      </c>
      <c r="H42" s="143" t="s">
        <v>782</v>
      </c>
    </row>
    <row r="43" spans="7:8">
      <c r="G43" s="142">
        <v>11.4</v>
      </c>
      <c r="H43" s="143" t="s">
        <v>784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opLeftCell="A2" workbookViewId="0">
      <selection activeCell="D9" sqref="D9"/>
    </sheetView>
  </sheetViews>
  <sheetFormatPr defaultColWidth="8.7265625" defaultRowHeight="14.5"/>
  <cols>
    <col min="1" max="1" width="13.26953125" customWidth="1"/>
    <col min="2" max="2" width="16" customWidth="1"/>
  </cols>
  <sheetData>
    <row r="1" spans="1:5" ht="29">
      <c r="A1" s="4" t="s">
        <v>5</v>
      </c>
      <c r="B1" s="4" t="s">
        <v>6</v>
      </c>
      <c r="C1" s="2" t="s">
        <v>7</v>
      </c>
      <c r="E1" t="s">
        <v>566</v>
      </c>
    </row>
    <row r="2" spans="1:5">
      <c r="A2" t="s">
        <v>16</v>
      </c>
      <c r="B2" t="s">
        <v>28</v>
      </c>
      <c r="C2" t="s">
        <v>29</v>
      </c>
      <c r="E2" t="s">
        <v>567</v>
      </c>
    </row>
    <row r="3" spans="1:5">
      <c r="A3" t="s">
        <v>42</v>
      </c>
      <c r="B3" t="s">
        <v>84</v>
      </c>
      <c r="C3" t="s">
        <v>18</v>
      </c>
      <c r="E3" t="s">
        <v>568</v>
      </c>
    </row>
    <row r="4" spans="1:5">
      <c r="C4" t="s">
        <v>23</v>
      </c>
    </row>
    <row r="5" spans="1:5">
      <c r="C5" t="s">
        <v>173</v>
      </c>
    </row>
    <row r="6" spans="1:5">
      <c r="C6" t="s">
        <v>578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1f7b61-b72b-4a21-bb24-e43f40679a49" xsi:nil="true"/>
    <lcf76f155ced4ddcb4097134ff3c332f xmlns="f26037a3-376c-4e35-9673-91218b302f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5CEEF5B67654BB99FA91F3D8DF3AD" ma:contentTypeVersion="14" ma:contentTypeDescription="Crea un document nou" ma:contentTypeScope="" ma:versionID="e04f8550011c0fa287ef4aa6a3ecaa4a">
  <xsd:schema xmlns:xsd="http://www.w3.org/2001/XMLSchema" xmlns:xs="http://www.w3.org/2001/XMLSchema" xmlns:p="http://schemas.microsoft.com/office/2006/metadata/properties" xmlns:ns2="f26037a3-376c-4e35-9673-91218b302fbb" xmlns:ns3="281f7b61-b72b-4a21-bb24-e43f40679a49" targetNamespace="http://schemas.microsoft.com/office/2006/metadata/properties" ma:root="true" ma:fieldsID="062f520033c58143061b60085d9c524e" ns2:_="" ns3:_="">
    <xsd:import namespace="f26037a3-376c-4e35-9673-91218b302fbb"/>
    <xsd:import namespace="281f7b61-b72b-4a21-bb24-e43f40679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037a3-376c-4e35-9673-91218b302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f7b61-b72b-4a21-bb24-e43f40679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e9ec61-e504-403b-b6cf-d739475b8ab3}" ma:internalName="TaxCatchAll" ma:showField="CatchAllData" ma:web="281f7b61-b72b-4a21-bb24-e43f40679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3BBD1B-D8EB-4F55-AA85-1B39798B5B8A}">
  <ds:schemaRefs>
    <ds:schemaRef ds:uri="http://purl.org/dc/terms/"/>
    <ds:schemaRef ds:uri="da98c164-a57d-40d4-8901-16c51c95454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9a081172-b0b2-43c5-ad2b-9c1cb8f67e01"/>
    <ds:schemaRef ds:uri="http://www.w3.org/XML/1998/namespace"/>
    <ds:schemaRef ds:uri="http://purl.org/dc/dcmitype/"/>
    <ds:schemaRef ds:uri="ee4aae3c-01f0-4f05-9c74-076027acd883"/>
  </ds:schemaRefs>
</ds:datastoreItem>
</file>

<file path=customXml/itemProps2.xml><?xml version="1.0" encoding="utf-8"?>
<ds:datastoreItem xmlns:ds="http://schemas.openxmlformats.org/officeDocument/2006/customXml" ds:itemID="{F0687FF4-492A-4708-A78D-9596ABEEFD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E5679B-5F89-4CBF-8BCE-D7D487318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8</vt:i4>
      </vt:variant>
    </vt:vector>
  </HeadingPairs>
  <TitlesOfParts>
    <vt:vector size="8" baseType="lpstr">
      <vt:lpstr>ESTRATÈGIA</vt:lpstr>
      <vt:lpstr>INSTRUCCIONS</vt:lpstr>
      <vt:lpstr>PRIORITZACIÓ</vt:lpstr>
      <vt:lpstr>PLA</vt:lpstr>
      <vt:lpstr>VINCLE AMENAÇA_OBJ. OPERATIU</vt:lpstr>
      <vt:lpstr>Taxonomia Amenaces</vt:lpstr>
      <vt:lpstr>Llistes</vt:lpstr>
      <vt:lpstr>Full1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Nuria Asensio Salvador</dc:creator>
  <cp:keywords/>
  <dc:description/>
  <cp:lastModifiedBy>Parpal Servole, Jordi</cp:lastModifiedBy>
  <cp:revision/>
  <cp:lastPrinted>2024-12-23T11:01:51Z</cp:lastPrinted>
  <dcterms:created xsi:type="dcterms:W3CDTF">2015-06-05T18:17:20Z</dcterms:created>
  <dcterms:modified xsi:type="dcterms:W3CDTF">2025-02-07T07:36:15Z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0x010100F205CEEF5B67654BB99FA91F3D8DF3AD</vt:lpwstr>
  </property>
  <property fmtid="{D5CDD505-2E9C-101B-9397-08002B2CF9AE}" pid="3" name="_dlc_DocIdItemGuid">
    <vt:lpwstr>ff0341f0-9088-483e-b5f9-a8fd6d8609de</vt:lpwstr>
  </property>
  <property fmtid="{D5CDD505-2E9C-101B-9397-08002B2CF9AE}" pid="4" name="MediaServiceImageTags">
    <vt:lpwstr/>
  </property>
</Properties>
</file>