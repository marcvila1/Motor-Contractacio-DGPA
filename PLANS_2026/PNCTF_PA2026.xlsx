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Z:\317\04476\PN_CTF\PNCTF\3. PLANIFICACIÓ\3.2. PROGRAMES\3.2.1. Programa d'actuacions\2026\"/>
    </mc:Choice>
  </mc:AlternateContent>
  <bookViews>
    <workbookView xWindow="-28920" yWindow="-120" windowWidth="29040" windowHeight="15720" tabRatio="990" activeTab="1"/>
  </bookViews>
  <sheets>
    <sheet name="Instruccions" sheetId="18" r:id="rId1"/>
    <sheet name="PROGRAMA ANUAL" sheetId="14" r:id="rId2"/>
    <sheet name="PLA ESTRATÈGIC" sheetId="16" r:id="rId3"/>
    <sheet name="Llistes" sheetId="5" r:id="rId4"/>
  </sheets>
  <externalReferences>
    <externalReference r:id="rId5"/>
    <externalReference r:id="rId6"/>
  </externalReferences>
  <definedNames>
    <definedName name="_xlnm._FilterDatabase" localSheetId="2" hidden="1">'PLA ESTRATÈGIC'!$A$4:$P$185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4" i="16" l="1"/>
  <c r="J176" i="16"/>
  <c r="J175" i="16"/>
  <c r="V172" i="16"/>
  <c r="J167" i="16"/>
  <c r="J166" i="16"/>
  <c r="J165" i="16"/>
  <c r="J164" i="16"/>
  <c r="J163" i="16"/>
  <c r="J161" i="16"/>
  <c r="J160" i="16"/>
  <c r="J159" i="16"/>
  <c r="J158" i="16"/>
  <c r="J157" i="16"/>
  <c r="J156" i="16"/>
  <c r="J155" i="16"/>
  <c r="J154" i="16"/>
  <c r="J153" i="16"/>
  <c r="J152" i="16"/>
  <c r="J151" i="16"/>
  <c r="J150" i="16"/>
  <c r="J149" i="16"/>
  <c r="J148" i="16"/>
  <c r="J147" i="16"/>
  <c r="J146" i="16"/>
  <c r="V144" i="16"/>
  <c r="J144" i="16"/>
  <c r="J143" i="16"/>
  <c r="J141" i="16"/>
  <c r="J140" i="16"/>
  <c r="J139" i="16"/>
  <c r="V138" i="16"/>
  <c r="J138" i="16"/>
  <c r="V137" i="16"/>
  <c r="J137" i="16"/>
  <c r="V136" i="16"/>
  <c r="J136" i="16"/>
  <c r="V135" i="16"/>
  <c r="J135" i="16"/>
  <c r="J132" i="16"/>
  <c r="J131" i="16"/>
  <c r="J130" i="16"/>
  <c r="V129" i="16"/>
  <c r="J129" i="16"/>
  <c r="V128" i="16"/>
  <c r="J128" i="16"/>
  <c r="J126" i="16"/>
  <c r="J125" i="16"/>
  <c r="J124" i="16"/>
  <c r="J123" i="16"/>
  <c r="J122" i="16"/>
  <c r="V121" i="16"/>
  <c r="J121" i="16"/>
  <c r="V120" i="16"/>
  <c r="J120" i="16"/>
  <c r="J118" i="16"/>
  <c r="V115" i="16"/>
  <c r="V114" i="16"/>
  <c r="J113" i="16"/>
  <c r="J99" i="16"/>
  <c r="V98" i="16"/>
  <c r="J98" i="16"/>
  <c r="V97" i="16"/>
  <c r="J97" i="16"/>
  <c r="V96" i="16"/>
  <c r="J96" i="16"/>
  <c r="J94" i="16"/>
  <c r="V93" i="16"/>
  <c r="J93" i="16"/>
  <c r="V90" i="16"/>
  <c r="V89" i="16"/>
  <c r="J89" i="16"/>
  <c r="V88" i="16"/>
  <c r="J88" i="16"/>
  <c r="V87" i="16"/>
  <c r="J87" i="16"/>
  <c r="V86" i="16"/>
  <c r="J86" i="16"/>
  <c r="J85" i="16"/>
  <c r="J84" i="16"/>
  <c r="V83" i="16"/>
  <c r="J83" i="16"/>
  <c r="V82" i="16"/>
  <c r="V81" i="16"/>
  <c r="J81" i="16"/>
  <c r="V80" i="16"/>
  <c r="J80" i="16"/>
  <c r="J79" i="16"/>
  <c r="V78" i="16"/>
  <c r="J78" i="16"/>
  <c r="V77" i="16"/>
  <c r="J77" i="16"/>
  <c r="V76" i="16"/>
  <c r="J76" i="16"/>
  <c r="V75" i="16"/>
  <c r="J75" i="16"/>
  <c r="V74" i="16"/>
  <c r="J74" i="16"/>
  <c r="V73" i="16"/>
  <c r="J73" i="16"/>
  <c r="J72" i="16"/>
  <c r="V71" i="16"/>
  <c r="J71" i="16"/>
  <c r="V70" i="16"/>
  <c r="J70" i="16"/>
  <c r="V68" i="16"/>
  <c r="V67" i="16"/>
  <c r="J67" i="16"/>
  <c r="J66" i="16"/>
  <c r="V65" i="16"/>
  <c r="J65" i="16"/>
  <c r="J64" i="16"/>
  <c r="J63" i="16"/>
  <c r="J62" i="16"/>
  <c r="V61" i="16"/>
  <c r="J61" i="16"/>
  <c r="J60" i="16"/>
  <c r="J59" i="16"/>
  <c r="J58" i="16"/>
  <c r="V57" i="16"/>
  <c r="J56" i="16"/>
  <c r="J55" i="16"/>
  <c r="V54" i="16"/>
  <c r="J54" i="16"/>
  <c r="J53" i="16"/>
  <c r="J51" i="16"/>
  <c r="J50" i="16"/>
  <c r="V49" i="16"/>
  <c r="J49" i="16"/>
  <c r="V48" i="16"/>
  <c r="J48" i="16"/>
  <c r="V47" i="16"/>
  <c r="J47" i="16"/>
  <c r="J46" i="16"/>
  <c r="J45" i="16"/>
  <c r="J43" i="16"/>
  <c r="J41" i="16"/>
  <c r="J40" i="16"/>
  <c r="J39" i="16"/>
  <c r="J38" i="16"/>
  <c r="J37" i="16"/>
  <c r="V36" i="16"/>
  <c r="J36" i="16"/>
  <c r="J35" i="16"/>
  <c r="V34" i="16"/>
  <c r="J34" i="16"/>
  <c r="J33" i="16"/>
  <c r="J32" i="16"/>
  <c r="V31" i="16"/>
  <c r="J31" i="16"/>
  <c r="J30" i="16"/>
  <c r="V29" i="16"/>
  <c r="J29" i="16"/>
  <c r="J28" i="16"/>
  <c r="V27" i="16"/>
  <c r="J27" i="16"/>
  <c r="J25" i="16"/>
  <c r="V24" i="16"/>
  <c r="J24" i="16"/>
  <c r="J23" i="16"/>
  <c r="V22" i="16"/>
  <c r="J22" i="16"/>
  <c r="V21" i="16"/>
  <c r="J21" i="16"/>
  <c r="J20" i="16"/>
  <c r="V19" i="16"/>
  <c r="J19" i="16"/>
  <c r="J18" i="16"/>
  <c r="J17" i="16"/>
  <c r="J16" i="16"/>
  <c r="V15" i="16"/>
  <c r="J15" i="16"/>
  <c r="V14" i="16"/>
  <c r="J12" i="16"/>
  <c r="V11" i="16"/>
  <c r="J11" i="16"/>
  <c r="J10" i="16"/>
  <c r="J9" i="16"/>
  <c r="J8" i="16"/>
  <c r="V7" i="16"/>
  <c r="J7" i="16"/>
  <c r="J6" i="16"/>
  <c r="V5" i="16"/>
  <c r="J5" i="16"/>
  <c r="J50" i="14" l="1"/>
  <c r="J49" i="14"/>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<sst xmlns="http://schemas.openxmlformats.org/spreadsheetml/2006/main" count="2963" uniqueCount="1536">
  <si>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</si>
  <si>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</si>
  <si>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</si>
  <si>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</si>
  <si>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</si>
  <si>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</si>
  <si>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</si>
  <si>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</si>
  <si>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</si>
  <si>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</si>
  <si>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</si>
  <si>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</si>
  <si>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</si>
  <si>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</si>
  <si>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</si>
  <si>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</si>
  <si>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</si>
  <si>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</si>
  <si>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</si>
  <si>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</si>
  <si>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Crear ecosistemes complexes, resilients, i d'alta biodiversitat per garantir la recuperació dels processos ecosistèmics</t>
  </si>
  <si>
    <t>01.3.1</t>
  </si>
  <si>
    <t>Identificar espais pel foment de la dinàmica natural i l'aprofitament no extractiu</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</si>
  <si>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</si>
  <si>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</si>
  <si>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</si>
  <si>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</si>
  <si>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</si>
  <si>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</si>
  <si>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</si>
  <si>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</si>
  <si>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</si>
  <si>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</si>
  <si>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</si>
  <si>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</si>
  <si>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</si>
  <si>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</si>
  <si>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</si>
  <si>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</si>
  <si>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</si>
  <si>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</si>
  <si>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</si>
  <si>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</si>
  <si>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</si>
  <si>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</si>
  <si>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</si>
  <si>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</si>
  <si>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</si>
  <si>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</si>
  <si>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</si>
  <si>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</si>
  <si>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</si>
  <si>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</si>
  <si>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</si>
  <si>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</si>
  <si>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</si>
  <si>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</si>
  <si>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</si>
  <si>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</si>
  <si>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</si>
  <si>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</si>
  <si>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</si>
  <si>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</si>
  <si>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</si>
  <si>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</si>
  <si>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</si>
  <si>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</si>
  <si>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</si>
  <si>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</si>
  <si>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</si>
  <si>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</si>
  <si>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</si>
  <si>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</si>
  <si>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</si>
  <si>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</si>
  <si>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</si>
  <si>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</si>
  <si>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</si>
  <si>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</si>
  <si>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</si>
  <si>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</si>
  <si>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</si>
  <si>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</si>
  <si>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</si>
  <si>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</si>
  <si>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</si>
  <si>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</si>
  <si>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</si>
  <si>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</si>
  <si>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</si>
  <si>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</si>
  <si>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</si>
  <si>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</si>
  <si>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</si>
  <si>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</si>
  <si>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</si>
  <si>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</si>
  <si>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</si>
  <si>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</si>
  <si>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</si>
  <si>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</si>
  <si>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</si>
  <si>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</si>
  <si>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</si>
  <si>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</si>
  <si>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</si>
  <si>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</si>
  <si>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</si>
  <si>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</si>
  <si>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</si>
  <si>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</si>
  <si>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</si>
  <si>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</si>
  <si>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</si>
  <si>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</si>
  <si>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</si>
  <si>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</si>
  <si>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</si>
  <si>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</si>
  <si>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</si>
  <si>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Desplegar actuacions de restauració dels elements d'interès paisatgístic degradats</t>
  </si>
  <si>
    <t>05.2.2</t>
  </si>
  <si>
    <t>05.2.3</t>
  </si>
  <si>
    <t>Minimitzar la brutícia, deixalles, vandalisme i males praxis dins l'ENP</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</si>
  <si>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</si>
  <si>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</si>
  <si>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</si>
  <si>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</si>
  <si>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</si>
  <si>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</si>
  <si>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</si>
  <si>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</si>
  <si>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</si>
  <si>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</si>
  <si>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</si>
  <si>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</si>
  <si>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</si>
  <si>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</si>
  <si>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</si>
  <si>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</si>
  <si>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</si>
  <si>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</si>
  <si>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</si>
  <si>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</si>
  <si>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</si>
  <si>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</si>
  <si>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</si>
  <si>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</si>
  <si>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</si>
  <si>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</si>
  <si>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</si>
  <si>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 xml:space="preserve">Estandaritzar els seguiments periòdics dels grups clau </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</si>
  <si>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</si>
  <si>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</si>
  <si>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</si>
  <si>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</si>
  <si>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</si>
  <si>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</si>
  <si>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</si>
  <si>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Participar en el grups de treball per a la definició i organització del SINATCAT</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</si>
  <si>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</si>
  <si>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</si>
  <si>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</si>
  <si>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</si>
  <si>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</si>
  <si>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</si>
  <si>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</si>
  <si>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</si>
  <si>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</si>
  <si>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</si>
  <si>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</si>
  <si>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</si>
  <si>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</si>
  <si>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</si>
  <si>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</si>
  <si>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Participar en la definició del sistema estándard de seguiment de l'ús públic amb el SENP</t>
  </si>
  <si>
    <t>06.5.2</t>
  </si>
  <si>
    <t xml:space="preserve">Disposar de dades de freqüentació i perfil d'usuari en l'ENP i en especial en equipaments i en zones d'alta freqüentació segons el model de DG </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</si>
  <si>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</si>
  <si>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</si>
  <si>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</si>
  <si>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</si>
  <si>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</si>
  <si>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</si>
  <si>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06.5.6</t>
  </si>
  <si>
    <t>Identificar els impactes (positius i negatius) que generen les activitats d'ús públic dins l'ENP</t>
  </si>
  <si>
    <t xml:space="preserve">DESENVOLUPAMENT LOCAL </t>
  </si>
  <si>
    <t>FIXAR LA POBLACIÓ AL TERRITORI d'acord amb les oportunitats que generen els objectius de l'espai.</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</si>
  <si>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</si>
  <si>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</si>
  <si>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</si>
  <si>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</si>
  <si>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</si>
  <si>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</si>
  <si>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</si>
  <si>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</si>
  <si>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</si>
  <si>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</si>
  <si>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</si>
  <si>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</si>
  <si>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</si>
  <si>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</si>
  <si>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</si>
  <si>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</si>
  <si>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</si>
  <si>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</si>
  <si>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</si>
  <si>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</si>
  <si>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</si>
  <si>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</si>
  <si>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</si>
  <si>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</si>
  <si>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08.3.6</t>
  </si>
  <si>
    <t>Elaborar una guia per promocionar els agents del territori que potencien i difonen els productes alimentaris locals i de qualitat (allotjaments, restaurants, cellers, establiments, elaboradors i productors)</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</si>
  <si>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</si>
  <si>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</si>
  <si>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</si>
  <si>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</si>
  <si>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</si>
  <si>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</si>
  <si>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</si>
  <si>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</si>
  <si>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</si>
  <si>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</si>
  <si>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</si>
  <si>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</si>
  <si>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</si>
  <si>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</si>
  <si>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</si>
  <si>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</si>
  <si>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</si>
  <si>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</si>
  <si>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</si>
  <si>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</si>
  <si>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Estandarditzar de regulació d'usos i aprofitaments  en base al model de Pla de protecció</t>
  </si>
  <si>
    <t>10.1.1</t>
  </si>
  <si>
    <t>Establir un model de construcció a l'ENP en base al model de Pla de protecció</t>
  </si>
  <si>
    <t>ORDENAR L'ÚS PÚBLIC I SOCIAL per a la protecció dels hàbitats, espècies i elements geològics</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</si>
  <si>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</si>
  <si>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</si>
  <si>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</si>
  <si>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</si>
  <si>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</si>
  <si>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</si>
  <si>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</si>
  <si>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</si>
  <si>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</si>
  <si>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</si>
  <si>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</si>
  <si>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</si>
  <si>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</si>
  <si>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</si>
  <si>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</si>
  <si>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</si>
  <si>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</si>
  <si>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</si>
  <si>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</si>
  <si>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</si>
  <si>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</si>
  <si>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</si>
  <si>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</si>
  <si>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</si>
  <si>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</si>
  <si>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</si>
  <si>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</si>
  <si>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</si>
  <si>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</si>
  <si>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</si>
  <si>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</si>
  <si>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</si>
  <si>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</si>
  <si>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</si>
  <si>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</si>
  <si>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</si>
  <si>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</si>
  <si>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</si>
  <si>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</si>
  <si>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</si>
  <si>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</si>
  <si>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</si>
  <si>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</si>
  <si>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</si>
  <si>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</si>
  <si>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</si>
  <si>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</si>
  <si>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</si>
  <si>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Realitzar l'inventari de senyalètica de l'ENP</t>
  </si>
  <si>
    <t>11.5.2</t>
  </si>
  <si>
    <t xml:space="preserve">Implantar el programa de senyalització i manteniment </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</si>
  <si>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</si>
  <si>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</si>
  <si>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</si>
  <si>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</si>
  <si>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</si>
  <si>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</si>
  <si>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</si>
  <si>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</si>
  <si>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</si>
  <si>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</si>
  <si>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</si>
  <si>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</si>
  <si>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11.7.4</t>
  </si>
  <si>
    <t>Adaptar els missatges a donar des d'oficines d’informació, pròpies i alienes, d'acord amb el model de la DG</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</si>
  <si>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</si>
  <si>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</si>
  <si>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</si>
  <si>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</si>
  <si>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</si>
  <si>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</si>
  <si>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</si>
  <si>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</si>
  <si>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</si>
  <si>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</si>
  <si>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</si>
  <si>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</si>
  <si>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</si>
  <si>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</si>
  <si>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</si>
  <si>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</si>
  <si>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</si>
  <si>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</si>
  <si>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</si>
  <si>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</si>
  <si>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</si>
  <si>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</si>
  <si>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</si>
  <si>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</si>
  <si>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</si>
  <si>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</si>
  <si>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</si>
  <si>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</si>
  <si>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</si>
  <si>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</si>
  <si>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</si>
  <si>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</si>
  <si>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</si>
  <si>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</si>
  <si>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</si>
  <si>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</si>
  <si>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</si>
  <si>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</si>
  <si>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</si>
  <si>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</si>
  <si>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</si>
  <si>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</si>
  <si>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</si>
  <si>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</si>
  <si>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</si>
  <si>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</si>
  <si>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</si>
  <si>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</si>
  <si>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</si>
  <si>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</si>
  <si>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</si>
  <si>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</si>
  <si>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</si>
  <si>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</si>
  <si>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</si>
  <si>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</si>
  <si>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</si>
  <si>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</si>
  <si>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</si>
  <si>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</si>
  <si>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</si>
  <si>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</si>
  <si>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</si>
  <si>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</si>
  <si>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</si>
  <si>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</si>
  <si>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</si>
  <si>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</si>
  <si>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</si>
  <si>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</si>
  <si>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</si>
  <si>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</si>
  <si>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</si>
  <si>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</si>
  <si>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</si>
  <si>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</si>
  <si>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</si>
  <si>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</si>
  <si>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</si>
  <si>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</si>
  <si>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</si>
  <si>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</si>
  <si>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</si>
  <si>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</si>
  <si>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</si>
  <si>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</si>
  <si>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</si>
  <si>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</si>
  <si>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</si>
  <si>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</si>
  <si>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</si>
  <si>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</si>
  <si>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</si>
  <si>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</si>
  <si>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</si>
  <si>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</si>
  <si>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</si>
  <si>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</si>
  <si>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</si>
  <si>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</si>
  <si>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</si>
  <si>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</si>
  <si>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</si>
  <si>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</si>
  <si>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</si>
  <si>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</si>
  <si>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</si>
  <si>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Millorar el sistema de control de l'execució del pressupost, d'acord amb les indicacions de Serveis Centrals</t>
  </si>
  <si>
    <t>Planificar i optimitzar els processos de contractació, concessió d'ajuts, i les col·laboracions amb ens públics i privats</t>
  </si>
  <si>
    <t>16.2.1</t>
  </si>
  <si>
    <t>Planificar i detectar les necessitats de contractació del l'ENP per a l'optimització dels contractes a nivell de Xarxa</t>
  </si>
  <si>
    <t>16.2.2</t>
  </si>
  <si>
    <t>Planificar i detectar les tasques de convocatòries d'ajuts de l'ENP</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</si>
  <si>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</si>
  <si>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</si>
  <si>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</si>
  <si>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</si>
  <si>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</si>
  <si>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</si>
  <si>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</si>
  <si>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</si>
  <si>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</si>
  <si>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</si>
  <si>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</si>
  <si>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</si>
  <si>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Millorar i mantenir el material i infraestructures de gestió</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</si>
  <si>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</si>
  <si>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</si>
  <si>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</si>
  <si>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</si>
  <si>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</si>
  <si>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</si>
  <si>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</si>
  <si>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Millorar l'accessibilitat i la gestió documental del centre o punt de documentació de l'ENP</t>
  </si>
  <si>
    <t>Gestionar recursos humans</t>
  </si>
  <si>
    <t>16.6.1</t>
  </si>
  <si>
    <t>Gestió de la brigada de manteniment</t>
  </si>
  <si>
    <t>16.6.2</t>
  </si>
  <si>
    <t>Gestió de personal</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</si>
  <si>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</si>
  <si>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</si>
  <si>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</si>
  <si>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</si>
  <si>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</si>
  <si>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</si>
  <si>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</si>
  <si>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</si>
  <si>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</si>
  <si>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</si>
  <si>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</si>
  <si>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</si>
  <si>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</si>
  <si>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</si>
  <si>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</si>
  <si>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</si>
  <si>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</si>
  <si>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</si>
  <si>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</si>
  <si>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</si>
  <si>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SENP: Elaboració d'un manual per la implementació dels OSAM</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</si>
  <si>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</si>
  <si>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</si>
  <si>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</si>
  <si>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</si>
  <si>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</si>
  <si>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</si>
  <si>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</si>
  <si>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</si>
  <si>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</si>
  <si>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</si>
  <si>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</si>
  <si>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DGEFMN: Redacció d'IOF en finques públiques</t>
  </si>
  <si>
    <t>02.2</t>
  </si>
  <si>
    <t>Equip de PPI: Disseny del protocol de treball</t>
  </si>
  <si>
    <t>SPEN: Elaboració d'un model de pla de gestió</t>
  </si>
  <si>
    <t>03.1</t>
  </si>
  <si>
    <t>03.2</t>
  </si>
  <si>
    <t>SPEN: Elaboració del Pla rector d'usos i gestió.
SPEN: Elaboració del Pla rector d'usos i gestió</t>
  </si>
  <si>
    <t>03.3</t>
  </si>
  <si>
    <t>ACA/CHE: Determinar els cabals ecològics en espais naturals protegits</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</si>
  <si>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</si>
  <si>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</si>
  <si>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</si>
  <si>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</si>
  <si>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</si>
  <si>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</si>
  <si>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</si>
  <si>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</si>
  <si>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</si>
  <si>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</si>
  <si>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</si>
  <si>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</si>
  <si>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</si>
  <si>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</si>
  <si>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</si>
  <si>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</si>
  <si>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</si>
  <si>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</si>
  <si>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</si>
  <si>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UIC/SENP: Crear i coordinar una metodologia participativa per a la definició del SINATCAT</t>
  </si>
  <si>
    <t>06.4</t>
  </si>
  <si>
    <t>SENP: Elaborar un mapa d'agents de referència</t>
  </si>
  <si>
    <t>SENP: Elaborar un mapa d'agents de referècia</t>
  </si>
  <si>
    <t>SENP: Suport en l'organització de les jornades</t>
  </si>
  <si>
    <t>UIC: Suport en la creació de l'Observatori de reserca</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</si>
  <si>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</si>
  <si>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</si>
  <si>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</si>
  <si>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</si>
  <si>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</si>
  <si>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</si>
  <si>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</si>
  <si>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</si>
  <si>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</si>
  <si>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</si>
  <si>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</si>
  <si>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</si>
  <si>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</si>
  <si>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</si>
  <si>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</si>
  <si>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</si>
  <si>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</si>
  <si>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</si>
  <si>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</si>
  <si>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</si>
  <si>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</si>
  <si>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</si>
  <si>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</si>
  <si>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11.6</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</si>
  <si>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</si>
  <si>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</si>
  <si>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</si>
  <si>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</si>
  <si>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</si>
  <si>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</si>
  <si>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</si>
  <si>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</si>
  <si>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</si>
  <si>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</si>
  <si>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</si>
  <si>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</si>
  <si>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</si>
  <si>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</si>
  <si>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</si>
  <si>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</si>
  <si>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</si>
  <si>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</si>
  <si>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</si>
  <si>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</si>
  <si>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</si>
  <si>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</si>
  <si>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</si>
  <si>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</si>
  <si>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</si>
  <si>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</si>
  <si>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</si>
  <si>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</si>
  <si>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</si>
  <si>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</si>
  <si>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</si>
  <si>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</si>
  <si>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UGA: Coordinar l'elaboració dels catàlegs col·lectius amb ENP, universitats i centres documentació</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</si>
  <si>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</si>
  <si>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</si>
  <si>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</si>
  <si>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</si>
  <si>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</si>
  <si>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</si>
  <si>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</si>
  <si>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</si>
  <si>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</si>
  <si>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</si>
  <si>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</si>
  <si>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</si>
  <si>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</si>
  <si>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</si>
  <si>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</si>
  <si>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</si>
  <si>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</si>
  <si>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</si>
  <si>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</si>
  <si>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</si>
  <si>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</si>
  <si>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</si>
  <si>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</si>
  <si>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</si>
  <si>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</si>
  <si>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</si>
  <si>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</si>
  <si>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</si>
  <si>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</si>
  <si>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</si>
  <si>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</si>
  <si>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</si>
  <si>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</si>
  <si>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</si>
  <si>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</si>
  <si>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</si>
  <si>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</si>
  <si>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</si>
  <si>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</si>
  <si>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</si>
  <si>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</si>
  <si>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</si>
  <si>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</si>
  <si>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</si>
  <si>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</si>
  <si>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</si>
  <si>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</si>
  <si>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</si>
  <si>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</si>
  <si>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</si>
  <si>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</si>
  <si>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1.Natura</t>
  </si>
  <si>
    <t>7. Gestió i Administració</t>
  </si>
  <si>
    <t>25_ED_01</t>
  </si>
  <si>
    <t>25_ED_02</t>
  </si>
  <si>
    <t>25_ED_03</t>
  </si>
  <si>
    <t>25_ED_04</t>
  </si>
  <si>
    <t>Codi RAE, si s'escau</t>
  </si>
  <si>
    <t>Tipus d'actuació segons model de despesa</t>
  </si>
  <si>
    <t>Model despesa</t>
  </si>
  <si>
    <t>Encomana Forestal Catalana</t>
  </si>
  <si>
    <t>Contracte programa CREAF</t>
  </si>
  <si>
    <t>Contracte programa CTFC</t>
  </si>
  <si>
    <t>Partida RAE</t>
  </si>
  <si>
    <t>Llistat tipologies MAP</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</si>
  <si>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</si>
  <si>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</si>
  <si>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</si>
  <si>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</si>
  <si>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</si>
  <si>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</si>
  <si>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</si>
  <si>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</si>
  <si>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</si>
  <si>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</si>
  <si>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</si>
  <si>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</si>
  <si>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</si>
  <si>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</si>
  <si>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</si>
  <si>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</si>
  <si>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</si>
  <si>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</si>
  <si>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</si>
  <si>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</si>
  <si>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</si>
  <si>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</si>
  <si>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</si>
  <si>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</si>
  <si>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</si>
  <si>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</si>
  <si>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</si>
  <si>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</si>
  <si>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</si>
  <si>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</si>
  <si>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</si>
  <si>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</si>
  <si>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</si>
  <si>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</si>
  <si>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</si>
  <si>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</si>
  <si>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</si>
  <si>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</si>
  <si>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</si>
  <si>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</si>
  <si>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</si>
  <si>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</si>
  <si>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</si>
  <si>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</si>
  <si>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</si>
  <si>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</si>
  <si>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</si>
  <si>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</si>
  <si>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</si>
  <si>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</si>
  <si>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</si>
  <si>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</si>
  <si>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</si>
  <si>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</si>
  <si>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</si>
  <si>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</si>
  <si>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</si>
  <si>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</si>
  <si>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</si>
  <si>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</si>
  <si>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</si>
  <si>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</si>
  <si>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</si>
  <si>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</si>
  <si>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</si>
  <si>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</si>
  <si>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</si>
  <si>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</si>
  <si>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</si>
  <si>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</si>
  <si>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</si>
  <si>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</si>
  <si>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</si>
  <si>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</si>
  <si>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</si>
  <si>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</si>
  <si>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</si>
  <si>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</si>
  <si>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</si>
  <si>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</si>
  <si>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</si>
  <si>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</si>
  <si>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</si>
  <si>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</si>
  <si>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</si>
  <si>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</si>
  <si>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</si>
  <si>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</si>
  <si>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</si>
  <si>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</si>
  <si>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</si>
  <si>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</si>
  <si>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</si>
  <si>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</si>
  <si>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</si>
  <si>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</si>
  <si>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</si>
  <si>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</si>
  <si>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</si>
  <si>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</si>
  <si>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</si>
  <si>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</si>
  <si>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</si>
  <si>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</si>
  <si>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</si>
  <si>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</si>
  <si>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</si>
  <si>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</si>
  <si>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</si>
  <si>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</si>
  <si>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</si>
  <si>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</si>
  <si>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</si>
  <si>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</si>
  <si>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</si>
  <si>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</si>
  <si>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</si>
  <si>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</si>
  <si>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</si>
  <si>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</si>
  <si>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</si>
  <si>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</si>
  <si>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</si>
  <si>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</si>
  <si>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</si>
  <si>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</si>
  <si>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</si>
  <si>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</si>
  <si>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</si>
  <si>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</si>
  <si>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</si>
  <si>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</si>
  <si>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</si>
  <si>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</si>
  <si>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</si>
  <si>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</si>
  <si>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</si>
  <si>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2026PNCTF01</t>
  </si>
  <si>
    <t>2026PNCTF02</t>
  </si>
  <si>
    <t>2026PNCTF03</t>
  </si>
  <si>
    <t>2026PNCTF04</t>
  </si>
  <si>
    <t>2026PNCTF05</t>
  </si>
  <si>
    <t>2026PNCTF06</t>
  </si>
  <si>
    <t>2026PNCTF07</t>
  </si>
  <si>
    <t>2026PNCTF08</t>
  </si>
  <si>
    <t>2026PNCTF09</t>
  </si>
  <si>
    <t>2026PNCTF10</t>
  </si>
  <si>
    <t>Servei d'informació allaus i zones de tranquilitat</t>
  </si>
  <si>
    <t>25_DE_PNCTF_01</t>
  </si>
  <si>
    <t>8.1.1</t>
  </si>
  <si>
    <t>Edició material divulgatiu sobre efectes antiparassitaris</t>
  </si>
  <si>
    <t>Posar els Obj. Operatius tal i com surten al Pla estratègic i les actuacions previstes en ell amb la concreció pel 2026.</t>
  </si>
  <si>
    <t>Elaboració cartografia per la millora del coneixement de la dsitribució de petits mustèl·lids</t>
  </si>
  <si>
    <t>6.2.1</t>
  </si>
  <si>
    <t>1.3.6</t>
  </si>
  <si>
    <t>Anàlisi bioacústica i revisió sectors escalada</t>
  </si>
  <si>
    <t>6.1.1</t>
  </si>
  <si>
    <t>6.1.2</t>
  </si>
  <si>
    <t>26_NA_PNCTF_01</t>
  </si>
  <si>
    <t>26_NA_PNCTF_02</t>
  </si>
  <si>
    <t>26_CO_PNCTF_01</t>
  </si>
  <si>
    <t>26_CO_PNCTF_02</t>
  </si>
  <si>
    <t>26_CO_PNCTF_03</t>
  </si>
  <si>
    <t>26_CO_PNCTF_04</t>
  </si>
  <si>
    <t>26_CO_PNCTF_05</t>
  </si>
  <si>
    <t>26_CO_PNCTF_06</t>
  </si>
  <si>
    <t>26_CO_PNCTF_07</t>
  </si>
  <si>
    <t>26_CO_PNCTF_08</t>
  </si>
  <si>
    <t>26_CO_PNCTF_09</t>
  </si>
  <si>
    <t>26_CO_PNCTF_10</t>
  </si>
  <si>
    <t>Millora coneixement invertebrats (migració insectes en ports de muntanya)</t>
  </si>
  <si>
    <t xml:space="preserve">6.3.2 </t>
  </si>
  <si>
    <t>6.3.3</t>
  </si>
  <si>
    <t>Material tècnic per a seguiment de fauna</t>
  </si>
  <si>
    <t>Causes regressió almesquera i millora coneixement peixos</t>
  </si>
  <si>
    <t>Seguiment espècies de flora no incloses al Floralab+</t>
  </si>
  <si>
    <t>6,1,1</t>
  </si>
  <si>
    <t>6.1.2 i 6.2.1</t>
  </si>
  <si>
    <t>Analítiques aigua (RINTEGRA)</t>
  </si>
  <si>
    <t>6.2.4</t>
  </si>
  <si>
    <t>Inventari geològic</t>
  </si>
  <si>
    <t>1.1.2</t>
  </si>
  <si>
    <t>Seguiments fauna (CBMS, SEMICE; SALPI, rapinyaires en àrees escalada)</t>
  </si>
  <si>
    <t>Alimentació suplementària trencalòs</t>
  </si>
  <si>
    <t>1.1.1</t>
  </si>
  <si>
    <t>1.1.2, 1.2.1 i 1.2.2</t>
  </si>
  <si>
    <t>Seguiment i avaluació de l'estat de conservació de les molleres</t>
  </si>
  <si>
    <t>26_US_PNCTF_01</t>
  </si>
  <si>
    <t>26_US_PNCTF_02</t>
  </si>
  <si>
    <t>26_US_PNCTF_03</t>
  </si>
  <si>
    <t>26_US_PNCTF_04</t>
  </si>
  <si>
    <t>26_US_PNCTF_05</t>
  </si>
  <si>
    <t>26_NA_PNCTF_03</t>
  </si>
  <si>
    <t>26_NA_PNCTF_04</t>
  </si>
  <si>
    <t>26_NA_PNCTF_05</t>
  </si>
  <si>
    <t>26_NA_PNCTF_06</t>
  </si>
  <si>
    <t>26_NA_PNCTF_07</t>
  </si>
  <si>
    <t>26_NA_PNCTF_08</t>
  </si>
  <si>
    <t>26_NA_PNCTF_10</t>
  </si>
  <si>
    <t>26_NA_PNCTF_11</t>
  </si>
  <si>
    <t>Coordinació CETS</t>
  </si>
  <si>
    <t>9.1.1</t>
  </si>
  <si>
    <t>2026PNCTF11</t>
  </si>
  <si>
    <t>Servei autocars educació ambiental escoles</t>
  </si>
  <si>
    <t>13.1.3 i 13.2.1</t>
  </si>
  <si>
    <t>2026PNCTF12</t>
  </si>
  <si>
    <t>Harmonització senders</t>
  </si>
  <si>
    <t>2026PNCTF13</t>
  </si>
  <si>
    <t>Edició de material divulgatiu</t>
  </si>
  <si>
    <t>2026PNCTF35</t>
  </si>
  <si>
    <t>Activitats destinades a escoles i al públic</t>
  </si>
  <si>
    <t>Secretaria tècnica de la CETS</t>
  </si>
  <si>
    <t>2026PNCTF14</t>
  </si>
  <si>
    <t>Redacció IOF Queralbs</t>
  </si>
  <si>
    <t>2.1.3</t>
  </si>
  <si>
    <t>26_CU_PNCTF_01</t>
  </si>
  <si>
    <t>26_CU_PNCTF_02</t>
  </si>
  <si>
    <t>26_CU_PNCTF_03</t>
  </si>
  <si>
    <t>26_CU_PNCTF_04</t>
  </si>
  <si>
    <t>26_CU_PNCTF_05</t>
  </si>
  <si>
    <t>26_CU_PNCTF_06</t>
  </si>
  <si>
    <t>2026PNCTF15</t>
  </si>
  <si>
    <t>Tancat de bestiar amb pedra seca</t>
  </si>
  <si>
    <t>4.3.3</t>
  </si>
  <si>
    <t>4.3.1</t>
  </si>
  <si>
    <t>4.3.2</t>
  </si>
  <si>
    <t>Millora del camí tradicional de Fontalba a Núria</t>
  </si>
  <si>
    <t>2026PNCTF16</t>
  </si>
  <si>
    <t>2026PNCTF17</t>
  </si>
  <si>
    <t>Caracterització arquitectura PNCTF</t>
  </si>
  <si>
    <t>4.2.3</t>
  </si>
  <si>
    <t>Redacció projecte quadra de cavalls Ulldeter</t>
  </si>
  <si>
    <t>Projecte i execució naixement del Ter</t>
  </si>
  <si>
    <t>2026PNCTF18</t>
  </si>
  <si>
    <t>Obertura espais amb desbrossadora de martells</t>
  </si>
  <si>
    <t>1.3.5</t>
  </si>
  <si>
    <t>2026PNCTF19</t>
  </si>
  <si>
    <t>Actualització treballs priorització espais oberts</t>
  </si>
  <si>
    <t>2.1.3 i 3.1.3</t>
  </si>
  <si>
    <t>Pautes de gestió ramadera</t>
  </si>
  <si>
    <t>1.4.3, 8.1.1 i 8.1.2</t>
  </si>
  <si>
    <t>Inventari infraestructrures ramaderes</t>
  </si>
  <si>
    <t>1.4.3</t>
  </si>
  <si>
    <t>2026PNCTF20</t>
  </si>
  <si>
    <t>2026PNCTF21</t>
  </si>
  <si>
    <t>2026PNCTF22</t>
  </si>
  <si>
    <t>Analítiques de sòl</t>
  </si>
  <si>
    <t>1.4.2</t>
  </si>
  <si>
    <t>8.1.1 i 8.1.2</t>
  </si>
  <si>
    <t>2026PNCTF24</t>
  </si>
  <si>
    <t>Avaluació pastures amb protocol</t>
  </si>
  <si>
    <t>2026PNCTF25</t>
  </si>
  <si>
    <t>Inventari prats de dall</t>
  </si>
  <si>
    <t>2026PNCTF26</t>
  </si>
  <si>
    <t>Material per seguiments (filats, pastors elèctrics, etc.)</t>
  </si>
  <si>
    <t>1.2.3</t>
  </si>
  <si>
    <t>1.2.4, 8.1.1 i 8.1.2</t>
  </si>
  <si>
    <t>2026PNCTF27</t>
  </si>
  <si>
    <t>Suport actuacions agro en sistemes agropastorals</t>
  </si>
  <si>
    <t>1.2.4</t>
  </si>
  <si>
    <t>26_NA_PNCTF_12</t>
  </si>
  <si>
    <t>2026PNCTF28</t>
  </si>
  <si>
    <t>Jornada PAT</t>
  </si>
  <si>
    <t>26_NA_PNCTF_13</t>
  </si>
  <si>
    <t>Recuperació espais oberts</t>
  </si>
  <si>
    <t>2026PNCTF29</t>
  </si>
  <si>
    <t>Lloguer de vehicles</t>
  </si>
  <si>
    <t>25_GE_PNCTF_01</t>
  </si>
  <si>
    <t>25_GE_PNCTF_02</t>
  </si>
  <si>
    <t>25_GE_PNCTF_03</t>
  </si>
  <si>
    <t>25_GE_PNCTF_04</t>
  </si>
  <si>
    <t>25_GE_PNCTF_05</t>
  </si>
  <si>
    <t>25_GE_PNCTF_06</t>
  </si>
  <si>
    <t>2026PNCTF30</t>
  </si>
  <si>
    <t>Gestió punt de documentació</t>
  </si>
  <si>
    <t>2026PNCTF31</t>
  </si>
  <si>
    <t>4.1.1</t>
  </si>
  <si>
    <t>Prospecció i documentació jaciment arqueològic</t>
  </si>
  <si>
    <t>2026PNCTF32</t>
  </si>
  <si>
    <t>2026PNCTF33</t>
  </si>
  <si>
    <t>Redacció projecte bioenginyeria accessibilitat</t>
  </si>
  <si>
    <t>Manteniment estufa pèllet</t>
  </si>
  <si>
    <t>2026PNCTF36</t>
  </si>
  <si>
    <t>Manteniment APP sobre itineraris</t>
  </si>
  <si>
    <t>212.0001 - Conservació, reparació i manteniment d'equips per a procés de dades</t>
  </si>
  <si>
    <t>227 0005 - Estudis i dictàmens</t>
  </si>
  <si>
    <t>210 0002 - Conservació, reparació i manteniment de terrenys, bens naturals, edificis i altres construccions per compte aliè</t>
  </si>
  <si>
    <t>2026PNCTF34</t>
  </si>
  <si>
    <t>Material ordinari no inventariable (Copisteria)</t>
  </si>
  <si>
    <t>Subministraments varis (Ferreteria)</t>
  </si>
  <si>
    <t>Gestor Responsable</t>
  </si>
  <si>
    <t>Actuació recurrent</t>
  </si>
  <si>
    <t>Ús Públic</t>
  </si>
  <si>
    <t>Patrimoni Natural</t>
  </si>
  <si>
    <t>MODEL DE PLA ESTRATÈGIC PELS ENP</t>
  </si>
  <si>
    <t>Capçaleres del Ter i del Freser</t>
  </si>
  <si>
    <t>Fita a assolir en 4 anys</t>
  </si>
  <si>
    <t>Gestió interna</t>
  </si>
  <si>
    <t>OBJECTIUS operatius / Línia estratègica</t>
  </si>
  <si>
    <t>Objectiu operatiu concret a l'espai</t>
  </si>
  <si>
    <t>Vincles amb d'altres accions</t>
  </si>
  <si>
    <t>MODIFICACIONS PENDENTS</t>
  </si>
  <si>
    <t>indicadors</t>
  </si>
  <si>
    <t>Mínima</t>
  </si>
  <si>
    <t>Màxim (Desitjable)</t>
  </si>
  <si>
    <t>Hores de dedicació</t>
  </si>
  <si>
    <t>Àrea responsable</t>
  </si>
  <si>
    <t>Persona responsable / Persona a implicar</t>
  </si>
  <si>
    <t>Documentació vinculada</t>
  </si>
  <si>
    <t>Comentaris</t>
  </si>
  <si>
    <t>Si</t>
  </si>
  <si>
    <t>MÀXIMA</t>
  </si>
  <si>
    <t xml:space="preserve">1) Realització d'accions per a la millora dels elements prioritzats a l'espai:
- Actuacions de millora d'hàbitat per el gall fer
- Recuperació de sistemes de mollera 
- Reducció de l'impacte de la freqüentació en zones d'alta muntanya 
</t>
  </si>
  <si>
    <r>
      <t>1) Projectes de gestió activa</t>
    </r>
    <r>
      <rPr>
        <sz val="11"/>
        <color theme="9" tint="-0.249977111117893"/>
        <rFont val="Calibri"/>
        <family val="2"/>
        <scheme val="minor"/>
      </rPr>
      <t xml:space="preserve"> i/o adaptatiu lligat a l'objectiu 1.2.1</t>
    </r>
    <r>
      <rPr>
        <sz val="11"/>
        <color theme="1"/>
        <rFont val="Calibri"/>
        <family val="2"/>
        <scheme val="minor"/>
      </rPr>
      <t xml:space="preserve"> duts a terme per a la millora dels elements de conservació prioritària   
2) Nombre de seguiments efectuats per diferents tipologies (sòls, espècies herbàcies, interès farratger i invertebrats) en les 23 parcel·les de seguiment establertes 3) classificació de l'estat eològic de pastures altimontanes i subalpines amb elemètode del transsecte (percentage de bon estat, regular i dolent)</t>
    </r>
  </si>
  <si>
    <r>
      <t>1)</t>
    </r>
    <r>
      <rPr>
        <b/>
        <sz val="11"/>
        <color rgb="FF00B050"/>
        <rFont val="Calibri"/>
        <family val="2"/>
        <scheme val="minor"/>
      </rPr>
      <t xml:space="preserve"> 5  </t>
    </r>
    <r>
      <rPr>
        <sz val="11"/>
        <color theme="1"/>
        <rFont val="Calibri"/>
        <family val="2"/>
        <scheme val="minor"/>
      </rPr>
      <t xml:space="preserve">                      2) 4                       3) avaluar-ne 30 (&gt;50% bon estat)</t>
    </r>
  </si>
  <si>
    <r>
      <t xml:space="preserve">1)  </t>
    </r>
    <r>
      <rPr>
        <b/>
        <sz val="11"/>
        <color rgb="FF00B050"/>
        <rFont val="Calibri"/>
        <family val="2"/>
        <scheme val="minor"/>
      </rPr>
      <t xml:space="preserve">5  </t>
    </r>
    <r>
      <rPr>
        <sz val="11"/>
        <color theme="1"/>
        <rFont val="Calibri"/>
        <family val="2"/>
        <scheme val="minor"/>
      </rPr>
      <t xml:space="preserve">                             2) 8                         3) avaluar-ne 50 (&gt; 80% bon estat)</t>
    </r>
  </si>
  <si>
    <t>Patrimoni natural/Sistemes agropastorals</t>
  </si>
  <si>
    <t>Anna Planella/Bernat Perramon</t>
  </si>
  <si>
    <t>Posar només projectes de seguiment (POCTEFA Redbio) i recuperació espais oberts???</t>
  </si>
  <si>
    <t>Fusionar-lo amb el 6.1.1.</t>
  </si>
  <si>
    <t>ALTA</t>
  </si>
  <si>
    <t>1) Accions de conservació i protecció dels elements geològics:
- Retirada d'elements que afecten el patrimoni geològic (creus, làpides...)
- Retirada de les construccions de pedres (tipus vivac) i accions de difusió per limitar-les.
- Protecció d'elements considerats d'interès (per exemple, protecció del dipòsit morrènic de Queralbs)
- Dur a terme una gestió preventiva sobre els usos i activitats que poden afectar la conservació del patrimoni geològic
- Divulgació i sensibilització del patrimoni geològic</t>
  </si>
  <si>
    <t>1) Percentatge d'elements geològics detectats en mal estat de conservació durant l'inventariat geològic, en els que s'ha actuat
2) Percentatge d'elements geològics que presenten un risc, que disposen d'elements de senyalització. 
3) Nombre d'elements que afecten el patrimoni geològic retirats</t>
  </si>
  <si>
    <t>1) 75%
2) 50%
3) 10</t>
  </si>
  <si>
    <t>1) 100%
2) 100%
3) 20</t>
  </si>
  <si>
    <t>Patrimoni natural</t>
  </si>
  <si>
    <t>Anna Planella</t>
  </si>
  <si>
    <t>1) Definició d'un protocol per tal d'incorporar la metodologia dels Estàndards Oberts pels processos més rellevants per a la conservació a l'espai
2) Creació d'un sistema de seguiment de les accions de gestió de l'espai i un adequat mecanisme de gestió adaptativa de les mateixes</t>
  </si>
  <si>
    <t>1) Percentatge de projectes transversals que incorporin la metodologia d'Estàndards Oberts
2) Percentatge d'accions dutes a terme a l'espai que disposen d'un sistema de seguiment i un adequat mecanisme de gestió adaptativa</t>
  </si>
  <si>
    <t>Transversal</t>
  </si>
  <si>
    <t>Tots/es</t>
  </si>
  <si>
    <t xml:space="preserve">1) Execució de les accions dins els plans que pertoquin a cada espai (incorporar totes les mesures que surten als plans ja aprovats que tenen incidència a l'espai)
2) Implicació i participació en la redacció dels plans de conservació /recuperació d'espècies amenaçades 
3) Col.laboració en l'obtenció de la informació necessària dins els espais per al desenvolupament dels Plans </t>
  </si>
  <si>
    <t xml:space="preserve">1) Percentatge d'accions executades incloses dins de plans de recuperació/conservació d'espècies amenaçades presents a l'espai
2) Nombre de plans de recuperació/conservació d'espècies amenaçades presents a l'espai en els que s'ha participat de forma activa en la seva redacció
</t>
  </si>
  <si>
    <t>1) 25%
2) 2</t>
  </si>
  <si>
    <t>1) 50%
2) 4</t>
  </si>
  <si>
    <t xml:space="preserve">1) Implementació anual dels plans de control i erradicació d'espècies de fauna exòtiques invasores. 
2) Implementació anual dels plans de control i erradicació d'espècies de flora exòtiques invasores. 
3) Establir seguiment de col·lonització del seneci en diferents escencaris com en les zones de recuperació de pastures 
4) Elaborar pautes de maneig ramader per reduir la col·lonització de seneci en prats de manera preventiva                       5) eliminació flora exòtica invasora de zones sensibles
</t>
  </si>
  <si>
    <t>1) Campanyes de control de fauna exòtica invasora fluvial dutes a terme
2) Nombre d'espècies de fauna exòtica invasora (visó americà, coipú,...) detectada dins el Parc Natural. 
3) Seguiments específics per estudiar comportament espècies exòtiques invasores
4)  Elaboració d'un pla de control del seneci del cap, orientat a la identificació de zones conflictives per la seva presència (zones amb espècies sensibles, zones d'especial interés per a la ramaderia, etc.)                                      5) actuacions elliminació flora exòtica invasora</t>
  </si>
  <si>
    <t xml:space="preserve">1) 4 (1/any)
2) 0
3) 1
4) pautes generals            5) suport en actuacions PNCTF (exemple_recuperació espais oberts)
</t>
  </si>
  <si>
    <t>1) 8 (2/any)
2) 0
3) 2
4) pautes desglossades per hàbitats i gestió associada 5)actuacions específiques d'eliminació</t>
  </si>
  <si>
    <t xml:space="preserve">1 i 2) 30h + equip exòtiques SFF
3) 100h + serveis externs
4) 50h      5) brigades + voluntariat (no es comptabilitzen les h)
</t>
  </si>
  <si>
    <t>Patrimoni natural / Sistemes agropastorals</t>
  </si>
  <si>
    <t>Anna Planella / Bernat Parramon</t>
  </si>
  <si>
    <t>MITJANA</t>
  </si>
  <si>
    <r>
      <t xml:space="preserve">1) Participació en l'execució de projectes transfronterers                           </t>
    </r>
    <r>
      <rPr>
        <sz val="11"/>
        <color theme="5" tint="-0.249977111117893"/>
        <rFont val="Calibri"/>
        <family val="2"/>
        <scheme val="minor"/>
      </rPr>
      <t xml:space="preserve">   2) Establir mecanismes de col·laboració transfronterera en diferents formats (jornades de treball, jornades de divulgació, reunions conjuntes, etc.). Article 3 punts 2b i 2c del Decret 211/2015</t>
    </r>
  </si>
  <si>
    <r>
      <t xml:space="preserve">1)Nombre de projectes transfronterers en els que s'ha participat (POCTEFA Red-BIO, POCTEFA Floralab+ i POCTEFA Transmuntanya)                                        </t>
    </r>
    <r>
      <rPr>
        <sz val="11"/>
        <color rgb="FFFF0000"/>
        <rFont val="Calibri"/>
        <family val="2"/>
        <scheme val="minor"/>
      </rPr>
      <t xml:space="preserve">      2) Nombre de reunions, activitats, etc/any</t>
    </r>
  </si>
  <si>
    <t>Patrimoni natural/Sistemes agropastorals/Millora rural/Direcció/Administració</t>
  </si>
  <si>
    <t>Anna Planella/Bernat Perramon/Gerard Vila/Santi Farriol/Fàtima</t>
  </si>
  <si>
    <t>Afavorir la creació d'hàbitats per a la conservació d'espècies</t>
  </si>
  <si>
    <t>1) Nombre d'hectàrees gestionades per a la conservació d'espècies (recuperació d'espais oberts, millores forestals, etc.)</t>
  </si>
  <si>
    <t>1) 20</t>
  </si>
  <si>
    <t>1) 50</t>
  </si>
  <si>
    <t>Patrimoni natural, Sistemes agropastorals, Millora rural</t>
  </si>
  <si>
    <t>Anna, Bernat, Gerard</t>
  </si>
  <si>
    <t>Definir criteris per classificació dels boscos madurs
Creació d'un catàleg dels rodals amb bosc madur dins del PN
Participació projecte Life Uncinata
Participació projecte Redbio</t>
  </si>
  <si>
    <t>Número d'actuacions o projectes destinats afavorir la maduresa forestal</t>
  </si>
  <si>
    <t>Millora rural</t>
  </si>
  <si>
    <t>Gerard Vila</t>
  </si>
  <si>
    <t>NA</t>
  </si>
  <si>
    <t>No aplica. No es preveu com a mètode per assolir aquests ecosistemes complexes</t>
  </si>
  <si>
    <t xml:space="preserve">No seria una mesura prioritaria dins l'espai natural. Poca superfície de bosc de ribera, de laminació... </t>
  </si>
  <si>
    <t>FORA DEL TERMINI DEL PLA</t>
  </si>
  <si>
    <t>Realització i impuls de la renaturalització de lleres i creació de zones de laminació dins l'ENP en base als criteris metodològics predefinits</t>
  </si>
  <si>
    <t>Superfície (ha) on s'han realitzat actuacions de millora (aclarides, plantacions...)</t>
  </si>
  <si>
    <t>Patrimoni Natural + Millora rural</t>
  </si>
  <si>
    <t>Gerard Vila / Anna Planella</t>
  </si>
  <si>
    <t>Recuperació i manteniment dels espais oberts identificats com a prioritaris segons els estudis previs realitzats des del PN</t>
  </si>
  <si>
    <t>1) Actuacions de recuperació en zones identificades com a prioritaries a mantenir obertes o en en zones que es consideren prioritàries a recuperar (estudi Minuàrtia)
2) Ajuts per manteniment d'hàbitats amb pasturatge</t>
  </si>
  <si>
    <t>1) 1                                2) 10</t>
  </si>
  <si>
    <t>1) 12                               2) 30</t>
  </si>
  <si>
    <t>Sistemes agropastorals / Millora Rural</t>
  </si>
  <si>
    <t>Bernat Perramon / Gerard Vila</t>
  </si>
  <si>
    <r>
      <t xml:space="preserve">1) Participació i impuls en el control directe de poblacions de fauna, en fase a criteris metodològics predefinits, que suposin una amenaça per a </t>
    </r>
    <r>
      <rPr>
        <sz val="11"/>
        <color rgb="FFFF0000"/>
        <rFont val="Calibri"/>
        <family val="2"/>
        <scheme val="minor"/>
      </rPr>
      <t>la ramaderia,</t>
    </r>
    <r>
      <rPr>
        <sz val="11"/>
        <rFont val="Calibri"/>
        <family val="2"/>
        <scheme val="minor"/>
      </rPr>
      <t xml:space="preserve"> hàbitats o espècies amenaçats</t>
    </r>
  </si>
  <si>
    <t>1) Hectàrees en les que s'ha dut a terme un control anual de depredadors per a la millora de l'estat de conservació del gall fer o altres espècies amenaçades, segons metodologia predefinida</t>
  </si>
  <si>
    <r>
      <rPr>
        <b/>
        <sz val="11"/>
        <color rgb="FF00B050"/>
        <rFont val="Calibri"/>
        <family val="2"/>
        <scheme val="minor"/>
      </rPr>
      <t>0 a</t>
    </r>
    <r>
      <rPr>
        <sz val="11"/>
        <color theme="1"/>
        <rFont val="Calibri"/>
        <family val="2"/>
        <scheme val="minor"/>
      </rPr>
      <t xml:space="preserve"> 1000</t>
    </r>
  </si>
  <si>
    <t>BAIXA</t>
  </si>
  <si>
    <t>Realització d'acords de custòdia aplicant el model d'acord elaborat per Serveis Centrals</t>
  </si>
  <si>
    <t>Número d'acords de custòdia duts a terme</t>
  </si>
  <si>
    <t xml:space="preserve"> Anna Planella</t>
  </si>
  <si>
    <r>
      <t xml:space="preserve">Elaboració bones pràctiques de maneig ramader </t>
    </r>
    <r>
      <rPr>
        <sz val="11"/>
        <color rgb="FFFF0000"/>
        <rFont val="Calibri"/>
        <family val="2"/>
        <scheme val="minor"/>
      </rPr>
      <t>i fauna cinegètica</t>
    </r>
    <r>
      <rPr>
        <sz val="11"/>
        <rFont val="Calibri"/>
        <family val="2"/>
        <scheme val="minor"/>
      </rPr>
      <t xml:space="preserve"> pel desenvolupament actuacions </t>
    </r>
    <r>
      <rPr>
        <sz val="11"/>
        <color rgb="FFFF0000"/>
        <rFont val="Calibri"/>
        <family val="2"/>
        <scheme val="minor"/>
      </rPr>
      <t>així com participació en projectes conjunts</t>
    </r>
  </si>
  <si>
    <r>
      <t xml:space="preserve">1) Treballs sobre bones pràctiques   2) actuacions per fomentar bones pràctiques   </t>
    </r>
    <r>
      <rPr>
        <sz val="11"/>
        <color rgb="FFFF0000"/>
        <rFont val="Calibri"/>
        <family val="2"/>
        <scheme val="minor"/>
      </rPr>
      <t xml:space="preserve"> 3) Coordinació en la gestió                                    4) Organització de jornades conjuntes                      5) Participacií en projectes conjunts</t>
    </r>
  </si>
  <si>
    <r>
      <t xml:space="preserve">1) 1                           2) 2                       </t>
    </r>
    <r>
      <rPr>
        <sz val="11"/>
        <color rgb="FFFF0000"/>
        <rFont val="Calibri"/>
        <family val="2"/>
        <scheme val="minor"/>
      </rPr>
      <t>3) 2                       4) 1                5) 1</t>
    </r>
  </si>
  <si>
    <r>
      <t xml:space="preserve">1) 2                              2) 4                    </t>
    </r>
    <r>
      <rPr>
        <sz val="11"/>
        <color rgb="FFFF0000"/>
        <rFont val="Calibri"/>
        <family val="2"/>
        <scheme val="minor"/>
      </rPr>
      <t>3) 4                   4) 2                  5) 2</t>
    </r>
  </si>
  <si>
    <t>Sistemes agropastorals</t>
  </si>
  <si>
    <t>Bernat Perramon</t>
  </si>
  <si>
    <t>Realització de projectes de forma col·laborativa amb els ens locals per a la gestió de boscos comunals i lleres i boscos de ribera</t>
  </si>
  <si>
    <t>Nombre de projectes col·laboratius CEINR X PNCTF X GENCAT</t>
  </si>
  <si>
    <t>Gerard Vila / Anna Planella/Bernat Perramon/Santi Farriol</t>
  </si>
  <si>
    <t>No hi ha perspectiva de fer un pla específic per temes de canvi climàtic. Les actuacions ja estan recollides dins dels objectius de fomentar el paisatge en mosaic i l'objectiu de prevenció d'incendis</t>
  </si>
  <si>
    <t>Creació de la cartografia dels recursos hídrics de l'ENP i les seves amenaces (per exemple captacions d'aigua)</t>
  </si>
  <si>
    <t>Cartografia creada que cobreixi tot l'ENP sobre els recursos hídrics existents i les seves amenaces</t>
  </si>
  <si>
    <t>1 (cartografia)</t>
  </si>
  <si>
    <t>Aportació ramaders i proietaris així combsector conservacionista</t>
  </si>
  <si>
    <r>
      <t xml:space="preserve">Participació en la redacció d'IOF de finques públiques
Realització de tractaments silvícoles i tallades selectives
Promoció de boscos mixtes i de la biodiversitat                 </t>
    </r>
    <r>
      <rPr>
        <sz val="11"/>
        <color rgb="FFFF0000"/>
        <rFont val="Calibri"/>
        <family val="2"/>
        <scheme val="minor"/>
      </rPr>
      <t xml:space="preserve">    Foment de la fusta de baixa qualitat per a l'aprofitamet de biomassa                                                                                                Incloure conceptes d'evolució lliure i del manual 11 d'Europarc</t>
    </r>
    <r>
      <rPr>
        <sz val="11"/>
        <rFont val="Calibri"/>
        <family val="2"/>
        <scheme val="minor"/>
      </rPr>
      <t xml:space="preserve">
</t>
    </r>
  </si>
  <si>
    <t xml:space="preserve">
% d'actuacions forestals (finca pública i dins PN) en les que s'ha participat de forma activa des del PN</t>
  </si>
  <si>
    <t>Gerard Vila/Anna Planella/Bernat Perramon</t>
  </si>
  <si>
    <t>* Realització d'accions per donar a conèixer subvencions entre propietaris</t>
  </si>
  <si>
    <t xml:space="preserve">% de superfície de finques privades amb IOF dins del PN
</t>
  </si>
  <si>
    <t>*Elaboració del Pla de Prevenció d'Incendis 
*Definició de: xarxa estratègica i complementària de vials forestals, xarxa estratègica i complementària de punts d’aigua, tractaments de vegetació, punts estratègics de gestió</t>
  </si>
  <si>
    <t>Aprovació del PPIFF del PNCTF</t>
  </si>
  <si>
    <t>Integració de criteris sobre zones sensibles al foc i zones no sensibles pels valors naturals que hi alberguen</t>
  </si>
  <si>
    <t>% de cartografia compartida amb els diferents departaments per tal de determinar en quines zones cal actuar si hi ha un incendi i en quines no</t>
  </si>
  <si>
    <r>
      <t xml:space="preserve">Treballar per a la prevenció d'incendis juntament amb els propietaris, ajuntaments, protecció civil, ADF i bombers. </t>
    </r>
    <r>
      <rPr>
        <sz val="11"/>
        <color rgb="FFFF0000"/>
        <rFont val="Calibri"/>
        <family val="2"/>
        <scheme val="minor"/>
      </rPr>
      <t>També amb ramaders i empreses del sector forestal</t>
    </r>
  </si>
  <si>
    <t>Aportació sector ranmader i propietat privada</t>
  </si>
  <si>
    <t>Execució de les actuacions recollides dins del PNCTF / Integrar la variable prevenció d'incendis en la recuperació i manteniment d'espais oberts</t>
  </si>
  <si>
    <t>Número d'actuacions d'interès per la prevenció IIFF</t>
  </si>
  <si>
    <t>Participació a les taules d'avaluació</t>
  </si>
  <si>
    <t>% de participació sobre els processos d'avaluació ambiental</t>
  </si>
  <si>
    <t>Gerard Vila/ Anna Planella</t>
  </si>
  <si>
    <t>Seguiment amb les obres que afectent i es realitzen dins dels límits del PNCTF</t>
  </si>
  <si>
    <t>% de participació sobre les obres executades</t>
  </si>
  <si>
    <t>*Catàleg de possibles actuacions compensatories
*Catàleg de sectors amb necessitats d'intervenció (incloent també zones fora dels límits de l'ENP que es considerin importants per al manteniment de la connectivitat ecològica dels espais)</t>
  </si>
  <si>
    <t>1) Creació d'un catàleg d'actuacions futures i compensatòries
2) Nombre d'actuacions compensatories realitzades dins del PN</t>
  </si>
  <si>
    <t>1) 1
2) 2</t>
  </si>
  <si>
    <t>1) 1
2) 4</t>
  </si>
  <si>
    <t>Anna Planella / Tbernat Perramon/Gerard Vila</t>
  </si>
  <si>
    <t>Que s'implementi l'actuació no depèn directament de l'espai</t>
  </si>
  <si>
    <t>No</t>
  </si>
  <si>
    <t>1) Establiment d'una xarxa de control del cabal en els trams de riu dins del Parc
2) Realització d'un inventari de les activitats que poden modificar la llera i el cabal
3) Revisió de les concessions actuals</t>
  </si>
  <si>
    <t>Revisar les actuacions. L'establiment de punts de control depèn de l'ACA. Es pot incloure la revisió de les concessions, les reunions amb l'ACA,...
Afegir indicadors i fites</t>
  </si>
  <si>
    <t>1) Nombre d'estacions de control de cabal
2) Reunions anuals amb l'ACA
3) Inventari de les activitats que modifiquen la llera i el cabal dels principals rius de l'espai i pla de millora</t>
  </si>
  <si>
    <t>1) 2
2) 1
3) 1</t>
  </si>
  <si>
    <t>1) 4
2) 2
3) 1</t>
  </si>
  <si>
    <t>Actuacions incloses en l'objectiu 3.3.1</t>
  </si>
  <si>
    <t>1) Establiment d'una xarxa de control de qualitat de l'aigua</t>
  </si>
  <si>
    <t xml:space="preserve">Revisar. Igual que l'anterior potser és competència de l'ACA? </t>
  </si>
  <si>
    <t>1) Nombre d'estacions de control de la qualitat</t>
  </si>
  <si>
    <t>Vetllar per l'adquisició des del PN o d'altres òrgans públics de finques privades d'interès</t>
  </si>
  <si>
    <t>1) Llistat de finques potencials classificades per interes 
2) Adquisicó de finques d'alt interès</t>
  </si>
  <si>
    <t>1) 1 
2) 1</t>
  </si>
  <si>
    <t>1) 1 
2) 2</t>
  </si>
  <si>
    <t>Anna Planella/Gerard Vila/Santi Farriol</t>
  </si>
  <si>
    <t>Identificació d'espais prioritaris per a la gestió activa</t>
  </si>
  <si>
    <t>1) Llistat d'espais prioritaris per a gestió activa, ordenats per l'interès 
2) Nombre d'actuacions executades</t>
  </si>
  <si>
    <t>1) 1 
2) 5</t>
  </si>
  <si>
    <t>Patrimoni natural / Millora rural</t>
  </si>
  <si>
    <t>Anna Planella i Gerard Vila</t>
  </si>
  <si>
    <t>*Redacció d'un full de ruta conjunt amb el Museu Etnogràfic de Ripoll per al desenvolupament d'aquest inventari
*Recopilació de la informació dels catàlegs dels ajuntaments de l'ENP i fer diagnosi
*Inventari de patrimoni cultural material (arquitectònic /arqueològic / ramader...)
*Inventari de patrimoni cultural immaterial (etnològic / espiritual...) (metodologia de l'inventari de la unesco)
*Elaboració d'un mapa de tranquil·litat.                                             *Creuar dades amb altres inventaris ja existents (Carta del paisatge, etc.)</t>
  </si>
  <si>
    <t>Nombre d'inventaris o mapes desenvolupats, juntament amb la cartografia de patrimoni cultural del PNCTF, que també incloguin el patrimoni etnològic i immaterial</t>
  </si>
  <si>
    <t>Us public</t>
  </si>
  <si>
    <t>Xavier Grivé</t>
  </si>
  <si>
    <t>*Redacció d'un full de ruta conjunt amb el Museu Etnogràfic de Ripoll per al desenvolupament d'aquest inventari
*Detecció de les persones i entitats locals de referència en la matèria
*Catàleg lingüístic (localismes) de patrimoni natural del PNCTF
*Catàleg lingüístic (localismes) de geografia popular, festes i activitats tradicionals del PNCTF                                                *Creuar dades amb altres inventaris ja existents (Carta del paisatge, etc.)</t>
  </si>
  <si>
    <t>Nombre de catàlegs lingüístics (localismes) desenvolupats de patrimoni natural i de geografia popular, festes i activitats tradicionals del PNCTF</t>
  </si>
  <si>
    <t>Us public / Patrimoni natural</t>
  </si>
  <si>
    <t>Xavier Grivé / Anna Planella</t>
  </si>
  <si>
    <r>
      <t xml:space="preserve">*Redacció d'un full de ruta conjunt amb el Museu Etnogràfic de Ripoll i la xarxa de senders Itinerànnia per al desenvolupament d'aquesta cartografia.
*Cartografia de la xarxa de camins ramaders i senders tradicionals de l'ENP                                                                * </t>
    </r>
    <r>
      <rPr>
        <sz val="11"/>
        <color rgb="FFFF0000"/>
        <rFont val="Calibri"/>
        <family val="2"/>
        <scheme val="minor"/>
      </rPr>
      <t>Consensuar amb la propietat (pública o privada) quins senders s'inclouran i, si escau, signatura de convenis</t>
    </r>
  </si>
  <si>
    <t>Nombre de mapes desenvolupats de camins ramaders i senders tradicionals</t>
  </si>
  <si>
    <t>Ús públic / Sistemes agropastorals</t>
  </si>
  <si>
    <t>Xavier Grivé / Bernat Perramon</t>
  </si>
  <si>
    <t>*Elaboració d'un mapa d'entitats, associacions, museus, ecomuseus, OPEI (Observatori del Patrimoni Etnològic i Immaterial), etc.                                                                                                   *Creuar dades amb altres inventaris ja existents (Carta del paisatge, etc.)</t>
  </si>
  <si>
    <t>Nombre de mapes desenvolupats d'entitats, associacions, museus, ecomuseus, OPEI (Observatori del Patrimoni Etnològic i Immaterial), etc.</t>
  </si>
  <si>
    <t>Ús públic</t>
  </si>
  <si>
    <t>Xavier Grivé i Rai</t>
  </si>
  <si>
    <t>*Projecte parcs i museus
*Impuls dels convenis de col·laboració amb la xarxa de museus i altres equipaments i entitats de referència
*Foment de la cooperació tècnica dels gestors de l'ENP amb els representants o custodis del patrimoni cultural, i coordinar-ne l'ús compartit dels recursos</t>
  </si>
  <si>
    <t>Nombre de convenis de col·laboració posats en marxa entre el PNCTF i altres entitats culturals de referència del territori</t>
  </si>
  <si>
    <t>Impulsar i/o participar dels treballs de restauració arquitectònica, arqueològica i del patrimoni cultural</t>
  </si>
  <si>
    <t>CANVI DE REDACTAT OP DE LA DG</t>
  </si>
  <si>
    <t>*Coordinació de l'equip tècnic (propi) amb els responsables dels treballs de restauració arquitectònica i del patrimoni cultural
Participació quan els treballs estan vinculats a l’àrea d’ús públic de l’ENP                                                                                                        *Creuar dades amb altres inventaris ja existents (Carta del paisatge, etc.)</t>
  </si>
  <si>
    <t>Nombre d'elements de patrimoni arquitectònic o cultural restaurats</t>
  </si>
  <si>
    <r>
      <t xml:space="preserve">Disposar de personal </t>
    </r>
    <r>
      <rPr>
        <sz val="11"/>
        <color theme="9" tint="-0.249977111117893"/>
        <rFont val="Calibri"/>
        <family val="2"/>
        <scheme val="minor"/>
      </rPr>
      <t>que tingui coneixements tècnics sobre patrimoni natural</t>
    </r>
  </si>
  <si>
    <t>*Formació del personal tècnic de l'ENP en la gestió i conservació dels valors culturals de l'ENP</t>
  </si>
  <si>
    <t>Nombre de formacions rebudes per part del personal tècnic de l'ENP en la gestió i conservació dels valors culturals de l'ENP</t>
  </si>
  <si>
    <t>Recuperar i conservar el patrimoni cultural immaterial (associat a les activitats i aprofitaments rurals tradicionals) i els valors espirituals</t>
  </si>
  <si>
    <t>*Redacció d'un full de ruta conjunt amb el Museu Etnogràfic de Ripoll per a la recuperació i conservació del patrimoni cultural rural immaterial associat a les activitats i aprofitaments tradicionals
*Inventariar els elements concrets del patrimoni rural immaterial associat a les activitats i aprofitaments tradicionals.
*Desenvolupament d'accions de conservació d'elements concrets del patrimoni rural immaterial associat a les activitats i aprofitaments tradicionals.</t>
  </si>
  <si>
    <t>Nombre d'accions de conservació desenvolupades d'elements concrets del patrimoni rural immaterial associat a les activitats i aprofitaments tradicionals.</t>
  </si>
  <si>
    <t>CONSERVAR EL PATRIMONI CULTURAL material i immaterial</t>
  </si>
  <si>
    <t xml:space="preserve">* Redacció d'un pla de recuperació dels murs de pedra seca i barraques de pastor dins del PNCTF 
* Implicar la taula de Voluntariat Ambiental del Pirineu Oriental                                                                                                               *Creuar dades amb altres inventaris ja existents (Carta del paisatge, etc.)
</t>
  </si>
  <si>
    <t>1) Número d'actuacions de restauració de pedra seca             2) Actuacions de voluntariat</t>
  </si>
  <si>
    <t xml:space="preserve"> 1) 3                             2) 1</t>
  </si>
  <si>
    <t>1) 6                           2) 2</t>
  </si>
  <si>
    <t>Gerard Vila / Xavier Grivé</t>
  </si>
  <si>
    <t xml:space="preserve">Fomentar la recuperació i conservació de l'arquitectura tradicional d'interès de les edificacions i construccions </t>
  </si>
  <si>
    <t>Redacció del catàleg d'elements d'arquitectura dins del PNCTF</t>
  </si>
  <si>
    <t>Redacció del Pla d'elements arquitectònics de l'Alt Ripollès.</t>
  </si>
  <si>
    <t>Diversitat espècies hàbitats de pastura</t>
  </si>
  <si>
    <t>1) Seguiment dels principals hàbitats de pastura per assegurar que no hi ha una pèrdua de diversitat associada (número de seguiments portats a terme)</t>
  </si>
  <si>
    <t>1) 1</t>
  </si>
  <si>
    <t>1) 4</t>
  </si>
  <si>
    <t>*Redacció d'un full de ruta conjunt amb el Museu Etnogràfic de Ripoll i la xarxa de senders Itinerànnia per a la integració del patrimoni cultural als itineraris i cartelleria del PNCTF
*Elaborar un projecte que incorpori els elements de patrimoni cultural a les banderoles de senderisme del PNCTF així com a les altres eines de comunicació del senderisme al PNCTF
*Incorporar els elements de patrimoni cultural a les banderoles de senderisme així com a les altres eines de comunicació del senderisme al PNCTF</t>
  </si>
  <si>
    <t>Nombre d'elements de patrimoni cultural incorporats a les banderoles de senderisme així com a les altres eines de comunicació del senderisme al PNCTF</t>
  </si>
  <si>
    <t>* Incorporar el patrimoni cultural en el Pla Estratègic d'Educació i Voluntariat Ambiental del PNCTF desenvolupat a partir de processos participatius al Ripollès
* Incorporar el patrimoni cultural en el Projecte Pedagògic del PNCTF desenvolupat conjuntament amb les escoles del Ripollès
*Executar una formació anual</t>
  </si>
  <si>
    <t>Nombre de plans d'ús públic i educació ambiental en què s'ha incorporat el patrimoni cultural</t>
  </si>
  <si>
    <r>
      <t xml:space="preserve">*Incorporar els valors culturals del PNCTF als documents formatius adreçats als treballadors dels centres d'Informació
*Incorporar els valors culturals del PNCTF al programa del Curs d'Informadors del PNCTF adreçat a establiments turístics                                                                                                          </t>
    </r>
    <r>
      <rPr>
        <sz val="11"/>
        <color rgb="FFFF0000"/>
        <rFont val="Calibri"/>
        <family val="2"/>
        <scheme val="minor"/>
      </rPr>
      <t xml:space="preserve"> *Fer una formació específica a les empreses acreditades a la CETS sobre aquests valors.</t>
    </r>
  </si>
  <si>
    <t>Nombre de documents formatius / programes en què s'ha incorporat els valors culturals del PNCTF</t>
  </si>
  <si>
    <t>Creació del catàleg de paisatge del PN</t>
  </si>
  <si>
    <t>Elaboració del catàleg i caracterització dels paisatges del PN</t>
  </si>
  <si>
    <t>De moment no aplica a l'espai, no hi ha elements d'interès paisatgístics degradats importants</t>
  </si>
  <si>
    <t>Gestionar l'abandonament d'infraestructures i instal·lacions amb impactes sobre els valors de l'espai</t>
  </si>
  <si>
    <r>
      <t xml:space="preserve">Pla d'identificació i retirada d'elements abandonats o en mal estat (per exemple elements dels cims, pistes d'esquí en desús...)
</t>
    </r>
    <r>
      <rPr>
        <sz val="11"/>
        <color rgb="FFFF0000"/>
        <rFont val="Calibri"/>
        <family val="2"/>
        <scheme val="minor"/>
      </rPr>
      <t xml:space="preserve">
</t>
    </r>
  </si>
  <si>
    <t xml:space="preserve">1) % de superficie prospectada pel mapeig de totes les infraestructures abandonades dins del PN.  2) Percentatge d'elements extrets sobre els elements identificats </t>
  </si>
  <si>
    <t>1) 50 2) 10</t>
  </si>
  <si>
    <t>1) 100 2) 15</t>
  </si>
  <si>
    <t>*Control gràfic i inventari dels punts amb més deixalles
*Impulsar campanya comunicativa amb informadors i altres mitjans
*Implicació de la Taula de Voluntariat Ambiental del Pirineu Oriental</t>
  </si>
  <si>
    <t xml:space="preserve">1) Nombre de punts identificats. 2) % de punts tractats. </t>
  </si>
  <si>
    <r>
      <rPr>
        <b/>
        <sz val="11"/>
        <color rgb="FF00B050"/>
        <rFont val="Calibri"/>
        <family val="2"/>
        <scheme val="minor"/>
      </rPr>
      <t>1)  10</t>
    </r>
    <r>
      <rPr>
        <sz val="11"/>
        <color theme="1"/>
        <rFont val="Calibri"/>
        <family val="2"/>
        <scheme val="minor"/>
      </rPr>
      <t xml:space="preserve"> 2) 50 </t>
    </r>
  </si>
  <si>
    <t xml:space="preserve">1) tots els existents  2) 100 </t>
  </si>
  <si>
    <t>Eliminem indicador 3 (nombre de punts amb més deixalles)</t>
  </si>
  <si>
    <t>Dotar l'espai d'una figura de protecció del cel nocturn</t>
  </si>
  <si>
    <t>Figures de protecció otorgades al Parc en relació a la qualitat del cel nocturn</t>
  </si>
  <si>
    <t>Tots</t>
  </si>
  <si>
    <t>Dotar l'espai d'una figura de protecció de la qualitat acústica</t>
  </si>
  <si>
    <t>Figures de protecció otorgades al Parc en relació a la qualitat acústica</t>
  </si>
  <si>
    <t>Identificar i prioritzar els elements clau i d'interès per la gestió de la biodiversitat i geodiversitat de Catalunya es troben dins l'ENP (especies amenaçades, espècies exòtiques invasores,.. ) i obtenció de coneixement sobre pràctiques de maneig ramader sobre l'estat de conservació i interès farratger dels prats</t>
  </si>
  <si>
    <r>
      <t>un 60% de la superfície del PN es ramadera i cal incrementar el coneixement sobre aquests espais en concret</t>
    </r>
    <r>
      <rPr>
        <b/>
        <sz val="11"/>
        <color rgb="FF00B050"/>
        <rFont val="Calibri"/>
        <family val="2"/>
        <scheme val="minor"/>
      </rPr>
      <t xml:space="preserve"> </t>
    </r>
    <r>
      <rPr>
        <b/>
        <sz val="11"/>
        <color rgb="FFFF0000"/>
        <rFont val="Calibri"/>
        <family val="2"/>
        <scheme val="minor"/>
      </rPr>
      <t>tal i com diu el decret 211/2015 de creació del Parc natural. El Decret conclou que hi ha d'haver un tècnic específic en ramaderia, per tant no estem parlant d'un tema menor.</t>
    </r>
  </si>
  <si>
    <r>
      <t xml:space="preserve">1) Elaboració d'una base de dades amb els objectes de conservació prioritaris dins l'espai i de la cartografia de les seves localitats
2) Elaboració de l'inventari d'espais d'interès geològic </t>
    </r>
    <r>
      <rPr>
        <sz val="11"/>
        <color rgb="FFFF0000"/>
        <rFont val="Calibri"/>
        <family val="2"/>
        <scheme val="minor"/>
      </rPr>
      <t xml:space="preserve">i prioritzar geosites i geomorfosites i quin poder ser o no visitables       </t>
    </r>
    <r>
      <rPr>
        <sz val="11"/>
        <rFont val="Calibri"/>
        <family val="2"/>
        <scheme val="minor"/>
      </rPr>
      <t xml:space="preserve">                                                                                                                                     3) Seguiments associats a diferents casuístiques de maneig agrari i ramader per definir sistemes de maneig interessants                                                                                                           4) Seguiments associats a la recuperació d'espais oberts per definir sistemes de maneig interessants i determinar possibles impactes associats
5) Seguiments transversals en els principals hàbitats de prats del PN per seguir-ne l'evolució i conèixer el grau de conservació a mig-llarg termini</t>
    </r>
  </si>
  <si>
    <r>
      <t xml:space="preserve">1) Base de dades dels objectes de conservació (hàbitats, espècies, processos i elements d'interès geològic) claus dins l'espai i cartografia de les seves localitats </t>
    </r>
    <r>
      <rPr>
        <sz val="11"/>
        <color theme="9" tint="-0.249977111117893"/>
        <rFont val="Calibri"/>
        <family val="2"/>
        <scheme val="minor"/>
      </rPr>
      <t>lligat al SINATCAT</t>
    </r>
    <r>
      <rPr>
        <sz val="11"/>
        <color theme="1"/>
        <rFont val="Calibri"/>
        <family val="2"/>
        <scheme val="minor"/>
      </rPr>
      <t xml:space="preserve">
2) Nombre d'elements d'interès geològics identificats
3) Percentatge d'elements d'interès cartografiats entrats a la BDD
4) Seguiments implementats per a la millora de la gestió ramadera
5) seguiments implementats per a la recuperació d'espais oberts</t>
    </r>
  </si>
  <si>
    <t>1) 1
2) 30
3) 75%                     4) 2                            5) 2</t>
  </si>
  <si>
    <t>1) 1
2) 50
3) 100%                    4) 4                            5) 4</t>
  </si>
  <si>
    <t>Anna Planella / Bernat Perramon</t>
  </si>
  <si>
    <r>
      <t xml:space="preserve">1) Creació de zones d'especial atenció: "zones de prioritat per la conservació" 
2) Creació de </t>
    </r>
    <r>
      <rPr>
        <sz val="11"/>
        <color rgb="FFFF0000"/>
        <rFont val="Calibri"/>
        <family val="2"/>
        <scheme val="minor"/>
      </rPr>
      <t>"zones de tranquil·litat"</t>
    </r>
    <r>
      <rPr>
        <sz val="11"/>
        <rFont val="Calibri"/>
        <family val="2"/>
        <scheme val="minor"/>
      </rPr>
      <t xml:space="preserve"> per a la conservació de fauna amenaçada en època hivernal (també a la part d'ús públic)</t>
    </r>
  </si>
  <si>
    <t>1) Nombre de zones de Prioritat per la Conservació creades 
2) Nombre de zones de tranquil·litat creades
3) Superfície (ha) de zones de tranquil·litat</t>
  </si>
  <si>
    <t>1) 1
2) 1
3) 30</t>
  </si>
  <si>
    <t>1) 4
2) 4
3) 150</t>
  </si>
  <si>
    <t>Elaboració de la cartografia de la distribució dels elements d'interès del Parc (hàbitats, flora, fauna, geologia...) i aportació a la UIC</t>
  </si>
  <si>
    <t>1) Percentatge d'aportació de la informació sol·licitada des de la UIC
2) Percentatge d'elements d'interès identificats que disposen de cartografia</t>
  </si>
  <si>
    <t>1) 100%
2) 75%</t>
  </si>
  <si>
    <t>1) 100%
2) 100%</t>
  </si>
  <si>
    <t xml:space="preserve">1) Implementació del protocol de fluxos d'informació i coneixement de biodiversitat
2) Foment i coordinació dels estudis sobre el règim hidrològic, la pol·linització, la tipificació i funcionament de les cadenes tròfiques pròpies de l’espai, la dinàmica de la neu i les allaus
</t>
  </si>
  <si>
    <t>1) Percentatge d'estudis elaborats des del Parc aportats anualment a la UIC
2) Nombre d'estudis potenciats des del Parc relacionats amb els processos naturals que es donen a l'espai</t>
  </si>
  <si>
    <t>1) 80
2) 4</t>
  </si>
  <si>
    <t>1) 100
2) 6</t>
  </si>
  <si>
    <t>1) Avaluació de l'impacte del canvi climàtic en l'ENP i la seva capacitat d'adaptació i resiliència.
2) Avaluació dels resultats de les estratègies de gestió aplicades en l'ENP
3) Foment de l'estudi de l'afectació de determinats processos naturals o activitats antròpiques en l'ENP (per exemple conèixer l'impacte de l'activitat ramadera sobre la biodiversitat - diferents pautes de maneig i tractaments com l'ivermectina - , la freqüentació humana sobre algunes espècies prioritàries com la perdiu blanca, etc.)</t>
  </si>
  <si>
    <t>1) Nombre d'estudis o projectes  relacionats amb l'impacte del canvi climàtic en l'ENP (per exemple, impacte sobre els hàbitats de congestera, molleres, espècies prioritaries com perdiu blanca...)
2) Percentatges d'actuacions de gestió directe en les quals es du a terme un seguiment i avaluació per tal de mesurar l'eficàcia de les intervencions
3) Projectes duts a terme que avaluin l'afectació de processos i activitats sobre l'ENP</t>
  </si>
  <si>
    <t>1) 3
2) 75
3) 2</t>
  </si>
  <si>
    <t>1) 6
2) 100
3) 4</t>
  </si>
  <si>
    <t xml:space="preserve"> Tots</t>
  </si>
  <si>
    <t>Implementació d'un programa de seguiment de l’estat hidrològic de les masses d’aigua</t>
  </si>
  <si>
    <t>Accions vinculades als OP 3.3.1 i OP 3.3.4</t>
  </si>
  <si>
    <t>1) Instal·lació de punts de control automàtics</t>
  </si>
  <si>
    <t>Participació en dels estudis de les autoritats competents</t>
  </si>
  <si>
    <t>Nombre d'estudis sobre espècies plaga en els que s'ha participat des del Parc</t>
  </si>
  <si>
    <t>Realització i foment d'estudis de forma coordinada amb el SFF: avaluació de la tendència del seneci del cap dins del Parc, xarxa de seguiment d'espècies aquàtiques de fauna exòtica com el coipú o el visó americà</t>
  </si>
  <si>
    <t>Estudis relacionats amb l'estat de les espècies exòtiques invasores (principalment seneci del cap, visó americà i coipú)</t>
  </si>
  <si>
    <t>Elaboració d'una cartografia detallada i actualitzada de connectors ecològics</t>
  </si>
  <si>
    <t>Cartografia elaborada que cobreixi tot l'espai</t>
  </si>
  <si>
    <t xml:space="preserve">Suport a la UIC en la definició dels sistemes de seguiment </t>
  </si>
  <si>
    <r>
      <t xml:space="preserve">1) % d'assistència a les convocatories de la UIC per la definició d'un sistema estandard de seguiment dels elements dels ENP                             </t>
    </r>
    <r>
      <rPr>
        <sz val="11"/>
        <color theme="9" tint="-0.249977111117893"/>
        <rFont val="Calibri"/>
        <family val="2"/>
        <scheme val="minor"/>
      </rPr>
      <t xml:space="preserve">       2)% de metodologies de seguiments estandaritzats que apliquen a l'espai</t>
    </r>
  </si>
  <si>
    <t>1) Contractació d’especialistes per dur a terme el seguiment periòdic dels grups clau de l'ENP
2) Col.laboració amb l'Observatori per aportar els coneixements generats a l'ENP.
3) Seguiment de les directius del sistema de seguiment establerts segons la versió més recent aportada per la UIC
4) Aplicació del protocol establert de compartir informació per al seguiment global d’indicadors de l’estat de la natura, el seguiment dels pol·linitzadors silvestres, o el seguiment dels pol·linitzadors silvestres .</t>
  </si>
  <si>
    <t>1) Nombre d'encarrecs anuals a especialistes per dur a terme el seguiment dels grups clau de l'espai. Nombre d'encarrecs per grup: coleopters, ortopters, pol·linitzadors, ocells, mamífers, peixos, amfibis, rèptils, flora...
2) Compliment de les peticions de dades efectuades des de l'observatori
3) Percentatge de seguiments efectuats seguint les directrius del sistema de seguiment de la UIC
4) Percentatge dels estudis realitzats en els que s'ha aplicat el protocol de compartir informació per el seguiment flobal d'indicadors</t>
  </si>
  <si>
    <t>1) 1
2) 100
3) 80
4) 50</t>
  </si>
  <si>
    <t>1) 3
2) 100
3) 100
4) 75</t>
  </si>
  <si>
    <r>
      <t xml:space="preserve">Mantenir una base de dades de seguiment de patrimoni natural de l'ENP actualitzada i ordenada i </t>
    </r>
    <r>
      <rPr>
        <sz val="11"/>
        <color theme="9" tint="-0.249977111117893"/>
        <rFont val="Calibri"/>
        <family val="2"/>
        <scheme val="minor"/>
      </rPr>
      <t>lligada al SINATCAT</t>
    </r>
  </si>
  <si>
    <t>Manteniment i actualització anual de la base de dades corresponent al Pla de Seguiment de l'ENP</t>
  </si>
  <si>
    <t>1) Base de dades corresponent al pla de seguiment de l'ENP, actualitzada anualment
2) Percentatge de seguiments anuals entrats durant la mateixa anualitat a la base de dades de l'ENP</t>
  </si>
  <si>
    <t>1) 1
2) 100%</t>
  </si>
  <si>
    <t>Participar en la definició, organització i bolcatge de dades del SINATCAT</t>
  </si>
  <si>
    <t>Participació en el desplegament del SINATCAT</t>
  </si>
  <si>
    <t>Percentatge d'assistència als grups de treball i jornades de formació que es convoquin per el desplegament del SINATCAT</t>
  </si>
  <si>
    <t>*Signatura d'un conveni de col·laboració entre el Museu Etnogràfic de Ripoll i el PNCTF
*Detecció d'altres organismes amb qui traçar línies de col·laboració per definir línies d'actuació conjunta entre patrimoni natural i cultural</t>
  </si>
  <si>
    <t>Nombre d'organismes implicats amb el PNCTF per a la definició de línies d'actuació conjunta entre patrimoni cultural i natural</t>
  </si>
  <si>
    <t>Manteniment i estabilment de nous acords amb institucions de recerca per el desenvolupament d'estudis dins de l'ENP</t>
  </si>
  <si>
    <t>Nombre d'acords (col·laboracions, contractes, etc.) actius amb institucions de recerca: UdG, UB, CREAF...</t>
  </si>
  <si>
    <t>Proposta sector conservacionista</t>
  </si>
  <si>
    <r>
      <t xml:space="preserve">1) Realització de projectes de ciència ciutadana dins de l'ENP per tal de generar dades.
2) Suport i estabilització de la xarxa de voluntariat per a determinats seguiments de biodiversitat                                            </t>
    </r>
    <r>
      <rPr>
        <sz val="11"/>
        <color rgb="FFFF0000"/>
        <rFont val="Calibri"/>
        <family val="2"/>
        <scheme val="minor"/>
      </rPr>
      <t xml:space="preserve">  3) Potenciar que, en cas de manca de voluntariat es facin els seguiments igualment (contractes menorsconvenis, etc.)</t>
    </r>
  </si>
  <si>
    <t>Nombre d'estacions de seguiments estandaritzats duts a terme mitjançant programes de ciencia ciutadana: 
1) SOCC
2) CBMS
3) SEMICE
4) Quirohàbitats
5) Projecte Rius
6) SACC
7) Percentatge d'aquests programes de seguiments que es du a terme a través de la xarxa de voluntariat</t>
  </si>
  <si>
    <t>1) 7
2) 1
3) 1
4) 5
5) 2
6) 10
7) 50</t>
  </si>
  <si>
    <t>1) 10
2) 2
3) 2
4) 10
5) 4
6) 15
7) 75</t>
  </si>
  <si>
    <t>Realització de les jornades d'estudiosos del Parc Natural.</t>
  </si>
  <si>
    <t>Nombre de jornades dutes a terme</t>
  </si>
  <si>
    <t>1) Adaptació d'espais per acollir investigadors i estudiants en pràctiques
2) Suport i col·laboració del personal tècnic i de la brigada en els estudis que es desenvolupin a l'espai</t>
  </si>
  <si>
    <t>1) Nombre d'espais adaptats, a disposició d'estudiants o investigadors
2) Percentatge d'estudis que es desenvolupen a l'espai en els que es col·labora mitjançant personal tècnic o de la brigada</t>
  </si>
  <si>
    <t>1) 1
2) 30%</t>
  </si>
  <si>
    <t>1) 1
2) 60%</t>
  </si>
  <si>
    <t>Creació de l'Observatori de recerca de l'ENP en col·laboració amb la UIC</t>
  </si>
  <si>
    <r>
      <t>1) Existència de l'Observatori de la Recerca al Parc
2) Projectes de recerca als quals s'ha donat suport des de l'Observatori de la Recerca</t>
    </r>
    <r>
      <rPr>
        <sz val="11"/>
        <color theme="9" tint="-0.249977111117893"/>
        <rFont val="Calibri"/>
        <family val="2"/>
        <scheme val="minor"/>
      </rPr>
      <t xml:space="preserve"> (buscar sinèrgies entre ENPE)</t>
    </r>
  </si>
  <si>
    <t>1) 1
2) 5</t>
  </si>
  <si>
    <t>1) 1
2) 10</t>
  </si>
  <si>
    <t>*Col·laborar amb el SENP en la definició del Sistema Estàndard de Seguiment de l'Ús Públic</t>
  </si>
  <si>
    <t>Nombre de reunions amb el SENP en què s'ha participat en la definició del Sistema Estàndard de Seguiment de l'Ús Públic</t>
  </si>
  <si>
    <t>1) Implementació del sistema estandaritzat de presa de dades i seguiment de la freqüentació en ENP del SENP
2) Gestió i seguiment mensual dels eco-comptadors de vehicles i persones d'entrada al PNCTF
3) Anàlisi estadístic anual del perfil de visitants als Centres d'Informació del PNCTF
4) Estudi de Freqüentació i Caracterització de Visitants del PNCTF: revisions periòdiques
5) Estudis de Capacitat de Càrrega del PNCTF: aplicació a diferents punts del Parc
6) Establiment de models de freqüentació que serveixin per gestionar l'ús públic en l'ENP conjuntament amb la UIC</t>
  </si>
  <si>
    <t>1) Disposició d'un sistema homogeni de recollida de dades i seguiment de l'ús públic als ENP liderat pel SENP
2) Quantitat de descàrregues de dades per eco-comptador</t>
  </si>
  <si>
    <t>1) 1
2) 24
3) 4
4) 1
5) 1
6) 1</t>
  </si>
  <si>
    <t>1) 1
2) 48
3) 4
4) 2
5) 2
6) 1</t>
  </si>
  <si>
    <t>*Inventariar les activitats no organitzades que es desenvolupen al PNCTF
*Inventariar les activitats organitzades que s'organitzen al PNCTF sense afany de lucre
*Inventariar les activitats organitzades que es comercialitzen al PNCTF, així com les empreses implicades</t>
  </si>
  <si>
    <t>Nombre d'inventaris desenvolupats per detectar les activitats i actors del PNCTF</t>
  </si>
  <si>
    <t>Queda recollit a l'OP 06.5.6.</t>
  </si>
  <si>
    <t>*Dur a terme un registre d'activitats, actors i incidències en ús públic que s'actualitzi periòdicament</t>
  </si>
  <si>
    <t>Nombre d'actualitzacions anuals del registre d'activitats, actors i incidències en ús públic</t>
  </si>
  <si>
    <t>1) Llistar els impactes (positius i negatius) que generen les activitats d'ús públic al PNCTF
2) Cartografiar els impactes mitjançant l'elaboració d'una cartografia de punts de males praxis i massificació
3) Analitzar anualment les activitats que generin massa impacte negatiu per buscar la manera de reduir-lo
4) Prendre mesures per a reduir els impactes negatius de les activitats</t>
  </si>
  <si>
    <t>1) Nombre d'impactes (positius i negatius) que generen les activitats d'ús públic al PNCTF.
2) Nombre d'activitats d'ús públic amb un impacte negatiu.
3) Cartografia elaborada.
4) Anàlisi anual de les activitats que generin massa impacte negatiu per buscar la manera de reduir-lo feta.
5) % d'activitats gestionades amb mesures de reducció d'impacte.</t>
  </si>
  <si>
    <t>1) 1
2) 1
3) 0
4) 1
5) 25</t>
  </si>
  <si>
    <t>1) 10
2) 10
3) 1
4) 4
5) 100</t>
  </si>
  <si>
    <t>Fusionar 6.5.4 i 6.5.6</t>
  </si>
  <si>
    <t xml:space="preserve">Promoure i/o col·laborar en l'aplicació de Plans de Desenvolupament Local Sostenible </t>
  </si>
  <si>
    <t>*Participació en l'aplicació dels Plans de Desenvolupament Local Sostenible</t>
  </si>
  <si>
    <t>Nombre de reunions en què el tècnic del PNCTF assisteix destinades a l'aplicació dels Plans de Desenvolupament Local Sostenible</t>
  </si>
  <si>
    <t>*Manual tècnic de bones pràctiques en ramaderia extensiva *Jornades ramaderia i gestió de pastures</t>
  </si>
  <si>
    <r>
      <t xml:space="preserve">1) treballs amb recomacions de maneig                                                         2) jornades de divulgació                                            </t>
    </r>
    <r>
      <rPr>
        <sz val="11"/>
        <color rgb="FFFF0000"/>
        <rFont val="Calibri"/>
        <family val="2"/>
        <scheme val="minor"/>
      </rPr>
      <t xml:space="preserve">     3) Proves pilot de gestió de pastures</t>
    </r>
  </si>
  <si>
    <r>
      <t xml:space="preserve">1) 2                               2) 1                      </t>
    </r>
    <r>
      <rPr>
        <sz val="11"/>
        <color rgb="FFFF0000"/>
        <rFont val="Calibri"/>
        <family val="2"/>
        <scheme val="minor"/>
      </rPr>
      <t>3)1</t>
    </r>
  </si>
  <si>
    <r>
      <t xml:space="preserve">1) 4                                2) 2                  </t>
    </r>
    <r>
      <rPr>
        <sz val="11"/>
        <color rgb="FFFF0000"/>
        <rFont val="Calibri"/>
        <family val="2"/>
        <scheme val="minor"/>
      </rPr>
      <t xml:space="preserve"> 3)2</t>
    </r>
  </si>
  <si>
    <t>Inclòs a l'OP 8.1.1</t>
  </si>
  <si>
    <t>Marca fet al Parc lligat amb Porducte del Ripollès</t>
  </si>
  <si>
    <t>Fusionar 8.1.1 i 8.1.2</t>
  </si>
  <si>
    <t>Recuperació de punts d'aigua associats a la ramaderia d'interès per a la biodiversitat (basses de Fontlletera, estanyet de Fontalba, etc.) i instal·lació d'abeuradors alternatius</t>
  </si>
  <si>
    <t>Nombre de punts d'aigua recuperats</t>
  </si>
  <si>
    <t>Patrimoni natural i sistemes agropastorals</t>
  </si>
  <si>
    <t>Anna Planella i Bernat Perramon</t>
  </si>
  <si>
    <t xml:space="preserve">*Consolidar el Grup de Treball de la Carta Europea de Turisme Sostenible del Ripollès
*Elaboració i actualització periòdica del mapa d’agents socioeconòmics de l’ENP (sector primari i secundari)
*Establiment de canals de comunicació i coordinació amb els agents socioeconòmics clau del territori.
*Estudi de la idoneïtat de crear una Taula de desenvolupament local, en els ENP que encara no ho tinguin (per ENP o agrupacions d’ENP).
*Convocar les taules de desenvolupament local ja constituïdes de cada ENP (o agrupacions d’ENP).
*Promoció i enfortiment de la participació dels agents clau a les taules de desenvolupament local ja constituïdes.
*Participació en la definició i desplegament dels plans de treball de la taula de desenvolupament local. </t>
  </si>
  <si>
    <t>Revisar si algunes de les accions es poden descartar i treure-ho. Si aquestes accions van totalment vinculades a la CETS valorar incorporar-ho dins l'objectiu específic que hi ha de la CETS i mantenir només el que NO quedi inclòs dins la carta dins aquest objectiu. A la columna vincles posar els objectius de la CETS.
Revisar indicadors i fites</t>
  </si>
  <si>
    <t>Nombre de reunions de les taules de desenvolupament local del Ripollès liderades pel Parc</t>
  </si>
  <si>
    <t>1) Participació en les reunions amb els Serveis Centrals per la generació d'un segell comú.
En quant al segell propi de la comarca: 
- 2) Assistència a les reunions del segell del Productes del Ripollès
- 3) Incidir en la millora del segell de Productes del Ripollès pel què fa al vincle amb el territori: treballar per què tingui un valor afegit el producte que prové d'una matèria prima que es produeix a la mateixa comarca i que, per tant, té una incidència sobre els hàbitats de l'espai.</t>
  </si>
  <si>
    <t>1) Nombre de reunions amb els serveis centrals per a la generació d'un segell comú en què s'ha participat
2) Nombre de reunions del segell del Productes del Ripollès en què s'ha participat
3) Nombre de propostes de millora del segell de Productes del Ripollès</t>
  </si>
  <si>
    <t>1) 1
2) 1
3) 1</t>
  </si>
  <si>
    <t>1) 4
2) 4
3) 4</t>
  </si>
  <si>
    <t>Xavier Grivé i Rai / Bernat Perramon</t>
  </si>
  <si>
    <t>*Elaboració d'un catàleg de ramaders amb producte final
*Inclusió de visites a productors o artesans en el catàleg d'activitats de l'ENP
*Incorporació de l'Associació Productes del Ripollès en la presa de decisions d'aquesta línia de treball</t>
  </si>
  <si>
    <t>Actuacions amb ramaders amb producte final dirigides a donar un valor afegit en el seu producte vinculat a una bona gestió ramadera</t>
  </si>
  <si>
    <t>2) 4</t>
  </si>
  <si>
    <t>*Donar suport a l'Associació de Productes del Ripollès en la tasca promocional dels productes locals</t>
  </si>
  <si>
    <t>Nombre de tasques de promoció de l'Ass. Productes del Ripollès en què el PNCTF ha donat suport</t>
  </si>
  <si>
    <r>
      <t xml:space="preserve">Generar aliances entre el sector primari, el turisme, la restauració i altres per fomentar la gastronomia i </t>
    </r>
    <r>
      <rPr>
        <sz val="11"/>
        <color rgb="FFFF0000"/>
        <rFont val="Calibri"/>
        <family val="2"/>
        <scheme val="minor"/>
      </rPr>
      <t xml:space="preserve">el comerç </t>
    </r>
    <r>
      <rPr>
        <sz val="11"/>
        <rFont val="Calibri"/>
        <family val="2"/>
        <scheme val="minor"/>
      </rPr>
      <t xml:space="preserve">local </t>
    </r>
  </si>
  <si>
    <t>Aportació ramaders i propietaris</t>
  </si>
  <si>
    <t>1) Analitzar el Pla de treball de l'Associació Productes del Ripollès per valorar a quines actuacions el Parc pot donar suport i impuls.
2) Suport i participació en les iniciatives de la marca Productes del Ripollès i de l'Agència de Desenvolupament del Ripollès per a incentivar la interacció entre sectors primari i terciari: divulgació i comunicació, formació i assessorament tècnic, comercialització, treball en xarxa, suport a la gestió de l’activitat.
3) Suport i participació per tenir infraestructura comuna (obrador comunitari).</t>
  </si>
  <si>
    <t>1) Nombre d'actuacions del Pla de treball de l'Associació Productes del Ripollès en què el Parc ha donat suport i impuls.
2) Nombre d'iniciatives de la marca Productes del Ripollès i de l'Agència de Desenvolupament del Ripollès per a incentivar la interacció entre sectors primari i terciari en què el Parc s'ha implicat i/o ha participat.
3) Obtenció d'una infraestructura comuna (obrador comunitari).</t>
  </si>
  <si>
    <t>1) 4
2) 4
3) 0</t>
  </si>
  <si>
    <t>1) 12
2) 12
3) 1</t>
  </si>
  <si>
    <t>Elaborar una diagnosi del teixit productiu local i un pla d’acció amb línies de treball i actuacions concretes per donar-li suport</t>
  </si>
  <si>
    <r>
      <rPr>
        <sz val="11"/>
        <color rgb="FFFF0000"/>
        <rFont val="Calibri"/>
        <family val="2"/>
        <scheme val="minor"/>
      </rPr>
      <t>Participar</t>
    </r>
    <r>
      <rPr>
        <sz val="11"/>
        <rFont val="Calibri"/>
        <family val="2"/>
        <scheme val="minor"/>
      </rPr>
      <t xml:space="preserve"> en una diagnosi del teixit productiu local i un pla d'acció amb línies de treball i actuacions concretes per a donar-li suport</t>
    </r>
  </si>
  <si>
    <t>Participar en la diagnosi del teixit productiu local que es dugui a terme des de l'Associació Productes del Ripollès i l'Agència de Desenvolupament del Ripollès.</t>
  </si>
  <si>
    <t>Nombre d'hores dedicades a la diagnosi</t>
  </si>
  <si>
    <t>No aplica actualment. Producte del Ripollès són els que tiren endavant la pròpia marca i ja tenen una guia per promoure els principal productors, per tant aquest objectiu no és competència de l'espai.</t>
  </si>
  <si>
    <r>
      <t xml:space="preserve">1) Foment d'acords amb les Societats de Caçadors per a incorporar objectius de conservació d’espècies i hàbitats en la revisió dels Plans de Gestió Cinegètica
2) Establiment de mecanismes de col·laboració amb la Reserva Nacional de Caça </t>
    </r>
    <r>
      <rPr>
        <sz val="11"/>
        <color rgb="FFFF0000"/>
        <rFont val="Calibri"/>
        <family val="2"/>
        <scheme val="minor"/>
      </rPr>
      <t>i les APC</t>
    </r>
  </si>
  <si>
    <t>1) Nombre d'acords amb Societats de Caçadors
2) Nombre de reunions anuals amb la RNC</t>
  </si>
  <si>
    <t>1) 4
2) 4</t>
  </si>
  <si>
    <t>Impuls a la declaració de refugis de caça i pesca</t>
  </si>
  <si>
    <t>1) Nombre de refugis de caça declarats dins l'espai
2) Nombre de refugis de pesca declarats dins l'espai</t>
  </si>
  <si>
    <t>1) 1
2) 1</t>
  </si>
  <si>
    <t>1) 2
2) 2</t>
  </si>
  <si>
    <t>No aplica. Gestió de la RNC i poc aplicable dins l'espai (sense conreus, poques carreteres...)</t>
  </si>
  <si>
    <r>
      <t xml:space="preserve">1) Continuar amb el desplegament de la CETS del Ripollès:
   Fase I: execució del Programa d'Actuacions 2024-2028, meòries anuals i seguiment d'indicadors
   Fase II: adhesió d'empreses turístiques a la CETS del Ripollès
   Fase III: adhesió d'agències de viatges
2) Coordinar les tasques i contractació de la secretaria tècnica que acompanya el projecte                                                                                                            </t>
    </r>
    <r>
      <rPr>
        <sz val="11"/>
        <color rgb="FFFF0000"/>
        <rFont val="Calibri"/>
        <family val="2"/>
        <scheme val="minor"/>
      </rPr>
      <t xml:space="preserve">  3) Promoure el grup motor i el Fòrum permanent com a ijmpulsors de la CETS</t>
    </r>
    <r>
      <rPr>
        <sz val="11"/>
        <rFont val="Calibri"/>
        <family val="2"/>
        <scheme val="minor"/>
      </rPr>
      <t xml:space="preserve">
4) Coordinació amb el grup CETSCAT de Parcs Naturals de Catalunya que desenvolupen la CETS
5) Fora del que és estrictament CETS, però dins d'aquest objectiu operatiu, desplegar les accions del Pla de Foment del Turisme de Natura al PNCTF
*Fora del que és estrictament CETS, però dins d'aquest objectiu operatiu, desplegar les accions del Pla de Foment del Turisme de Natura al PNCTF</t>
    </r>
  </si>
  <si>
    <t>1) Nombre de noves empreses turístiques adherides.
2) Disposar de secretaria tècnica de la CETS.
3) Nombre de reunions amb el grup CETSCAT.
4) Nombre d'accions del Pla de Foment del Turisme de Natura desplegades al PNCTF</t>
  </si>
  <si>
    <t>1) 10
2) 0
3) 4
4) 0</t>
  </si>
  <si>
    <t>1) 40
2) 1
3) 16
4) 10</t>
  </si>
  <si>
    <t>*Iniciar i analitzar el procés de tramitació de la certificació Biosphere</t>
  </si>
  <si>
    <t>Nombre de certificacions Biosphere del PNCTF</t>
  </si>
  <si>
    <r>
      <t xml:space="preserve">1) </t>
    </r>
    <r>
      <rPr>
        <sz val="11"/>
        <color rgb="FFFF0000"/>
        <rFont val="Calibri"/>
        <family val="2"/>
        <scheme val="minor"/>
      </rPr>
      <t>Dinamitzar</t>
    </r>
    <r>
      <rPr>
        <sz val="11"/>
        <rFont val="Calibri"/>
        <family val="2"/>
        <scheme val="minor"/>
      </rPr>
      <t xml:space="preserve"> el grup d'empreses adherides a la CETS del Ripollès per a liderar plegats la recerca d'eines de canvi cap a un model de turisme més sostenible.
2) Aconseguir l'adhesió de més </t>
    </r>
    <r>
      <rPr>
        <sz val="11"/>
        <color rgb="FFFF0000"/>
        <rFont val="Calibri"/>
        <family val="2"/>
        <scheme val="minor"/>
      </rPr>
      <t>empreses compromeses amb</t>
    </r>
    <r>
      <rPr>
        <sz val="11"/>
        <rFont val="Calibri"/>
        <family val="2"/>
        <scheme val="minor"/>
      </rPr>
      <t xml:space="preserve"> la CETS del Ripollès.</t>
    </r>
  </si>
  <si>
    <t>1) Existència del Grup d'Empreses de la CETS del PNCTF
2) Nombre d'empreses adherides a la CETS del Ripollès</t>
  </si>
  <si>
    <t>1) 0
2) 1
3) 20</t>
  </si>
  <si>
    <t>1) 1
2) 2
3) 50</t>
  </si>
  <si>
    <r>
      <t xml:space="preserve">1) Entrar a la fase III de la CETS del Ripollès, </t>
    </r>
    <r>
      <rPr>
        <sz val="11"/>
        <color rgb="FFFF0000"/>
        <rFont val="Calibri"/>
        <family val="2"/>
        <scheme val="minor"/>
      </rPr>
      <t>amb empreses que incentivin i facilitin la comercialització</t>
    </r>
    <r>
      <rPr>
        <sz val="11"/>
        <rFont val="Calibri"/>
        <family val="2"/>
        <scheme val="minor"/>
      </rPr>
      <t>, des de la qual liderar la creació de paquets turístics sostenibles.
2) Adherir AAVV a la CETS.
3) Incentivar la creació de paquets turístics sostenibles al Ripollès.</t>
    </r>
  </si>
  <si>
    <t>1) Entrada a la fase III de la CETS del Ripollès
2) Nombre d'AAVV adherides a la CETS.
3) Paquets turístics sostenibles creats al Ripollès.</t>
  </si>
  <si>
    <t>1) 0
2) 1
3) 1</t>
  </si>
  <si>
    <t>1) 1
2) 4
3) 16</t>
  </si>
  <si>
    <t>No aplica, pràcticament no hi ha construccions dins l'espai</t>
  </si>
  <si>
    <t>Regulació de l'acampada i pernoctació</t>
  </si>
  <si>
    <t>No hi ha pla de protecció aprovat. No existeix un Pla de Protecció, per tant ens hem de basar en ordenances municipals</t>
  </si>
  <si>
    <t>1) Creació de la normativa de regulació de l'acampada i pernoctació en base a ordenances municipals. Tenir en compte els acords actuals que ja puguin haver-hi i desenvolupar, si s'escau, procesos participatius amb els agents implicats.
2) Divulgació de la normativa de regulació
3) Implementació de la normativa de regulació</t>
  </si>
  <si>
    <t>1) Nombre de reunions per treballar les ordenances de regulació amb els Ajuntaments
2) Constitució de taula de treball amb els elements implicats</t>
  </si>
  <si>
    <t>1) 1
2) 1
3) 4</t>
  </si>
  <si>
    <t>1) 7
2) 10
3) 40</t>
  </si>
  <si>
    <t>Regulació la circulació rodado no motorització</t>
  </si>
  <si>
    <t>1) Creació de la normativa de regulació de la circulació rodada no motoritzada en base a ordenances municipals. Tenir en compte els acords actuals que ja puguin haver-hi i desenvolupar, si s'escau, procesos participatius amb els agents implicats.
2) Divulgació de la normativa de regulació
3) Implementació de la normativa de regulació</t>
  </si>
  <si>
    <t>Regular l'escalada i alpinisme, barranquisme, i espeleologia</t>
  </si>
  <si>
    <t>1) Creació de la normativa de regulació de l'escalada, alpinisme, barranquisme, i espeleologia en base a ordenances municipals. Tenir en compte els acords actuals que ja puguin haver-hi i desenvolupar, si s'escau, procesos participatius amb els agents implicats.
2) Divulgació de la normativa de regulació
3) Implementació de la normativa de regulació</t>
  </si>
  <si>
    <t>Ordenar les curses i altres activitats esportives organitzades en base a un model estàndard de Pla de protecció</t>
  </si>
  <si>
    <t>1) Creació de la normativa de regulació de curses i altres activitats esportives organitzades en base a ordenances municipals. Tenir en compte els acords actuals que ja puguin haver-hi i desenvolupar, si s'escau, procesos participatius amb els agents implicats.
2) Divulgació de la normativa de regulació
3) Implementació de la normativa de regulació</t>
  </si>
  <si>
    <t>Ordenar els enregistraments i l'observació de fauna i natura en base a un model estàndard de Pla de protecció</t>
  </si>
  <si>
    <t>1) Creació de la normativa de regulació d'enregistraments i observació de fauna i natura en base a ordenances municipals. Tenir en compte els acords actuals que ja puguin haver-hi i desenvolupar, si s'escau, procesos participatius amb els agents implicats.
2) Divulgació de la normativa de regulació
3) Implementació de la normativa de regulació</t>
  </si>
  <si>
    <t>Ordenar les activitats científiques en base a un model estàndard de Pla de protecció</t>
  </si>
  <si>
    <t>1) Creació de la normativa de regulació d'activitats científiques en base a ordenances municipals. Tenir en compte els acords actuals que ja puguin haver-hi i desenvolupar, si s'escau, procesos participatius amb els agents implicats.
2) Divulgació de la normativa de regulació
3) Implementació de la normativa de regulació</t>
  </si>
  <si>
    <t>Ordenar les zones de bany</t>
  </si>
  <si>
    <t>1) Creació de la normativa de regulació de zones de bany en base a ordenances municipals. Tenir en compte els acords actuals que ja puguin haver-hi i desenvolupar, si s'escau, procesos participatius amb els agents implicats.
2) Divulgació de la normativa de regulació
3) Implementació de la normativa de regulació</t>
  </si>
  <si>
    <t>Ordenar l'enlairament i aterratge sense motor</t>
  </si>
  <si>
    <t>1) Creació de la normativa de regulació d'enlairament i aterratge sense motor en base a ordenances municipals. Tenir en compte els acords actuals que ja puguin haver-hi i desenvolupar, si s'escau, procesos participatius amb els agents implicats.
2) Divulgació de la normativa de regulació
3) Implementació de la normativa de regulació</t>
  </si>
  <si>
    <t>No aplica</t>
  </si>
  <si>
    <t>Xavier Grivé / Tots</t>
  </si>
  <si>
    <t>Ordenar la presència d'animals de companyia</t>
  </si>
  <si>
    <r>
      <t xml:space="preserve">1) Creació de la normativa d'animals de companyia en base a ordenances municipals. Tenir en compte els acords actuals que ja puguin haver-hi i desenvolupar, si s'escau, procesos participatius amb els agents implicats.
2) Divulgació de la normativa de regulació </t>
    </r>
    <r>
      <rPr>
        <sz val="11"/>
        <color rgb="FFFF0000"/>
        <rFont val="Calibri"/>
        <family val="2"/>
        <scheme val="minor"/>
      </rPr>
      <t>(Llei 7/2023, de 28 de març, de ptotecció dels drets i el benestar dels animals)</t>
    </r>
    <r>
      <rPr>
        <sz val="11"/>
        <rFont val="Calibri"/>
        <family val="2"/>
        <scheme val="minor"/>
      </rPr>
      <t xml:space="preserve">
3) Implementació de la normativa de regulació</t>
    </r>
  </si>
  <si>
    <t>Ordenar les activitats d'educació ambiental i el lleure educatiu</t>
  </si>
  <si>
    <t>1) Creació de la normativa d'educació ambiental i lleure educatiu en base a ordenances municipals. Tenir en compte els acords actuals que ja puguin haver-hi i desenvolupar, si s'escau, procesos participatius amb els agents implicats.
2) Divulgació de la normativa de regulació
3) Implementació de la normativa de regulació</t>
  </si>
  <si>
    <t>1) Implicació de la Comissió d'Accés Motoritzat al Medi Natural.
2) Implicació de la xarxa de senders Itinerànnia.
3) Definició d'una xarxa d'itineraris oficial i categoritzada per tipus d'ús per on es poden realitzar activitats (curses a peu, en bicicleta, etc.) d'acord amb els criteris de serveis centrals.</t>
  </si>
  <si>
    <t>1) Nombre de reunions amb la Comissió d'Accés Motoritzat al Medi Natural.
2) Nombre de reunions amb la xarxa de senders Itinerànnia.
3) Km d'itineraris a peu oficials
4) Km d'itineraris en bicicleta oficials
5) Km d'itineraris accessibles en cadira de rodes oficials
6) Km d'itineraris adaptats oficials</t>
  </si>
  <si>
    <t>1) 1
2) 1
3) 300
4) 10
5) 10
6) 1</t>
  </si>
  <si>
    <t>1) 8
2) 8
3) 600
4) 100
5) 100
6) 10</t>
  </si>
  <si>
    <r>
      <t xml:space="preserve">Treballar conjuntament amb els principals canals d’informació de rutes  per prioritzar itineraris oficials dins l’ENP </t>
    </r>
    <r>
      <rPr>
        <sz val="11"/>
        <color rgb="FFFF0000"/>
        <rFont val="Calibri"/>
        <family val="2"/>
        <scheme val="minor"/>
      </rPr>
      <t>tenint en compte la propietat i drets i servituds de pas així com entitats excursionistes</t>
    </r>
  </si>
  <si>
    <t>Aportació sector ramader i proietat privada</t>
  </si>
  <si>
    <t>*Incorporació de les tecnologies de Wikiloc o Google Maps
*Interactuar amb aquestes plataformes digitals per tal de reduir els danys que poden ocasionar al PNCTF</t>
  </si>
  <si>
    <t>Nombre d'interaccions amb Wikiloc i Google Maps adreçats a reduir els danys que poden ocasionar al PNCTF</t>
  </si>
  <si>
    <t xml:space="preserve">Us public   </t>
  </si>
  <si>
    <t>Ordenar l'accés i la circulació</t>
  </si>
  <si>
    <t>*Adaptació i implementació el protocol de regulació de l'accés i circulació
*Continuar la regulació de l'accés motoritzat a les pistes de Fontalba i Daió (Queralbs)
*Analitzar la regulació a altres indrets del PNCTF</t>
  </si>
  <si>
    <t>Nombre de vials en què el PNCTF ha promogut la regulació de l'accés i la crculació</t>
  </si>
  <si>
    <t xml:space="preserve">Xavier Grivé </t>
  </si>
  <si>
    <t>Ordenar la xarxa viària principal, secundària i restringida</t>
  </si>
  <si>
    <t>Adaptació i implementació el protocol de regulació de la xarxa viària principal, secundària i restringida</t>
  </si>
  <si>
    <t>1) Creació d'una cartografia unica sobre l'estat i accessibilitat viària, segons classificació bombers</t>
  </si>
  <si>
    <t>Ordenar l'ús de drons, l'enlairament i l'aterratge</t>
  </si>
  <si>
    <t>1) Creació de la normativa de drons, d'enlairament i aterratge, en base a ordenances municipals. Tenir en compte els acords actuals que ja puguin haver-hi i desenvolupar, si s'escau, procesos participatius amb els agents implicats.
2) Divulgació de la normativa de regulació
3) Implementació de la normativa de regulació</t>
  </si>
  <si>
    <t>1) Nombre d'ordenances municipals que regulin els drons, d'enlairament i aterratge als municipis del Parc.
2) Nombre d'elements de comunicació en què es divulga la normativa de regulació
3) Nombre de sancions aplicades arran de la normativa de regulació</t>
  </si>
  <si>
    <t>1) Adaptació i implementació del protocol de limitacions temporals d'accés o circulació
2) Instal·lació de barreres i cartells en zones on cal limitar l'accés temporalment
3) Coordinació amb el CAR la vinculació amb el Pla Alfa</t>
  </si>
  <si>
    <t>1) Quantitat de vegades en què s'ha usat el protocol de limitacions temporals d'accés o circulació
2) Quantitat de camins en què s'ha limitat l'accés temporalment
3) Quantitat de vegades en què s'ha coordinat amb el CAR la vinculació amb el Pla Alfa</t>
  </si>
  <si>
    <t>1) 1
2) 1
3) 0</t>
  </si>
  <si>
    <t>1) 12
2) 12
3) 4</t>
  </si>
  <si>
    <t>Ordenar l'aparcament de vehicles</t>
  </si>
  <si>
    <t>*Adaptació i implementació el protocol de regulació d'aparcament de vehicles</t>
  </si>
  <si>
    <t>Nombre d'aparcaments executats dins del projecte de regulació dels 8 aparcaments dins de PN</t>
  </si>
  <si>
    <t>Us public / Millora rural</t>
  </si>
  <si>
    <t>Xavier Grivé i Gerard Vila</t>
  </si>
  <si>
    <t>1) Detecció dels agents del territori amb qui ordenar l'ús públic del PNCTF
2) Creació i dinamització de l'espai de Treball corresponent per fer el seguiment i millores en el desplegament de la gestió de l'UP
3) Detectar altres problemàtiques d'ús públic no contemplades en les actuacions anteriors, i gestionar-les, tals com:
3.2) Incentivar el respecte a la propietat privada, cartografiar-la i cercar consensos
3.3) Divulgar la normativa envers el foc i la recol·lecció</t>
  </si>
  <si>
    <t>Objectiu vinculat amb totes les actuacions de l'Objectiu Estratègic 11.1: Estandaritzar regulació de l’ús públic i social en base al model acordat per govern, i amb l'Objectiu operatiu 11.3.3.</t>
  </si>
  <si>
    <t>1) Nombre d'agents del territori amb qui es col·labora per a la ordenació de l'ús públic del PNCTF
2) Nombre d'espais de treball creats
2.2) Nombre de reunions fetes amb cada espai de treball
3) Nombre d'altres problemàtiques d'ús públic detectades
3.2) Mesures de gestió envers el respecte a la propietat privada
3.3) Mesures de divulgació de la normativa envers el foc i la recol·lecció</t>
  </si>
  <si>
    <t>1) 5
2) 2
2.2) 1
3) 1
3.2) 1
3.3) 1</t>
  </si>
  <si>
    <t>1) 20
2) 8
2.2) 8
3) 10
3.2) 4
3.3) 4</t>
  </si>
  <si>
    <t>*Detecció de les persones de referència a cada consistori del PNCTF amb qui treballar conjuntament l'ordenació de l'ús públic de cada municipi
*Aplicació del Manual jurídic d'UP i model d'ordenança municipal</t>
  </si>
  <si>
    <t>Nombre de cosnistoris amb qui s'ha fet ordenació de l'ús públic</t>
  </si>
  <si>
    <t>*Actualitzar l'aplicatiu de senyals i infraestructures mensualment</t>
  </si>
  <si>
    <t>% minim de senyals identificats a substutir i reparar</t>
  </si>
  <si>
    <t>*Programa de senyalització
*Revisió i actualització de la senyalització en base al manual de senyalització vigent</t>
  </si>
  <si>
    <t>% de senyals substituits d'acord amb el nou manual</t>
  </si>
  <si>
    <t>*Coordinació amb els altres agents turístics de la comarca
*Divulgació dels recursos turístics de l'entorn del PNCTF a través dels canals de comunicació del Parc</t>
  </si>
  <si>
    <t>Zones sensibles del PNCTF a les quals s'intenta alliberar de pressió</t>
  </si>
  <si>
    <t>1) Detectar i dissenyar mesures extraordinàries de regulació de l'ús públic 
2) Implementar mesures extraordinàries de regulació de l'ús públic</t>
  </si>
  <si>
    <t>1) Nombre de mesures extraordinàries de regulació de l'ús públic detectades i dissenyades
2) Nombre de mesures extraordinàries de regulació de l'ús públic implementades</t>
  </si>
  <si>
    <t>1) 8
2) 8</t>
  </si>
  <si>
    <t>Us public / Patrimoni Natural</t>
  </si>
  <si>
    <t>Xavier Grivé i Rai / Anna Planella</t>
  </si>
  <si>
    <t>1. Manteniment i millora dels accessos, aparcaments i centres d'interès
2. Manteniment dels espais: àrees de lleure, de prenoctació, autocarvanes, etc.
3. Millora i neteja de la xarxa principal de camins i senders (interpretatius, arqueològics, geològics, etc.)</t>
  </si>
  <si>
    <t xml:space="preserve">1. % sol·licituds de manteniment ateses
2. % espais mantinguts
3. % camins i senders principals mantinguts. </t>
  </si>
  <si>
    <t>1. 40
2. 40
3. 40</t>
  </si>
  <si>
    <t>1. 100
2. 100
3. 100</t>
  </si>
  <si>
    <t>Disposar i mantenir els serveis, equipaments i infraestructures necessàries i accessibles per acollir, informar, facilitar la visita i garantir la seguretat dels visitants i la protecció de l'entorn</t>
  </si>
  <si>
    <r>
      <t xml:space="preserve">1) Manteniment dels espais i infraestructures existents (neteja, calefacció, proveïment de serveis, etc.)
2) Establiment dels acords necessaris amb la propietat (convenis de cessió dels Centres d'Informació, etc.)
3) Adaptació dels equipaments i infraestructures a persones amb diversitat funcional: centres d'informació, itineraris, etc.
4) Desenvolupament de contingut informatiu i interpretatiu adreçat als visitants
5) Creació d'una xarxa de centres i àrees d’informació del Parc, amb una imatge comuna i, informació descentralitzada i complementària
6) Inventari d'equipaments aliens al Parc, però d'interès: palanques, aparcaments, barreres, cartelleres alienes, miraddors, allotjaments, restaurants </t>
    </r>
    <r>
      <rPr>
        <sz val="11"/>
        <color rgb="FFFF0000"/>
        <rFont val="Calibri"/>
        <family val="2"/>
        <scheme val="minor"/>
      </rPr>
      <t>i oficines de turoisme de la comarca</t>
    </r>
  </si>
  <si>
    <t>1) Nombnre d'accions de manteniment dutes a terme en infraestructures existents
2) Nombre d'acords signmats amb la propietat
3) Nombre de mesures d'adaptació dels equipaments i infraestructures a persones amb diversitat funcional
4) Nombre d'equipaments en què s'ha desenvolupat contingut informatiu i interpretatiu adreçat als visitants
5) Existència de la xarxa centres i àrees d'informació del PN
6) Nombre d'equipaments aliens al Parc inventariats</t>
  </si>
  <si>
    <t>1) 5 
2) 1 
3) 1 
4) 1 
5) 0
6) 1</t>
  </si>
  <si>
    <t>1) 20 
2) 5 
3) 5 
4) 5 
5) 1
6) 30</t>
  </si>
  <si>
    <r>
      <t xml:space="preserve">*Desenvolupar el Pla d'Acollida als Visitants </t>
    </r>
    <r>
      <rPr>
        <sz val="11"/>
        <color rgb="FFFF0000"/>
        <rFont val="Calibri"/>
        <family val="2"/>
        <scheme val="minor"/>
      </rPr>
      <t>coherent amb la CETS i la resta d'agents turístics estratègics del territori</t>
    </r>
    <r>
      <rPr>
        <sz val="11"/>
        <rFont val="Calibri"/>
        <family val="2"/>
        <scheme val="minor"/>
      </rPr>
      <t xml:space="preserve">
*Proveir i estocar tot el material de difusió i venda adreçat als visitants
*Planificar calendaris d'obertura dels Centres d'Informació
*Coordinar els equips d'informadors del PNCTF
*Dinamitzar els Centres d'Informació amb activitats, exposicions, etc.
*Planificar l'atenció telemàtica als visitants: XXSS, telèfon, correu. etc.</t>
    </r>
  </si>
  <si>
    <t>Nombre d'accions del Pla d'Acollida als Visitants desenvolpades</t>
  </si>
  <si>
    <r>
      <t xml:space="preserve">*Revisió dels espais existents i necessitats d'inversió
*Revisió dels missatges donats des dels equipaments informatius del PNCTF conjuntament amb els serveis d'Informació del PNCTF
*Actualització dels protocols </t>
    </r>
    <r>
      <rPr>
        <sz val="11"/>
        <color rgb="FFFF0000"/>
        <rFont val="Calibri"/>
        <family val="2"/>
        <scheme val="minor"/>
      </rPr>
      <t>i que siguin coherents amb la xarxa d'oficines de Turisme de Catalunya i donar compliment als paràmetres de las oficines CETS adherides</t>
    </r>
  </si>
  <si>
    <t>Nombre de protocols dels Centres d'Informació del PNCTF revisats anualment</t>
  </si>
  <si>
    <t>*Pla de vigilància de l’espai d'acord amb els cossos d’inspecció i seguretat
*Identificació dels punts clau de vigilància, el calendari i els recursos necessaris</t>
  </si>
  <si>
    <t xml:space="preserve">
Fusionar 11.8.1 i 11.8.2. --&gt; Aquí entraria sobretot les reunions periòdiques de coordinació i detecció d'espais que requereixin vigilància, i vincular-ho amb la implementació de mesures extraordinàries</t>
  </si>
  <si>
    <t>Número de reunions anuals realitzades amb el CAR. Mossos i Guardes rurals de camp</t>
  </si>
  <si>
    <t xml:space="preserve">Direcció </t>
  </si>
  <si>
    <t>Santi Farriol</t>
  </si>
  <si>
    <t>Reunions periódiques per controlar compliment del Pla  de vigilància</t>
  </si>
  <si>
    <t>Afegir mesures/indrets concrets que necessitin de vigilancia específica? (punts de cria, llocs sensibles...)</t>
  </si>
  <si>
    <t>Número de reunions</t>
  </si>
  <si>
    <t>1/any</t>
  </si>
  <si>
    <t>4/any</t>
  </si>
  <si>
    <t>Realització de reunions periòdiques amb els agents rurals per tal d'assegurar el compliment dels informes emesos des del Parc</t>
  </si>
  <si>
    <t>1)Numero de reunions amb cos AARR</t>
  </si>
  <si>
    <t>Patrimoni Natural i millora rural</t>
  </si>
  <si>
    <t xml:space="preserve">Gerard Vila i Anna Planella </t>
  </si>
  <si>
    <t>No aplica. No és competència de l'espai</t>
  </si>
  <si>
    <t>1) Pla Estratègic d'Educació i Voluntariat Ambiental del PNCTF: seguiment, revisió i actualització
2) Redactar el Projecte Educatiu del Parc, que inclogui, almenys:
   2.1) Elaboració d'un mapa d'agents col·laboradors: cercar entitats i institucions locals que col·laborin amb la Xarxa (CRPs, administració local, entitats ambientals i educatives...). 
   2.2) Procés participatiu amb els agents educatius del territori.
3) Crear la Xarxa d'Escoles del PNCTF.</t>
  </si>
  <si>
    <t>L'acció 1 és vàlida per a tot l'eix d'Educació, Voluntariat i Comunicació.</t>
  </si>
  <si>
    <t>1) Nombre de revisions del Pla Estratègic d'EVA
2) Nombre de projectes educatius del Parc desenvolupats
3) Nombre de Xarxes d'Escoles del PN creades</t>
  </si>
  <si>
    <t>1) 0
2) 0
3) 0</t>
  </si>
  <si>
    <t>Us públic</t>
  </si>
  <si>
    <t>Aportació Sector administració local</t>
  </si>
  <si>
    <r>
      <t xml:space="preserve">1) Elaboració d'un mapa de centres educatius.
2) Constitució i dinamització d'uns espais de treball conjunt amb els agents col·laboradors de la XEEN.
3) Organització de grups de treball entre docents i ENP. 
4) Cercar entitats i institucions locals que col·laborin amb la Xarxa (CRPs, administració local, entitats ambientals i educatives...).
5) Disseny i execució d'activitats de descoberta del PNCTF, </t>
    </r>
    <r>
      <rPr>
        <sz val="11"/>
        <color rgb="FFFF0000"/>
        <rFont val="Calibri"/>
        <family val="2"/>
      </rPr>
      <t>amb la participació de l'alumnat de les escoles del Ripollès</t>
    </r>
    <r>
      <rPr>
        <sz val="11"/>
        <rFont val="Calibri"/>
        <family val="2"/>
      </rPr>
      <t xml:space="preserve">
6) Disseny i desenvolupament de projectes compartits.  
7) Organització de trobades d'intercanvi amb alumnat.
8) Avaluació de les accions de la Xarxa.
9) Fomentar la creació d'obres relacionades amb el PNCTF (art, estudi, difusió, ciència, recerca...)
10) Introduir la conservació de la natura com a servei comunitari als centres docents.</t>
    </r>
  </si>
  <si>
    <t>1) % de centres educatius que formen part de la XEEN respecte els centres totals del territori.
2) Nombre de convocatòries de l'espai de treball conjunt amb els agents col·laboradors de la XEEN.
3) Nombre de convocatòries del grup de treball entre docents i ENP. 
4) Nombre d'entitats i institucions locals que col·laboren amb la Xarxa (CRPs, administració local, entitats ambientals i educatives...).
5) Nombre d'activitats de descoberta del PNCTF, tant dins com fora de l'aula, dissenyades i executades.
6) Nombre de projectes compartits dissenyats i desenvolupats.
7) Nombre de trobades d'intercanvi amb alumnat dutes a terme.
8) Nombre d'avaluacions de les accions de la Xarxa dutes a terme.
9) Nombre d'obres relacionades amb el PNCTF (art, estudi, difusió, ciència, recerca...) creades.
10) Quantitat d'accions de servei comunitari introduïdes als centres docents.</t>
  </si>
  <si>
    <t>1) 50
2) 4
3) 4
4) 2
5) 2
6) 2
7) 1
8) 4
9) 4
10) 4</t>
  </si>
  <si>
    <t>1) 100
2) 8
3) 8
4) 10
5) 8
6) 8
7) 4
8) 4
9) 16
10) 12</t>
  </si>
  <si>
    <t>*Coordinació amb els Centres de Rercursos Pedagògics (CRP) perquè les formacions estiguin reconegudes  pel Departament d'Educació
*Realització de formacions pel professorat sobre els valors del PNCTF (seminaris i sortides de formació)</t>
  </si>
  <si>
    <t>Nombre de formació adreçades als professors dutes a terme</t>
  </si>
  <si>
    <t>*Implicació i capacitació del professorat per implicar-los en el disseny del projecte educatiu
*Incorporació a cada curs escolar X situacions d'aprenentatge</t>
  </si>
  <si>
    <t>Nombre de situacions d'aprenentatge creades</t>
  </si>
  <si>
    <t>*Cerca d'entitats del territori i centres de recerca amb qui elaborar projectes de ciència ciutadana o d'ApS que donin resposta a les necessitats de l'EN. 
*Dinamització de la realització d'aquests projectes.</t>
  </si>
  <si>
    <t>Nombre de projectes de ciència ciutadana en què el PNCTF ha participat</t>
  </si>
  <si>
    <t>*Elaboració de recursos educatius que quedin disponibles al Centre de Documentació del Parc.</t>
  </si>
  <si>
    <t>Nombre de recursos educatius creats</t>
  </si>
  <si>
    <t>*Elaboració d'una proposta de posibles temàtiques per oferir als centres educatius de projectes vinculats a l'espai natural (treball de recerca, crèdit de síntesi, servei comunitari, pràctiques, etc.).
*Acompanyament de l'alumnat en la relació dels projectes.</t>
  </si>
  <si>
    <t>Projectes de recerca que el PNCTF acompanya</t>
  </si>
  <si>
    <t xml:space="preserve"> No aplica. Queda recollit a l'objectiu 13.3.2. Ja hi ha creada una taula de Voluntariat Ambiental que està composta per els mateixos agents</t>
  </si>
  <si>
    <t>*Detectar els agents clau al territori en matèria de sensibilització i educació ambiental
*Establir col·laboracions amb aquests agents clau</t>
  </si>
  <si>
    <t>Nombre d'agents clau en EA amb qui s'estableixen col·laboracions</t>
  </si>
  <si>
    <r>
      <t xml:space="preserve">*Curs del bon coneixedor </t>
    </r>
    <r>
      <rPr>
        <sz val="11"/>
        <color rgb="FFFF0000"/>
        <rFont val="Calibri"/>
        <family val="2"/>
        <scheme val="minor"/>
      </rPr>
      <t xml:space="preserve">i curs d'Informador </t>
    </r>
    <r>
      <rPr>
        <sz val="11"/>
        <rFont val="Calibri"/>
        <family val="2"/>
        <scheme val="minor"/>
      </rPr>
      <t>de l'ENP 
*Formacions continuades en el marc del contracte del servei d'informació i educació ambiental.
*Formació dels actors implicats en la gestió dels ENP en aspectes vinculats a la conservació dels elements d'interès comunitari</t>
    </r>
  </si>
  <si>
    <t>Nombre de formacions executades dirigides als prescriptors</t>
  </si>
  <si>
    <r>
      <t>Desplegar en el territori les campanyes de sensibilització i bones pràctiques,</t>
    </r>
    <r>
      <rPr>
        <sz val="11"/>
        <color rgb="FFFF0000"/>
        <rFont val="Calibri"/>
        <family val="2"/>
        <scheme val="minor"/>
      </rPr>
      <t xml:space="preserve"> incloent el respecte al sector primari i els diferents règims de propietat</t>
    </r>
  </si>
  <si>
    <t>Aportació sector ramader, propietat privada i administració local</t>
  </si>
  <si>
    <r>
      <t xml:space="preserve">*Participació en la concreció dels missatges i peces creatives de la campanya de la DG.  
*Difusió de la campanya aprofitant les eines i equipaments de l'ENP. 
*Establiment d'acords amb entitats i institucions locals per a la difusió local de la campanya.                                                            *Difusió de la ramaderia extensiva desenvolupada a L'ENPE i definir pràctiques  respectuoses envers aquesta activitat                                                                                                            </t>
    </r>
    <r>
      <rPr>
        <sz val="11"/>
        <color rgb="FFFF0000"/>
        <rFont val="Calibri"/>
        <family val="2"/>
        <scheme val="minor"/>
      </rPr>
      <t xml:space="preserve">  *fer arribar la oferta (fulletons, calendari activitats, etc.) a Ajuntaments, oficines de turisme, etc.</t>
    </r>
  </si>
  <si>
    <r>
      <t xml:space="preserve">1) Nombre de campanyes impulsades des de la DG desplegades al territori                        </t>
    </r>
    <r>
      <rPr>
        <sz val="11"/>
        <color rgb="FFFF0000"/>
        <rFont val="Calibri"/>
        <family val="2"/>
        <scheme val="minor"/>
      </rPr>
      <t>2) Nombre de fulletons editats</t>
    </r>
  </si>
  <si>
    <t>1) Disseny d'una oferta d’activitats d’educació ambiental de caire lúdic adreçada a famílies, amb un calendari anual que inclogui itineraris guiats, conferències, activitats de temàtica especialitzada, commemoració d'efemèrides, gimcanes, etc.
2) Organitzar específicament activitats de salut i natura.</t>
  </si>
  <si>
    <t>1) Nombre d'activitats adreçades a famílies organitzades.
2) Nombre d'activitats específicament de salut i natura organitzades.</t>
  </si>
  <si>
    <t>1)40
2)4</t>
  </si>
  <si>
    <t>1)160
2)16</t>
  </si>
  <si>
    <t xml:space="preserve">1) Detecció de grups especialitzats a l'entorn del PN a qui poder oferir activitats de sensibilització.
2) Detecció de les activitats més adequades per a grups especialitzats.
3) Definició d'un calendari anual d’activitats a la carta per a grups especialitzats (empreses, entitats esportives o excursionistes, gent gran...) que inclogui itineraris guiats, conferències, activitats de temàtica especialitzada, commemoració d'efemèrides, etc.
 </t>
  </si>
  <si>
    <t>1) Nombre de grups especialitzats a l'entorn del PN a qui poder oferir activitats de sensibilització detectats.
2) Nombre d'activitats més adequades per a grups especialitzats detectades.
3) Nombre d’activitats a la carta per a grups especialitzats (empreses, entitats esportives o excursionistes, gent gran...) organitzades.</t>
  </si>
  <si>
    <t>1) 16
2) 16
3) 16</t>
  </si>
  <si>
    <t>Entendre els campaments i estades com un públic prioritari i definir quin és el seu objectiu en aquest àmbit: 
1) Promoció de campaments i estades. 
2) Establiment de vincles entre els campaments i estades que ja es realitzen al parc i l’activitat d’EiVA del parc.</t>
  </si>
  <si>
    <t>1) % d'increment del nombre de campaments i estades al PN
2) Empreses d'organització de campaments amb qui s'estableix vincle</t>
  </si>
  <si>
    <t>1) 10
2) 1</t>
  </si>
  <si>
    <t>1) 50
2) 6</t>
  </si>
  <si>
    <t>1) Detecció dels col·lectius estratègics
2) Planificar com incidir en aquests col·lectius estratègics
3) Fer especial èmfasi en la població local, desenvolupant-los un programa d'activitat específic per a aquest col·lectiu</t>
  </si>
  <si>
    <t>1) Nombre de col·lectius estratègics detectats
2) Existència de document de planificació per a incidir als col·lectius estratègics
3) Nombre d'activitats organitzades per a la població local</t>
  </si>
  <si>
    <t>1) 3
2) 0
3) 20</t>
  </si>
  <si>
    <t>1) 10
2) 1
3) 80</t>
  </si>
  <si>
    <t>Disseny d'activitats adreçades als agents turístics locals i/o en col·laboració amb ells per promoure el seu paper com a prescriptors de la conservació de la natura (oficines de turisme, agències receptives, allotjaments, empreses d'activitats esportives / recreatives, restaurants...).
1) Organitzar el curs d'informador del PN.
2) Organitzar el curs de Bon Coneixedor del PN.
3) Detectar la conveniència d'altres activitats a la carta per aquest perfil d'empresa.</t>
  </si>
  <si>
    <t>UNIFICAR AMB OP DE LA CETS</t>
  </si>
  <si>
    <t>1) Nombre d'alumnes que han cursat el curs d'informador del PN.
2) Nombre d'alumnes que han cursat el curs de Bon Coneixedor del PN.
3) Nombre d'altres activitats a la carta organitzades per aquest perfil d'empresa.</t>
  </si>
  <si>
    <t>1) 20
2) 20
3) 5</t>
  </si>
  <si>
    <t>1) 80
2) 80
3) 20</t>
  </si>
  <si>
    <t>1) Detecció d'accions de manteniment dels espais del parc a proposar a les empreses de lleure educatiu (activitats extraescolars, casals d’estiu, caus i esplais...).
2) Proposar als campaments de fer petites accions de manteniment dels espais del parc.</t>
  </si>
  <si>
    <t>ES POT UNIFICAR AMB 13.4.4.</t>
  </si>
  <si>
    <t>1) Nombre d'accions de manteniment dels espais del parc a proposar a les empreses de lleure educatiu detectades.
2) Nombre de campaments on en fan petites accions de manteniment dels espais del parc.</t>
  </si>
  <si>
    <t>1) 4
2) 8</t>
  </si>
  <si>
    <t>1) 8
2) 24</t>
  </si>
  <si>
    <r>
      <t xml:space="preserve">1) Detecció dels agents del sector primari
2) Taula de treball amb aquests agents a fi de detectar les seves necessitats formatives envers el PNCTF i la sostenibilitat
3) Execució de formacions adreçades al sector primari                                              </t>
    </r>
    <r>
      <rPr>
        <sz val="11"/>
        <color rgb="FFFF0000"/>
        <rFont val="Calibri"/>
        <family val="2"/>
        <scheme val="minor"/>
      </rPr>
      <t>4) Potenciar i participar a les fires ramaderes de la comarca</t>
    </r>
  </si>
  <si>
    <t>ES POT UNIFICAR 13.5.1.</t>
  </si>
  <si>
    <r>
      <t xml:space="preserve">1) Nombre d'agents del sector primari detectats.
2) Nombre de taules de treball dutes a terme amb aquests agents a fi de detectar les seves necessitats formatives envers el PNCTF i la sostenibilitat.
3) Nombre de formacions adreçades al sector primari executades.                                        </t>
    </r>
    <r>
      <rPr>
        <sz val="11"/>
        <color rgb="FFFF0000"/>
        <rFont val="Calibri"/>
        <family val="2"/>
        <scheme val="minor"/>
      </rPr>
      <t xml:space="preserve">      4) Nombre de fires en les que s'ha participat</t>
    </r>
  </si>
  <si>
    <t>1) 10-30
2) 1-2
3) 4-16</t>
  </si>
  <si>
    <t>*Estudi de percepció local
*Renovació del programa educatiu de forma adaptativa
*Detecció dels agents aglutinadors d ela població local: entitats
*Taula de treball amb aquestes entitats a fi de detectar les seves necessitats formatives envers el sentiment de pertinença, el PNCTF i la sostenibilitat
*Execució de formacions adreçades a la població local</t>
  </si>
  <si>
    <t>Nombre de formacions adreçades a la població local executades</t>
  </si>
  <si>
    <t>*Llistar els programes, projectes o accions del PN que poden rebre el suport del voluntariat ambiental
*Detectar quin perfil de voluntaris requereix cada acció
*Detectar les entitats que poden oferir aquests voluntaris</t>
  </si>
  <si>
    <t>Quantitat de programes, projectes o accions que poden rebre el suport del voluntariat ambiental al PNCTF</t>
  </si>
  <si>
    <t>1) Elaboració i actualització periòdica del mapa d’agents de voluntariat que actuen a l’ENP, incloent entitats ambientals i altres entitats que participen en activitats de voluntariat ambiental.
2) Establiment d'acords i col·laboracions i projectes conjunts de voluntariat ambiental amb els agents clau del territori.
3) Consolidar el funcionament de la Taula de Voluntariat Ambiental del Pirineu Oriental.
4) Enfortiment i promoció de la participació de noves entitats a les taules de voluntariat ja constituïdes.
5) Participació en la definició i desplegament dels plans de treball de la taula de voluntariat ambiental. 
6) Fer una formació anual per a les entitats de voluntariat ambiental.</t>
  </si>
  <si>
    <t>1) % d'increment del nombre d’agents de voluntariat que actuen a l’ENP
2) Nombre d'acords, col·laboracions o projectes conjunts de voluntariat ambiental amb els agents clau del territori.
3) Nombre d'accions de voluntariat aixoplugades des de la TVAPO
4) % d'increment del nombre d'entitats de voluntariat que actuen a l’ENP
5) % de desplegament del pla de treball de la TVAPO
6) Nombre de formacions organitzades per a les entitats de voluntariat ambiental</t>
  </si>
  <si>
    <t>1) 0
2) 4
3) 4
4) 0
5) 40
6) 4</t>
  </si>
  <si>
    <t>1) 50
2) 12
3) 12
4) 50
5) 80
6) 8</t>
  </si>
  <si>
    <t>1) Detectar els millors equipaments a l'entorn del PNCTF per a dur a terme activitats inclusives
2) Fer un catàleg d'itineraris accessibles del PN
3) Adaptar itineraris inclusius
4) Crear un estoc d'activitats inclusives a l'entorn del PNCTF
5) Treballar en l'adaptació d'activitats ja existents al PNCTF per a diferents perfils inclusius</t>
  </si>
  <si>
    <t>1) Nombre d'equipaments a l'entorn del PNCTF per a dur a terme activitats inclusives
2) Nombre d'itineraris accessibles del PN
3) % d'increment del nombre d'itineraris accessibles al PN
4) Nombre d'activitats inclusives a l'entorn del PNCTF detectades
5) % d'increment del nombre d'activitats ja existents al PNCTF adaptades per a diferents perfils inclusius</t>
  </si>
  <si>
    <t>1) 2
2) 2
3) 20
4) 4
5) 10</t>
  </si>
  <si>
    <t>1) 10
2) 10
3) 100
4) 20
5) 100</t>
  </si>
  <si>
    <t>*Buscar les formacions més adequades per als informadors en accessibilitat, diversitat funcional i diversitat de gènere
*Apuntar els informadors a aquestes formacions</t>
  </si>
  <si>
    <t>Nombre de formacions dutes a terme pels informadors del PNCTF</t>
  </si>
  <si>
    <t>*Detectar on manca la perpectiva de gènere en els continguts i activitats de l'ENP
*Aplicar aquesta perspectiva</t>
  </si>
  <si>
    <t>Nombre d'activitats i continguts del PNCTF en què s'ha aplicat perspectiva de gènere</t>
  </si>
  <si>
    <t xml:space="preserve">* Promoure itineraris saludables,                                                                                                                                                                                                                            * Incorporació i promoció de guiatges terapèutics en aquests itineraris </t>
  </si>
  <si>
    <t>Nombre d'itineraris saludables promoguts</t>
  </si>
  <si>
    <t>1) Proposta d'espais per a la integració d'equipaments assistencials dins l'ENP
2) Desplegament, de forma coordinada amb els CAPs, activitats i programes adreçats a col·lectius diana dins l'ENP (Ex: prescripció de natura (recepta verda i blava).
3) Facilitar projectes pilot de recerca sobre els beneficis del contacte amb la natura per la salut, per a la població en general o perfils específics.
4) Detecció dels agents clau per al  desplegament del binomi salut i natura al Ripollès</t>
  </si>
  <si>
    <t>1) Nombre d'equipaments assistencials dins l'ENP que s'utilitzen per al binomi salut i natura
2) Nombre d'activitats i programes dels CAPs adreçats a col·lectius diana dins l'ENP amb els que es col·labora
3) Nombre de projectes pilot de recerca sobre els beneficis del contacte amb la natura per la salut que es faciliten
4) Nombre d'agents clau del territori amb qui es col·labora per a implementar el binomi salut i natura</t>
  </si>
  <si>
    <t>1) 1
2) 1
3) 1
4) 1</t>
  </si>
  <si>
    <t>1) 4
2) 4
3) 4
4) 4</t>
  </si>
  <si>
    <t>1) Inclusió en el pla d'acció de la CETS, o la seva renovació, de l'Eix Salut i Natura
2) Inclusió del concepte de Salut i Natura en els missatges comunicatius de conservació i sensibilització, activitats i formacions del Parc.
3) Oferir i donar a conèixer els recursos que es generin en relació a aquesta temàtica a la Xarxa d'Escoles del parc, entitats i altres agents del territori.</t>
  </si>
  <si>
    <t>1) Actuacions del pla d'acció de la CETS en què s'ha inclòs l'Eix Salut i Natura
2) Nombre de missatges comunicatius de conservació i sensibilització, activitats i formacions del Parc en què es difonen missatges de salut i natura.
3) Nombre de recursos d'aquesta temàtica oferts a la Xarxa d'Escoles del parc, entitats i altres agents del territori.</t>
  </si>
  <si>
    <t>1) 1
2) 4
3) 1</t>
  </si>
  <si>
    <t>1) 4
2) 16
3) 4</t>
  </si>
  <si>
    <t>Desplegar i/o participar a les Taules territorials de Salut i Natura</t>
  </si>
  <si>
    <t>*Participació a les taules territorials de salut i natura</t>
  </si>
  <si>
    <t>Nombre de taules territorials de salut i natura en què el PNCTF ha participat</t>
  </si>
  <si>
    <t>1) Elaborar els productes comunicatius que es determinin conjuntament amb Serveis Centrals : ex.un telegrama mensual, butlletí , agenda activitats trimestral, fulletó informatiu vinculats amb ús públic, etc.
2) Donar a conèixer l'equip del Parc a través dels diferents canals comunicatius.
3) Creació d'un banc d’imatges, vídeos, vídeos amb vols de dron
4) Posar a disposició de la societat els estudis i informes que s'han fet del Parc (realització de jornades, infografies etc) a través del repositori del Centre de Documentació del Parc.
5) Generació d'un servei geogràfic d'oferta de senders oficials i equipaments</t>
  </si>
  <si>
    <t>1) Nombre de productes comunicatius elaborats conjuntament amb Serveis Centrals.
2) Nombre de canals comunicatius a través dels quals s'ha donat a conèixer l'equip del Parc.
3) Nombre de bancs d'imatges del Parc existents.
4) Operativitat del Centre de Documentació del Parc.
5) Existència d'un servei geogràfic d'oferta de senders oficials i equipaments</t>
  </si>
  <si>
    <t>1) 1
2) 1
3) 0
4) 0
5) 0</t>
  </si>
  <si>
    <t>1) 4
2) 4
3) 1
4) 1
5) 1</t>
  </si>
  <si>
    <t>*Oferir diferents versions idiomàtiques dels materials de difusió
*Ús d'un llenguatge planer quan ens adrecem a la ciutadania
*Crear un nou espai al web de Preguntes freqüents</t>
  </si>
  <si>
    <t>Nombre d'idiomes amb què es divulguen els materials de difusió (Catlà, castellà, anglès i francès)</t>
  </si>
  <si>
    <r>
      <t xml:space="preserve">1) Programar periòdicament el curs de Bon Coneixedor del PNCTF </t>
    </r>
    <r>
      <rPr>
        <sz val="11"/>
        <color rgb="FFFF0000"/>
        <rFont val="Calibri"/>
        <family val="2"/>
        <scheme val="minor"/>
      </rPr>
      <t xml:space="preserve">i també de reciclatge dels participants en edicions anteriors, </t>
    </r>
    <r>
      <rPr>
        <sz val="11"/>
        <rFont val="Calibri"/>
        <family val="2"/>
        <scheme val="minor"/>
      </rPr>
      <t>adreçat a guies i educadors que treballen al Parc, i el curs d'Informador del PNCTF adreçat a establiments turístics de l'entorn del PNCTF
2) Dur a terme accions de comunicació específica envers la convivència i el respecte cap a les activitats tradicionals, especialment la ramaderia. Precedir-ho d'un treball estret amb el col·lectiu ramader.</t>
    </r>
  </si>
  <si>
    <t>1) Nombre d'edicionns del curs de Bon Coneixedor i el curs d'Informador del PNCTF realitzades.
2) Nombre d'accions de comunicació específica envers la convivència i el respecte cap a les activitats tradicionals realitzades.</t>
  </si>
  <si>
    <t>1) Actualització del web segons el format i estàndards establerts des de Serveis Centrals.
2) Tenir un responsable/equip de comunicació amb formació tècnica.
3) Estudiar la necessitat i viabilitat d'obrir nous canals comunicatius (butlletí, xxss, revistes etc.) conjuntament amb Serveis Centrals.</t>
  </si>
  <si>
    <t>1) Quantitat de novetats publicades als diversos canals de comunicació del PNCTF
2) Nombre de treballadors de l'equip de comunicació amb formació tècnica.
3) Obertura de nous canals comunicatius</t>
  </si>
  <si>
    <t>1) 12
2) 0
3) 1</t>
  </si>
  <si>
    <t>1) 40
2) 1
3) 4</t>
  </si>
  <si>
    <t>*Planificació i disseny de la comunicació de cada Parc conjuntament amb els Serveis Centrals, per garantir-ne la imatge corporativa i la coherència com a xarxa (publicacions, xxss, web, NP, merxandatge etc.)
*Aplicació dels manuals existents i vigents en quan a comunicació corporativa
*Elaboració i aplicació del Pla de comunicació de l'ENP
*Participació en els espais d'intercanvi d'informació entre ENP
*Aplicació del protocol comunicatiu específic per a Juntes Rectores d'ENP</t>
  </si>
  <si>
    <t>Quantitat d'interaccions entre els serveis centrals i el tècnic del PNCTF per a coordinar una comunicació harmonitzada</t>
  </si>
  <si>
    <t>*Aprofitar les taules de treball ja existents (Junta Rectora, Comissions JR, Coordinares RAE)</t>
  </si>
  <si>
    <t>Nombre de reunions per any de cada taula de treball</t>
  </si>
  <si>
    <t>3/any</t>
  </si>
  <si>
    <t>6/any</t>
  </si>
  <si>
    <t>*Aplicació del decret 211/2015 de creació del PNCTF i del reglament del comitè científic aprovat per Junta Rectora</t>
  </si>
  <si>
    <t>% peticions ateses a les consultes</t>
  </si>
  <si>
    <t>2/any</t>
  </si>
  <si>
    <t>Juntament amb l'àrea de Patrimoni Natural</t>
  </si>
  <si>
    <t xml:space="preserve"> </t>
  </si>
  <si>
    <t>*Inclusió de personal expert extern en els òrgans gestors dels ENP / Inclusió d'entitats i organismes científics i culturals a les reunions de la junta rectora de l'ENP</t>
  </si>
  <si>
    <t xml:space="preserve">Nombre de persones representants d'entitats </t>
  </si>
  <si>
    <t>A la JR ja hi ha representant de diferents experteses</t>
  </si>
  <si>
    <t>*Presentació de la proposta de PE a junta amb un pressupost associat per validar-lo. Possibles aportacions al consell de participació</t>
  </si>
  <si>
    <t>Inici del procés</t>
  </si>
  <si>
    <t>Columnes R i S indiquen data d'inici redacció PE</t>
  </si>
  <si>
    <t xml:space="preserve">Gestionar i millorar administrativament els pressupostos anuals d'entrades i despeses </t>
  </si>
  <si>
    <t>*Aplicació del nou sistema de seguiment pressupostari conjunt per a tots els ENP per al control de les despeses (quan entri en funcionament).
*Aplicació del manual per al règim de gestió econòmica als ENP per traspassar dades al RAE.
*Participació dels espais de coordinació entre ENP per identificar les despeses comunes tramitables a càrrec del pressupost de la DG.</t>
  </si>
  <si>
    <t xml:space="preserve">Com que la competència és de serveis centrals com a actuació posar la participació en les reunions de coordinació sobre el seguiment pressupostari i com a indicador el percentatge de participació. </t>
  </si>
  <si>
    <t>Percentatge de participació en les reunions convocades per Serveis Centrals</t>
  </si>
  <si>
    <t>Administració i Direcció</t>
  </si>
  <si>
    <t>Fàtima Rebollo i Santi Farriol</t>
  </si>
  <si>
    <t>Planificar, detectar les necessitats de contractació de l'ENP per a l'optimització dels contractes a nivell de Xarxa i gestionar els contractes</t>
  </si>
  <si>
    <t>CANVI DE REDACTAT OP</t>
  </si>
  <si>
    <t>Planificar i gestionar els ajuts</t>
  </si>
  <si>
    <t>*Preveure amb una antelació mínima de 6 mesos les convocatòries d'ajuts per augmentar l'eficiència de la tramitació i disposar de marge de maniobra davant qualsevol eventualitat.
*Implementació de gestor d'expedients
*Treballar amb SSCC per adaptar les convocatòries d'ajuts a les necessitats de l'ENP</t>
  </si>
  <si>
    <r>
      <t xml:space="preserve">1) Nombre d'expedients gestionats per línia d'ajut                                                                                  </t>
    </r>
    <r>
      <rPr>
        <sz val="11"/>
        <color theme="9" tint="-0.249977111117893"/>
        <rFont val="Calibri"/>
        <family val="2"/>
        <scheme val="minor"/>
      </rPr>
      <t xml:space="preserve">                       2) % expedients aprovats versus nombre de sol·licituds rebudes</t>
    </r>
  </si>
  <si>
    <t>Direcció  i Administració</t>
  </si>
  <si>
    <t xml:space="preserve"> Fàtima Rebollo i Santi Farriol</t>
  </si>
  <si>
    <t>Comptant dues convocatòries en dos anys</t>
  </si>
  <si>
    <t xml:space="preserve">Depèn de Serveis Centrals. </t>
  </si>
  <si>
    <t xml:space="preserve">A l'espera de tenir-ho. Depèn de Serveis Centrals. </t>
  </si>
  <si>
    <t>*Participació de les formacions ofertades des del Centre de formació i estudis agrorurals per al personal administratiu.
*Respondre a la demanda activa de formacions quan es planifica el Pla anual de formació ofertat des del Centre de formació i estudis agrorurals.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</si>
  <si>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 xml:space="preserve">Reduir accions i definir com a accions les formacions específiques internes i com a indicadors l'assistència a aquestes. </t>
  </si>
  <si>
    <t>% de participació del PN a les formacions internes</t>
  </si>
  <si>
    <t>Administració</t>
  </si>
  <si>
    <t>Fàtima Rebollo</t>
  </si>
  <si>
    <t>*Difondre o permetre l'accés a la informació pública
*Atendre les sol·licituds d'informació</t>
  </si>
  <si>
    <r>
      <t xml:space="preserve">Valorar si aplica. Revisar quines accions són competència del PN o si són competència de Serveis Centrals, i adequar els indicadors i fites. </t>
    </r>
    <r>
      <rPr>
        <sz val="11"/>
        <color rgb="FF00B0F0"/>
        <rFont val="Calibri"/>
        <family val="2"/>
        <scheme val="minor"/>
      </rPr>
      <t>Jo crec que s'ha de tenir en compte, doncs es penja tota la informació als portals pertinents</t>
    </r>
  </si>
  <si>
    <t>Disposar d'una persona que gestioni aquest servei</t>
  </si>
  <si>
    <t>A mitja jornada</t>
  </si>
  <si>
    <t>Millorar i mantenir el material, infraestructures i equipaments de gestió de l'espai</t>
  </si>
  <si>
    <t>*Millora del material i els serveis informàtics i connexió a la xarxa de la Generalitat
*Compra de material d'oficina</t>
  </si>
  <si>
    <t>Valorar si aplica. Revisar quines accions són competència del PN o si són competència de Serveis Centrals, i adequar els indicadors i fites</t>
  </si>
  <si>
    <t>Disposar d'aquest servei</t>
  </si>
  <si>
    <t xml:space="preserve">Administració </t>
  </si>
  <si>
    <t xml:space="preserve">*Revisió de tota la documentació relativa als béns patrimonials de l'ENP
*Traspàs de tota la informació del béns patrimonials i col·laborar amb el Servei de Contractació i Patrimoni per tramitar els expedients de cessió de titularitat, declaracions d'obra nova, compra, lloguer...             </t>
  </si>
  <si>
    <t>Valorar si aplica. Revisar quines accions són competència del PN o si són competència de Serveis Centrals, i adequar els indicadors i fites. Jo crec que s'ha de tenir en compte, doncs els equipaments ciom miradors, abeuradors, tancats, senyalització etc, és e  parc qui té la informació</t>
  </si>
  <si>
    <t>Disposar d'un inventari</t>
  </si>
  <si>
    <t>*Revisió que tots els equipaments del parc estiguin correctament assegurats dins la pòlissa d'assegurança de danys materials (número 86-5034332) de la Generalitat, en col·laboració amb  serveis centrals i d'acord amb les seves directrius.
*Col·laboració amb el Servei de Contractació i Patrimoni per tramitar les assegurances dels béns patrimonials.</t>
  </si>
  <si>
    <r>
      <t xml:space="preserve">Valorar si aplica. Revisar quines accions són competència del PN o si són competència de Serveis Centrals, i adequar els indicadors i fites. </t>
    </r>
    <r>
      <rPr>
        <sz val="11"/>
        <color rgb="FF00B0F0"/>
        <rFont val="Calibri"/>
        <family val="2"/>
        <scheme val="minor"/>
      </rPr>
      <t>El parc ha de passar la informació a SSCC</t>
    </r>
  </si>
  <si>
    <t>Disposar de la pòlissa d'assegurança</t>
  </si>
  <si>
    <t>Millorar l'accessibilitat i de la gestió documental i digital de l'ENP</t>
  </si>
  <si>
    <t xml:space="preserve">*Desenvolupament del repositori digital, recollint, preservant i difonent la informació generada.
*Catalogar i digitalitzar el fons documental.
*Millora de l'accessibilitat documental al web.
* Implementació de gestor d'expedients
</t>
  </si>
  <si>
    <t>Indicador complementari: % de documents digitalitzats</t>
  </si>
  <si>
    <t>Tenir un responsable del punt de documentació coordinat amb el responsable del Centre de documentació del PNZVG</t>
  </si>
  <si>
    <t>Personal propi que gestioni les brigades</t>
  </si>
  <si>
    <r>
      <t xml:space="preserve">Valorar si aplica. Revisar quines accions són competència del PN o si són competència de Serveis Centrals, i adequar els indicadors i fites. </t>
    </r>
    <r>
      <rPr>
        <sz val="11"/>
        <color rgb="FF00B0F0"/>
        <rFont val="Calibri"/>
        <family val="2"/>
        <scheme val="minor"/>
      </rPr>
      <t>És competència de SSCC però el dimensionament de RRHH del parc és la direcció qui té la informació. Potser es pot ajuntar amb la següent acció</t>
    </r>
  </si>
  <si>
    <t>Disposar de persona/es formada per a la gestió de la brigada</t>
  </si>
  <si>
    <t>Gestionar, enfortir i consolidar l'equip de gestió del parc</t>
  </si>
  <si>
    <t>Dotació de dues persones per àrea en l'organigrama del parc natural</t>
  </si>
  <si>
    <t>Nombre de persones estructurals a l'equip de gestió</t>
  </si>
  <si>
    <t>Persones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</si>
</sst>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0.00\ &quot;€&quot;;[Red]\-#,##0.00\ &quot;€&quot;"/>
  </numFmts>
  <fonts count="38">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trike/>
      <sz val="11"/>
      <color theme="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1F4D78"/>
      <name val="Arial"/>
      <family val="2"/>
    </font>
    <font>
      <sz val="9"/>
      <color rgb="FFC00000"/>
      <name val="Arial"/>
      <family val="2"/>
    </font>
    <font>
      <sz val="10"/>
      <color theme="1"/>
      <name val="Calibri"/>
      <family val="2"/>
      <scheme val="minor"/>
    </font>
    <font>
      <sz val="9"/>
      <color rgb="FF000000"/>
      <name val="Arial"/>
      <family val="2"/>
    </font>
    <font>
      <sz val="9"/>
      <color rgb="FF071D49"/>
      <name val="Arial"/>
      <family val="2"/>
    </font>
    <font>
      <b/>
      <sz val="9"/>
      <name val="Arial"/>
      <family val="2"/>
    </font>
    <font>
      <sz val="9"/>
      <color theme="1"/>
      <name val="Arial"/>
      <family val="2"/>
    </font>
    <font>
      <b/>
      <sz val="11"/>
      <color rgb="FF000000"/>
      <name val="Arial"/>
      <family val="2"/>
    </font>
    <font>
      <sz val="11"/>
      <color rgb="FF000000"/>
      <name val="Arial"/>
      <family val="2"/>
    </font>
    <font>
      <sz val="10"/>
      <color theme="1"/>
      <name val="Arimo"/>
      <family val="2"/>
    </font>
    <font>
      <b/>
      <sz val="11"/>
      <color rgb="FFFF0000"/>
      <name val="Calibri"/>
      <family val="2"/>
      <scheme val="minor"/>
    </font>
    <font>
      <sz val="11"/>
      <color theme="9" tint="-0.249977111117893"/>
      <name val="Calibri"/>
      <family val="2"/>
      <scheme val="minor"/>
    </font>
    <font>
      <b/>
      <sz val="11"/>
      <color rgb="FF00B050"/>
      <name val="Calibri"/>
      <family val="2"/>
      <scheme val="minor"/>
    </font>
    <font>
      <sz val="11"/>
      <color theme="5" tint="-0.249977111117893"/>
      <name val="Calibri"/>
      <family val="2"/>
      <scheme val="minor"/>
    </font>
    <font>
      <sz val="11"/>
      <color theme="5" tint="-0.499984740745262"/>
      <name val="Calibri"/>
      <family val="2"/>
      <scheme val="minor"/>
    </font>
    <font>
      <sz val="11"/>
      <color rgb="FF242424"/>
      <name val="Aptos Narrow"/>
      <family val="2"/>
    </font>
    <font>
      <sz val="11"/>
      <color rgb="FFFF0000"/>
      <name val="Calibri"/>
      <family val="2"/>
    </font>
    <font>
      <sz val="11"/>
      <color rgb="FF00B0F0"/>
      <name val="Calibri"/>
      <family val="2"/>
      <scheme val="minor"/>
    </font>
    <font>
      <b/>
      <sz val="9"/>
      <color indexed="81"/>
      <name val="Tahoma"/>
      <family val="2"/>
    </font>
    <font>
      <sz val="9"/>
      <color indexed="81"/>
      <name val="Tahoma"/>
      <family val="2"/>
    </font>
    <font>
      <sz val="9"/>
      <name val="Calibri"/>
      <family val="2"/>
      <scheme val="minor"/>
    </font>
  </fonts>
  <fills count="41">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6"/>
        <bgColor indexed="64"/>
      </patternFill>
    </fill>
    <fill>
      <patternFill patternType="solid">
        <fgColor theme="5"/>
        <bgColor indexed="64"/>
      </patternFill>
    </fill>
    <fill>
      <patternFill patternType="solid">
        <fgColor theme="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bgColor indexed="64"/>
      </patternFill>
    </fill>
    <fill>
      <patternFill patternType="solid">
        <fgColor theme="2"/>
        <bgColor indexed="64"/>
      </patternFill>
    </fill>
    <fill>
      <patternFill patternType="solid">
        <fgColor theme="6" tint="0.39997558519241921"/>
        <bgColor indexed="64"/>
      </patternFill>
    </fill>
    <fill>
      <patternFill patternType="solid">
        <fgColor rgb="FFFFCCFF"/>
        <bgColor indexed="64"/>
      </patternFill>
    </fill>
  </fills>
  <borders count="89">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right style="thin">
        <color theme="4"/>
      </right>
      <top/>
      <bottom/>
      <diagonal/>
    </border>
    <border>
      <left style="thin">
        <color theme="4"/>
      </left>
      <right/>
      <top style="thin">
        <color theme="4"/>
      </top>
      <bottom style="thin">
        <color theme="4"/>
      </bottom>
      <diagonal/>
    </border>
    <border>
      <left/>
      <right/>
      <top/>
      <bottom style="thin">
        <color theme="4"/>
      </bottom>
      <diagonal/>
    </border>
    <border>
      <left style="thin">
        <color theme="4"/>
      </left>
      <right/>
      <top/>
      <bottom style="thin">
        <color theme="4"/>
      </bottom>
      <diagonal/>
    </border>
    <border>
      <left/>
      <right/>
      <top/>
      <bottom style="thin">
        <color theme="6"/>
      </bottom>
      <diagonal/>
    </border>
    <border>
      <left/>
      <right style="thin">
        <color theme="4"/>
      </right>
      <top/>
      <bottom style="thin">
        <color theme="4"/>
      </bottom>
      <diagonal/>
    </border>
    <border>
      <left style="thin">
        <color theme="6"/>
      </left>
      <right/>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thin">
        <color theme="8"/>
      </left>
      <right/>
      <top/>
      <bottom/>
      <diagonal/>
    </border>
    <border>
      <left/>
      <right style="thin">
        <color theme="8"/>
      </right>
      <top/>
      <bottom/>
      <diagonal/>
    </border>
    <border>
      <left/>
      <right/>
      <top/>
      <bottom style="thin">
        <color theme="8"/>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style="thin">
        <color theme="9"/>
      </left>
      <right/>
      <top/>
      <bottom style="thin">
        <color theme="9"/>
      </bottom>
      <diagonal/>
    </border>
    <border>
      <left/>
      <right/>
      <top/>
      <bottom style="thin">
        <color theme="9"/>
      </bottom>
      <diagonal/>
    </border>
    <border>
      <left/>
      <right style="thin">
        <color theme="9"/>
      </right>
      <top/>
      <bottom style="thin">
        <color theme="9"/>
      </bottom>
      <diagonal/>
    </border>
    <border>
      <left style="thin">
        <color rgb="FF8497B0"/>
      </left>
      <right/>
      <top/>
      <bottom/>
      <diagonal/>
    </border>
    <border>
      <left style="thin">
        <color rgb="FF8497B0"/>
      </left>
      <right/>
      <top/>
      <bottom style="thin">
        <color theme="3" tint="0.39994506668294322"/>
      </bottom>
      <diagonal/>
    </border>
    <border>
      <left/>
      <right/>
      <top/>
      <bottom style="thin">
        <color theme="3" tint="0.39994506668294322"/>
      </bottom>
      <diagonal/>
    </border>
    <border>
      <left/>
      <right style="thin">
        <color rgb="FF8497B0"/>
      </right>
      <top/>
      <bottom/>
      <diagonal/>
    </border>
    <border>
      <left style="thin">
        <color rgb="FF8497B0"/>
      </left>
      <right/>
      <top/>
      <bottom style="thin">
        <color rgb="FF8497B0"/>
      </bottom>
      <diagonal/>
    </border>
    <border>
      <left/>
      <right/>
      <top/>
      <bottom style="thin">
        <color rgb="FF8497B0"/>
      </bottom>
      <diagonal/>
    </border>
  </borders>
  <cellStyleXfs count="1">
    <xf numFmtId="0" fontId="0" fillId="0" borderId="0"/>
  </cellStyleXfs>
  <cellXfs count="439">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0" borderId="17" xfId="0" applyFont="1" applyBorder="1" applyAlignment="1">
      <alignment horizontal="center" vertical="center"/>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1" fillId="0" borderId="17" xfId="0" applyFont="1" applyBorder="1" applyAlignment="1">
      <alignment vertical="top"/>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0" fillId="24" borderId="0" xfId="0" applyFill="1"/>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0" fontId="14" fillId="18" borderId="47" xfId="0" applyFont="1" applyFill="1" applyBorder="1" applyAlignment="1">
      <alignment horizontal="center" vertical="center" wrapText="1"/>
    </xf>
    <xf numFmtId="0" fontId="14" fillId="18" borderId="48" xfId="0" applyFont="1" applyFill="1" applyBorder="1" applyAlignment="1">
      <alignment horizontal="center" vertical="center" wrapText="1"/>
    </xf>
    <xf numFmtId="0" fontId="14" fillId="18" borderId="48" xfId="0" applyFont="1" applyFill="1" applyBorder="1" applyAlignment="1">
      <alignment horizontal="left" vertical="center" wrapText="1"/>
    </xf>
    <xf numFmtId="0" fontId="13" fillId="25" borderId="17" xfId="0" applyFont="1" applyFill="1" applyBorder="1" applyAlignment="1">
      <alignment vertical="center" wrapText="1"/>
    </xf>
    <xf numFmtId="0" fontId="13" fillId="3" borderId="17" xfId="0" applyFont="1" applyFill="1" applyBorder="1" applyAlignment="1">
      <alignment vertical="center" wrapText="1"/>
    </xf>
    <xf numFmtId="0" fontId="13" fillId="26" borderId="17" xfId="0" applyFont="1" applyFill="1" applyBorder="1" applyAlignment="1">
      <alignment vertical="center" wrapText="1"/>
    </xf>
    <xf numFmtId="0" fontId="13" fillId="27" borderId="17" xfId="0" applyFont="1" applyFill="1" applyBorder="1" applyAlignment="1">
      <alignment vertical="center" wrapText="1"/>
    </xf>
    <xf numFmtId="0" fontId="17" fillId="28" borderId="17" xfId="0" applyFont="1" applyFill="1" applyBorder="1" applyAlignment="1">
      <alignment vertical="center" wrapText="1"/>
    </xf>
    <xf numFmtId="0" fontId="17" fillId="29" borderId="17" xfId="0" applyFont="1" applyFill="1" applyBorder="1" applyAlignment="1">
      <alignment vertical="center" wrapText="1"/>
    </xf>
    <xf numFmtId="0" fontId="16" fillId="24" borderId="0" xfId="0" applyFont="1" applyFill="1" applyAlignment="1"/>
    <xf numFmtId="0" fontId="16" fillId="0" borderId="0" xfId="0" applyFont="1" applyAlignment="1"/>
    <xf numFmtId="0" fontId="13" fillId="3" borderId="50" xfId="0" applyFont="1" applyFill="1" applyBorder="1" applyAlignment="1">
      <alignment vertical="center" wrapText="1"/>
    </xf>
    <xf numFmtId="0" fontId="13" fillId="26" borderId="50" xfId="0" applyFont="1" applyFill="1" applyBorder="1" applyAlignment="1">
      <alignment vertical="center" wrapText="1"/>
    </xf>
    <xf numFmtId="0" fontId="13" fillId="27" borderId="50" xfId="0" applyFont="1" applyFill="1" applyBorder="1" applyAlignment="1">
      <alignment vertical="center" wrapText="1"/>
    </xf>
    <xf numFmtId="0" fontId="13" fillId="28" borderId="50" xfId="0" applyFont="1" applyFill="1" applyBorder="1" applyAlignment="1">
      <alignment vertical="center" wrapText="1"/>
    </xf>
    <xf numFmtId="0" fontId="13" fillId="29" borderId="50" xfId="0" applyFont="1" applyFill="1" applyBorder="1" applyAlignment="1">
      <alignment vertical="center" wrapText="1"/>
    </xf>
    <xf numFmtId="0" fontId="14" fillId="18" borderId="51" xfId="0" applyFont="1" applyFill="1" applyBorder="1" applyAlignment="1">
      <alignment horizontal="center" vertical="center" wrapText="1"/>
    </xf>
    <xf numFmtId="0" fontId="13" fillId="25" borderId="52" xfId="0" applyFont="1" applyFill="1" applyBorder="1" applyAlignment="1">
      <alignment vertical="center" wrapText="1"/>
    </xf>
    <xf numFmtId="0" fontId="13" fillId="3" borderId="52" xfId="0" applyFont="1" applyFill="1" applyBorder="1" applyAlignment="1">
      <alignment vertical="center" wrapText="1"/>
    </xf>
    <xf numFmtId="0" fontId="13" fillId="26" borderId="52" xfId="0" applyFont="1" applyFill="1" applyBorder="1" applyAlignment="1">
      <alignment vertical="center" wrapText="1"/>
    </xf>
    <xf numFmtId="0" fontId="13" fillId="27" borderId="52" xfId="0" applyFont="1" applyFill="1" applyBorder="1" applyAlignment="1">
      <alignment vertical="center" wrapText="1"/>
    </xf>
    <xf numFmtId="0" fontId="13" fillId="28" borderId="52" xfId="0" applyFont="1" applyFill="1" applyBorder="1" applyAlignment="1">
      <alignment vertical="center" wrapText="1"/>
    </xf>
    <xf numFmtId="0" fontId="13" fillId="29" borderId="52" xfId="0" applyFont="1" applyFill="1" applyBorder="1" applyAlignment="1">
      <alignment vertical="center" wrapText="1"/>
    </xf>
    <xf numFmtId="0" fontId="0" fillId="0" borderId="0" xfId="0" applyFill="1"/>
    <xf numFmtId="0" fontId="14" fillId="18" borderId="48" xfId="0" applyFont="1" applyFill="1" applyBorder="1" applyAlignment="1">
      <alignment vertical="center" wrapText="1"/>
    </xf>
    <xf numFmtId="0" fontId="19" fillId="0" borderId="0" xfId="0" applyFont="1"/>
    <xf numFmtId="0" fontId="16" fillId="0" borderId="0" xfId="0" applyFont="1"/>
    <xf numFmtId="0" fontId="22" fillId="25" borderId="17" xfId="0" applyFont="1" applyFill="1" applyBorder="1" applyAlignment="1">
      <alignment vertical="center" wrapText="1"/>
    </xf>
    <xf numFmtId="0" fontId="22" fillId="3" borderId="17" xfId="0" applyFont="1" applyFill="1" applyBorder="1" applyAlignment="1">
      <alignment vertical="center" wrapText="1"/>
    </xf>
    <xf numFmtId="0" fontId="22" fillId="26" borderId="17" xfId="0" applyFont="1" applyFill="1" applyBorder="1" applyAlignment="1">
      <alignment vertical="center" wrapText="1"/>
    </xf>
    <xf numFmtId="0" fontId="22" fillId="27" borderId="17" xfId="0" applyFont="1" applyFill="1" applyBorder="1" applyAlignment="1">
      <alignment vertical="center" wrapText="1"/>
    </xf>
    <xf numFmtId="0" fontId="22" fillId="28" borderId="17" xfId="0" applyFont="1" applyFill="1" applyBorder="1" applyAlignment="1">
      <alignment vertical="center" wrapText="1"/>
    </xf>
    <xf numFmtId="0" fontId="22" fillId="29" borderId="17" xfId="0" applyFont="1" applyFill="1" applyBorder="1" applyAlignment="1">
      <alignment vertical="center" wrapText="1"/>
    </xf>
    <xf numFmtId="0" fontId="18" fillId="0" borderId="0" xfId="0" applyFont="1"/>
    <xf numFmtId="0" fontId="23" fillId="0" borderId="0" xfId="0" applyFont="1"/>
    <xf numFmtId="0" fontId="21" fillId="25" borderId="17" xfId="0" applyFont="1" applyFill="1" applyBorder="1" applyAlignment="1">
      <alignment vertical="center" wrapText="1"/>
    </xf>
    <xf numFmtId="0" fontId="21" fillId="25" borderId="17" xfId="0" applyFont="1" applyFill="1" applyBorder="1" applyAlignment="1">
      <alignment horizontal="center" vertical="center" wrapText="1"/>
    </xf>
    <xf numFmtId="0" fontId="20" fillId="25" borderId="17" xfId="0" applyFont="1" applyFill="1" applyBorder="1" applyAlignment="1">
      <alignment vertical="center" wrapText="1"/>
    </xf>
    <xf numFmtId="0" fontId="20" fillId="3" borderId="17" xfId="0" applyFont="1" applyFill="1" applyBorder="1" applyAlignment="1">
      <alignment vertical="center" wrapText="1"/>
    </xf>
    <xf numFmtId="8" fontId="20" fillId="3" borderId="17" xfId="0" applyNumberFormat="1" applyFont="1" applyFill="1" applyBorder="1" applyAlignment="1">
      <alignment vertical="center"/>
    </xf>
    <xf numFmtId="8" fontId="20" fillId="3" borderId="17" xfId="0" applyNumberFormat="1" applyFont="1" applyFill="1" applyBorder="1" applyAlignment="1">
      <alignment horizontal="center" vertical="center"/>
    </xf>
    <xf numFmtId="0" fontId="21" fillId="26" borderId="17" xfId="0" applyFont="1" applyFill="1" applyBorder="1" applyAlignment="1">
      <alignment vertical="center" wrapText="1"/>
    </xf>
    <xf numFmtId="8" fontId="21" fillId="26" borderId="17" xfId="0" applyNumberFormat="1" applyFont="1" applyFill="1" applyBorder="1" applyAlignment="1">
      <alignment vertical="center"/>
    </xf>
    <xf numFmtId="0" fontId="20" fillId="27" borderId="17" xfId="0" applyFont="1" applyFill="1" applyBorder="1" applyAlignment="1">
      <alignment vertical="center" wrapText="1"/>
    </xf>
    <xf numFmtId="8" fontId="20" fillId="27" borderId="17" xfId="0" applyNumberFormat="1" applyFont="1" applyFill="1" applyBorder="1" applyAlignment="1">
      <alignment vertical="center"/>
    </xf>
    <xf numFmtId="8" fontId="21" fillId="27" borderId="17" xfId="0" applyNumberFormat="1" applyFont="1" applyFill="1" applyBorder="1" applyAlignment="1">
      <alignment vertical="center"/>
    </xf>
    <xf numFmtId="0" fontId="21" fillId="28" borderId="17" xfId="0" applyFont="1" applyFill="1" applyBorder="1" applyAlignment="1">
      <alignment vertical="center" wrapText="1"/>
    </xf>
    <xf numFmtId="8" fontId="21" fillId="28" borderId="17" xfId="0" applyNumberFormat="1" applyFont="1" applyFill="1" applyBorder="1" applyAlignment="1">
      <alignment vertical="center"/>
    </xf>
    <xf numFmtId="8" fontId="20" fillId="28" borderId="17" xfId="0" applyNumberFormat="1" applyFont="1" applyFill="1" applyBorder="1" applyAlignment="1">
      <alignment vertical="center"/>
    </xf>
    <xf numFmtId="0" fontId="20" fillId="29" borderId="17" xfId="0" applyFont="1" applyFill="1" applyBorder="1" applyAlignment="1">
      <alignment vertical="center" wrapText="1"/>
    </xf>
    <xf numFmtId="8" fontId="20" fillId="29" borderId="17" xfId="0" applyNumberFormat="1" applyFont="1" applyFill="1" applyBorder="1" applyAlignment="1">
      <alignment vertical="center"/>
    </xf>
    <xf numFmtId="0" fontId="0" fillId="21" borderId="17" xfId="0" applyFill="1" applyBorder="1" applyAlignment="1">
      <alignment vertical="center"/>
    </xf>
    <xf numFmtId="0" fontId="0" fillId="21" borderId="17" xfId="0" applyFill="1" applyBorder="1"/>
    <xf numFmtId="0" fontId="24" fillId="30" borderId="0" xfId="0" applyFont="1" applyFill="1" applyAlignment="1">
      <alignment horizontal="center"/>
    </xf>
    <xf numFmtId="0" fontId="25" fillId="30" borderId="0" xfId="0" applyFont="1" applyFill="1"/>
    <xf numFmtId="0" fontId="26" fillId="31" borderId="53" xfId="0" applyFont="1" applyFill="1" applyBorder="1" applyAlignment="1">
      <alignment horizontal="left" vertical="center"/>
    </xf>
    <xf numFmtId="0" fontId="26" fillId="0" borderId="53" xfId="0" applyFont="1" applyBorder="1" applyAlignment="1">
      <alignment horizontal="left" vertical="center"/>
    </xf>
    <xf numFmtId="0" fontId="13" fillId="32" borderId="17" xfId="0" applyFont="1" applyFill="1" applyBorder="1" applyAlignment="1">
      <alignment vertical="center" wrapText="1"/>
    </xf>
    <xf numFmtId="0" fontId="13" fillId="32" borderId="52" xfId="0" applyFont="1" applyFill="1" applyBorder="1" applyAlignment="1">
      <alignment horizontal="center" vertical="center" wrapText="1"/>
    </xf>
    <xf numFmtId="0" fontId="20" fillId="32" borderId="17" xfId="0" applyFont="1" applyFill="1" applyBorder="1" applyAlignment="1">
      <alignment horizontal="left" vertical="center" wrapText="1"/>
    </xf>
    <xf numFmtId="0" fontId="13" fillId="32" borderId="17" xfId="0" applyFont="1" applyFill="1" applyBorder="1" applyAlignment="1">
      <alignment horizontal="left" vertical="center" wrapText="1"/>
    </xf>
    <xf numFmtId="0" fontId="13" fillId="3" borderId="52" xfId="0" applyFont="1" applyFill="1" applyBorder="1" applyAlignment="1">
      <alignment horizontal="center" vertical="center" wrapText="1"/>
    </xf>
    <xf numFmtId="0" fontId="18" fillId="32" borderId="17" xfId="0" applyFont="1" applyFill="1" applyBorder="1" applyAlignment="1">
      <alignment vertical="center" wrapText="1"/>
    </xf>
    <xf numFmtId="4" fontId="0" fillId="0" borderId="0" xfId="0" applyNumberFormat="1"/>
    <xf numFmtId="4" fontId="21" fillId="25" borderId="17" xfId="0" applyNumberFormat="1" applyFont="1" applyFill="1" applyBorder="1" applyAlignment="1">
      <alignment vertical="center"/>
    </xf>
    <xf numFmtId="4" fontId="13" fillId="32" borderId="17" xfId="0" applyNumberFormat="1" applyFont="1" applyFill="1" applyBorder="1" applyAlignment="1">
      <alignment vertical="center" wrapText="1"/>
    </xf>
    <xf numFmtId="4" fontId="20" fillId="32" borderId="17" xfId="0" applyNumberFormat="1" applyFont="1" applyFill="1" applyBorder="1" applyAlignment="1">
      <alignment horizontal="right" vertical="center" wrapText="1"/>
    </xf>
    <xf numFmtId="4" fontId="20" fillId="3" borderId="17" xfId="0" applyNumberFormat="1" applyFont="1" applyFill="1" applyBorder="1" applyAlignment="1">
      <alignment vertical="center"/>
    </xf>
    <xf numFmtId="4" fontId="20" fillId="3" borderId="17" xfId="0" applyNumberFormat="1" applyFont="1" applyFill="1" applyBorder="1" applyAlignment="1">
      <alignment horizontal="center" vertical="center"/>
    </xf>
    <xf numFmtId="4" fontId="21" fillId="26" borderId="17" xfId="0" applyNumberFormat="1" applyFont="1" applyFill="1" applyBorder="1" applyAlignment="1">
      <alignment vertical="center"/>
    </xf>
    <xf numFmtId="4" fontId="20" fillId="27" borderId="17" xfId="0" applyNumberFormat="1" applyFont="1" applyFill="1" applyBorder="1" applyAlignment="1">
      <alignment vertical="center"/>
    </xf>
    <xf numFmtId="4" fontId="21" fillId="27" borderId="17" xfId="0" applyNumberFormat="1" applyFont="1" applyFill="1" applyBorder="1" applyAlignment="1">
      <alignment vertical="center"/>
    </xf>
    <xf numFmtId="4" fontId="21" fillId="28" borderId="17" xfId="0" applyNumberFormat="1" applyFont="1" applyFill="1" applyBorder="1" applyAlignment="1">
      <alignment vertical="center"/>
    </xf>
    <xf numFmtId="4" fontId="20" fillId="28" borderId="17" xfId="0" applyNumberFormat="1" applyFont="1" applyFill="1" applyBorder="1" applyAlignment="1">
      <alignment vertical="center"/>
    </xf>
    <xf numFmtId="4" fontId="20" fillId="29" borderId="17" xfId="0" applyNumberFormat="1" applyFont="1" applyFill="1" applyBorder="1" applyAlignment="1">
      <alignment vertical="center"/>
    </xf>
    <xf numFmtId="4" fontId="16" fillId="0" borderId="0" xfId="0" applyNumberFormat="1" applyFont="1"/>
    <xf numFmtId="0" fontId="13" fillId="28" borderId="17" xfId="0" applyFont="1" applyFill="1" applyBorder="1" applyAlignment="1">
      <alignment vertical="center" wrapText="1"/>
    </xf>
    <xf numFmtId="0" fontId="13" fillId="25" borderId="50" xfId="0" applyFont="1" applyFill="1" applyBorder="1" applyAlignment="1">
      <alignment horizontal="center" vertical="center" wrapText="1"/>
    </xf>
    <xf numFmtId="0" fontId="0" fillId="24" borderId="0" xfId="0" applyFill="1" applyAlignment="1">
      <alignment horizontal="center"/>
    </xf>
    <xf numFmtId="0" fontId="0" fillId="0" borderId="0" xfId="0" applyAlignment="1">
      <alignment horizontal="center"/>
    </xf>
    <xf numFmtId="0" fontId="13" fillId="32" borderId="17" xfId="0" applyFont="1" applyFill="1" applyBorder="1" applyAlignment="1">
      <alignment horizontal="center" vertical="center" wrapText="1"/>
    </xf>
    <xf numFmtId="0" fontId="21" fillId="32" borderId="17" xfId="0" applyFont="1" applyFill="1" applyBorder="1" applyAlignment="1">
      <alignment horizontal="center" vertical="center" wrapText="1"/>
    </xf>
    <xf numFmtId="0" fontId="21" fillId="3" borderId="17"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1" fillId="27" borderId="17" xfId="0" applyFont="1" applyFill="1" applyBorder="1" applyAlignment="1">
      <alignment horizontal="center" vertical="center" wrapText="1"/>
    </xf>
    <xf numFmtId="0" fontId="21" fillId="28" borderId="17" xfId="0" applyFont="1" applyFill="1" applyBorder="1" applyAlignment="1">
      <alignment horizontal="center" vertical="center" wrapText="1"/>
    </xf>
    <xf numFmtId="0" fontId="21" fillId="29" borderId="17" xfId="0" applyFont="1" applyFill="1" applyBorder="1" applyAlignment="1">
      <alignment horizontal="center" vertical="center" wrapText="1"/>
    </xf>
    <xf numFmtId="0" fontId="16" fillId="0" borderId="0" xfId="0" applyFont="1" applyAlignment="1">
      <alignment horizontal="center"/>
    </xf>
    <xf numFmtId="0" fontId="15" fillId="18" borderId="48" xfId="0" applyFont="1" applyFill="1" applyBorder="1" applyAlignment="1">
      <alignment horizontal="center" vertical="top" wrapText="1"/>
    </xf>
    <xf numFmtId="0" fontId="13" fillId="25" borderId="17"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27" borderId="17" xfId="0" applyFont="1" applyFill="1" applyBorder="1" applyAlignment="1">
      <alignment horizontal="center" vertical="center" wrapText="1"/>
    </xf>
    <xf numFmtId="0" fontId="13" fillId="28" borderId="17" xfId="0" applyFont="1" applyFill="1" applyBorder="1" applyAlignment="1">
      <alignment horizontal="center" vertical="center" wrapText="1"/>
    </xf>
    <xf numFmtId="0" fontId="13" fillId="29" borderId="17" xfId="0" applyFont="1" applyFill="1" applyBorder="1" applyAlignment="1">
      <alignment vertical="center" wrapText="1"/>
    </xf>
    <xf numFmtId="0" fontId="13" fillId="29" borderId="17" xfId="0" applyFont="1" applyFill="1" applyBorder="1" applyAlignment="1">
      <alignment horizontal="center" vertical="center" wrapText="1"/>
    </xf>
    <xf numFmtId="8" fontId="21" fillId="26" borderId="17" xfId="0" applyNumberFormat="1" applyFont="1" applyFill="1" applyBorder="1" applyAlignment="1">
      <alignment vertical="center" wrapText="1"/>
    </xf>
    <xf numFmtId="0" fontId="21" fillId="6" borderId="17" xfId="0" applyFont="1" applyFill="1" applyBorder="1" applyAlignment="1">
      <alignment vertical="center" wrapText="1"/>
    </xf>
    <xf numFmtId="0" fontId="13" fillId="20" borderId="50" xfId="0" applyFont="1" applyFill="1" applyBorder="1" applyAlignment="1">
      <alignment horizontal="center" vertical="center" wrapText="1"/>
    </xf>
    <xf numFmtId="0" fontId="13" fillId="20" borderId="17" xfId="0" applyFont="1" applyFill="1" applyBorder="1"/>
    <xf numFmtId="0" fontId="13" fillId="20" borderId="17" xfId="0" applyFont="1" applyFill="1" applyBorder="1" applyAlignment="1">
      <alignment horizontal="center"/>
    </xf>
    <xf numFmtId="0" fontId="13" fillId="20" borderId="17" xfId="0" applyFont="1" applyFill="1" applyBorder="1" applyAlignment="1">
      <alignment vertical="center" wrapText="1"/>
    </xf>
    <xf numFmtId="4" fontId="13" fillId="20" borderId="17" xfId="0" applyNumberFormat="1" applyFont="1" applyFill="1" applyBorder="1"/>
    <xf numFmtId="0" fontId="13" fillId="20" borderId="52" xfId="0" applyFont="1" applyFill="1" applyBorder="1" applyAlignment="1">
      <alignment horizontal="center" vertical="center" wrapText="1"/>
    </xf>
    <xf numFmtId="0" fontId="20" fillId="20" borderId="17" xfId="0" applyFont="1" applyFill="1" applyBorder="1" applyAlignment="1">
      <alignment vertical="center" wrapText="1"/>
    </xf>
    <xf numFmtId="0" fontId="21" fillId="20" borderId="17" xfId="0" applyFont="1" applyFill="1" applyBorder="1" applyAlignment="1">
      <alignment horizontal="center" vertical="center" wrapText="1"/>
    </xf>
    <xf numFmtId="4" fontId="20" fillId="20" borderId="17" xfId="0" applyNumberFormat="1" applyFont="1" applyFill="1" applyBorder="1" applyAlignment="1">
      <alignment vertical="center" wrapText="1"/>
    </xf>
    <xf numFmtId="0" fontId="13" fillId="20" borderId="17" xfId="0" applyFont="1" applyFill="1" applyBorder="1" applyAlignment="1">
      <alignment horizontal="center" vertical="center" wrapText="1"/>
    </xf>
    <xf numFmtId="0" fontId="13" fillId="14" borderId="50" xfId="0" applyFont="1" applyFill="1" applyBorder="1" applyAlignment="1">
      <alignment horizontal="center" vertical="center" wrapText="1"/>
    </xf>
    <xf numFmtId="0" fontId="13" fillId="14" borderId="52" xfId="0" applyFont="1" applyFill="1" applyBorder="1" applyAlignment="1">
      <alignment vertical="center" wrapText="1"/>
    </xf>
    <xf numFmtId="0" fontId="21" fillId="14" borderId="17" xfId="0" applyFont="1" applyFill="1" applyBorder="1" applyAlignment="1">
      <alignment horizontal="left" vertical="center" wrapText="1"/>
    </xf>
    <xf numFmtId="0" fontId="21" fillId="14" borderId="17" xfId="0" applyFont="1" applyFill="1" applyBorder="1" applyAlignment="1">
      <alignment horizontal="center" vertical="center" wrapText="1"/>
    </xf>
    <xf numFmtId="0" fontId="13" fillId="14" borderId="17" xfId="0" applyFont="1" applyFill="1" applyBorder="1" applyAlignment="1">
      <alignment horizontal="left" vertical="center" wrapText="1"/>
    </xf>
    <xf numFmtId="0" fontId="13" fillId="14" borderId="17" xfId="0" applyFont="1" applyFill="1" applyBorder="1" applyAlignment="1">
      <alignment vertical="center" wrapText="1"/>
    </xf>
    <xf numFmtId="0" fontId="20" fillId="14" borderId="17" xfId="0" applyFont="1" applyFill="1" applyBorder="1" applyAlignment="1">
      <alignment horizontal="left" vertical="center" wrapText="1"/>
    </xf>
    <xf numFmtId="4" fontId="21" fillId="14" borderId="17" xfId="0" applyNumberFormat="1" applyFont="1" applyFill="1" applyBorder="1" applyAlignment="1">
      <alignment horizontal="right" vertical="center"/>
    </xf>
    <xf numFmtId="0" fontId="13" fillId="14" borderId="17" xfId="0" applyFont="1" applyFill="1" applyBorder="1" applyAlignment="1">
      <alignment horizontal="center" vertical="center" wrapText="1"/>
    </xf>
    <xf numFmtId="0" fontId="22" fillId="14" borderId="17" xfId="0" applyFont="1" applyFill="1" applyBorder="1" applyAlignment="1">
      <alignment horizontal="left" vertical="center" wrapText="1"/>
    </xf>
    <xf numFmtId="0" fontId="15" fillId="18" borderId="54" xfId="0" applyFont="1" applyFill="1" applyBorder="1" applyAlignment="1">
      <alignment vertical="center" wrapText="1"/>
    </xf>
    <xf numFmtId="0" fontId="15" fillId="18" borderId="48" xfId="0" applyFont="1" applyFill="1" applyBorder="1" applyAlignment="1">
      <alignment vertical="center"/>
    </xf>
    <xf numFmtId="4" fontId="15" fillId="18" borderId="48" xfId="0" applyNumberFormat="1" applyFont="1" applyFill="1" applyBorder="1" applyAlignment="1">
      <alignment vertical="center"/>
    </xf>
    <xf numFmtId="0" fontId="15" fillId="18" borderId="48" xfId="0" applyFont="1" applyFill="1" applyBorder="1" applyAlignment="1">
      <alignment vertical="center" wrapText="1"/>
    </xf>
    <xf numFmtId="0" fontId="19" fillId="20" borderId="48" xfId="0" applyFont="1" applyFill="1" applyBorder="1" applyAlignment="1">
      <alignment vertical="center"/>
    </xf>
    <xf numFmtId="0" fontId="19" fillId="20" borderId="17" xfId="0" applyFont="1" applyFill="1" applyBorder="1" applyAlignment="1">
      <alignment vertical="center"/>
    </xf>
    <xf numFmtId="0" fontId="19" fillId="14" borderId="17" xfId="0" applyFont="1" applyFill="1" applyBorder="1" applyAlignment="1">
      <alignment vertical="center"/>
    </xf>
    <xf numFmtId="0" fontId="19" fillId="32" borderId="17" xfId="0" applyFont="1" applyFill="1" applyBorder="1" applyAlignment="1">
      <alignment vertical="center"/>
    </xf>
    <xf numFmtId="0" fontId="19" fillId="13" borderId="17" xfId="0" applyFont="1" applyFill="1" applyBorder="1" applyAlignment="1">
      <alignment vertical="center"/>
    </xf>
    <xf numFmtId="0" fontId="19" fillId="16" borderId="17" xfId="0" applyFont="1" applyFill="1" applyBorder="1" applyAlignment="1">
      <alignment vertical="center"/>
    </xf>
    <xf numFmtId="0" fontId="19" fillId="6" borderId="17" xfId="0" applyFont="1" applyFill="1" applyBorder="1" applyAlignment="1">
      <alignment vertical="center"/>
    </xf>
    <xf numFmtId="0" fontId="19" fillId="38" borderId="17" xfId="0" applyFont="1" applyFill="1" applyBorder="1" applyAlignment="1">
      <alignment vertical="center"/>
    </xf>
    <xf numFmtId="49" fontId="9" fillId="0" borderId="0" xfId="0" applyNumberFormat="1" applyFont="1" applyAlignment="1">
      <alignment horizontal="left" vertical="top"/>
    </xf>
    <xf numFmtId="0" fontId="10" fillId="0" borderId="0" xfId="0" applyFont="1" applyAlignment="1">
      <alignment vertical="top"/>
    </xf>
    <xf numFmtId="0" fontId="10" fillId="0" borderId="0" xfId="0" applyFont="1" applyAlignment="1">
      <alignment vertical="top" wrapText="1"/>
    </xf>
    <xf numFmtId="0" fontId="8" fillId="0" borderId="0" xfId="0" applyFont="1" applyAlignment="1">
      <alignment vertical="top" wrapText="1"/>
    </xf>
    <xf numFmtId="0" fontId="11" fillId="0" borderId="0" xfId="0" applyFont="1" applyAlignment="1">
      <alignment vertical="top" wrapText="1"/>
    </xf>
    <xf numFmtId="0" fontId="2" fillId="0" borderId="56" xfId="0" applyFont="1" applyBorder="1" applyAlignment="1">
      <alignment horizontal="center" vertical="top"/>
    </xf>
    <xf numFmtId="0" fontId="2" fillId="0" borderId="52" xfId="0" applyFont="1" applyBorder="1" applyAlignment="1">
      <alignment horizontal="center" vertical="top"/>
    </xf>
    <xf numFmtId="0" fontId="2" fillId="0" borderId="57" xfId="0" applyFont="1" applyBorder="1" applyAlignment="1">
      <alignment horizontal="center" vertical="top"/>
    </xf>
    <xf numFmtId="0" fontId="2" fillId="0" borderId="0" xfId="0" applyFont="1" applyAlignment="1">
      <alignment horizontal="center" vertical="top"/>
    </xf>
    <xf numFmtId="0" fontId="27" fillId="0" borderId="17" xfId="0" applyFont="1" applyBorder="1" applyAlignment="1">
      <alignment horizontal="center" vertical="center" wrapText="1"/>
    </xf>
    <xf numFmtId="0" fontId="2" fillId="0" borderId="17" xfId="0" applyFont="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8" fillId="0" borderId="17" xfId="0" applyFont="1" applyBorder="1" applyAlignment="1">
      <alignment vertical="top" wrapText="1"/>
    </xf>
    <xf numFmtId="0" fontId="0" fillId="0" borderId="17" xfId="0" applyBorder="1" applyAlignment="1">
      <alignment horizontal="left" vertical="center" wrapText="1"/>
    </xf>
    <xf numFmtId="0" fontId="0" fillId="0" borderId="17" xfId="0" applyBorder="1" applyAlignment="1">
      <alignment vertical="top" wrapText="1"/>
    </xf>
    <xf numFmtId="0" fontId="0" fillId="35" borderId="17" xfId="0" applyFill="1" applyBorder="1" applyAlignment="1">
      <alignment vertical="top"/>
    </xf>
    <xf numFmtId="0" fontId="0" fillId="36" borderId="17" xfId="0" applyFill="1" applyBorder="1" applyAlignment="1">
      <alignment horizontal="center" vertical="top" wrapText="1"/>
    </xf>
    <xf numFmtId="0" fontId="0" fillId="0" borderId="17" xfId="0" applyBorder="1" applyAlignment="1">
      <alignment vertical="top"/>
    </xf>
    <xf numFmtId="0" fontId="29" fillId="0" borderId="17" xfId="0" applyFont="1" applyBorder="1" applyAlignment="1">
      <alignment vertical="top" wrapText="1"/>
    </xf>
    <xf numFmtId="49" fontId="2" fillId="33" borderId="1" xfId="0" applyNumberFormat="1" applyFont="1" applyFill="1" applyBorder="1" applyAlignment="1">
      <alignment horizontal="center" vertical="top" wrapText="1"/>
    </xf>
    <xf numFmtId="0" fontId="1" fillId="9" borderId="58" xfId="0" applyFont="1" applyFill="1" applyBorder="1" applyAlignment="1">
      <alignment horizontal="center" vertical="top"/>
    </xf>
    <xf numFmtId="0" fontId="1" fillId="9" borderId="59" xfId="0" applyFont="1" applyFill="1" applyBorder="1" applyAlignment="1">
      <alignment vertical="top" wrapText="1"/>
    </xf>
    <xf numFmtId="0" fontId="8" fillId="0" borderId="17" xfId="0" applyFont="1" applyBorder="1" applyAlignment="1">
      <alignment horizontal="left" vertical="center" wrapText="1"/>
    </xf>
    <xf numFmtId="49" fontId="1" fillId="10" borderId="18" xfId="0" applyNumberFormat="1" applyFont="1" applyFill="1" applyBorder="1" applyAlignment="1">
      <alignment horizontal="center" vertical="center" wrapText="1"/>
    </xf>
    <xf numFmtId="0" fontId="1" fillId="10" borderId="16" xfId="0" applyFont="1" applyFill="1" applyBorder="1" applyAlignment="1">
      <alignment horizontal="left" vertical="center" wrapText="1"/>
    </xf>
    <xf numFmtId="9" fontId="0" fillId="0" borderId="17" xfId="0" applyNumberFormat="1" applyBorder="1" applyAlignment="1">
      <alignment vertical="top"/>
    </xf>
    <xf numFmtId="0" fontId="0" fillId="36" borderId="17" xfId="0" applyFill="1" applyBorder="1" applyAlignment="1">
      <alignment vertical="top"/>
    </xf>
    <xf numFmtId="49" fontId="1" fillId="10" borderId="58" xfId="0" applyNumberFormat="1" applyFont="1" applyFill="1" applyBorder="1" applyAlignment="1">
      <alignment horizontal="center" vertical="center" wrapText="1"/>
    </xf>
    <xf numFmtId="0" fontId="1" fillId="10" borderId="0" xfId="0" applyFont="1" applyFill="1" applyAlignment="1">
      <alignment horizontal="left" vertical="center" wrapText="1"/>
    </xf>
    <xf numFmtId="0" fontId="0" fillId="0" borderId="17" xfId="0" applyBorder="1" applyAlignment="1">
      <alignment horizontal="center" vertical="center" wrapText="1"/>
    </xf>
    <xf numFmtId="0" fontId="0" fillId="35" borderId="17" xfId="0" applyFill="1" applyBorder="1" applyAlignment="1">
      <alignment vertical="top" wrapText="1"/>
    </xf>
    <xf numFmtId="0" fontId="0" fillId="36" borderId="17" xfId="0" applyFill="1" applyBorder="1" applyAlignment="1">
      <alignment vertical="top" wrapText="1"/>
    </xf>
    <xf numFmtId="49" fontId="1" fillId="10" borderId="60" xfId="0" applyNumberFormat="1" applyFont="1" applyFill="1" applyBorder="1" applyAlignment="1">
      <alignment horizontal="center" vertical="center" wrapText="1"/>
    </xf>
    <xf numFmtId="0" fontId="1" fillId="10" borderId="61" xfId="0" applyFont="1" applyFill="1" applyBorder="1" applyAlignment="1">
      <alignment horizontal="left" vertical="center" wrapText="1"/>
    </xf>
    <xf numFmtId="0" fontId="1" fillId="24" borderId="17" xfId="0" applyFont="1" applyFill="1" applyBorder="1" applyAlignment="1">
      <alignment horizontal="left" vertical="center" wrapText="1"/>
    </xf>
    <xf numFmtId="0" fontId="31" fillId="0" borderId="17" xfId="0" applyFont="1" applyBorder="1" applyAlignment="1">
      <alignment vertical="top" wrapText="1"/>
    </xf>
    <xf numFmtId="0" fontId="29" fillId="0" borderId="17" xfId="0" applyFont="1" applyBorder="1" applyAlignment="1">
      <alignment horizontal="center" vertical="center" wrapText="1"/>
    </xf>
    <xf numFmtId="0" fontId="1" fillId="34" borderId="17" xfId="0" applyFont="1" applyFill="1" applyBorder="1" applyAlignment="1">
      <alignment vertical="top" wrapText="1"/>
    </xf>
    <xf numFmtId="0" fontId="1" fillId="35" borderId="17" xfId="0" applyFont="1" applyFill="1" applyBorder="1" applyAlignment="1">
      <alignment horizontal="left" vertical="center" wrapText="1"/>
    </xf>
    <xf numFmtId="0" fontId="0" fillId="9" borderId="17" xfId="0" applyFill="1" applyBorder="1" applyAlignment="1">
      <alignment vertical="top" wrapText="1"/>
    </xf>
    <xf numFmtId="0" fontId="0" fillId="0" borderId="17" xfId="0" applyBorder="1" applyAlignment="1">
      <alignment horizontal="left" vertical="top" wrapText="1"/>
    </xf>
    <xf numFmtId="0" fontId="1" fillId="9" borderId="60" xfId="0" applyFont="1" applyFill="1" applyBorder="1" applyAlignment="1">
      <alignment horizontal="center" vertical="top"/>
    </xf>
    <xf numFmtId="0" fontId="1" fillId="9" borderId="62" xfId="0" applyFont="1" applyFill="1" applyBorder="1" applyAlignment="1">
      <alignment vertical="top" wrapText="1"/>
    </xf>
    <xf numFmtId="0" fontId="1" fillId="9" borderId="18" xfId="0" applyFont="1" applyFill="1" applyBorder="1" applyAlignment="1">
      <alignment horizontal="center" vertical="top"/>
    </xf>
    <xf numFmtId="0" fontId="1" fillId="9" borderId="2" xfId="0" applyFont="1" applyFill="1" applyBorder="1" applyAlignment="1">
      <alignment horizontal="left" vertical="top" wrapText="1"/>
    </xf>
    <xf numFmtId="0" fontId="1" fillId="9" borderId="58" xfId="0" applyFont="1" applyFill="1" applyBorder="1" applyAlignment="1">
      <alignment horizontal="center" vertical="top"/>
    </xf>
    <xf numFmtId="0" fontId="1" fillId="9" borderId="59" xfId="0" applyFont="1" applyFill="1" applyBorder="1" applyAlignment="1">
      <alignment horizontal="left" vertical="top" wrapText="1"/>
    </xf>
    <xf numFmtId="0" fontId="8" fillId="0" borderId="17" xfId="0" applyFont="1" applyBorder="1" applyAlignment="1">
      <alignment horizontal="center" vertical="center" wrapText="1"/>
    </xf>
    <xf numFmtId="0" fontId="0" fillId="9" borderId="17" xfId="0" applyFill="1" applyBorder="1" applyAlignment="1">
      <alignment vertical="top"/>
    </xf>
    <xf numFmtId="0" fontId="1" fillId="34" borderId="17" xfId="0" applyFont="1" applyFill="1" applyBorder="1" applyAlignment="1">
      <alignment horizontal="left" vertical="center" wrapText="1"/>
    </xf>
    <xf numFmtId="0" fontId="1" fillId="10" borderId="20" xfId="0" applyFont="1" applyFill="1" applyBorder="1" applyAlignment="1">
      <alignment horizontal="left" vertical="center" wrapText="1"/>
    </xf>
    <xf numFmtId="0" fontId="0" fillId="0" borderId="52" xfId="0" applyBorder="1" applyAlignment="1">
      <alignment vertical="top"/>
    </xf>
    <xf numFmtId="0" fontId="1" fillId="9" borderId="60" xfId="0" applyFont="1" applyFill="1" applyBorder="1" applyAlignment="1">
      <alignment horizontal="center" vertical="top"/>
    </xf>
    <xf numFmtId="0" fontId="1" fillId="9" borderId="62" xfId="0" applyFont="1" applyFill="1" applyBorder="1" applyAlignment="1">
      <alignment horizontal="left" vertical="top" wrapText="1"/>
    </xf>
    <xf numFmtId="0" fontId="1" fillId="21" borderId="22" xfId="0" applyFont="1" applyFill="1" applyBorder="1" applyAlignment="1">
      <alignment horizontal="center" vertical="center"/>
    </xf>
    <xf numFmtId="0" fontId="1" fillId="21" borderId="16" xfId="0" applyFont="1" applyFill="1" applyBorder="1" applyAlignment="1">
      <alignment vertical="center" wrapText="1"/>
    </xf>
    <xf numFmtId="0" fontId="1" fillId="20" borderId="23" xfId="0" applyFont="1" applyFill="1" applyBorder="1" applyAlignment="1">
      <alignment vertical="top"/>
    </xf>
    <xf numFmtId="0" fontId="1" fillId="20" borderId="63" xfId="0" applyFont="1" applyFill="1" applyBorder="1" applyAlignment="1">
      <alignment vertical="top" wrapText="1"/>
    </xf>
    <xf numFmtId="0" fontId="1" fillId="21" borderId="64" xfId="0" applyFont="1" applyFill="1" applyBorder="1" applyAlignment="1">
      <alignment horizontal="center" vertical="center"/>
    </xf>
    <xf numFmtId="0" fontId="1" fillId="21" borderId="0" xfId="0" applyFont="1" applyFill="1" applyAlignment="1">
      <alignment vertical="center" wrapText="1"/>
    </xf>
    <xf numFmtId="0" fontId="1" fillId="21" borderId="65" xfId="0" applyFont="1" applyFill="1" applyBorder="1" applyAlignment="1">
      <alignment vertical="center" wrapText="1"/>
    </xf>
    <xf numFmtId="49" fontId="1" fillId="21" borderId="23" xfId="0" applyNumberFormat="1" applyFont="1" applyFill="1" applyBorder="1" applyAlignment="1">
      <alignment horizontal="center" vertical="center" wrapText="1"/>
    </xf>
    <xf numFmtId="0" fontId="1" fillId="21" borderId="0" xfId="0" applyFont="1" applyFill="1" applyAlignment="1">
      <alignment horizontal="left" vertical="center" wrapText="1"/>
    </xf>
    <xf numFmtId="49" fontId="2" fillId="7" borderId="65" xfId="0" applyNumberFormat="1" applyFont="1" applyFill="1" applyBorder="1" applyAlignment="1">
      <alignment horizontal="center" vertical="top" wrapText="1"/>
    </xf>
    <xf numFmtId="49" fontId="1" fillId="21" borderId="66" xfId="0" applyNumberFormat="1" applyFont="1" applyFill="1" applyBorder="1" applyAlignment="1">
      <alignment horizontal="center" vertical="center" wrapText="1"/>
    </xf>
    <xf numFmtId="0" fontId="1" fillId="21" borderId="65" xfId="0" applyFont="1" applyFill="1" applyBorder="1" applyAlignment="1">
      <alignment horizontal="left" vertical="center" wrapText="1"/>
    </xf>
    <xf numFmtId="0" fontId="1" fillId="21" borderId="10" xfId="0" applyFont="1" applyFill="1" applyBorder="1" applyAlignment="1">
      <alignment horizontal="center" vertical="center"/>
    </xf>
    <xf numFmtId="0" fontId="1" fillId="21" borderId="10" xfId="0" applyFont="1" applyFill="1" applyBorder="1" applyAlignment="1">
      <alignment vertical="center" wrapText="1"/>
    </xf>
    <xf numFmtId="0" fontId="0" fillId="0" borderId="17" xfId="0" applyBorder="1" applyAlignment="1">
      <alignment horizontal="center" vertical="top" wrapText="1"/>
    </xf>
    <xf numFmtId="0" fontId="0" fillId="35" borderId="17" xfId="0" applyFill="1" applyBorder="1" applyAlignment="1">
      <alignment horizontal="right" vertical="top" wrapText="1"/>
    </xf>
    <xf numFmtId="0" fontId="1" fillId="20" borderId="24" xfId="0" applyFont="1" applyFill="1" applyBorder="1" applyAlignment="1">
      <alignment horizontal="center" vertical="top"/>
    </xf>
    <xf numFmtId="0" fontId="1" fillId="20" borderId="14" xfId="0" applyFont="1" applyFill="1" applyBorder="1" applyAlignment="1">
      <alignment horizontal="left" vertical="top" wrapText="1"/>
    </xf>
    <xf numFmtId="0" fontId="1" fillId="20" borderId="0" xfId="0" applyFont="1" applyFill="1" applyAlignment="1">
      <alignment horizontal="center" vertical="top"/>
    </xf>
    <xf numFmtId="0" fontId="1" fillId="20" borderId="63" xfId="0" applyFont="1" applyFill="1" applyBorder="1" applyAlignment="1">
      <alignment horizontal="left" vertical="top" wrapText="1"/>
    </xf>
    <xf numFmtId="49" fontId="1" fillId="21" borderId="24" xfId="0" applyNumberFormat="1" applyFont="1" applyFill="1" applyBorder="1" applyAlignment="1">
      <alignment horizontal="center" vertical="center" wrapText="1"/>
    </xf>
    <xf numFmtId="0" fontId="1" fillId="21" borderId="24" xfId="0" applyFont="1" applyFill="1" applyBorder="1" applyAlignment="1">
      <alignment horizontal="left" vertical="center" wrapText="1"/>
    </xf>
    <xf numFmtId="49" fontId="1" fillId="21" borderId="0" xfId="0" applyNumberFormat="1" applyFont="1" applyFill="1" applyAlignment="1">
      <alignment horizontal="center" vertical="center" wrapText="1"/>
    </xf>
    <xf numFmtId="49" fontId="1" fillId="21" borderId="67" xfId="0" applyNumberFormat="1" applyFont="1" applyFill="1" applyBorder="1" applyAlignment="1">
      <alignment horizontal="center" vertical="center" wrapText="1"/>
    </xf>
    <xf numFmtId="0" fontId="1" fillId="21" borderId="67" xfId="0" applyFont="1" applyFill="1" applyBorder="1" applyAlignment="1">
      <alignment horizontal="left" vertical="center" wrapText="1"/>
    </xf>
    <xf numFmtId="49" fontId="1" fillId="21" borderId="25" xfId="0" applyNumberFormat="1" applyFont="1" applyFill="1" applyBorder="1" applyAlignment="1">
      <alignment horizontal="center" vertical="center" wrapText="1"/>
    </xf>
    <xf numFmtId="0" fontId="1" fillId="20" borderId="67" xfId="0" applyFont="1" applyFill="1" applyBorder="1" applyAlignment="1">
      <alignment horizontal="center" vertical="top"/>
    </xf>
    <xf numFmtId="0" fontId="1" fillId="20" borderId="68" xfId="0" applyFont="1" applyFill="1" applyBorder="1" applyAlignment="1">
      <alignment horizontal="left" vertical="top" wrapText="1"/>
    </xf>
    <xf numFmtId="49" fontId="1" fillId="12" borderId="27" xfId="0" applyNumberFormat="1" applyFont="1" applyFill="1" applyBorder="1" applyAlignment="1">
      <alignment horizontal="center" vertical="center" wrapText="1"/>
    </xf>
    <xf numFmtId="0" fontId="1" fillId="12" borderId="4" xfId="0" applyFont="1" applyFill="1" applyBorder="1" applyAlignment="1">
      <alignment vertical="center" wrapText="1"/>
    </xf>
    <xf numFmtId="0" fontId="8" fillId="0" borderId="17" xfId="0" applyFont="1" applyBorder="1" applyAlignment="1">
      <alignment horizontal="left" vertical="top" wrapText="1"/>
    </xf>
    <xf numFmtId="0" fontId="1" fillId="11" borderId="69" xfId="0" applyFont="1" applyFill="1" applyBorder="1" applyAlignment="1">
      <alignment vertical="top"/>
    </xf>
    <xf numFmtId="0" fontId="1" fillId="11" borderId="3" xfId="0" applyFont="1" applyFill="1" applyBorder="1" applyAlignment="1">
      <alignment vertical="top" wrapText="1"/>
    </xf>
    <xf numFmtId="9" fontId="0" fillId="0" borderId="17" xfId="0" applyNumberFormat="1" applyBorder="1" applyAlignment="1">
      <alignment vertical="top" wrapText="1"/>
    </xf>
    <xf numFmtId="49" fontId="2" fillId="3" borderId="0" xfId="0" applyNumberFormat="1" applyFont="1" applyFill="1" applyAlignment="1">
      <alignment vertical="top" wrapText="1"/>
    </xf>
    <xf numFmtId="0" fontId="1" fillId="35" borderId="17" xfId="0" applyFont="1" applyFill="1" applyBorder="1" applyAlignment="1">
      <alignment horizontal="center" vertical="center" wrapText="1"/>
    </xf>
    <xf numFmtId="49" fontId="2" fillId="0" borderId="0" xfId="0" applyNumberFormat="1" applyFont="1" applyAlignment="1">
      <alignment vertical="top" wrapText="1"/>
    </xf>
    <xf numFmtId="0" fontId="1" fillId="0" borderId="69" xfId="0" applyFont="1" applyBorder="1" applyAlignment="1">
      <alignment vertical="top"/>
    </xf>
    <xf numFmtId="0" fontId="1" fillId="0" borderId="3" xfId="0" applyFont="1" applyBorder="1" applyAlignment="1">
      <alignment vertical="top" wrapText="1"/>
    </xf>
    <xf numFmtId="49" fontId="1" fillId="0" borderId="27" xfId="0" applyNumberFormat="1" applyFont="1" applyBorder="1" applyAlignment="1">
      <alignment horizontal="center" vertical="center" wrapText="1"/>
    </xf>
    <xf numFmtId="0" fontId="1" fillId="0" borderId="4" xfId="0" applyFont="1" applyBorder="1" applyAlignment="1">
      <alignment vertical="center" wrapText="1"/>
    </xf>
    <xf numFmtId="0" fontId="0" fillId="21" borderId="17" xfId="0" applyFill="1" applyBorder="1" applyAlignment="1">
      <alignment vertical="top" wrapText="1"/>
    </xf>
    <xf numFmtId="0" fontId="0" fillId="21" borderId="17" xfId="0" applyFill="1" applyBorder="1" applyAlignment="1">
      <alignment vertical="top"/>
    </xf>
    <xf numFmtId="0" fontId="29" fillId="0" borderId="17" xfId="0" applyFont="1" applyBorder="1" applyAlignment="1">
      <alignment horizontal="center" vertical="center"/>
    </xf>
    <xf numFmtId="0" fontId="0" fillId="40" borderId="17" xfId="0" applyFill="1" applyBorder="1" applyAlignment="1">
      <alignment vertical="top"/>
    </xf>
    <xf numFmtId="0" fontId="29" fillId="0" borderId="17" xfId="0" applyFont="1" applyBorder="1" applyAlignment="1">
      <alignment vertical="top"/>
    </xf>
    <xf numFmtId="0" fontId="1" fillId="14" borderId="28" xfId="0" applyFont="1" applyFill="1" applyBorder="1" applyAlignment="1">
      <alignment horizontal="center" vertical="top"/>
    </xf>
    <xf numFmtId="0" fontId="1" fillId="14" borderId="5" xfId="0" applyFont="1" applyFill="1" applyBorder="1" applyAlignment="1">
      <alignment horizontal="left" vertical="top" wrapText="1"/>
    </xf>
    <xf numFmtId="49" fontId="1" fillId="13" borderId="28" xfId="0" applyNumberFormat="1" applyFont="1" applyFill="1" applyBorder="1" applyAlignment="1">
      <alignment horizontal="center" vertical="center" wrapText="1"/>
    </xf>
    <xf numFmtId="0" fontId="1" fillId="13" borderId="31" xfId="0" applyFont="1" applyFill="1" applyBorder="1" applyAlignment="1">
      <alignment horizontal="left" vertical="center" wrapText="1"/>
    </xf>
    <xf numFmtId="0" fontId="1" fillId="14" borderId="70" xfId="0" applyFont="1" applyFill="1" applyBorder="1" applyAlignment="1">
      <alignment horizontal="center" vertical="top"/>
    </xf>
    <xf numFmtId="0" fontId="1" fillId="14" borderId="71" xfId="0" applyFont="1" applyFill="1" applyBorder="1" applyAlignment="1">
      <alignment horizontal="left" vertical="top" wrapText="1"/>
    </xf>
    <xf numFmtId="49" fontId="1" fillId="13" borderId="70" xfId="0" applyNumberFormat="1" applyFont="1" applyFill="1" applyBorder="1" applyAlignment="1">
      <alignment horizontal="center" vertical="center" wrapText="1"/>
    </xf>
    <xf numFmtId="0" fontId="1" fillId="13" borderId="0" xfId="0" applyFont="1" applyFill="1" applyAlignment="1">
      <alignment horizontal="left" vertical="center" wrapText="1"/>
    </xf>
    <xf numFmtId="0" fontId="32" fillId="0" borderId="0" xfId="0" applyFont="1"/>
    <xf numFmtId="0" fontId="28" fillId="0" borderId="17" xfId="0" applyFont="1" applyBorder="1" applyAlignment="1">
      <alignment vertical="top" wrapText="1"/>
    </xf>
    <xf numFmtId="49" fontId="1" fillId="13" borderId="72" xfId="0" applyNumberFormat="1" applyFont="1" applyFill="1" applyBorder="1" applyAlignment="1">
      <alignment horizontal="center" vertical="center" wrapText="1"/>
    </xf>
    <xf numFmtId="0" fontId="1" fillId="13" borderId="73" xfId="0" applyFont="1" applyFill="1" applyBorder="1" applyAlignment="1">
      <alignment horizontal="left" vertical="center" wrapText="1"/>
    </xf>
    <xf numFmtId="0" fontId="1" fillId="9" borderId="17" xfId="0" applyFont="1" applyFill="1" applyBorder="1" applyAlignment="1">
      <alignment horizontal="left" vertical="center" wrapText="1"/>
    </xf>
    <xf numFmtId="49" fontId="2" fillId="4" borderId="0" xfId="0" applyNumberFormat="1" applyFont="1" applyFill="1" applyAlignment="1">
      <alignment horizontal="center" vertical="top" wrapText="1"/>
    </xf>
    <xf numFmtId="0" fontId="1" fillId="9" borderId="17" xfId="0" applyFont="1" applyFill="1" applyBorder="1" applyAlignment="1">
      <alignment horizontal="center" vertical="center"/>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39" borderId="17" xfId="0" applyFont="1" applyFill="1" applyBorder="1" applyAlignment="1">
      <alignment horizontal="left" vertical="center" wrapText="1"/>
    </xf>
    <xf numFmtId="0" fontId="1" fillId="13" borderId="30" xfId="0" applyFont="1" applyFill="1" applyBorder="1" applyAlignment="1">
      <alignment horizontal="left" vertical="center" wrapText="1"/>
    </xf>
    <xf numFmtId="0" fontId="1" fillId="9" borderId="17" xfId="0" applyFont="1" applyFill="1" applyBorder="1" applyAlignment="1">
      <alignment horizontal="center" vertical="center" wrapText="1"/>
    </xf>
    <xf numFmtId="0" fontId="1" fillId="14" borderId="72" xfId="0" applyFont="1" applyFill="1" applyBorder="1" applyAlignment="1">
      <alignment horizontal="center" vertical="top"/>
    </xf>
    <xf numFmtId="0" fontId="1" fillId="14" borderId="74" xfId="0" applyFont="1" applyFill="1" applyBorder="1" applyAlignment="1">
      <alignment horizontal="left" vertical="top" wrapText="1"/>
    </xf>
    <xf numFmtId="0" fontId="1" fillId="14" borderId="70" xfId="0" applyFont="1" applyFill="1" applyBorder="1" applyAlignment="1">
      <alignment vertical="top"/>
    </xf>
    <xf numFmtId="0" fontId="1" fillId="14" borderId="71" xfId="0" applyFont="1" applyFill="1" applyBorder="1" applyAlignment="1">
      <alignment vertical="top" wrapText="1"/>
    </xf>
    <xf numFmtId="49" fontId="2" fillId="4" borderId="0" xfId="0" applyNumberFormat="1" applyFont="1" applyFill="1" applyAlignment="1">
      <alignment vertical="top" wrapText="1"/>
    </xf>
    <xf numFmtId="0" fontId="8" fillId="0" borderId="17" xfId="0" quotePrefix="1" applyFont="1" applyBorder="1" applyAlignment="1">
      <alignment vertical="top" wrapText="1"/>
    </xf>
    <xf numFmtId="0" fontId="1" fillId="15" borderId="7" xfId="0" applyFont="1" applyFill="1" applyBorder="1" applyAlignment="1">
      <alignment horizontal="left" vertical="top" wrapText="1"/>
    </xf>
    <xf numFmtId="49" fontId="1" fillId="16" borderId="34" xfId="0" applyNumberFormat="1" applyFont="1" applyFill="1" applyBorder="1" applyAlignment="1">
      <alignment horizontal="center" vertical="center" wrapText="1"/>
    </xf>
    <xf numFmtId="0" fontId="1" fillId="16" borderId="35" xfId="0" applyFont="1" applyFill="1" applyBorder="1" applyAlignment="1">
      <alignment horizontal="left" vertical="center" wrapText="1"/>
    </xf>
    <xf numFmtId="0" fontId="1" fillId="15" borderId="75" xfId="0" applyFont="1" applyFill="1" applyBorder="1" applyAlignment="1">
      <alignment horizontal="center" vertical="top"/>
    </xf>
    <xf numFmtId="0" fontId="1" fillId="15" borderId="76" xfId="0" applyFont="1" applyFill="1" applyBorder="1" applyAlignment="1">
      <alignment horizontal="left" vertical="top" wrapText="1"/>
    </xf>
    <xf numFmtId="49" fontId="1" fillId="16" borderId="75" xfId="0" applyNumberFormat="1" applyFont="1" applyFill="1" applyBorder="1" applyAlignment="1">
      <alignment horizontal="center" vertical="center" wrapText="1"/>
    </xf>
    <xf numFmtId="0" fontId="1" fillId="16" borderId="0" xfId="0" applyFont="1" applyFill="1" applyAlignment="1">
      <alignment horizontal="left" vertical="center" wrapText="1"/>
    </xf>
    <xf numFmtId="0" fontId="1" fillId="15" borderId="76" xfId="0" applyFont="1" applyFill="1" applyBorder="1" applyAlignment="1">
      <alignment horizontal="center" vertical="top" wrapText="1"/>
    </xf>
    <xf numFmtId="0" fontId="1" fillId="15" borderId="75" xfId="0" applyFont="1" applyFill="1" applyBorder="1" applyAlignment="1">
      <alignment vertical="top"/>
    </xf>
    <xf numFmtId="0" fontId="1" fillId="15" borderId="76" xfId="0" applyFont="1" applyFill="1" applyBorder="1" applyAlignment="1">
      <alignment vertical="top" wrapText="1"/>
    </xf>
    <xf numFmtId="0" fontId="0" fillId="0" borderId="17" xfId="0" applyBorder="1" applyAlignment="1">
      <alignment horizontal="center" vertical="top"/>
    </xf>
    <xf numFmtId="49" fontId="1" fillId="16" borderId="32" xfId="0" applyNumberFormat="1" applyFont="1" applyFill="1" applyBorder="1" applyAlignment="1">
      <alignment horizontal="center" vertical="center" wrapText="1"/>
    </xf>
    <xf numFmtId="0" fontId="1" fillId="16" borderId="77" xfId="0" applyFont="1" applyFill="1" applyBorder="1" applyAlignment="1">
      <alignment horizontal="left" vertical="center" wrapText="1"/>
    </xf>
    <xf numFmtId="0" fontId="1" fillId="16" borderId="35" xfId="0" applyFont="1" applyFill="1" applyBorder="1" applyAlignment="1">
      <alignment horizontal="center" vertical="center"/>
    </xf>
    <xf numFmtId="0" fontId="1" fillId="16" borderId="77" xfId="0" applyFont="1" applyFill="1" applyBorder="1" applyAlignment="1">
      <alignment horizontal="center" vertical="center"/>
    </xf>
    <xf numFmtId="0" fontId="30" fillId="0" borderId="17" xfId="0" applyFont="1" applyBorder="1" applyAlignment="1">
      <alignment vertical="top" wrapText="1"/>
    </xf>
    <xf numFmtId="0" fontId="0" fillId="40" borderId="17" xfId="0" applyFill="1" applyBorder="1" applyAlignment="1">
      <alignment horizontal="center" vertical="center" wrapText="1"/>
    </xf>
    <xf numFmtId="0" fontId="1" fillId="15" borderId="78" xfId="0" applyFont="1" applyFill="1" applyBorder="1" applyAlignment="1">
      <alignment horizontal="center" vertical="top" wrapText="1"/>
    </xf>
    <xf numFmtId="0" fontId="1" fillId="15" borderId="79" xfId="0" applyFont="1" applyFill="1" applyBorder="1" applyAlignment="1">
      <alignment horizontal="center" vertical="top" wrapText="1"/>
    </xf>
    <xf numFmtId="0" fontId="1" fillId="18" borderId="37" xfId="0" applyFont="1" applyFill="1" applyBorder="1" applyAlignment="1">
      <alignment horizontal="center" vertical="top"/>
    </xf>
    <xf numFmtId="0" fontId="1" fillId="18" borderId="8" xfId="0" applyFont="1" applyFill="1" applyBorder="1" applyAlignment="1">
      <alignment horizontal="left" vertical="top" wrapText="1"/>
    </xf>
    <xf numFmtId="49" fontId="1" fillId="17" borderId="37" xfId="0" applyNumberFormat="1" applyFont="1" applyFill="1" applyBorder="1" applyAlignment="1">
      <alignment horizontal="center" vertical="center" wrapText="1"/>
    </xf>
    <xf numFmtId="0" fontId="1" fillId="17" borderId="0" xfId="0" applyFont="1" applyFill="1" applyAlignment="1">
      <alignment horizontal="left" vertical="center" wrapText="1"/>
    </xf>
    <xf numFmtId="0" fontId="6" fillId="0" borderId="17" xfId="0" applyFont="1" applyBorder="1" applyAlignment="1">
      <alignment horizontal="center" vertical="center" wrapText="1"/>
    </xf>
    <xf numFmtId="49" fontId="1" fillId="17" borderId="80" xfId="0" applyNumberFormat="1" applyFont="1" applyFill="1" applyBorder="1" applyAlignment="1">
      <alignment horizontal="center" vertical="center" wrapText="1"/>
    </xf>
    <xf numFmtId="0" fontId="1" fillId="17" borderId="81" xfId="0" applyFont="1" applyFill="1" applyBorder="1" applyAlignment="1">
      <alignment horizontal="left" vertical="center" wrapText="1"/>
    </xf>
    <xf numFmtId="0" fontId="33" fillId="0" borderId="17" xfId="0" applyFont="1" applyBorder="1" applyAlignment="1">
      <alignment vertical="top" wrapText="1"/>
    </xf>
    <xf numFmtId="49" fontId="1" fillId="17" borderId="38" xfId="0" applyNumberFormat="1" applyFont="1" applyFill="1" applyBorder="1" applyAlignment="1">
      <alignment horizontal="center" vertical="center" wrapText="1"/>
    </xf>
    <xf numFmtId="0" fontId="1" fillId="17" borderId="39" xfId="0" applyFont="1" applyFill="1" applyBorder="1" applyAlignment="1">
      <alignment horizontal="left" vertical="center" wrapText="1"/>
    </xf>
    <xf numFmtId="0" fontId="4" fillId="17" borderId="39" xfId="0" applyFont="1" applyFill="1" applyBorder="1" applyAlignment="1">
      <alignment horizontal="left" vertical="center" wrapText="1"/>
    </xf>
    <xf numFmtId="0" fontId="12" fillId="0" borderId="17" xfId="0" applyFont="1" applyBorder="1" applyAlignment="1">
      <alignment horizontal="left" vertical="center" wrapText="1"/>
    </xf>
    <xf numFmtId="0" fontId="6" fillId="17" borderId="39" xfId="0" applyFont="1" applyFill="1" applyBorder="1" applyAlignment="1">
      <alignment horizontal="left" vertical="center" wrapText="1"/>
    </xf>
    <xf numFmtId="0" fontId="1" fillId="17" borderId="38" xfId="0" applyFont="1" applyFill="1" applyBorder="1" applyAlignment="1">
      <alignment horizontal="center" vertical="center"/>
    </xf>
    <xf numFmtId="0" fontId="1" fillId="17" borderId="37" xfId="0" applyFont="1" applyFill="1" applyBorder="1" applyAlignment="1">
      <alignment horizontal="center" vertical="center"/>
    </xf>
    <xf numFmtId="0" fontId="1" fillId="17" borderId="80" xfId="0" applyFont="1" applyFill="1" applyBorder="1" applyAlignment="1">
      <alignment horizontal="center" vertical="center"/>
    </xf>
    <xf numFmtId="0" fontId="7" fillId="17" borderId="39" xfId="0" applyFont="1" applyFill="1" applyBorder="1" applyAlignment="1">
      <alignment horizontal="left" vertical="center" wrapText="1"/>
    </xf>
    <xf numFmtId="0" fontId="1" fillId="18" borderId="80" xfId="0" applyFont="1" applyFill="1" applyBorder="1" applyAlignment="1">
      <alignment horizontal="center" vertical="top"/>
    </xf>
    <xf numFmtId="0" fontId="1" fillId="18" borderId="82" xfId="0" applyFont="1" applyFill="1" applyBorder="1" applyAlignment="1">
      <alignment horizontal="left" vertical="top" wrapText="1"/>
    </xf>
    <xf numFmtId="49" fontId="2" fillId="37" borderId="0" xfId="0" applyNumberFormat="1" applyFont="1" applyFill="1" applyAlignment="1">
      <alignment horizontal="center" vertical="top" wrapText="1"/>
    </xf>
    <xf numFmtId="0" fontId="1" fillId="18" borderId="40" xfId="0" applyFont="1" applyFill="1" applyBorder="1" applyAlignment="1">
      <alignment horizontal="center" vertical="top"/>
    </xf>
    <xf numFmtId="0" fontId="1" fillId="18" borderId="9" xfId="0" applyFont="1" applyFill="1" applyBorder="1" applyAlignment="1">
      <alignment horizontal="left" vertical="top" wrapText="1"/>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1" fillId="19" borderId="12" xfId="0" applyFont="1" applyFill="1" applyBorder="1" applyAlignment="1">
      <alignment horizontal="center" vertical="top"/>
    </xf>
    <xf numFmtId="0" fontId="1" fillId="19" borderId="12" xfId="0" applyFont="1" applyFill="1" applyBorder="1" applyAlignment="1">
      <alignment horizontal="left" vertical="top" wrapText="1"/>
    </xf>
    <xf numFmtId="0" fontId="1" fillId="23" borderId="42" xfId="0" applyFont="1" applyFill="1" applyBorder="1" applyAlignment="1">
      <alignment horizontal="center" vertical="center" wrapText="1"/>
    </xf>
    <xf numFmtId="0" fontId="1" fillId="23" borderId="12" xfId="0" applyFont="1" applyFill="1" applyBorder="1" applyAlignment="1">
      <alignment horizontal="left" vertical="center" wrapText="1"/>
    </xf>
    <xf numFmtId="0" fontId="1" fillId="34" borderId="17" xfId="0" applyFont="1" applyFill="1" applyBorder="1" applyAlignment="1">
      <alignment horizontal="center" vertical="center"/>
    </xf>
    <xf numFmtId="0" fontId="1" fillId="34" borderId="17" xfId="0" applyFont="1" applyFill="1" applyBorder="1" applyAlignment="1">
      <alignment horizontal="center" vertical="center" wrapText="1"/>
    </xf>
    <xf numFmtId="0" fontId="0" fillId="34" borderId="17" xfId="0" applyFill="1" applyBorder="1" applyAlignment="1">
      <alignment horizontal="center" vertical="center"/>
    </xf>
    <xf numFmtId="0" fontId="0" fillId="0" borderId="17" xfId="0" applyBorder="1" applyAlignment="1">
      <alignment vertical="center" wrapText="1"/>
    </xf>
    <xf numFmtId="0" fontId="0" fillId="0" borderId="17" xfId="0" applyBorder="1" applyAlignment="1">
      <alignment vertical="center"/>
    </xf>
    <xf numFmtId="0" fontId="0" fillId="35" borderId="17" xfId="0" applyFill="1" applyBorder="1" applyAlignment="1">
      <alignment vertical="center"/>
    </xf>
    <xf numFmtId="0" fontId="1" fillId="19" borderId="0" xfId="0" applyFont="1" applyFill="1" applyAlignment="1">
      <alignment horizontal="center" vertical="top"/>
    </xf>
    <xf numFmtId="0" fontId="1" fillId="19" borderId="0" xfId="0" applyFont="1" applyFill="1" applyAlignment="1">
      <alignment horizontal="left" vertical="top" wrapText="1"/>
    </xf>
    <xf numFmtId="0" fontId="1" fillId="23" borderId="83" xfId="0" applyFont="1" applyFill="1" applyBorder="1" applyAlignment="1">
      <alignment horizontal="center" vertical="center" wrapText="1"/>
    </xf>
    <xf numFmtId="0" fontId="1" fillId="23" borderId="0" xfId="0" applyFont="1" applyFill="1" applyAlignment="1">
      <alignment horizontal="left" vertical="center" wrapText="1"/>
    </xf>
    <xf numFmtId="0" fontId="28" fillId="0" borderId="17" xfId="0" applyFont="1" applyBorder="1" applyAlignment="1">
      <alignment vertical="center"/>
    </xf>
    <xf numFmtId="0" fontId="1" fillId="23" borderId="84" xfId="0" applyFont="1" applyFill="1" applyBorder="1" applyAlignment="1">
      <alignment horizontal="center" vertical="center" wrapText="1"/>
    </xf>
    <xf numFmtId="0" fontId="1" fillId="23" borderId="85" xfId="0" applyFont="1" applyFill="1" applyBorder="1" applyAlignment="1">
      <alignment horizontal="left" vertical="center" wrapText="1"/>
    </xf>
    <xf numFmtId="0" fontId="1" fillId="23" borderId="12" xfId="0" applyFont="1" applyFill="1" applyBorder="1" applyAlignment="1">
      <alignment horizontal="left" vertical="center" wrapText="1"/>
    </xf>
    <xf numFmtId="0" fontId="5" fillId="8" borderId="0" xfId="0" applyFont="1" applyFill="1" applyAlignment="1">
      <alignment vertical="top" wrapText="1"/>
    </xf>
    <xf numFmtId="0" fontId="1" fillId="19" borderId="0" xfId="0" applyFont="1" applyFill="1" applyAlignment="1">
      <alignment vertical="top"/>
    </xf>
    <xf numFmtId="0" fontId="1" fillId="22" borderId="86" xfId="0" applyFont="1" applyFill="1" applyBorder="1" applyAlignment="1">
      <alignment vertical="top" wrapText="1"/>
    </xf>
    <xf numFmtId="0" fontId="1" fillId="23" borderId="43" xfId="0" applyFont="1" applyFill="1" applyBorder="1" applyAlignment="1">
      <alignment horizontal="center" vertical="center" wrapText="1"/>
    </xf>
    <xf numFmtId="0" fontId="1" fillId="23" borderId="44" xfId="0" applyFont="1" applyFill="1" applyBorder="1" applyAlignment="1">
      <alignment horizontal="left" vertical="center" wrapText="1"/>
    </xf>
    <xf numFmtId="0" fontId="4" fillId="0" borderId="17" xfId="0" applyFont="1" applyBorder="1" applyAlignment="1">
      <alignment horizontal="left" vertical="center" wrapText="1"/>
    </xf>
    <xf numFmtId="0" fontId="1" fillId="23" borderId="83" xfId="0" applyFont="1" applyFill="1" applyBorder="1" applyAlignment="1">
      <alignment vertical="center" wrapText="1"/>
    </xf>
    <xf numFmtId="0" fontId="1" fillId="23" borderId="0" xfId="0" applyFont="1" applyFill="1" applyAlignment="1">
      <alignment vertical="center" wrapText="1"/>
    </xf>
    <xf numFmtId="0" fontId="1" fillId="23" borderId="83" xfId="0" applyFont="1" applyFill="1" applyBorder="1" applyAlignment="1">
      <alignment horizontal="center" vertical="center" wrapText="1"/>
    </xf>
    <xf numFmtId="0" fontId="1" fillId="23" borderId="0" xfId="0" applyFont="1" applyFill="1" applyAlignment="1">
      <alignment horizontal="left" vertical="center" wrapText="1"/>
    </xf>
    <xf numFmtId="0" fontId="0" fillId="35" borderId="17" xfId="0" applyFill="1" applyBorder="1" applyAlignment="1">
      <alignment vertical="center" wrapText="1"/>
    </xf>
    <xf numFmtId="0" fontId="34" fillId="0" borderId="17" xfId="0" applyFont="1" applyBorder="1" applyAlignment="1">
      <alignment vertical="top" wrapText="1"/>
    </xf>
    <xf numFmtId="0" fontId="28" fillId="0" borderId="17" xfId="0" applyFont="1" applyBorder="1" applyAlignment="1">
      <alignment vertical="center" wrapText="1"/>
    </xf>
    <xf numFmtId="0" fontId="0" fillId="34" borderId="17" xfId="0" applyFill="1" applyBorder="1" applyAlignment="1">
      <alignment vertical="center" wrapText="1"/>
    </xf>
    <xf numFmtId="0" fontId="1" fillId="23" borderId="87" xfId="0" applyFont="1" applyFill="1" applyBorder="1" applyAlignment="1">
      <alignment horizontal="center" vertical="center" wrapText="1"/>
    </xf>
    <xf numFmtId="0" fontId="1" fillId="23" borderId="88" xfId="0" applyFont="1" applyFill="1" applyBorder="1" applyAlignment="1">
      <alignment horizontal="left" vertical="center" wrapText="1"/>
    </xf>
    <xf numFmtId="0" fontId="1" fillId="0" borderId="0" xfId="0" applyFont="1"/>
    <xf numFmtId="0" fontId="14" fillId="18" borderId="49" xfId="0" applyFont="1" applyFill="1" applyBorder="1" applyAlignment="1">
      <alignment vertical="center"/>
    </xf>
    <xf numFmtId="0" fontId="37" fillId="0" borderId="0" xfId="0" applyFont="1"/>
    <xf numFmtId="0" fontId="13" fillId="20" borderId="55" xfId="0" applyFont="1" applyFill="1" applyBorder="1" applyAlignment="1">
      <alignment horizontal="center" vertical="center"/>
    </xf>
    <xf numFmtId="0" fontId="13" fillId="14" borderId="55" xfId="0" applyFont="1" applyFill="1" applyBorder="1" applyAlignment="1">
      <alignment horizontal="center" vertical="center"/>
    </xf>
    <xf numFmtId="0" fontId="13" fillId="32" borderId="55" xfId="0" applyFont="1" applyFill="1" applyBorder="1" applyAlignment="1">
      <alignment horizontal="center" vertical="center"/>
    </xf>
    <xf numFmtId="0" fontId="13" fillId="13" borderId="55" xfId="0" applyFont="1" applyFill="1" applyBorder="1" applyAlignment="1">
      <alignment horizontal="center" vertical="center"/>
    </xf>
    <xf numFmtId="0" fontId="13" fillId="16" borderId="55" xfId="0" applyFont="1" applyFill="1" applyBorder="1" applyAlignment="1">
      <alignment horizontal="center" vertical="center"/>
    </xf>
    <xf numFmtId="0" fontId="13" fillId="37" borderId="55" xfId="0" applyFont="1" applyFill="1" applyBorder="1" applyAlignment="1">
      <alignment horizontal="center" vertical="center"/>
    </xf>
    <xf numFmtId="0" fontId="13" fillId="38" borderId="55" xfId="0" applyFont="1" applyFill="1" applyBorder="1" applyAlignment="1">
      <alignment horizontal="center" vertical="center"/>
    </xf>
    <xf numFmtId="0" fontId="13" fillId="26" borderId="17" xfId="0" applyFont="1" applyFill="1" applyBorder="1" applyAlignment="1">
      <alignment horizontal="center" vertical="center" wrapText="1"/>
    </xf>
    <xf numFmtId="1" fontId="13" fillId="32" borderId="17" xfId="0" applyNumberFormat="1"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ABC20"/>
      <color rgb="FFAE8055"/>
      <color rgb="FFDCC8B6"/>
      <color rgb="FFC5A385"/>
      <color rgb="FF3D9B35"/>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17/04476/PN_CTF/PNCTF/3.%20PLANIFICACI&#211;/3.1.%20PLANS/3.1.3.%20Plans%20espec&#237;fics/Pla_Estrategic_PNCTF/Document%20final%20treball/DEF/Aprovat_JR_20251125/Pla%20Estrategic_PNCTF_20251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workbookViewId="0">
      <selection activeCell="B8" sqref="B8"/>
    </sheetView>
  </sheetViews>
  <sheetFormatPr defaultRowHeight="15"/>
  <cols>
    <col min="1" max="1" width="19.42578125" style="88" customWidth="1"/>
    <col min="2" max="2" width="95.7109375" style="88" customWidth="1"/>
  </cols>
  <sheetData>
    <row r="2" spans="1:2" ht="30">
      <c r="A2" s="89" t="s">
        <v>590</v>
      </c>
      <c r="B2" s="90" t="s">
        <v>636</v>
      </c>
    </row>
    <row r="3" spans="1:2">
      <c r="A3" s="89" t="s">
        <v>765</v>
      </c>
      <c r="B3" s="90" t="s">
        <v>764</v>
      </c>
    </row>
    <row r="4" spans="1:2" ht="30">
      <c r="A4" s="89" t="s">
        <v>591</v>
      </c>
      <c r="B4" s="90" t="s">
        <v>596</v>
      </c>
    </row>
    <row r="5" spans="1:2">
      <c r="A5" s="89" t="s">
        <v>592</v>
      </c>
      <c r="B5" s="90" t="s">
        <v>597</v>
      </c>
    </row>
    <row r="6" spans="1:2" ht="30">
      <c r="A6" s="89" t="s">
        <v>593</v>
      </c>
      <c r="B6" s="90" t="s">
        <v>598</v>
      </c>
    </row>
    <row r="7" spans="1:2">
      <c r="A7" s="89" t="s">
        <v>605</v>
      </c>
      <c r="B7" s="90" t="s">
        <v>606</v>
      </c>
    </row>
    <row r="8" spans="1:2" ht="30">
      <c r="A8" s="89" t="s">
        <v>762</v>
      </c>
      <c r="B8" s="90" t="s">
        <v>763</v>
      </c>
    </row>
    <row r="9" spans="1:2" ht="30">
      <c r="A9" s="89" t="s">
        <v>594</v>
      </c>
      <c r="B9" s="90" t="s">
        <v>599</v>
      </c>
    </row>
    <row r="10" spans="1:2">
      <c r="A10" s="89" t="s">
        <v>603</v>
      </c>
      <c r="B10" s="90" t="s">
        <v>604</v>
      </c>
    </row>
    <row r="11" spans="1:2" ht="75">
      <c r="A11" s="89" t="s">
        <v>595</v>
      </c>
      <c r="B11" s="90" t="s">
        <v>601</v>
      </c>
    </row>
    <row r="14" spans="1:2" ht="105">
      <c r="A14" s="91" t="s">
        <v>602</v>
      </c>
      <c r="B14" s="90" t="s">
        <v>766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N50"/>
  <sheetViews>
    <sheetView tabSelected="1" workbookViewId="0">
      <pane xSplit="1" ySplit="3" topLeftCell="C4" activePane="bottomRight" state="frozen"/>
      <selection pane="topRight" activeCell="B1" sqref="B1"/>
      <selection pane="bottomLeft" activeCell="A4" sqref="A4"/>
      <selection pane="bottomRight" activeCell="J6" sqref="J6"/>
    </sheetView>
  </sheetViews>
  <sheetFormatPr defaultRowHeight="15"/>
  <cols>
    <col min="1" max="1" width="21.42578125" customWidth="1"/>
    <col min="2" max="2" width="16.140625" customWidth="1"/>
    <col min="3" max="3" width="38.140625" customWidth="1"/>
    <col min="4" max="4" width="27.42578125" style="173" customWidth="1"/>
    <col min="5" max="5" width="31.140625" customWidth="1"/>
    <col min="6" max="6" width="20.42578125" style="104" customWidth="1"/>
    <col min="7" max="7" width="29" customWidth="1"/>
    <col min="8" max="8" width="21.28515625" customWidth="1"/>
    <col min="9" max="9" width="38.42578125" customWidth="1"/>
    <col min="10" max="10" width="12.140625" style="157" customWidth="1"/>
    <col min="11" max="11" width="23" style="173" customWidth="1"/>
    <col min="12" max="12" width="26.5703125" customWidth="1"/>
    <col min="13" max="13" width="22.42578125" customWidth="1"/>
    <col min="14" max="14" width="18.42578125" style="427" customWidth="1"/>
  </cols>
  <sheetData>
    <row r="1" spans="1:14">
      <c r="C1" s="86" t="s">
        <v>781</v>
      </c>
      <c r="D1" s="172"/>
      <c r="E1" s="85"/>
      <c r="F1" s="103"/>
      <c r="G1" s="85"/>
      <c r="I1" s="117"/>
    </row>
    <row r="2" spans="1:14" ht="15.75" thickBot="1"/>
    <row r="3" spans="1:14" s="119" customFormat="1" ht="39" thickBot="1">
      <c r="A3" s="94" t="s">
        <v>449</v>
      </c>
      <c r="B3" s="110" t="s">
        <v>622</v>
      </c>
      <c r="C3" s="95" t="s">
        <v>573</v>
      </c>
      <c r="D3" s="95" t="s">
        <v>574</v>
      </c>
      <c r="E3" s="96" t="s">
        <v>575</v>
      </c>
      <c r="F3" s="118" t="s">
        <v>615</v>
      </c>
      <c r="G3" s="96" t="s">
        <v>623</v>
      </c>
      <c r="H3" s="214" t="s">
        <v>628</v>
      </c>
      <c r="I3" s="96" t="s">
        <v>577</v>
      </c>
      <c r="J3" s="213" t="s">
        <v>3</v>
      </c>
      <c r="K3" s="182" t="s">
        <v>576</v>
      </c>
      <c r="L3" s="211" t="s">
        <v>589</v>
      </c>
      <c r="M3" s="212" t="s">
        <v>920</v>
      </c>
      <c r="N3" s="428" t="s">
        <v>921</v>
      </c>
    </row>
    <row r="4" spans="1:14" s="127" customFormat="1" ht="36">
      <c r="A4" s="191" t="s">
        <v>788</v>
      </c>
      <c r="B4" s="192"/>
      <c r="C4" s="192" t="s">
        <v>813</v>
      </c>
      <c r="D4" s="193" t="s">
        <v>814</v>
      </c>
      <c r="E4" s="192" t="s">
        <v>815</v>
      </c>
      <c r="F4" s="194" t="s">
        <v>616</v>
      </c>
      <c r="G4" s="194" t="s">
        <v>638</v>
      </c>
      <c r="H4" s="192"/>
      <c r="I4" s="194" t="s">
        <v>587</v>
      </c>
      <c r="J4" s="195">
        <v>3500</v>
      </c>
      <c r="K4" s="193">
        <v>25</v>
      </c>
      <c r="L4" s="192"/>
      <c r="M4" s="215" t="s">
        <v>956</v>
      </c>
      <c r="N4" s="430" t="s">
        <v>940</v>
      </c>
    </row>
    <row r="5" spans="1:14" s="128" customFormat="1" ht="36">
      <c r="A5" s="191" t="s">
        <v>789</v>
      </c>
      <c r="B5" s="192"/>
      <c r="C5" s="192" t="s">
        <v>816</v>
      </c>
      <c r="D5" s="193" t="s">
        <v>814</v>
      </c>
      <c r="E5" s="192" t="s">
        <v>787</v>
      </c>
      <c r="F5" s="194" t="s">
        <v>616</v>
      </c>
      <c r="G5" s="194" t="s">
        <v>638</v>
      </c>
      <c r="H5" s="192"/>
      <c r="I5" s="194" t="s">
        <v>635</v>
      </c>
      <c r="J5" s="195">
        <v>8000</v>
      </c>
      <c r="K5" s="193">
        <v>25</v>
      </c>
      <c r="L5" s="192"/>
      <c r="M5" s="216" t="s">
        <v>956</v>
      </c>
      <c r="N5" s="430" t="s">
        <v>1046</v>
      </c>
    </row>
    <row r="6" spans="1:14" s="128" customFormat="1" ht="24">
      <c r="A6" s="191" t="s">
        <v>822</v>
      </c>
      <c r="B6" s="196" t="s">
        <v>842</v>
      </c>
      <c r="C6" s="197" t="s">
        <v>843</v>
      </c>
      <c r="D6" s="198" t="s">
        <v>844</v>
      </c>
      <c r="E6" s="194"/>
      <c r="F6" s="194" t="s">
        <v>616</v>
      </c>
      <c r="G6" s="194" t="s">
        <v>637</v>
      </c>
      <c r="H6" s="194" t="s">
        <v>706</v>
      </c>
      <c r="I6" s="194" t="s">
        <v>578</v>
      </c>
      <c r="J6" s="199">
        <v>15000</v>
      </c>
      <c r="K6" s="200">
        <v>25</v>
      </c>
      <c r="L6" s="194"/>
      <c r="M6" s="216" t="s">
        <v>1362</v>
      </c>
      <c r="N6" s="430" t="s">
        <v>1046</v>
      </c>
    </row>
    <row r="7" spans="1:14" s="128" customFormat="1" ht="72">
      <c r="A7" s="191" t="s">
        <v>823</v>
      </c>
      <c r="B7" s="196" t="s">
        <v>863</v>
      </c>
      <c r="C7" s="197" t="s">
        <v>864</v>
      </c>
      <c r="D7" s="198" t="s">
        <v>865</v>
      </c>
      <c r="E7" s="194"/>
      <c r="F7" s="194" t="s">
        <v>616</v>
      </c>
      <c r="G7" s="194" t="s">
        <v>637</v>
      </c>
      <c r="H7" s="194" t="s">
        <v>916</v>
      </c>
      <c r="I7" s="194"/>
      <c r="J7" s="199">
        <v>3500</v>
      </c>
      <c r="K7" s="200">
        <v>25</v>
      </c>
      <c r="L7" s="194"/>
      <c r="M7" s="216" t="s">
        <v>1013</v>
      </c>
      <c r="N7" s="430" t="s">
        <v>1046</v>
      </c>
    </row>
    <row r="8" spans="1:14" s="128" customFormat="1" ht="24">
      <c r="A8" s="191" t="s">
        <v>824</v>
      </c>
      <c r="B8" s="196" t="s">
        <v>866</v>
      </c>
      <c r="C8" s="197" t="s">
        <v>867</v>
      </c>
      <c r="D8" s="198" t="s">
        <v>865</v>
      </c>
      <c r="E8" s="194" t="s">
        <v>868</v>
      </c>
      <c r="F8" s="194" t="s">
        <v>616</v>
      </c>
      <c r="G8" s="194" t="s">
        <v>637</v>
      </c>
      <c r="H8" s="194" t="s">
        <v>706</v>
      </c>
      <c r="I8" s="194" t="s">
        <v>578</v>
      </c>
      <c r="J8" s="199">
        <v>10000</v>
      </c>
      <c r="K8" s="200">
        <v>25</v>
      </c>
      <c r="L8" s="194"/>
      <c r="M8" s="216" t="s">
        <v>1013</v>
      </c>
      <c r="N8" s="430" t="s">
        <v>1046</v>
      </c>
    </row>
    <row r="9" spans="1:14" s="128" customFormat="1" ht="24">
      <c r="A9" s="191" t="s">
        <v>825</v>
      </c>
      <c r="B9" s="196" t="s">
        <v>873</v>
      </c>
      <c r="C9" s="197" t="s">
        <v>869</v>
      </c>
      <c r="D9" s="198" t="s">
        <v>814</v>
      </c>
      <c r="E9" s="194" t="s">
        <v>870</v>
      </c>
      <c r="F9" s="194" t="s">
        <v>616</v>
      </c>
      <c r="G9" s="194" t="s">
        <v>637</v>
      </c>
      <c r="H9" s="194" t="s">
        <v>706</v>
      </c>
      <c r="I9" s="194" t="s">
        <v>578</v>
      </c>
      <c r="J9" s="199">
        <v>4500</v>
      </c>
      <c r="K9" s="200">
        <v>25</v>
      </c>
      <c r="L9" s="194"/>
      <c r="M9" s="216" t="s">
        <v>1013</v>
      </c>
      <c r="N9" s="430" t="s">
        <v>1046</v>
      </c>
    </row>
    <row r="10" spans="1:14" s="128" customFormat="1" ht="24">
      <c r="A10" s="191" t="s">
        <v>826</v>
      </c>
      <c r="B10" s="196" t="s">
        <v>874</v>
      </c>
      <c r="C10" s="197" t="s">
        <v>871</v>
      </c>
      <c r="D10" s="198" t="s">
        <v>872</v>
      </c>
      <c r="E10" s="194"/>
      <c r="F10" s="194" t="s">
        <v>616</v>
      </c>
      <c r="G10" s="194" t="s">
        <v>637</v>
      </c>
      <c r="H10" s="194" t="s">
        <v>706</v>
      </c>
      <c r="I10" s="194" t="s">
        <v>578</v>
      </c>
      <c r="J10" s="199">
        <v>3500</v>
      </c>
      <c r="K10" s="200">
        <v>25</v>
      </c>
      <c r="L10" s="194"/>
      <c r="M10" s="216" t="s">
        <v>1013</v>
      </c>
      <c r="N10" s="430" t="s">
        <v>1046</v>
      </c>
    </row>
    <row r="11" spans="1:14" s="128" customFormat="1" ht="24">
      <c r="A11" s="191" t="s">
        <v>827</v>
      </c>
      <c r="B11" s="196" t="s">
        <v>875</v>
      </c>
      <c r="C11" s="197" t="s">
        <v>876</v>
      </c>
      <c r="D11" s="198" t="s">
        <v>877</v>
      </c>
      <c r="E11" s="194" t="s">
        <v>878</v>
      </c>
      <c r="F11" s="194" t="s">
        <v>616</v>
      </c>
      <c r="G11" s="194" t="s">
        <v>637</v>
      </c>
      <c r="H11" s="194" t="s">
        <v>706</v>
      </c>
      <c r="I11" s="194" t="s">
        <v>580</v>
      </c>
      <c r="J11" s="199">
        <v>2000</v>
      </c>
      <c r="K11" s="200">
        <v>25</v>
      </c>
      <c r="L11" s="194"/>
      <c r="M11" s="216" t="s">
        <v>1013</v>
      </c>
      <c r="N11" s="430" t="s">
        <v>1046</v>
      </c>
    </row>
    <row r="12" spans="1:14" s="128" customFormat="1" ht="36">
      <c r="A12" s="191" t="s">
        <v>828</v>
      </c>
      <c r="B12" s="196" t="s">
        <v>883</v>
      </c>
      <c r="C12" s="197" t="s">
        <v>884</v>
      </c>
      <c r="D12" s="198" t="s">
        <v>885</v>
      </c>
      <c r="E12" s="194" t="s">
        <v>886</v>
      </c>
      <c r="F12" s="194" t="s">
        <v>616</v>
      </c>
      <c r="G12" s="194" t="s">
        <v>637</v>
      </c>
      <c r="H12" s="194" t="s">
        <v>680</v>
      </c>
      <c r="I12" s="194" t="s">
        <v>587</v>
      </c>
      <c r="J12" s="199">
        <v>4000</v>
      </c>
      <c r="K12" s="200">
        <v>25</v>
      </c>
      <c r="L12" s="194"/>
      <c r="M12" s="216" t="s">
        <v>956</v>
      </c>
      <c r="N12" s="430" t="s">
        <v>1046</v>
      </c>
    </row>
    <row r="13" spans="1:14" s="128" customFormat="1" ht="24">
      <c r="A13" s="191" t="s">
        <v>829</v>
      </c>
      <c r="B13" s="196" t="s">
        <v>887</v>
      </c>
      <c r="C13" s="197" t="s">
        <v>888</v>
      </c>
      <c r="D13" s="198" t="s">
        <v>889</v>
      </c>
      <c r="E13" s="194" t="s">
        <v>878</v>
      </c>
      <c r="F13" s="194" t="s">
        <v>616</v>
      </c>
      <c r="G13" s="194" t="s">
        <v>637</v>
      </c>
      <c r="H13" s="194" t="s">
        <v>706</v>
      </c>
      <c r="I13" s="194" t="s">
        <v>578</v>
      </c>
      <c r="J13" s="199">
        <v>6000</v>
      </c>
      <c r="K13" s="200">
        <v>25</v>
      </c>
      <c r="L13" s="194"/>
      <c r="M13" s="216" t="s">
        <v>1013</v>
      </c>
      <c r="N13" s="430" t="s">
        <v>940</v>
      </c>
    </row>
    <row r="14" spans="1:14" s="128" customFormat="1" ht="36">
      <c r="A14" s="191" t="s">
        <v>890</v>
      </c>
      <c r="B14" s="196" t="s">
        <v>891</v>
      </c>
      <c r="C14" s="197" t="s">
        <v>892</v>
      </c>
      <c r="D14" s="198" t="s">
        <v>877</v>
      </c>
      <c r="E14" s="194"/>
      <c r="F14" s="194" t="s">
        <v>608</v>
      </c>
      <c r="G14" s="194" t="s">
        <v>637</v>
      </c>
      <c r="H14" s="194" t="s">
        <v>690</v>
      </c>
      <c r="I14" s="194" t="s">
        <v>581</v>
      </c>
      <c r="J14" s="199">
        <v>500</v>
      </c>
      <c r="K14" s="200">
        <v>25</v>
      </c>
      <c r="L14" s="194"/>
      <c r="M14" s="216" t="s">
        <v>1013</v>
      </c>
      <c r="N14" s="430" t="s">
        <v>1046</v>
      </c>
    </row>
    <row r="15" spans="1:14" s="128" customFormat="1" ht="24">
      <c r="A15" s="191" t="s">
        <v>893</v>
      </c>
      <c r="B15" s="196"/>
      <c r="C15" s="197" t="s">
        <v>894</v>
      </c>
      <c r="D15" s="198" t="s">
        <v>865</v>
      </c>
      <c r="E15" s="194"/>
      <c r="F15" s="194" t="s">
        <v>608</v>
      </c>
      <c r="G15" s="194" t="s">
        <v>638</v>
      </c>
      <c r="H15" s="194"/>
      <c r="I15" s="194" t="s">
        <v>583</v>
      </c>
      <c r="J15" s="199">
        <v>35000</v>
      </c>
      <c r="K15" s="200">
        <v>25</v>
      </c>
      <c r="L15" s="194"/>
      <c r="M15" s="216" t="s">
        <v>1362</v>
      </c>
      <c r="N15" s="430" t="s">
        <v>1046</v>
      </c>
    </row>
    <row r="16" spans="1:14" s="128" customFormat="1" ht="72">
      <c r="A16" s="171" t="s">
        <v>845</v>
      </c>
      <c r="B16" s="111" t="s">
        <v>851</v>
      </c>
      <c r="C16" s="129" t="s">
        <v>852</v>
      </c>
      <c r="D16" s="130" t="s">
        <v>853</v>
      </c>
      <c r="E16" s="121"/>
      <c r="F16" s="97" t="s">
        <v>609</v>
      </c>
      <c r="G16" s="131" t="s">
        <v>637</v>
      </c>
      <c r="H16" s="97" t="s">
        <v>916</v>
      </c>
      <c r="I16" s="131" t="s">
        <v>635</v>
      </c>
      <c r="J16" s="158">
        <v>15000</v>
      </c>
      <c r="K16" s="183">
        <v>25</v>
      </c>
      <c r="L16" s="121"/>
      <c r="M16" s="217" t="s">
        <v>1362</v>
      </c>
      <c r="N16" s="431" t="s">
        <v>1046</v>
      </c>
    </row>
    <row r="17" spans="1:14" s="128" customFormat="1" ht="72">
      <c r="A17" s="201" t="s">
        <v>846</v>
      </c>
      <c r="B17" s="202" t="s">
        <v>857</v>
      </c>
      <c r="C17" s="203" t="s">
        <v>856</v>
      </c>
      <c r="D17" s="204" t="s">
        <v>854</v>
      </c>
      <c r="E17" s="205" t="s">
        <v>855</v>
      </c>
      <c r="F17" s="206" t="s">
        <v>609</v>
      </c>
      <c r="G17" s="207" t="s">
        <v>637</v>
      </c>
      <c r="H17" s="205" t="s">
        <v>916</v>
      </c>
      <c r="I17" s="207" t="s">
        <v>635</v>
      </c>
      <c r="J17" s="208">
        <v>17000</v>
      </c>
      <c r="K17" s="209">
        <v>25</v>
      </c>
      <c r="L17" s="210"/>
      <c r="M17" s="217" t="s">
        <v>1362</v>
      </c>
      <c r="N17" s="431" t="s">
        <v>1046</v>
      </c>
    </row>
    <row r="18" spans="1:14" s="128" customFormat="1" ht="24">
      <c r="A18" s="201" t="s">
        <v>847</v>
      </c>
      <c r="B18" s="202" t="s">
        <v>858</v>
      </c>
      <c r="C18" s="203" t="s">
        <v>859</v>
      </c>
      <c r="D18" s="204" t="s">
        <v>860</v>
      </c>
      <c r="E18" s="205" t="s">
        <v>854</v>
      </c>
      <c r="F18" s="206" t="s">
        <v>609</v>
      </c>
      <c r="G18" s="207" t="s">
        <v>637</v>
      </c>
      <c r="H18" s="205" t="s">
        <v>706</v>
      </c>
      <c r="I18" s="207" t="s">
        <v>580</v>
      </c>
      <c r="J18" s="208">
        <v>10000</v>
      </c>
      <c r="K18" s="209">
        <v>25</v>
      </c>
      <c r="L18" s="210"/>
      <c r="M18" s="217" t="s">
        <v>1362</v>
      </c>
      <c r="N18" s="431" t="s">
        <v>1046</v>
      </c>
    </row>
    <row r="19" spans="1:14" s="128" customFormat="1" ht="24">
      <c r="A19" s="201" t="s">
        <v>848</v>
      </c>
      <c r="B19" s="202"/>
      <c r="C19" s="203" t="s">
        <v>861</v>
      </c>
      <c r="D19" s="204" t="s">
        <v>860</v>
      </c>
      <c r="E19" s="205" t="s">
        <v>854</v>
      </c>
      <c r="F19" s="206" t="s">
        <v>609</v>
      </c>
      <c r="G19" s="207" t="s">
        <v>638</v>
      </c>
      <c r="H19" s="205"/>
      <c r="I19" s="207" t="s">
        <v>578</v>
      </c>
      <c r="J19" s="208">
        <v>14000</v>
      </c>
      <c r="K19" s="209">
        <v>25</v>
      </c>
      <c r="L19" s="210"/>
      <c r="M19" s="217" t="s">
        <v>1362</v>
      </c>
      <c r="N19" s="431" t="s">
        <v>1046</v>
      </c>
    </row>
    <row r="20" spans="1:14" s="128" customFormat="1" ht="36">
      <c r="A20" s="201" t="s">
        <v>849</v>
      </c>
      <c r="B20" s="202"/>
      <c r="C20" s="203" t="s">
        <v>862</v>
      </c>
      <c r="D20" s="204" t="s">
        <v>860</v>
      </c>
      <c r="E20" s="205" t="s">
        <v>854</v>
      </c>
      <c r="F20" s="206" t="s">
        <v>609</v>
      </c>
      <c r="G20" s="207" t="s">
        <v>638</v>
      </c>
      <c r="H20" s="205"/>
      <c r="I20" s="207" t="s">
        <v>635</v>
      </c>
      <c r="J20" s="208">
        <v>35000</v>
      </c>
      <c r="K20" s="209">
        <v>25</v>
      </c>
      <c r="L20" s="210"/>
      <c r="M20" s="217" t="s">
        <v>1362</v>
      </c>
      <c r="N20" s="431" t="s">
        <v>1046</v>
      </c>
    </row>
    <row r="21" spans="1:14" s="128" customFormat="1" ht="24">
      <c r="A21" s="201" t="s">
        <v>850</v>
      </c>
      <c r="B21" s="202" t="s">
        <v>905</v>
      </c>
      <c r="C21" s="203" t="s">
        <v>907</v>
      </c>
      <c r="D21" s="204" t="s">
        <v>906</v>
      </c>
      <c r="E21" s="205" t="s">
        <v>860</v>
      </c>
      <c r="F21" s="206" t="s">
        <v>609</v>
      </c>
      <c r="G21" s="207" t="s">
        <v>637</v>
      </c>
      <c r="H21" s="205" t="s">
        <v>706</v>
      </c>
      <c r="I21" s="207" t="s">
        <v>580</v>
      </c>
      <c r="J21" s="208">
        <v>17200</v>
      </c>
      <c r="K21" s="209">
        <v>25</v>
      </c>
      <c r="L21" s="210"/>
      <c r="M21" s="217" t="s">
        <v>1362</v>
      </c>
      <c r="N21" s="431" t="s">
        <v>1046</v>
      </c>
    </row>
    <row r="22" spans="1:14" s="128" customFormat="1" ht="36">
      <c r="A22" s="105" t="s">
        <v>790</v>
      </c>
      <c r="B22" s="152" t="s">
        <v>769</v>
      </c>
      <c r="C22" s="151" t="s">
        <v>782</v>
      </c>
      <c r="D22" s="174" t="s">
        <v>783</v>
      </c>
      <c r="E22" s="151" t="s">
        <v>784</v>
      </c>
      <c r="F22" s="151" t="s">
        <v>616</v>
      </c>
      <c r="G22" s="151" t="s">
        <v>637</v>
      </c>
      <c r="H22" s="151" t="s">
        <v>706</v>
      </c>
      <c r="I22" s="151" t="s">
        <v>580</v>
      </c>
      <c r="J22" s="159">
        <v>8000</v>
      </c>
      <c r="K22" s="438">
        <v>25</v>
      </c>
      <c r="L22" s="156"/>
      <c r="M22" s="218" t="s">
        <v>956</v>
      </c>
      <c r="N22" s="432" t="s">
        <v>1046</v>
      </c>
    </row>
    <row r="23" spans="1:14" s="128" customFormat="1" ht="24">
      <c r="A23" s="105" t="s">
        <v>791</v>
      </c>
      <c r="B23" s="152" t="s">
        <v>770</v>
      </c>
      <c r="C23" s="153" t="s">
        <v>785</v>
      </c>
      <c r="D23" s="175" t="s">
        <v>786</v>
      </c>
      <c r="E23" s="154" t="s">
        <v>787</v>
      </c>
      <c r="F23" s="151" t="s">
        <v>610</v>
      </c>
      <c r="G23" s="154" t="s">
        <v>637</v>
      </c>
      <c r="H23" s="154" t="s">
        <v>706</v>
      </c>
      <c r="I23" s="154" t="s">
        <v>580</v>
      </c>
      <c r="J23" s="160">
        <v>3000</v>
      </c>
      <c r="K23" s="174">
        <v>25</v>
      </c>
      <c r="L23" s="154"/>
      <c r="M23" s="218" t="s">
        <v>956</v>
      </c>
      <c r="N23" s="432" t="s">
        <v>1046</v>
      </c>
    </row>
    <row r="24" spans="1:14" s="128" customFormat="1" ht="24">
      <c r="A24" s="105" t="s">
        <v>792</v>
      </c>
      <c r="B24" s="155" t="s">
        <v>771</v>
      </c>
      <c r="C24" s="132" t="s">
        <v>800</v>
      </c>
      <c r="D24" s="176" t="s">
        <v>801</v>
      </c>
      <c r="E24" s="98" t="s">
        <v>802</v>
      </c>
      <c r="F24" s="98" t="s">
        <v>610</v>
      </c>
      <c r="G24" s="133" t="s">
        <v>637</v>
      </c>
      <c r="H24" s="98" t="s">
        <v>706</v>
      </c>
      <c r="I24" s="133" t="s">
        <v>580</v>
      </c>
      <c r="J24" s="161">
        <v>8000</v>
      </c>
      <c r="K24" s="184">
        <v>25</v>
      </c>
      <c r="L24" s="122"/>
      <c r="M24" s="218" t="s">
        <v>956</v>
      </c>
      <c r="N24" s="432" t="s">
        <v>1046</v>
      </c>
    </row>
    <row r="25" spans="1:14" s="128" customFormat="1" ht="24">
      <c r="A25" s="105" t="s">
        <v>793</v>
      </c>
      <c r="B25" s="155" t="s">
        <v>773</v>
      </c>
      <c r="C25" s="132" t="s">
        <v>804</v>
      </c>
      <c r="D25" s="176" t="s">
        <v>786</v>
      </c>
      <c r="E25" s="98" t="s">
        <v>787</v>
      </c>
      <c r="F25" s="98" t="s">
        <v>610</v>
      </c>
      <c r="G25" s="133" t="s">
        <v>637</v>
      </c>
      <c r="H25" s="98" t="s">
        <v>915</v>
      </c>
      <c r="I25" s="133" t="s">
        <v>580</v>
      </c>
      <c r="J25" s="161">
        <v>8000</v>
      </c>
      <c r="K25" s="184">
        <v>25</v>
      </c>
      <c r="L25" s="122"/>
      <c r="M25" s="218" t="s">
        <v>956</v>
      </c>
      <c r="N25" s="432" t="s">
        <v>1046</v>
      </c>
    </row>
    <row r="26" spans="1:14" s="128" customFormat="1" ht="24">
      <c r="A26" s="105" t="s">
        <v>794</v>
      </c>
      <c r="B26" s="155" t="s">
        <v>774</v>
      </c>
      <c r="C26" s="132" t="s">
        <v>805</v>
      </c>
      <c r="D26" s="176" t="s">
        <v>806</v>
      </c>
      <c r="E26" s="98" t="s">
        <v>807</v>
      </c>
      <c r="F26" s="98" t="s">
        <v>610</v>
      </c>
      <c r="G26" s="133" t="s">
        <v>637</v>
      </c>
      <c r="H26" s="98" t="s">
        <v>706</v>
      </c>
      <c r="I26" s="133" t="s">
        <v>580</v>
      </c>
      <c r="J26" s="161">
        <v>4000</v>
      </c>
      <c r="K26" s="184">
        <v>25</v>
      </c>
      <c r="L26" s="122"/>
      <c r="M26" s="218" t="s">
        <v>956</v>
      </c>
      <c r="N26" s="432" t="s">
        <v>940</v>
      </c>
    </row>
    <row r="27" spans="1:14" s="128" customFormat="1" ht="24">
      <c r="A27" s="105" t="s">
        <v>795</v>
      </c>
      <c r="B27" s="155" t="s">
        <v>775</v>
      </c>
      <c r="C27" s="132" t="s">
        <v>808</v>
      </c>
      <c r="D27" s="176" t="s">
        <v>809</v>
      </c>
      <c r="E27" s="122"/>
      <c r="F27" s="98" t="s">
        <v>610</v>
      </c>
      <c r="G27" s="133" t="s">
        <v>637</v>
      </c>
      <c r="H27" s="98" t="s">
        <v>706</v>
      </c>
      <c r="I27" s="133" t="s">
        <v>580</v>
      </c>
      <c r="J27" s="161">
        <v>5000</v>
      </c>
      <c r="K27" s="184">
        <v>25</v>
      </c>
      <c r="L27" s="122"/>
      <c r="M27" s="218" t="s">
        <v>956</v>
      </c>
      <c r="N27" s="432" t="s">
        <v>1046</v>
      </c>
    </row>
    <row r="28" spans="1:14" s="128" customFormat="1" ht="12.75">
      <c r="A28" s="105" t="s">
        <v>796</v>
      </c>
      <c r="B28" s="112"/>
      <c r="C28" s="132" t="s">
        <v>810</v>
      </c>
      <c r="D28" s="176" t="s">
        <v>786</v>
      </c>
      <c r="E28" s="98" t="s">
        <v>811</v>
      </c>
      <c r="F28" s="98" t="s">
        <v>610</v>
      </c>
      <c r="G28" s="133" t="s">
        <v>638</v>
      </c>
      <c r="H28" s="98"/>
      <c r="I28" s="133" t="s">
        <v>580</v>
      </c>
      <c r="J28" s="161">
        <v>6000</v>
      </c>
      <c r="K28" s="184">
        <v>25</v>
      </c>
      <c r="L28" s="122"/>
      <c r="M28" s="218" t="s">
        <v>956</v>
      </c>
      <c r="N28" s="432" t="s">
        <v>1046</v>
      </c>
    </row>
    <row r="29" spans="1:14" s="128" customFormat="1" ht="24">
      <c r="A29" s="105" t="s">
        <v>797</v>
      </c>
      <c r="B29" s="112"/>
      <c r="C29" s="132" t="s">
        <v>812</v>
      </c>
      <c r="D29" s="176" t="s">
        <v>786</v>
      </c>
      <c r="E29" s="98" t="s">
        <v>807</v>
      </c>
      <c r="F29" s="98" t="s">
        <v>610</v>
      </c>
      <c r="G29" s="134" t="s">
        <v>638</v>
      </c>
      <c r="H29" s="98"/>
      <c r="I29" s="134" t="s">
        <v>580</v>
      </c>
      <c r="J29" s="162">
        <v>10000</v>
      </c>
      <c r="K29" s="184">
        <v>25</v>
      </c>
      <c r="L29" s="122"/>
      <c r="M29" s="218" t="s">
        <v>956</v>
      </c>
      <c r="N29" s="432" t="s">
        <v>940</v>
      </c>
    </row>
    <row r="30" spans="1:14" s="128" customFormat="1" ht="24">
      <c r="A30" s="105" t="s">
        <v>798</v>
      </c>
      <c r="B30" s="112" t="s">
        <v>879</v>
      </c>
      <c r="C30" s="132" t="s">
        <v>880</v>
      </c>
      <c r="D30" s="176" t="s">
        <v>786</v>
      </c>
      <c r="E30" s="122"/>
      <c r="F30" s="98" t="s">
        <v>610</v>
      </c>
      <c r="G30" s="134" t="s">
        <v>637</v>
      </c>
      <c r="H30" s="98" t="s">
        <v>706</v>
      </c>
      <c r="I30" s="134" t="s">
        <v>578</v>
      </c>
      <c r="J30" s="162">
        <v>3500</v>
      </c>
      <c r="K30" s="184">
        <v>25</v>
      </c>
      <c r="L30" s="122"/>
      <c r="M30" s="218" t="s">
        <v>1013</v>
      </c>
      <c r="N30" s="432" t="s">
        <v>940</v>
      </c>
    </row>
    <row r="31" spans="1:14" s="128" customFormat="1" ht="24">
      <c r="A31" s="105" t="s">
        <v>799</v>
      </c>
      <c r="B31" s="112" t="s">
        <v>881</v>
      </c>
      <c r="C31" s="132" t="s">
        <v>882</v>
      </c>
      <c r="D31" s="176" t="s">
        <v>786</v>
      </c>
      <c r="E31" s="122"/>
      <c r="F31" s="98" t="s">
        <v>610</v>
      </c>
      <c r="G31" s="134" t="s">
        <v>637</v>
      </c>
      <c r="H31" s="98" t="s">
        <v>706</v>
      </c>
      <c r="I31" s="134" t="s">
        <v>578</v>
      </c>
      <c r="J31" s="162">
        <v>3500</v>
      </c>
      <c r="K31" s="184">
        <v>25</v>
      </c>
      <c r="L31" s="122"/>
      <c r="M31" s="218" t="s">
        <v>1013</v>
      </c>
      <c r="N31" s="432" t="s">
        <v>1046</v>
      </c>
    </row>
    <row r="32" spans="1:14" s="128" customFormat="1" ht="36">
      <c r="A32" s="106" t="s">
        <v>778</v>
      </c>
      <c r="B32" s="113" t="s">
        <v>768</v>
      </c>
      <c r="C32" s="135" t="s">
        <v>780</v>
      </c>
      <c r="D32" s="177" t="s">
        <v>779</v>
      </c>
      <c r="E32" s="123"/>
      <c r="F32" s="99" t="s">
        <v>611</v>
      </c>
      <c r="G32" s="136" t="s">
        <v>637</v>
      </c>
      <c r="H32" s="99" t="s">
        <v>688</v>
      </c>
      <c r="I32" s="189" t="s">
        <v>581</v>
      </c>
      <c r="J32" s="163">
        <v>2000</v>
      </c>
      <c r="K32" s="437">
        <v>25</v>
      </c>
      <c r="L32" s="123"/>
      <c r="M32" s="219" t="s">
        <v>956</v>
      </c>
      <c r="N32" s="433" t="s">
        <v>1046</v>
      </c>
    </row>
    <row r="33" spans="1:14" s="128" customFormat="1" ht="24">
      <c r="A33" s="107" t="s">
        <v>817</v>
      </c>
      <c r="B33" s="114" t="s">
        <v>776</v>
      </c>
      <c r="C33" s="137" t="s">
        <v>830</v>
      </c>
      <c r="D33" s="178" t="s">
        <v>831</v>
      </c>
      <c r="E33" s="124"/>
      <c r="F33" s="100" t="s">
        <v>612</v>
      </c>
      <c r="G33" s="138" t="s">
        <v>637</v>
      </c>
      <c r="H33" s="100" t="s">
        <v>706</v>
      </c>
      <c r="I33" s="138" t="s">
        <v>581</v>
      </c>
      <c r="J33" s="164">
        <v>18000</v>
      </c>
      <c r="K33" s="185">
        <v>25</v>
      </c>
      <c r="L33" s="124"/>
      <c r="M33" s="220" t="s">
        <v>922</v>
      </c>
      <c r="N33" s="434" t="s">
        <v>940</v>
      </c>
    </row>
    <row r="34" spans="1:14" s="128" customFormat="1" ht="24">
      <c r="A34" s="107" t="s">
        <v>818</v>
      </c>
      <c r="B34" s="114" t="s">
        <v>835</v>
      </c>
      <c r="C34" s="100" t="s">
        <v>836</v>
      </c>
      <c r="D34" s="178" t="s">
        <v>287</v>
      </c>
      <c r="E34" s="124"/>
      <c r="F34" s="100" t="s">
        <v>612</v>
      </c>
      <c r="G34" s="139" t="s">
        <v>637</v>
      </c>
      <c r="H34" s="100" t="s">
        <v>680</v>
      </c>
      <c r="I34" s="139" t="s">
        <v>581</v>
      </c>
      <c r="J34" s="165">
        <v>3300</v>
      </c>
      <c r="K34" s="185">
        <v>25</v>
      </c>
      <c r="L34" s="124"/>
      <c r="M34" s="220" t="s">
        <v>922</v>
      </c>
      <c r="N34" s="434" t="s">
        <v>1046</v>
      </c>
    </row>
    <row r="35" spans="1:14" s="128" customFormat="1" ht="12.75">
      <c r="A35" s="107" t="s">
        <v>819</v>
      </c>
      <c r="B35" s="114"/>
      <c r="C35" s="137" t="s">
        <v>841</v>
      </c>
      <c r="D35" s="178" t="s">
        <v>831</v>
      </c>
      <c r="E35" s="124"/>
      <c r="F35" s="100" t="s">
        <v>612</v>
      </c>
      <c r="G35" s="138" t="s">
        <v>638</v>
      </c>
      <c r="H35" s="124"/>
      <c r="I35" s="138" t="s">
        <v>581</v>
      </c>
      <c r="J35" s="164">
        <v>18000</v>
      </c>
      <c r="K35" s="185">
        <v>25</v>
      </c>
      <c r="L35" s="124"/>
      <c r="M35" s="220" t="s">
        <v>922</v>
      </c>
      <c r="N35" s="434" t="s">
        <v>940</v>
      </c>
    </row>
    <row r="36" spans="1:14" s="128" customFormat="1" ht="24">
      <c r="A36" s="107" t="s">
        <v>820</v>
      </c>
      <c r="B36" s="114" t="s">
        <v>909</v>
      </c>
      <c r="C36" s="137" t="s">
        <v>910</v>
      </c>
      <c r="D36" s="178" t="s">
        <v>295</v>
      </c>
      <c r="E36" s="124"/>
      <c r="F36" s="100" t="s">
        <v>612</v>
      </c>
      <c r="G36" s="138" t="s">
        <v>637</v>
      </c>
      <c r="H36" s="100" t="s">
        <v>706</v>
      </c>
      <c r="I36" s="138" t="s">
        <v>635</v>
      </c>
      <c r="J36" s="164">
        <v>6000</v>
      </c>
      <c r="K36" s="185">
        <v>25</v>
      </c>
      <c r="L36" s="124"/>
      <c r="M36" s="220" t="s">
        <v>1362</v>
      </c>
      <c r="N36" s="434" t="s">
        <v>1046</v>
      </c>
    </row>
    <row r="37" spans="1:14" s="128" customFormat="1" ht="48">
      <c r="A37" s="107" t="s">
        <v>821</v>
      </c>
      <c r="B37" s="114" t="s">
        <v>912</v>
      </c>
      <c r="C37" s="137" t="s">
        <v>913</v>
      </c>
      <c r="D37" s="178" t="s">
        <v>266</v>
      </c>
      <c r="E37" s="124"/>
      <c r="F37" s="100" t="s">
        <v>612</v>
      </c>
      <c r="G37" s="138" t="s">
        <v>637</v>
      </c>
      <c r="H37" s="100" t="s">
        <v>914</v>
      </c>
      <c r="I37" s="138" t="s">
        <v>581</v>
      </c>
      <c r="J37" s="164">
        <v>2500</v>
      </c>
      <c r="K37" s="185">
        <v>25</v>
      </c>
      <c r="L37" s="124"/>
      <c r="M37" s="220" t="s">
        <v>1362</v>
      </c>
      <c r="N37" s="434" t="s">
        <v>940</v>
      </c>
    </row>
    <row r="38" spans="1:14" s="128" customFormat="1" ht="48">
      <c r="A38" s="108" t="s">
        <v>618</v>
      </c>
      <c r="B38" s="115" t="s">
        <v>767</v>
      </c>
      <c r="C38" s="190" t="s">
        <v>777</v>
      </c>
      <c r="D38" s="179" t="s">
        <v>346</v>
      </c>
      <c r="E38" s="125"/>
      <c r="F38" s="101" t="s">
        <v>613</v>
      </c>
      <c r="G38" s="141" t="s">
        <v>637</v>
      </c>
      <c r="H38" s="170" t="s">
        <v>914</v>
      </c>
      <c r="I38" s="141" t="s">
        <v>581</v>
      </c>
      <c r="J38" s="166">
        <v>4800</v>
      </c>
      <c r="K38" s="186">
        <v>25</v>
      </c>
      <c r="L38" s="125"/>
      <c r="M38" s="221" t="s">
        <v>956</v>
      </c>
      <c r="N38" s="435" t="s">
        <v>940</v>
      </c>
    </row>
    <row r="39" spans="1:14" s="128" customFormat="1" ht="24">
      <c r="A39" s="108" t="s">
        <v>619</v>
      </c>
      <c r="B39" s="115" t="s">
        <v>832</v>
      </c>
      <c r="C39" s="140" t="s">
        <v>833</v>
      </c>
      <c r="D39" s="179" t="s">
        <v>321</v>
      </c>
      <c r="E39" s="170" t="s">
        <v>834</v>
      </c>
      <c r="F39" s="101" t="s">
        <v>613</v>
      </c>
      <c r="G39" s="141" t="s">
        <v>637</v>
      </c>
      <c r="H39" s="170" t="s">
        <v>684</v>
      </c>
      <c r="I39" s="141" t="s">
        <v>581</v>
      </c>
      <c r="J39" s="166">
        <v>3000</v>
      </c>
      <c r="K39" s="186">
        <v>25</v>
      </c>
      <c r="L39" s="125"/>
      <c r="M39" s="221" t="s">
        <v>1069</v>
      </c>
      <c r="N39" s="435" t="s">
        <v>1046</v>
      </c>
    </row>
    <row r="40" spans="1:14" s="128" customFormat="1" ht="36">
      <c r="A40" s="108" t="s">
        <v>620</v>
      </c>
      <c r="B40" s="115" t="s">
        <v>837</v>
      </c>
      <c r="C40" s="140" t="s">
        <v>838</v>
      </c>
      <c r="D40" s="179" t="s">
        <v>342</v>
      </c>
      <c r="E40" s="170" t="s">
        <v>344</v>
      </c>
      <c r="F40" s="101" t="s">
        <v>613</v>
      </c>
      <c r="G40" s="142" t="s">
        <v>637</v>
      </c>
      <c r="H40" s="170" t="s">
        <v>688</v>
      </c>
      <c r="I40" s="142" t="s">
        <v>581</v>
      </c>
      <c r="J40" s="167">
        <v>3500</v>
      </c>
      <c r="K40" s="186">
        <v>25</v>
      </c>
      <c r="L40" s="125"/>
      <c r="M40" s="221" t="s">
        <v>1069</v>
      </c>
      <c r="N40" s="435" t="s">
        <v>940</v>
      </c>
    </row>
    <row r="41" spans="1:14" s="128" customFormat="1" ht="24">
      <c r="A41" s="108" t="s">
        <v>621</v>
      </c>
      <c r="B41" s="115" t="s">
        <v>839</v>
      </c>
      <c r="C41" s="140" t="s">
        <v>840</v>
      </c>
      <c r="D41" s="179" t="s">
        <v>342</v>
      </c>
      <c r="E41" s="170" t="s">
        <v>344</v>
      </c>
      <c r="F41" s="101" t="s">
        <v>613</v>
      </c>
      <c r="G41" s="141" t="s">
        <v>637</v>
      </c>
      <c r="H41" s="170" t="s">
        <v>706</v>
      </c>
      <c r="I41" s="141" t="s">
        <v>581</v>
      </c>
      <c r="J41" s="166">
        <v>3200</v>
      </c>
      <c r="K41" s="186">
        <v>25</v>
      </c>
      <c r="L41" s="125"/>
      <c r="M41" s="221" t="s">
        <v>1069</v>
      </c>
      <c r="N41" s="435" t="s">
        <v>940</v>
      </c>
    </row>
    <row r="42" spans="1:14" s="128" customFormat="1" ht="24">
      <c r="A42" s="109" t="s">
        <v>897</v>
      </c>
      <c r="B42" s="116" t="s">
        <v>772</v>
      </c>
      <c r="C42" s="143" t="s">
        <v>803</v>
      </c>
      <c r="D42" s="180" t="s">
        <v>427</v>
      </c>
      <c r="E42" s="126"/>
      <c r="F42" s="102" t="s">
        <v>617</v>
      </c>
      <c r="G42" s="144" t="s">
        <v>637</v>
      </c>
      <c r="H42" s="187" t="s">
        <v>680</v>
      </c>
      <c r="I42" s="144" t="s">
        <v>600</v>
      </c>
      <c r="J42" s="168">
        <v>6000</v>
      </c>
      <c r="K42" s="188">
        <v>25</v>
      </c>
      <c r="L42" s="126"/>
      <c r="M42" s="222" t="s">
        <v>956</v>
      </c>
      <c r="N42" s="436" t="s">
        <v>1046</v>
      </c>
    </row>
    <row r="43" spans="1:14" s="128" customFormat="1" ht="36">
      <c r="A43" s="109" t="s">
        <v>898</v>
      </c>
      <c r="B43" s="116" t="s">
        <v>895</v>
      </c>
      <c r="C43" s="143" t="s">
        <v>896</v>
      </c>
      <c r="D43" s="180" t="s">
        <v>427</v>
      </c>
      <c r="E43" s="126"/>
      <c r="F43" s="102" t="s">
        <v>617</v>
      </c>
      <c r="G43" s="144" t="s">
        <v>637</v>
      </c>
      <c r="H43" s="187" t="s">
        <v>654</v>
      </c>
      <c r="I43" s="144" t="s">
        <v>600</v>
      </c>
      <c r="J43" s="168">
        <v>12000</v>
      </c>
      <c r="K43" s="188">
        <v>25</v>
      </c>
      <c r="L43" s="126"/>
      <c r="M43" s="222" t="s">
        <v>1509</v>
      </c>
      <c r="N43" s="436" t="s">
        <v>1046</v>
      </c>
    </row>
    <row r="44" spans="1:14" s="128" customFormat="1" ht="24">
      <c r="A44" s="109" t="s">
        <v>899</v>
      </c>
      <c r="B44" s="116" t="s">
        <v>903</v>
      </c>
      <c r="C44" s="143" t="s">
        <v>904</v>
      </c>
      <c r="D44" s="180" t="s">
        <v>435</v>
      </c>
      <c r="E44" s="126"/>
      <c r="F44" s="102" t="s">
        <v>617</v>
      </c>
      <c r="G44" s="144" t="s">
        <v>637</v>
      </c>
      <c r="H44" s="187" t="s">
        <v>706</v>
      </c>
      <c r="I44" s="144" t="s">
        <v>579</v>
      </c>
      <c r="J44" s="168">
        <v>3000</v>
      </c>
      <c r="K44" s="188">
        <v>25</v>
      </c>
      <c r="L44" s="126"/>
      <c r="M44" s="222" t="s">
        <v>1509</v>
      </c>
      <c r="N44" s="436" t="s">
        <v>1046</v>
      </c>
    </row>
    <row r="45" spans="1:14" s="128" customFormat="1" ht="24">
      <c r="A45" s="109" t="s">
        <v>900</v>
      </c>
      <c r="B45" s="116" t="s">
        <v>908</v>
      </c>
      <c r="C45" s="143" t="s">
        <v>919</v>
      </c>
      <c r="D45" s="180" t="s">
        <v>427</v>
      </c>
      <c r="E45" s="126"/>
      <c r="F45" s="102" t="s">
        <v>617</v>
      </c>
      <c r="G45" s="144" t="s">
        <v>637</v>
      </c>
      <c r="H45" s="187" t="s">
        <v>680</v>
      </c>
      <c r="I45" s="144" t="s">
        <v>600</v>
      </c>
      <c r="J45" s="168">
        <v>3000</v>
      </c>
      <c r="K45" s="188">
        <v>25</v>
      </c>
      <c r="L45" s="126"/>
      <c r="M45" s="222" t="s">
        <v>1509</v>
      </c>
      <c r="N45" s="436" t="s">
        <v>940</v>
      </c>
    </row>
    <row r="46" spans="1:14" s="128" customFormat="1" ht="48">
      <c r="A46" s="109" t="s">
        <v>901</v>
      </c>
      <c r="B46" s="116" t="s">
        <v>917</v>
      </c>
      <c r="C46" s="143" t="s">
        <v>911</v>
      </c>
      <c r="D46" s="180" t="s">
        <v>427</v>
      </c>
      <c r="E46" s="126"/>
      <c r="F46" s="102" t="s">
        <v>617</v>
      </c>
      <c r="G46" s="144" t="s">
        <v>637</v>
      </c>
      <c r="H46" s="187" t="s">
        <v>660</v>
      </c>
      <c r="I46" s="144" t="s">
        <v>600</v>
      </c>
      <c r="J46" s="168">
        <v>1000</v>
      </c>
      <c r="K46" s="188">
        <v>25</v>
      </c>
      <c r="L46" s="126"/>
      <c r="M46" s="222" t="s">
        <v>1509</v>
      </c>
      <c r="N46" s="436" t="s">
        <v>940</v>
      </c>
    </row>
    <row r="47" spans="1:14" s="128" customFormat="1" ht="24">
      <c r="A47" s="109" t="s">
        <v>902</v>
      </c>
      <c r="B47" s="116" t="s">
        <v>874</v>
      </c>
      <c r="C47" s="143" t="s">
        <v>918</v>
      </c>
      <c r="D47" s="180" t="s">
        <v>427</v>
      </c>
      <c r="E47" s="126"/>
      <c r="F47" s="102" t="s">
        <v>617</v>
      </c>
      <c r="G47" s="144" t="s">
        <v>637</v>
      </c>
      <c r="H47" s="187" t="s">
        <v>666</v>
      </c>
      <c r="I47" s="144" t="s">
        <v>600</v>
      </c>
      <c r="J47" s="168">
        <v>500</v>
      </c>
      <c r="K47" s="188">
        <v>25</v>
      </c>
      <c r="L47" s="126"/>
      <c r="M47" s="222" t="s">
        <v>1509</v>
      </c>
      <c r="N47" s="436" t="s">
        <v>940</v>
      </c>
    </row>
    <row r="48" spans="1:14" s="120" customFormat="1" ht="12">
      <c r="D48" s="181"/>
      <c r="F48" s="104"/>
      <c r="J48" s="169"/>
      <c r="K48" s="181"/>
      <c r="N48" s="429"/>
    </row>
    <row r="49" spans="4:14" s="120" customFormat="1" ht="12">
      <c r="D49" s="181"/>
      <c r="F49" s="104"/>
      <c r="J49" s="169">
        <f>J47+J46+J45+J44+J43+J42+J41+J40+J39+J38+J37+J36+J34+J33+J31+J30+J27+J26+J25+J24+J23+J22+J21+J18+J17+J16+J14+J13+J12+J11+J10+J9+J8+J7+J6</f>
        <v>221000</v>
      </c>
      <c r="K49" s="181"/>
      <c r="N49" s="429"/>
    </row>
    <row r="50" spans="4:14">
      <c r="J50" s="157">
        <f>J47+J46+J45+J44+J43+J42+J41+J40+J39+J38+J37+J36+J34+J33+J32+J31+J30+J27+J26+J25+J24+J23+J22+J21+J18+J17+J16+J14+J13+J12+J11+J10+J9+J8+J7+J6</f>
        <v>223000</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14:formula1>
            <xm:f>Llistes!$G$3:$G$38</xm:f>
          </x14:formula1>
          <xm:sqref>H1:H3 H35:H36 H6 H8:H15 H26:H33 H39:H1048576 H18:H24</xm:sqref>
        </x14:dataValidation>
        <x14:dataValidation type="list" allowBlank="1" showInputMessage="1" showErrorMessage="1">
          <x14:formula1>
            <xm:f>Llistes!$G$3:$G$39</xm:f>
          </x14:formula1>
          <xm:sqref>H37:H38</xm:sqref>
        </x14:dataValidation>
        <x14:dataValidation type="list" allowBlank="1" showInputMessage="1" showErrorMessage="1">
          <x14:formula1>
            <xm:f>Llistes!$G$3:$G$40</xm:f>
          </x14:formula1>
          <xm:sqref>H25 H34</xm:sqref>
        </x14:dataValidation>
        <x14:dataValidation type="list" allowBlank="1" showInputMessage="1" showErrorMessage="1">
          <x14:formula1>
            <xm:f>Llistes!$G$3:$G$41</xm:f>
          </x14:formula1>
          <xm:sqref>H16:H17 H7</xm:sqref>
        </x14:dataValidation>
        <x14:dataValidation type="list" allowBlank="1" showInputMessage="1" showErrorMessage="1">
          <x14:formula1>
            <xm:f>Llistes!$O$21:$O$24</xm:f>
          </x14:formula1>
          <xm:sqref>M3</xm:sqref>
        </x14:dataValidation>
        <x14:dataValidation type="list" allowBlank="1" showInputMessage="1" showErrorMessage="1">
          <x14:formula1>
            <xm:f>Llistes!$O$21:$O$25</xm:f>
          </x14:formula1>
          <xm:sqref>M4:M47</xm:sqref>
        </x14:dataValidation>
        <x14:dataValidation type="list" allowBlank="1" showInputMessage="1" showErrorMessage="1">
          <x14:formula1>
            <xm:f>Llistes!$Q$4:$Q$5</xm:f>
          </x14:formula1>
          <xm:sqref>N4:N47</xm:sqref>
        </x14:dataValidation>
        <x14:dataValidation type="list" allowBlank="1" showInputMessage="1" showErrorMessage="1">
          <x14:formula1>
            <xm:f>Llistes!$B$2:$B$15</xm:f>
          </x14:formula1>
          <xm:sqref>G1:G1048576</xm:sqref>
        </x14:dataValidation>
        <x14:dataValidation type="list" allowBlank="1" showInputMessage="1" showErrorMessage="1">
          <x14:formula1>
            <xm:f>Llistes!$C$2:$C$19</xm:f>
          </x14:formula1>
          <xm:sqref>I1:I1048576</xm:sqref>
        </x14:dataValidation>
        <x14:dataValidation type="list" allowBlank="1" showInputMessage="1" showErrorMessage="1">
          <x14:formula1>
            <xm:f>Llistes!$E$2:$E$8</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AD186"/>
  <sheetViews>
    <sheetView showGridLines="0" zoomScaleNormal="100" workbookViewId="0">
      <pane ySplit="4" topLeftCell="A5" activePane="bottomLeft" state="frozen"/>
      <selection pane="bottomLeft" activeCell="A34" sqref="A34"/>
    </sheetView>
  </sheetViews>
  <sheetFormatPr defaultColWidth="8.5703125" defaultRowHeight="15"/>
  <cols>
    <col min="1" max="1" width="22.85546875" style="84" customWidth="1"/>
    <col min="2" max="2" width="4" style="15" customWidth="1"/>
    <col min="3" max="3" width="34.140625" style="17" customWidth="1"/>
    <col min="4" max="4" width="7.42578125" style="13" customWidth="1"/>
    <col min="5" max="5" width="50" style="5" customWidth="1"/>
    <col min="6" max="6" width="7.85546875" style="7" customWidth="1"/>
    <col min="7" max="7" width="54.85546875" style="6" customWidth="1"/>
    <col min="8" max="8" width="9.42578125" style="14" customWidth="1"/>
    <col min="9" max="9" width="20" style="14" customWidth="1"/>
    <col min="10" max="10" width="48.5703125" style="6" customWidth="1"/>
    <col min="11" max="11" width="24.85546875" style="14" customWidth="1"/>
    <col min="12" max="12" width="10.85546875" style="15" customWidth="1"/>
    <col min="13" max="13" width="25.140625" style="16" customWidth="1"/>
    <col min="14" max="15" width="55.5703125" style="17" customWidth="1"/>
    <col min="16" max="16" width="44.140625" style="226" customWidth="1"/>
    <col min="17" max="17" width="24.5703125" style="16" customWidth="1"/>
    <col min="18" max="18" width="47.5703125" style="18" customWidth="1"/>
    <col min="19" max="19" width="44.42578125" style="1" customWidth="1"/>
    <col min="20" max="20" width="14.140625" style="3" customWidth="1"/>
    <col min="21" max="21" width="15.42578125" style="3" customWidth="1"/>
    <col min="22" max="22" width="9.42578125" style="3" customWidth="1"/>
    <col min="23" max="23" width="18.5703125" style="3" customWidth="1"/>
    <col min="24" max="25" width="18.140625" style="1" customWidth="1"/>
    <col min="26" max="29" width="8.5703125" style="3"/>
    <col min="30" max="30" width="23.42578125" style="3" customWidth="1"/>
    <col min="31" max="16384" width="8.5703125" style="3"/>
  </cols>
  <sheetData>
    <row r="1" spans="1:30" ht="18.75">
      <c r="A1" s="223" t="s">
        <v>924</v>
      </c>
      <c r="B1" s="224"/>
      <c r="C1" s="225"/>
    </row>
    <row r="2" spans="1:30" ht="37.5">
      <c r="A2" s="19"/>
      <c r="B2" s="20" t="s">
        <v>450</v>
      </c>
      <c r="C2" s="21" t="s">
        <v>925</v>
      </c>
    </row>
    <row r="3" spans="1:30" ht="18.75">
      <c r="A3" s="19"/>
      <c r="B3" s="20"/>
      <c r="C3" s="227"/>
      <c r="T3" s="228" t="s">
        <v>926</v>
      </c>
      <c r="U3" s="229"/>
      <c r="V3" s="228" t="s">
        <v>927</v>
      </c>
      <c r="W3" s="230"/>
      <c r="X3" s="229"/>
      <c r="Y3" s="231"/>
    </row>
    <row r="4" spans="1:30" s="29" customFormat="1" ht="117" customHeight="1">
      <c r="A4" s="22" t="s">
        <v>0</v>
      </c>
      <c r="B4" s="23"/>
      <c r="C4" s="24" t="s">
        <v>1</v>
      </c>
      <c r="D4" s="25"/>
      <c r="E4" s="24" t="s">
        <v>2</v>
      </c>
      <c r="F4" s="26"/>
      <c r="G4" s="26" t="s">
        <v>928</v>
      </c>
      <c r="H4" s="26" t="s">
        <v>442</v>
      </c>
      <c r="I4" s="27" t="s">
        <v>443</v>
      </c>
      <c r="J4" s="12" t="s">
        <v>929</v>
      </c>
      <c r="K4" s="11" t="s">
        <v>451</v>
      </c>
      <c r="L4" s="11" t="s">
        <v>452</v>
      </c>
      <c r="M4" s="28" t="s">
        <v>444</v>
      </c>
      <c r="N4" s="11" t="s">
        <v>453</v>
      </c>
      <c r="O4" s="11" t="s">
        <v>930</v>
      </c>
      <c r="P4" s="232" t="s">
        <v>931</v>
      </c>
      <c r="Q4" s="28" t="s">
        <v>454</v>
      </c>
      <c r="R4" s="233" t="s">
        <v>455</v>
      </c>
      <c r="S4" s="233" t="s">
        <v>932</v>
      </c>
      <c r="T4" s="233" t="s">
        <v>933</v>
      </c>
      <c r="U4" s="233" t="s">
        <v>934</v>
      </c>
      <c r="V4" s="233" t="s">
        <v>935</v>
      </c>
      <c r="W4" s="233" t="s">
        <v>936</v>
      </c>
      <c r="X4" s="233" t="s">
        <v>937</v>
      </c>
      <c r="Y4" s="233" t="s">
        <v>938</v>
      </c>
      <c r="Z4" s="28">
        <v>2025</v>
      </c>
      <c r="AA4" s="28">
        <v>2026</v>
      </c>
      <c r="AB4" s="28">
        <v>2027</v>
      </c>
      <c r="AC4" s="28">
        <v>2028</v>
      </c>
      <c r="AD4" s="28" t="s">
        <v>939</v>
      </c>
    </row>
    <row r="5" spans="1:30" ht="227.45" customHeight="1">
      <c r="A5" s="30" t="s">
        <v>4</v>
      </c>
      <c r="B5" s="31">
        <v>1</v>
      </c>
      <c r="C5" s="32" t="s">
        <v>5</v>
      </c>
      <c r="D5" s="234" t="s">
        <v>456</v>
      </c>
      <c r="E5" s="235" t="s">
        <v>6</v>
      </c>
      <c r="F5" s="33" t="s">
        <v>7</v>
      </c>
      <c r="G5" s="34" t="s">
        <v>8</v>
      </c>
      <c r="H5" s="35" t="s">
        <v>445</v>
      </c>
      <c r="I5" s="35" t="s">
        <v>457</v>
      </c>
      <c r="J5" s="36" t="str">
        <f>G5</f>
        <v>Implementar i executar plans de gestió específics per a hàbitats i espècies de conservació prioritària dins l'ENP</v>
      </c>
      <c r="K5" s="37"/>
      <c r="L5" s="38" t="s">
        <v>940</v>
      </c>
      <c r="M5" s="39" t="s">
        <v>941</v>
      </c>
      <c r="N5" s="38" t="s">
        <v>942</v>
      </c>
      <c r="O5" s="38"/>
      <c r="P5" s="236"/>
      <c r="Q5" s="39" t="s">
        <v>458</v>
      </c>
      <c r="R5" s="237" t="s">
        <v>459</v>
      </c>
      <c r="S5" s="238" t="s">
        <v>943</v>
      </c>
      <c r="T5" s="238" t="s">
        <v>944</v>
      </c>
      <c r="U5" s="238" t="s">
        <v>945</v>
      </c>
      <c r="V5" s="239">
        <f>200+200</f>
        <v>400</v>
      </c>
      <c r="W5" s="240" t="s">
        <v>946</v>
      </c>
      <c r="X5" s="238" t="s">
        <v>947</v>
      </c>
      <c r="Y5" s="238" t="s">
        <v>948</v>
      </c>
      <c r="Z5" s="241"/>
      <c r="AA5" s="241"/>
      <c r="AB5" s="241"/>
      <c r="AC5" s="241"/>
      <c r="AD5" s="242" t="s">
        <v>949</v>
      </c>
    </row>
    <row r="6" spans="1:30" ht="180">
      <c r="A6" s="243"/>
      <c r="B6" s="244"/>
      <c r="C6" s="245"/>
      <c r="D6" s="234"/>
      <c r="E6" s="235"/>
      <c r="F6" s="33" t="s">
        <v>9</v>
      </c>
      <c r="G6" s="34" t="s">
        <v>10</v>
      </c>
      <c r="H6" s="35" t="s">
        <v>445</v>
      </c>
      <c r="I6" s="35" t="s">
        <v>457</v>
      </c>
      <c r="J6" s="36" t="str">
        <f t="shared" ref="J6:J67" si="0">G6</f>
        <v>Adaptar i executar plans de gestió específics per a elements geològics de conservació prioritària dins l'ENP</v>
      </c>
      <c r="K6" s="37"/>
      <c r="L6" s="41" t="s">
        <v>940</v>
      </c>
      <c r="M6" s="39" t="s">
        <v>950</v>
      </c>
      <c r="N6" s="38" t="s">
        <v>951</v>
      </c>
      <c r="O6" s="38"/>
      <c r="P6" s="236"/>
      <c r="Q6" s="39"/>
      <c r="R6" s="246"/>
      <c r="S6" s="238" t="s">
        <v>952</v>
      </c>
      <c r="T6" s="238" t="s">
        <v>953</v>
      </c>
      <c r="U6" s="238" t="s">
        <v>954</v>
      </c>
      <c r="V6" s="239">
        <v>160</v>
      </c>
      <c r="W6" s="240" t="s">
        <v>955</v>
      </c>
      <c r="X6" s="238" t="s">
        <v>956</v>
      </c>
      <c r="Y6" s="238"/>
      <c r="Z6" s="241"/>
      <c r="AA6" s="241"/>
      <c r="AB6" s="241"/>
      <c r="AC6" s="241"/>
      <c r="AD6" s="241"/>
    </row>
    <row r="7" spans="1:30" ht="90">
      <c r="A7" s="243"/>
      <c r="B7" s="244"/>
      <c r="C7" s="245"/>
      <c r="D7" s="247" t="s">
        <v>460</v>
      </c>
      <c r="E7" s="248" t="s">
        <v>11</v>
      </c>
      <c r="F7" s="35" t="s">
        <v>12</v>
      </c>
      <c r="G7" s="34" t="s">
        <v>13</v>
      </c>
      <c r="H7" s="35" t="s">
        <v>445</v>
      </c>
      <c r="I7" s="35" t="s">
        <v>446</v>
      </c>
      <c r="J7" s="36" t="str">
        <f t="shared" si="0"/>
        <v>Implementar la metodologia de gestió adaptativa (Estàndards Oberts de Gestió Adaptativa a Catalunya) en tots els processos de l'ENP</v>
      </c>
      <c r="K7" s="37"/>
      <c r="L7" s="41" t="s">
        <v>940</v>
      </c>
      <c r="M7" s="39" t="s">
        <v>950</v>
      </c>
      <c r="N7" s="38" t="s">
        <v>957</v>
      </c>
      <c r="O7" s="38"/>
      <c r="P7" s="236"/>
      <c r="Q7" s="39" t="s">
        <v>461</v>
      </c>
      <c r="R7" s="237" t="s">
        <v>462</v>
      </c>
      <c r="S7" s="238" t="s">
        <v>958</v>
      </c>
      <c r="T7" s="249">
        <v>0.75</v>
      </c>
      <c r="U7" s="249">
        <v>1</v>
      </c>
      <c r="V7" s="239">
        <f>50*6+100</f>
        <v>400</v>
      </c>
      <c r="W7" s="250" t="s">
        <v>959</v>
      </c>
      <c r="X7" s="238" t="s">
        <v>960</v>
      </c>
      <c r="Y7" s="238"/>
      <c r="Z7" s="241"/>
      <c r="AA7" s="241"/>
      <c r="AB7" s="241"/>
      <c r="AC7" s="241"/>
      <c r="AD7" s="241"/>
    </row>
    <row r="8" spans="1:30" ht="120">
      <c r="A8" s="243"/>
      <c r="B8" s="244"/>
      <c r="C8" s="245"/>
      <c r="D8" s="251"/>
      <c r="E8" s="252"/>
      <c r="F8" s="35" t="s">
        <v>14</v>
      </c>
      <c r="G8" s="34" t="s">
        <v>15</v>
      </c>
      <c r="H8" s="35" t="s">
        <v>445</v>
      </c>
      <c r="I8" s="35" t="s">
        <v>457</v>
      </c>
      <c r="J8" s="36" t="str">
        <f t="shared" si="0"/>
        <v>Executar les mesures previstes en els plans de conservació o recuperació d'espècies amenaçades de forma coordinada amb el Servei de Flora i Fauna en l'àmbit de l'ENP</v>
      </c>
      <c r="K8" s="37"/>
      <c r="L8" s="38" t="s">
        <v>940</v>
      </c>
      <c r="M8" s="39" t="s">
        <v>941</v>
      </c>
      <c r="N8" s="38" t="s">
        <v>961</v>
      </c>
      <c r="O8" s="38"/>
      <c r="P8" s="236"/>
      <c r="Q8" s="253" t="s">
        <v>463</v>
      </c>
      <c r="R8" s="237" t="s">
        <v>464</v>
      </c>
      <c r="S8" s="238" t="s">
        <v>962</v>
      </c>
      <c r="T8" s="238" t="s">
        <v>963</v>
      </c>
      <c r="U8" s="238" t="s">
        <v>964</v>
      </c>
      <c r="V8" s="254">
        <v>150</v>
      </c>
      <c r="W8" s="255" t="s">
        <v>955</v>
      </c>
      <c r="X8" s="238" t="s">
        <v>956</v>
      </c>
      <c r="Y8" s="238"/>
      <c r="Z8" s="241"/>
      <c r="AA8" s="241"/>
      <c r="AB8" s="241"/>
      <c r="AC8" s="241"/>
      <c r="AD8" s="241"/>
    </row>
    <row r="9" spans="1:30" ht="255">
      <c r="A9" s="243"/>
      <c r="B9" s="244"/>
      <c r="C9" s="245"/>
      <c r="D9" s="251"/>
      <c r="E9" s="252"/>
      <c r="F9" s="35" t="s">
        <v>16</v>
      </c>
      <c r="G9" s="34" t="s">
        <v>17</v>
      </c>
      <c r="H9" s="35" t="s">
        <v>445</v>
      </c>
      <c r="I9" s="35" t="s">
        <v>457</v>
      </c>
      <c r="J9" s="36" t="str">
        <f t="shared" si="0"/>
        <v>Executar les mesures de gestió previstes en els plans de control i erradicació d'espècies exòtiques de forma coordinada amb el Servei de Flora i Fauna en l'àmbit de l'ENP</v>
      </c>
      <c r="K9" s="37"/>
      <c r="L9" s="38" t="s">
        <v>940</v>
      </c>
      <c r="M9" s="39" t="s">
        <v>941</v>
      </c>
      <c r="N9" s="38" t="s">
        <v>965</v>
      </c>
      <c r="O9" s="38"/>
      <c r="P9" s="236"/>
      <c r="Q9" s="253" t="s">
        <v>465</v>
      </c>
      <c r="R9" s="237" t="s">
        <v>466</v>
      </c>
      <c r="S9" s="238" t="s">
        <v>966</v>
      </c>
      <c r="T9" s="238" t="s">
        <v>967</v>
      </c>
      <c r="U9" s="238" t="s">
        <v>968</v>
      </c>
      <c r="V9" s="254" t="s">
        <v>969</v>
      </c>
      <c r="W9" s="255" t="s">
        <v>970</v>
      </c>
      <c r="X9" s="238" t="s">
        <v>971</v>
      </c>
      <c r="Y9" s="238"/>
      <c r="Z9" s="241"/>
      <c r="AA9" s="241"/>
      <c r="AB9" s="241"/>
      <c r="AC9" s="241"/>
      <c r="AD9" s="241"/>
    </row>
    <row r="10" spans="1:30" ht="90">
      <c r="A10" s="243"/>
      <c r="B10" s="244"/>
      <c r="C10" s="245"/>
      <c r="D10" s="256"/>
      <c r="E10" s="257"/>
      <c r="F10" s="35" t="s">
        <v>18</v>
      </c>
      <c r="G10" s="258" t="s">
        <v>19</v>
      </c>
      <c r="H10" s="35" t="s">
        <v>447</v>
      </c>
      <c r="I10" s="35" t="s">
        <v>467</v>
      </c>
      <c r="J10" s="36" t="str">
        <f t="shared" si="0"/>
        <v xml:space="preserve">Desplegar els objectius i tasques recollits en els instruments de referència i compromisos internacionals  </v>
      </c>
      <c r="K10" s="37"/>
      <c r="L10" s="38" t="s">
        <v>940</v>
      </c>
      <c r="M10" s="39" t="s">
        <v>972</v>
      </c>
      <c r="N10" s="66" t="s">
        <v>973</v>
      </c>
      <c r="O10" s="66"/>
      <c r="P10" s="236"/>
      <c r="Q10" s="253"/>
      <c r="R10" s="237"/>
      <c r="S10" s="238" t="s">
        <v>974</v>
      </c>
      <c r="T10" s="241">
        <v>3</v>
      </c>
      <c r="U10" s="241">
        <v>6</v>
      </c>
      <c r="V10" s="239">
        <v>460</v>
      </c>
      <c r="W10" s="255" t="s">
        <v>975</v>
      </c>
      <c r="X10" s="238" t="s">
        <v>976</v>
      </c>
      <c r="Y10" s="238"/>
      <c r="Z10" s="241"/>
      <c r="AA10" s="241"/>
      <c r="AB10" s="241"/>
      <c r="AC10" s="241"/>
      <c r="AD10" s="241"/>
    </row>
    <row r="11" spans="1:30" ht="60">
      <c r="A11" s="243"/>
      <c r="B11" s="244"/>
      <c r="C11" s="245"/>
      <c r="D11" s="234" t="s">
        <v>468</v>
      </c>
      <c r="E11" s="235" t="s">
        <v>20</v>
      </c>
      <c r="F11" s="33" t="s">
        <v>21</v>
      </c>
      <c r="G11" s="34" t="s">
        <v>22</v>
      </c>
      <c r="H11" s="35" t="s">
        <v>445</v>
      </c>
      <c r="I11" s="35" t="s">
        <v>457</v>
      </c>
      <c r="J11" s="36" t="str">
        <f t="shared" si="0"/>
        <v>Identificar espais pel foment de la dinàmica natural i l'aprofitament no extractiu</v>
      </c>
      <c r="K11" s="37"/>
      <c r="L11" s="38" t="s">
        <v>940</v>
      </c>
      <c r="M11" s="39" t="s">
        <v>950</v>
      </c>
      <c r="N11" s="38" t="s">
        <v>977</v>
      </c>
      <c r="O11" s="38"/>
      <c r="P11" s="236"/>
      <c r="Q11" s="39" t="s">
        <v>461</v>
      </c>
      <c r="R11" s="237" t="s">
        <v>469</v>
      </c>
      <c r="S11" s="238" t="s">
        <v>978</v>
      </c>
      <c r="T11" s="238" t="s">
        <v>979</v>
      </c>
      <c r="U11" s="238" t="s">
        <v>980</v>
      </c>
      <c r="V11" s="254">
        <f>(80*2)+50</f>
        <v>210</v>
      </c>
      <c r="W11" s="255" t="s">
        <v>981</v>
      </c>
      <c r="X11" s="238" t="s">
        <v>982</v>
      </c>
      <c r="Y11" s="238"/>
      <c r="Z11" s="241"/>
      <c r="AA11" s="241"/>
      <c r="AB11" s="241"/>
      <c r="AC11" s="241"/>
      <c r="AD11" s="241"/>
    </row>
    <row r="12" spans="1:30" ht="60">
      <c r="A12" s="243"/>
      <c r="B12" s="244"/>
      <c r="C12" s="245"/>
      <c r="D12" s="234"/>
      <c r="E12" s="235"/>
      <c r="F12" s="33" t="s">
        <v>23</v>
      </c>
      <c r="G12" s="34" t="s">
        <v>24</v>
      </c>
      <c r="H12" s="35" t="s">
        <v>447</v>
      </c>
      <c r="I12" s="35" t="s">
        <v>467</v>
      </c>
      <c r="J12" s="36" t="str">
        <f t="shared" si="0"/>
        <v>Afavorir la maduresa dels sistemes forestals</v>
      </c>
      <c r="K12" s="37"/>
      <c r="L12" s="38" t="s">
        <v>940</v>
      </c>
      <c r="M12" s="39" t="s">
        <v>950</v>
      </c>
      <c r="N12" s="38" t="s">
        <v>983</v>
      </c>
      <c r="O12" s="38"/>
      <c r="P12" s="259"/>
      <c r="Q12" s="39" t="s">
        <v>458</v>
      </c>
      <c r="R12" s="237" t="s">
        <v>469</v>
      </c>
      <c r="S12" s="238" t="s">
        <v>984</v>
      </c>
      <c r="T12" s="241">
        <v>2</v>
      </c>
      <c r="U12" s="241">
        <v>4</v>
      </c>
      <c r="V12" s="239">
        <v>240</v>
      </c>
      <c r="W12" s="241" t="s">
        <v>985</v>
      </c>
      <c r="X12" s="238" t="s">
        <v>986</v>
      </c>
      <c r="Y12" s="238"/>
      <c r="Z12" s="241"/>
      <c r="AA12" s="241"/>
      <c r="AB12" s="241"/>
      <c r="AC12" s="241"/>
      <c r="AD12" s="241"/>
    </row>
    <row r="13" spans="1:30" ht="60">
      <c r="A13" s="243"/>
      <c r="B13" s="244"/>
      <c r="C13" s="245"/>
      <c r="D13" s="234"/>
      <c r="E13" s="235"/>
      <c r="F13" s="33" t="s">
        <v>25</v>
      </c>
      <c r="G13" s="34" t="s">
        <v>26</v>
      </c>
      <c r="H13" s="35" t="s">
        <v>447</v>
      </c>
      <c r="I13" s="35" t="s">
        <v>467</v>
      </c>
      <c r="J13" s="36" t="s">
        <v>987</v>
      </c>
      <c r="K13" s="260" t="s">
        <v>988</v>
      </c>
      <c r="L13" s="38"/>
      <c r="M13" s="39"/>
      <c r="N13" s="261"/>
      <c r="O13" s="38"/>
      <c r="P13" s="259"/>
      <c r="Q13" s="39" t="s">
        <v>458</v>
      </c>
      <c r="R13" s="237" t="s">
        <v>469</v>
      </c>
      <c r="S13" s="238"/>
      <c r="T13" s="241"/>
      <c r="U13" s="241"/>
      <c r="V13" s="241"/>
      <c r="W13" s="238"/>
      <c r="X13" s="238"/>
      <c r="Y13" s="238"/>
      <c r="Z13" s="241"/>
      <c r="AA13" s="241"/>
      <c r="AB13" s="241"/>
      <c r="AC13" s="241"/>
      <c r="AD13" s="241"/>
    </row>
    <row r="14" spans="1:30" ht="83.1" customHeight="1">
      <c r="A14" s="243"/>
      <c r="B14" s="244"/>
      <c r="C14" s="245"/>
      <c r="D14" s="234"/>
      <c r="E14" s="235"/>
      <c r="F14" s="33" t="s">
        <v>27</v>
      </c>
      <c r="G14" s="34" t="s">
        <v>28</v>
      </c>
      <c r="H14" s="35" t="s">
        <v>447</v>
      </c>
      <c r="I14" s="35" t="s">
        <v>467</v>
      </c>
      <c r="J14" s="36" t="s">
        <v>987</v>
      </c>
      <c r="K14" s="44" t="s">
        <v>989</v>
      </c>
      <c r="L14" s="38"/>
      <c r="M14" s="39" t="s">
        <v>990</v>
      </c>
      <c r="N14" s="38" t="s">
        <v>991</v>
      </c>
      <c r="O14" s="38"/>
      <c r="P14" s="236"/>
      <c r="Q14" s="39" t="s">
        <v>458</v>
      </c>
      <c r="R14" s="237" t="s">
        <v>469</v>
      </c>
      <c r="S14" s="238" t="s">
        <v>992</v>
      </c>
      <c r="T14" s="238">
        <v>20</v>
      </c>
      <c r="U14" s="238">
        <v>80</v>
      </c>
      <c r="V14" s="254">
        <f>80*2*4</f>
        <v>640</v>
      </c>
      <c r="W14" s="255" t="s">
        <v>993</v>
      </c>
      <c r="X14" s="238" t="s">
        <v>994</v>
      </c>
      <c r="Y14" s="238"/>
      <c r="Z14" s="241"/>
      <c r="AA14" s="241"/>
      <c r="AB14" s="241"/>
      <c r="AC14" s="241"/>
      <c r="AD14" s="241"/>
    </row>
    <row r="15" spans="1:30" ht="172.7" customHeight="1">
      <c r="A15" s="243"/>
      <c r="B15" s="244"/>
      <c r="C15" s="245"/>
      <c r="D15" s="234"/>
      <c r="E15" s="235"/>
      <c r="F15" s="33" t="s">
        <v>29</v>
      </c>
      <c r="G15" s="262" t="s">
        <v>30</v>
      </c>
      <c r="H15" s="35" t="s">
        <v>447</v>
      </c>
      <c r="I15" s="35" t="s">
        <v>467</v>
      </c>
      <c r="J15" s="36" t="str">
        <f t="shared" si="0"/>
        <v>Fomentar el paisatge en mosaïc</v>
      </c>
      <c r="K15" s="37"/>
      <c r="L15" s="38" t="s">
        <v>940</v>
      </c>
      <c r="M15" s="39" t="s">
        <v>950</v>
      </c>
      <c r="N15" s="38" t="s">
        <v>995</v>
      </c>
      <c r="O15" s="38"/>
      <c r="P15" s="236"/>
      <c r="Q15" s="39" t="s">
        <v>461</v>
      </c>
      <c r="R15" s="237" t="s">
        <v>469</v>
      </c>
      <c r="S15" s="238" t="s">
        <v>996</v>
      </c>
      <c r="T15" s="238" t="s">
        <v>997</v>
      </c>
      <c r="U15" s="238" t="s">
        <v>998</v>
      </c>
      <c r="V15" s="254">
        <f>60+60</f>
        <v>120</v>
      </c>
      <c r="W15" s="263" t="s">
        <v>999</v>
      </c>
      <c r="X15" s="238" t="s">
        <v>1000</v>
      </c>
      <c r="Y15" s="238"/>
      <c r="Z15" s="241"/>
      <c r="AA15" s="241"/>
      <c r="AB15" s="241"/>
      <c r="AC15" s="241"/>
      <c r="AD15" s="241"/>
    </row>
    <row r="16" spans="1:30" ht="75">
      <c r="A16" s="243"/>
      <c r="B16" s="244"/>
      <c r="C16" s="245"/>
      <c r="D16" s="234"/>
      <c r="E16" s="235"/>
      <c r="F16" s="33" t="s">
        <v>31</v>
      </c>
      <c r="G16" s="262" t="s">
        <v>32</v>
      </c>
      <c r="H16" s="35" t="s">
        <v>447</v>
      </c>
      <c r="I16" s="35" t="s">
        <v>467</v>
      </c>
      <c r="J16" s="36" t="str">
        <f t="shared" si="0"/>
        <v>Gestionar i intervenir en la dinàmica de poblacions de fauna que no tenen depredador natural</v>
      </c>
      <c r="K16" s="37"/>
      <c r="L16" s="38" t="s">
        <v>940</v>
      </c>
      <c r="M16" s="39" t="s">
        <v>950</v>
      </c>
      <c r="N16" s="38" t="s">
        <v>1001</v>
      </c>
      <c r="O16" s="38"/>
      <c r="P16" s="236"/>
      <c r="Q16" s="39"/>
      <c r="R16" s="237" t="s">
        <v>469</v>
      </c>
      <c r="S16" s="238" t="s">
        <v>1002</v>
      </c>
      <c r="T16" s="241" t="s">
        <v>1003</v>
      </c>
      <c r="U16" s="241">
        <v>4000</v>
      </c>
      <c r="V16" s="239">
        <v>180</v>
      </c>
      <c r="W16" s="255" t="s">
        <v>955</v>
      </c>
      <c r="X16" s="238" t="s">
        <v>956</v>
      </c>
      <c r="Y16" s="238"/>
      <c r="Z16" s="241"/>
      <c r="AA16" s="241"/>
      <c r="AB16" s="241"/>
      <c r="AC16" s="241"/>
      <c r="AD16" s="241"/>
    </row>
    <row r="17" spans="1:30" ht="30">
      <c r="A17" s="243"/>
      <c r="B17" s="244"/>
      <c r="C17" s="245"/>
      <c r="D17" s="234" t="s">
        <v>470</v>
      </c>
      <c r="E17" s="235" t="s">
        <v>33</v>
      </c>
      <c r="F17" s="33" t="s">
        <v>34</v>
      </c>
      <c r="G17" s="34" t="s">
        <v>35</v>
      </c>
      <c r="H17" s="35" t="s">
        <v>445</v>
      </c>
      <c r="I17" s="35" t="s">
        <v>467</v>
      </c>
      <c r="J17" s="36" t="str">
        <f t="shared" si="0"/>
        <v>Fomentar acords de custòdia en espais d'alt valor dins l'ENP per a la gestió dels elements prioritaris</v>
      </c>
      <c r="K17" s="37"/>
      <c r="L17" s="38" t="s">
        <v>940</v>
      </c>
      <c r="M17" s="39" t="s">
        <v>1004</v>
      </c>
      <c r="N17" s="38" t="s">
        <v>1005</v>
      </c>
      <c r="O17" s="38"/>
      <c r="P17" s="236"/>
      <c r="Q17" s="39" t="s">
        <v>458</v>
      </c>
      <c r="R17" s="237" t="s">
        <v>471</v>
      </c>
      <c r="S17" s="238" t="s">
        <v>1006</v>
      </c>
      <c r="T17" s="241">
        <v>1</v>
      </c>
      <c r="U17" s="241">
        <v>2</v>
      </c>
      <c r="V17" s="239">
        <v>60</v>
      </c>
      <c r="W17" s="250" t="s">
        <v>923</v>
      </c>
      <c r="X17" s="238" t="s">
        <v>1007</v>
      </c>
      <c r="Y17" s="238"/>
      <c r="Z17" s="241"/>
      <c r="AA17" s="241"/>
      <c r="AB17" s="241"/>
      <c r="AC17" s="241"/>
      <c r="AD17" s="241"/>
    </row>
    <row r="18" spans="1:30" ht="75">
      <c r="A18" s="243"/>
      <c r="B18" s="244"/>
      <c r="C18" s="245"/>
      <c r="D18" s="234"/>
      <c r="E18" s="235"/>
      <c r="F18" s="33" t="s">
        <v>36</v>
      </c>
      <c r="G18" s="262" t="s">
        <v>37</v>
      </c>
      <c r="H18" s="35" t="s">
        <v>445</v>
      </c>
      <c r="I18" s="35" t="s">
        <v>467</v>
      </c>
      <c r="J18" s="36" t="str">
        <f t="shared" si="0"/>
        <v>Fomentar bones pràctiques entre els col·lectius de propietaris i gestors del territori</v>
      </c>
      <c r="K18" s="37"/>
      <c r="L18" s="38" t="s">
        <v>940</v>
      </c>
      <c r="M18" s="39" t="s">
        <v>950</v>
      </c>
      <c r="N18" s="38" t="s">
        <v>1008</v>
      </c>
      <c r="O18" s="38"/>
      <c r="P18" s="236"/>
      <c r="Q18" s="39"/>
      <c r="R18" s="237"/>
      <c r="S18" s="238" t="s">
        <v>1009</v>
      </c>
      <c r="T18" s="264" t="s">
        <v>1010</v>
      </c>
      <c r="U18" s="264" t="s">
        <v>1011</v>
      </c>
      <c r="V18" s="239">
        <v>60</v>
      </c>
      <c r="W18" s="263" t="s">
        <v>1012</v>
      </c>
      <c r="X18" s="238" t="s">
        <v>1013</v>
      </c>
      <c r="Y18" s="238"/>
      <c r="Z18" s="241"/>
      <c r="AA18" s="241"/>
      <c r="AB18" s="241"/>
      <c r="AC18" s="241"/>
      <c r="AD18" s="241"/>
    </row>
    <row r="19" spans="1:30" ht="60">
      <c r="A19" s="243"/>
      <c r="B19" s="265"/>
      <c r="C19" s="266"/>
      <c r="D19" s="234"/>
      <c r="E19" s="235"/>
      <c r="F19" s="33" t="s">
        <v>38</v>
      </c>
      <c r="G19" s="34" t="s">
        <v>39</v>
      </c>
      <c r="H19" s="35" t="s">
        <v>447</v>
      </c>
      <c r="I19" s="35" t="s">
        <v>467</v>
      </c>
      <c r="J19" s="36" t="str">
        <f t="shared" si="0"/>
        <v>Impulsar la coordinació amb els ens locals en la gestió finques públiques situades dins d’ENP</v>
      </c>
      <c r="K19" s="37"/>
      <c r="L19" s="38" t="s">
        <v>940</v>
      </c>
      <c r="M19" s="39" t="s">
        <v>941</v>
      </c>
      <c r="N19" s="38" t="s">
        <v>1014</v>
      </c>
      <c r="O19" s="38"/>
      <c r="P19" s="236"/>
      <c r="Q19" s="39" t="s">
        <v>461</v>
      </c>
      <c r="R19" s="237"/>
      <c r="S19" s="238" t="s">
        <v>1015</v>
      </c>
      <c r="T19" s="241">
        <v>3</v>
      </c>
      <c r="U19" s="241">
        <v>6</v>
      </c>
      <c r="V19" s="239">
        <f>20+40+100+100</f>
        <v>260</v>
      </c>
      <c r="W19" s="250" t="s">
        <v>959</v>
      </c>
      <c r="X19" s="238" t="s">
        <v>1016</v>
      </c>
      <c r="Y19" s="238"/>
      <c r="Z19" s="241"/>
      <c r="AA19" s="241"/>
      <c r="AB19" s="241"/>
      <c r="AC19" s="241"/>
      <c r="AD19" s="241"/>
    </row>
    <row r="20" spans="1:30" ht="30">
      <c r="A20" s="243"/>
      <c r="B20" s="267">
        <v>2</v>
      </c>
      <c r="C20" s="268" t="s">
        <v>40</v>
      </c>
      <c r="D20" s="247" t="s">
        <v>472</v>
      </c>
      <c r="E20" s="248" t="s">
        <v>41</v>
      </c>
      <c r="F20" s="33" t="s">
        <v>42</v>
      </c>
      <c r="G20" s="34" t="s">
        <v>43</v>
      </c>
      <c r="H20" s="35" t="s">
        <v>445</v>
      </c>
      <c r="I20" s="35" t="s">
        <v>457</v>
      </c>
      <c r="J20" s="36" t="str">
        <f t="shared" si="0"/>
        <v>Adaptar i implementar el Pla d'adaptació de l'ENP al canvi climàtic</v>
      </c>
      <c r="K20" s="37" t="s">
        <v>1017</v>
      </c>
      <c r="L20" s="38"/>
      <c r="M20" s="39" t="s">
        <v>990</v>
      </c>
      <c r="N20" s="38"/>
      <c r="O20" s="38"/>
      <c r="P20" s="236"/>
      <c r="Q20" s="39"/>
      <c r="R20" s="237" t="s">
        <v>473</v>
      </c>
      <c r="S20" s="238"/>
      <c r="T20" s="238"/>
      <c r="U20" s="238"/>
      <c r="V20" s="241"/>
      <c r="W20" s="238"/>
      <c r="X20" s="238"/>
      <c r="Y20" s="238"/>
      <c r="Z20" s="241"/>
      <c r="AA20" s="241"/>
      <c r="AB20" s="241"/>
      <c r="AC20" s="241"/>
      <c r="AD20" s="241"/>
    </row>
    <row r="21" spans="1:30" ht="45">
      <c r="A21" s="243"/>
      <c r="B21" s="269"/>
      <c r="C21" s="270"/>
      <c r="D21" s="251"/>
      <c r="E21" s="252"/>
      <c r="F21" s="33" t="s">
        <v>44</v>
      </c>
      <c r="G21" s="34" t="s">
        <v>45</v>
      </c>
      <c r="H21" s="35" t="s">
        <v>445</v>
      </c>
      <c r="I21" s="35" t="s">
        <v>446</v>
      </c>
      <c r="J21" s="36" t="str">
        <f t="shared" si="0"/>
        <v>Gestionar i planificar els recursos hídrics de l'ENP</v>
      </c>
      <c r="K21" s="37"/>
      <c r="L21" s="38" t="s">
        <v>940</v>
      </c>
      <c r="M21" s="39" t="s">
        <v>950</v>
      </c>
      <c r="N21" s="38" t="s">
        <v>1018</v>
      </c>
      <c r="O21" s="38"/>
      <c r="P21" s="236"/>
      <c r="Q21" s="39"/>
      <c r="R21" s="237"/>
      <c r="S21" s="238" t="s">
        <v>1019</v>
      </c>
      <c r="T21" s="238" t="s">
        <v>1020</v>
      </c>
      <c r="U21" s="238" t="s">
        <v>1020</v>
      </c>
      <c r="V21" s="239">
        <f>40+40</f>
        <v>80</v>
      </c>
      <c r="W21" s="241" t="s">
        <v>985</v>
      </c>
      <c r="X21" s="238" t="s">
        <v>994</v>
      </c>
      <c r="Y21" s="238"/>
      <c r="Z21" s="241"/>
      <c r="AA21" s="241"/>
      <c r="AB21" s="241"/>
      <c r="AC21" s="241"/>
      <c r="AD21" s="241"/>
    </row>
    <row r="22" spans="1:30" ht="135">
      <c r="A22" s="243"/>
      <c r="B22" s="269"/>
      <c r="C22" s="270"/>
      <c r="D22" s="251"/>
      <c r="E22" s="252"/>
      <c r="F22" s="33" t="s">
        <v>46</v>
      </c>
      <c r="G22" s="34" t="s">
        <v>47</v>
      </c>
      <c r="H22" s="35" t="s">
        <v>447</v>
      </c>
      <c r="I22" s="35" t="s">
        <v>467</v>
      </c>
      <c r="J22" s="36" t="str">
        <f>G22</f>
        <v>Participar en la redacció i execució dels instruments d'ordenació forestal sostenible i per la conservació en finques públiques</v>
      </c>
      <c r="K22" s="271" t="s">
        <v>1021</v>
      </c>
      <c r="L22" s="38" t="s">
        <v>940</v>
      </c>
      <c r="M22" s="39" t="s">
        <v>972</v>
      </c>
      <c r="N22" s="38" t="s">
        <v>1022</v>
      </c>
      <c r="O22" s="38"/>
      <c r="P22" s="236"/>
      <c r="Q22" s="39"/>
      <c r="R22" s="237" t="s">
        <v>474</v>
      </c>
      <c r="S22" s="38" t="s">
        <v>1023</v>
      </c>
      <c r="T22" s="241">
        <v>50</v>
      </c>
      <c r="U22" s="241">
        <v>100</v>
      </c>
      <c r="V22" s="239">
        <f>20+200+200</f>
        <v>420</v>
      </c>
      <c r="W22" s="272" t="s">
        <v>985</v>
      </c>
      <c r="X22" s="238" t="s">
        <v>1024</v>
      </c>
      <c r="Y22" s="238"/>
      <c r="Z22" s="241"/>
      <c r="AA22" s="241"/>
      <c r="AB22" s="241"/>
      <c r="AC22" s="241"/>
      <c r="AD22" s="241"/>
    </row>
    <row r="23" spans="1:30" ht="45">
      <c r="A23" s="243"/>
      <c r="B23" s="269"/>
      <c r="C23" s="270"/>
      <c r="D23" s="256"/>
      <c r="E23" s="257"/>
      <c r="F23" s="33" t="s">
        <v>48</v>
      </c>
      <c r="G23" s="34" t="s">
        <v>49</v>
      </c>
      <c r="H23" s="35" t="s">
        <v>447</v>
      </c>
      <c r="I23" s="35" t="s">
        <v>448</v>
      </c>
      <c r="J23" s="36" t="str">
        <f t="shared" si="0"/>
        <v>Promoure la redacció d'instruments d'ordenació forestal per reduir la sensibilitat i vulnerabilitat dels boscos al canvi climàtic en finques privades</v>
      </c>
      <c r="K23" s="37"/>
      <c r="L23" s="38" t="s">
        <v>940</v>
      </c>
      <c r="M23" s="39" t="s">
        <v>972</v>
      </c>
      <c r="N23" s="38" t="s">
        <v>1025</v>
      </c>
      <c r="O23" s="38"/>
      <c r="P23" s="236"/>
      <c r="Q23" s="39"/>
      <c r="R23" s="237"/>
      <c r="S23" s="238" t="s">
        <v>1026</v>
      </c>
      <c r="T23" s="241">
        <v>60</v>
      </c>
      <c r="U23" s="241">
        <v>100</v>
      </c>
      <c r="V23" s="239">
        <v>200</v>
      </c>
      <c r="W23" s="272" t="s">
        <v>985</v>
      </c>
      <c r="X23" s="238" t="s">
        <v>986</v>
      </c>
      <c r="Y23" s="238"/>
      <c r="Z23" s="241"/>
      <c r="AA23" s="241"/>
      <c r="AB23" s="241"/>
      <c r="AC23" s="241"/>
      <c r="AD23" s="241"/>
    </row>
    <row r="24" spans="1:30" ht="75">
      <c r="A24" s="243"/>
      <c r="B24" s="269"/>
      <c r="C24" s="270"/>
      <c r="D24" s="234" t="s">
        <v>475</v>
      </c>
      <c r="E24" s="235" t="s">
        <v>50</v>
      </c>
      <c r="F24" s="33" t="s">
        <v>51</v>
      </c>
      <c r="G24" s="34" t="s">
        <v>52</v>
      </c>
      <c r="H24" s="35" t="s">
        <v>445</v>
      </c>
      <c r="I24" s="35" t="s">
        <v>457</v>
      </c>
      <c r="J24" s="36" t="str">
        <f t="shared" si="0"/>
        <v xml:space="preserve">Redactar i implementar el Pla de Prevenció d'Incendis </v>
      </c>
      <c r="K24" s="37"/>
      <c r="L24" s="38" t="s">
        <v>940</v>
      </c>
      <c r="M24" s="39" t="s">
        <v>941</v>
      </c>
      <c r="N24" s="38" t="s">
        <v>1027</v>
      </c>
      <c r="O24" s="38"/>
      <c r="P24" s="236"/>
      <c r="Q24" s="39" t="s">
        <v>461</v>
      </c>
      <c r="R24" s="237" t="s">
        <v>476</v>
      </c>
      <c r="S24" s="238" t="s">
        <v>1028</v>
      </c>
      <c r="T24" s="241">
        <v>1</v>
      </c>
      <c r="U24" s="241">
        <v>1</v>
      </c>
      <c r="V24" s="239">
        <f>80*4</f>
        <v>320</v>
      </c>
      <c r="W24" s="272" t="s">
        <v>985</v>
      </c>
      <c r="X24" s="238" t="s">
        <v>986</v>
      </c>
      <c r="Y24" s="238"/>
      <c r="Z24" s="241"/>
      <c r="AA24" s="241"/>
      <c r="AB24" s="241"/>
      <c r="AC24" s="241"/>
      <c r="AD24" s="241"/>
    </row>
    <row r="25" spans="1:30" ht="60">
      <c r="A25" s="243"/>
      <c r="B25" s="269"/>
      <c r="C25" s="270"/>
      <c r="D25" s="234"/>
      <c r="E25" s="235"/>
      <c r="F25" s="33" t="s">
        <v>53</v>
      </c>
      <c r="G25" s="34" t="s">
        <v>54</v>
      </c>
      <c r="H25" s="35" t="s">
        <v>447</v>
      </c>
      <c r="I25" s="35" t="s">
        <v>467</v>
      </c>
      <c r="J25" s="36" t="str">
        <f t="shared" si="0"/>
        <v>Definir i planificar la gestió del foc per a la millora de l'ENP</v>
      </c>
      <c r="K25" s="37"/>
      <c r="L25" s="38" t="s">
        <v>940</v>
      </c>
      <c r="M25" s="39" t="s">
        <v>950</v>
      </c>
      <c r="N25" s="38" t="s">
        <v>1029</v>
      </c>
      <c r="O25" s="38"/>
      <c r="P25" s="236"/>
      <c r="Q25" s="39"/>
      <c r="R25" s="237" t="s">
        <v>477</v>
      </c>
      <c r="S25" s="238" t="s">
        <v>1030</v>
      </c>
      <c r="T25" s="241">
        <v>60</v>
      </c>
      <c r="U25" s="241">
        <v>100</v>
      </c>
      <c r="V25" s="239">
        <v>200</v>
      </c>
      <c r="W25" s="272" t="s">
        <v>985</v>
      </c>
      <c r="X25" s="238" t="s">
        <v>986</v>
      </c>
      <c r="Y25" s="238"/>
      <c r="Z25" s="241"/>
      <c r="AA25" s="241"/>
      <c r="AB25" s="241"/>
      <c r="AC25" s="241"/>
      <c r="AD25" s="241"/>
    </row>
    <row r="26" spans="1:30" ht="60">
      <c r="A26" s="243"/>
      <c r="B26" s="269"/>
      <c r="C26" s="270"/>
      <c r="D26" s="234"/>
      <c r="E26" s="235"/>
      <c r="F26" s="33" t="s">
        <v>55</v>
      </c>
      <c r="G26" s="34" t="s">
        <v>56</v>
      </c>
      <c r="H26" s="35" t="s">
        <v>445</v>
      </c>
      <c r="I26" s="35" t="s">
        <v>457</v>
      </c>
      <c r="J26" s="273" t="s">
        <v>1031</v>
      </c>
      <c r="K26" s="271" t="s">
        <v>1032</v>
      </c>
      <c r="L26" s="38" t="s">
        <v>940</v>
      </c>
      <c r="M26" s="39" t="s">
        <v>972</v>
      </c>
      <c r="N26" s="38" t="s">
        <v>1033</v>
      </c>
      <c r="O26" s="38"/>
      <c r="P26" s="236"/>
      <c r="Q26" s="39"/>
      <c r="R26" s="237"/>
      <c r="S26" s="238" t="s">
        <v>1034</v>
      </c>
      <c r="T26" s="241">
        <v>2</v>
      </c>
      <c r="U26" s="241">
        <v>8</v>
      </c>
      <c r="V26" s="239">
        <v>200</v>
      </c>
      <c r="W26" s="272" t="s">
        <v>985</v>
      </c>
      <c r="X26" s="238" t="s">
        <v>986</v>
      </c>
      <c r="Y26" s="238"/>
      <c r="Z26" s="241"/>
      <c r="AA26" s="241"/>
      <c r="AB26" s="241"/>
      <c r="AC26" s="241"/>
      <c r="AD26" s="241"/>
    </row>
    <row r="27" spans="1:30" ht="45">
      <c r="A27" s="243"/>
      <c r="B27" s="267">
        <v>3</v>
      </c>
      <c r="C27" s="268" t="s">
        <v>57</v>
      </c>
      <c r="D27" s="234" t="s">
        <v>478</v>
      </c>
      <c r="E27" s="274" t="s">
        <v>58</v>
      </c>
      <c r="F27" s="33" t="s">
        <v>59</v>
      </c>
      <c r="G27" s="34" t="s">
        <v>60</v>
      </c>
      <c r="H27" s="35" t="s">
        <v>445</v>
      </c>
      <c r="I27" s="35" t="s">
        <v>446</v>
      </c>
      <c r="J27" s="36" t="str">
        <f t="shared" si="0"/>
        <v>Participar en les consultes dels procesos d'Avaluació Ambiental que afectin directament o indirectament l’espai del ENP</v>
      </c>
      <c r="K27" s="37"/>
      <c r="L27" s="38" t="s">
        <v>940</v>
      </c>
      <c r="M27" s="39" t="s">
        <v>972</v>
      </c>
      <c r="N27" s="38" t="s">
        <v>1035</v>
      </c>
      <c r="O27" s="38"/>
      <c r="P27" s="236"/>
      <c r="Q27" s="39"/>
      <c r="R27" s="237"/>
      <c r="S27" s="238" t="s">
        <v>1036</v>
      </c>
      <c r="T27" s="241">
        <v>50</v>
      </c>
      <c r="U27" s="241">
        <v>100</v>
      </c>
      <c r="V27" s="239">
        <f>30*4</f>
        <v>120</v>
      </c>
      <c r="W27" s="241" t="s">
        <v>985</v>
      </c>
      <c r="X27" s="238" t="s">
        <v>1037</v>
      </c>
      <c r="Y27" s="238"/>
      <c r="Z27" s="241"/>
      <c r="AA27" s="241"/>
      <c r="AB27" s="241"/>
      <c r="AC27" s="241"/>
      <c r="AD27" s="241"/>
    </row>
    <row r="28" spans="1:30" ht="60">
      <c r="A28" s="243"/>
      <c r="B28" s="269"/>
      <c r="C28" s="270"/>
      <c r="D28" s="234"/>
      <c r="E28" s="274"/>
      <c r="F28" s="33" t="s">
        <v>61</v>
      </c>
      <c r="G28" s="34" t="s">
        <v>62</v>
      </c>
      <c r="H28" s="35" t="s">
        <v>445</v>
      </c>
      <c r="I28" s="35" t="s">
        <v>446</v>
      </c>
      <c r="J28" s="36" t="str">
        <f t="shared" si="0"/>
        <v>Exercir un seguiment efectiu de les obres al Parc juntament amb les Oficines Territorials d'Acció i Avaluació Ambiental als efectes d'assegurar la correcta translació de la tutela administrativa.</v>
      </c>
      <c r="K28" s="37"/>
      <c r="L28" s="38" t="s">
        <v>940</v>
      </c>
      <c r="M28" s="39" t="s">
        <v>972</v>
      </c>
      <c r="N28" s="38" t="s">
        <v>1038</v>
      </c>
      <c r="O28" s="38"/>
      <c r="P28" s="236"/>
      <c r="Q28" s="39"/>
      <c r="R28" s="237"/>
      <c r="S28" s="238" t="s">
        <v>1039</v>
      </c>
      <c r="T28" s="241">
        <v>50</v>
      </c>
      <c r="U28" s="241">
        <v>100</v>
      </c>
      <c r="V28" s="239">
        <v>300</v>
      </c>
      <c r="W28" s="241" t="s">
        <v>985</v>
      </c>
      <c r="X28" s="238" t="s">
        <v>986</v>
      </c>
      <c r="Y28" s="238"/>
      <c r="Z28" s="241"/>
      <c r="AA28" s="241"/>
      <c r="AB28" s="241"/>
      <c r="AC28" s="241"/>
      <c r="AD28" s="241"/>
    </row>
    <row r="29" spans="1:30" ht="75">
      <c r="A29" s="243"/>
      <c r="B29" s="269"/>
      <c r="C29" s="270"/>
      <c r="D29" s="234"/>
      <c r="E29" s="274"/>
      <c r="F29" s="33" t="s">
        <v>63</v>
      </c>
      <c r="G29" s="34" t="s">
        <v>64</v>
      </c>
      <c r="H29" s="35" t="s">
        <v>445</v>
      </c>
      <c r="I29" s="35" t="s">
        <v>467</v>
      </c>
      <c r="J29" s="36" t="str">
        <f t="shared" si="0"/>
        <v>Participar en la compensació d'impactes residuals durant els processos d'avaluació ambiental mitjançant la identificació de necessitats d'actuació prioritària dins i fora dels límits de l’ENP</v>
      </c>
      <c r="K29" s="37"/>
      <c r="L29" s="38" t="s">
        <v>940</v>
      </c>
      <c r="M29" s="39" t="s">
        <v>972</v>
      </c>
      <c r="N29" s="38" t="s">
        <v>1040</v>
      </c>
      <c r="O29" s="38"/>
      <c r="P29" s="236"/>
      <c r="Q29" s="39"/>
      <c r="R29" s="237"/>
      <c r="S29" s="238" t="s">
        <v>1041</v>
      </c>
      <c r="T29" s="238" t="s">
        <v>1042</v>
      </c>
      <c r="U29" s="238" t="s">
        <v>1043</v>
      </c>
      <c r="V29" s="239">
        <f>50+50+(80*4)</f>
        <v>420</v>
      </c>
      <c r="W29" s="250" t="s">
        <v>959</v>
      </c>
      <c r="X29" s="238" t="s">
        <v>1044</v>
      </c>
      <c r="Y29" s="238"/>
      <c r="Z29" s="241"/>
      <c r="AA29" s="241"/>
      <c r="AB29" s="241"/>
      <c r="AC29" s="241"/>
      <c r="AD29" s="241"/>
    </row>
    <row r="30" spans="1:30" ht="60">
      <c r="A30" s="243"/>
      <c r="B30" s="269"/>
      <c r="C30" s="270"/>
      <c r="D30" s="42" t="s">
        <v>479</v>
      </c>
      <c r="E30" s="43" t="s">
        <v>65</v>
      </c>
      <c r="F30" s="33" t="s">
        <v>66</v>
      </c>
      <c r="G30" s="34" t="s">
        <v>67</v>
      </c>
      <c r="H30" s="35" t="s">
        <v>445</v>
      </c>
      <c r="I30" s="33" t="s">
        <v>446</v>
      </c>
      <c r="J30" s="36" t="str">
        <f t="shared" si="0"/>
        <v>Participar en l'elaboració dels instruments de planificació de l'ENP</v>
      </c>
      <c r="K30" s="44" t="s">
        <v>1045</v>
      </c>
      <c r="L30" s="38" t="s">
        <v>1046</v>
      </c>
      <c r="M30" s="39"/>
      <c r="N30" s="38"/>
      <c r="O30" s="38"/>
      <c r="P30" s="236"/>
      <c r="Q30" s="39"/>
      <c r="R30" s="237" t="s">
        <v>480</v>
      </c>
      <c r="S30" s="238"/>
      <c r="T30" s="241"/>
      <c r="U30" s="241"/>
      <c r="V30" s="241"/>
      <c r="W30" s="241" t="s">
        <v>959</v>
      </c>
      <c r="X30" s="238" t="s">
        <v>960</v>
      </c>
      <c r="Y30" s="238"/>
      <c r="Z30" s="241"/>
      <c r="AA30" s="241"/>
      <c r="AB30" s="241"/>
      <c r="AC30" s="241"/>
      <c r="AD30" s="241"/>
    </row>
    <row r="31" spans="1:30" ht="75">
      <c r="A31" s="243"/>
      <c r="B31" s="269"/>
      <c r="C31" s="270"/>
      <c r="D31" s="234" t="s">
        <v>481</v>
      </c>
      <c r="E31" s="235" t="s">
        <v>68</v>
      </c>
      <c r="F31" s="33" t="s">
        <v>69</v>
      </c>
      <c r="G31" s="34" t="s">
        <v>70</v>
      </c>
      <c r="H31" s="35" t="s">
        <v>447</v>
      </c>
      <c r="I31" s="35" t="s">
        <v>448</v>
      </c>
      <c r="J31" s="36" t="str">
        <f t="shared" si="0"/>
        <v>Vetllar pel manteniment del cabal ecològic dels rius definit al Pla sectorial corresponent</v>
      </c>
      <c r="K31" s="37"/>
      <c r="L31" s="38" t="s">
        <v>940</v>
      </c>
      <c r="M31" s="39" t="s">
        <v>950</v>
      </c>
      <c r="N31" s="38" t="s">
        <v>1047</v>
      </c>
      <c r="O31" s="38"/>
      <c r="P31" s="236" t="s">
        <v>1048</v>
      </c>
      <c r="Q31" s="39" t="s">
        <v>461</v>
      </c>
      <c r="R31" s="237" t="s">
        <v>482</v>
      </c>
      <c r="S31" s="238" t="s">
        <v>1049</v>
      </c>
      <c r="T31" s="238" t="s">
        <v>1050</v>
      </c>
      <c r="U31" s="238" t="s">
        <v>1051</v>
      </c>
      <c r="V31" s="239">
        <f>20*4</f>
        <v>80</v>
      </c>
      <c r="W31" s="250" t="s">
        <v>955</v>
      </c>
      <c r="X31" s="238" t="s">
        <v>956</v>
      </c>
      <c r="Y31" s="238"/>
      <c r="Z31" s="241"/>
      <c r="AA31" s="241"/>
      <c r="AB31" s="241"/>
      <c r="AC31" s="241"/>
      <c r="AD31" s="241"/>
    </row>
    <row r="32" spans="1:30" ht="45">
      <c r="A32" s="243"/>
      <c r="B32" s="269"/>
      <c r="C32" s="270"/>
      <c r="D32" s="234"/>
      <c r="E32" s="235"/>
      <c r="F32" s="33" t="s">
        <v>71</v>
      </c>
      <c r="G32" s="34" t="s">
        <v>72</v>
      </c>
      <c r="H32" s="35" t="s">
        <v>447</v>
      </c>
      <c r="I32" s="35" t="s">
        <v>467</v>
      </c>
      <c r="J32" s="36" t="str">
        <f t="shared" si="0"/>
        <v>Vetllar per la regulació dels dragatges, canalitzacions o implantació d'activitats extractives que puguin modificar la llera i el cabal dels rius</v>
      </c>
      <c r="K32" s="37"/>
      <c r="L32" s="38" t="s">
        <v>940</v>
      </c>
      <c r="M32" s="39" t="s">
        <v>950</v>
      </c>
      <c r="N32" s="37" t="s">
        <v>1052</v>
      </c>
      <c r="O32" s="38"/>
      <c r="P32" s="236"/>
      <c r="Q32" s="39"/>
      <c r="R32" s="237"/>
      <c r="S32" s="238"/>
      <c r="T32" s="238"/>
      <c r="U32" s="238"/>
      <c r="V32" s="241"/>
      <c r="W32" s="241"/>
      <c r="X32" s="238"/>
      <c r="Y32" s="238"/>
      <c r="Z32" s="241"/>
      <c r="AA32" s="241"/>
      <c r="AB32" s="241"/>
      <c r="AC32" s="241"/>
      <c r="AD32" s="241"/>
    </row>
    <row r="33" spans="1:30" ht="45">
      <c r="A33" s="243"/>
      <c r="B33" s="269"/>
      <c r="C33" s="270"/>
      <c r="D33" s="234"/>
      <c r="E33" s="235"/>
      <c r="F33" s="33" t="s">
        <v>73</v>
      </c>
      <c r="G33" s="34" t="s">
        <v>74</v>
      </c>
      <c r="H33" s="35" t="s">
        <v>447</v>
      </c>
      <c r="I33" s="35" t="s">
        <v>467</v>
      </c>
      <c r="J33" s="36" t="str">
        <f>G33</f>
        <v>Avaluar i controlar les actuacions que produeixin drenatges, captacions o que puguin impedir l’arribada d’aigua tant superficial com freàtica</v>
      </c>
      <c r="K33" s="37"/>
      <c r="L33" s="38" t="s">
        <v>940</v>
      </c>
      <c r="M33" s="39" t="s">
        <v>950</v>
      </c>
      <c r="N33" s="37" t="s">
        <v>1052</v>
      </c>
      <c r="O33" s="36"/>
      <c r="P33" s="236"/>
      <c r="Q33" s="39"/>
      <c r="R33" s="237"/>
      <c r="S33" s="38"/>
      <c r="T33" s="275"/>
      <c r="U33" s="241"/>
      <c r="V33" s="241"/>
      <c r="W33" s="275"/>
      <c r="X33" s="238"/>
      <c r="Y33" s="238"/>
      <c r="Z33" s="241"/>
      <c r="AA33" s="241"/>
      <c r="AB33" s="241"/>
      <c r="AC33" s="241"/>
      <c r="AD33" s="241"/>
    </row>
    <row r="34" spans="1:30" ht="45">
      <c r="A34" s="243"/>
      <c r="B34" s="269"/>
      <c r="C34" s="270"/>
      <c r="D34" s="234"/>
      <c r="E34" s="235"/>
      <c r="F34" s="33" t="s">
        <v>75</v>
      </c>
      <c r="G34" s="34" t="s">
        <v>76</v>
      </c>
      <c r="H34" s="35" t="s">
        <v>447</v>
      </c>
      <c r="I34" s="35" t="s">
        <v>467</v>
      </c>
      <c r="J34" s="36" t="str">
        <f t="shared" si="0"/>
        <v>Vetllar pel compliment de la normativa de depuració dels efluents agroramaders, urbans i industrials que s'aboquen als cursos fluvials</v>
      </c>
      <c r="K34" s="37"/>
      <c r="L34" s="38" t="s">
        <v>940</v>
      </c>
      <c r="M34" s="39" t="s">
        <v>950</v>
      </c>
      <c r="N34" s="38" t="s">
        <v>1053</v>
      </c>
      <c r="O34" s="38"/>
      <c r="P34" s="236" t="s">
        <v>1054</v>
      </c>
      <c r="Q34" s="39"/>
      <c r="R34" s="237"/>
      <c r="S34" s="238" t="s">
        <v>1055</v>
      </c>
      <c r="T34" s="241">
        <v>2</v>
      </c>
      <c r="U34" s="241">
        <v>4</v>
      </c>
      <c r="V34" s="239">
        <f>10*4</f>
        <v>40</v>
      </c>
      <c r="W34" s="250" t="s">
        <v>955</v>
      </c>
      <c r="X34" s="238" t="s">
        <v>956</v>
      </c>
      <c r="Y34" s="238"/>
      <c r="Z34" s="241"/>
      <c r="AA34" s="241"/>
      <c r="AB34" s="241"/>
      <c r="AC34" s="241"/>
      <c r="AD34" s="241"/>
    </row>
    <row r="35" spans="1:30" ht="45">
      <c r="A35" s="243"/>
      <c r="B35" s="269"/>
      <c r="C35" s="270"/>
      <c r="D35" s="234" t="s">
        <v>483</v>
      </c>
      <c r="E35" s="235" t="s">
        <v>77</v>
      </c>
      <c r="F35" s="33" t="s">
        <v>78</v>
      </c>
      <c r="G35" s="34" t="s">
        <v>79</v>
      </c>
      <c r="H35" s="35" t="s">
        <v>445</v>
      </c>
      <c r="I35" s="35" t="s">
        <v>467</v>
      </c>
      <c r="J35" s="36" t="str">
        <f t="shared" si="0"/>
        <v xml:space="preserve">Identificar espais prioritaris per a la compra de terrenys de més valor dins l'ENP </v>
      </c>
      <c r="K35" s="37"/>
      <c r="L35" s="38" t="s">
        <v>940</v>
      </c>
      <c r="M35" s="39" t="s">
        <v>950</v>
      </c>
      <c r="N35" s="38" t="s">
        <v>1056</v>
      </c>
      <c r="O35" s="38"/>
      <c r="P35" s="236"/>
      <c r="Q35" s="39"/>
      <c r="R35" s="237" t="s">
        <v>484</v>
      </c>
      <c r="S35" s="238" t="s">
        <v>1057</v>
      </c>
      <c r="T35" s="238" t="s">
        <v>1058</v>
      </c>
      <c r="U35" s="238" t="s">
        <v>1059</v>
      </c>
      <c r="V35" s="239">
        <v>140</v>
      </c>
      <c r="W35" s="241" t="s">
        <v>959</v>
      </c>
      <c r="X35" s="238" t="s">
        <v>1060</v>
      </c>
      <c r="Y35" s="238"/>
      <c r="Z35" s="241"/>
      <c r="AA35" s="241"/>
      <c r="AB35" s="241"/>
      <c r="AC35" s="241"/>
      <c r="AD35" s="241"/>
    </row>
    <row r="36" spans="1:30" ht="45">
      <c r="A36" s="243"/>
      <c r="B36" s="276"/>
      <c r="C36" s="277"/>
      <c r="D36" s="234"/>
      <c r="E36" s="235"/>
      <c r="F36" s="33" t="s">
        <v>80</v>
      </c>
      <c r="G36" s="34" t="s">
        <v>81</v>
      </c>
      <c r="H36" s="35" t="s">
        <v>445</v>
      </c>
      <c r="I36" s="35" t="s">
        <v>448</v>
      </c>
      <c r="J36" s="36" t="str">
        <f t="shared" si="0"/>
        <v>Identificar espais prioritaris per a la gestió directa</v>
      </c>
      <c r="K36" s="37"/>
      <c r="L36" s="38" t="s">
        <v>940</v>
      </c>
      <c r="M36" s="39" t="s">
        <v>950</v>
      </c>
      <c r="N36" s="38" t="s">
        <v>1061</v>
      </c>
      <c r="O36" s="38"/>
      <c r="P36" s="236"/>
      <c r="Q36" s="39"/>
      <c r="R36" s="237" t="s">
        <v>484</v>
      </c>
      <c r="S36" s="238" t="s">
        <v>1062</v>
      </c>
      <c r="T36" s="238" t="s">
        <v>1059</v>
      </c>
      <c r="U36" s="238" t="s">
        <v>1063</v>
      </c>
      <c r="V36" s="239">
        <f>(50*4)*2</f>
        <v>400</v>
      </c>
      <c r="W36" s="255" t="s">
        <v>1064</v>
      </c>
      <c r="X36" s="238" t="s">
        <v>1065</v>
      </c>
      <c r="Y36" s="238"/>
      <c r="Z36" s="241"/>
      <c r="AA36" s="241"/>
      <c r="AB36" s="241"/>
      <c r="AC36" s="241"/>
      <c r="AD36" s="241"/>
    </row>
    <row r="37" spans="1:30" ht="165">
      <c r="A37" s="45" t="s">
        <v>82</v>
      </c>
      <c r="B37" s="46">
        <v>4</v>
      </c>
      <c r="C37" s="47" t="s">
        <v>83</v>
      </c>
      <c r="D37" s="278" t="s">
        <v>485</v>
      </c>
      <c r="E37" s="279" t="s">
        <v>84</v>
      </c>
      <c r="F37" s="33" t="s">
        <v>85</v>
      </c>
      <c r="G37" s="34" t="s">
        <v>86</v>
      </c>
      <c r="H37" s="35" t="s">
        <v>445</v>
      </c>
      <c r="I37" s="35" t="s">
        <v>448</v>
      </c>
      <c r="J37" s="36" t="str">
        <f t="shared" si="0"/>
        <v>Elaborar l'inventari i cartografia de patrimoni cultural de l'ENP, que també inclogui el patrimoni etnològic i immaterial</v>
      </c>
      <c r="K37" s="37"/>
      <c r="L37" s="38" t="s">
        <v>940</v>
      </c>
      <c r="M37" s="39" t="s">
        <v>972</v>
      </c>
      <c r="N37" s="38" t="s">
        <v>1066</v>
      </c>
      <c r="O37" s="38"/>
      <c r="P37" s="236"/>
      <c r="Q37" s="39"/>
      <c r="R37" s="237"/>
      <c r="S37" s="238" t="s">
        <v>1067</v>
      </c>
      <c r="T37" s="241">
        <v>1</v>
      </c>
      <c r="U37" s="241">
        <v>3</v>
      </c>
      <c r="V37" s="239">
        <v>50</v>
      </c>
      <c r="W37" s="238" t="s">
        <v>1068</v>
      </c>
      <c r="X37" s="238" t="s">
        <v>1069</v>
      </c>
      <c r="Y37" s="238"/>
      <c r="Z37" s="241"/>
      <c r="AA37" s="241"/>
      <c r="AB37" s="241"/>
      <c r="AC37" s="241"/>
      <c r="AD37" s="241"/>
    </row>
    <row r="38" spans="1:30" ht="150">
      <c r="A38" s="45"/>
      <c r="B38" s="280"/>
      <c r="C38" s="281"/>
      <c r="D38" s="282"/>
      <c r="E38" s="283"/>
      <c r="F38" s="33" t="s">
        <v>87</v>
      </c>
      <c r="G38" s="34" t="s">
        <v>88</v>
      </c>
      <c r="H38" s="35" t="s">
        <v>445</v>
      </c>
      <c r="I38" s="35" t="s">
        <v>448</v>
      </c>
      <c r="J38" s="36" t="str">
        <f t="shared" si="0"/>
        <v>Elaborar el catàleg lingüístic (localismes) de patrimoni natural, geografia popular, festes i activitats tradicionals de l'ENP</v>
      </c>
      <c r="K38" s="37"/>
      <c r="L38" s="38" t="s">
        <v>940</v>
      </c>
      <c r="M38" s="39" t="s">
        <v>972</v>
      </c>
      <c r="N38" s="38" t="s">
        <v>1070</v>
      </c>
      <c r="O38" s="38"/>
      <c r="P38" s="236"/>
      <c r="Q38" s="39"/>
      <c r="R38" s="237"/>
      <c r="S38" s="238" t="s">
        <v>1071</v>
      </c>
      <c r="T38" s="241">
        <v>1</v>
      </c>
      <c r="U38" s="241">
        <v>2</v>
      </c>
      <c r="V38" s="239">
        <v>50</v>
      </c>
      <c r="W38" s="255" t="s">
        <v>1072</v>
      </c>
      <c r="X38" s="238" t="s">
        <v>1073</v>
      </c>
      <c r="Y38" s="238"/>
      <c r="Z38" s="241"/>
      <c r="AA38" s="241"/>
      <c r="AB38" s="241"/>
      <c r="AC38" s="241"/>
      <c r="AD38" s="241"/>
    </row>
    <row r="39" spans="1:30" ht="105">
      <c r="A39" s="45"/>
      <c r="B39" s="280"/>
      <c r="C39" s="281"/>
      <c r="D39" s="282"/>
      <c r="E39" s="284"/>
      <c r="F39" s="33" t="s">
        <v>89</v>
      </c>
      <c r="G39" s="34" t="s">
        <v>90</v>
      </c>
      <c r="H39" s="35" t="s">
        <v>445</v>
      </c>
      <c r="I39" s="35" t="s">
        <v>448</v>
      </c>
      <c r="J39" s="36" t="str">
        <f t="shared" si="0"/>
        <v>Elaborar la cartografia de la xarxa de camins ramaders i senders tradicionals de l'ENP</v>
      </c>
      <c r="K39" s="37"/>
      <c r="L39" s="38" t="s">
        <v>940</v>
      </c>
      <c r="M39" s="39" t="s">
        <v>972</v>
      </c>
      <c r="N39" s="38" t="s">
        <v>1074</v>
      </c>
      <c r="O39" s="38"/>
      <c r="P39" s="236"/>
      <c r="Q39" s="39"/>
      <c r="R39" s="237"/>
      <c r="S39" s="238" t="s">
        <v>1075</v>
      </c>
      <c r="T39" s="241">
        <v>1</v>
      </c>
      <c r="U39" s="241">
        <v>1</v>
      </c>
      <c r="V39" s="239">
        <v>50</v>
      </c>
      <c r="W39" s="263" t="s">
        <v>1076</v>
      </c>
      <c r="X39" s="238" t="s">
        <v>1077</v>
      </c>
      <c r="Y39" s="238"/>
      <c r="Z39" s="241"/>
      <c r="AA39" s="241"/>
      <c r="AB39" s="241"/>
      <c r="AC39" s="241"/>
      <c r="AD39" s="241"/>
    </row>
    <row r="40" spans="1:30" ht="75">
      <c r="A40" s="45"/>
      <c r="B40" s="280"/>
      <c r="C40" s="281"/>
      <c r="D40" s="285" t="s">
        <v>486</v>
      </c>
      <c r="E40" s="286" t="s">
        <v>91</v>
      </c>
      <c r="F40" s="33" t="s">
        <v>92</v>
      </c>
      <c r="G40" s="34" t="s">
        <v>93</v>
      </c>
      <c r="H40" s="35" t="s">
        <v>445</v>
      </c>
      <c r="I40" s="35" t="s">
        <v>446</v>
      </c>
      <c r="J40" s="36" t="str">
        <f t="shared" si="0"/>
        <v>Identificar els ens de referència en patrimoni cultural (entitats, associacions, museus i ecomuseus, etc.) en l'àmbit de l'ENP</v>
      </c>
      <c r="K40" s="37"/>
      <c r="L40" s="38" t="s">
        <v>940</v>
      </c>
      <c r="M40" s="39" t="s">
        <v>972</v>
      </c>
      <c r="N40" s="38" t="s">
        <v>1078</v>
      </c>
      <c r="O40" s="38"/>
      <c r="P40" s="236"/>
      <c r="Q40" s="39"/>
      <c r="R40" s="237"/>
      <c r="S40" s="238" t="s">
        <v>1079</v>
      </c>
      <c r="T40" s="241">
        <v>1</v>
      </c>
      <c r="U40" s="241">
        <v>1</v>
      </c>
      <c r="V40" s="239">
        <v>24</v>
      </c>
      <c r="W40" s="241" t="s">
        <v>1080</v>
      </c>
      <c r="X40" s="238" t="s">
        <v>1081</v>
      </c>
      <c r="Y40" s="238"/>
      <c r="Z40" s="241"/>
      <c r="AA40" s="241"/>
      <c r="AB40" s="241"/>
      <c r="AC40" s="241"/>
      <c r="AD40" s="241"/>
    </row>
    <row r="41" spans="1:30" ht="90">
      <c r="A41" s="287"/>
      <c r="B41" s="280"/>
      <c r="C41" s="281"/>
      <c r="D41" s="285"/>
      <c r="E41" s="286"/>
      <c r="F41" s="33" t="s">
        <v>94</v>
      </c>
      <c r="G41" s="34" t="s">
        <v>95</v>
      </c>
      <c r="H41" s="35" t="s">
        <v>445</v>
      </c>
      <c r="I41" s="35" t="s">
        <v>448</v>
      </c>
      <c r="J41" s="36" t="str">
        <f t="shared" si="0"/>
        <v>Articular treballs conjunts entre l'ENP i representants, gestors o custodis del patrimoni cultural per a la seva protecció i millora</v>
      </c>
      <c r="K41" s="37"/>
      <c r="L41" s="38" t="s">
        <v>940</v>
      </c>
      <c r="M41" s="39" t="s">
        <v>972</v>
      </c>
      <c r="N41" s="38" t="s">
        <v>1082</v>
      </c>
      <c r="O41" s="38"/>
      <c r="P41" s="236"/>
      <c r="Q41" s="39"/>
      <c r="R41" s="237"/>
      <c r="S41" s="238" t="s">
        <v>1083</v>
      </c>
      <c r="T41" s="241">
        <v>1</v>
      </c>
      <c r="U41" s="241">
        <v>1</v>
      </c>
      <c r="V41" s="239">
        <v>50</v>
      </c>
      <c r="W41" s="241" t="s">
        <v>1080</v>
      </c>
      <c r="X41" s="238" t="s">
        <v>1081</v>
      </c>
      <c r="Y41" s="238"/>
      <c r="Z41" s="241"/>
      <c r="AA41" s="241"/>
      <c r="AB41" s="241"/>
      <c r="AC41" s="241"/>
      <c r="AD41" s="241"/>
    </row>
    <row r="42" spans="1:30" ht="103.5" customHeight="1">
      <c r="A42" s="287"/>
      <c r="B42" s="280"/>
      <c r="C42" s="281"/>
      <c r="D42" s="285"/>
      <c r="E42" s="286"/>
      <c r="F42" s="33" t="s">
        <v>96</v>
      </c>
      <c r="G42" s="34" t="s">
        <v>97</v>
      </c>
      <c r="H42" s="35" t="s">
        <v>445</v>
      </c>
      <c r="I42" s="35" t="s">
        <v>448</v>
      </c>
      <c r="J42" s="36" t="s">
        <v>1084</v>
      </c>
      <c r="K42" s="44" t="s">
        <v>1085</v>
      </c>
      <c r="L42" s="38" t="s">
        <v>940</v>
      </c>
      <c r="M42" s="39" t="s">
        <v>972</v>
      </c>
      <c r="N42" s="38" t="s">
        <v>1086</v>
      </c>
      <c r="O42" s="38"/>
      <c r="P42" s="236"/>
      <c r="Q42" s="39"/>
      <c r="R42" s="237"/>
      <c r="S42" s="238" t="s">
        <v>1087</v>
      </c>
      <c r="T42" s="241">
        <v>1</v>
      </c>
      <c r="U42" s="241">
        <v>4</v>
      </c>
      <c r="V42" s="239">
        <v>50</v>
      </c>
      <c r="W42" s="241" t="s">
        <v>1080</v>
      </c>
      <c r="X42" s="238" t="s">
        <v>1081</v>
      </c>
      <c r="Y42" s="238"/>
      <c r="Z42" s="241"/>
      <c r="AA42" s="241"/>
      <c r="AB42" s="241"/>
      <c r="AC42" s="241"/>
      <c r="AD42" s="241"/>
    </row>
    <row r="43" spans="1:30" ht="45">
      <c r="A43" s="45"/>
      <c r="B43" s="280"/>
      <c r="C43" s="281"/>
      <c r="D43" s="288"/>
      <c r="E43" s="289"/>
      <c r="F43" s="33" t="s">
        <v>98</v>
      </c>
      <c r="G43" s="34" t="s">
        <v>1088</v>
      </c>
      <c r="H43" s="35" t="s">
        <v>445</v>
      </c>
      <c r="I43" s="35" t="s">
        <v>457</v>
      </c>
      <c r="J43" s="36" t="str">
        <f t="shared" si="0"/>
        <v>Disposar de personal que tingui coneixements tècnics sobre patrimoni natural</v>
      </c>
      <c r="K43" s="37"/>
      <c r="L43" s="38" t="s">
        <v>940</v>
      </c>
      <c r="M43" s="39" t="s">
        <v>972</v>
      </c>
      <c r="N43" s="38" t="s">
        <v>1089</v>
      </c>
      <c r="O43" s="38"/>
      <c r="P43" s="236"/>
      <c r="Q43" s="39"/>
      <c r="R43" s="237"/>
      <c r="S43" s="238" t="s">
        <v>1090</v>
      </c>
      <c r="T43" s="241">
        <v>1</v>
      </c>
      <c r="U43" s="241">
        <v>4</v>
      </c>
      <c r="V43" s="239">
        <v>25</v>
      </c>
      <c r="W43" s="241" t="s">
        <v>1080</v>
      </c>
      <c r="X43" s="238" t="s">
        <v>1081</v>
      </c>
      <c r="Y43" s="238"/>
      <c r="Z43" s="241"/>
      <c r="AA43" s="241"/>
      <c r="AB43" s="241"/>
      <c r="AC43" s="241"/>
      <c r="AD43" s="241"/>
    </row>
    <row r="44" spans="1:30" ht="150">
      <c r="A44" s="45"/>
      <c r="B44" s="280"/>
      <c r="C44" s="281"/>
      <c r="D44" s="290" t="s">
        <v>487</v>
      </c>
      <c r="E44" s="291" t="s">
        <v>99</v>
      </c>
      <c r="F44" s="33" t="s">
        <v>100</v>
      </c>
      <c r="G44" s="34" t="s">
        <v>101</v>
      </c>
      <c r="H44" s="35" t="s">
        <v>445</v>
      </c>
      <c r="I44" s="35" t="s">
        <v>457</v>
      </c>
      <c r="J44" s="36" t="s">
        <v>1091</v>
      </c>
      <c r="K44" s="44" t="s">
        <v>1085</v>
      </c>
      <c r="L44" s="38" t="s">
        <v>940</v>
      </c>
      <c r="M44" s="39" t="s">
        <v>972</v>
      </c>
      <c r="N44" s="38" t="s">
        <v>1092</v>
      </c>
      <c r="O44" s="38"/>
      <c r="P44" s="236"/>
      <c r="Q44" s="39" t="s">
        <v>458</v>
      </c>
      <c r="R44" s="237"/>
      <c r="S44" s="238" t="s">
        <v>1093</v>
      </c>
      <c r="T44" s="241">
        <v>1</v>
      </c>
      <c r="U44" s="241">
        <v>4</v>
      </c>
      <c r="V44" s="239">
        <v>25</v>
      </c>
      <c r="W44" s="241" t="s">
        <v>1080</v>
      </c>
      <c r="X44" s="238" t="s">
        <v>1081</v>
      </c>
      <c r="Y44" s="238"/>
      <c r="Z44" s="241"/>
      <c r="AA44" s="241"/>
      <c r="AB44" s="241"/>
      <c r="AC44" s="241"/>
      <c r="AD44" s="241"/>
    </row>
    <row r="45" spans="1:30" ht="120">
      <c r="A45" s="45"/>
      <c r="B45" s="280">
        <v>4</v>
      </c>
      <c r="C45" s="281" t="s">
        <v>1094</v>
      </c>
      <c r="D45" s="290"/>
      <c r="E45" s="291"/>
      <c r="F45" s="33" t="s">
        <v>102</v>
      </c>
      <c r="G45" s="34" t="s">
        <v>103</v>
      </c>
      <c r="H45" s="35" t="s">
        <v>447</v>
      </c>
      <c r="I45" s="35" t="s">
        <v>457</v>
      </c>
      <c r="J45" s="36" t="str">
        <f t="shared" si="0"/>
        <v>Recuperar i conservar el patrimoni cultural rural vinculat específicament a construccions de pedra en sec</v>
      </c>
      <c r="K45" s="37"/>
      <c r="L45" s="38" t="s">
        <v>940</v>
      </c>
      <c r="M45" s="39" t="s">
        <v>972</v>
      </c>
      <c r="N45" s="38" t="s">
        <v>1095</v>
      </c>
      <c r="O45" s="38"/>
      <c r="P45" s="236"/>
      <c r="Q45" s="39" t="s">
        <v>458</v>
      </c>
      <c r="R45" s="237"/>
      <c r="S45" s="238" t="s">
        <v>1096</v>
      </c>
      <c r="T45" s="292" t="s">
        <v>1097</v>
      </c>
      <c r="U45" s="292" t="s">
        <v>1098</v>
      </c>
      <c r="V45" s="239">
        <v>225</v>
      </c>
      <c r="W45" s="241" t="s">
        <v>985</v>
      </c>
      <c r="X45" s="238" t="s">
        <v>1099</v>
      </c>
      <c r="Y45" s="238"/>
      <c r="Z45" s="241"/>
      <c r="AA45" s="241"/>
      <c r="AB45" s="241"/>
      <c r="AC45" s="241"/>
      <c r="AD45" s="241"/>
    </row>
    <row r="46" spans="1:30" ht="45">
      <c r="A46" s="45"/>
      <c r="B46" s="280"/>
      <c r="C46" s="281"/>
      <c r="D46" s="290"/>
      <c r="E46" s="291"/>
      <c r="F46" s="33" t="s">
        <v>104</v>
      </c>
      <c r="G46" s="34" t="s">
        <v>1100</v>
      </c>
      <c r="H46" s="35" t="s">
        <v>445</v>
      </c>
      <c r="I46" s="35" t="s">
        <v>467</v>
      </c>
      <c r="J46" s="36" t="str">
        <f t="shared" si="0"/>
        <v xml:space="preserve">Fomentar la recuperació i conservació de l'arquitectura tradicional d'interès de les edificacions i construccions </v>
      </c>
      <c r="K46" s="37"/>
      <c r="L46" s="38" t="s">
        <v>940</v>
      </c>
      <c r="M46" s="39" t="s">
        <v>950</v>
      </c>
      <c r="N46" s="38" t="s">
        <v>1101</v>
      </c>
      <c r="O46" s="38"/>
      <c r="P46" s="236"/>
      <c r="Q46" s="39"/>
      <c r="R46" s="237"/>
      <c r="S46" s="238" t="s">
        <v>1102</v>
      </c>
      <c r="T46" s="241">
        <v>1</v>
      </c>
      <c r="U46" s="241">
        <v>1</v>
      </c>
      <c r="V46" s="293">
        <v>250</v>
      </c>
      <c r="W46" s="241" t="s">
        <v>985</v>
      </c>
      <c r="X46" s="238" t="s">
        <v>986</v>
      </c>
      <c r="Y46" s="238"/>
      <c r="Z46" s="241"/>
      <c r="AA46" s="241"/>
      <c r="AB46" s="241"/>
      <c r="AC46" s="241"/>
      <c r="AD46" s="241"/>
    </row>
    <row r="47" spans="1:30" ht="76.349999999999994" customHeight="1">
      <c r="A47" s="45"/>
      <c r="B47" s="280"/>
      <c r="C47" s="281"/>
      <c r="D47" s="290"/>
      <c r="E47" s="291"/>
      <c r="F47" s="33" t="s">
        <v>105</v>
      </c>
      <c r="G47" s="34" t="s">
        <v>106</v>
      </c>
      <c r="H47" s="35" t="s">
        <v>445</v>
      </c>
      <c r="I47" s="35" t="s">
        <v>446</v>
      </c>
      <c r="J47" s="36" t="str">
        <f t="shared" si="0"/>
        <v>Identificar i conservar la diversitat domesticada de varietats agrícoles i ramaderes locals</v>
      </c>
      <c r="K47" s="37"/>
      <c r="L47" s="38" t="s">
        <v>940</v>
      </c>
      <c r="M47" s="39" t="s">
        <v>972</v>
      </c>
      <c r="N47" s="238" t="s">
        <v>1103</v>
      </c>
      <c r="O47" s="238"/>
      <c r="P47" s="238"/>
      <c r="Q47" s="39" t="s">
        <v>461</v>
      </c>
      <c r="R47" s="237"/>
      <c r="S47" s="238" t="s">
        <v>1104</v>
      </c>
      <c r="T47" s="238" t="s">
        <v>1105</v>
      </c>
      <c r="U47" s="238" t="s">
        <v>1106</v>
      </c>
      <c r="V47" s="254">
        <f>10*4</f>
        <v>40</v>
      </c>
      <c r="W47" s="272" t="s">
        <v>1012</v>
      </c>
      <c r="X47" s="238" t="s">
        <v>1013</v>
      </c>
      <c r="Y47" s="238"/>
      <c r="Z47" s="241"/>
      <c r="AA47" s="241"/>
      <c r="AB47" s="241"/>
      <c r="AC47" s="241"/>
      <c r="AD47" s="241"/>
    </row>
    <row r="48" spans="1:30" ht="150">
      <c r="A48" s="45"/>
      <c r="B48" s="280"/>
      <c r="C48" s="281"/>
      <c r="D48" s="290" t="s">
        <v>488</v>
      </c>
      <c r="E48" s="291" t="s">
        <v>107</v>
      </c>
      <c r="F48" s="35" t="s">
        <v>108</v>
      </c>
      <c r="G48" s="34" t="s">
        <v>109</v>
      </c>
      <c r="H48" s="35" t="s">
        <v>445</v>
      </c>
      <c r="I48" s="35" t="s">
        <v>457</v>
      </c>
      <c r="J48" s="36" t="str">
        <f t="shared" si="0"/>
        <v>Integrar el patrimoni cultural als itineraris i cartelleria de l'ENP.</v>
      </c>
      <c r="K48" s="37"/>
      <c r="L48" s="38" t="s">
        <v>940</v>
      </c>
      <c r="M48" s="39" t="s">
        <v>972</v>
      </c>
      <c r="N48" s="38" t="s">
        <v>1107</v>
      </c>
      <c r="O48" s="38"/>
      <c r="P48" s="236"/>
      <c r="Q48" s="39"/>
      <c r="R48" s="237"/>
      <c r="S48" s="238" t="s">
        <v>1108</v>
      </c>
      <c r="T48" s="241">
        <v>4</v>
      </c>
      <c r="U48" s="241">
        <v>20</v>
      </c>
      <c r="V48" s="239">
        <f>10*4</f>
        <v>40</v>
      </c>
      <c r="W48" s="241" t="s">
        <v>1080</v>
      </c>
      <c r="X48" s="238" t="s">
        <v>1081</v>
      </c>
      <c r="Y48" s="238"/>
      <c r="Z48" s="241"/>
      <c r="AA48" s="241"/>
      <c r="AB48" s="241"/>
      <c r="AC48" s="241"/>
      <c r="AD48" s="241"/>
    </row>
    <row r="49" spans="1:30" ht="105">
      <c r="A49" s="45"/>
      <c r="B49" s="280"/>
      <c r="C49" s="281"/>
      <c r="D49" s="290"/>
      <c r="E49" s="291"/>
      <c r="F49" s="35" t="s">
        <v>110</v>
      </c>
      <c r="G49" s="34" t="s">
        <v>111</v>
      </c>
      <c r="H49" s="35" t="s">
        <v>445</v>
      </c>
      <c r="I49" s="35" t="s">
        <v>457</v>
      </c>
      <c r="J49" s="36" t="str">
        <f t="shared" si="0"/>
        <v>Incorporar el patrimoni cultural en els plans d’ús públic i educació ambiental per fomentar-ne la seva conservació i divulgació.</v>
      </c>
      <c r="K49" s="37"/>
      <c r="L49" s="38" t="s">
        <v>940</v>
      </c>
      <c r="M49" s="39" t="s">
        <v>972</v>
      </c>
      <c r="N49" s="38" t="s">
        <v>1109</v>
      </c>
      <c r="O49" s="38"/>
      <c r="P49" s="236"/>
      <c r="Q49" s="39"/>
      <c r="R49" s="237"/>
      <c r="S49" s="238" t="s">
        <v>1110</v>
      </c>
      <c r="T49" s="241">
        <v>1</v>
      </c>
      <c r="U49" s="241">
        <v>2</v>
      </c>
      <c r="V49" s="239">
        <f>10+5+5+5</f>
        <v>25</v>
      </c>
      <c r="W49" s="241" t="s">
        <v>1080</v>
      </c>
      <c r="X49" s="238" t="s">
        <v>1081</v>
      </c>
      <c r="Y49" s="238"/>
      <c r="Z49" s="241"/>
      <c r="AA49" s="241"/>
      <c r="AB49" s="241"/>
      <c r="AC49" s="241"/>
      <c r="AD49" s="241"/>
    </row>
    <row r="50" spans="1:30" ht="120">
      <c r="A50" s="45"/>
      <c r="B50" s="280"/>
      <c r="C50" s="281"/>
      <c r="D50" s="290"/>
      <c r="E50" s="291"/>
      <c r="F50" s="35" t="s">
        <v>112</v>
      </c>
      <c r="G50" s="34" t="s">
        <v>113</v>
      </c>
      <c r="H50" s="35" t="s">
        <v>445</v>
      </c>
      <c r="I50" s="35" t="s">
        <v>457</v>
      </c>
      <c r="J50" s="36" t="str">
        <f t="shared" si="0"/>
        <v>Formar el personal dels punts d’informació en els valors culturals de l'ENP</v>
      </c>
      <c r="K50" s="37"/>
      <c r="L50" s="38" t="s">
        <v>940</v>
      </c>
      <c r="M50" s="39" t="s">
        <v>972</v>
      </c>
      <c r="N50" s="38" t="s">
        <v>1111</v>
      </c>
      <c r="O50" s="38"/>
      <c r="P50" s="236"/>
      <c r="Q50" s="39"/>
      <c r="R50" s="237"/>
      <c r="S50" s="238" t="s">
        <v>1112</v>
      </c>
      <c r="T50" s="241">
        <v>1</v>
      </c>
      <c r="U50" s="241">
        <v>2</v>
      </c>
      <c r="V50" s="239">
        <v>25</v>
      </c>
      <c r="W50" s="241" t="s">
        <v>1080</v>
      </c>
      <c r="X50" s="238" t="s">
        <v>1081</v>
      </c>
      <c r="Y50" s="238"/>
      <c r="Z50" s="241"/>
      <c r="AA50" s="241"/>
      <c r="AB50" s="241"/>
      <c r="AC50" s="241"/>
      <c r="AD50" s="241"/>
    </row>
    <row r="51" spans="1:30" ht="51" customHeight="1">
      <c r="A51" s="45"/>
      <c r="B51" s="294">
        <v>5</v>
      </c>
      <c r="C51" s="295" t="s">
        <v>114</v>
      </c>
      <c r="D51" s="48" t="s">
        <v>489</v>
      </c>
      <c r="E51" s="8" t="s">
        <v>115</v>
      </c>
      <c r="F51" s="35" t="s">
        <v>116</v>
      </c>
      <c r="G51" s="34" t="s">
        <v>117</v>
      </c>
      <c r="H51" s="35" t="s">
        <v>445</v>
      </c>
      <c r="I51" s="35" t="s">
        <v>448</v>
      </c>
      <c r="J51" s="36" t="str">
        <f t="shared" si="0"/>
        <v xml:space="preserve">Elaborar un inventari d'elements d'interès paisatgístic de l'ENP d'acord amb el Catàleg de paisatge de la zona </v>
      </c>
      <c r="K51" s="37"/>
      <c r="L51" s="38" t="s">
        <v>940</v>
      </c>
      <c r="M51" s="39" t="s">
        <v>972</v>
      </c>
      <c r="N51" s="38" t="s">
        <v>1113</v>
      </c>
      <c r="O51" s="38"/>
      <c r="P51" s="236"/>
      <c r="Q51" s="39"/>
      <c r="R51" s="237"/>
      <c r="S51" s="238" t="s">
        <v>1114</v>
      </c>
      <c r="T51" s="241">
        <v>1</v>
      </c>
      <c r="U51" s="241">
        <v>1</v>
      </c>
      <c r="V51" s="239">
        <v>150</v>
      </c>
      <c r="W51" s="241" t="s">
        <v>985</v>
      </c>
      <c r="X51" s="238" t="s">
        <v>986</v>
      </c>
      <c r="Y51" s="238"/>
      <c r="Z51" s="241"/>
      <c r="AA51" s="241"/>
      <c r="AB51" s="241"/>
      <c r="AC51" s="241"/>
      <c r="AD51" s="241"/>
    </row>
    <row r="52" spans="1:30" ht="30">
      <c r="A52" s="45"/>
      <c r="B52" s="296"/>
      <c r="C52" s="297"/>
      <c r="D52" s="298" t="s">
        <v>490</v>
      </c>
      <c r="E52" s="299" t="s">
        <v>118</v>
      </c>
      <c r="F52" s="33" t="s">
        <v>119</v>
      </c>
      <c r="G52" s="34" t="s">
        <v>120</v>
      </c>
      <c r="H52" s="35" t="s">
        <v>445</v>
      </c>
      <c r="I52" s="35" t="s">
        <v>448</v>
      </c>
      <c r="J52" s="36" t="s">
        <v>987</v>
      </c>
      <c r="K52" s="37" t="s">
        <v>1115</v>
      </c>
      <c r="L52" s="38"/>
      <c r="M52" s="39"/>
      <c r="N52" s="38"/>
      <c r="O52" s="38"/>
      <c r="P52" s="236"/>
      <c r="Q52" s="39"/>
      <c r="R52" s="237"/>
      <c r="S52" s="238"/>
      <c r="T52" s="241"/>
      <c r="U52" s="241"/>
      <c r="V52" s="241"/>
      <c r="W52" s="241"/>
      <c r="X52" s="238"/>
      <c r="Y52" s="238"/>
      <c r="Z52" s="241"/>
      <c r="AA52" s="241"/>
      <c r="AB52" s="241"/>
      <c r="AC52" s="241"/>
      <c r="AD52" s="241"/>
    </row>
    <row r="53" spans="1:30" ht="75">
      <c r="A53" s="45"/>
      <c r="B53" s="296"/>
      <c r="C53" s="297"/>
      <c r="D53" s="300"/>
      <c r="E53" s="286"/>
      <c r="F53" s="33" t="s">
        <v>121</v>
      </c>
      <c r="G53" s="34" t="s">
        <v>1116</v>
      </c>
      <c r="H53" s="35"/>
      <c r="I53" s="35"/>
      <c r="J53" s="36" t="str">
        <f t="shared" si="0"/>
        <v>Gestionar l'abandonament d'infraestructures i instal·lacions amb impactes sobre els valors de l'espai</v>
      </c>
      <c r="K53" s="37"/>
      <c r="L53" s="38" t="s">
        <v>940</v>
      </c>
      <c r="M53" s="39" t="s">
        <v>941</v>
      </c>
      <c r="N53" s="38" t="s">
        <v>1117</v>
      </c>
      <c r="O53" s="38"/>
      <c r="P53" s="236"/>
      <c r="Q53" s="39"/>
      <c r="R53" s="237"/>
      <c r="S53" s="238" t="s">
        <v>1118</v>
      </c>
      <c r="T53" s="241" t="s">
        <v>1119</v>
      </c>
      <c r="U53" s="241" t="s">
        <v>1120</v>
      </c>
      <c r="V53" s="239">
        <v>150</v>
      </c>
      <c r="W53" s="241" t="s">
        <v>985</v>
      </c>
      <c r="X53" s="238" t="s">
        <v>986</v>
      </c>
      <c r="Y53" s="238"/>
      <c r="Z53" s="241"/>
      <c r="AA53" s="241"/>
      <c r="AB53" s="241"/>
      <c r="AC53" s="241"/>
      <c r="AD53" s="241"/>
    </row>
    <row r="54" spans="1:30" ht="75">
      <c r="A54" s="45"/>
      <c r="B54" s="296"/>
      <c r="C54" s="297"/>
      <c r="D54" s="301"/>
      <c r="E54" s="302"/>
      <c r="F54" s="33" t="s">
        <v>122</v>
      </c>
      <c r="G54" s="34" t="s">
        <v>123</v>
      </c>
      <c r="H54" s="35" t="s">
        <v>445</v>
      </c>
      <c r="I54" s="35" t="s">
        <v>446</v>
      </c>
      <c r="J54" s="36" t="str">
        <f t="shared" si="0"/>
        <v>Minimitzar la brutícia, deixalles, vandalisme i males praxis dins l'ENP</v>
      </c>
      <c r="K54" s="37"/>
      <c r="L54" s="38" t="s">
        <v>940</v>
      </c>
      <c r="M54" s="39" t="s">
        <v>972</v>
      </c>
      <c r="N54" s="38" t="s">
        <v>1121</v>
      </c>
      <c r="O54" s="38"/>
      <c r="P54" s="236"/>
      <c r="Q54" s="39"/>
      <c r="R54" s="237"/>
      <c r="S54" s="238" t="s">
        <v>1122</v>
      </c>
      <c r="T54" s="241" t="s">
        <v>1123</v>
      </c>
      <c r="U54" s="242" t="s">
        <v>1124</v>
      </c>
      <c r="V54" s="239">
        <f>20*6</f>
        <v>120</v>
      </c>
      <c r="W54" s="241" t="s">
        <v>1080</v>
      </c>
      <c r="X54" s="238" t="s">
        <v>1081</v>
      </c>
      <c r="Y54" s="238"/>
      <c r="Z54" s="241"/>
      <c r="AA54" s="241"/>
      <c r="AB54" s="241"/>
      <c r="AC54" s="241"/>
      <c r="AD54" s="242" t="s">
        <v>1125</v>
      </c>
    </row>
    <row r="55" spans="1:30" ht="30">
      <c r="A55" s="45"/>
      <c r="B55" s="296"/>
      <c r="C55" s="297"/>
      <c r="D55" s="303" t="s">
        <v>491</v>
      </c>
      <c r="E55" s="299" t="s">
        <v>124</v>
      </c>
      <c r="F55" s="33" t="s">
        <v>125</v>
      </c>
      <c r="G55" s="34" t="s">
        <v>126</v>
      </c>
      <c r="H55" s="35" t="s">
        <v>447</v>
      </c>
      <c r="I55" s="35" t="s">
        <v>448</v>
      </c>
      <c r="J55" s="36" t="str">
        <f t="shared" si="0"/>
        <v>Promoure la certificació de qualitat del cel nocturn</v>
      </c>
      <c r="K55" s="37"/>
      <c r="L55" s="38" t="s">
        <v>940</v>
      </c>
      <c r="M55" s="39" t="s">
        <v>1004</v>
      </c>
      <c r="N55" s="38" t="s">
        <v>1126</v>
      </c>
      <c r="O55" s="38"/>
      <c r="P55" s="236"/>
      <c r="Q55" s="39" t="s">
        <v>461</v>
      </c>
      <c r="R55" s="237"/>
      <c r="S55" s="238" t="s">
        <v>1127</v>
      </c>
      <c r="T55" s="241">
        <v>1</v>
      </c>
      <c r="U55" s="241">
        <v>1</v>
      </c>
      <c r="V55" s="239">
        <v>150</v>
      </c>
      <c r="W55" s="241" t="s">
        <v>959</v>
      </c>
      <c r="X55" s="238" t="s">
        <v>1128</v>
      </c>
      <c r="Y55" s="238"/>
      <c r="Z55" s="241"/>
      <c r="AA55" s="241"/>
      <c r="AB55" s="241"/>
      <c r="AC55" s="241"/>
      <c r="AD55" s="241"/>
    </row>
    <row r="56" spans="1:30" ht="30">
      <c r="A56" s="45"/>
      <c r="B56" s="304"/>
      <c r="C56" s="305"/>
      <c r="D56" s="301"/>
      <c r="E56" s="286"/>
      <c r="F56" s="33" t="s">
        <v>127</v>
      </c>
      <c r="G56" s="34" t="s">
        <v>128</v>
      </c>
      <c r="H56" s="35" t="s">
        <v>447</v>
      </c>
      <c r="I56" s="35" t="s">
        <v>448</v>
      </c>
      <c r="J56" s="36" t="str">
        <f t="shared" si="0"/>
        <v>Promoure la certificació de zones d'especial protecció de la qualitat acústica</v>
      </c>
      <c r="K56" s="37"/>
      <c r="L56" s="38" t="s">
        <v>940</v>
      </c>
      <c r="M56" s="39" t="s">
        <v>1004</v>
      </c>
      <c r="N56" s="38" t="s">
        <v>1129</v>
      </c>
      <c r="O56" s="38"/>
      <c r="P56" s="236"/>
      <c r="Q56" s="39" t="s">
        <v>461</v>
      </c>
      <c r="R56" s="237"/>
      <c r="S56" s="238" t="s">
        <v>1130</v>
      </c>
      <c r="T56" s="241">
        <v>1</v>
      </c>
      <c r="U56" s="241">
        <v>1</v>
      </c>
      <c r="V56" s="239">
        <v>150</v>
      </c>
      <c r="W56" s="241" t="s">
        <v>959</v>
      </c>
      <c r="X56" s="238" t="s">
        <v>1128</v>
      </c>
      <c r="Y56" s="238"/>
      <c r="Z56" s="241"/>
      <c r="AA56" s="241"/>
      <c r="AB56" s="241"/>
      <c r="AC56" s="241"/>
      <c r="AD56" s="241"/>
    </row>
    <row r="57" spans="1:30" ht="210">
      <c r="A57" s="49" t="s">
        <v>129</v>
      </c>
      <c r="B57" s="50">
        <v>6</v>
      </c>
      <c r="C57" s="9" t="s">
        <v>130</v>
      </c>
      <c r="D57" s="306" t="s">
        <v>492</v>
      </c>
      <c r="E57" s="307" t="s">
        <v>131</v>
      </c>
      <c r="F57" s="33" t="s">
        <v>132</v>
      </c>
      <c r="G57" s="51" t="s">
        <v>133</v>
      </c>
      <c r="H57" s="35" t="s">
        <v>445</v>
      </c>
      <c r="I57" s="35" t="s">
        <v>446</v>
      </c>
      <c r="J57" s="36" t="s">
        <v>1131</v>
      </c>
      <c r="K57" s="44" t="s">
        <v>1132</v>
      </c>
      <c r="L57" s="38" t="s">
        <v>940</v>
      </c>
      <c r="M57" s="39" t="s">
        <v>941</v>
      </c>
      <c r="N57" s="52" t="s">
        <v>1133</v>
      </c>
      <c r="O57" s="52"/>
      <c r="P57" s="308"/>
      <c r="Q57" s="253" t="s">
        <v>493</v>
      </c>
      <c r="R57" s="237" t="s">
        <v>494</v>
      </c>
      <c r="S57" s="238" t="s">
        <v>1134</v>
      </c>
      <c r="T57" s="238" t="s">
        <v>1135</v>
      </c>
      <c r="U57" s="238" t="s">
        <v>1136</v>
      </c>
      <c r="V57" s="254">
        <f>50+200</f>
        <v>250</v>
      </c>
      <c r="W57" s="255" t="s">
        <v>946</v>
      </c>
      <c r="X57" s="238" t="s">
        <v>1137</v>
      </c>
      <c r="Y57" s="238"/>
      <c r="Z57" s="241"/>
      <c r="AA57" s="241"/>
      <c r="AB57" s="241"/>
      <c r="AC57" s="241"/>
      <c r="AD57" s="241"/>
    </row>
    <row r="58" spans="1:30" ht="75">
      <c r="A58" s="49"/>
      <c r="B58" s="309"/>
      <c r="C58" s="9"/>
      <c r="D58" s="306"/>
      <c r="E58" s="307"/>
      <c r="F58" s="33" t="s">
        <v>134</v>
      </c>
      <c r="G58" s="34" t="s">
        <v>135</v>
      </c>
      <c r="H58" s="35" t="s">
        <v>445</v>
      </c>
      <c r="I58" s="35" t="s">
        <v>446</v>
      </c>
      <c r="J58" s="36" t="str">
        <f t="shared" si="0"/>
        <v>Definir espais fràgils i zones d'especial atenció</v>
      </c>
      <c r="K58" s="37"/>
      <c r="L58" s="38" t="s">
        <v>940</v>
      </c>
      <c r="M58" s="39" t="s">
        <v>941</v>
      </c>
      <c r="N58" s="38" t="s">
        <v>1138</v>
      </c>
      <c r="O58" s="38"/>
      <c r="P58" s="308"/>
      <c r="Q58" s="39"/>
      <c r="R58" s="237" t="s">
        <v>495</v>
      </c>
      <c r="S58" s="238" t="s">
        <v>1139</v>
      </c>
      <c r="T58" s="238" t="s">
        <v>1140</v>
      </c>
      <c r="U58" s="238" t="s">
        <v>1141</v>
      </c>
      <c r="V58" s="239">
        <v>180</v>
      </c>
      <c r="W58" s="250" t="s">
        <v>955</v>
      </c>
      <c r="X58" s="238" t="s">
        <v>956</v>
      </c>
      <c r="Y58" s="238"/>
      <c r="Z58" s="241"/>
      <c r="AA58" s="241"/>
      <c r="AB58" s="241"/>
      <c r="AC58" s="241"/>
      <c r="AD58" s="241"/>
    </row>
    <row r="59" spans="1:30" ht="60">
      <c r="A59" s="49"/>
      <c r="B59" s="309"/>
      <c r="C59" s="310"/>
      <c r="D59" s="306" t="s">
        <v>496</v>
      </c>
      <c r="E59" s="307" t="s">
        <v>136</v>
      </c>
      <c r="F59" s="33" t="s">
        <v>137</v>
      </c>
      <c r="G59" s="34" t="s">
        <v>138</v>
      </c>
      <c r="H59" s="35" t="s">
        <v>445</v>
      </c>
      <c r="I59" s="35" t="s">
        <v>446</v>
      </c>
      <c r="J59" s="36" t="str">
        <f t="shared" si="0"/>
        <v>Participar en l'elaboració de la cartografia que elabora la UIC</v>
      </c>
      <c r="K59" s="37"/>
      <c r="L59" s="38" t="s">
        <v>940</v>
      </c>
      <c r="M59" s="39" t="s">
        <v>950</v>
      </c>
      <c r="N59" s="38" t="s">
        <v>1142</v>
      </c>
      <c r="O59" s="38"/>
      <c r="P59" s="236"/>
      <c r="Q59" s="39" t="s">
        <v>461</v>
      </c>
      <c r="R59" s="237" t="s">
        <v>497</v>
      </c>
      <c r="S59" s="238" t="s">
        <v>1143</v>
      </c>
      <c r="T59" s="311" t="s">
        <v>1144</v>
      </c>
      <c r="U59" s="311" t="s">
        <v>1145</v>
      </c>
      <c r="V59" s="239">
        <v>400</v>
      </c>
      <c r="W59" s="250" t="s">
        <v>955</v>
      </c>
      <c r="X59" s="238" t="s">
        <v>956</v>
      </c>
      <c r="Y59" s="238"/>
      <c r="Z59" s="241"/>
      <c r="AA59" s="241"/>
      <c r="AB59" s="241"/>
      <c r="AC59" s="241"/>
      <c r="AD59" s="241"/>
    </row>
    <row r="60" spans="1:30" ht="105">
      <c r="A60" s="312"/>
      <c r="B60" s="309"/>
      <c r="C60" s="310"/>
      <c r="D60" s="306"/>
      <c r="E60" s="307"/>
      <c r="F60" s="33" t="s">
        <v>139</v>
      </c>
      <c r="G60" s="34" t="s">
        <v>140</v>
      </c>
      <c r="H60" s="35" t="s">
        <v>445</v>
      </c>
      <c r="I60" s="35" t="s">
        <v>446</v>
      </c>
      <c r="J60" s="36" t="str">
        <f t="shared" si="0"/>
        <v>Conèixer i estudiar els processos naturals propis de l’espai, la seva funcionalitat, i ecologia en referència als ecosistemes</v>
      </c>
      <c r="K60" s="37"/>
      <c r="L60" s="38" t="s">
        <v>940</v>
      </c>
      <c r="M60" s="39" t="s">
        <v>972</v>
      </c>
      <c r="N60" s="38" t="s">
        <v>1146</v>
      </c>
      <c r="O60" s="38"/>
      <c r="P60" s="236"/>
      <c r="Q60" s="39"/>
      <c r="R60" s="237"/>
      <c r="S60" s="238" t="s">
        <v>1147</v>
      </c>
      <c r="T60" s="238" t="s">
        <v>1148</v>
      </c>
      <c r="U60" s="238" t="s">
        <v>1149</v>
      </c>
      <c r="V60" s="239">
        <v>400</v>
      </c>
      <c r="W60" s="250" t="s">
        <v>955</v>
      </c>
      <c r="X60" s="238" t="s">
        <v>956</v>
      </c>
      <c r="Y60" s="238"/>
      <c r="Z60" s="241"/>
      <c r="AA60" s="241"/>
      <c r="AB60" s="241"/>
      <c r="AC60" s="241"/>
      <c r="AD60" s="241"/>
    </row>
    <row r="61" spans="1:30" ht="222.75" customHeight="1">
      <c r="A61" s="312"/>
      <c r="B61" s="309"/>
      <c r="C61" s="310"/>
      <c r="D61" s="306"/>
      <c r="E61" s="307"/>
      <c r="F61" s="33" t="s">
        <v>141</v>
      </c>
      <c r="G61" s="34" t="s">
        <v>142</v>
      </c>
      <c r="H61" s="35" t="s">
        <v>445</v>
      </c>
      <c r="I61" s="35" t="s">
        <v>446</v>
      </c>
      <c r="J61" s="36" t="str">
        <f t="shared" si="0"/>
        <v>Conèixer els usos i factors de canvi rellevants en l'evolució dels elements de conservació, i avaluar els efectes que generen en l’espai (pressions i amenaces)</v>
      </c>
      <c r="K61" s="37"/>
      <c r="L61" s="38" t="s">
        <v>940</v>
      </c>
      <c r="M61" s="39" t="s">
        <v>950</v>
      </c>
      <c r="N61" s="38" t="s">
        <v>1150</v>
      </c>
      <c r="O61" s="38"/>
      <c r="P61" s="236"/>
      <c r="Q61" s="39" t="s">
        <v>461</v>
      </c>
      <c r="R61" s="237" t="s">
        <v>498</v>
      </c>
      <c r="S61" s="238" t="s">
        <v>1151</v>
      </c>
      <c r="T61" s="238" t="s">
        <v>1152</v>
      </c>
      <c r="U61" s="238" t="s">
        <v>1153</v>
      </c>
      <c r="V61" s="239">
        <f>40*5</f>
        <v>200</v>
      </c>
      <c r="W61" s="250" t="s">
        <v>959</v>
      </c>
      <c r="X61" s="238" t="s">
        <v>1154</v>
      </c>
      <c r="Y61" s="238"/>
      <c r="Z61" s="241"/>
      <c r="AA61" s="241"/>
      <c r="AB61" s="241"/>
      <c r="AC61" s="241"/>
      <c r="AD61" s="241"/>
    </row>
    <row r="62" spans="1:30" ht="30">
      <c r="A62" s="312"/>
      <c r="B62" s="309"/>
      <c r="C62" s="310"/>
      <c r="D62" s="306"/>
      <c r="E62" s="307"/>
      <c r="F62" s="33" t="s">
        <v>143</v>
      </c>
      <c r="G62" s="34" t="s">
        <v>144</v>
      </c>
      <c r="H62" s="35" t="s">
        <v>445</v>
      </c>
      <c r="I62" s="35" t="s">
        <v>448</v>
      </c>
      <c r="J62" s="36" t="str">
        <f t="shared" si="0"/>
        <v>Conèixer l'impacte de les gestió de l'aigua, sobre la biodiversitat.</v>
      </c>
      <c r="K62" s="37"/>
      <c r="L62" s="38" t="s">
        <v>940</v>
      </c>
      <c r="M62" s="39" t="s">
        <v>950</v>
      </c>
      <c r="N62" s="38" t="s">
        <v>1155</v>
      </c>
      <c r="O62" s="38" t="s">
        <v>1156</v>
      </c>
      <c r="P62" s="236"/>
      <c r="Q62" s="39"/>
      <c r="R62" s="237"/>
      <c r="S62" s="238" t="s">
        <v>1157</v>
      </c>
      <c r="T62" s="241">
        <v>2</v>
      </c>
      <c r="U62" s="241">
        <v>4</v>
      </c>
      <c r="V62" s="239">
        <v>80</v>
      </c>
      <c r="W62" s="250" t="s">
        <v>955</v>
      </c>
      <c r="X62" s="238" t="s">
        <v>956</v>
      </c>
      <c r="Y62" s="238"/>
      <c r="Z62" s="241"/>
      <c r="AA62" s="241"/>
      <c r="AB62" s="241"/>
      <c r="AC62" s="241"/>
      <c r="AD62" s="241"/>
    </row>
    <row r="63" spans="1:30" ht="45">
      <c r="A63" s="312"/>
      <c r="B63" s="309"/>
      <c r="C63" s="310"/>
      <c r="D63" s="306"/>
      <c r="E63" s="307"/>
      <c r="F63" s="33" t="s">
        <v>145</v>
      </c>
      <c r="G63" s="34" t="s">
        <v>146</v>
      </c>
      <c r="H63" s="35" t="s">
        <v>445</v>
      </c>
      <c r="I63" s="35" t="s">
        <v>448</v>
      </c>
      <c r="J63" s="36" t="str">
        <f t="shared" si="0"/>
        <v>Participar en el coneixement de la tendència d'espècies plaga amb afectacions sobre ecosistemes o activitats econòmiques dins l'ENP</v>
      </c>
      <c r="K63" s="37"/>
      <c r="L63" s="38" t="s">
        <v>940</v>
      </c>
      <c r="M63" s="39" t="s">
        <v>1004</v>
      </c>
      <c r="N63" s="38" t="s">
        <v>1158</v>
      </c>
      <c r="O63" s="38"/>
      <c r="P63" s="236"/>
      <c r="Q63" s="39"/>
      <c r="R63" s="237"/>
      <c r="S63" s="238" t="s">
        <v>1159</v>
      </c>
      <c r="T63" s="241">
        <v>1</v>
      </c>
      <c r="U63" s="241">
        <v>1</v>
      </c>
      <c r="V63" s="239">
        <v>80</v>
      </c>
      <c r="W63" s="250" t="s">
        <v>955</v>
      </c>
      <c r="X63" s="238" t="s">
        <v>956</v>
      </c>
      <c r="Y63" s="238"/>
      <c r="Z63" s="241"/>
      <c r="AA63" s="241"/>
      <c r="AB63" s="241"/>
      <c r="AC63" s="241"/>
      <c r="AD63" s="241"/>
    </row>
    <row r="64" spans="1:30" ht="60">
      <c r="A64" s="312"/>
      <c r="B64" s="309"/>
      <c r="C64" s="310"/>
      <c r="D64" s="306"/>
      <c r="E64" s="307"/>
      <c r="F64" s="313" t="s">
        <v>147</v>
      </c>
      <c r="G64" s="34" t="s">
        <v>148</v>
      </c>
      <c r="H64" s="35" t="s">
        <v>445</v>
      </c>
      <c r="I64" s="35" t="s">
        <v>446</v>
      </c>
      <c r="J64" s="36" t="str">
        <f t="shared" si="0"/>
        <v>Conèixer la tendència d'espècies exòtiques invasores amb afectacions sobre ecosistemes o activitats econòmiques dins l'ENP</v>
      </c>
      <c r="K64" s="37"/>
      <c r="L64" s="38" t="s">
        <v>940</v>
      </c>
      <c r="M64" s="39" t="s">
        <v>950</v>
      </c>
      <c r="N64" s="38" t="s">
        <v>1160</v>
      </c>
      <c r="O64" s="38"/>
      <c r="P64" s="236"/>
      <c r="Q64" s="39" t="s">
        <v>461</v>
      </c>
      <c r="R64" s="237"/>
      <c r="S64" s="238" t="s">
        <v>1161</v>
      </c>
      <c r="T64" s="241">
        <v>1</v>
      </c>
      <c r="U64" s="241">
        <v>3</v>
      </c>
      <c r="V64" s="239">
        <v>180</v>
      </c>
      <c r="W64" s="250" t="s">
        <v>955</v>
      </c>
      <c r="X64" s="238" t="s">
        <v>956</v>
      </c>
      <c r="Y64" s="238"/>
      <c r="Z64" s="241"/>
      <c r="AA64" s="241"/>
      <c r="AB64" s="241"/>
      <c r="AC64" s="241"/>
      <c r="AD64" s="241"/>
    </row>
    <row r="65" spans="1:30" ht="30">
      <c r="A65" s="312"/>
      <c r="B65" s="309"/>
      <c r="C65" s="310"/>
      <c r="D65" s="306"/>
      <c r="E65" s="307"/>
      <c r="F65" s="313" t="s">
        <v>149</v>
      </c>
      <c r="G65" s="34" t="s">
        <v>150</v>
      </c>
      <c r="H65" s="35" t="s">
        <v>445</v>
      </c>
      <c r="I65" s="35" t="s">
        <v>448</v>
      </c>
      <c r="J65" s="36" t="str">
        <f t="shared" si="0"/>
        <v>Coneixer com millorar la connectivitat de forma coordinada amb altres ENP</v>
      </c>
      <c r="K65" s="37"/>
      <c r="L65" s="38" t="s">
        <v>940</v>
      </c>
      <c r="M65" s="39" t="s">
        <v>972</v>
      </c>
      <c r="N65" s="38" t="s">
        <v>1162</v>
      </c>
      <c r="O65" s="38"/>
      <c r="P65" s="236"/>
      <c r="Q65" s="39" t="s">
        <v>461</v>
      </c>
      <c r="R65" s="237"/>
      <c r="S65" s="238" t="s">
        <v>1163</v>
      </c>
      <c r="T65" s="241">
        <v>1</v>
      </c>
      <c r="U65" s="241">
        <v>1</v>
      </c>
      <c r="V65" s="239">
        <f>20*4</f>
        <v>80</v>
      </c>
      <c r="W65" s="250" t="s">
        <v>955</v>
      </c>
      <c r="X65" s="238" t="s">
        <v>956</v>
      </c>
      <c r="Y65" s="238"/>
      <c r="Z65" s="241"/>
      <c r="AA65" s="241"/>
      <c r="AB65" s="241"/>
      <c r="AC65" s="241"/>
      <c r="AD65" s="241"/>
    </row>
    <row r="66" spans="1:30" ht="75">
      <c r="A66" s="312"/>
      <c r="B66" s="309"/>
      <c r="C66" s="310"/>
      <c r="D66" s="306" t="s">
        <v>499</v>
      </c>
      <c r="E66" s="307" t="s">
        <v>151</v>
      </c>
      <c r="F66" s="33" t="s">
        <v>152</v>
      </c>
      <c r="G66" s="34" t="s">
        <v>153</v>
      </c>
      <c r="H66" s="35" t="s">
        <v>445</v>
      </c>
      <c r="I66" s="35" t="s">
        <v>446</v>
      </c>
      <c r="J66" s="36" t="str">
        <f t="shared" si="0"/>
        <v>Participar en la definició del sistema estàndard de seguiment de flora, fauna i hàbitats de la DG</v>
      </c>
      <c r="K66" s="37"/>
      <c r="L66" s="38" t="s">
        <v>940</v>
      </c>
      <c r="M66" s="39" t="s">
        <v>950</v>
      </c>
      <c r="N66" s="38" t="s">
        <v>1164</v>
      </c>
      <c r="O66" s="38"/>
      <c r="P66" s="236"/>
      <c r="Q66" s="39" t="s">
        <v>461</v>
      </c>
      <c r="R66" s="237" t="s">
        <v>500</v>
      </c>
      <c r="S66" s="238" t="s">
        <v>1165</v>
      </c>
      <c r="T66" s="241">
        <v>80</v>
      </c>
      <c r="U66" s="241">
        <v>100</v>
      </c>
      <c r="V66" s="239">
        <v>180</v>
      </c>
      <c r="W66" s="250" t="s">
        <v>955</v>
      </c>
      <c r="X66" s="238" t="s">
        <v>956</v>
      </c>
      <c r="Y66" s="238"/>
      <c r="Z66" s="241"/>
      <c r="AA66" s="241"/>
      <c r="AB66" s="241"/>
      <c r="AC66" s="241"/>
      <c r="AD66" s="241"/>
    </row>
    <row r="67" spans="1:30" ht="195">
      <c r="A67" s="314"/>
      <c r="B67" s="315"/>
      <c r="C67" s="316"/>
      <c r="D67" s="317"/>
      <c r="E67" s="318"/>
      <c r="F67" s="33" t="s">
        <v>154</v>
      </c>
      <c r="G67" s="34" t="s">
        <v>155</v>
      </c>
      <c r="H67" s="35" t="s">
        <v>445</v>
      </c>
      <c r="I67" s="35" t="s">
        <v>446</v>
      </c>
      <c r="J67" s="36" t="str">
        <f t="shared" si="0"/>
        <v>Adequar i executar el sistema de seguiment periòdic dels grups clau de l'ENP al sistema estàndard de seguiment</v>
      </c>
      <c r="K67" s="37"/>
      <c r="L67" s="38" t="s">
        <v>940</v>
      </c>
      <c r="M67" s="39" t="s">
        <v>950</v>
      </c>
      <c r="N67" s="38" t="s">
        <v>1166</v>
      </c>
      <c r="O67" s="38"/>
      <c r="P67" s="236"/>
      <c r="Q67" s="39" t="s">
        <v>461</v>
      </c>
      <c r="R67" s="237" t="s">
        <v>501</v>
      </c>
      <c r="S67" s="238" t="s">
        <v>1167</v>
      </c>
      <c r="T67" s="238" t="s">
        <v>1168</v>
      </c>
      <c r="U67" s="238" t="s">
        <v>1169</v>
      </c>
      <c r="V67" s="239">
        <f>30*4</f>
        <v>120</v>
      </c>
      <c r="W67" s="250" t="s">
        <v>955</v>
      </c>
      <c r="X67" s="238" t="s">
        <v>956</v>
      </c>
      <c r="Y67" s="238"/>
      <c r="Z67" s="241"/>
      <c r="AA67" s="241"/>
      <c r="AB67" s="241"/>
      <c r="AC67" s="241"/>
      <c r="AD67" s="241"/>
    </row>
    <row r="68" spans="1:30" ht="75">
      <c r="A68" s="312"/>
      <c r="B68" s="309"/>
      <c r="C68" s="310"/>
      <c r="D68" s="306"/>
      <c r="E68" s="307"/>
      <c r="F68" s="33" t="s">
        <v>156</v>
      </c>
      <c r="G68" s="34" t="s">
        <v>157</v>
      </c>
      <c r="H68" s="35" t="s">
        <v>445</v>
      </c>
      <c r="I68" s="35" t="s">
        <v>446</v>
      </c>
      <c r="J68" s="36" t="s">
        <v>1170</v>
      </c>
      <c r="K68" s="37"/>
      <c r="L68" s="38" t="s">
        <v>940</v>
      </c>
      <c r="M68" s="39" t="s">
        <v>950</v>
      </c>
      <c r="N68" s="38" t="s">
        <v>1171</v>
      </c>
      <c r="O68" s="38"/>
      <c r="P68" s="236"/>
      <c r="Q68" s="39"/>
      <c r="R68" s="237"/>
      <c r="S68" s="238" t="s">
        <v>1172</v>
      </c>
      <c r="T68" s="238" t="s">
        <v>1173</v>
      </c>
      <c r="U68" s="238" t="s">
        <v>1173</v>
      </c>
      <c r="V68" s="239">
        <f>50*4</f>
        <v>200</v>
      </c>
      <c r="W68" s="250" t="s">
        <v>955</v>
      </c>
      <c r="X68" s="238" t="s">
        <v>956</v>
      </c>
      <c r="Y68" s="238"/>
      <c r="Z68" s="241"/>
      <c r="AA68" s="241"/>
      <c r="AB68" s="241"/>
      <c r="AC68" s="241"/>
      <c r="AD68" s="241"/>
    </row>
    <row r="69" spans="1:30" ht="45">
      <c r="A69" s="312"/>
      <c r="B69" s="309"/>
      <c r="C69" s="310"/>
      <c r="D69" s="306"/>
      <c r="E69" s="307"/>
      <c r="F69" s="33" t="s">
        <v>158</v>
      </c>
      <c r="G69" s="34" t="s">
        <v>159</v>
      </c>
      <c r="H69" s="35" t="s">
        <v>445</v>
      </c>
      <c r="I69" s="35" t="s">
        <v>446</v>
      </c>
      <c r="J69" s="36" t="s">
        <v>1174</v>
      </c>
      <c r="K69" s="44" t="s">
        <v>1085</v>
      </c>
      <c r="L69" s="38" t="s">
        <v>940</v>
      </c>
      <c r="M69" s="39" t="s">
        <v>950</v>
      </c>
      <c r="N69" s="38" t="s">
        <v>1175</v>
      </c>
      <c r="O69" s="38"/>
      <c r="P69" s="236"/>
      <c r="Q69" s="39"/>
      <c r="R69" s="237" t="s">
        <v>502</v>
      </c>
      <c r="S69" s="238" t="s">
        <v>1176</v>
      </c>
      <c r="T69" s="249">
        <v>1</v>
      </c>
      <c r="U69" s="249">
        <v>1</v>
      </c>
      <c r="V69" s="239">
        <v>180</v>
      </c>
      <c r="W69" s="250" t="s">
        <v>955</v>
      </c>
      <c r="X69" s="238" t="s">
        <v>956</v>
      </c>
      <c r="Y69" s="238"/>
      <c r="Z69" s="241"/>
      <c r="AA69" s="241"/>
      <c r="AB69" s="241"/>
      <c r="AC69" s="241"/>
      <c r="AD69" s="241"/>
    </row>
    <row r="70" spans="1:30" ht="75">
      <c r="A70" s="312"/>
      <c r="B70" s="309"/>
      <c r="C70" s="310"/>
      <c r="D70" s="306" t="s">
        <v>503</v>
      </c>
      <c r="E70" s="307" t="s">
        <v>160</v>
      </c>
      <c r="F70" s="33" t="s">
        <v>161</v>
      </c>
      <c r="G70" s="34" t="s">
        <v>162</v>
      </c>
      <c r="H70" s="35" t="s">
        <v>445</v>
      </c>
      <c r="I70" s="35" t="s">
        <v>448</v>
      </c>
      <c r="J70" s="36" t="str">
        <f t="shared" ref="J70:J132" si="1">G70</f>
        <v>Crear sinèrgies i col·laborar amb museus i equipaments de referència per definir línies d'actuació conjunta entre patrimoni cultural i natural</v>
      </c>
      <c r="K70" s="37"/>
      <c r="L70" s="38" t="s">
        <v>940</v>
      </c>
      <c r="M70" s="39" t="s">
        <v>972</v>
      </c>
      <c r="N70" s="38" t="s">
        <v>1177</v>
      </c>
      <c r="O70" s="38"/>
      <c r="P70" s="236"/>
      <c r="Q70" s="39"/>
      <c r="R70" s="237" t="s">
        <v>504</v>
      </c>
      <c r="S70" s="263" t="s">
        <v>1178</v>
      </c>
      <c r="T70" s="272">
        <v>1</v>
      </c>
      <c r="U70" s="272">
        <v>8</v>
      </c>
      <c r="V70" s="239">
        <f>10*4</f>
        <v>40</v>
      </c>
      <c r="W70" s="241" t="s">
        <v>1080</v>
      </c>
      <c r="X70" s="238" t="s">
        <v>1081</v>
      </c>
      <c r="Y70" s="238"/>
      <c r="Z70" s="241"/>
      <c r="AA70" s="241"/>
      <c r="AB70" s="241"/>
      <c r="AC70" s="241"/>
      <c r="AD70" s="241"/>
    </row>
    <row r="71" spans="1:30" ht="60">
      <c r="A71" s="312"/>
      <c r="B71" s="309"/>
      <c r="C71" s="310"/>
      <c r="D71" s="306"/>
      <c r="E71" s="307"/>
      <c r="F71" s="33" t="s">
        <v>163</v>
      </c>
      <c r="G71" s="34" t="s">
        <v>164</v>
      </c>
      <c r="H71" s="35" t="s">
        <v>445</v>
      </c>
      <c r="I71" s="35" t="s">
        <v>448</v>
      </c>
      <c r="J71" s="36" t="str">
        <f t="shared" si="1"/>
        <v>Establir acords amb les institucions de recerca i naturalistes per al desenvolupament d'estudis i inventaris dins l'ENP en el marc de les seves línies de recerca</v>
      </c>
      <c r="K71" s="37"/>
      <c r="L71" s="38" t="s">
        <v>940</v>
      </c>
      <c r="M71" s="39" t="s">
        <v>972</v>
      </c>
      <c r="N71" s="38" t="s">
        <v>1179</v>
      </c>
      <c r="O71" s="38"/>
      <c r="P71" s="236"/>
      <c r="Q71" s="39"/>
      <c r="R71" s="237" t="s">
        <v>505</v>
      </c>
      <c r="S71" s="319" t="s">
        <v>1180</v>
      </c>
      <c r="T71" s="320">
        <v>3</v>
      </c>
      <c r="U71" s="320">
        <v>6</v>
      </c>
      <c r="V71" s="239">
        <f>15*4</f>
        <v>60</v>
      </c>
      <c r="W71" s="250" t="s">
        <v>955</v>
      </c>
      <c r="X71" s="319" t="s">
        <v>956</v>
      </c>
      <c r="Y71" s="319"/>
      <c r="Z71" s="241"/>
      <c r="AA71" s="241"/>
      <c r="AB71" s="241"/>
      <c r="AC71" s="241"/>
      <c r="AD71" s="241"/>
    </row>
    <row r="72" spans="1:30" ht="196.5" customHeight="1">
      <c r="A72" s="312"/>
      <c r="B72" s="309"/>
      <c r="C72" s="310"/>
      <c r="D72" s="306"/>
      <c r="E72" s="307"/>
      <c r="F72" s="33" t="s">
        <v>165</v>
      </c>
      <c r="G72" s="34" t="s">
        <v>166</v>
      </c>
      <c r="H72" s="35" t="s">
        <v>445</v>
      </c>
      <c r="I72" s="35" t="s">
        <v>448</v>
      </c>
      <c r="J72" s="36" t="str">
        <f t="shared" si="1"/>
        <v xml:space="preserve">Potenciar la ciència ciutadana en l’ENP com a eina per generar coneixement </v>
      </c>
      <c r="K72" s="271" t="s">
        <v>1181</v>
      </c>
      <c r="L72" s="38" t="s">
        <v>940</v>
      </c>
      <c r="M72" s="39" t="s">
        <v>950</v>
      </c>
      <c r="N72" s="38" t="s">
        <v>1182</v>
      </c>
      <c r="O72" s="38"/>
      <c r="P72" s="236"/>
      <c r="Q72" s="39"/>
      <c r="R72" s="237"/>
      <c r="S72" s="238" t="s">
        <v>1183</v>
      </c>
      <c r="T72" s="238" t="s">
        <v>1184</v>
      </c>
      <c r="U72" s="238" t="s">
        <v>1185</v>
      </c>
      <c r="V72" s="239">
        <v>150</v>
      </c>
      <c r="W72" s="250" t="s">
        <v>955</v>
      </c>
      <c r="X72" s="238" t="s">
        <v>956</v>
      </c>
      <c r="Y72" s="238"/>
      <c r="Z72" s="241"/>
      <c r="AA72" s="241"/>
      <c r="AB72" s="241"/>
      <c r="AC72" s="241"/>
      <c r="AD72" s="241"/>
    </row>
    <row r="73" spans="1:30" ht="45">
      <c r="A73" s="312"/>
      <c r="B73" s="309"/>
      <c r="C73" s="310"/>
      <c r="D73" s="306"/>
      <c r="E73" s="307"/>
      <c r="F73" s="33" t="s">
        <v>167</v>
      </c>
      <c r="G73" s="34" t="s">
        <v>168</v>
      </c>
      <c r="H73" s="35" t="s">
        <v>445</v>
      </c>
      <c r="I73" s="35" t="s">
        <v>448</v>
      </c>
      <c r="J73" s="36" t="str">
        <f t="shared" si="1"/>
        <v xml:space="preserve">Crear i desenvolupar jornades de recerca de l'ENP de forma anual on els diferents centres mostrin els estudis realizats en l'ENP </v>
      </c>
      <c r="K73" s="37"/>
      <c r="L73" s="38" t="s">
        <v>940</v>
      </c>
      <c r="M73" s="39" t="s">
        <v>950</v>
      </c>
      <c r="N73" s="38" t="s">
        <v>1186</v>
      </c>
      <c r="O73" s="38"/>
      <c r="P73" s="236"/>
      <c r="Q73" s="39"/>
      <c r="R73" s="237" t="s">
        <v>506</v>
      </c>
      <c r="S73" s="238" t="s">
        <v>1187</v>
      </c>
      <c r="T73" s="241">
        <v>2</v>
      </c>
      <c r="U73" s="241">
        <v>4</v>
      </c>
      <c r="V73" s="239">
        <f>40*4</f>
        <v>160</v>
      </c>
      <c r="W73" s="250" t="s">
        <v>955</v>
      </c>
      <c r="X73" s="238" t="s">
        <v>956</v>
      </c>
      <c r="Y73" s="238"/>
      <c r="Z73" s="241"/>
      <c r="AA73" s="241"/>
      <c r="AB73" s="241"/>
      <c r="AC73" s="241"/>
      <c r="AD73" s="241"/>
    </row>
    <row r="74" spans="1:30" ht="75">
      <c r="A74" s="312"/>
      <c r="B74" s="309"/>
      <c r="C74" s="310"/>
      <c r="D74" s="306"/>
      <c r="E74" s="307"/>
      <c r="F74" s="33" t="s">
        <v>169</v>
      </c>
      <c r="G74" s="34" t="s">
        <v>170</v>
      </c>
      <c r="H74" s="35" t="s">
        <v>445</v>
      </c>
      <c r="I74" s="35" t="s">
        <v>448</v>
      </c>
      <c r="J74" s="36" t="str">
        <f t="shared" si="1"/>
        <v>Posar a disposició de la recerca, equipaments i serveis de l'ENP</v>
      </c>
      <c r="K74" s="37"/>
      <c r="L74" s="38" t="s">
        <v>940</v>
      </c>
      <c r="M74" s="39" t="s">
        <v>972</v>
      </c>
      <c r="N74" s="38" t="s">
        <v>1188</v>
      </c>
      <c r="O74" s="38"/>
      <c r="P74" s="236"/>
      <c r="Q74" s="39" t="s">
        <v>461</v>
      </c>
      <c r="R74" s="237"/>
      <c r="S74" s="238" t="s">
        <v>1189</v>
      </c>
      <c r="T74" s="238" t="s">
        <v>1190</v>
      </c>
      <c r="U74" s="238" t="s">
        <v>1191</v>
      </c>
      <c r="V74" s="239">
        <f>40*4</f>
        <v>160</v>
      </c>
      <c r="W74" s="250" t="s">
        <v>955</v>
      </c>
      <c r="X74" s="238" t="s">
        <v>956</v>
      </c>
      <c r="Y74" s="238"/>
      <c r="Z74" s="241"/>
      <c r="AA74" s="241"/>
      <c r="AB74" s="241"/>
      <c r="AC74" s="241"/>
      <c r="AD74" s="241"/>
    </row>
    <row r="75" spans="1:30" ht="75">
      <c r="A75" s="312"/>
      <c r="B75" s="309"/>
      <c r="C75" s="310"/>
      <c r="D75" s="306"/>
      <c r="E75" s="307"/>
      <c r="F75" s="33" t="s">
        <v>171</v>
      </c>
      <c r="G75" s="34" t="s">
        <v>172</v>
      </c>
      <c r="H75" s="35" t="s">
        <v>445</v>
      </c>
      <c r="I75" s="35" t="s">
        <v>448</v>
      </c>
      <c r="J75" s="36" t="str">
        <f t="shared" si="1"/>
        <v xml:space="preserve">Crear l'Observatori de recerca de l'ENP vinculat a l'Observatori del Patrimoni natural i la biodiversitat </v>
      </c>
      <c r="K75" s="37"/>
      <c r="L75" s="38" t="s">
        <v>940</v>
      </c>
      <c r="M75" s="39" t="s">
        <v>972</v>
      </c>
      <c r="N75" s="38" t="s">
        <v>1192</v>
      </c>
      <c r="O75" s="38"/>
      <c r="P75" s="236"/>
      <c r="Q75" s="39"/>
      <c r="R75" s="237" t="s">
        <v>507</v>
      </c>
      <c r="S75" s="238" t="s">
        <v>1193</v>
      </c>
      <c r="T75" s="238" t="s">
        <v>1194</v>
      </c>
      <c r="U75" s="238" t="s">
        <v>1195</v>
      </c>
      <c r="V75" s="239">
        <f>40*4</f>
        <v>160</v>
      </c>
      <c r="W75" s="250" t="s">
        <v>955</v>
      </c>
      <c r="X75" s="238" t="s">
        <v>956</v>
      </c>
      <c r="Y75" s="238"/>
      <c r="Z75" s="241"/>
      <c r="AA75" s="241"/>
      <c r="AB75" s="241"/>
      <c r="AC75" s="241"/>
      <c r="AD75" s="241"/>
    </row>
    <row r="76" spans="1:30" ht="45">
      <c r="A76" s="312"/>
      <c r="B76" s="309"/>
      <c r="C76" s="310"/>
      <c r="D76" s="306" t="s">
        <v>508</v>
      </c>
      <c r="E76" s="307" t="s">
        <v>173</v>
      </c>
      <c r="F76" s="33" t="s">
        <v>174</v>
      </c>
      <c r="G76" s="34" t="s">
        <v>175</v>
      </c>
      <c r="H76" s="35" t="s">
        <v>445</v>
      </c>
      <c r="I76" s="35" t="s">
        <v>446</v>
      </c>
      <c r="J76" s="36" t="str">
        <f t="shared" si="1"/>
        <v>Participar en la definició del sistema estándard de seguiment de l'ús públic amb el SENP</v>
      </c>
      <c r="K76" s="37"/>
      <c r="L76" s="38" t="s">
        <v>940</v>
      </c>
      <c r="M76" s="39" t="s">
        <v>972</v>
      </c>
      <c r="N76" s="38" t="s">
        <v>1196</v>
      </c>
      <c r="O76" s="38"/>
      <c r="P76" s="236"/>
      <c r="Q76" s="39"/>
      <c r="R76" s="237" t="s">
        <v>509</v>
      </c>
      <c r="S76" s="238" t="s">
        <v>1197</v>
      </c>
      <c r="T76" s="241">
        <v>1</v>
      </c>
      <c r="U76" s="241">
        <v>12</v>
      </c>
      <c r="V76" s="239">
        <f>10*4</f>
        <v>40</v>
      </c>
      <c r="W76" s="241" t="s">
        <v>1080</v>
      </c>
      <c r="X76" s="238" t="s">
        <v>1081</v>
      </c>
      <c r="Y76" s="238"/>
      <c r="Z76" s="241"/>
      <c r="AA76" s="241"/>
      <c r="AB76" s="241"/>
      <c r="AC76" s="241"/>
      <c r="AD76" s="241"/>
    </row>
    <row r="77" spans="1:30" ht="180">
      <c r="A77" s="312"/>
      <c r="B77" s="309"/>
      <c r="C77" s="310"/>
      <c r="D77" s="306"/>
      <c r="E77" s="307"/>
      <c r="F77" s="33" t="s">
        <v>176</v>
      </c>
      <c r="G77" s="34" t="s">
        <v>177</v>
      </c>
      <c r="H77" s="35" t="s">
        <v>445</v>
      </c>
      <c r="I77" s="35" t="s">
        <v>446</v>
      </c>
      <c r="J77" s="36" t="str">
        <f t="shared" si="1"/>
        <v xml:space="preserve">Disposar de dades de freqüentació i perfil d'usuari en l'ENP i en especial en equipaments i en zones d'alta freqüentació segons el model de DG </v>
      </c>
      <c r="K77" s="37"/>
      <c r="L77" s="38" t="s">
        <v>940</v>
      </c>
      <c r="M77" s="39" t="s">
        <v>941</v>
      </c>
      <c r="N77" s="38" t="s">
        <v>1198</v>
      </c>
      <c r="O77" s="38"/>
      <c r="P77" s="236"/>
      <c r="Q77" s="39"/>
      <c r="R77" s="237" t="s">
        <v>510</v>
      </c>
      <c r="S77" s="238" t="s">
        <v>1199</v>
      </c>
      <c r="T77" s="238" t="s">
        <v>1200</v>
      </c>
      <c r="U77" s="238" t="s">
        <v>1201</v>
      </c>
      <c r="V77" s="239">
        <f>20*4</f>
        <v>80</v>
      </c>
      <c r="W77" s="241" t="s">
        <v>1080</v>
      </c>
      <c r="X77" s="238" t="s">
        <v>1081</v>
      </c>
      <c r="Y77" s="238"/>
      <c r="Z77" s="241"/>
      <c r="AA77" s="241"/>
      <c r="AB77" s="241"/>
      <c r="AC77" s="241"/>
      <c r="AD77" s="241"/>
    </row>
    <row r="78" spans="1:30" ht="90">
      <c r="A78" s="312"/>
      <c r="B78" s="309"/>
      <c r="C78" s="310"/>
      <c r="D78" s="306"/>
      <c r="E78" s="307"/>
      <c r="F78" s="33" t="s">
        <v>178</v>
      </c>
      <c r="G78" s="34" t="s">
        <v>179</v>
      </c>
      <c r="H78" s="35" t="s">
        <v>445</v>
      </c>
      <c r="I78" s="35" t="s">
        <v>446</v>
      </c>
      <c r="J78" s="36" t="str">
        <f t="shared" si="1"/>
        <v>Identificar les activitats i actors de l’espai.</v>
      </c>
      <c r="K78" s="37"/>
      <c r="L78" s="38" t="s">
        <v>940</v>
      </c>
      <c r="M78" s="39" t="s">
        <v>972</v>
      </c>
      <c r="N78" s="38" t="s">
        <v>1202</v>
      </c>
      <c r="O78" s="38"/>
      <c r="P78" s="236"/>
      <c r="Q78" s="39"/>
      <c r="R78" s="237"/>
      <c r="S78" s="238" t="s">
        <v>1203</v>
      </c>
      <c r="T78" s="241">
        <v>1</v>
      </c>
      <c r="U78" s="241">
        <v>3</v>
      </c>
      <c r="V78" s="239">
        <f>20*4</f>
        <v>80</v>
      </c>
      <c r="W78" s="241" t="s">
        <v>1080</v>
      </c>
      <c r="X78" s="238" t="s">
        <v>1081</v>
      </c>
      <c r="Y78" s="238"/>
      <c r="Z78" s="241"/>
      <c r="AA78" s="241"/>
      <c r="AB78" s="241"/>
      <c r="AC78" s="241"/>
      <c r="AD78" s="241"/>
    </row>
    <row r="79" spans="1:30" ht="30">
      <c r="A79" s="312"/>
      <c r="B79" s="309"/>
      <c r="C79" s="310"/>
      <c r="D79" s="306"/>
      <c r="E79" s="307"/>
      <c r="F79" s="33" t="s">
        <v>180</v>
      </c>
      <c r="G79" s="34" t="s">
        <v>181</v>
      </c>
      <c r="H79" s="35"/>
      <c r="I79" s="35"/>
      <c r="J79" s="36" t="str">
        <f t="shared" si="1"/>
        <v>Identificar en cartografia les males praxis i punts de massificació</v>
      </c>
      <c r="K79" s="37"/>
      <c r="L79" s="38" t="s">
        <v>940</v>
      </c>
      <c r="M79" s="321" t="s">
        <v>950</v>
      </c>
      <c r="N79" s="37" t="s">
        <v>1204</v>
      </c>
      <c r="O79" s="38"/>
      <c r="P79" s="236"/>
      <c r="Q79" s="39"/>
      <c r="R79" s="237"/>
      <c r="S79" s="238"/>
      <c r="T79" s="241"/>
      <c r="U79" s="241"/>
      <c r="V79" s="322"/>
      <c r="W79" s="241" t="s">
        <v>1080</v>
      </c>
      <c r="X79" s="238" t="s">
        <v>1081</v>
      </c>
      <c r="Y79" s="238"/>
      <c r="Z79" s="241"/>
      <c r="AA79" s="241"/>
      <c r="AB79" s="241"/>
      <c r="AC79" s="241"/>
      <c r="AD79" s="241"/>
    </row>
    <row r="80" spans="1:30" ht="45">
      <c r="A80" s="312"/>
      <c r="B80" s="309"/>
      <c r="C80" s="310"/>
      <c r="D80" s="306"/>
      <c r="E80" s="307"/>
      <c r="F80" s="33" t="s">
        <v>182</v>
      </c>
      <c r="G80" s="34" t="s">
        <v>183</v>
      </c>
      <c r="H80" s="35" t="s">
        <v>445</v>
      </c>
      <c r="I80" s="35" t="s">
        <v>446</v>
      </c>
      <c r="J80" s="36" t="str">
        <f t="shared" si="1"/>
        <v>Adaptar i mantenir un registre d'activitats, actors i inciències en ús públic (curses, conflictes, queixes, etc)</v>
      </c>
      <c r="K80" s="37"/>
      <c r="L80" s="38" t="s">
        <v>940</v>
      </c>
      <c r="M80" s="39" t="s">
        <v>972</v>
      </c>
      <c r="N80" s="38" t="s">
        <v>1205</v>
      </c>
      <c r="O80" s="38"/>
      <c r="P80" s="236"/>
      <c r="Q80" s="39"/>
      <c r="R80" s="237" t="s">
        <v>511</v>
      </c>
      <c r="S80" s="238" t="s">
        <v>1206</v>
      </c>
      <c r="T80" s="241">
        <v>1</v>
      </c>
      <c r="U80" s="241">
        <v>4</v>
      </c>
      <c r="V80" s="239">
        <f>15*4</f>
        <v>60</v>
      </c>
      <c r="W80" s="241" t="s">
        <v>1080</v>
      </c>
      <c r="X80" s="238" t="s">
        <v>1081</v>
      </c>
      <c r="Y80" s="238"/>
      <c r="Z80" s="241"/>
      <c r="AA80" s="241"/>
      <c r="AB80" s="241"/>
      <c r="AC80" s="241"/>
      <c r="AD80" s="241"/>
    </row>
    <row r="81" spans="1:30" ht="150">
      <c r="A81" s="312"/>
      <c r="B81" s="309"/>
      <c r="C81" s="310"/>
      <c r="D81" s="306"/>
      <c r="E81" s="307"/>
      <c r="F81" s="33" t="s">
        <v>184</v>
      </c>
      <c r="G81" s="34" t="s">
        <v>185</v>
      </c>
      <c r="H81" s="35" t="s">
        <v>445</v>
      </c>
      <c r="I81" s="35" t="s">
        <v>446</v>
      </c>
      <c r="J81" s="36" t="str">
        <f t="shared" si="1"/>
        <v>Identificar els impactes (positius i negatius) que generen les activitats d'ús públic dins l'ENP</v>
      </c>
      <c r="K81" s="37"/>
      <c r="L81" s="38" t="s">
        <v>940</v>
      </c>
      <c r="M81" s="39" t="s">
        <v>950</v>
      </c>
      <c r="N81" s="38" t="s">
        <v>1207</v>
      </c>
      <c r="O81" s="38"/>
      <c r="P81" s="236"/>
      <c r="Q81" s="39" t="s">
        <v>461</v>
      </c>
      <c r="R81" s="237"/>
      <c r="S81" s="238" t="s">
        <v>1208</v>
      </c>
      <c r="T81" s="238" t="s">
        <v>1209</v>
      </c>
      <c r="U81" s="238" t="s">
        <v>1210</v>
      </c>
      <c r="V81" s="239">
        <f>20*4</f>
        <v>80</v>
      </c>
      <c r="W81" s="241" t="s">
        <v>1080</v>
      </c>
      <c r="X81" s="238" t="s">
        <v>1081</v>
      </c>
      <c r="Y81" s="238"/>
      <c r="Z81" s="241"/>
      <c r="AA81" s="241"/>
      <c r="AB81" s="241"/>
      <c r="AC81" s="241"/>
      <c r="AD81" s="323" t="s">
        <v>1211</v>
      </c>
    </row>
    <row r="82" spans="1:30" ht="45">
      <c r="A82" s="53" t="s">
        <v>186</v>
      </c>
      <c r="B82" s="54">
        <v>7</v>
      </c>
      <c r="C82" s="10" t="s">
        <v>187</v>
      </c>
      <c r="D82" s="55" t="s">
        <v>512</v>
      </c>
      <c r="E82" s="56" t="s">
        <v>188</v>
      </c>
      <c r="F82" s="33" t="s">
        <v>189</v>
      </c>
      <c r="G82" s="34" t="s">
        <v>190</v>
      </c>
      <c r="H82" s="35" t="s">
        <v>445</v>
      </c>
      <c r="I82" s="35" t="s">
        <v>457</v>
      </c>
      <c r="J82" s="36" t="s">
        <v>1212</v>
      </c>
      <c r="K82" s="44" t="s">
        <v>1085</v>
      </c>
      <c r="L82" s="38" t="s">
        <v>940</v>
      </c>
      <c r="M82" s="39" t="s">
        <v>972</v>
      </c>
      <c r="N82" s="38" t="s">
        <v>1213</v>
      </c>
      <c r="O82" s="38"/>
      <c r="P82" s="236"/>
      <c r="Q82" s="39"/>
      <c r="R82" s="237"/>
      <c r="S82" s="238" t="s">
        <v>1214</v>
      </c>
      <c r="T82" s="241">
        <v>1</v>
      </c>
      <c r="U82" s="241">
        <v>4</v>
      </c>
      <c r="V82" s="239">
        <f>10*4</f>
        <v>40</v>
      </c>
      <c r="W82" s="241" t="s">
        <v>1080</v>
      </c>
      <c r="X82" s="238" t="s">
        <v>1081</v>
      </c>
      <c r="Y82" s="238"/>
      <c r="Z82" s="241"/>
      <c r="AA82" s="241"/>
      <c r="AB82" s="241"/>
      <c r="AC82" s="241"/>
      <c r="AD82" s="241"/>
    </row>
    <row r="83" spans="1:30" ht="45">
      <c r="A83" s="53"/>
      <c r="B83" s="324">
        <v>8</v>
      </c>
      <c r="C83" s="325" t="s">
        <v>191</v>
      </c>
      <c r="D83" s="326" t="s">
        <v>513</v>
      </c>
      <c r="E83" s="327" t="s">
        <v>192</v>
      </c>
      <c r="F83" s="313" t="s">
        <v>193</v>
      </c>
      <c r="G83" s="34" t="s">
        <v>194</v>
      </c>
      <c r="H83" s="35" t="s">
        <v>445</v>
      </c>
      <c r="I83" s="35" t="s">
        <v>457</v>
      </c>
      <c r="J83" s="36" t="str">
        <f t="shared" si="1"/>
        <v xml:space="preserve">Acompanyar i assessorar els productors agraris per millorar les tècniques productives agràries i afavorir la conservació dels hàbitats i paisatges </v>
      </c>
      <c r="K83" s="37"/>
      <c r="L83" s="38" t="s">
        <v>940</v>
      </c>
      <c r="M83" s="39" t="s">
        <v>972</v>
      </c>
      <c r="N83" s="38" t="s">
        <v>1215</v>
      </c>
      <c r="O83" s="38"/>
      <c r="P83" s="236"/>
      <c r="Q83" s="39"/>
      <c r="R83" s="237"/>
      <c r="S83" s="238" t="s">
        <v>1216</v>
      </c>
      <c r="T83" s="238" t="s">
        <v>1217</v>
      </c>
      <c r="U83" s="238" t="s">
        <v>1218</v>
      </c>
      <c r="V83" s="239">
        <f>10*4</f>
        <v>40</v>
      </c>
      <c r="W83" s="241" t="s">
        <v>1012</v>
      </c>
      <c r="X83" s="238" t="s">
        <v>1013</v>
      </c>
      <c r="Y83" s="238"/>
      <c r="Z83" s="241"/>
      <c r="AA83" s="241"/>
      <c r="AB83" s="241"/>
      <c r="AC83" s="241"/>
      <c r="AD83" s="241"/>
    </row>
    <row r="84" spans="1:30" ht="60">
      <c r="A84" s="53"/>
      <c r="B84" s="328"/>
      <c r="C84" s="329"/>
      <c r="D84" s="330"/>
      <c r="E84" s="331"/>
      <c r="F84" s="33" t="s">
        <v>195</v>
      </c>
      <c r="G84" s="34" t="s">
        <v>196</v>
      </c>
      <c r="H84" s="35" t="s">
        <v>445</v>
      </c>
      <c r="I84" s="35" t="s">
        <v>457</v>
      </c>
      <c r="J84" s="36" t="str">
        <f t="shared" si="1"/>
        <v xml:space="preserve">Oferir formació als productors agraris per millorar el seu coneixement sobre tècniques eficients i respectuoses amb la conservació del patrimoni natural i cultural </v>
      </c>
      <c r="K84" s="37"/>
      <c r="L84" s="38" t="s">
        <v>940</v>
      </c>
      <c r="M84" s="321" t="s">
        <v>972</v>
      </c>
      <c r="N84" s="332" t="s">
        <v>1219</v>
      </c>
      <c r="O84" s="38"/>
      <c r="P84" s="236"/>
      <c r="Q84" s="39"/>
      <c r="R84" s="237"/>
      <c r="S84" s="333" t="s">
        <v>1220</v>
      </c>
      <c r="T84" s="241"/>
      <c r="U84" s="241"/>
      <c r="V84" s="322"/>
      <c r="W84" s="238"/>
      <c r="X84" s="238" t="s">
        <v>1013</v>
      </c>
      <c r="Y84" s="238"/>
      <c r="Z84" s="241"/>
      <c r="AA84" s="241"/>
      <c r="AB84" s="241"/>
      <c r="AC84" s="241"/>
      <c r="AD84" s="323" t="s">
        <v>1221</v>
      </c>
    </row>
    <row r="85" spans="1:30" ht="60">
      <c r="A85" s="53"/>
      <c r="B85" s="328"/>
      <c r="C85" s="329"/>
      <c r="D85" s="334"/>
      <c r="E85" s="335"/>
      <c r="F85" s="33" t="s">
        <v>197</v>
      </c>
      <c r="G85" s="336" t="s">
        <v>198</v>
      </c>
      <c r="H85" s="35" t="s">
        <v>447</v>
      </c>
      <c r="I85" s="35" t="s">
        <v>448</v>
      </c>
      <c r="J85" s="36" t="str">
        <f t="shared" si="1"/>
        <v>Promoure la recuperació i conservació de marges i punts d'aigua associats a la ramaderia i l'agricultura i d'interès per la biodiversitat</v>
      </c>
      <c r="K85" s="37"/>
      <c r="L85" s="38" t="s">
        <v>940</v>
      </c>
      <c r="M85" s="39" t="s">
        <v>972</v>
      </c>
      <c r="N85" s="38" t="s">
        <v>1222</v>
      </c>
      <c r="O85" s="38"/>
      <c r="P85" s="38"/>
      <c r="Q85" s="39"/>
      <c r="R85" s="237"/>
      <c r="S85" s="238" t="s">
        <v>1223</v>
      </c>
      <c r="T85" s="241">
        <v>2</v>
      </c>
      <c r="U85" s="241">
        <v>4</v>
      </c>
      <c r="V85" s="239">
        <v>25</v>
      </c>
      <c r="W85" s="238" t="s">
        <v>1224</v>
      </c>
      <c r="X85" s="238" t="s">
        <v>1225</v>
      </c>
      <c r="Y85" s="238"/>
      <c r="Z85" s="241"/>
      <c r="AA85" s="241"/>
      <c r="AB85" s="241"/>
      <c r="AC85" s="241"/>
      <c r="AD85" s="241"/>
    </row>
    <row r="86" spans="1:30" ht="225">
      <c r="A86" s="337"/>
      <c r="B86" s="328"/>
      <c r="C86" s="329"/>
      <c r="D86" s="55" t="s">
        <v>514</v>
      </c>
      <c r="E86" s="56" t="s">
        <v>199</v>
      </c>
      <c r="F86" s="338" t="s">
        <v>200</v>
      </c>
      <c r="G86" s="34" t="s">
        <v>201</v>
      </c>
      <c r="H86" s="40"/>
      <c r="I86" s="40"/>
      <c r="J86" s="36" t="str">
        <f t="shared" si="1"/>
        <v>Establir una relació contínua amb agents socioeconòmics del territori, i si s'escau, crear una Taula de desenvolupament local</v>
      </c>
      <c r="K86" s="39"/>
      <c r="L86" s="38" t="s">
        <v>940</v>
      </c>
      <c r="M86" s="39" t="s">
        <v>950</v>
      </c>
      <c r="N86" s="38" t="s">
        <v>1226</v>
      </c>
      <c r="O86" s="38"/>
      <c r="P86" s="236" t="s">
        <v>1227</v>
      </c>
      <c r="Q86" s="39" t="s">
        <v>461</v>
      </c>
      <c r="R86" s="237"/>
      <c r="S86" s="238" t="s">
        <v>1228</v>
      </c>
      <c r="T86" s="241">
        <v>10</v>
      </c>
      <c r="U86" s="241">
        <v>20</v>
      </c>
      <c r="V86" s="239">
        <f>40*4</f>
        <v>160</v>
      </c>
      <c r="W86" s="241" t="s">
        <v>1080</v>
      </c>
      <c r="X86" s="238" t="s">
        <v>1081</v>
      </c>
      <c r="Y86" s="238"/>
      <c r="Z86" s="241"/>
      <c r="AA86" s="241"/>
      <c r="AB86" s="241"/>
      <c r="AC86" s="241"/>
      <c r="AD86" s="241"/>
    </row>
    <row r="87" spans="1:30" ht="150">
      <c r="A87" s="337"/>
      <c r="B87" s="328"/>
      <c r="C87" s="329"/>
      <c r="D87" s="339" t="s">
        <v>515</v>
      </c>
      <c r="E87" s="340" t="s">
        <v>202</v>
      </c>
      <c r="F87" s="33" t="s">
        <v>203</v>
      </c>
      <c r="G87" s="34" t="s">
        <v>204</v>
      </c>
      <c r="H87" s="35" t="s">
        <v>445</v>
      </c>
      <c r="I87" s="35" t="s">
        <v>448</v>
      </c>
      <c r="J87" s="36" t="str">
        <f t="shared" si="1"/>
        <v>Implantar un distintiu de qualitat i compatibilitat amb la conservació dels productes de la Xarxa d'ENP o criteris de qualitat propis de l'ENP</v>
      </c>
      <c r="K87" s="37"/>
      <c r="L87" s="38" t="s">
        <v>940</v>
      </c>
      <c r="M87" s="39" t="s">
        <v>972</v>
      </c>
      <c r="N87" s="38" t="s">
        <v>1229</v>
      </c>
      <c r="O87" s="38"/>
      <c r="P87" s="236"/>
      <c r="Q87" s="39" t="s">
        <v>461</v>
      </c>
      <c r="R87" s="237" t="s">
        <v>516</v>
      </c>
      <c r="S87" s="38" t="s">
        <v>1230</v>
      </c>
      <c r="T87" s="238" t="s">
        <v>1231</v>
      </c>
      <c r="U87" s="238" t="s">
        <v>1232</v>
      </c>
      <c r="V87" s="239">
        <f>12*4</f>
        <v>48</v>
      </c>
      <c r="W87" s="241" t="s">
        <v>1076</v>
      </c>
      <c r="X87" s="238" t="s">
        <v>1233</v>
      </c>
      <c r="Y87" s="238"/>
      <c r="Z87" s="241"/>
      <c r="AA87" s="241"/>
      <c r="AB87" s="241"/>
      <c r="AC87" s="241"/>
      <c r="AD87" s="241"/>
    </row>
    <row r="88" spans="1:30" ht="75">
      <c r="A88" s="337"/>
      <c r="B88" s="328"/>
      <c r="C88" s="329"/>
      <c r="D88" s="339"/>
      <c r="E88" s="340"/>
      <c r="F88" s="33" t="s">
        <v>205</v>
      </c>
      <c r="G88" s="34" t="s">
        <v>206</v>
      </c>
      <c r="H88" s="35" t="s">
        <v>445</v>
      </c>
      <c r="I88" s="35" t="s">
        <v>446</v>
      </c>
      <c r="J88" s="36" t="str">
        <f t="shared" si="1"/>
        <v>Integrar els productes i activitats locals de qualitat en l'oferta d'activitats d'informació i turístiques de l'ENP</v>
      </c>
      <c r="K88" s="37"/>
      <c r="L88" s="38" t="s">
        <v>940</v>
      </c>
      <c r="M88" s="39" t="s">
        <v>972</v>
      </c>
      <c r="N88" s="38" t="s">
        <v>1234</v>
      </c>
      <c r="O88" s="38"/>
      <c r="P88" s="236"/>
      <c r="Q88" s="253" t="s">
        <v>517</v>
      </c>
      <c r="R88" s="237"/>
      <c r="S88" s="238" t="s">
        <v>1235</v>
      </c>
      <c r="T88" s="241" t="s">
        <v>1105</v>
      </c>
      <c r="U88" s="241" t="s">
        <v>1236</v>
      </c>
      <c r="V88" s="239">
        <f>10*4</f>
        <v>40</v>
      </c>
      <c r="W88" s="241" t="s">
        <v>1080</v>
      </c>
      <c r="X88" s="238" t="s">
        <v>1233</v>
      </c>
      <c r="Y88" s="238"/>
      <c r="Z88" s="241"/>
      <c r="AA88" s="241"/>
      <c r="AB88" s="241"/>
      <c r="AC88" s="241"/>
      <c r="AD88" s="241"/>
    </row>
    <row r="89" spans="1:30" ht="45">
      <c r="A89" s="337"/>
      <c r="B89" s="328"/>
      <c r="C89" s="329"/>
      <c r="D89" s="339"/>
      <c r="E89" s="340"/>
      <c r="F89" s="33" t="s">
        <v>207</v>
      </c>
      <c r="G89" s="34" t="s">
        <v>208</v>
      </c>
      <c r="H89" s="35" t="s">
        <v>445</v>
      </c>
      <c r="I89" s="35" t="s">
        <v>448</v>
      </c>
      <c r="J89" s="36" t="str">
        <f t="shared" si="1"/>
        <v>Promoure fires d'artesania i productes locals de l'ENP</v>
      </c>
      <c r="K89" s="37"/>
      <c r="L89" s="38" t="s">
        <v>940</v>
      </c>
      <c r="M89" s="39" t="s">
        <v>1004</v>
      </c>
      <c r="N89" s="38" t="s">
        <v>1237</v>
      </c>
      <c r="O89" s="38"/>
      <c r="P89" s="236"/>
      <c r="Q89" s="39"/>
      <c r="R89" s="237"/>
      <c r="S89" s="238" t="s">
        <v>1238</v>
      </c>
      <c r="T89" s="241">
        <v>1</v>
      </c>
      <c r="U89" s="241">
        <v>12</v>
      </c>
      <c r="V89" s="239">
        <f>10*4</f>
        <v>40</v>
      </c>
      <c r="W89" s="241" t="s">
        <v>1080</v>
      </c>
      <c r="X89" s="238" t="s">
        <v>1081</v>
      </c>
      <c r="Y89" s="238"/>
      <c r="Z89" s="241"/>
      <c r="AA89" s="241"/>
      <c r="AB89" s="241"/>
      <c r="AC89" s="241"/>
      <c r="AD89" s="241"/>
    </row>
    <row r="90" spans="1:30" ht="165">
      <c r="A90" s="337"/>
      <c r="B90" s="328"/>
      <c r="C90" s="329"/>
      <c r="D90" s="339"/>
      <c r="E90" s="340"/>
      <c r="F90" s="33" t="s">
        <v>209</v>
      </c>
      <c r="G90" s="341" t="s">
        <v>210</v>
      </c>
      <c r="H90" s="35" t="s">
        <v>445</v>
      </c>
      <c r="I90" s="35" t="s">
        <v>448</v>
      </c>
      <c r="J90" s="341" t="s">
        <v>1239</v>
      </c>
      <c r="K90" s="271" t="s">
        <v>1240</v>
      </c>
      <c r="L90" s="38" t="s">
        <v>940</v>
      </c>
      <c r="M90" s="39" t="s">
        <v>972</v>
      </c>
      <c r="N90" s="38" t="s">
        <v>1241</v>
      </c>
      <c r="O90" s="38"/>
      <c r="P90" s="236"/>
      <c r="Q90" s="253" t="s">
        <v>517</v>
      </c>
      <c r="R90" s="237"/>
      <c r="S90" s="238" t="s">
        <v>1242</v>
      </c>
      <c r="T90" s="238" t="s">
        <v>1243</v>
      </c>
      <c r="U90" s="238" t="s">
        <v>1244</v>
      </c>
      <c r="V90" s="239">
        <f>20*4</f>
        <v>80</v>
      </c>
      <c r="W90" s="241" t="s">
        <v>1080</v>
      </c>
      <c r="X90" s="238" t="s">
        <v>1081</v>
      </c>
      <c r="Y90" s="238"/>
      <c r="Z90" s="241"/>
      <c r="AA90" s="241"/>
      <c r="AB90" s="241"/>
      <c r="AC90" s="241"/>
      <c r="AD90" s="241"/>
    </row>
    <row r="91" spans="1:30" ht="111.6" customHeight="1">
      <c r="A91" s="337"/>
      <c r="B91" s="328"/>
      <c r="C91" s="329"/>
      <c r="D91" s="339"/>
      <c r="E91" s="340"/>
      <c r="F91" s="33" t="s">
        <v>211</v>
      </c>
      <c r="G91" s="34" t="s">
        <v>1245</v>
      </c>
      <c r="H91" s="35" t="s">
        <v>445</v>
      </c>
      <c r="I91" s="35" t="s">
        <v>448</v>
      </c>
      <c r="J91" s="36" t="s">
        <v>1246</v>
      </c>
      <c r="K91" s="37"/>
      <c r="L91" s="38" t="s">
        <v>940</v>
      </c>
      <c r="M91" s="39" t="s">
        <v>972</v>
      </c>
      <c r="N91" s="38" t="s">
        <v>1247</v>
      </c>
      <c r="O91" s="38"/>
      <c r="P91" s="236"/>
      <c r="Q91" s="253" t="s">
        <v>461</v>
      </c>
      <c r="R91" s="237"/>
      <c r="S91" s="238" t="s">
        <v>1248</v>
      </c>
      <c r="T91" s="241">
        <v>4</v>
      </c>
      <c r="U91" s="241">
        <v>32</v>
      </c>
      <c r="V91" s="239">
        <v>32</v>
      </c>
      <c r="W91" s="241" t="s">
        <v>1080</v>
      </c>
      <c r="X91" s="238" t="s">
        <v>1081</v>
      </c>
      <c r="Y91" s="238"/>
      <c r="Z91" s="241"/>
      <c r="AA91" s="241"/>
      <c r="AB91" s="241"/>
      <c r="AC91" s="241"/>
      <c r="AD91" s="241"/>
    </row>
    <row r="92" spans="1:30" ht="78.599999999999994" customHeight="1">
      <c r="A92" s="337"/>
      <c r="B92" s="328"/>
      <c r="C92" s="329"/>
      <c r="D92" s="339"/>
      <c r="E92" s="340"/>
      <c r="F92" s="33" t="s">
        <v>212</v>
      </c>
      <c r="G92" s="34" t="s">
        <v>213</v>
      </c>
      <c r="H92" s="35" t="s">
        <v>445</v>
      </c>
      <c r="I92" s="35" t="s">
        <v>448</v>
      </c>
      <c r="J92" s="36" t="s">
        <v>987</v>
      </c>
      <c r="K92" s="44" t="s">
        <v>1249</v>
      </c>
      <c r="L92" s="41"/>
      <c r="M92" s="39"/>
      <c r="N92" s="38"/>
      <c r="O92" s="38"/>
      <c r="P92" s="236"/>
      <c r="Q92" s="39"/>
      <c r="R92" s="237"/>
      <c r="S92" s="238"/>
      <c r="T92" s="241"/>
      <c r="U92" s="241"/>
      <c r="V92" s="241"/>
      <c r="W92" s="241"/>
      <c r="X92" s="238"/>
      <c r="Y92" s="238"/>
      <c r="Z92" s="241"/>
      <c r="AA92" s="241"/>
      <c r="AB92" s="241"/>
      <c r="AC92" s="241"/>
      <c r="AD92" s="241"/>
    </row>
    <row r="93" spans="1:30" ht="75">
      <c r="A93" s="337"/>
      <c r="B93" s="328"/>
      <c r="C93" s="329"/>
      <c r="D93" s="339" t="s">
        <v>518</v>
      </c>
      <c r="E93" s="342" t="s">
        <v>214</v>
      </c>
      <c r="F93" s="343" t="s">
        <v>215</v>
      </c>
      <c r="G93" s="34" t="s">
        <v>216</v>
      </c>
      <c r="H93" s="35" t="s">
        <v>445</v>
      </c>
      <c r="I93" s="35" t="s">
        <v>446</v>
      </c>
      <c r="J93" s="36" t="str">
        <f t="shared" si="1"/>
        <v>Treballar amb l'autoritat competent per garantir objectius de conservació d’espècies i hàbitats en la revisió dels Plans de Gestió Cinegètica</v>
      </c>
      <c r="K93" s="37"/>
      <c r="L93" s="38" t="s">
        <v>940</v>
      </c>
      <c r="M93" s="39" t="s">
        <v>972</v>
      </c>
      <c r="N93" s="38" t="s">
        <v>1250</v>
      </c>
      <c r="O93" s="38"/>
      <c r="P93" s="236"/>
      <c r="Q93" s="39" t="s">
        <v>458</v>
      </c>
      <c r="R93" s="237"/>
      <c r="S93" s="238" t="s">
        <v>1251</v>
      </c>
      <c r="T93" s="242" t="s">
        <v>1042</v>
      </c>
      <c r="U93" s="242" t="s">
        <v>1252</v>
      </c>
      <c r="V93" s="239">
        <f>30*4</f>
        <v>120</v>
      </c>
      <c r="W93" s="250" t="s">
        <v>955</v>
      </c>
      <c r="X93" s="238" t="s">
        <v>956</v>
      </c>
      <c r="Y93" s="238"/>
      <c r="Z93" s="241"/>
      <c r="AA93" s="241"/>
      <c r="AB93" s="241"/>
      <c r="AC93" s="241"/>
      <c r="AD93" s="241"/>
    </row>
    <row r="94" spans="1:30" ht="60">
      <c r="A94" s="337"/>
      <c r="B94" s="328"/>
      <c r="C94" s="329"/>
      <c r="D94" s="339"/>
      <c r="E94" s="342"/>
      <c r="F94" s="343" t="s">
        <v>217</v>
      </c>
      <c r="G94" s="34" t="s">
        <v>218</v>
      </c>
      <c r="H94" s="35" t="s">
        <v>445</v>
      </c>
      <c r="I94" s="35" t="s">
        <v>446</v>
      </c>
      <c r="J94" s="36" t="str">
        <f t="shared" si="1"/>
        <v>Col·laborar en la regulació i ordenació de la caça i la pesca en zones sensibles o amb risc d'afectació d'elements clau objecte de conservació</v>
      </c>
      <c r="K94" s="37"/>
      <c r="L94" s="38" t="s">
        <v>940</v>
      </c>
      <c r="M94" s="39" t="s">
        <v>1004</v>
      </c>
      <c r="N94" s="38" t="s">
        <v>1253</v>
      </c>
      <c r="O94" s="38"/>
      <c r="P94" s="236"/>
      <c r="Q94" s="39" t="s">
        <v>458</v>
      </c>
      <c r="R94" s="237"/>
      <c r="S94" s="238" t="s">
        <v>1254</v>
      </c>
      <c r="T94" s="238" t="s">
        <v>1255</v>
      </c>
      <c r="U94" s="238" t="s">
        <v>1256</v>
      </c>
      <c r="V94" s="239">
        <v>10</v>
      </c>
      <c r="W94" s="250" t="s">
        <v>955</v>
      </c>
      <c r="X94" s="238" t="s">
        <v>956</v>
      </c>
      <c r="Y94" s="238"/>
      <c r="Z94" s="241"/>
      <c r="AA94" s="241"/>
      <c r="AB94" s="241"/>
      <c r="AC94" s="241"/>
      <c r="AD94" s="241"/>
    </row>
    <row r="95" spans="1:30" ht="60">
      <c r="A95" s="337"/>
      <c r="B95" s="344"/>
      <c r="C95" s="345"/>
      <c r="D95" s="339"/>
      <c r="E95" s="342"/>
      <c r="F95" s="33" t="s">
        <v>219</v>
      </c>
      <c r="G95" s="262" t="s">
        <v>220</v>
      </c>
      <c r="H95" s="35" t="s">
        <v>445</v>
      </c>
      <c r="I95" s="35" t="s">
        <v>446</v>
      </c>
      <c r="J95" s="36" t="s">
        <v>987</v>
      </c>
      <c r="K95" s="44" t="s">
        <v>1257</v>
      </c>
      <c r="L95" s="38"/>
      <c r="M95" s="39"/>
      <c r="N95" s="38"/>
      <c r="O95" s="38"/>
      <c r="P95" s="236"/>
      <c r="Q95" s="39"/>
      <c r="R95" s="237"/>
      <c r="S95" s="238"/>
      <c r="T95" s="241"/>
      <c r="U95" s="241"/>
      <c r="V95" s="241"/>
      <c r="W95" s="241"/>
      <c r="X95" s="238"/>
      <c r="Y95" s="238"/>
      <c r="Z95" s="241"/>
      <c r="AA95" s="241"/>
      <c r="AB95" s="241"/>
      <c r="AC95" s="241"/>
      <c r="AD95" s="241"/>
    </row>
    <row r="96" spans="1:30" ht="270">
      <c r="A96" s="53"/>
      <c r="B96" s="57">
        <v>9</v>
      </c>
      <c r="C96" s="58" t="s">
        <v>221</v>
      </c>
      <c r="D96" s="326" t="s">
        <v>519</v>
      </c>
      <c r="E96" s="327" t="s">
        <v>222</v>
      </c>
      <c r="F96" s="33" t="s">
        <v>223</v>
      </c>
      <c r="G96" s="34" t="s">
        <v>224</v>
      </c>
      <c r="H96" s="35" t="s">
        <v>445</v>
      </c>
      <c r="I96" s="35" t="s">
        <v>448</v>
      </c>
      <c r="J96" s="36" t="str">
        <f t="shared" si="1"/>
        <v>Desplegar la Carta Europea de Turisme Sostenible (CETS)</v>
      </c>
      <c r="K96" s="37"/>
      <c r="L96" s="38" t="s">
        <v>940</v>
      </c>
      <c r="M96" s="39" t="s">
        <v>950</v>
      </c>
      <c r="N96" s="38" t="s">
        <v>1258</v>
      </c>
      <c r="O96" s="38"/>
      <c r="P96" s="236"/>
      <c r="Q96" s="39" t="s">
        <v>461</v>
      </c>
      <c r="R96" s="237"/>
      <c r="S96" s="238" t="s">
        <v>1259</v>
      </c>
      <c r="T96" s="238" t="s">
        <v>1260</v>
      </c>
      <c r="U96" s="238" t="s">
        <v>1261</v>
      </c>
      <c r="V96" s="239">
        <f>80*4</f>
        <v>320</v>
      </c>
      <c r="W96" s="241" t="s">
        <v>1080</v>
      </c>
      <c r="X96" s="238" t="s">
        <v>1081</v>
      </c>
      <c r="Y96" s="238"/>
      <c r="Z96" s="241"/>
      <c r="AA96" s="241"/>
      <c r="AB96" s="241"/>
      <c r="AC96" s="241"/>
      <c r="AD96" s="241"/>
    </row>
    <row r="97" spans="1:30" ht="30">
      <c r="A97" s="53"/>
      <c r="B97" s="346"/>
      <c r="C97" s="347"/>
      <c r="D97" s="334"/>
      <c r="E97" s="335"/>
      <c r="F97" s="33" t="s">
        <v>225</v>
      </c>
      <c r="G97" s="34" t="s">
        <v>226</v>
      </c>
      <c r="H97" s="35" t="s">
        <v>445</v>
      </c>
      <c r="I97" s="35" t="s">
        <v>448</v>
      </c>
      <c r="J97" s="36" t="str">
        <f t="shared" si="1"/>
        <v>Tramitar la certificació Biosphere</v>
      </c>
      <c r="K97" s="37"/>
      <c r="L97" s="38"/>
      <c r="M97" s="39" t="s">
        <v>990</v>
      </c>
      <c r="N97" s="38" t="s">
        <v>1262</v>
      </c>
      <c r="O97" s="38"/>
      <c r="P97" s="236"/>
      <c r="Q97" s="39"/>
      <c r="R97" s="237"/>
      <c r="S97" s="238" t="s">
        <v>1263</v>
      </c>
      <c r="T97" s="241">
        <v>0</v>
      </c>
      <c r="U97" s="241">
        <v>1</v>
      </c>
      <c r="V97" s="239">
        <f>20*4</f>
        <v>80</v>
      </c>
      <c r="W97" s="241" t="s">
        <v>1080</v>
      </c>
      <c r="X97" s="238" t="s">
        <v>1081</v>
      </c>
      <c r="Y97" s="238"/>
      <c r="Z97" s="241"/>
      <c r="AA97" s="241"/>
      <c r="AB97" s="241"/>
      <c r="AC97" s="241"/>
      <c r="AD97" s="241"/>
    </row>
    <row r="98" spans="1:30" ht="75">
      <c r="A98" s="348"/>
      <c r="B98" s="346"/>
      <c r="C98" s="347"/>
      <c r="D98" s="326" t="s">
        <v>520</v>
      </c>
      <c r="E98" s="327" t="s">
        <v>227</v>
      </c>
      <c r="F98" s="33" t="s">
        <v>228</v>
      </c>
      <c r="G98" s="34" t="s">
        <v>229</v>
      </c>
      <c r="H98" s="35" t="s">
        <v>445</v>
      </c>
      <c r="I98" s="35" t="s">
        <v>448</v>
      </c>
      <c r="J98" s="36" t="str">
        <f t="shared" si="1"/>
        <v xml:space="preserve">Treballar amb les empreses turístiques per trobar eines de canvi cap a un model de turisme sostenible i de qualitat </v>
      </c>
      <c r="K98" s="37"/>
      <c r="L98" s="38" t="s">
        <v>940</v>
      </c>
      <c r="M98" s="39" t="s">
        <v>972</v>
      </c>
      <c r="N98" s="38" t="s">
        <v>1264</v>
      </c>
      <c r="O98" s="38"/>
      <c r="P98" s="236"/>
      <c r="Q98" s="39" t="s">
        <v>461</v>
      </c>
      <c r="R98" s="237"/>
      <c r="S98" s="238" t="s">
        <v>1265</v>
      </c>
      <c r="T98" s="238" t="s">
        <v>1266</v>
      </c>
      <c r="U98" s="238" t="s">
        <v>1267</v>
      </c>
      <c r="V98" s="239">
        <f>20*4</f>
        <v>80</v>
      </c>
      <c r="W98" s="241" t="s">
        <v>1080</v>
      </c>
      <c r="X98" s="238" t="s">
        <v>1081</v>
      </c>
      <c r="Y98" s="238"/>
      <c r="Z98" s="241"/>
      <c r="AA98" s="241"/>
      <c r="AB98" s="241"/>
      <c r="AC98" s="241"/>
      <c r="AD98" s="241"/>
    </row>
    <row r="99" spans="1:30" ht="90">
      <c r="A99" s="348"/>
      <c r="B99" s="346"/>
      <c r="C99" s="347"/>
      <c r="D99" s="334"/>
      <c r="E99" s="335"/>
      <c r="F99" s="33" t="s">
        <v>230</v>
      </c>
      <c r="G99" s="34" t="s">
        <v>231</v>
      </c>
      <c r="H99" s="35" t="s">
        <v>445</v>
      </c>
      <c r="I99" s="35" t="s">
        <v>448</v>
      </c>
      <c r="J99" s="36" t="str">
        <f t="shared" si="1"/>
        <v>Crear productes i paquets turístics amb associacions d’empreses turístiques i operadors turístics</v>
      </c>
      <c r="K99" s="37"/>
      <c r="L99" s="38" t="s">
        <v>940</v>
      </c>
      <c r="M99" s="39" t="s">
        <v>972</v>
      </c>
      <c r="N99" s="38" t="s">
        <v>1268</v>
      </c>
      <c r="O99" s="38"/>
      <c r="P99" s="236"/>
      <c r="Q99" s="39" t="s">
        <v>461</v>
      </c>
      <c r="R99" s="237"/>
      <c r="S99" s="238" t="s">
        <v>1269</v>
      </c>
      <c r="T99" s="238" t="s">
        <v>1270</v>
      </c>
      <c r="U99" s="238" t="s">
        <v>1271</v>
      </c>
      <c r="V99" s="239">
        <v>50</v>
      </c>
      <c r="W99" s="241" t="s">
        <v>1080</v>
      </c>
      <c r="X99" s="238" t="s">
        <v>1081</v>
      </c>
      <c r="Y99" s="238"/>
      <c r="Z99" s="241"/>
      <c r="AA99" s="241"/>
      <c r="AB99" s="241"/>
      <c r="AC99" s="241"/>
      <c r="AD99" s="241"/>
    </row>
    <row r="100" spans="1:30" ht="75">
      <c r="A100" s="59" t="s">
        <v>232</v>
      </c>
      <c r="B100" s="60">
        <v>10</v>
      </c>
      <c r="C100" s="61" t="s">
        <v>233</v>
      </c>
      <c r="D100" s="62" t="s">
        <v>521</v>
      </c>
      <c r="E100" s="63" t="s">
        <v>234</v>
      </c>
      <c r="F100" s="33" t="s">
        <v>235</v>
      </c>
      <c r="G100" s="34" t="s">
        <v>236</v>
      </c>
      <c r="H100" s="35" t="s">
        <v>445</v>
      </c>
      <c r="I100" s="35" t="s">
        <v>446</v>
      </c>
      <c r="J100" s="36" t="s">
        <v>987</v>
      </c>
      <c r="K100" s="44" t="s">
        <v>1272</v>
      </c>
      <c r="L100" s="64"/>
      <c r="M100" s="39"/>
      <c r="N100" s="64"/>
      <c r="O100" s="64"/>
      <c r="P100" s="349"/>
      <c r="Q100" s="39"/>
      <c r="R100" s="237" t="s">
        <v>522</v>
      </c>
      <c r="S100" s="238"/>
      <c r="T100" s="241"/>
      <c r="U100" s="241"/>
      <c r="V100" s="241"/>
      <c r="W100" s="241"/>
      <c r="X100" s="238"/>
      <c r="Y100" s="238"/>
      <c r="Z100" s="241"/>
      <c r="AA100" s="241"/>
      <c r="AB100" s="241"/>
      <c r="AC100" s="241"/>
      <c r="AD100" s="241"/>
    </row>
    <row r="101" spans="1:30" ht="105">
      <c r="A101" s="59"/>
      <c r="B101" s="65">
        <v>11</v>
      </c>
      <c r="C101" s="350" t="s">
        <v>237</v>
      </c>
      <c r="D101" s="351" t="s">
        <v>523</v>
      </c>
      <c r="E101" s="352" t="s">
        <v>238</v>
      </c>
      <c r="F101" s="33" t="s">
        <v>239</v>
      </c>
      <c r="G101" s="34" t="s">
        <v>240</v>
      </c>
      <c r="H101" s="35" t="s">
        <v>445</v>
      </c>
      <c r="I101" s="35" t="s">
        <v>446</v>
      </c>
      <c r="J101" s="36" t="s">
        <v>1273</v>
      </c>
      <c r="K101" s="260" t="s">
        <v>1274</v>
      </c>
      <c r="L101" s="38" t="s">
        <v>940</v>
      </c>
      <c r="M101" s="39" t="s">
        <v>950</v>
      </c>
      <c r="N101" s="36" t="s">
        <v>1275</v>
      </c>
      <c r="O101" s="36"/>
      <c r="P101" s="246"/>
      <c r="Q101" s="39"/>
      <c r="R101" s="237" t="s">
        <v>522</v>
      </c>
      <c r="S101" s="236" t="s">
        <v>1276</v>
      </c>
      <c r="T101" s="238" t="s">
        <v>1277</v>
      </c>
      <c r="U101" s="238" t="s">
        <v>1278</v>
      </c>
      <c r="V101" s="239">
        <v>220</v>
      </c>
      <c r="W101" s="238" t="s">
        <v>959</v>
      </c>
      <c r="X101" s="38" t="s">
        <v>1128</v>
      </c>
      <c r="Y101" s="38"/>
      <c r="Z101" s="241"/>
      <c r="AA101" s="241"/>
      <c r="AB101" s="241"/>
      <c r="AC101" s="241"/>
      <c r="AD101" s="241"/>
    </row>
    <row r="102" spans="1:30" ht="105">
      <c r="A102" s="59"/>
      <c r="B102" s="353"/>
      <c r="C102" s="354"/>
      <c r="D102" s="355"/>
      <c r="E102" s="356"/>
      <c r="F102" s="33" t="s">
        <v>241</v>
      </c>
      <c r="G102" s="34" t="s">
        <v>242</v>
      </c>
      <c r="H102" s="35" t="s">
        <v>445</v>
      </c>
      <c r="I102" s="35" t="s">
        <v>446</v>
      </c>
      <c r="J102" s="36" t="s">
        <v>1279</v>
      </c>
      <c r="K102" s="260" t="s">
        <v>1274</v>
      </c>
      <c r="L102" s="38" t="s">
        <v>940</v>
      </c>
      <c r="M102" s="39" t="s">
        <v>941</v>
      </c>
      <c r="N102" s="36" t="s">
        <v>1280</v>
      </c>
      <c r="O102" s="36"/>
      <c r="P102" s="246"/>
      <c r="Q102" s="39"/>
      <c r="R102" s="237" t="s">
        <v>522</v>
      </c>
      <c r="S102" s="236" t="s">
        <v>1276</v>
      </c>
      <c r="T102" s="238" t="s">
        <v>1277</v>
      </c>
      <c r="U102" s="238" t="s">
        <v>1278</v>
      </c>
      <c r="V102" s="239">
        <v>250</v>
      </c>
      <c r="W102" s="238" t="s">
        <v>959</v>
      </c>
      <c r="X102" s="38" t="s">
        <v>1128</v>
      </c>
      <c r="Y102" s="38"/>
      <c r="Z102" s="241"/>
      <c r="AA102" s="241"/>
      <c r="AB102" s="241"/>
      <c r="AC102" s="241"/>
      <c r="AD102" s="241"/>
    </row>
    <row r="103" spans="1:30" ht="105">
      <c r="A103" s="59"/>
      <c r="B103" s="353"/>
      <c r="C103" s="354"/>
      <c r="D103" s="355"/>
      <c r="E103" s="356"/>
      <c r="F103" s="33" t="s">
        <v>243</v>
      </c>
      <c r="G103" s="34" t="s">
        <v>244</v>
      </c>
      <c r="H103" s="35" t="s">
        <v>447</v>
      </c>
      <c r="I103" s="35" t="s">
        <v>446</v>
      </c>
      <c r="J103" s="36" t="s">
        <v>1281</v>
      </c>
      <c r="K103" s="260" t="s">
        <v>1274</v>
      </c>
      <c r="L103" s="38" t="s">
        <v>940</v>
      </c>
      <c r="M103" s="39" t="s">
        <v>941</v>
      </c>
      <c r="N103" s="36" t="s">
        <v>1282</v>
      </c>
      <c r="O103" s="36"/>
      <c r="P103" s="246"/>
      <c r="Q103" s="39"/>
      <c r="R103" s="237" t="s">
        <v>522</v>
      </c>
      <c r="S103" s="236" t="s">
        <v>1276</v>
      </c>
      <c r="T103" s="238" t="s">
        <v>1277</v>
      </c>
      <c r="U103" s="238" t="s">
        <v>1278</v>
      </c>
      <c r="V103" s="239">
        <v>400</v>
      </c>
      <c r="W103" s="238" t="s">
        <v>959</v>
      </c>
      <c r="X103" s="38" t="s">
        <v>1128</v>
      </c>
      <c r="Y103" s="38"/>
      <c r="Z103" s="241"/>
      <c r="AA103" s="241"/>
      <c r="AB103" s="241"/>
      <c r="AC103" s="241"/>
      <c r="AD103" s="241"/>
    </row>
    <row r="104" spans="1:30" ht="105">
      <c r="A104" s="59"/>
      <c r="B104" s="353"/>
      <c r="C104" s="357"/>
      <c r="D104" s="355"/>
      <c r="E104" s="356"/>
      <c r="F104" s="33" t="s">
        <v>245</v>
      </c>
      <c r="G104" s="34" t="s">
        <v>246</v>
      </c>
      <c r="H104" s="35" t="s">
        <v>445</v>
      </c>
      <c r="I104" s="35" t="s">
        <v>446</v>
      </c>
      <c r="J104" s="36" t="s">
        <v>1283</v>
      </c>
      <c r="K104" s="44" t="s">
        <v>1085</v>
      </c>
      <c r="L104" s="38" t="s">
        <v>940</v>
      </c>
      <c r="M104" s="39" t="s">
        <v>941</v>
      </c>
      <c r="N104" s="36" t="s">
        <v>1284</v>
      </c>
      <c r="O104" s="36"/>
      <c r="P104" s="246"/>
      <c r="Q104" s="39"/>
      <c r="R104" s="237" t="s">
        <v>522</v>
      </c>
      <c r="S104" s="236" t="s">
        <v>1276</v>
      </c>
      <c r="T104" s="238" t="s">
        <v>1277</v>
      </c>
      <c r="U104" s="238" t="s">
        <v>1278</v>
      </c>
      <c r="V104" s="239">
        <v>450</v>
      </c>
      <c r="W104" s="238" t="s">
        <v>959</v>
      </c>
      <c r="X104" s="38" t="s">
        <v>1128</v>
      </c>
      <c r="Y104" s="38"/>
      <c r="Z104" s="241"/>
      <c r="AA104" s="241"/>
      <c r="AB104" s="241"/>
      <c r="AC104" s="241"/>
      <c r="AD104" s="241"/>
    </row>
    <row r="105" spans="1:30" ht="105">
      <c r="A105" s="59"/>
      <c r="B105" s="358"/>
      <c r="C105" s="359"/>
      <c r="D105" s="355"/>
      <c r="E105" s="356"/>
      <c r="F105" s="33" t="s">
        <v>247</v>
      </c>
      <c r="G105" s="34" t="s">
        <v>248</v>
      </c>
      <c r="H105" s="35" t="s">
        <v>445</v>
      </c>
      <c r="I105" s="35" t="s">
        <v>446</v>
      </c>
      <c r="J105" s="36" t="s">
        <v>1285</v>
      </c>
      <c r="K105" s="44" t="s">
        <v>1085</v>
      </c>
      <c r="L105" s="38" t="s">
        <v>940</v>
      </c>
      <c r="M105" s="39" t="s">
        <v>972</v>
      </c>
      <c r="N105" s="36" t="s">
        <v>1286</v>
      </c>
      <c r="O105" s="36"/>
      <c r="P105" s="246"/>
      <c r="Q105" s="39"/>
      <c r="R105" s="237" t="s">
        <v>522</v>
      </c>
      <c r="S105" s="236" t="s">
        <v>1276</v>
      </c>
      <c r="T105" s="238" t="s">
        <v>1277</v>
      </c>
      <c r="U105" s="238" t="s">
        <v>1278</v>
      </c>
      <c r="V105" s="239">
        <v>200</v>
      </c>
      <c r="W105" s="238" t="s">
        <v>959</v>
      </c>
      <c r="X105" s="38" t="s">
        <v>1128</v>
      </c>
      <c r="Y105" s="38"/>
      <c r="Z105" s="241"/>
      <c r="AA105" s="241"/>
      <c r="AB105" s="241"/>
      <c r="AC105" s="241"/>
      <c r="AD105" s="241"/>
    </row>
    <row r="106" spans="1:30" ht="105">
      <c r="A106" s="59"/>
      <c r="B106" s="358"/>
      <c r="C106" s="359"/>
      <c r="D106" s="355"/>
      <c r="E106" s="356"/>
      <c r="F106" s="33" t="s">
        <v>249</v>
      </c>
      <c r="G106" s="34" t="s">
        <v>250</v>
      </c>
      <c r="H106" s="35" t="s">
        <v>445</v>
      </c>
      <c r="I106" s="35" t="s">
        <v>446</v>
      </c>
      <c r="J106" s="36" t="s">
        <v>1287</v>
      </c>
      <c r="K106" s="44" t="s">
        <v>1085</v>
      </c>
      <c r="L106" s="38" t="s">
        <v>940</v>
      </c>
      <c r="M106" s="39" t="s">
        <v>972</v>
      </c>
      <c r="N106" s="36" t="s">
        <v>1288</v>
      </c>
      <c r="O106" s="36"/>
      <c r="P106" s="246"/>
      <c r="Q106" s="39"/>
      <c r="R106" s="237" t="s">
        <v>522</v>
      </c>
      <c r="S106" s="236" t="s">
        <v>1276</v>
      </c>
      <c r="T106" s="238" t="s">
        <v>1277</v>
      </c>
      <c r="U106" s="238" t="s">
        <v>1278</v>
      </c>
      <c r="V106" s="239">
        <v>300</v>
      </c>
      <c r="W106" s="238" t="s">
        <v>959</v>
      </c>
      <c r="X106" s="38" t="s">
        <v>1128</v>
      </c>
      <c r="Y106" s="38"/>
      <c r="Z106" s="241"/>
      <c r="AA106" s="241"/>
      <c r="AB106" s="241"/>
      <c r="AC106" s="241"/>
      <c r="AD106" s="241"/>
    </row>
    <row r="107" spans="1:30" ht="90">
      <c r="A107" s="59"/>
      <c r="B107" s="353"/>
      <c r="C107" s="357"/>
      <c r="D107" s="355"/>
      <c r="E107" s="356"/>
      <c r="F107" s="33" t="s">
        <v>251</v>
      </c>
      <c r="G107" s="34" t="s">
        <v>252</v>
      </c>
      <c r="H107" s="35" t="s">
        <v>447</v>
      </c>
      <c r="I107" s="35" t="s">
        <v>446</v>
      </c>
      <c r="J107" s="36" t="s">
        <v>1289</v>
      </c>
      <c r="K107" s="44" t="s">
        <v>1085</v>
      </c>
      <c r="L107" s="38" t="s">
        <v>940</v>
      </c>
      <c r="M107" s="39" t="s">
        <v>950</v>
      </c>
      <c r="N107" s="36" t="s">
        <v>1290</v>
      </c>
      <c r="O107" s="36"/>
      <c r="P107" s="246"/>
      <c r="Q107" s="39"/>
      <c r="R107" s="237" t="s">
        <v>522</v>
      </c>
      <c r="S107" s="236" t="s">
        <v>1276</v>
      </c>
      <c r="T107" s="238" t="s">
        <v>1277</v>
      </c>
      <c r="U107" s="238" t="s">
        <v>1278</v>
      </c>
      <c r="V107" s="239">
        <v>200</v>
      </c>
      <c r="W107" s="238" t="s">
        <v>959</v>
      </c>
      <c r="X107" s="38" t="s">
        <v>1128</v>
      </c>
      <c r="Y107" s="38"/>
      <c r="Z107" s="241"/>
      <c r="AA107" s="241"/>
      <c r="AB107" s="241"/>
      <c r="AC107" s="241"/>
      <c r="AD107" s="241"/>
    </row>
    <row r="108" spans="1:30" ht="105">
      <c r="A108" s="59"/>
      <c r="B108" s="353"/>
      <c r="C108" s="357"/>
      <c r="D108" s="355"/>
      <c r="E108" s="356"/>
      <c r="F108" s="33" t="s">
        <v>253</v>
      </c>
      <c r="G108" s="34" t="s">
        <v>254</v>
      </c>
      <c r="H108" s="35" t="s">
        <v>447</v>
      </c>
      <c r="I108" s="35" t="s">
        <v>446</v>
      </c>
      <c r="J108" s="36" t="s">
        <v>1291</v>
      </c>
      <c r="K108" s="44" t="s">
        <v>1085</v>
      </c>
      <c r="L108" s="38" t="s">
        <v>940</v>
      </c>
      <c r="M108" s="39" t="s">
        <v>972</v>
      </c>
      <c r="N108" s="36" t="s">
        <v>1292</v>
      </c>
      <c r="O108" s="36"/>
      <c r="P108" s="246"/>
      <c r="Q108" s="39"/>
      <c r="R108" s="237" t="s">
        <v>522</v>
      </c>
      <c r="S108" s="236" t="s">
        <v>1276</v>
      </c>
      <c r="T108" s="238" t="s">
        <v>1277</v>
      </c>
      <c r="U108" s="238" t="s">
        <v>1278</v>
      </c>
      <c r="V108" s="239">
        <v>200</v>
      </c>
      <c r="W108" s="238" t="s">
        <v>959</v>
      </c>
      <c r="X108" s="38" t="s">
        <v>1128</v>
      </c>
      <c r="Y108" s="38"/>
      <c r="Z108" s="241"/>
      <c r="AA108" s="241"/>
      <c r="AB108" s="241"/>
      <c r="AC108" s="241"/>
      <c r="AD108" s="241"/>
    </row>
    <row r="109" spans="1:30">
      <c r="A109" s="59"/>
      <c r="B109" s="353"/>
      <c r="C109" s="357"/>
      <c r="D109" s="355"/>
      <c r="E109" s="356"/>
      <c r="F109" s="33" t="s">
        <v>255</v>
      </c>
      <c r="G109" s="34" t="s">
        <v>256</v>
      </c>
      <c r="H109" s="35" t="s">
        <v>447</v>
      </c>
      <c r="I109" s="35" t="s">
        <v>446</v>
      </c>
      <c r="J109" s="36" t="s">
        <v>987</v>
      </c>
      <c r="K109" s="37" t="s">
        <v>1293</v>
      </c>
      <c r="L109" s="36"/>
      <c r="M109" s="39"/>
      <c r="N109" s="36"/>
      <c r="O109" s="36"/>
      <c r="P109" s="246"/>
      <c r="Q109" s="39"/>
      <c r="R109" s="237" t="s">
        <v>522</v>
      </c>
      <c r="S109" s="238"/>
      <c r="T109" s="241"/>
      <c r="U109" s="241"/>
      <c r="V109" s="360"/>
      <c r="W109" s="238" t="s">
        <v>959</v>
      </c>
      <c r="X109" s="38" t="s">
        <v>1294</v>
      </c>
      <c r="Y109" s="38"/>
      <c r="Z109" s="241"/>
      <c r="AA109" s="241"/>
      <c r="AB109" s="241"/>
      <c r="AC109" s="241"/>
      <c r="AD109" s="241"/>
    </row>
    <row r="110" spans="1:30" ht="30">
      <c r="A110" s="59"/>
      <c r="B110" s="353"/>
      <c r="C110" s="357"/>
      <c r="D110" s="355"/>
      <c r="E110" s="356"/>
      <c r="F110" s="33" t="s">
        <v>257</v>
      </c>
      <c r="G110" s="34" t="s">
        <v>258</v>
      </c>
      <c r="H110" s="35" t="s">
        <v>447</v>
      </c>
      <c r="I110" s="35" t="s">
        <v>446</v>
      </c>
      <c r="J110" s="36" t="s">
        <v>987</v>
      </c>
      <c r="K110" s="37" t="s">
        <v>1293</v>
      </c>
      <c r="L110" s="36"/>
      <c r="M110" s="39"/>
      <c r="N110" s="36"/>
      <c r="O110" s="36"/>
      <c r="P110" s="246"/>
      <c r="Q110" s="39"/>
      <c r="R110" s="237" t="s">
        <v>522</v>
      </c>
      <c r="S110" s="238"/>
      <c r="T110" s="241"/>
      <c r="U110" s="241"/>
      <c r="V110" s="360"/>
      <c r="W110" s="238" t="s">
        <v>959</v>
      </c>
      <c r="X110" s="38" t="s">
        <v>1294</v>
      </c>
      <c r="Y110" s="38"/>
      <c r="Z110" s="241"/>
      <c r="AA110" s="241"/>
      <c r="AB110" s="241"/>
      <c r="AC110" s="241"/>
      <c r="AD110" s="241"/>
    </row>
    <row r="111" spans="1:30" ht="105">
      <c r="A111" s="59"/>
      <c r="B111" s="353"/>
      <c r="C111" s="357"/>
      <c r="D111" s="355"/>
      <c r="E111" s="356"/>
      <c r="F111" s="33" t="s">
        <v>259</v>
      </c>
      <c r="G111" s="34" t="s">
        <v>260</v>
      </c>
      <c r="H111" s="35" t="s">
        <v>445</v>
      </c>
      <c r="I111" s="35" t="s">
        <v>446</v>
      </c>
      <c r="J111" s="36" t="s">
        <v>1295</v>
      </c>
      <c r="K111" s="44" t="s">
        <v>1085</v>
      </c>
      <c r="L111" s="38" t="s">
        <v>940</v>
      </c>
      <c r="M111" s="39" t="s">
        <v>950</v>
      </c>
      <c r="N111" s="36" t="s">
        <v>1296</v>
      </c>
      <c r="O111" s="36"/>
      <c r="P111" s="246"/>
      <c r="Q111" s="39"/>
      <c r="R111" s="237" t="s">
        <v>522</v>
      </c>
      <c r="S111" s="236" t="s">
        <v>1276</v>
      </c>
      <c r="T111" s="238" t="s">
        <v>1277</v>
      </c>
      <c r="U111" s="238" t="s">
        <v>1278</v>
      </c>
      <c r="V111" s="239">
        <v>150</v>
      </c>
      <c r="W111" s="238" t="s">
        <v>959</v>
      </c>
      <c r="X111" s="38" t="s">
        <v>1154</v>
      </c>
      <c r="Y111" s="38"/>
      <c r="Z111" s="241"/>
      <c r="AA111" s="241"/>
      <c r="AB111" s="241"/>
      <c r="AC111" s="241"/>
      <c r="AD111" s="241"/>
    </row>
    <row r="112" spans="1:30" ht="90">
      <c r="A112" s="59"/>
      <c r="B112" s="353"/>
      <c r="C112" s="357"/>
      <c r="D112" s="361"/>
      <c r="E112" s="362"/>
      <c r="F112" s="33" t="s">
        <v>261</v>
      </c>
      <c r="G112" s="34" t="s">
        <v>262</v>
      </c>
      <c r="H112" s="35" t="s">
        <v>445</v>
      </c>
      <c r="I112" s="35" t="s">
        <v>446</v>
      </c>
      <c r="J112" s="36" t="s">
        <v>1297</v>
      </c>
      <c r="K112" s="44" t="s">
        <v>1085</v>
      </c>
      <c r="L112" s="38" t="s">
        <v>940</v>
      </c>
      <c r="M112" s="39" t="s">
        <v>972</v>
      </c>
      <c r="N112" s="36" t="s">
        <v>1298</v>
      </c>
      <c r="O112" s="36"/>
      <c r="P112" s="246"/>
      <c r="Q112" s="39"/>
      <c r="R112" s="237" t="s">
        <v>522</v>
      </c>
      <c r="S112" s="236" t="s">
        <v>1276</v>
      </c>
      <c r="T112" s="238" t="s">
        <v>1277</v>
      </c>
      <c r="U112" s="238" t="s">
        <v>1278</v>
      </c>
      <c r="V112" s="239">
        <v>150</v>
      </c>
      <c r="W112" s="241" t="s">
        <v>1068</v>
      </c>
      <c r="X112" s="38" t="s">
        <v>1154</v>
      </c>
      <c r="Y112" s="38"/>
      <c r="Z112" s="241"/>
      <c r="AA112" s="241"/>
      <c r="AB112" s="241"/>
      <c r="AC112" s="241"/>
      <c r="AD112" s="241"/>
    </row>
    <row r="113" spans="1:30" ht="135">
      <c r="A113" s="59"/>
      <c r="B113" s="353"/>
      <c r="C113" s="357"/>
      <c r="D113" s="351" t="s">
        <v>524</v>
      </c>
      <c r="E113" s="363" t="s">
        <v>263</v>
      </c>
      <c r="F113" s="35" t="s">
        <v>264</v>
      </c>
      <c r="G113" s="34" t="s">
        <v>265</v>
      </c>
      <c r="H113" s="35" t="s">
        <v>445</v>
      </c>
      <c r="I113" s="35" t="s">
        <v>446</v>
      </c>
      <c r="J113" s="36" t="str">
        <f t="shared" si="1"/>
        <v xml:space="preserve">Identificar i classificar la xarxa viària bàsica, secundària, senders i itineraris senyalitzats d'acord amb els ajuntaments </v>
      </c>
      <c r="K113" s="37"/>
      <c r="L113" s="38" t="s">
        <v>940</v>
      </c>
      <c r="M113" s="39" t="s">
        <v>972</v>
      </c>
      <c r="N113" s="38" t="s">
        <v>1299</v>
      </c>
      <c r="O113" s="38"/>
      <c r="P113" s="236"/>
      <c r="Q113" s="39"/>
      <c r="R113" s="36" t="s">
        <v>525</v>
      </c>
      <c r="S113" s="238" t="s">
        <v>1300</v>
      </c>
      <c r="T113" s="238" t="s">
        <v>1301</v>
      </c>
      <c r="U113" s="238" t="s">
        <v>1302</v>
      </c>
      <c r="V113" s="239">
        <v>250</v>
      </c>
      <c r="W113" s="238" t="s">
        <v>959</v>
      </c>
      <c r="X113" s="38" t="s">
        <v>1154</v>
      </c>
      <c r="Y113" s="38"/>
      <c r="Z113" s="241"/>
      <c r="AA113" s="241"/>
      <c r="AB113" s="241"/>
      <c r="AC113" s="241"/>
      <c r="AD113" s="241"/>
    </row>
    <row r="114" spans="1:30" ht="75">
      <c r="A114" s="59"/>
      <c r="B114" s="353"/>
      <c r="C114" s="357"/>
      <c r="D114" s="361"/>
      <c r="E114" s="364"/>
      <c r="F114" s="35" t="s">
        <v>266</v>
      </c>
      <c r="G114" s="34" t="s">
        <v>267</v>
      </c>
      <c r="H114" s="35" t="s">
        <v>445</v>
      </c>
      <c r="I114" s="35" t="s">
        <v>446</v>
      </c>
      <c r="J114" s="273" t="s">
        <v>1303</v>
      </c>
      <c r="K114" s="37" t="s">
        <v>1304</v>
      </c>
      <c r="L114" s="38" t="s">
        <v>940</v>
      </c>
      <c r="M114" s="39" t="s">
        <v>950</v>
      </c>
      <c r="N114" s="38" t="s">
        <v>1305</v>
      </c>
      <c r="O114" s="38"/>
      <c r="P114" s="236"/>
      <c r="Q114" s="39"/>
      <c r="R114" s="36" t="s">
        <v>526</v>
      </c>
      <c r="S114" s="238" t="s">
        <v>1306</v>
      </c>
      <c r="T114" s="241">
        <v>1</v>
      </c>
      <c r="U114" s="241">
        <v>8</v>
      </c>
      <c r="V114" s="239">
        <f>10*4</f>
        <v>40</v>
      </c>
      <c r="W114" s="238" t="s">
        <v>1307</v>
      </c>
      <c r="X114" s="238" t="s">
        <v>1081</v>
      </c>
      <c r="Y114" s="238"/>
      <c r="Z114" s="241"/>
      <c r="AA114" s="241"/>
      <c r="AB114" s="241"/>
      <c r="AC114" s="241"/>
      <c r="AD114" s="241"/>
    </row>
    <row r="115" spans="1:30" ht="75">
      <c r="A115" s="59"/>
      <c r="B115" s="353"/>
      <c r="C115" s="357"/>
      <c r="D115" s="351" t="s">
        <v>527</v>
      </c>
      <c r="E115" s="352" t="s">
        <v>268</v>
      </c>
      <c r="F115" s="33" t="s">
        <v>269</v>
      </c>
      <c r="G115" s="34" t="s">
        <v>270</v>
      </c>
      <c r="H115" s="35" t="s">
        <v>445</v>
      </c>
      <c r="I115" s="35" t="s">
        <v>446</v>
      </c>
      <c r="J115" s="36" t="s">
        <v>1308</v>
      </c>
      <c r="K115" s="44" t="s">
        <v>1085</v>
      </c>
      <c r="L115" s="38" t="s">
        <v>940</v>
      </c>
      <c r="M115" s="39" t="s">
        <v>941</v>
      </c>
      <c r="N115" s="36" t="s">
        <v>1309</v>
      </c>
      <c r="O115" s="36"/>
      <c r="P115" s="246"/>
      <c r="Q115" s="39"/>
      <c r="R115" s="237" t="s">
        <v>522</v>
      </c>
      <c r="S115" s="238" t="s">
        <v>1310</v>
      </c>
      <c r="T115" s="241">
        <v>1</v>
      </c>
      <c r="U115" s="241">
        <v>6</v>
      </c>
      <c r="V115" s="239">
        <f>10*4</f>
        <v>40</v>
      </c>
      <c r="W115" s="241" t="s">
        <v>1068</v>
      </c>
      <c r="X115" s="238" t="s">
        <v>1311</v>
      </c>
      <c r="Y115" s="238"/>
      <c r="Z115" s="241"/>
      <c r="AA115" s="241"/>
      <c r="AB115" s="241"/>
      <c r="AC115" s="241"/>
      <c r="AD115" s="241"/>
    </row>
    <row r="116" spans="1:30" ht="45">
      <c r="A116" s="59"/>
      <c r="B116" s="353"/>
      <c r="C116" s="357"/>
      <c r="D116" s="355"/>
      <c r="E116" s="356"/>
      <c r="F116" s="33" t="s">
        <v>271</v>
      </c>
      <c r="G116" s="34" t="s">
        <v>272</v>
      </c>
      <c r="H116" s="35" t="s">
        <v>445</v>
      </c>
      <c r="I116" s="35" t="s">
        <v>446</v>
      </c>
      <c r="J116" s="36" t="s">
        <v>1312</v>
      </c>
      <c r="K116" s="44" t="s">
        <v>1085</v>
      </c>
      <c r="L116" s="38" t="s">
        <v>940</v>
      </c>
      <c r="M116" s="39" t="s">
        <v>972</v>
      </c>
      <c r="N116" s="36" t="s">
        <v>1313</v>
      </c>
      <c r="O116" s="36"/>
      <c r="P116" s="246"/>
      <c r="Q116" s="39"/>
      <c r="R116" s="237" t="s">
        <v>522</v>
      </c>
      <c r="S116" s="238" t="s">
        <v>1314</v>
      </c>
      <c r="T116" s="241">
        <v>1</v>
      </c>
      <c r="U116" s="241">
        <v>1</v>
      </c>
      <c r="V116" s="239">
        <v>180</v>
      </c>
      <c r="W116" s="241" t="s">
        <v>985</v>
      </c>
      <c r="X116" s="238" t="s">
        <v>986</v>
      </c>
      <c r="Y116" s="238"/>
      <c r="Z116" s="241"/>
      <c r="AA116" s="241"/>
      <c r="AB116" s="241"/>
      <c r="AC116" s="241"/>
      <c r="AD116" s="241"/>
    </row>
    <row r="117" spans="1:30" ht="105">
      <c r="A117" s="59"/>
      <c r="B117" s="353"/>
      <c r="C117" s="357"/>
      <c r="D117" s="355"/>
      <c r="E117" s="356"/>
      <c r="F117" s="33" t="s">
        <v>273</v>
      </c>
      <c r="G117" s="34" t="s">
        <v>274</v>
      </c>
      <c r="H117" s="35" t="s">
        <v>447</v>
      </c>
      <c r="I117" s="35" t="s">
        <v>446</v>
      </c>
      <c r="J117" s="36" t="s">
        <v>1315</v>
      </c>
      <c r="K117" s="44" t="s">
        <v>1085</v>
      </c>
      <c r="L117" s="38" t="s">
        <v>940</v>
      </c>
      <c r="M117" s="39" t="s">
        <v>972</v>
      </c>
      <c r="N117" s="36" t="s">
        <v>1316</v>
      </c>
      <c r="O117" s="36"/>
      <c r="P117" s="246"/>
      <c r="Q117" s="39"/>
      <c r="R117" s="237" t="s">
        <v>522</v>
      </c>
      <c r="S117" s="238" t="s">
        <v>1317</v>
      </c>
      <c r="T117" s="238" t="s">
        <v>1277</v>
      </c>
      <c r="U117" s="238" t="s">
        <v>1278</v>
      </c>
      <c r="V117" s="239">
        <v>200</v>
      </c>
      <c r="W117" s="238" t="s">
        <v>959</v>
      </c>
      <c r="X117" s="38" t="s">
        <v>1154</v>
      </c>
      <c r="Y117" s="38"/>
      <c r="Z117" s="241"/>
      <c r="AA117" s="241"/>
      <c r="AB117" s="241"/>
      <c r="AC117" s="241"/>
      <c r="AD117" s="241"/>
    </row>
    <row r="118" spans="1:30" ht="105">
      <c r="A118" s="59"/>
      <c r="B118" s="353"/>
      <c r="C118" s="357"/>
      <c r="D118" s="355"/>
      <c r="E118" s="356"/>
      <c r="F118" s="33" t="s">
        <v>275</v>
      </c>
      <c r="G118" s="34" t="s">
        <v>276</v>
      </c>
      <c r="H118" s="35" t="s">
        <v>445</v>
      </c>
      <c r="I118" s="35" t="s">
        <v>446</v>
      </c>
      <c r="J118" s="36" t="str">
        <f t="shared" si="1"/>
        <v>Aplicar limitacions temporals d'accés o circulació</v>
      </c>
      <c r="K118" s="37"/>
      <c r="L118" s="38" t="s">
        <v>940</v>
      </c>
      <c r="M118" s="39" t="s">
        <v>972</v>
      </c>
      <c r="N118" s="36" t="s">
        <v>1318</v>
      </c>
      <c r="O118" s="36"/>
      <c r="P118" s="246"/>
      <c r="Q118" s="39"/>
      <c r="R118" s="237" t="s">
        <v>522</v>
      </c>
      <c r="S118" s="238" t="s">
        <v>1319</v>
      </c>
      <c r="T118" s="238" t="s">
        <v>1320</v>
      </c>
      <c r="U118" s="238" t="s">
        <v>1321</v>
      </c>
      <c r="V118" s="239">
        <v>150</v>
      </c>
      <c r="W118" s="238" t="s">
        <v>959</v>
      </c>
      <c r="X118" s="38" t="s">
        <v>1154</v>
      </c>
      <c r="Y118" s="38"/>
      <c r="Z118" s="241"/>
      <c r="AA118" s="241"/>
      <c r="AB118" s="241"/>
      <c r="AC118" s="241"/>
      <c r="AD118" s="241"/>
    </row>
    <row r="119" spans="1:30" ht="45">
      <c r="A119" s="59"/>
      <c r="B119" s="353"/>
      <c r="C119" s="357"/>
      <c r="D119" s="361"/>
      <c r="E119" s="362"/>
      <c r="F119" s="33" t="s">
        <v>277</v>
      </c>
      <c r="G119" s="34" t="s">
        <v>278</v>
      </c>
      <c r="H119" s="35" t="s">
        <v>445</v>
      </c>
      <c r="I119" s="35" t="s">
        <v>446</v>
      </c>
      <c r="J119" s="36" t="s">
        <v>1322</v>
      </c>
      <c r="K119" s="44" t="s">
        <v>1085</v>
      </c>
      <c r="L119" s="38" t="s">
        <v>940</v>
      </c>
      <c r="M119" s="39" t="s">
        <v>972</v>
      </c>
      <c r="N119" s="36" t="s">
        <v>1323</v>
      </c>
      <c r="O119" s="36"/>
      <c r="P119" s="246"/>
      <c r="Q119" s="39"/>
      <c r="R119" s="237" t="s">
        <v>522</v>
      </c>
      <c r="S119" s="238" t="s">
        <v>1324</v>
      </c>
      <c r="T119" s="241">
        <v>4</v>
      </c>
      <c r="U119" s="241">
        <v>8</v>
      </c>
      <c r="V119" s="239">
        <v>250</v>
      </c>
      <c r="W119" s="241" t="s">
        <v>1325</v>
      </c>
      <c r="X119" s="238" t="s">
        <v>1326</v>
      </c>
      <c r="Y119" s="238"/>
      <c r="Z119" s="241"/>
      <c r="AA119" s="241"/>
      <c r="AB119" s="241"/>
      <c r="AC119" s="241"/>
      <c r="AD119" s="241"/>
    </row>
    <row r="120" spans="1:30" ht="180">
      <c r="A120" s="59"/>
      <c r="B120" s="353"/>
      <c r="C120" s="357"/>
      <c r="D120" s="351" t="s">
        <v>528</v>
      </c>
      <c r="E120" s="352" t="s">
        <v>279</v>
      </c>
      <c r="F120" s="33" t="s">
        <v>280</v>
      </c>
      <c r="G120" s="34" t="s">
        <v>281</v>
      </c>
      <c r="H120" s="35" t="s">
        <v>445</v>
      </c>
      <c r="I120" s="35" t="s">
        <v>446</v>
      </c>
      <c r="J120" s="36" t="str">
        <f t="shared" si="1"/>
        <v>Implementar l'ordenació de l'ús públic en col·laboració amb els agents del territori</v>
      </c>
      <c r="K120" s="37"/>
      <c r="L120" s="38" t="s">
        <v>940</v>
      </c>
      <c r="M120" s="39" t="s">
        <v>941</v>
      </c>
      <c r="N120" s="38" t="s">
        <v>1327</v>
      </c>
      <c r="O120" s="38"/>
      <c r="P120" s="38" t="s">
        <v>1328</v>
      </c>
      <c r="Q120" s="39"/>
      <c r="R120" s="237"/>
      <c r="S120" s="238" t="s">
        <v>1329</v>
      </c>
      <c r="T120" s="238" t="s">
        <v>1330</v>
      </c>
      <c r="U120" s="238" t="s">
        <v>1331</v>
      </c>
      <c r="V120" s="239">
        <f>20*4</f>
        <v>80</v>
      </c>
      <c r="W120" s="241" t="s">
        <v>1068</v>
      </c>
      <c r="X120" s="238" t="s">
        <v>1081</v>
      </c>
      <c r="Y120" s="238"/>
      <c r="Z120" s="241"/>
      <c r="AA120" s="241"/>
      <c r="AB120" s="241"/>
      <c r="AC120" s="241"/>
      <c r="AD120" s="241"/>
    </row>
    <row r="121" spans="1:30" ht="75">
      <c r="A121" s="59"/>
      <c r="B121" s="353"/>
      <c r="C121" s="357"/>
      <c r="D121" s="361"/>
      <c r="E121" s="362"/>
      <c r="F121" s="33" t="s">
        <v>282</v>
      </c>
      <c r="G121" s="34" t="s">
        <v>283</v>
      </c>
      <c r="H121" s="35" t="s">
        <v>445</v>
      </c>
      <c r="I121" s="35" t="s">
        <v>446</v>
      </c>
      <c r="J121" s="36" t="str">
        <f t="shared" si="1"/>
        <v>Promoció i acompanyament en l'ordenació de l'ús públic de l'ENP des de l'àmbit municipal</v>
      </c>
      <c r="K121" s="37"/>
      <c r="L121" s="38" t="s">
        <v>940</v>
      </c>
      <c r="M121" s="39" t="s">
        <v>950</v>
      </c>
      <c r="N121" s="66" t="s">
        <v>1332</v>
      </c>
      <c r="O121" s="365" t="s">
        <v>1328</v>
      </c>
      <c r="Q121" s="39"/>
      <c r="R121" s="237"/>
      <c r="S121" s="238" t="s">
        <v>1333</v>
      </c>
      <c r="T121" s="241">
        <v>1</v>
      </c>
      <c r="U121" s="241">
        <v>7</v>
      </c>
      <c r="V121" s="239">
        <f>20*4</f>
        <v>80</v>
      </c>
      <c r="W121" s="241" t="s">
        <v>1068</v>
      </c>
      <c r="X121" s="238" t="s">
        <v>1081</v>
      </c>
      <c r="Y121" s="238"/>
      <c r="Z121" s="241"/>
      <c r="AA121" s="241"/>
      <c r="AB121" s="241"/>
      <c r="AC121" s="241"/>
      <c r="AD121" s="241"/>
    </row>
    <row r="122" spans="1:30" ht="30">
      <c r="A122" s="59"/>
      <c r="B122" s="353"/>
      <c r="C122" s="357"/>
      <c r="D122" s="351" t="s">
        <v>529</v>
      </c>
      <c r="E122" s="352" t="s">
        <v>284</v>
      </c>
      <c r="F122" s="33" t="s">
        <v>285</v>
      </c>
      <c r="G122" s="34" t="s">
        <v>286</v>
      </c>
      <c r="H122" s="35" t="s">
        <v>445</v>
      </c>
      <c r="I122" s="35" t="s">
        <v>446</v>
      </c>
      <c r="J122" s="36" t="str">
        <f t="shared" si="1"/>
        <v>Realitzar l'inventari de senyalètica de l'ENP</v>
      </c>
      <c r="K122" s="37"/>
      <c r="L122" s="38" t="s">
        <v>940</v>
      </c>
      <c r="M122" s="39" t="s">
        <v>950</v>
      </c>
      <c r="N122" s="38" t="s">
        <v>1334</v>
      </c>
      <c r="O122" s="38"/>
      <c r="P122" s="236"/>
      <c r="Q122" s="39"/>
      <c r="R122" s="237"/>
      <c r="S122" s="238" t="s">
        <v>1335</v>
      </c>
      <c r="T122" s="241">
        <v>25</v>
      </c>
      <c r="U122" s="241">
        <v>5</v>
      </c>
      <c r="V122" s="239">
        <v>180</v>
      </c>
      <c r="W122" s="241" t="s">
        <v>1325</v>
      </c>
      <c r="X122" s="238" t="s">
        <v>1326</v>
      </c>
      <c r="Y122" s="238"/>
      <c r="Z122" s="241"/>
      <c r="AA122" s="241"/>
      <c r="AB122" s="241"/>
      <c r="AC122" s="241"/>
      <c r="AD122" s="241"/>
    </row>
    <row r="123" spans="1:30" ht="45">
      <c r="A123" s="59"/>
      <c r="B123" s="353"/>
      <c r="C123" s="357"/>
      <c r="D123" s="361"/>
      <c r="E123" s="362"/>
      <c r="F123" s="33" t="s">
        <v>287</v>
      </c>
      <c r="G123" s="34" t="s">
        <v>288</v>
      </c>
      <c r="H123" s="35" t="s">
        <v>445</v>
      </c>
      <c r="I123" s="35" t="s">
        <v>446</v>
      </c>
      <c r="J123" s="36" t="str">
        <f t="shared" si="1"/>
        <v xml:space="preserve">Implantar el programa de senyalització i manteniment </v>
      </c>
      <c r="K123" s="37"/>
      <c r="L123" s="38" t="s">
        <v>940</v>
      </c>
      <c r="M123" s="39" t="s">
        <v>972</v>
      </c>
      <c r="N123" s="38" t="s">
        <v>1336</v>
      </c>
      <c r="O123" s="38"/>
      <c r="P123" s="236"/>
      <c r="Q123" s="253" t="s">
        <v>465</v>
      </c>
      <c r="R123" s="36" t="s">
        <v>530</v>
      </c>
      <c r="S123" s="238" t="s">
        <v>1337</v>
      </c>
      <c r="T123" s="241">
        <v>90</v>
      </c>
      <c r="U123" s="241">
        <v>100</v>
      </c>
      <c r="V123" s="239">
        <v>130</v>
      </c>
      <c r="W123" s="241" t="s">
        <v>1325</v>
      </c>
      <c r="X123" s="238" t="s">
        <v>1326</v>
      </c>
      <c r="Y123" s="238"/>
      <c r="Z123" s="241"/>
      <c r="AA123" s="241"/>
      <c r="AB123" s="241"/>
      <c r="AC123" s="241"/>
      <c r="AD123" s="241"/>
    </row>
    <row r="124" spans="1:30" ht="45">
      <c r="A124" s="59"/>
      <c r="B124" s="353"/>
      <c r="C124" s="357"/>
      <c r="D124" s="351" t="s">
        <v>531</v>
      </c>
      <c r="E124" s="352" t="s">
        <v>289</v>
      </c>
      <c r="F124" s="33" t="s">
        <v>290</v>
      </c>
      <c r="G124" s="34" t="s">
        <v>291</v>
      </c>
      <c r="H124" s="35" t="s">
        <v>445</v>
      </c>
      <c r="I124" s="35" t="s">
        <v>448</v>
      </c>
      <c r="J124" s="36" t="str">
        <f t="shared" si="1"/>
        <v xml:space="preserve">Potenciar la visita a espais alternatius dins de l'àmbit d'influència de l'espai natural per reduir la pressió en zones sensibles </v>
      </c>
      <c r="K124" s="37"/>
      <c r="L124" s="38" t="s">
        <v>940</v>
      </c>
      <c r="M124" s="39" t="s">
        <v>972</v>
      </c>
      <c r="N124" s="38" t="s">
        <v>1338</v>
      </c>
      <c r="O124" s="38"/>
      <c r="P124" s="236"/>
      <c r="Q124" s="39"/>
      <c r="R124" s="237"/>
      <c r="S124" s="238" t="s">
        <v>1339</v>
      </c>
      <c r="T124" s="241">
        <v>1</v>
      </c>
      <c r="U124" s="241">
        <v>8</v>
      </c>
      <c r="V124" s="239">
        <v>250</v>
      </c>
      <c r="W124" s="241" t="s">
        <v>959</v>
      </c>
      <c r="X124" s="38" t="s">
        <v>1128</v>
      </c>
      <c r="Y124" s="38"/>
      <c r="Z124" s="241"/>
      <c r="AA124" s="241"/>
      <c r="AB124" s="241"/>
      <c r="AC124" s="241"/>
      <c r="AD124" s="241"/>
    </row>
    <row r="125" spans="1:30" ht="75">
      <c r="A125" s="59"/>
      <c r="B125" s="353"/>
      <c r="C125" s="357"/>
      <c r="D125" s="361"/>
      <c r="E125" s="362"/>
      <c r="F125" s="33" t="s">
        <v>292</v>
      </c>
      <c r="G125" s="51" t="s">
        <v>293</v>
      </c>
      <c r="H125" s="35" t="s">
        <v>445</v>
      </c>
      <c r="I125" s="35" t="s">
        <v>448</v>
      </c>
      <c r="J125" s="36" t="str">
        <f t="shared" si="1"/>
        <v xml:space="preserve">Implementar les mesures extraordinàries de regulació de l'ús públic </v>
      </c>
      <c r="K125" s="37"/>
      <c r="L125" s="38" t="s">
        <v>940</v>
      </c>
      <c r="M125" s="39" t="s">
        <v>941</v>
      </c>
      <c r="N125" s="38" t="s">
        <v>1340</v>
      </c>
      <c r="O125" s="38"/>
      <c r="P125" s="236"/>
      <c r="Q125" s="39"/>
      <c r="R125" s="237"/>
      <c r="S125" s="238" t="s">
        <v>1341</v>
      </c>
      <c r="T125" s="238" t="s">
        <v>1255</v>
      </c>
      <c r="U125" s="238" t="s">
        <v>1342</v>
      </c>
      <c r="V125" s="239">
        <v>175</v>
      </c>
      <c r="W125" s="250" t="s">
        <v>1343</v>
      </c>
      <c r="X125" s="238" t="s">
        <v>1344</v>
      </c>
      <c r="Y125" s="238"/>
      <c r="Z125" s="241"/>
      <c r="AA125" s="241"/>
      <c r="AB125" s="241"/>
      <c r="AC125" s="241"/>
      <c r="AD125" s="241"/>
    </row>
    <row r="126" spans="1:30" ht="90">
      <c r="A126" s="59"/>
      <c r="B126" s="353"/>
      <c r="C126" s="357"/>
      <c r="D126" s="351" t="s">
        <v>532</v>
      </c>
      <c r="E126" s="352" t="s">
        <v>294</v>
      </c>
      <c r="F126" s="33" t="s">
        <v>295</v>
      </c>
      <c r="G126" s="34" t="s">
        <v>296</v>
      </c>
      <c r="H126" s="35" t="s">
        <v>445</v>
      </c>
      <c r="I126" s="35" t="s">
        <v>446</v>
      </c>
      <c r="J126" s="36" t="str">
        <f t="shared" si="1"/>
        <v>Adequar els principals accessos, aparcaments i centres d'interès amb un ús elevat</v>
      </c>
      <c r="K126" s="37"/>
      <c r="L126" s="38" t="s">
        <v>940</v>
      </c>
      <c r="M126" s="39" t="s">
        <v>941</v>
      </c>
      <c r="N126" s="38" t="s">
        <v>1345</v>
      </c>
      <c r="O126" s="38"/>
      <c r="P126" s="236"/>
      <c r="Q126" s="39"/>
      <c r="R126" s="237"/>
      <c r="S126" s="238" t="s">
        <v>1346</v>
      </c>
      <c r="T126" s="238" t="s">
        <v>1347</v>
      </c>
      <c r="U126" s="238" t="s">
        <v>1348</v>
      </c>
      <c r="V126" s="239">
        <v>350</v>
      </c>
      <c r="W126" s="241" t="s">
        <v>1325</v>
      </c>
      <c r="X126" s="238" t="s">
        <v>1326</v>
      </c>
      <c r="Y126" s="238"/>
      <c r="Z126" s="241"/>
      <c r="AA126" s="241"/>
      <c r="AB126" s="241"/>
      <c r="AC126" s="241"/>
      <c r="AD126" s="241"/>
    </row>
    <row r="127" spans="1:30" ht="240">
      <c r="A127" s="59"/>
      <c r="B127" s="353"/>
      <c r="C127" s="357"/>
      <c r="D127" s="355"/>
      <c r="E127" s="356"/>
      <c r="F127" s="33" t="s">
        <v>297</v>
      </c>
      <c r="G127" s="51" t="s">
        <v>298</v>
      </c>
      <c r="H127" s="35" t="s">
        <v>445</v>
      </c>
      <c r="I127" s="35" t="s">
        <v>446</v>
      </c>
      <c r="J127" s="36" t="s">
        <v>1349</v>
      </c>
      <c r="K127" s="44" t="s">
        <v>1085</v>
      </c>
      <c r="L127" s="38" t="s">
        <v>940</v>
      </c>
      <c r="M127" s="39" t="s">
        <v>950</v>
      </c>
      <c r="N127" s="38" t="s">
        <v>1350</v>
      </c>
      <c r="O127" s="38"/>
      <c r="P127" s="236"/>
      <c r="Q127" s="39"/>
      <c r="R127" s="237"/>
      <c r="S127" s="238" t="s">
        <v>1351</v>
      </c>
      <c r="T127" s="238" t="s">
        <v>1352</v>
      </c>
      <c r="U127" s="238" t="s">
        <v>1353</v>
      </c>
      <c r="V127" s="239">
        <v>320</v>
      </c>
      <c r="W127" s="241" t="s">
        <v>1325</v>
      </c>
      <c r="X127" s="238" t="s">
        <v>1326</v>
      </c>
      <c r="Y127" s="238"/>
      <c r="Z127" s="241"/>
      <c r="AA127" s="241"/>
      <c r="AB127" s="241"/>
      <c r="AC127" s="241"/>
      <c r="AD127" s="241"/>
    </row>
    <row r="128" spans="1:30" ht="150">
      <c r="A128" s="59"/>
      <c r="B128" s="353"/>
      <c r="C128" s="357"/>
      <c r="D128" s="355"/>
      <c r="E128" s="356"/>
      <c r="F128" s="33" t="s">
        <v>299</v>
      </c>
      <c r="G128" s="51" t="s">
        <v>300</v>
      </c>
      <c r="H128" s="35" t="s">
        <v>445</v>
      </c>
      <c r="I128" s="35" t="s">
        <v>446</v>
      </c>
      <c r="J128" s="36" t="str">
        <f t="shared" si="1"/>
        <v>Desenvolupar el Pla d'acollida als visitants en base al model de la DG</v>
      </c>
      <c r="K128" s="37"/>
      <c r="L128" s="38" t="s">
        <v>940</v>
      </c>
      <c r="M128" s="39" t="s">
        <v>941</v>
      </c>
      <c r="N128" s="38" t="s">
        <v>1354</v>
      </c>
      <c r="O128" s="38"/>
      <c r="P128" s="236"/>
      <c r="Q128" s="39"/>
      <c r="R128" s="36" t="s">
        <v>533</v>
      </c>
      <c r="S128" s="238" t="s">
        <v>1355</v>
      </c>
      <c r="T128" s="241">
        <v>1</v>
      </c>
      <c r="U128" s="241">
        <v>10</v>
      </c>
      <c r="V128" s="239">
        <f>10*4</f>
        <v>40</v>
      </c>
      <c r="W128" s="241" t="s">
        <v>1068</v>
      </c>
      <c r="X128" s="238" t="s">
        <v>1081</v>
      </c>
      <c r="Y128" s="238"/>
      <c r="Z128" s="241"/>
      <c r="AA128" s="241"/>
      <c r="AB128" s="241"/>
      <c r="AC128" s="241"/>
      <c r="AD128" s="241"/>
    </row>
    <row r="129" spans="1:30" ht="105">
      <c r="A129" s="59"/>
      <c r="B129" s="353"/>
      <c r="C129" s="357"/>
      <c r="D129" s="361"/>
      <c r="E129" s="362"/>
      <c r="F129" s="33" t="s">
        <v>301</v>
      </c>
      <c r="G129" s="51" t="s">
        <v>302</v>
      </c>
      <c r="H129" s="35" t="s">
        <v>445</v>
      </c>
      <c r="I129" s="35" t="s">
        <v>446</v>
      </c>
      <c r="J129" s="36" t="str">
        <f t="shared" si="1"/>
        <v>Adaptar els missatges a donar des d'oficines d’informació, pròpies i alienes, d'acord amb el model de la DG</v>
      </c>
      <c r="K129" s="37"/>
      <c r="L129" s="38" t="s">
        <v>940</v>
      </c>
      <c r="M129" s="39" t="s">
        <v>950</v>
      </c>
      <c r="N129" s="38" t="s">
        <v>1356</v>
      </c>
      <c r="O129" s="38"/>
      <c r="P129" s="236"/>
      <c r="Q129" s="39" t="s">
        <v>458</v>
      </c>
      <c r="R129" s="36" t="s">
        <v>534</v>
      </c>
      <c r="S129" s="238" t="s">
        <v>1357</v>
      </c>
      <c r="T129" s="241">
        <v>1</v>
      </c>
      <c r="U129" s="241">
        <v>4</v>
      </c>
      <c r="V129" s="239">
        <f>10*4</f>
        <v>40</v>
      </c>
      <c r="W129" s="241" t="s">
        <v>1068</v>
      </c>
      <c r="X129" s="238" t="s">
        <v>1081</v>
      </c>
      <c r="Y129" s="238"/>
      <c r="Z129" s="241"/>
      <c r="AA129" s="241"/>
      <c r="AB129" s="241"/>
      <c r="AC129" s="241"/>
      <c r="AD129" s="241"/>
    </row>
    <row r="130" spans="1:30" ht="90">
      <c r="A130" s="59"/>
      <c r="B130" s="353"/>
      <c r="C130" s="357"/>
      <c r="D130" s="351" t="s">
        <v>535</v>
      </c>
      <c r="E130" s="352" t="s">
        <v>303</v>
      </c>
      <c r="F130" s="33" t="s">
        <v>304</v>
      </c>
      <c r="G130" s="34" t="s">
        <v>305</v>
      </c>
      <c r="H130" s="35" t="s">
        <v>445</v>
      </c>
      <c r="I130" s="35" t="s">
        <v>446</v>
      </c>
      <c r="J130" s="36" t="str">
        <f t="shared" si="1"/>
        <v>Elaborar i executar el Pla de vigilància de l’espai d'acord amb els cossos d’inspecció i seguretat</v>
      </c>
      <c r="K130" s="37"/>
      <c r="L130" s="38" t="s">
        <v>940</v>
      </c>
      <c r="M130" s="39" t="s">
        <v>950</v>
      </c>
      <c r="N130" s="38" t="s">
        <v>1358</v>
      </c>
      <c r="O130" s="38"/>
      <c r="P130" s="236" t="s">
        <v>1359</v>
      </c>
      <c r="Q130" s="39"/>
      <c r="R130" s="237"/>
      <c r="S130" s="238" t="s">
        <v>1360</v>
      </c>
      <c r="T130" s="241">
        <v>10</v>
      </c>
      <c r="U130" s="241">
        <v>40</v>
      </c>
      <c r="V130" s="239">
        <v>250</v>
      </c>
      <c r="W130" s="253" t="s">
        <v>1361</v>
      </c>
      <c r="X130" s="253" t="s">
        <v>1362</v>
      </c>
      <c r="Y130" s="253"/>
      <c r="Z130" s="241"/>
      <c r="AA130" s="241"/>
      <c r="AB130" s="241"/>
      <c r="AC130" s="241"/>
      <c r="AD130" s="241"/>
    </row>
    <row r="131" spans="1:30" ht="45">
      <c r="A131" s="59"/>
      <c r="B131" s="353"/>
      <c r="C131" s="357"/>
      <c r="D131" s="355"/>
      <c r="E131" s="356"/>
      <c r="F131" s="33" t="s">
        <v>306</v>
      </c>
      <c r="G131" s="34" t="s">
        <v>307</v>
      </c>
      <c r="H131" s="35" t="s">
        <v>445</v>
      </c>
      <c r="I131" s="35" t="s">
        <v>446</v>
      </c>
      <c r="J131" s="36" t="str">
        <f t="shared" si="1"/>
        <v>Millorar la coordinació amb els cossos de seguretat per efectuar accions de control i vigilància</v>
      </c>
      <c r="K131" s="37"/>
      <c r="L131" s="38" t="s">
        <v>940</v>
      </c>
      <c r="M131" s="39" t="s">
        <v>950</v>
      </c>
      <c r="N131" s="38" t="s">
        <v>1363</v>
      </c>
      <c r="O131" s="38"/>
      <c r="P131" s="236" t="s">
        <v>1364</v>
      </c>
      <c r="Q131" s="39"/>
      <c r="R131" s="237"/>
      <c r="S131" s="238" t="s">
        <v>1365</v>
      </c>
      <c r="T131" s="253" t="s">
        <v>1366</v>
      </c>
      <c r="U131" s="253" t="s">
        <v>1367</v>
      </c>
      <c r="V131" s="366"/>
      <c r="W131" s="253" t="s">
        <v>1361</v>
      </c>
      <c r="X131" s="253" t="s">
        <v>1362</v>
      </c>
      <c r="Y131" s="253"/>
      <c r="Z131" s="241"/>
      <c r="AA131" s="241"/>
      <c r="AB131" s="241"/>
      <c r="AC131" s="241"/>
      <c r="AD131" s="241"/>
    </row>
    <row r="132" spans="1:30" ht="45">
      <c r="A132" s="59"/>
      <c r="B132" s="353"/>
      <c r="C132" s="357"/>
      <c r="D132" s="355"/>
      <c r="E132" s="356"/>
      <c r="F132" s="33" t="s">
        <v>308</v>
      </c>
      <c r="G132" s="34" t="s">
        <v>309</v>
      </c>
      <c r="H132" s="35" t="s">
        <v>445</v>
      </c>
      <c r="I132" s="35" t="s">
        <v>446</v>
      </c>
      <c r="J132" s="36" t="str">
        <f t="shared" si="1"/>
        <v>Vetllar pel compliment d'informes i la vigilància tècnica de l'espai</v>
      </c>
      <c r="K132" s="37"/>
      <c r="L132" s="38" t="s">
        <v>940</v>
      </c>
      <c r="M132" s="39" t="s">
        <v>972</v>
      </c>
      <c r="N132" s="38" t="s">
        <v>1368</v>
      </c>
      <c r="O132" s="38"/>
      <c r="P132" s="236"/>
      <c r="Q132" s="39"/>
      <c r="R132" s="237"/>
      <c r="S132" s="238" t="s">
        <v>1369</v>
      </c>
      <c r="T132" s="241">
        <v>1</v>
      </c>
      <c r="U132" s="241">
        <v>4</v>
      </c>
      <c r="V132" s="239">
        <v>220</v>
      </c>
      <c r="W132" s="250" t="s">
        <v>1370</v>
      </c>
      <c r="X132" s="238" t="s">
        <v>1371</v>
      </c>
      <c r="Y132" s="238"/>
      <c r="Z132" s="241"/>
      <c r="AA132" s="241"/>
      <c r="AB132" s="241"/>
      <c r="AC132" s="241"/>
      <c r="AD132" s="241"/>
    </row>
    <row r="133" spans="1:30" ht="45">
      <c r="A133" s="59"/>
      <c r="B133" s="67">
        <v>12</v>
      </c>
      <c r="C133" s="68" t="s">
        <v>310</v>
      </c>
      <c r="D133" s="351" t="s">
        <v>536</v>
      </c>
      <c r="E133" s="352" t="s">
        <v>311</v>
      </c>
      <c r="F133" s="33" t="s">
        <v>312</v>
      </c>
      <c r="G133" s="34" t="s">
        <v>313</v>
      </c>
      <c r="H133" s="35" t="s">
        <v>445</v>
      </c>
      <c r="I133" s="35" t="s">
        <v>446</v>
      </c>
      <c r="J133" s="36" t="s">
        <v>987</v>
      </c>
      <c r="K133" s="37" t="s">
        <v>1372</v>
      </c>
      <c r="L133" s="38"/>
      <c r="M133" s="37"/>
      <c r="N133" s="38"/>
      <c r="O133" s="38"/>
      <c r="P133" s="236"/>
      <c r="Q133" s="37"/>
      <c r="R133" s="36"/>
      <c r="S133" s="38"/>
      <c r="T133" s="41"/>
      <c r="U133" s="41"/>
      <c r="V133" s="241"/>
      <c r="W133" s="241"/>
      <c r="X133" s="238"/>
      <c r="Y133" s="238"/>
      <c r="Z133" s="241"/>
      <c r="AA133" s="241"/>
      <c r="AB133" s="241"/>
      <c r="AC133" s="241"/>
      <c r="AD133" s="241"/>
    </row>
    <row r="134" spans="1:30" ht="30">
      <c r="A134" s="59"/>
      <c r="B134" s="367"/>
      <c r="C134" s="368"/>
      <c r="D134" s="361"/>
      <c r="E134" s="362"/>
      <c r="F134" s="33" t="s">
        <v>314</v>
      </c>
      <c r="G134" s="34" t="s">
        <v>315</v>
      </c>
      <c r="H134" s="35" t="s">
        <v>445</v>
      </c>
      <c r="I134" s="35" t="s">
        <v>446</v>
      </c>
      <c r="J134" s="36" t="s">
        <v>987</v>
      </c>
      <c r="K134" s="37" t="s">
        <v>1372</v>
      </c>
      <c r="L134" s="38"/>
      <c r="M134" s="39"/>
      <c r="N134" s="38"/>
      <c r="O134" s="38"/>
      <c r="P134" s="236"/>
      <c r="Q134" s="39"/>
      <c r="R134" s="237"/>
      <c r="S134" s="238"/>
      <c r="T134" s="292"/>
      <c r="U134" s="292"/>
      <c r="V134" s="241"/>
      <c r="W134" s="241"/>
      <c r="X134" s="238"/>
      <c r="Y134" s="238"/>
      <c r="Z134" s="241"/>
      <c r="AA134" s="241"/>
      <c r="AB134" s="241"/>
      <c r="AC134" s="241"/>
      <c r="AD134" s="241"/>
    </row>
    <row r="135" spans="1:30" ht="171.95" customHeight="1">
      <c r="A135" s="69" t="s">
        <v>316</v>
      </c>
      <c r="B135" s="369">
        <v>13</v>
      </c>
      <c r="C135" s="370" t="s">
        <v>317</v>
      </c>
      <c r="D135" s="371" t="s">
        <v>537</v>
      </c>
      <c r="E135" s="372" t="s">
        <v>318</v>
      </c>
      <c r="F135" s="70" t="s">
        <v>319</v>
      </c>
      <c r="G135" s="34" t="s">
        <v>320</v>
      </c>
      <c r="H135" s="35" t="s">
        <v>445</v>
      </c>
      <c r="I135" s="35" t="s">
        <v>446</v>
      </c>
      <c r="J135" s="36" t="str">
        <f t="shared" ref="J135:J167" si="2">G135</f>
        <v>Definir el model de Xarxa d'Escoles de l'Espai Natural (XEEN) a l'ENP amb els agents educatius del territori</v>
      </c>
      <c r="K135" s="37"/>
      <c r="L135" s="38" t="s">
        <v>940</v>
      </c>
      <c r="M135" s="39" t="s">
        <v>941</v>
      </c>
      <c r="N135" s="38" t="s">
        <v>1373</v>
      </c>
      <c r="O135" s="38" t="s">
        <v>1374</v>
      </c>
      <c r="P135" s="236"/>
      <c r="Q135" s="373" t="s">
        <v>538</v>
      </c>
      <c r="R135" s="237"/>
      <c r="S135" s="38" t="s">
        <v>1375</v>
      </c>
      <c r="T135" s="238" t="s">
        <v>1376</v>
      </c>
      <c r="U135" s="238" t="s">
        <v>1231</v>
      </c>
      <c r="V135" s="239">
        <f>10*4</f>
        <v>40</v>
      </c>
      <c r="W135" s="241" t="s">
        <v>1377</v>
      </c>
      <c r="X135" s="238" t="s">
        <v>1081</v>
      </c>
      <c r="Y135" s="238"/>
      <c r="Z135" s="241"/>
      <c r="AA135" s="241"/>
      <c r="AB135" s="241"/>
      <c r="AC135" s="241"/>
      <c r="AD135" s="241"/>
    </row>
    <row r="136" spans="1:30" ht="347.45" customHeight="1">
      <c r="A136" s="69"/>
      <c r="B136" s="369"/>
      <c r="C136" s="370"/>
      <c r="D136" s="371"/>
      <c r="E136" s="372"/>
      <c r="F136" s="70" t="s">
        <v>321</v>
      </c>
      <c r="G136" s="51" t="s">
        <v>322</v>
      </c>
      <c r="H136" s="35" t="s">
        <v>445</v>
      </c>
      <c r="I136" s="35" t="s">
        <v>446</v>
      </c>
      <c r="J136" s="36" t="str">
        <f t="shared" si="2"/>
        <v>Desplegar el model de Xarxa d'Escoles de l'Espai Natural (XEEN) a l'ENP d'acord amb el model general</v>
      </c>
      <c r="K136" s="271" t="s">
        <v>1378</v>
      </c>
      <c r="L136" s="38" t="s">
        <v>940</v>
      </c>
      <c r="M136" s="39" t="s">
        <v>941</v>
      </c>
      <c r="N136" s="71" t="s">
        <v>1379</v>
      </c>
      <c r="O136" s="71"/>
      <c r="P136" s="236"/>
      <c r="Q136" s="373" t="s">
        <v>538</v>
      </c>
      <c r="R136" s="36" t="s">
        <v>539</v>
      </c>
      <c r="S136" s="238" t="s">
        <v>1380</v>
      </c>
      <c r="T136" s="238" t="s">
        <v>1381</v>
      </c>
      <c r="U136" s="238" t="s">
        <v>1382</v>
      </c>
      <c r="V136" s="239">
        <f>50*4</f>
        <v>200</v>
      </c>
      <c r="W136" s="241" t="s">
        <v>1377</v>
      </c>
      <c r="X136" s="238" t="s">
        <v>1081</v>
      </c>
      <c r="Y136" s="238"/>
      <c r="Z136" s="241"/>
      <c r="AA136" s="241"/>
      <c r="AB136" s="241"/>
      <c r="AC136" s="241"/>
      <c r="AD136" s="241"/>
    </row>
    <row r="137" spans="1:30" ht="75">
      <c r="A137" s="69"/>
      <c r="B137" s="369"/>
      <c r="C137" s="370"/>
      <c r="D137" s="374"/>
      <c r="E137" s="375"/>
      <c r="F137" s="70" t="s">
        <v>323</v>
      </c>
      <c r="G137" s="34" t="s">
        <v>324</v>
      </c>
      <c r="H137" s="35" t="s">
        <v>445</v>
      </c>
      <c r="I137" s="35" t="s">
        <v>446</v>
      </c>
      <c r="J137" s="36" t="str">
        <f t="shared" si="2"/>
        <v xml:space="preserve">Formar i capacitar al professorat de la XEEN </v>
      </c>
      <c r="K137" s="37"/>
      <c r="L137" s="38" t="s">
        <v>940</v>
      </c>
      <c r="M137" s="39" t="s">
        <v>941</v>
      </c>
      <c r="N137" s="71" t="s">
        <v>1383</v>
      </c>
      <c r="O137" s="71"/>
      <c r="P137" s="376"/>
      <c r="Q137" s="373" t="s">
        <v>538</v>
      </c>
      <c r="R137" s="36"/>
      <c r="S137" s="238" t="s">
        <v>1384</v>
      </c>
      <c r="T137" s="241">
        <v>1</v>
      </c>
      <c r="U137" s="241">
        <v>4</v>
      </c>
      <c r="V137" s="239">
        <f>10*4</f>
        <v>40</v>
      </c>
      <c r="W137" s="241" t="s">
        <v>1377</v>
      </c>
      <c r="X137" s="238" t="s">
        <v>1081</v>
      </c>
      <c r="Y137" s="238"/>
      <c r="Z137" s="241"/>
      <c r="AA137" s="241"/>
      <c r="AB137" s="241"/>
      <c r="AC137" s="241"/>
      <c r="AD137" s="241"/>
    </row>
    <row r="138" spans="1:30" ht="60">
      <c r="A138" s="69"/>
      <c r="B138" s="369"/>
      <c r="C138" s="370"/>
      <c r="D138" s="377" t="s">
        <v>540</v>
      </c>
      <c r="E138" s="378" t="s">
        <v>325</v>
      </c>
      <c r="F138" s="33" t="s">
        <v>326</v>
      </c>
      <c r="G138" s="34" t="s">
        <v>327</v>
      </c>
      <c r="H138" s="35" t="s">
        <v>445</v>
      </c>
      <c r="I138" s="35" t="s">
        <v>446</v>
      </c>
      <c r="J138" s="36" t="str">
        <f t="shared" si="2"/>
        <v>Adaptar i millorar l'oferta pedagògica de l'ENP generant situacions d'aprenentatge i treballs per projecte</v>
      </c>
      <c r="K138" s="37"/>
      <c r="L138" s="38" t="s">
        <v>940</v>
      </c>
      <c r="M138" s="39" t="s">
        <v>941</v>
      </c>
      <c r="N138" s="38" t="s">
        <v>1385</v>
      </c>
      <c r="O138" s="38"/>
      <c r="P138" s="236"/>
      <c r="Q138" s="373" t="s">
        <v>538</v>
      </c>
      <c r="R138" s="36" t="s">
        <v>541</v>
      </c>
      <c r="S138" s="238" t="s">
        <v>1386</v>
      </c>
      <c r="T138" s="241">
        <v>1</v>
      </c>
      <c r="U138" s="241">
        <v>4</v>
      </c>
      <c r="V138" s="239">
        <f>20+10+10+10</f>
        <v>50</v>
      </c>
      <c r="W138" s="241" t="s">
        <v>1377</v>
      </c>
      <c r="X138" s="238" t="s">
        <v>1081</v>
      </c>
      <c r="Y138" s="238"/>
      <c r="Z138" s="241"/>
      <c r="AA138" s="241"/>
      <c r="AB138" s="241"/>
      <c r="AC138" s="241"/>
      <c r="AD138" s="241"/>
    </row>
    <row r="139" spans="1:30" ht="60">
      <c r="A139" s="69"/>
      <c r="B139" s="369"/>
      <c r="C139" s="370"/>
      <c r="D139" s="371"/>
      <c r="E139" s="372"/>
      <c r="F139" s="33" t="s">
        <v>328</v>
      </c>
      <c r="G139" s="34" t="s">
        <v>329</v>
      </c>
      <c r="H139" s="35" t="s">
        <v>445</v>
      </c>
      <c r="I139" s="35" t="s">
        <v>448</v>
      </c>
      <c r="J139" s="36" t="str">
        <f t="shared" si="2"/>
        <v>Dissenyar projectes d'ApS ambiental i Ciència ciutadana i projectes compartits amb entitats del territori que s'incloguin dins de l'oferta pedagògica.</v>
      </c>
      <c r="K139" s="37"/>
      <c r="L139" s="38" t="s">
        <v>940</v>
      </c>
      <c r="M139" s="39" t="s">
        <v>950</v>
      </c>
      <c r="N139" s="38" t="s">
        <v>1387</v>
      </c>
      <c r="O139" s="38"/>
      <c r="P139" s="236"/>
      <c r="Q139" s="373" t="s">
        <v>538</v>
      </c>
      <c r="R139" s="237"/>
      <c r="S139" s="238" t="s">
        <v>1388</v>
      </c>
      <c r="T139" s="241">
        <v>1</v>
      </c>
      <c r="U139" s="241">
        <v>4</v>
      </c>
      <c r="V139" s="239">
        <v>60</v>
      </c>
      <c r="W139" s="241" t="s">
        <v>1377</v>
      </c>
      <c r="X139" s="238" t="s">
        <v>1081</v>
      </c>
      <c r="Y139" s="238"/>
      <c r="Z139" s="241"/>
      <c r="AA139" s="241"/>
      <c r="AB139" s="241"/>
      <c r="AC139" s="241"/>
      <c r="AD139" s="241"/>
    </row>
    <row r="140" spans="1:30" ht="60">
      <c r="A140" s="69"/>
      <c r="B140" s="369"/>
      <c r="C140" s="370"/>
      <c r="D140" s="371"/>
      <c r="E140" s="372"/>
      <c r="F140" s="33" t="s">
        <v>330</v>
      </c>
      <c r="G140" s="34" t="s">
        <v>331</v>
      </c>
      <c r="H140" s="35" t="s">
        <v>445</v>
      </c>
      <c r="I140" s="35" t="s">
        <v>448</v>
      </c>
      <c r="J140" s="36" t="str">
        <f t="shared" si="2"/>
        <v>Elaborar recursos educatius sobre l’espai (que tinguin en compte les problemàtiques singulars del seu espai) i posar-los a disposició dels centres educatius</v>
      </c>
      <c r="K140" s="37"/>
      <c r="L140" s="38" t="s">
        <v>940</v>
      </c>
      <c r="M140" s="39" t="s">
        <v>950</v>
      </c>
      <c r="N140" s="38" t="s">
        <v>1389</v>
      </c>
      <c r="O140" s="38"/>
      <c r="P140" s="236"/>
      <c r="Q140" s="373" t="s">
        <v>538</v>
      </c>
      <c r="R140" s="237"/>
      <c r="S140" s="238" t="s">
        <v>1390</v>
      </c>
      <c r="T140" s="241">
        <v>1</v>
      </c>
      <c r="U140" s="241">
        <v>4</v>
      </c>
      <c r="V140" s="239">
        <v>60</v>
      </c>
      <c r="W140" s="241" t="s">
        <v>1377</v>
      </c>
      <c r="X140" s="238" t="s">
        <v>1081</v>
      </c>
      <c r="Y140" s="238"/>
      <c r="Z140" s="241"/>
      <c r="AA140" s="241"/>
      <c r="AB140" s="241"/>
      <c r="AC140" s="241"/>
      <c r="AD140" s="241"/>
    </row>
    <row r="141" spans="1:30" ht="75">
      <c r="A141" s="69"/>
      <c r="B141" s="369"/>
      <c r="C141" s="370"/>
      <c r="D141" s="374"/>
      <c r="E141" s="375"/>
      <c r="F141" s="33" t="s">
        <v>332</v>
      </c>
      <c r="G141" s="34" t="s">
        <v>333</v>
      </c>
      <c r="H141" s="35" t="s">
        <v>445</v>
      </c>
      <c r="I141" s="35" t="s">
        <v>448</v>
      </c>
      <c r="J141" s="36" t="str">
        <f t="shared" si="2"/>
        <v>Oferir projectes de recerca vinculats a l'espai natural per a l'alumnat universitari i de la XEEN</v>
      </c>
      <c r="K141" s="37"/>
      <c r="L141" s="38" t="s">
        <v>940</v>
      </c>
      <c r="M141" s="39" t="s">
        <v>950</v>
      </c>
      <c r="N141" s="38" t="s">
        <v>1391</v>
      </c>
      <c r="O141" s="38"/>
      <c r="P141" s="236"/>
      <c r="Q141" s="373" t="s">
        <v>538</v>
      </c>
      <c r="R141" s="237"/>
      <c r="S141" s="238" t="s">
        <v>1392</v>
      </c>
      <c r="T141" s="241">
        <v>1</v>
      </c>
      <c r="U141" s="241">
        <v>4</v>
      </c>
      <c r="V141" s="239">
        <v>60</v>
      </c>
      <c r="W141" s="241" t="s">
        <v>1377</v>
      </c>
      <c r="X141" s="238" t="s">
        <v>1081</v>
      </c>
      <c r="Y141" s="238"/>
      <c r="Z141" s="241"/>
      <c r="AA141" s="241"/>
      <c r="AB141" s="241"/>
      <c r="AC141" s="241"/>
      <c r="AD141" s="241"/>
    </row>
    <row r="142" spans="1:30" ht="30">
      <c r="A142" s="69"/>
      <c r="B142" s="369"/>
      <c r="C142" s="370"/>
      <c r="D142" s="377" t="s">
        <v>542</v>
      </c>
      <c r="E142" s="378" t="s">
        <v>334</v>
      </c>
      <c r="F142" s="33" t="s">
        <v>335</v>
      </c>
      <c r="G142" s="34" t="s">
        <v>336</v>
      </c>
      <c r="H142" s="35" t="s">
        <v>445</v>
      </c>
      <c r="I142" s="35" t="s">
        <v>446</v>
      </c>
      <c r="J142" s="36" t="s">
        <v>987</v>
      </c>
      <c r="K142" s="37" t="s">
        <v>1393</v>
      </c>
      <c r="L142" s="38"/>
      <c r="M142" s="39"/>
      <c r="N142" s="38"/>
      <c r="O142" s="38"/>
      <c r="P142" s="236"/>
      <c r="Q142" s="373" t="s">
        <v>538</v>
      </c>
      <c r="R142" s="237"/>
      <c r="S142" s="238"/>
      <c r="T142" s="241"/>
      <c r="U142" s="241"/>
      <c r="V142" s="241"/>
      <c r="W142" s="241"/>
      <c r="X142" s="238"/>
      <c r="Y142" s="238"/>
      <c r="Z142" s="241"/>
      <c r="AA142" s="241"/>
      <c r="AB142" s="241"/>
      <c r="AC142" s="241"/>
      <c r="AD142" s="241"/>
    </row>
    <row r="143" spans="1:30" ht="45">
      <c r="A143" s="69"/>
      <c r="B143" s="369"/>
      <c r="C143" s="370"/>
      <c r="D143" s="371"/>
      <c r="E143" s="372"/>
      <c r="F143" s="33" t="s">
        <v>337</v>
      </c>
      <c r="G143" s="34" t="s">
        <v>338</v>
      </c>
      <c r="H143" s="35" t="s">
        <v>445</v>
      </c>
      <c r="I143" s="35" t="s">
        <v>446</v>
      </c>
      <c r="J143" s="36" t="str">
        <f t="shared" si="2"/>
        <v>Cercar i establir col·laboracions i projectes conjunts amb agents clau del territori</v>
      </c>
      <c r="K143" s="37"/>
      <c r="L143" s="38" t="s">
        <v>940</v>
      </c>
      <c r="M143" s="39" t="s">
        <v>941</v>
      </c>
      <c r="N143" s="38" t="s">
        <v>1394</v>
      </c>
      <c r="O143" s="38"/>
      <c r="P143" s="236"/>
      <c r="Q143" s="373" t="s">
        <v>538</v>
      </c>
      <c r="R143" s="237"/>
      <c r="S143" s="238" t="s">
        <v>1395</v>
      </c>
      <c r="T143" s="241">
        <v>1</v>
      </c>
      <c r="U143" s="241">
        <v>10</v>
      </c>
      <c r="V143" s="239">
        <v>60</v>
      </c>
      <c r="W143" s="241" t="s">
        <v>1377</v>
      </c>
      <c r="X143" s="238" t="s">
        <v>1081</v>
      </c>
      <c r="Y143" s="238"/>
      <c r="Z143" s="241"/>
      <c r="AA143" s="241"/>
      <c r="AB143" s="241"/>
      <c r="AC143" s="241"/>
      <c r="AD143" s="241"/>
    </row>
    <row r="144" spans="1:30" ht="90">
      <c r="A144" s="69"/>
      <c r="B144" s="369"/>
      <c r="C144" s="370"/>
      <c r="D144" s="374"/>
      <c r="E144" s="375"/>
      <c r="F144" s="33" t="s">
        <v>339</v>
      </c>
      <c r="G144" s="34" t="s">
        <v>340</v>
      </c>
      <c r="H144" s="35" t="s">
        <v>445</v>
      </c>
      <c r="I144" s="35" t="s">
        <v>446</v>
      </c>
      <c r="J144" s="36" t="str">
        <f t="shared" si="2"/>
        <v>Elaborar formacions dirigides als informadors, educadors i altres prescriptors del territori</v>
      </c>
      <c r="K144" s="37"/>
      <c r="L144" s="38" t="s">
        <v>940</v>
      </c>
      <c r="M144" s="39" t="s">
        <v>941</v>
      </c>
      <c r="N144" s="38" t="s">
        <v>1396</v>
      </c>
      <c r="O144" s="38"/>
      <c r="P144" s="236"/>
      <c r="Q144" s="373" t="s">
        <v>538</v>
      </c>
      <c r="R144" s="36" t="s">
        <v>543</v>
      </c>
      <c r="S144" s="238" t="s">
        <v>1397</v>
      </c>
      <c r="T144" s="241">
        <v>4</v>
      </c>
      <c r="U144" s="241">
        <v>7</v>
      </c>
      <c r="V144" s="239">
        <f>20*4</f>
        <v>80</v>
      </c>
      <c r="W144" s="241" t="s">
        <v>1377</v>
      </c>
      <c r="X144" s="238" t="s">
        <v>1081</v>
      </c>
      <c r="Y144" s="238"/>
      <c r="Z144" s="241"/>
      <c r="AA144" s="241"/>
      <c r="AB144" s="241"/>
      <c r="AC144" s="241"/>
      <c r="AD144" s="241"/>
    </row>
    <row r="145" spans="1:30" ht="177.75" customHeight="1">
      <c r="A145" s="69"/>
      <c r="B145" s="369"/>
      <c r="C145" s="370"/>
      <c r="D145" s="377" t="s">
        <v>544</v>
      </c>
      <c r="E145" s="379" t="s">
        <v>341</v>
      </c>
      <c r="F145" s="33" t="s">
        <v>342</v>
      </c>
      <c r="G145" s="34" t="s">
        <v>343</v>
      </c>
      <c r="H145" s="35" t="s">
        <v>445</v>
      </c>
      <c r="I145" s="35" t="s">
        <v>446</v>
      </c>
      <c r="J145" s="36" t="s">
        <v>1398</v>
      </c>
      <c r="K145" s="271" t="s">
        <v>1399</v>
      </c>
      <c r="L145" s="38" t="s">
        <v>940</v>
      </c>
      <c r="M145" s="39" t="s">
        <v>941</v>
      </c>
      <c r="N145" s="38" t="s">
        <v>1400</v>
      </c>
      <c r="O145" s="38"/>
      <c r="P145" s="236"/>
      <c r="Q145" s="373" t="s">
        <v>538</v>
      </c>
      <c r="R145" s="36" t="s">
        <v>545</v>
      </c>
      <c r="S145" s="238" t="s">
        <v>1401</v>
      </c>
      <c r="T145" s="241">
        <v>4</v>
      </c>
      <c r="U145" s="241">
        <v>8</v>
      </c>
      <c r="V145" s="239">
        <v>50</v>
      </c>
      <c r="W145" s="241" t="s">
        <v>1377</v>
      </c>
      <c r="X145" s="238" t="s">
        <v>1081</v>
      </c>
      <c r="Y145" s="238"/>
      <c r="Z145" s="241"/>
      <c r="AA145" s="241"/>
      <c r="AB145" s="241"/>
      <c r="AC145" s="241"/>
      <c r="AD145" s="241"/>
    </row>
    <row r="146" spans="1:30" ht="96.95" customHeight="1">
      <c r="A146" s="69"/>
      <c r="B146" s="369"/>
      <c r="C146" s="370"/>
      <c r="D146" s="371"/>
      <c r="E146" s="372"/>
      <c r="F146" s="33" t="s">
        <v>344</v>
      </c>
      <c r="G146" s="34" t="s">
        <v>345</v>
      </c>
      <c r="H146" s="35" t="s">
        <v>445</v>
      </c>
      <c r="I146" s="35" t="s">
        <v>448</v>
      </c>
      <c r="J146" s="36" t="str">
        <f t="shared" si="2"/>
        <v xml:space="preserve">Adaptar el programa de divulgació i sensibilització de l'ENP perquè incorpori una oferta d’activitats adequada per a famílies </v>
      </c>
      <c r="K146" s="37"/>
      <c r="L146" s="38" t="s">
        <v>940</v>
      </c>
      <c r="M146" s="39" t="s">
        <v>950</v>
      </c>
      <c r="N146" s="38" t="s">
        <v>1402</v>
      </c>
      <c r="O146" s="38"/>
      <c r="P146" s="236"/>
      <c r="Q146" s="373" t="s">
        <v>538</v>
      </c>
      <c r="R146" s="380"/>
      <c r="S146" s="238" t="s">
        <v>1403</v>
      </c>
      <c r="T146" s="238" t="s">
        <v>1404</v>
      </c>
      <c r="U146" s="238" t="s">
        <v>1405</v>
      </c>
      <c r="V146" s="239">
        <v>200</v>
      </c>
      <c r="W146" s="241" t="s">
        <v>1377</v>
      </c>
      <c r="X146" s="238" t="s">
        <v>1081</v>
      </c>
      <c r="Y146" s="238"/>
      <c r="Z146" s="241"/>
      <c r="AA146" s="241"/>
      <c r="AB146" s="241"/>
      <c r="AC146" s="241"/>
      <c r="AD146" s="241"/>
    </row>
    <row r="147" spans="1:30" ht="150">
      <c r="A147" s="69"/>
      <c r="B147" s="369"/>
      <c r="C147" s="370"/>
      <c r="D147" s="371"/>
      <c r="E147" s="372"/>
      <c r="F147" s="33" t="s">
        <v>346</v>
      </c>
      <c r="G147" s="51" t="s">
        <v>347</v>
      </c>
      <c r="H147" s="35" t="s">
        <v>445</v>
      </c>
      <c r="I147" s="35" t="s">
        <v>448</v>
      </c>
      <c r="J147" s="36" t="str">
        <f t="shared" si="2"/>
        <v xml:space="preserve">Adaptar el programa de divulgació i sensibilització de l'ENP perquè incorpori una oferta d’activitats adequada per a altres perfils </v>
      </c>
      <c r="K147" s="37"/>
      <c r="L147" s="38" t="s">
        <v>940</v>
      </c>
      <c r="M147" s="39" t="s">
        <v>950</v>
      </c>
      <c r="N147" s="38" t="s">
        <v>1406</v>
      </c>
      <c r="O147" s="38"/>
      <c r="P147" s="236"/>
      <c r="Q147" s="373" t="s">
        <v>538</v>
      </c>
      <c r="R147" s="380"/>
      <c r="S147" s="238" t="s">
        <v>1407</v>
      </c>
      <c r="T147" s="238" t="s">
        <v>1232</v>
      </c>
      <c r="U147" s="238" t="s">
        <v>1408</v>
      </c>
      <c r="V147" s="239">
        <v>200</v>
      </c>
      <c r="W147" s="241" t="s">
        <v>1377</v>
      </c>
      <c r="X147" s="238" t="s">
        <v>1081</v>
      </c>
      <c r="Y147" s="238"/>
      <c r="Z147" s="241"/>
      <c r="AA147" s="241"/>
      <c r="AB147" s="241"/>
      <c r="AC147" s="241"/>
      <c r="AD147" s="241"/>
    </row>
    <row r="148" spans="1:30" ht="75">
      <c r="A148" s="69"/>
      <c r="B148" s="369"/>
      <c r="C148" s="370"/>
      <c r="D148" s="374"/>
      <c r="E148" s="375"/>
      <c r="F148" s="33" t="s">
        <v>348</v>
      </c>
      <c r="G148" s="34" t="s">
        <v>349</v>
      </c>
      <c r="H148" s="35" t="s">
        <v>445</v>
      </c>
      <c r="I148" s="35" t="s">
        <v>448</v>
      </c>
      <c r="J148" s="36" t="str">
        <f t="shared" si="2"/>
        <v xml:space="preserve">Adaptar el programa de divulgació i sensibilització de l'ENP perquè incorpori una oferta d’activitats dirigida al lleure educatiu </v>
      </c>
      <c r="K148" s="37"/>
      <c r="L148" s="38" t="s">
        <v>940</v>
      </c>
      <c r="M148" s="39" t="s">
        <v>950</v>
      </c>
      <c r="N148" s="38" t="s">
        <v>1409</v>
      </c>
      <c r="O148" s="38"/>
      <c r="P148" s="236"/>
      <c r="Q148" s="373" t="s">
        <v>538</v>
      </c>
      <c r="R148" s="380"/>
      <c r="S148" s="238" t="s">
        <v>1410</v>
      </c>
      <c r="T148" s="238" t="s">
        <v>1411</v>
      </c>
      <c r="U148" s="238" t="s">
        <v>1412</v>
      </c>
      <c r="V148" s="239">
        <v>60</v>
      </c>
      <c r="W148" s="241" t="s">
        <v>1377</v>
      </c>
      <c r="X148" s="238" t="s">
        <v>1081</v>
      </c>
      <c r="Y148" s="238"/>
      <c r="Z148" s="241"/>
      <c r="AA148" s="241"/>
      <c r="AB148" s="241"/>
      <c r="AC148" s="241"/>
      <c r="AD148" s="241"/>
    </row>
    <row r="149" spans="1:30" ht="75">
      <c r="A149" s="69"/>
      <c r="B149" s="369"/>
      <c r="C149" s="370"/>
      <c r="D149" s="377" t="s">
        <v>546</v>
      </c>
      <c r="E149" s="378" t="s">
        <v>350</v>
      </c>
      <c r="F149" s="33" t="s">
        <v>351</v>
      </c>
      <c r="G149" s="51" t="s">
        <v>352</v>
      </c>
      <c r="H149" s="35" t="s">
        <v>445</v>
      </c>
      <c r="I149" s="35" t="s">
        <v>446</v>
      </c>
      <c r="J149" s="36" t="str">
        <f t="shared" si="2"/>
        <v>Identificar col·lectius estratègics implicats en la gestió i l'ús del territori</v>
      </c>
      <c r="K149" s="37"/>
      <c r="L149" s="38" t="s">
        <v>940</v>
      </c>
      <c r="M149" s="39" t="s">
        <v>941</v>
      </c>
      <c r="N149" s="38" t="s">
        <v>1413</v>
      </c>
      <c r="O149" s="38"/>
      <c r="P149" s="236"/>
      <c r="Q149" s="373" t="s">
        <v>538</v>
      </c>
      <c r="R149" s="237"/>
      <c r="S149" s="238" t="s">
        <v>1414</v>
      </c>
      <c r="T149" s="238" t="s">
        <v>1415</v>
      </c>
      <c r="U149" s="238" t="s">
        <v>1416</v>
      </c>
      <c r="V149" s="239">
        <v>60</v>
      </c>
      <c r="W149" s="241" t="s">
        <v>1377</v>
      </c>
      <c r="X149" s="238" t="s">
        <v>1081</v>
      </c>
      <c r="Y149" s="238"/>
      <c r="Z149" s="241"/>
      <c r="AA149" s="241"/>
      <c r="AB149" s="241"/>
      <c r="AC149" s="241"/>
      <c r="AD149" s="241"/>
    </row>
    <row r="150" spans="1:30" ht="135">
      <c r="A150" s="69"/>
      <c r="B150" s="369"/>
      <c r="C150" s="370"/>
      <c r="D150" s="371"/>
      <c r="E150" s="372"/>
      <c r="F150" s="33" t="s">
        <v>353</v>
      </c>
      <c r="G150" s="34" t="s">
        <v>354</v>
      </c>
      <c r="H150" s="35" t="s">
        <v>445</v>
      </c>
      <c r="I150" s="35" t="s">
        <v>448</v>
      </c>
      <c r="J150" s="36" t="str">
        <f t="shared" si="2"/>
        <v>Executar els projectes de sensibilització i formació dirigits al sector turístic, esportiu i de lleure</v>
      </c>
      <c r="K150" s="37"/>
      <c r="L150" s="38" t="s">
        <v>940</v>
      </c>
      <c r="M150" s="39" t="s">
        <v>950</v>
      </c>
      <c r="N150" s="38" t="s">
        <v>1417</v>
      </c>
      <c r="O150" s="38"/>
      <c r="P150" s="236" t="s">
        <v>1418</v>
      </c>
      <c r="Q150" s="373" t="s">
        <v>538</v>
      </c>
      <c r="R150" s="380"/>
      <c r="S150" s="238" t="s">
        <v>1419</v>
      </c>
      <c r="T150" s="238" t="s">
        <v>1420</v>
      </c>
      <c r="U150" s="238" t="s">
        <v>1421</v>
      </c>
      <c r="V150" s="239">
        <v>100</v>
      </c>
      <c r="W150" s="241" t="s">
        <v>1377</v>
      </c>
      <c r="X150" s="238" t="s">
        <v>1081</v>
      </c>
      <c r="Y150" s="238"/>
      <c r="Z150" s="241"/>
      <c r="AA150" s="241"/>
      <c r="AB150" s="241"/>
      <c r="AC150" s="241"/>
      <c r="AD150" s="241"/>
    </row>
    <row r="151" spans="1:30" ht="75">
      <c r="A151" s="69"/>
      <c r="B151" s="369"/>
      <c r="C151" s="370"/>
      <c r="D151" s="371"/>
      <c r="E151" s="372"/>
      <c r="F151" s="33" t="s">
        <v>355</v>
      </c>
      <c r="G151" s="34" t="s">
        <v>356</v>
      </c>
      <c r="H151" s="35" t="s">
        <v>445</v>
      </c>
      <c r="I151" s="35" t="s">
        <v>448</v>
      </c>
      <c r="J151" s="36" t="str">
        <f t="shared" si="2"/>
        <v xml:space="preserve">Executar els projectes de sensibilització i formació dirigits als agents de lleure educatiu </v>
      </c>
      <c r="K151" s="37"/>
      <c r="L151" s="38" t="s">
        <v>940</v>
      </c>
      <c r="M151" s="39" t="s">
        <v>950</v>
      </c>
      <c r="N151" s="38" t="s">
        <v>1422</v>
      </c>
      <c r="O151" s="38"/>
      <c r="P151" s="236" t="s">
        <v>1423</v>
      </c>
      <c r="Q151" s="373" t="s">
        <v>538</v>
      </c>
      <c r="R151" s="380"/>
      <c r="S151" s="238" t="s">
        <v>1424</v>
      </c>
      <c r="T151" s="238" t="s">
        <v>1425</v>
      </c>
      <c r="U151" s="238" t="s">
        <v>1426</v>
      </c>
      <c r="V151" s="239">
        <v>120</v>
      </c>
      <c r="W151" s="241" t="s">
        <v>1377</v>
      </c>
      <c r="X151" s="238" t="s">
        <v>1081</v>
      </c>
      <c r="Y151" s="238"/>
      <c r="Z151" s="241"/>
      <c r="AA151" s="241"/>
      <c r="AB151" s="241"/>
      <c r="AC151" s="241"/>
      <c r="AD151" s="241"/>
    </row>
    <row r="152" spans="1:30" ht="80.45" customHeight="1">
      <c r="A152" s="69"/>
      <c r="B152" s="369"/>
      <c r="C152" s="370"/>
      <c r="D152" s="371"/>
      <c r="E152" s="372"/>
      <c r="F152" s="33" t="s">
        <v>357</v>
      </c>
      <c r="G152" s="34" t="s">
        <v>358</v>
      </c>
      <c r="H152" s="35" t="s">
        <v>445</v>
      </c>
      <c r="I152" s="35" t="s">
        <v>448</v>
      </c>
      <c r="J152" s="36" t="str">
        <f t="shared" si="2"/>
        <v xml:space="preserve">Executar els projectes de sensibilització i formació dirigits als agents del sector primari </v>
      </c>
      <c r="K152" s="37"/>
      <c r="L152" s="38" t="s">
        <v>940</v>
      </c>
      <c r="M152" s="39" t="s">
        <v>950</v>
      </c>
      <c r="N152" s="38" t="s">
        <v>1427</v>
      </c>
      <c r="O152" s="38"/>
      <c r="P152" s="236" t="s">
        <v>1428</v>
      </c>
      <c r="Q152" s="373" t="s">
        <v>538</v>
      </c>
      <c r="R152" s="380"/>
      <c r="S152" s="238" t="s">
        <v>1429</v>
      </c>
      <c r="T152" s="238" t="s">
        <v>1430</v>
      </c>
      <c r="U152" s="238" t="s">
        <v>1430</v>
      </c>
      <c r="V152" s="239">
        <v>100</v>
      </c>
      <c r="W152" s="241" t="s">
        <v>1377</v>
      </c>
      <c r="X152" s="238" t="s">
        <v>1081</v>
      </c>
      <c r="Y152" s="238"/>
      <c r="Z152" s="241"/>
      <c r="AA152" s="241"/>
      <c r="AB152" s="241"/>
      <c r="AC152" s="241"/>
      <c r="AD152" s="241"/>
    </row>
    <row r="153" spans="1:30" ht="120">
      <c r="A153" s="69"/>
      <c r="B153" s="369"/>
      <c r="C153" s="370"/>
      <c r="D153" s="374"/>
      <c r="E153" s="375"/>
      <c r="F153" s="33" t="s">
        <v>359</v>
      </c>
      <c r="G153" s="51" t="s">
        <v>360</v>
      </c>
      <c r="H153" s="35" t="s">
        <v>445</v>
      </c>
      <c r="I153" s="35" t="s">
        <v>446</v>
      </c>
      <c r="J153" s="36" t="str">
        <f t="shared" si="2"/>
        <v>Elaborar i renovar periòdicament un programa d’educació ambiental adreçat a la població local que contribueixi a fomentar el sentiment de pertinença i la implicació en la conservació de l'ENP.</v>
      </c>
      <c r="K153" s="37"/>
      <c r="L153" s="38" t="s">
        <v>940</v>
      </c>
      <c r="M153" s="39" t="s">
        <v>941</v>
      </c>
      <c r="N153" s="38" t="s">
        <v>1431</v>
      </c>
      <c r="O153" s="38"/>
      <c r="P153" s="236"/>
      <c r="Q153" s="373" t="s">
        <v>538</v>
      </c>
      <c r="R153" s="237"/>
      <c r="S153" s="238" t="s">
        <v>1432</v>
      </c>
      <c r="T153" s="241">
        <v>4</v>
      </c>
      <c r="U153" s="241">
        <v>16</v>
      </c>
      <c r="V153" s="239">
        <v>100</v>
      </c>
      <c r="W153" s="241" t="s">
        <v>1377</v>
      </c>
      <c r="X153" s="238" t="s">
        <v>1081</v>
      </c>
      <c r="Y153" s="238"/>
      <c r="Z153" s="241"/>
      <c r="AA153" s="241"/>
      <c r="AB153" s="241"/>
      <c r="AC153" s="241"/>
      <c r="AD153" s="241"/>
    </row>
    <row r="154" spans="1:30" ht="60">
      <c r="A154" s="69"/>
      <c r="B154" s="369"/>
      <c r="C154" s="370"/>
      <c r="D154" s="377" t="s">
        <v>547</v>
      </c>
      <c r="E154" s="381" t="s">
        <v>361</v>
      </c>
      <c r="F154" s="33" t="s">
        <v>362</v>
      </c>
      <c r="G154" s="34" t="s">
        <v>363</v>
      </c>
      <c r="H154" s="35" t="s">
        <v>445</v>
      </c>
      <c r="I154" s="35" t="s">
        <v>446</v>
      </c>
      <c r="J154" s="36" t="str">
        <f t="shared" si="2"/>
        <v>Identificar els programes, projectes i accions en marxa o previstos a l’ENP que poden rebre el suport del voluntariat</v>
      </c>
      <c r="K154" s="37"/>
      <c r="L154" s="38" t="s">
        <v>940</v>
      </c>
      <c r="M154" s="39" t="s">
        <v>941</v>
      </c>
      <c r="N154" s="38" t="s">
        <v>1433</v>
      </c>
      <c r="O154" s="38"/>
      <c r="P154" s="236"/>
      <c r="Q154" s="373" t="s">
        <v>538</v>
      </c>
      <c r="R154" s="237"/>
      <c r="S154" s="238" t="s">
        <v>1434</v>
      </c>
      <c r="T154" s="241">
        <v>4</v>
      </c>
      <c r="U154" s="241">
        <v>16</v>
      </c>
      <c r="V154" s="239">
        <v>40</v>
      </c>
      <c r="W154" s="241" t="s">
        <v>1377</v>
      </c>
      <c r="X154" s="238" t="s">
        <v>1081</v>
      </c>
      <c r="Y154" s="238"/>
      <c r="Z154" s="241"/>
      <c r="AA154" s="241"/>
      <c r="AB154" s="241"/>
      <c r="AC154" s="241"/>
      <c r="AD154" s="241"/>
    </row>
    <row r="155" spans="1:30" ht="210">
      <c r="A155" s="69"/>
      <c r="B155" s="369"/>
      <c r="C155" s="370"/>
      <c r="D155" s="374"/>
      <c r="E155" s="375"/>
      <c r="F155" s="33" t="s">
        <v>364</v>
      </c>
      <c r="G155" s="34" t="s">
        <v>365</v>
      </c>
      <c r="H155" s="35" t="s">
        <v>445</v>
      </c>
      <c r="I155" s="35" t="s">
        <v>446</v>
      </c>
      <c r="J155" s="36" t="str">
        <f t="shared" si="2"/>
        <v>Establir un model de coordinació territorial amb agents clau del voluntariat ambiental</v>
      </c>
      <c r="K155" s="37"/>
      <c r="L155" s="38" t="s">
        <v>940</v>
      </c>
      <c r="M155" s="39" t="s">
        <v>950</v>
      </c>
      <c r="N155" s="38" t="s">
        <v>1435</v>
      </c>
      <c r="O155" s="38"/>
      <c r="P155" s="236"/>
      <c r="Q155" s="253" t="s">
        <v>548</v>
      </c>
      <c r="R155" s="237" t="s">
        <v>549</v>
      </c>
      <c r="S155" s="238" t="s">
        <v>1436</v>
      </c>
      <c r="T155" s="238" t="s">
        <v>1437</v>
      </c>
      <c r="U155" s="238" t="s">
        <v>1438</v>
      </c>
      <c r="V155" s="239">
        <v>80</v>
      </c>
      <c r="W155" s="241" t="s">
        <v>1377</v>
      </c>
      <c r="X155" s="238" t="s">
        <v>1081</v>
      </c>
      <c r="Y155" s="238"/>
      <c r="Z155" s="241"/>
      <c r="AA155" s="241"/>
      <c r="AB155" s="241"/>
      <c r="AC155" s="241"/>
      <c r="AD155" s="241"/>
    </row>
    <row r="156" spans="1:30" ht="150">
      <c r="A156" s="69"/>
      <c r="B156" s="369"/>
      <c r="C156" s="370"/>
      <c r="D156" s="382" t="s">
        <v>550</v>
      </c>
      <c r="E156" s="381" t="s">
        <v>366</v>
      </c>
      <c r="F156" s="72" t="s">
        <v>367</v>
      </c>
      <c r="G156" s="34" t="s">
        <v>368</v>
      </c>
      <c r="H156" s="35" t="s">
        <v>445</v>
      </c>
      <c r="I156" s="35" t="s">
        <v>446</v>
      </c>
      <c r="J156" s="36" t="str">
        <f t="shared" si="2"/>
        <v>Dissenyar i adaptar activitats inclusives per a persones amb necessitats específiques</v>
      </c>
      <c r="K156" s="37"/>
      <c r="L156" s="38" t="s">
        <v>940</v>
      </c>
      <c r="M156" s="39" t="s">
        <v>972</v>
      </c>
      <c r="N156" s="38" t="s">
        <v>1439</v>
      </c>
      <c r="O156" s="38"/>
      <c r="P156" s="236"/>
      <c r="Q156" s="373" t="s">
        <v>538</v>
      </c>
      <c r="R156" s="380"/>
      <c r="S156" s="238" t="s">
        <v>1440</v>
      </c>
      <c r="T156" s="238" t="s">
        <v>1441</v>
      </c>
      <c r="U156" s="238" t="s">
        <v>1442</v>
      </c>
      <c r="V156" s="239">
        <v>80</v>
      </c>
      <c r="W156" s="241" t="s">
        <v>1377</v>
      </c>
      <c r="X156" s="238" t="s">
        <v>1081</v>
      </c>
      <c r="Y156" s="238"/>
      <c r="Z156" s="241"/>
      <c r="AA156" s="241"/>
      <c r="AB156" s="241"/>
      <c r="AC156" s="241"/>
      <c r="AD156" s="241"/>
    </row>
    <row r="157" spans="1:30" ht="45">
      <c r="A157" s="69"/>
      <c r="B157" s="369"/>
      <c r="C157" s="370"/>
      <c r="D157" s="383"/>
      <c r="E157" s="372"/>
      <c r="F157" s="72" t="s">
        <v>369</v>
      </c>
      <c r="G157" s="34" t="s">
        <v>370</v>
      </c>
      <c r="H157" s="35" t="s">
        <v>445</v>
      </c>
      <c r="I157" s="35" t="s">
        <v>448</v>
      </c>
      <c r="J157" s="36" t="str">
        <f t="shared" si="2"/>
        <v>Formar el personal de l'ENP (informadors i personal que treballa de cara al públic) en accessibilitat, diversitat funcional i diversitat de gènere</v>
      </c>
      <c r="K157" s="37"/>
      <c r="L157" s="38" t="s">
        <v>940</v>
      </c>
      <c r="M157" s="39" t="s">
        <v>950</v>
      </c>
      <c r="N157" s="38" t="s">
        <v>1443</v>
      </c>
      <c r="O157" s="38"/>
      <c r="P157" s="236"/>
      <c r="Q157" s="373" t="s">
        <v>538</v>
      </c>
      <c r="R157" s="237"/>
      <c r="S157" s="238" t="s">
        <v>1444</v>
      </c>
      <c r="T157" s="241">
        <v>1</v>
      </c>
      <c r="U157" s="241">
        <v>4</v>
      </c>
      <c r="V157" s="239">
        <v>40</v>
      </c>
      <c r="W157" s="241" t="s">
        <v>1377</v>
      </c>
      <c r="X157" s="238" t="s">
        <v>1081</v>
      </c>
      <c r="Y157" s="238"/>
      <c r="Z157" s="241"/>
      <c r="AA157" s="241"/>
      <c r="AB157" s="241"/>
      <c r="AC157" s="241"/>
      <c r="AD157" s="241"/>
    </row>
    <row r="158" spans="1:30" ht="45">
      <c r="A158" s="69"/>
      <c r="B158" s="369"/>
      <c r="C158" s="370"/>
      <c r="D158" s="384"/>
      <c r="E158" s="375"/>
      <c r="F158" s="72" t="s">
        <v>371</v>
      </c>
      <c r="G158" s="34" t="s">
        <v>372</v>
      </c>
      <c r="H158" s="35" t="s">
        <v>445</v>
      </c>
      <c r="I158" s="35" t="s">
        <v>446</v>
      </c>
      <c r="J158" s="36" t="str">
        <f t="shared" si="2"/>
        <v>Incorporar la perspectiva de gènere als continguts i activitats de l'ENP</v>
      </c>
      <c r="K158" s="37"/>
      <c r="L158" s="38" t="s">
        <v>940</v>
      </c>
      <c r="M158" s="39" t="s">
        <v>950</v>
      </c>
      <c r="N158" s="38" t="s">
        <v>1445</v>
      </c>
      <c r="O158" s="38"/>
      <c r="P158" s="236"/>
      <c r="Q158" s="373" t="s">
        <v>538</v>
      </c>
      <c r="R158" s="237"/>
      <c r="S158" s="238" t="s">
        <v>1446</v>
      </c>
      <c r="T158" s="241">
        <v>2</v>
      </c>
      <c r="U158" s="241">
        <v>8</v>
      </c>
      <c r="V158" s="239">
        <v>20</v>
      </c>
      <c r="W158" s="241" t="s">
        <v>1377</v>
      </c>
      <c r="X158" s="238" t="s">
        <v>1081</v>
      </c>
      <c r="Y158" s="238"/>
      <c r="Z158" s="241"/>
      <c r="AA158" s="241"/>
      <c r="AB158" s="241"/>
      <c r="AC158" s="241"/>
      <c r="AD158" s="241"/>
    </row>
    <row r="159" spans="1:30" ht="45">
      <c r="A159" s="69"/>
      <c r="B159" s="369"/>
      <c r="C159" s="370"/>
      <c r="D159" s="382" t="s">
        <v>551</v>
      </c>
      <c r="E159" s="385" t="s">
        <v>373</v>
      </c>
      <c r="F159" s="72" t="s">
        <v>374</v>
      </c>
      <c r="G159" s="34" t="s">
        <v>375</v>
      </c>
      <c r="H159" s="35" t="s">
        <v>445</v>
      </c>
      <c r="I159" s="35" t="s">
        <v>448</v>
      </c>
      <c r="J159" s="36" t="str">
        <f t="shared" si="2"/>
        <v>Dissenyar, implementar i fomentar itineraris saludables dins dels itineraris oficials dels ENP i en la zona d'influència</v>
      </c>
      <c r="K159" s="37"/>
      <c r="L159" s="38" t="s">
        <v>940</v>
      </c>
      <c r="M159" s="39" t="s">
        <v>950</v>
      </c>
      <c r="N159" s="38" t="s">
        <v>1447</v>
      </c>
      <c r="O159" s="38"/>
      <c r="P159" s="236"/>
      <c r="Q159" s="373" t="s">
        <v>538</v>
      </c>
      <c r="R159" s="237"/>
      <c r="S159" s="238" t="s">
        <v>1448</v>
      </c>
      <c r="T159" s="241">
        <v>2</v>
      </c>
      <c r="U159" s="241">
        <v>8</v>
      </c>
      <c r="V159" s="239">
        <v>50</v>
      </c>
      <c r="W159" s="241" t="s">
        <v>1377</v>
      </c>
      <c r="X159" s="238" t="s">
        <v>1081</v>
      </c>
      <c r="Y159" s="238"/>
      <c r="Z159" s="241"/>
      <c r="AA159" s="241"/>
      <c r="AB159" s="241"/>
      <c r="AC159" s="241"/>
      <c r="AD159" s="241"/>
    </row>
    <row r="160" spans="1:30" ht="165">
      <c r="A160" s="69"/>
      <c r="B160" s="369"/>
      <c r="C160" s="370"/>
      <c r="D160" s="383"/>
      <c r="E160" s="372"/>
      <c r="F160" s="72" t="s">
        <v>376</v>
      </c>
      <c r="G160" s="51" t="s">
        <v>377</v>
      </c>
      <c r="H160" s="35" t="s">
        <v>445</v>
      </c>
      <c r="I160" s="35" t="s">
        <v>448</v>
      </c>
      <c r="J160" s="36" t="str">
        <f t="shared" si="2"/>
        <v>Identificar els agents clau i els àmbits de col·laboració per implementar el binomi salut i natura</v>
      </c>
      <c r="K160" s="37"/>
      <c r="L160" s="38" t="s">
        <v>940</v>
      </c>
      <c r="M160" s="39" t="s">
        <v>950</v>
      </c>
      <c r="N160" s="71" t="s">
        <v>1449</v>
      </c>
      <c r="O160" s="71"/>
      <c r="P160" s="308"/>
      <c r="Q160" s="373" t="s">
        <v>538</v>
      </c>
      <c r="R160" s="237"/>
      <c r="S160" s="238" t="s">
        <v>1450</v>
      </c>
      <c r="T160" s="238" t="s">
        <v>1451</v>
      </c>
      <c r="U160" s="238" t="s">
        <v>1452</v>
      </c>
      <c r="V160" s="239">
        <v>80</v>
      </c>
      <c r="W160" s="241" t="s">
        <v>1377</v>
      </c>
      <c r="X160" s="238" t="s">
        <v>1081</v>
      </c>
      <c r="Y160" s="238"/>
      <c r="Z160" s="241"/>
      <c r="AA160" s="241"/>
      <c r="AB160" s="241"/>
      <c r="AC160" s="241"/>
      <c r="AD160" s="241"/>
    </row>
    <row r="161" spans="1:30" ht="135">
      <c r="A161" s="69"/>
      <c r="B161" s="369"/>
      <c r="C161" s="370"/>
      <c r="D161" s="383"/>
      <c r="E161" s="372"/>
      <c r="F161" s="72" t="s">
        <v>378</v>
      </c>
      <c r="G161" s="34" t="s">
        <v>379</v>
      </c>
      <c r="H161" s="35" t="s">
        <v>445</v>
      </c>
      <c r="I161" s="35" t="s">
        <v>448</v>
      </c>
      <c r="J161" s="36" t="str">
        <f t="shared" si="2"/>
        <v xml:space="preserve">Incloure el concepte de salut i natura en els missatges educatius i comunicatius de l'ENP </v>
      </c>
      <c r="K161" s="37"/>
      <c r="L161" s="38" t="s">
        <v>940</v>
      </c>
      <c r="M161" s="39" t="s">
        <v>950</v>
      </c>
      <c r="N161" s="38" t="s">
        <v>1453</v>
      </c>
      <c r="O161" s="38"/>
      <c r="P161" s="308"/>
      <c r="Q161" s="373" t="s">
        <v>538</v>
      </c>
      <c r="R161" s="237"/>
      <c r="S161" s="238" t="s">
        <v>1454</v>
      </c>
      <c r="T161" s="238" t="s">
        <v>1455</v>
      </c>
      <c r="U161" s="238" t="s">
        <v>1456</v>
      </c>
      <c r="V161" s="239">
        <v>60</v>
      </c>
      <c r="W161" s="241" t="s">
        <v>1377</v>
      </c>
      <c r="X161" s="238" t="s">
        <v>1081</v>
      </c>
      <c r="Y161" s="238"/>
      <c r="Z161" s="241"/>
      <c r="AA161" s="241"/>
      <c r="AB161" s="241"/>
      <c r="AC161" s="241"/>
      <c r="AD161" s="241"/>
    </row>
    <row r="162" spans="1:30" ht="30">
      <c r="A162" s="69"/>
      <c r="B162" s="386"/>
      <c r="C162" s="387"/>
      <c r="D162" s="384"/>
      <c r="E162" s="375"/>
      <c r="F162" s="72" t="s">
        <v>380</v>
      </c>
      <c r="G162" s="51" t="s">
        <v>381</v>
      </c>
      <c r="H162" s="35" t="s">
        <v>445</v>
      </c>
      <c r="I162" s="35" t="s">
        <v>448</v>
      </c>
      <c r="J162" s="36" t="s">
        <v>1457</v>
      </c>
      <c r="K162" s="44" t="s">
        <v>1085</v>
      </c>
      <c r="L162" s="38" t="s">
        <v>940</v>
      </c>
      <c r="M162" s="39" t="s">
        <v>950</v>
      </c>
      <c r="N162" s="38" t="s">
        <v>1458</v>
      </c>
      <c r="O162" s="38"/>
      <c r="P162" s="236"/>
      <c r="Q162" s="373" t="s">
        <v>538</v>
      </c>
      <c r="R162" s="237"/>
      <c r="S162" s="238" t="s">
        <v>1459</v>
      </c>
      <c r="T162" s="241">
        <v>4</v>
      </c>
      <c r="U162" s="241">
        <v>8</v>
      </c>
      <c r="V162" s="239">
        <v>60</v>
      </c>
      <c r="W162" s="241" t="s">
        <v>1377</v>
      </c>
      <c r="X162" s="238" t="s">
        <v>1081</v>
      </c>
      <c r="Y162" s="238"/>
      <c r="Z162" s="241"/>
      <c r="AA162" s="241"/>
      <c r="AB162" s="241"/>
      <c r="AC162" s="241"/>
      <c r="AD162" s="241"/>
    </row>
    <row r="163" spans="1:30" ht="195">
      <c r="A163" s="388"/>
      <c r="B163" s="389">
        <v>14</v>
      </c>
      <c r="C163" s="390" t="s">
        <v>382</v>
      </c>
      <c r="D163" s="391" t="s">
        <v>552</v>
      </c>
      <c r="E163" s="378" t="s">
        <v>383</v>
      </c>
      <c r="F163" s="33" t="s">
        <v>384</v>
      </c>
      <c r="G163" s="34" t="s">
        <v>385</v>
      </c>
      <c r="H163" s="35" t="s">
        <v>445</v>
      </c>
      <c r="I163" s="35" t="s">
        <v>446</v>
      </c>
      <c r="J163" s="36" t="str">
        <f t="shared" si="2"/>
        <v>Informar periòdicament sobre les tasques, projectes i actuacions que duu a terme l'ENP a la població</v>
      </c>
      <c r="K163" s="37"/>
      <c r="L163" s="38" t="s">
        <v>940</v>
      </c>
      <c r="M163" s="39" t="s">
        <v>972</v>
      </c>
      <c r="N163" s="52" t="s">
        <v>1460</v>
      </c>
      <c r="O163" s="52"/>
      <c r="P163" s="308"/>
      <c r="Q163" s="39" t="s">
        <v>553</v>
      </c>
      <c r="R163" s="237" t="s">
        <v>554</v>
      </c>
      <c r="S163" s="238" t="s">
        <v>1461</v>
      </c>
      <c r="T163" s="238" t="s">
        <v>1462</v>
      </c>
      <c r="U163" s="238" t="s">
        <v>1463</v>
      </c>
      <c r="V163" s="239">
        <v>350</v>
      </c>
      <c r="W163" s="241" t="s">
        <v>1377</v>
      </c>
      <c r="X163" s="238" t="s">
        <v>1081</v>
      </c>
      <c r="Y163" s="238"/>
      <c r="Z163" s="241"/>
      <c r="AA163" s="241"/>
      <c r="AB163" s="241"/>
      <c r="AC163" s="241"/>
      <c r="AD163" s="241"/>
    </row>
    <row r="164" spans="1:30" ht="60">
      <c r="A164" s="388"/>
      <c r="B164" s="389"/>
      <c r="C164" s="390"/>
      <c r="D164" s="391"/>
      <c r="E164" s="375"/>
      <c r="F164" s="33" t="s">
        <v>386</v>
      </c>
      <c r="G164" s="34" t="s">
        <v>387</v>
      </c>
      <c r="H164" s="35" t="s">
        <v>445</v>
      </c>
      <c r="I164" s="35" t="s">
        <v>446</v>
      </c>
      <c r="J164" s="36" t="str">
        <f t="shared" si="2"/>
        <v>Garantir l'accessibilitat i gestió del coneixement disponible sobre l'ENP</v>
      </c>
      <c r="K164" s="37"/>
      <c r="L164" s="38" t="s">
        <v>940</v>
      </c>
      <c r="M164" s="39" t="s">
        <v>972</v>
      </c>
      <c r="N164" s="52" t="s">
        <v>1464</v>
      </c>
      <c r="O164" s="52"/>
      <c r="P164" s="308"/>
      <c r="Q164" s="39"/>
      <c r="R164" s="237"/>
      <c r="S164" s="333" t="s">
        <v>1465</v>
      </c>
      <c r="T164" s="241">
        <v>2</v>
      </c>
      <c r="U164" s="241">
        <v>4</v>
      </c>
      <c r="V164" s="239">
        <v>45</v>
      </c>
      <c r="W164" s="241" t="s">
        <v>1377</v>
      </c>
      <c r="X164" s="238" t="s">
        <v>1081</v>
      </c>
      <c r="Y164" s="238"/>
      <c r="Z164" s="241"/>
      <c r="AA164" s="241"/>
      <c r="AB164" s="241"/>
      <c r="AC164" s="241"/>
      <c r="AD164" s="241"/>
    </row>
    <row r="165" spans="1:30" ht="135">
      <c r="A165" s="388"/>
      <c r="B165" s="389"/>
      <c r="C165" s="390"/>
      <c r="D165" s="73" t="s">
        <v>555</v>
      </c>
      <c r="E165" s="74" t="s">
        <v>388</v>
      </c>
      <c r="F165" s="33" t="s">
        <v>389</v>
      </c>
      <c r="G165" s="34" t="s">
        <v>390</v>
      </c>
      <c r="H165" s="35" t="s">
        <v>445</v>
      </c>
      <c r="I165" s="35" t="s">
        <v>446</v>
      </c>
      <c r="J165" s="36" t="str">
        <f t="shared" si="2"/>
        <v>Sensibilitzar als diferents agents sobre els valors de l'ENP</v>
      </c>
      <c r="K165" s="37"/>
      <c r="L165" s="38" t="s">
        <v>940</v>
      </c>
      <c r="M165" s="39" t="s">
        <v>972</v>
      </c>
      <c r="N165" s="52" t="s">
        <v>1466</v>
      </c>
      <c r="O165" s="52"/>
      <c r="P165" s="308"/>
      <c r="Q165" s="39"/>
      <c r="R165" s="237" t="s">
        <v>556</v>
      </c>
      <c r="S165" s="238" t="s">
        <v>1467</v>
      </c>
      <c r="T165" s="238" t="s">
        <v>1042</v>
      </c>
      <c r="U165" s="238" t="s">
        <v>1425</v>
      </c>
      <c r="V165" s="239">
        <v>140</v>
      </c>
      <c r="W165" s="241" t="s">
        <v>1377</v>
      </c>
      <c r="X165" s="238" t="s">
        <v>1081</v>
      </c>
      <c r="Y165" s="238"/>
      <c r="Z165" s="241"/>
      <c r="AA165" s="241"/>
      <c r="AB165" s="241"/>
      <c r="AC165" s="241"/>
      <c r="AD165" s="241"/>
    </row>
    <row r="166" spans="1:30" ht="105">
      <c r="A166" s="388"/>
      <c r="B166" s="389"/>
      <c r="C166" s="390"/>
      <c r="D166" s="391" t="s">
        <v>557</v>
      </c>
      <c r="E166" s="392" t="s">
        <v>391</v>
      </c>
      <c r="F166" s="33" t="s">
        <v>392</v>
      </c>
      <c r="G166" s="34" t="s">
        <v>393</v>
      </c>
      <c r="H166" s="35" t="s">
        <v>445</v>
      </c>
      <c r="I166" s="35" t="s">
        <v>446</v>
      </c>
      <c r="J166" s="36" t="str">
        <f t="shared" si="2"/>
        <v>Optimitzar els canals de comunicació</v>
      </c>
      <c r="K166" s="37"/>
      <c r="L166" s="38" t="s">
        <v>940</v>
      </c>
      <c r="M166" s="39" t="s">
        <v>972</v>
      </c>
      <c r="N166" s="52" t="s">
        <v>1468</v>
      </c>
      <c r="O166" s="52"/>
      <c r="P166" s="308"/>
      <c r="Q166" s="39" t="s">
        <v>553</v>
      </c>
      <c r="R166" s="237"/>
      <c r="S166" s="238" t="s">
        <v>1469</v>
      </c>
      <c r="T166" s="238" t="s">
        <v>1470</v>
      </c>
      <c r="U166" s="238" t="s">
        <v>1471</v>
      </c>
      <c r="V166" s="239">
        <v>300</v>
      </c>
      <c r="W166" s="241" t="s">
        <v>1377</v>
      </c>
      <c r="X166" s="238" t="s">
        <v>1081</v>
      </c>
      <c r="Y166" s="238"/>
      <c r="Z166" s="241"/>
      <c r="AA166" s="241"/>
      <c r="AB166" s="241"/>
      <c r="AC166" s="241"/>
      <c r="AD166" s="241"/>
    </row>
    <row r="167" spans="1:30" ht="165">
      <c r="A167" s="388"/>
      <c r="B167" s="389"/>
      <c r="C167" s="390"/>
      <c r="D167" s="391"/>
      <c r="E167" s="392"/>
      <c r="F167" s="33" t="s">
        <v>394</v>
      </c>
      <c r="G167" s="34" t="s">
        <v>395</v>
      </c>
      <c r="H167" s="35" t="s">
        <v>445</v>
      </c>
      <c r="I167" s="35" t="s">
        <v>446</v>
      </c>
      <c r="J167" s="36" t="str">
        <f t="shared" si="2"/>
        <v>Garantir l'harmonització de la comunicació com a Parc, Xarxa i Generalitat.</v>
      </c>
      <c r="K167" s="37"/>
      <c r="L167" s="38" t="s">
        <v>940</v>
      </c>
      <c r="M167" s="39" t="s">
        <v>972</v>
      </c>
      <c r="N167" s="52" t="s">
        <v>1472</v>
      </c>
      <c r="O167" s="52"/>
      <c r="P167" s="308"/>
      <c r="Q167" s="39" t="s">
        <v>553</v>
      </c>
      <c r="R167" s="237"/>
      <c r="S167" s="238" t="s">
        <v>1473</v>
      </c>
      <c r="T167" s="241">
        <v>12</v>
      </c>
      <c r="U167" s="241">
        <v>48</v>
      </c>
      <c r="V167" s="239">
        <v>300</v>
      </c>
      <c r="W167" s="241" t="s">
        <v>1377</v>
      </c>
      <c r="X167" s="238" t="s">
        <v>1081</v>
      </c>
      <c r="Y167" s="238"/>
      <c r="Z167" s="241"/>
      <c r="AA167" s="241"/>
      <c r="AB167" s="241"/>
      <c r="AC167" s="241"/>
      <c r="AD167" s="241"/>
    </row>
    <row r="168" spans="1:30" ht="45">
      <c r="A168" s="75" t="s">
        <v>396</v>
      </c>
      <c r="B168" s="393">
        <v>15</v>
      </c>
      <c r="C168" s="394" t="s">
        <v>397</v>
      </c>
      <c r="D168" s="395" t="s">
        <v>558</v>
      </c>
      <c r="E168" s="396" t="s">
        <v>398</v>
      </c>
      <c r="F168" s="33" t="s">
        <v>399</v>
      </c>
      <c r="G168" s="34" t="s">
        <v>400</v>
      </c>
      <c r="H168" s="35" t="s">
        <v>445</v>
      </c>
      <c r="I168" s="35" t="s">
        <v>448</v>
      </c>
      <c r="J168" s="273" t="s">
        <v>400</v>
      </c>
      <c r="K168" s="397"/>
      <c r="L168" s="398" t="s">
        <v>940</v>
      </c>
      <c r="M168" s="399" t="s">
        <v>950</v>
      </c>
      <c r="N168" s="52" t="s">
        <v>1474</v>
      </c>
      <c r="O168" s="52"/>
      <c r="P168" s="308"/>
      <c r="Q168" s="39"/>
      <c r="R168" s="246"/>
      <c r="S168" s="400" t="s">
        <v>1475</v>
      </c>
      <c r="T168" s="401" t="s">
        <v>1476</v>
      </c>
      <c r="U168" s="401" t="s">
        <v>1477</v>
      </c>
      <c r="V168" s="402">
        <v>250</v>
      </c>
      <c r="W168" s="401" t="s">
        <v>1361</v>
      </c>
      <c r="X168" s="401" t="s">
        <v>1362</v>
      </c>
      <c r="Y168" s="401"/>
      <c r="Z168" s="241"/>
      <c r="AA168" s="241"/>
      <c r="AB168" s="241"/>
      <c r="AC168" s="241"/>
      <c r="AD168" s="241"/>
    </row>
    <row r="169" spans="1:30" ht="30">
      <c r="A169" s="75"/>
      <c r="B169" s="403"/>
      <c r="C169" s="404"/>
      <c r="D169" s="405"/>
      <c r="E169" s="406"/>
      <c r="F169" s="33" t="s">
        <v>401</v>
      </c>
      <c r="G169" s="34" t="s">
        <v>402</v>
      </c>
      <c r="H169" s="35" t="s">
        <v>445</v>
      </c>
      <c r="I169" s="35" t="s">
        <v>448</v>
      </c>
      <c r="J169" s="273" t="s">
        <v>402</v>
      </c>
      <c r="K169" s="397"/>
      <c r="L169" s="398" t="s">
        <v>940</v>
      </c>
      <c r="M169" s="399" t="s">
        <v>950</v>
      </c>
      <c r="N169" s="52" t="s">
        <v>1478</v>
      </c>
      <c r="O169" s="52"/>
      <c r="P169" s="308"/>
      <c r="Q169" s="39"/>
      <c r="R169" s="246"/>
      <c r="S169" s="407" t="s">
        <v>1479</v>
      </c>
      <c r="T169" s="401" t="s">
        <v>1366</v>
      </c>
      <c r="U169" s="401" t="s">
        <v>1480</v>
      </c>
      <c r="V169" s="402">
        <v>220</v>
      </c>
      <c r="W169" s="401" t="s">
        <v>1361</v>
      </c>
      <c r="X169" s="401" t="s">
        <v>1362</v>
      </c>
      <c r="Y169" s="401"/>
      <c r="Z169" s="241"/>
      <c r="AA169" s="241"/>
      <c r="AB169" s="241"/>
      <c r="AC169" s="241"/>
      <c r="AD169" s="241" t="s">
        <v>1481</v>
      </c>
    </row>
    <row r="170" spans="1:30" ht="45">
      <c r="A170" s="75"/>
      <c r="B170" s="403"/>
      <c r="C170" s="404"/>
      <c r="D170" s="405"/>
      <c r="E170" s="406"/>
      <c r="F170" s="33" t="s">
        <v>403</v>
      </c>
      <c r="G170" s="34" t="s">
        <v>404</v>
      </c>
      <c r="H170" s="35" t="s">
        <v>445</v>
      </c>
      <c r="I170" s="35" t="s">
        <v>448</v>
      </c>
      <c r="J170" s="273" t="s">
        <v>404</v>
      </c>
      <c r="K170" s="397" t="s">
        <v>1482</v>
      </c>
      <c r="L170" s="398" t="s">
        <v>940</v>
      </c>
      <c r="M170" s="399" t="s">
        <v>972</v>
      </c>
      <c r="N170" s="52" t="s">
        <v>1483</v>
      </c>
      <c r="O170" s="52"/>
      <c r="P170" s="308"/>
      <c r="Q170" s="39"/>
      <c r="R170" s="246"/>
      <c r="S170" s="400" t="s">
        <v>1484</v>
      </c>
      <c r="T170" s="401">
        <v>1</v>
      </c>
      <c r="U170" s="401">
        <v>2</v>
      </c>
      <c r="V170" s="402">
        <v>150</v>
      </c>
      <c r="W170" s="401" t="s">
        <v>1361</v>
      </c>
      <c r="X170" s="401" t="s">
        <v>1362</v>
      </c>
      <c r="Y170" s="401"/>
      <c r="Z170" s="241"/>
      <c r="AA170" s="241"/>
      <c r="AB170" s="241"/>
      <c r="AC170" s="241"/>
      <c r="AD170" s="241" t="s">
        <v>1485</v>
      </c>
    </row>
    <row r="171" spans="1:30" ht="45">
      <c r="A171" s="75"/>
      <c r="B171" s="403"/>
      <c r="C171" s="404"/>
      <c r="D171" s="408"/>
      <c r="E171" s="409"/>
      <c r="F171" s="33" t="s">
        <v>405</v>
      </c>
      <c r="G171" s="34" t="s">
        <v>406</v>
      </c>
      <c r="H171" s="35" t="s">
        <v>445</v>
      </c>
      <c r="I171" s="35" t="s">
        <v>446</v>
      </c>
      <c r="J171" s="273" t="s">
        <v>406</v>
      </c>
      <c r="K171" s="397"/>
      <c r="L171" s="398" t="s">
        <v>940</v>
      </c>
      <c r="M171" s="399" t="s">
        <v>941</v>
      </c>
      <c r="N171" s="52" t="s">
        <v>1486</v>
      </c>
      <c r="O171" s="52"/>
      <c r="P171" s="308"/>
      <c r="Q171" s="39"/>
      <c r="R171" s="36" t="s">
        <v>559</v>
      </c>
      <c r="S171" s="401" t="s">
        <v>1487</v>
      </c>
      <c r="T171" s="401">
        <v>2027</v>
      </c>
      <c r="U171" s="401">
        <v>2025</v>
      </c>
      <c r="V171" s="402">
        <v>500</v>
      </c>
      <c r="W171" s="401" t="s">
        <v>1361</v>
      </c>
      <c r="X171" s="401" t="s">
        <v>1362</v>
      </c>
      <c r="Y171" s="401"/>
      <c r="Z171" s="241"/>
      <c r="AA171" s="241"/>
      <c r="AB171" s="241"/>
      <c r="AC171" s="241"/>
      <c r="AD171" s="241" t="s">
        <v>1488</v>
      </c>
    </row>
    <row r="172" spans="1:30" ht="120">
      <c r="A172" s="75"/>
      <c r="B172" s="76">
        <v>16</v>
      </c>
      <c r="C172" s="77" t="s">
        <v>407</v>
      </c>
      <c r="D172" s="78" t="s">
        <v>560</v>
      </c>
      <c r="E172" s="410" t="s">
        <v>408</v>
      </c>
      <c r="F172" s="33" t="s">
        <v>409</v>
      </c>
      <c r="G172" s="34" t="s">
        <v>410</v>
      </c>
      <c r="H172" s="35" t="s">
        <v>445</v>
      </c>
      <c r="I172" s="35" t="s">
        <v>446</v>
      </c>
      <c r="J172" s="36" t="s">
        <v>1489</v>
      </c>
      <c r="K172" s="44" t="s">
        <v>1085</v>
      </c>
      <c r="L172" s="398" t="s">
        <v>940</v>
      </c>
      <c r="M172" s="399" t="s">
        <v>950</v>
      </c>
      <c r="N172" s="52" t="s">
        <v>1490</v>
      </c>
      <c r="O172" s="52"/>
      <c r="P172" s="308" t="s">
        <v>1491</v>
      </c>
      <c r="Q172" s="39"/>
      <c r="R172" s="246" t="s">
        <v>561</v>
      </c>
      <c r="S172" s="401" t="s">
        <v>1492</v>
      </c>
      <c r="T172" s="401">
        <v>100</v>
      </c>
      <c r="U172" s="401">
        <v>100</v>
      </c>
      <c r="V172" s="402">
        <f>1500+2200</f>
        <v>3700</v>
      </c>
      <c r="W172" s="401" t="s">
        <v>1493</v>
      </c>
      <c r="X172" s="401" t="s">
        <v>1494</v>
      </c>
      <c r="Y172" s="401"/>
      <c r="Z172" s="241"/>
      <c r="AA172" s="241"/>
      <c r="AB172" s="241"/>
      <c r="AC172" s="241"/>
      <c r="AD172" s="241"/>
    </row>
    <row r="173" spans="1:30" ht="45">
      <c r="A173" s="411"/>
      <c r="B173" s="412"/>
      <c r="C173" s="413"/>
      <c r="D173" s="414" t="s">
        <v>562</v>
      </c>
      <c r="E173" s="415" t="s">
        <v>411</v>
      </c>
      <c r="F173" s="33" t="s">
        <v>412</v>
      </c>
      <c r="G173" s="34" t="s">
        <v>413</v>
      </c>
      <c r="H173" s="35" t="s">
        <v>445</v>
      </c>
      <c r="I173" s="35" t="s">
        <v>446</v>
      </c>
      <c r="J173" s="36" t="s">
        <v>1495</v>
      </c>
      <c r="K173" s="397" t="s">
        <v>1496</v>
      </c>
      <c r="L173" s="398" t="s">
        <v>1046</v>
      </c>
      <c r="M173" s="399"/>
      <c r="N173" s="52"/>
      <c r="O173" s="52"/>
      <c r="P173" s="308"/>
      <c r="Q173" s="39"/>
      <c r="R173" s="237" t="s">
        <v>563</v>
      </c>
      <c r="S173" s="400"/>
      <c r="T173" s="401"/>
      <c r="U173" s="401"/>
      <c r="V173" s="401"/>
      <c r="W173" s="401"/>
      <c r="X173" s="401"/>
      <c r="Y173" s="401"/>
      <c r="Z173" s="241"/>
      <c r="AA173" s="241"/>
      <c r="AB173" s="241"/>
      <c r="AC173" s="241"/>
      <c r="AD173" s="241"/>
    </row>
    <row r="174" spans="1:30" ht="105">
      <c r="A174" s="411"/>
      <c r="B174" s="412"/>
      <c r="C174" s="413"/>
      <c r="D174" s="405"/>
      <c r="E174" s="406"/>
      <c r="F174" s="33" t="s">
        <v>414</v>
      </c>
      <c r="G174" s="79" t="s">
        <v>415</v>
      </c>
      <c r="H174" s="35" t="s">
        <v>445</v>
      </c>
      <c r="I174" s="35" t="s">
        <v>446</v>
      </c>
      <c r="J174" s="416" t="s">
        <v>1497</v>
      </c>
      <c r="K174" s="44" t="s">
        <v>1085</v>
      </c>
      <c r="L174" s="398" t="s">
        <v>940</v>
      </c>
      <c r="M174" s="399" t="s">
        <v>972</v>
      </c>
      <c r="N174" s="36" t="s">
        <v>1498</v>
      </c>
      <c r="O174" s="36"/>
      <c r="P174" s="36"/>
      <c r="Q174" s="39"/>
      <c r="R174" s="237"/>
      <c r="S174" s="400" t="s">
        <v>1499</v>
      </c>
      <c r="T174" s="401">
        <v>40</v>
      </c>
      <c r="U174" s="401">
        <v>100</v>
      </c>
      <c r="V174" s="402">
        <v>1500</v>
      </c>
      <c r="W174" s="401" t="s">
        <v>1500</v>
      </c>
      <c r="X174" s="401" t="s">
        <v>1501</v>
      </c>
      <c r="Y174" s="401"/>
      <c r="Z174" s="401"/>
      <c r="AA174" s="241"/>
      <c r="AB174" s="241"/>
      <c r="AC174" s="241"/>
      <c r="AD174" s="401" t="s">
        <v>1502</v>
      </c>
    </row>
    <row r="175" spans="1:30" ht="45">
      <c r="A175" s="411"/>
      <c r="B175" s="412"/>
      <c r="C175" s="413"/>
      <c r="D175" s="405"/>
      <c r="E175" s="406"/>
      <c r="F175" s="33" t="s">
        <v>416</v>
      </c>
      <c r="G175" s="79" t="s">
        <v>417</v>
      </c>
      <c r="H175" s="35" t="s">
        <v>445</v>
      </c>
      <c r="I175" s="35" t="s">
        <v>446</v>
      </c>
      <c r="J175" s="273" t="str">
        <f>G175</f>
        <v>Establir i renovar en temps i forma convenis de col·laboració, convenis marc, acords, protocols i altres instruments de col·laboració.</v>
      </c>
      <c r="K175" s="398" t="s">
        <v>1503</v>
      </c>
      <c r="L175" s="398" t="s">
        <v>1046</v>
      </c>
      <c r="M175" s="399"/>
      <c r="N175" s="36"/>
      <c r="O175" s="36"/>
      <c r="P175" s="36"/>
      <c r="Q175" s="39"/>
      <c r="R175" s="246" t="s">
        <v>564</v>
      </c>
      <c r="S175" s="401"/>
      <c r="T175" s="401"/>
      <c r="U175" s="401"/>
      <c r="V175" s="401"/>
      <c r="W175" s="401"/>
      <c r="X175" s="401"/>
      <c r="Y175" s="401"/>
      <c r="Z175" s="241"/>
      <c r="AA175" s="241"/>
      <c r="AB175" s="241"/>
      <c r="AC175" s="241"/>
      <c r="AD175" s="241"/>
    </row>
    <row r="176" spans="1:30" ht="30">
      <c r="A176" s="411"/>
      <c r="B176" s="412"/>
      <c r="C176" s="413"/>
      <c r="D176" s="80" t="s">
        <v>565</v>
      </c>
      <c r="E176" s="81" t="s">
        <v>418</v>
      </c>
      <c r="F176" s="33" t="s">
        <v>419</v>
      </c>
      <c r="G176" s="79" t="s">
        <v>420</v>
      </c>
      <c r="H176" s="35" t="s">
        <v>445</v>
      </c>
      <c r="I176" s="35" t="s">
        <v>446</v>
      </c>
      <c r="J176" s="273" t="str">
        <f>G176</f>
        <v>Optimitzar l'elaboració d'informes</v>
      </c>
      <c r="K176" s="398" t="s">
        <v>1503</v>
      </c>
      <c r="L176" s="398" t="s">
        <v>1046</v>
      </c>
      <c r="M176" s="399"/>
      <c r="N176" s="36"/>
      <c r="O176" s="36"/>
      <c r="P176" s="246"/>
      <c r="Q176" s="39"/>
      <c r="R176" s="237"/>
      <c r="S176" s="400"/>
      <c r="T176" s="401"/>
      <c r="U176" s="401"/>
      <c r="V176" s="401"/>
      <c r="W176" s="401"/>
      <c r="X176" s="401"/>
      <c r="Y176" s="401"/>
      <c r="Z176" s="241"/>
      <c r="AA176" s="241"/>
      <c r="AB176" s="241"/>
      <c r="AC176" s="241"/>
      <c r="AD176" s="241"/>
    </row>
    <row r="177" spans="1:30" ht="45">
      <c r="A177" s="411"/>
      <c r="B177" s="412"/>
      <c r="C177" s="413"/>
      <c r="D177" s="417"/>
      <c r="E177" s="418"/>
      <c r="F177" s="33" t="s">
        <v>421</v>
      </c>
      <c r="G177" s="34" t="s">
        <v>422</v>
      </c>
      <c r="H177" s="35" t="s">
        <v>445</v>
      </c>
      <c r="I177" s="35" t="s">
        <v>446</v>
      </c>
      <c r="J177" s="273" t="s">
        <v>422</v>
      </c>
      <c r="K177" s="398" t="s">
        <v>1504</v>
      </c>
      <c r="L177" s="398" t="s">
        <v>1046</v>
      </c>
      <c r="M177" s="399"/>
      <c r="N177" s="36"/>
      <c r="O177" s="36"/>
      <c r="P177" s="246"/>
      <c r="Q177" s="39"/>
      <c r="R177" s="246" t="s">
        <v>566</v>
      </c>
      <c r="S177" s="400"/>
      <c r="T177" s="401"/>
      <c r="U177" s="401"/>
      <c r="V177" s="401"/>
      <c r="W177" s="401"/>
      <c r="X177" s="401"/>
      <c r="Y177" s="401"/>
      <c r="Z177" s="241"/>
      <c r="AA177" s="241"/>
      <c r="AB177" s="241"/>
      <c r="AC177" s="241"/>
      <c r="AD177" s="241"/>
    </row>
    <row r="178" spans="1:30" ht="165">
      <c r="A178" s="411"/>
      <c r="B178" s="412"/>
      <c r="C178" s="413"/>
      <c r="D178" s="417"/>
      <c r="E178" s="418"/>
      <c r="F178" s="33" t="s">
        <v>423</v>
      </c>
      <c r="G178" s="79" t="s">
        <v>424</v>
      </c>
      <c r="H178" s="35" t="s">
        <v>445</v>
      </c>
      <c r="I178" s="35" t="s">
        <v>446</v>
      </c>
      <c r="J178" s="273" t="s">
        <v>424</v>
      </c>
      <c r="K178" s="398"/>
      <c r="L178" s="398" t="s">
        <v>940</v>
      </c>
      <c r="M178" s="399" t="s">
        <v>950</v>
      </c>
      <c r="N178" s="52" t="s">
        <v>1505</v>
      </c>
      <c r="O178" s="52"/>
      <c r="P178" s="246" t="s">
        <v>1506</v>
      </c>
      <c r="Q178" s="39"/>
      <c r="R178" s="237"/>
      <c r="S178" s="400" t="s">
        <v>1507</v>
      </c>
      <c r="T178" s="401">
        <v>100</v>
      </c>
      <c r="U178" s="401">
        <v>100</v>
      </c>
      <c r="V178" s="402">
        <v>100</v>
      </c>
      <c r="W178" s="401" t="s">
        <v>1508</v>
      </c>
      <c r="X178" s="401" t="s">
        <v>1509</v>
      </c>
      <c r="Y178" s="401"/>
      <c r="Z178" s="241"/>
      <c r="AA178" s="241"/>
      <c r="AB178" s="241"/>
      <c r="AC178" s="241"/>
      <c r="AD178" s="241"/>
    </row>
    <row r="179" spans="1:30" ht="75">
      <c r="A179" s="411"/>
      <c r="B179" s="412"/>
      <c r="C179" s="413"/>
      <c r="D179" s="417"/>
      <c r="E179" s="418"/>
      <c r="F179" s="33" t="s">
        <v>425</v>
      </c>
      <c r="G179" s="34" t="s">
        <v>426</v>
      </c>
      <c r="H179" s="35" t="s">
        <v>447</v>
      </c>
      <c r="I179" s="35" t="s">
        <v>446</v>
      </c>
      <c r="J179" s="273" t="s">
        <v>426</v>
      </c>
      <c r="K179" s="398"/>
      <c r="L179" s="398" t="s">
        <v>940</v>
      </c>
      <c r="M179" s="399" t="s">
        <v>950</v>
      </c>
      <c r="N179" s="52" t="s">
        <v>1510</v>
      </c>
      <c r="O179" s="52"/>
      <c r="P179" s="308" t="s">
        <v>1511</v>
      </c>
      <c r="Q179" s="39"/>
      <c r="R179" s="237"/>
      <c r="S179" s="400" t="s">
        <v>1512</v>
      </c>
      <c r="T179" s="401">
        <v>1</v>
      </c>
      <c r="U179" s="401">
        <v>1</v>
      </c>
      <c r="V179" s="402">
        <v>500</v>
      </c>
      <c r="W179" s="401" t="s">
        <v>1508</v>
      </c>
      <c r="X179" s="401" t="s">
        <v>1509</v>
      </c>
      <c r="Y179" s="401"/>
      <c r="Z179" s="401"/>
      <c r="AA179" s="241"/>
      <c r="AB179" s="241"/>
      <c r="AC179" s="241"/>
      <c r="AD179" s="401" t="s">
        <v>1513</v>
      </c>
    </row>
    <row r="180" spans="1:30" ht="45">
      <c r="A180" s="411"/>
      <c r="B180" s="412"/>
      <c r="C180" s="413"/>
      <c r="D180" s="419"/>
      <c r="E180" s="420"/>
      <c r="F180" s="33" t="s">
        <v>427</v>
      </c>
      <c r="G180" s="34" t="s">
        <v>428</v>
      </c>
      <c r="H180" s="35" t="s">
        <v>445</v>
      </c>
      <c r="I180" s="35" t="s">
        <v>448</v>
      </c>
      <c r="J180" s="273" t="s">
        <v>1514</v>
      </c>
      <c r="K180" s="44" t="s">
        <v>1085</v>
      </c>
      <c r="L180" s="398" t="s">
        <v>940</v>
      </c>
      <c r="M180" s="399" t="s">
        <v>972</v>
      </c>
      <c r="N180" s="52" t="s">
        <v>1515</v>
      </c>
      <c r="O180" s="52"/>
      <c r="P180" s="308" t="s">
        <v>1516</v>
      </c>
      <c r="Q180" s="39"/>
      <c r="R180" s="36"/>
      <c r="S180" s="401" t="s">
        <v>1517</v>
      </c>
      <c r="T180" s="401">
        <v>1</v>
      </c>
      <c r="U180" s="401">
        <v>1</v>
      </c>
      <c r="V180" s="402">
        <v>100</v>
      </c>
      <c r="W180" s="401" t="s">
        <v>1518</v>
      </c>
      <c r="X180" s="401" t="s">
        <v>1509</v>
      </c>
      <c r="Y180" s="401"/>
      <c r="Z180" s="241"/>
      <c r="AA180" s="241"/>
      <c r="AB180" s="241"/>
      <c r="AC180" s="241"/>
      <c r="AD180" s="241"/>
    </row>
    <row r="181" spans="1:30" s="1" customFormat="1" ht="105">
      <c r="A181" s="411"/>
      <c r="B181" s="412"/>
      <c r="C181" s="413"/>
      <c r="D181" s="395" t="s">
        <v>567</v>
      </c>
      <c r="E181" s="396" t="s">
        <v>429</v>
      </c>
      <c r="F181" s="33" t="s">
        <v>430</v>
      </c>
      <c r="G181" s="34" t="s">
        <v>431</v>
      </c>
      <c r="H181" s="35" t="s">
        <v>445</v>
      </c>
      <c r="I181" s="35" t="s">
        <v>446</v>
      </c>
      <c r="J181" s="273" t="s">
        <v>431</v>
      </c>
      <c r="K181" s="398"/>
      <c r="L181" s="398" t="s">
        <v>940</v>
      </c>
      <c r="M181" s="399" t="s">
        <v>950</v>
      </c>
      <c r="N181" s="52" t="s">
        <v>1519</v>
      </c>
      <c r="O181" s="52"/>
      <c r="P181" s="308" t="s">
        <v>1520</v>
      </c>
      <c r="Q181" s="39"/>
      <c r="R181" s="246" t="s">
        <v>568</v>
      </c>
      <c r="S181" s="400" t="s">
        <v>1521</v>
      </c>
      <c r="T181" s="400">
        <v>1</v>
      </c>
      <c r="U181" s="400">
        <v>1</v>
      </c>
      <c r="V181" s="421">
        <v>500</v>
      </c>
      <c r="W181" s="401" t="s">
        <v>1508</v>
      </c>
      <c r="X181" s="401" t="s">
        <v>1509</v>
      </c>
      <c r="Y181" s="401"/>
      <c r="Z181" s="238"/>
      <c r="AA181" s="238"/>
      <c r="AB181" s="238"/>
      <c r="AC181" s="238"/>
      <c r="AD181" s="238"/>
    </row>
    <row r="182" spans="1:30" ht="105">
      <c r="A182" s="411"/>
      <c r="B182" s="412"/>
      <c r="C182" s="413"/>
      <c r="D182" s="405"/>
      <c r="E182" s="406"/>
      <c r="F182" s="33" t="s">
        <v>432</v>
      </c>
      <c r="G182" s="34" t="s">
        <v>433</v>
      </c>
      <c r="H182" s="35" t="s">
        <v>445</v>
      </c>
      <c r="I182" s="35" t="s">
        <v>446</v>
      </c>
      <c r="J182" s="273" t="s">
        <v>433</v>
      </c>
      <c r="K182" s="398"/>
      <c r="L182" s="398" t="s">
        <v>940</v>
      </c>
      <c r="M182" s="399" t="s">
        <v>950</v>
      </c>
      <c r="N182" s="52" t="s">
        <v>1522</v>
      </c>
      <c r="O182" s="52"/>
      <c r="P182" s="308" t="s">
        <v>1523</v>
      </c>
      <c r="Q182" s="39"/>
      <c r="R182" s="246" t="s">
        <v>569</v>
      </c>
      <c r="S182" s="400" t="s">
        <v>1524</v>
      </c>
      <c r="T182" s="401">
        <v>1</v>
      </c>
      <c r="U182" s="401">
        <v>1</v>
      </c>
      <c r="V182" s="402">
        <v>50</v>
      </c>
      <c r="W182" s="401" t="s">
        <v>1508</v>
      </c>
      <c r="X182" s="401" t="s">
        <v>1509</v>
      </c>
      <c r="Y182" s="401"/>
      <c r="Z182" s="241"/>
      <c r="AA182" s="241"/>
      <c r="AB182" s="241"/>
      <c r="AC182" s="241"/>
      <c r="AD182" s="241"/>
    </row>
    <row r="183" spans="1:30" ht="120">
      <c r="A183" s="411"/>
      <c r="B183" s="412"/>
      <c r="C183" s="413"/>
      <c r="D183" s="82" t="s">
        <v>570</v>
      </c>
      <c r="E183" s="83" t="s">
        <v>434</v>
      </c>
      <c r="F183" s="33" t="s">
        <v>435</v>
      </c>
      <c r="G183" s="34" t="s">
        <v>436</v>
      </c>
      <c r="H183" s="35" t="s">
        <v>445</v>
      </c>
      <c r="I183" s="35" t="s">
        <v>446</v>
      </c>
      <c r="J183" s="273" t="s">
        <v>1525</v>
      </c>
      <c r="K183" s="44" t="s">
        <v>1085</v>
      </c>
      <c r="L183" s="398" t="s">
        <v>940</v>
      </c>
      <c r="M183" s="399" t="s">
        <v>950</v>
      </c>
      <c r="N183" s="38" t="s">
        <v>1526</v>
      </c>
      <c r="O183" s="38"/>
      <c r="P183" s="308" t="s">
        <v>1527</v>
      </c>
      <c r="Q183" s="39"/>
      <c r="R183" s="237" t="s">
        <v>571</v>
      </c>
      <c r="S183" s="400" t="s">
        <v>1528</v>
      </c>
      <c r="T183" s="401">
        <v>1</v>
      </c>
      <c r="U183" s="401">
        <v>1</v>
      </c>
      <c r="V183" s="402">
        <v>1200</v>
      </c>
      <c r="W183" s="401" t="s">
        <v>1508</v>
      </c>
      <c r="X183" s="401" t="s">
        <v>1509</v>
      </c>
      <c r="Y183" s="401"/>
      <c r="Z183" s="401"/>
      <c r="AA183" s="241"/>
      <c r="AB183" s="241"/>
      <c r="AC183" s="241"/>
      <c r="AD183" s="241" t="s">
        <v>1513</v>
      </c>
    </row>
    <row r="184" spans="1:30" ht="62.25" customHeight="1">
      <c r="A184" s="411"/>
      <c r="B184" s="412"/>
      <c r="C184" s="413"/>
      <c r="D184" s="414" t="s">
        <v>572</v>
      </c>
      <c r="E184" s="415" t="s">
        <v>437</v>
      </c>
      <c r="F184" s="33" t="s">
        <v>438</v>
      </c>
      <c r="G184" s="34" t="s">
        <v>439</v>
      </c>
      <c r="H184" s="35" t="s">
        <v>447</v>
      </c>
      <c r="I184" s="35" t="s">
        <v>446</v>
      </c>
      <c r="J184" s="273" t="str">
        <f>G184</f>
        <v>Gestió de la brigada de manteniment</v>
      </c>
      <c r="K184" s="398"/>
      <c r="L184" s="398" t="s">
        <v>940</v>
      </c>
      <c r="M184" s="399" t="s">
        <v>941</v>
      </c>
      <c r="N184" s="422" t="s">
        <v>1529</v>
      </c>
      <c r="O184" s="38"/>
      <c r="P184" s="308" t="s">
        <v>1530</v>
      </c>
      <c r="Q184" s="39"/>
      <c r="R184" s="237"/>
      <c r="S184" s="423" t="s">
        <v>1531</v>
      </c>
      <c r="T184" s="400">
        <v>1</v>
      </c>
      <c r="U184" s="400">
        <v>2</v>
      </c>
      <c r="V184" s="421">
        <v>240</v>
      </c>
      <c r="W184" s="424" t="s">
        <v>1361</v>
      </c>
      <c r="X184" s="424" t="s">
        <v>1362</v>
      </c>
      <c r="Y184" s="424"/>
      <c r="Z184" s="241"/>
      <c r="AA184" s="241"/>
      <c r="AB184" s="241"/>
      <c r="AC184" s="241"/>
      <c r="AD184" s="241"/>
    </row>
    <row r="185" spans="1:30" ht="45">
      <c r="A185" s="411"/>
      <c r="B185" s="412"/>
      <c r="C185" s="413"/>
      <c r="D185" s="425"/>
      <c r="E185" s="426"/>
      <c r="F185" s="33" t="s">
        <v>440</v>
      </c>
      <c r="G185" s="34" t="s">
        <v>441</v>
      </c>
      <c r="H185" s="35" t="s">
        <v>447</v>
      </c>
      <c r="I185" s="35" t="s">
        <v>446</v>
      </c>
      <c r="J185" s="273" t="s">
        <v>1532</v>
      </c>
      <c r="K185" s="44" t="s">
        <v>1085</v>
      </c>
      <c r="L185" s="398" t="s">
        <v>940</v>
      </c>
      <c r="M185" s="399" t="s">
        <v>941</v>
      </c>
      <c r="N185" s="38" t="s">
        <v>1533</v>
      </c>
      <c r="O185" s="38"/>
      <c r="P185" s="308" t="s">
        <v>1516</v>
      </c>
      <c r="Q185" s="39"/>
      <c r="R185" s="237"/>
      <c r="S185" s="400" t="s">
        <v>1534</v>
      </c>
      <c r="T185" s="400">
        <v>7</v>
      </c>
      <c r="U185" s="400">
        <v>14</v>
      </c>
      <c r="V185" s="421">
        <v>250</v>
      </c>
      <c r="W185" s="424" t="s">
        <v>1361</v>
      </c>
      <c r="X185" s="424" t="s">
        <v>1362</v>
      </c>
      <c r="Y185" s="424"/>
      <c r="Z185" s="241"/>
      <c r="AA185" s="241"/>
      <c r="AB185" s="241"/>
      <c r="AC185" s="241"/>
      <c r="AD185" s="241"/>
    </row>
    <row r="186" spans="1:30">
      <c r="F186" s="5"/>
    </row>
  </sheetData>
  <autoFilter ref="A4:P185"/>
  <dataConsolidate/>
  <mergeCells count="114">
    <mergeCell ref="D181:D182"/>
    <mergeCell ref="E181:E182"/>
    <mergeCell ref="D184:D185"/>
    <mergeCell ref="E184:E185"/>
    <mergeCell ref="B168:B171"/>
    <mergeCell ref="C168:C171"/>
    <mergeCell ref="D168:D171"/>
    <mergeCell ref="E168:E171"/>
    <mergeCell ref="D173:D175"/>
    <mergeCell ref="E173:E175"/>
    <mergeCell ref="D156:D158"/>
    <mergeCell ref="E156:E158"/>
    <mergeCell ref="D159:D162"/>
    <mergeCell ref="E159:E162"/>
    <mergeCell ref="B163:B167"/>
    <mergeCell ref="C163:C167"/>
    <mergeCell ref="D163:D164"/>
    <mergeCell ref="E163:E164"/>
    <mergeCell ref="D166:D167"/>
    <mergeCell ref="E166:E167"/>
    <mergeCell ref="D145:D148"/>
    <mergeCell ref="E145:E148"/>
    <mergeCell ref="D149:D153"/>
    <mergeCell ref="E149:E153"/>
    <mergeCell ref="D154:D155"/>
    <mergeCell ref="E154:E155"/>
    <mergeCell ref="D133:D134"/>
    <mergeCell ref="E133:E134"/>
    <mergeCell ref="B135:B162"/>
    <mergeCell ref="C135:C162"/>
    <mergeCell ref="D135:D137"/>
    <mergeCell ref="E135:E137"/>
    <mergeCell ref="D138:D141"/>
    <mergeCell ref="E138:E141"/>
    <mergeCell ref="D142:D144"/>
    <mergeCell ref="E142:E144"/>
    <mergeCell ref="D124:D125"/>
    <mergeCell ref="E124:E125"/>
    <mergeCell ref="D126:D129"/>
    <mergeCell ref="E126:E129"/>
    <mergeCell ref="D130:D132"/>
    <mergeCell ref="E130:E132"/>
    <mergeCell ref="D115:D119"/>
    <mergeCell ref="E115:E119"/>
    <mergeCell ref="D120:D121"/>
    <mergeCell ref="E120:E121"/>
    <mergeCell ref="D122:D123"/>
    <mergeCell ref="E122:E123"/>
    <mergeCell ref="D98:D99"/>
    <mergeCell ref="E98:E99"/>
    <mergeCell ref="C101:C103"/>
    <mergeCell ref="D101:D112"/>
    <mergeCell ref="E101:E112"/>
    <mergeCell ref="D113:D114"/>
    <mergeCell ref="E113:E114"/>
    <mergeCell ref="A86:A95"/>
    <mergeCell ref="D87:D92"/>
    <mergeCell ref="E87:E92"/>
    <mergeCell ref="D93:D95"/>
    <mergeCell ref="E93:E95"/>
    <mergeCell ref="D96:D97"/>
    <mergeCell ref="E96:E97"/>
    <mergeCell ref="D70:D75"/>
    <mergeCell ref="E70:E75"/>
    <mergeCell ref="D76:D81"/>
    <mergeCell ref="E76:E81"/>
    <mergeCell ref="B83:B95"/>
    <mergeCell ref="C83:C95"/>
    <mergeCell ref="D83:D85"/>
    <mergeCell ref="E83:E85"/>
    <mergeCell ref="D57:D58"/>
    <mergeCell ref="E57:E58"/>
    <mergeCell ref="D59:D65"/>
    <mergeCell ref="E59:E65"/>
    <mergeCell ref="D66:D69"/>
    <mergeCell ref="E66:E69"/>
    <mergeCell ref="D48:D50"/>
    <mergeCell ref="E48:E50"/>
    <mergeCell ref="B51:B56"/>
    <mergeCell ref="C51:C56"/>
    <mergeCell ref="D52:D54"/>
    <mergeCell ref="E52:E54"/>
    <mergeCell ref="D55:D56"/>
    <mergeCell ref="E55:E56"/>
    <mergeCell ref="D37:D39"/>
    <mergeCell ref="E37:E39"/>
    <mergeCell ref="D40:D43"/>
    <mergeCell ref="E40:E43"/>
    <mergeCell ref="D44:D47"/>
    <mergeCell ref="E44:E47"/>
    <mergeCell ref="B27:B36"/>
    <mergeCell ref="C27:C36"/>
    <mergeCell ref="D27:D29"/>
    <mergeCell ref="E27:E29"/>
    <mergeCell ref="D31:D34"/>
    <mergeCell ref="E31:E34"/>
    <mergeCell ref="D35:D36"/>
    <mergeCell ref="E35:E36"/>
    <mergeCell ref="D11:D16"/>
    <mergeCell ref="E11:E16"/>
    <mergeCell ref="D17:D19"/>
    <mergeCell ref="E17:E19"/>
    <mergeCell ref="B20:B26"/>
    <mergeCell ref="C20:C26"/>
    <mergeCell ref="D20:D23"/>
    <mergeCell ref="E20:E23"/>
    <mergeCell ref="D24:D26"/>
    <mergeCell ref="E24:E26"/>
    <mergeCell ref="T3:U3"/>
    <mergeCell ref="V3:X3"/>
    <mergeCell ref="D5:D6"/>
    <mergeCell ref="E5:E6"/>
    <mergeCell ref="D7:D10"/>
    <mergeCell ref="E7:E10"/>
  </mergeCells>
  <conditionalFormatting sqref="H155:I155 K155">
    <cfRule type="duplicateValues" dxfId="0" priority="1"/>
  </conditionalFormatting>
  <dataValidations count="1">
    <dataValidation type="list" allowBlank="1" showInputMessage="1" showErrorMessage="1" sqref="M168:M184 L184 L173:L179 L168:L171 L181:L182"/>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'Z:\317\04476\PN_CTF\PNCTF\3. PLANIFICACIÓ\3.1. PLANS\3.1.3. Plans específics\Pla_Estrategic_PNCTF\Document final treball\DEF\Aprovat_JR_20251125\[Pla Estrategic_PNCTF_20251125.xlsx]Full1'!#REF!</xm:f>
          </x14:formula1>
          <xm:sqref>L185 L5:L167 L183 L180 L172</xm:sqref>
        </x14:dataValidation>
        <x14:dataValidation type="list" allowBlank="1" showInputMessage="1" showErrorMessage="1">
          <x14:formula1>
            <xm:f>'Z:\317\04476\PN_CTF\PNCTF\3. PLANIFICACIÓ\3.1. PLANS\3.1.3. Plans específics\Pla_Estrategic_PNCTF\Document final treball\DEF\Aprovat_JR_20251125\[Pla Estrategic_PNCTF_20251125.xlsx]Full1'!#REF!</xm:f>
          </x14:formula1>
          <xm:sqref>M185 M5:M167</xm:sqref>
        </x14:dataValidation>
        <x14:dataValidation type="list" allowBlank="1" showInputMessage="1" showErrorMessage="1">
          <x14:formula1>
            <xm:f>'Z:\317\04476\PN_CTF\PNCTF\3. PLANIFICACIÓ\3.1. PLANS\3.1.3. Plans específics\Pla_Estrategic_PNCTF\Document final treball\DEF\Aprovat_JR_20251125\[Pla Estrategic_PNCTF_20251125.xlsx]Full1'!#REF!</xm:f>
          </x14:formula1>
          <xm:sqref>I5:I185</xm:sqref>
        </x14:dataValidation>
        <x14:dataValidation type="list" allowBlank="1" showInputMessage="1" showErrorMessage="1">
          <x14:formula1>
            <xm:f>'Z:\317\04476\PN_CTF\PNCTF\3. PLANIFICACIÓ\3.1. PLANS\3.1.3. Plans específics\Pla_Estrategic_PNCTF\Document final treball\DEF\Aprovat_JR_20251125\[Pla Estrategic_PNCTF_20251125.xlsx]Full1'!#REF!</xm:f>
          </x14:formula1>
          <xm:sqref>H5:H185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5"/>
  <sheetViews>
    <sheetView topLeftCell="D7" workbookViewId="0">
      <selection activeCell="R22" sqref="R22"/>
    </sheetView>
  </sheetViews>
  <sheetFormatPr defaultColWidth="8.7109375" defaultRowHeight="15"/>
  <cols>
    <col min="1" max="1" width="14.42578125" customWidth="1"/>
    <col min="2" max="2" width="33" customWidth="1"/>
    <col min="3" max="3" width="53.140625" customWidth="1"/>
    <col min="5" max="5" width="30" customWidth="1"/>
    <col min="7" max="7" width="45" customWidth="1"/>
    <col min="9" max="9" width="53.85546875" customWidth="1"/>
    <col min="17" max="17" width="9.85546875" customWidth="1"/>
  </cols>
  <sheetData>
    <row r="1" spans="1:17">
      <c r="B1" s="4" t="s">
        <v>624</v>
      </c>
      <c r="C1" s="4" t="s">
        <v>629</v>
      </c>
      <c r="D1" s="2"/>
      <c r="E1" s="92" t="s">
        <v>607</v>
      </c>
      <c r="G1" s="147" t="s">
        <v>652</v>
      </c>
      <c r="I1" t="s">
        <v>653</v>
      </c>
    </row>
    <row r="2" spans="1:17">
      <c r="A2" t="s">
        <v>647</v>
      </c>
      <c r="B2" s="145" t="s">
        <v>637</v>
      </c>
      <c r="C2" s="93" t="s">
        <v>578</v>
      </c>
      <c r="E2" s="87" t="s">
        <v>608</v>
      </c>
      <c r="G2" s="148"/>
    </row>
    <row r="3" spans="1:17" ht="45">
      <c r="A3" t="s">
        <v>647</v>
      </c>
      <c r="B3" s="145" t="s">
        <v>638</v>
      </c>
      <c r="C3" s="93" t="s">
        <v>579</v>
      </c>
      <c r="E3" s="87" t="s">
        <v>609</v>
      </c>
      <c r="G3" s="148" t="s">
        <v>654</v>
      </c>
      <c r="I3" s="149" t="s">
        <v>655</v>
      </c>
      <c r="Q3" s="88" t="s">
        <v>921</v>
      </c>
    </row>
    <row r="4" spans="1:17">
      <c r="A4" t="s">
        <v>647</v>
      </c>
      <c r="B4" s="145" t="s">
        <v>639</v>
      </c>
      <c r="C4" s="93" t="s">
        <v>630</v>
      </c>
      <c r="E4" s="87" t="s">
        <v>610</v>
      </c>
      <c r="G4" s="148" t="s">
        <v>656</v>
      </c>
      <c r="I4" s="150" t="s">
        <v>657</v>
      </c>
      <c r="Q4" t="s">
        <v>940</v>
      </c>
    </row>
    <row r="5" spans="1:17">
      <c r="A5" t="s">
        <v>648</v>
      </c>
      <c r="B5" s="146" t="s">
        <v>640</v>
      </c>
      <c r="C5" s="93" t="s">
        <v>580</v>
      </c>
      <c r="E5" s="87" t="s">
        <v>611</v>
      </c>
      <c r="G5" s="148" t="s">
        <v>658</v>
      </c>
      <c r="I5" s="149" t="s">
        <v>659</v>
      </c>
      <c r="Q5" t="s">
        <v>1046</v>
      </c>
    </row>
    <row r="6" spans="1:17" ht="30">
      <c r="A6" t="s">
        <v>648</v>
      </c>
      <c r="B6" s="146" t="s">
        <v>641</v>
      </c>
      <c r="C6" s="93" t="s">
        <v>581</v>
      </c>
      <c r="E6" s="87" t="s">
        <v>612</v>
      </c>
      <c r="G6" s="148" t="s">
        <v>660</v>
      </c>
      <c r="I6" s="150" t="s">
        <v>661</v>
      </c>
    </row>
    <row r="7" spans="1:17" ht="30">
      <c r="A7" t="s">
        <v>649</v>
      </c>
      <c r="B7" s="145" t="s">
        <v>625</v>
      </c>
      <c r="C7" s="93" t="s">
        <v>588</v>
      </c>
      <c r="E7" s="87" t="s">
        <v>613</v>
      </c>
      <c r="G7" s="148" t="s">
        <v>662</v>
      </c>
      <c r="I7" s="149" t="s">
        <v>663</v>
      </c>
    </row>
    <row r="8" spans="1:17">
      <c r="A8" t="s">
        <v>650</v>
      </c>
      <c r="B8" s="146" t="s">
        <v>642</v>
      </c>
      <c r="C8" s="93" t="s">
        <v>582</v>
      </c>
      <c r="E8" s="87" t="s">
        <v>614</v>
      </c>
      <c r="G8" s="148" t="s">
        <v>664</v>
      </c>
      <c r="I8" s="150" t="s">
        <v>665</v>
      </c>
    </row>
    <row r="9" spans="1:17">
      <c r="A9" t="s">
        <v>650</v>
      </c>
      <c r="B9" s="146" t="s">
        <v>643</v>
      </c>
      <c r="C9" s="93" t="s">
        <v>631</v>
      </c>
      <c r="G9" s="148" t="s">
        <v>666</v>
      </c>
      <c r="I9" s="149" t="s">
        <v>667</v>
      </c>
    </row>
    <row r="10" spans="1:17" ht="30">
      <c r="A10" t="s">
        <v>650</v>
      </c>
      <c r="B10" s="146" t="s">
        <v>644</v>
      </c>
      <c r="C10" s="93" t="s">
        <v>583</v>
      </c>
      <c r="G10" s="148" t="s">
        <v>668</v>
      </c>
      <c r="I10" s="150" t="s">
        <v>669</v>
      </c>
    </row>
    <row r="11" spans="1:17" ht="30">
      <c r="A11" t="s">
        <v>650</v>
      </c>
      <c r="B11" s="146" t="s">
        <v>645</v>
      </c>
      <c r="C11" s="93" t="s">
        <v>635</v>
      </c>
      <c r="G11" s="148" t="s">
        <v>670</v>
      </c>
      <c r="I11" s="149" t="s">
        <v>671</v>
      </c>
    </row>
    <row r="12" spans="1:17" ht="30">
      <c r="A12" t="s">
        <v>650</v>
      </c>
      <c r="B12" s="146" t="s">
        <v>646</v>
      </c>
      <c r="C12" s="93" t="s">
        <v>584</v>
      </c>
      <c r="G12" s="148" t="s">
        <v>672</v>
      </c>
      <c r="I12" s="150" t="s">
        <v>673</v>
      </c>
    </row>
    <row r="13" spans="1:17" ht="30">
      <c r="A13" t="s">
        <v>651</v>
      </c>
      <c r="B13" s="146" t="s">
        <v>627</v>
      </c>
      <c r="C13" s="93" t="s">
        <v>632</v>
      </c>
      <c r="G13" s="148" t="s">
        <v>674</v>
      </c>
      <c r="I13" s="149" t="s">
        <v>675</v>
      </c>
    </row>
    <row r="14" spans="1:17" ht="30">
      <c r="A14" t="s">
        <v>651</v>
      </c>
      <c r="B14" s="146" t="s">
        <v>626</v>
      </c>
      <c r="C14" s="93" t="s">
        <v>633</v>
      </c>
      <c r="G14" s="148" t="s">
        <v>676</v>
      </c>
      <c r="I14" s="150" t="s">
        <v>677</v>
      </c>
    </row>
    <row r="15" spans="1:17" ht="30">
      <c r="A15" t="s">
        <v>600</v>
      </c>
      <c r="B15" s="146" t="s">
        <v>600</v>
      </c>
      <c r="C15" s="93" t="s">
        <v>585</v>
      </c>
      <c r="G15" s="148" t="s">
        <v>678</v>
      </c>
      <c r="I15" s="149" t="s">
        <v>679</v>
      </c>
    </row>
    <row r="16" spans="1:17" ht="30">
      <c r="C16" s="93" t="s">
        <v>586</v>
      </c>
      <c r="G16" s="148" t="s">
        <v>680</v>
      </c>
      <c r="I16" s="150" t="s">
        <v>681</v>
      </c>
    </row>
    <row r="17" spans="3:15" ht="30">
      <c r="C17" s="93" t="s">
        <v>587</v>
      </c>
      <c r="G17" s="148" t="s">
        <v>682</v>
      </c>
      <c r="I17" s="149" t="s">
        <v>683</v>
      </c>
    </row>
    <row r="18" spans="3:15" ht="30">
      <c r="C18" s="93" t="s">
        <v>634</v>
      </c>
      <c r="G18" s="148" t="s">
        <v>684</v>
      </c>
      <c r="I18" s="150" t="s">
        <v>685</v>
      </c>
    </row>
    <row r="19" spans="3:15">
      <c r="C19" s="93" t="s">
        <v>600</v>
      </c>
      <c r="G19" s="148" t="s">
        <v>686</v>
      </c>
      <c r="I19" s="149" t="s">
        <v>687</v>
      </c>
    </row>
    <row r="20" spans="3:15">
      <c r="G20" s="148" t="s">
        <v>688</v>
      </c>
      <c r="I20" s="150" t="s">
        <v>689</v>
      </c>
      <c r="O20" s="92" t="s">
        <v>1535</v>
      </c>
    </row>
    <row r="21" spans="3:15">
      <c r="G21" s="148" t="s">
        <v>690</v>
      </c>
      <c r="I21" s="149" t="s">
        <v>691</v>
      </c>
      <c r="O21" t="s">
        <v>1362</v>
      </c>
    </row>
    <row r="22" spans="3:15">
      <c r="G22" s="148" t="s">
        <v>692</v>
      </c>
      <c r="I22" s="150" t="s">
        <v>693</v>
      </c>
      <c r="O22" t="s">
        <v>1509</v>
      </c>
    </row>
    <row r="23" spans="3:15">
      <c r="G23" s="148" t="s">
        <v>694</v>
      </c>
      <c r="I23" s="149" t="s">
        <v>695</v>
      </c>
      <c r="O23" t="s">
        <v>956</v>
      </c>
    </row>
    <row r="24" spans="3:15">
      <c r="G24" s="148" t="s">
        <v>696</v>
      </c>
      <c r="I24" s="150" t="s">
        <v>697</v>
      </c>
      <c r="O24" t="s">
        <v>1013</v>
      </c>
    </row>
    <row r="25" spans="3:15">
      <c r="G25" s="148" t="s">
        <v>698</v>
      </c>
      <c r="I25" s="149" t="s">
        <v>699</v>
      </c>
      <c r="O25" t="s">
        <v>1069</v>
      </c>
    </row>
    <row r="26" spans="3:15">
      <c r="G26" s="148" t="s">
        <v>700</v>
      </c>
      <c r="I26" s="150" t="s">
        <v>701</v>
      </c>
    </row>
    <row r="27" spans="3:15">
      <c r="G27" s="148" t="s">
        <v>702</v>
      </c>
      <c r="I27" s="149" t="s">
        <v>703</v>
      </c>
    </row>
    <row r="28" spans="3:15">
      <c r="G28" s="148" t="s">
        <v>704</v>
      </c>
      <c r="I28" s="150" t="s">
        <v>705</v>
      </c>
    </row>
    <row r="29" spans="3:15">
      <c r="G29" s="148" t="s">
        <v>706</v>
      </c>
      <c r="I29" s="149" t="s">
        <v>707</v>
      </c>
    </row>
    <row r="30" spans="3:15">
      <c r="G30" s="148" t="s">
        <v>708</v>
      </c>
      <c r="I30" s="150" t="s">
        <v>709</v>
      </c>
    </row>
    <row r="31" spans="3:15">
      <c r="G31" s="148" t="s">
        <v>710</v>
      </c>
      <c r="I31" s="149" t="s">
        <v>711</v>
      </c>
    </row>
    <row r="32" spans="3:15">
      <c r="G32" s="148" t="s">
        <v>712</v>
      </c>
      <c r="I32" s="150" t="s">
        <v>713</v>
      </c>
    </row>
    <row r="33" spans="7:9">
      <c r="G33" s="148" t="s">
        <v>714</v>
      </c>
      <c r="I33" s="149" t="s">
        <v>715</v>
      </c>
    </row>
    <row r="34" spans="7:9">
      <c r="G34" s="148" t="s">
        <v>716</v>
      </c>
      <c r="I34" s="150" t="s">
        <v>717</v>
      </c>
    </row>
    <row r="35" spans="7:9">
      <c r="G35" s="148" t="s">
        <v>718</v>
      </c>
      <c r="I35" s="149" t="s">
        <v>719</v>
      </c>
    </row>
    <row r="36" spans="7:9">
      <c r="G36" s="148" t="s">
        <v>720</v>
      </c>
      <c r="I36" s="150" t="s">
        <v>707</v>
      </c>
    </row>
    <row r="37" spans="7:9">
      <c r="G37" s="148" t="s">
        <v>721</v>
      </c>
      <c r="I37" s="149" t="s">
        <v>722</v>
      </c>
    </row>
    <row r="38" spans="7:9">
      <c r="G38" s="148" t="s">
        <v>723</v>
      </c>
      <c r="I38" s="150" t="s">
        <v>724</v>
      </c>
    </row>
    <row r="39" spans="7:9">
      <c r="G39" s="148" t="s">
        <v>914</v>
      </c>
      <c r="I39" s="149" t="s">
        <v>725</v>
      </c>
    </row>
    <row r="40" spans="7:9">
      <c r="G40" s="148" t="s">
        <v>915</v>
      </c>
      <c r="I40" s="150" t="s">
        <v>726</v>
      </c>
    </row>
    <row r="41" spans="7:9">
      <c r="G41" s="148" t="s">
        <v>916</v>
      </c>
      <c r="I41" s="149" t="s">
        <v>727</v>
      </c>
    </row>
    <row r="42" spans="7:9">
      <c r="I42" s="150" t="s">
        <v>728</v>
      </c>
    </row>
    <row r="43" spans="7:9">
      <c r="I43" s="149" t="s">
        <v>729</v>
      </c>
    </row>
    <row r="44" spans="7:9">
      <c r="I44" s="150" t="s">
        <v>730</v>
      </c>
    </row>
    <row r="45" spans="7:9">
      <c r="I45" s="149" t="s">
        <v>731</v>
      </c>
    </row>
    <row r="46" spans="7:9">
      <c r="I46" s="150" t="s">
        <v>732</v>
      </c>
    </row>
    <row r="47" spans="7:9">
      <c r="I47" s="149" t="s">
        <v>733</v>
      </c>
    </row>
    <row r="48" spans="7:9">
      <c r="I48" s="150" t="s">
        <v>734</v>
      </c>
    </row>
    <row r="49" spans="9:9">
      <c r="I49" s="149" t="s">
        <v>735</v>
      </c>
    </row>
    <row r="50" spans="9:9">
      <c r="I50" s="150" t="s">
        <v>736</v>
      </c>
    </row>
    <row r="51" spans="9:9">
      <c r="I51" s="149" t="s">
        <v>737</v>
      </c>
    </row>
    <row r="52" spans="9:9">
      <c r="I52" s="150" t="s">
        <v>738</v>
      </c>
    </row>
    <row r="53" spans="9:9">
      <c r="I53" s="149" t="s">
        <v>739</v>
      </c>
    </row>
    <row r="54" spans="9:9">
      <c r="I54" s="150" t="s">
        <v>740</v>
      </c>
    </row>
    <row r="55" spans="9:9">
      <c r="I55" s="149" t="s">
        <v>741</v>
      </c>
    </row>
    <row r="56" spans="9:9">
      <c r="I56" s="150" t="s">
        <v>742</v>
      </c>
    </row>
    <row r="57" spans="9:9">
      <c r="I57" s="149" t="s">
        <v>743</v>
      </c>
    </row>
    <row r="58" spans="9:9">
      <c r="I58" s="150" t="s">
        <v>744</v>
      </c>
    </row>
    <row r="59" spans="9:9">
      <c r="I59" s="149" t="s">
        <v>745</v>
      </c>
    </row>
    <row r="60" spans="9:9">
      <c r="I60" s="150" t="s">
        <v>746</v>
      </c>
    </row>
    <row r="61" spans="9:9">
      <c r="I61" s="149" t="s">
        <v>747</v>
      </c>
    </row>
    <row r="62" spans="9:9">
      <c r="I62" s="150" t="s">
        <v>748</v>
      </c>
    </row>
    <row r="63" spans="9:9">
      <c r="I63" s="149" t="s">
        <v>749</v>
      </c>
    </row>
    <row r="64" spans="9:9">
      <c r="I64" s="150" t="s">
        <v>750</v>
      </c>
    </row>
    <row r="65" spans="9:9">
      <c r="I65" s="149" t="s">
        <v>751</v>
      </c>
    </row>
    <row r="66" spans="9:9">
      <c r="I66" s="150" t="s">
        <v>752</v>
      </c>
    </row>
    <row r="67" spans="9:9">
      <c r="I67" s="149" t="s">
        <v>753</v>
      </c>
    </row>
    <row r="68" spans="9:9">
      <c r="I68" s="150" t="s">
        <v>754</v>
      </c>
    </row>
    <row r="69" spans="9:9">
      <c r="I69" s="149" t="s">
        <v>755</v>
      </c>
    </row>
    <row r="70" spans="9:9">
      <c r="I70" s="150" t="s">
        <v>756</v>
      </c>
    </row>
    <row r="71" spans="9:9">
      <c r="I71" s="149" t="s">
        <v>757</v>
      </c>
    </row>
    <row r="72" spans="9:9">
      <c r="I72" s="150" t="s">
        <v>758</v>
      </c>
    </row>
    <row r="73" spans="9:9">
      <c r="I73" s="149" t="s">
        <v>759</v>
      </c>
    </row>
    <row r="74" spans="9:9">
      <c r="I74" s="150" t="s">
        <v>760</v>
      </c>
    </row>
    <row r="75" spans="9:9">
      <c r="I75" s="149" t="s">
        <v>761</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ds:schemaRefs>
    <ds:schemaRef ds:uri="http://schemas.microsoft.com/office/2006/documentManagement/types"/>
    <ds:schemaRef ds:uri="da98c164-a57d-40d4-8901-16c51c954546"/>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terms/"/>
    <ds:schemaRef ds:uri="9a081172-b0b2-43c5-ad2b-9c1cb8f67e01"/>
    <ds:schemaRef ds:uri="http://www.w3.org/XML/1998/namespace"/>
    <ds:schemaRef ds:uri="http://purl.org/dc/dcmitype/"/>
  </ds:schemaRefs>
</ds:datastoreItem>
</file>

<file path=customXml/itemProps2.xml><?xml version="1.0" encoding="utf-8"?>
<ds:datastoreItem xmlns:ds="http://schemas.openxmlformats.org/officeDocument/2006/customXml" ds:itemID="{FE3F6DB7-5769-4BDE-8DC6-41E5D981E0A7}"/>
</file>

<file path=customXml/itemProps3.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4</vt:i4>
      </vt:variant>
    </vt:vector>
  </HeadingPairs>
  <TitlesOfParts>
    <vt:vector size="4" baseType="lpstr">
      <vt:lpstr>Instruccions</vt:lpstr>
      <vt:lpstr>PROGRAMA ANUAL</vt:lpstr>
      <vt:lpstr>PLA ESTRATÈGIC</vt:lpstr>
      <vt:lpstr>Llistes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Farriol Rafel, Santi</cp:lastModifiedBy>
  <cp:revision/>
  <dcterms:created xsi:type="dcterms:W3CDTF">2015-06-05T18:17:20Z</dcterms:created>
  <dcterms:modified xsi:type="dcterms:W3CDTF">2026-02-24T17:15:05Z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