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36981662P\OneDrive - Generalitat de Catalunya\Secans\03 PROGRAMA ACTUACIONS\2026\"/>
    </mc:Choice>
  </mc:AlternateContent>
  <bookViews>
    <workbookView xWindow="-28920" yWindow="-120" windowWidth="29040" windowHeight="15720" tabRatio="990" activeTab="1"/>
  </bookViews>
  <sheets>
    <sheet name="Instruccions" sheetId="18" r:id="rId1"/>
    <sheet name="PROGRAMA ANUAL 2026" sheetId="31" r:id="rId2"/>
    <sheet name="PROGRAMA ANUAL 25" sheetId="14" r:id="rId3"/>
    <sheet name="PLA ESTRATÈGIC" sheetId="26" r:id="rId4"/>
    <sheet name="Llistes" sheetId="5" r:id="rId5"/>
  </sheets>
  <externalReferences>
    <externalReference r:id="rId6"/>
    <externalReference r:id="rId7"/>
    <externalReference r:id="rId8"/>
  </externalReferences>
  <definedNames>
    <definedName name="_xlnm._FilterDatabase" localSheetId="3" hidden="1">'PLA ESTRATÈGIC'!$A$4:$W$191</definedName>
    <definedName name="_xlnm._FilterDatabase" localSheetId="2" hidden="1">'PROGRAMA ANUAL 25'!$A$3:$L$80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1" i="14" l="1"/>
  <c r="J192" i="26" l="1"/>
  <c r="J191" i="26"/>
  <c r="J190" i="26"/>
  <c r="J189" i="26"/>
  <c r="J188" i="26"/>
  <c r="J187" i="26"/>
  <c r="J186" i="26"/>
  <c r="J185" i="26"/>
  <c r="J184" i="26"/>
  <c r="J183" i="26"/>
  <c r="J182" i="26"/>
  <c r="J180" i="26"/>
  <c r="J179" i="26"/>
  <c r="J178" i="26"/>
  <c r="J175" i="26"/>
  <c r="J173" i="26"/>
  <c r="J172" i="26"/>
  <c r="J171" i="26"/>
  <c r="J169" i="26"/>
  <c r="J168" i="26"/>
  <c r="J167" i="26"/>
  <c r="J166" i="26"/>
  <c r="J165" i="26"/>
  <c r="J164" i="26"/>
  <c r="J163" i="26"/>
  <c r="J162" i="26"/>
  <c r="J161" i="26"/>
  <c r="J160" i="26"/>
  <c r="J158" i="26"/>
  <c r="J150" i="26"/>
  <c r="J149" i="26"/>
  <c r="J145" i="26"/>
  <c r="J144" i="26"/>
  <c r="J142" i="26"/>
  <c r="J138" i="26"/>
  <c r="J137" i="26"/>
  <c r="J136" i="26"/>
  <c r="J135" i="26"/>
  <c r="J134" i="26"/>
  <c r="J133" i="26"/>
  <c r="J132" i="26"/>
  <c r="J131" i="26"/>
  <c r="J127" i="26"/>
  <c r="J126" i="26"/>
  <c r="J123" i="26"/>
  <c r="J122" i="26"/>
  <c r="J121" i="26"/>
  <c r="J119" i="26"/>
  <c r="J118" i="26"/>
  <c r="J117" i="26"/>
  <c r="J116" i="26"/>
  <c r="J115" i="26"/>
  <c r="J112" i="26"/>
  <c r="J109" i="26"/>
  <c r="J108" i="26"/>
  <c r="J107" i="26"/>
  <c r="J106" i="26"/>
  <c r="J105" i="26"/>
  <c r="J104" i="26"/>
  <c r="J102" i="26"/>
  <c r="J101" i="26"/>
  <c r="J100" i="26"/>
  <c r="J97" i="26"/>
  <c r="J96" i="26"/>
  <c r="J95" i="26"/>
  <c r="J92" i="26"/>
  <c r="J90" i="26"/>
  <c r="J88" i="26"/>
  <c r="J86" i="26"/>
  <c r="J84" i="26"/>
  <c r="J80" i="26"/>
  <c r="J79" i="26"/>
  <c r="J78" i="26"/>
  <c r="J77" i="26"/>
  <c r="J76" i="26"/>
  <c r="J75" i="26"/>
  <c r="J74" i="26"/>
  <c r="J73" i="26"/>
  <c r="J71" i="26"/>
  <c r="J70" i="26"/>
  <c r="J69" i="26"/>
  <c r="J68" i="26"/>
  <c r="J67" i="26"/>
  <c r="J65" i="26"/>
  <c r="J63" i="26"/>
  <c r="J61" i="26"/>
  <c r="J60" i="26"/>
  <c r="J59" i="26"/>
  <c r="J57" i="26"/>
  <c r="J56" i="26"/>
  <c r="J54" i="26"/>
  <c r="J53" i="26"/>
  <c r="J52" i="26"/>
  <c r="J51" i="26"/>
  <c r="J50" i="26"/>
  <c r="J49" i="26"/>
  <c r="J47" i="26"/>
  <c r="J45" i="26"/>
  <c r="J43" i="26"/>
  <c r="J41" i="26"/>
  <c r="J39" i="26"/>
  <c r="J38" i="26"/>
  <c r="J37" i="26"/>
  <c r="J36" i="26"/>
  <c r="J34" i="26"/>
  <c r="J33" i="26"/>
  <c r="J32" i="26"/>
  <c r="J31" i="26"/>
  <c r="J29" i="26"/>
  <c r="J28" i="26"/>
  <c r="J27" i="26"/>
  <c r="J22" i="26"/>
  <c r="J20" i="26"/>
  <c r="J19" i="26"/>
  <c r="J18" i="26"/>
  <c r="J17" i="26"/>
  <c r="J15" i="26"/>
  <c r="J10" i="26"/>
  <c r="J7" i="26"/>
  <c r="J77" i="14" l="1"/>
  <c r="J27" i="14"/>
  <c r="J26" i="14"/>
</calcChain>
</file>

<file path=xl/comments1.xml><?xml version="1.0" encoding="utf-8"?>
<comments xmlns="http://schemas.openxmlformats.org/spreadsheetml/2006/main">
  <authors>
    <author>Parpal Servole, Jordi</author>
  </authors>
  <commentList>
    <comment ref="G4" authorId="0" shapeId="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<sst xmlns="http://schemas.openxmlformats.org/spreadsheetml/2006/main" count="3553" uniqueCount="1342">
  <si>
    <t>Codi:</t>
  </si>
  <si>
    <t>Un codi correlatiu segons l'any, l'Eix i l'acrònim del Parc (25_NA_PNAE_01) Es posen les dues primeres lletres de l'eix, en majúscules.</t>
  </si>
  <si>
    <t>Actuació:</t>
  </si>
  <si>
    <t>El nom de l'actuació concreta que realitzareu en l'any. Pot ser el mateix redactat que el del Pla estratègic o una mica més concret però, cal que provingui d'alguna actuació prevista al Pla estratègic.</t>
  </si>
  <si>
    <t>Codi Obj Operatiu:</t>
  </si>
  <si>
    <t>El Codi de l'Objectiu Operatiu que considereu que està més relacionat amb l'execució de l'actuació.</t>
  </si>
  <si>
    <t>Codis altres Oj. Oper.:</t>
  </si>
  <si>
    <t>En el cas que es consideri que l'actuació a executar també està relacionada amb d'altres Objectius Operatius</t>
  </si>
  <si>
    <t>Eix.</t>
  </si>
  <si>
    <t>Segons els set Eixos del Pla estratègic</t>
  </si>
  <si>
    <t>Tipus act. segons partida pressup.:</t>
  </si>
  <si>
    <t>Posar a quin capítol del pressupost correspon. Llista desplegable tancada</t>
  </si>
  <si>
    <t>Tipus d'actuació segons MAP:</t>
  </si>
  <si>
    <t>Posar a quina de les tipologies d'actuacions previstes al MAP correspon la mesura. Llista desplegable amb una opció d'Altres al final. Si correspon a més d'una, posar la tipologia principal</t>
  </si>
  <si>
    <t>Import:</t>
  </si>
  <si>
    <t>Posar l'import previst per a la realització de l'actuació</t>
  </si>
  <si>
    <t>RAE:</t>
  </si>
  <si>
    <t>Si es paga amb fons del RAE o no.</t>
  </si>
  <si>
    <t>Grau de compliment de l'indicador:</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</si>
  <si>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</si>
  <si>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</si>
  <si>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Cal revisar totes les actuacions posades al Pla estratègic i posar al progrma anual aquelles que es consideri que es poden fer el 2025. Per a decidir qu`pe s'inclou i què no cal tenir molt en compte les columnes de Prioritatnque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</si>
  <si>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Tipus d'actuació segons model de despesa</t>
  </si>
  <si>
    <t>Contracte menor des de la DG</t>
  </si>
  <si>
    <t>Altres</t>
  </si>
  <si>
    <t>Adaptació del maneig dels conreus de cereal (transició a ecològica)</t>
  </si>
  <si>
    <t>Contracte programa CREAF</t>
  </si>
  <si>
    <t>Campanya per a un ús racional dels antiparassitaris entre els veterinaris i els ramaders de la plana de Lleida</t>
  </si>
  <si>
    <t>Encomana Forestal Catalana</t>
  </si>
  <si>
    <t>PEA Infraestructures</t>
  </si>
  <si>
    <t>Elaboració de l'inventari de rèptils de la reserva</t>
  </si>
  <si>
    <t>Execució de l'acció E1. Adequació d'infraestructures ramaderes del LIFE Connect Ricotí</t>
  </si>
  <si>
    <t>Execució de l'acció E4. organització de xerrades i esdeveniments educatius del LIFE Connect Ricotí</t>
  </si>
  <si>
    <t>Identificació de possibles espècies invasores de nova entrada a l'espai i elaboració d'un protocol de Detecció primerenca i Resposta Ràpida (DTRR) per a elles.</t>
  </si>
  <si>
    <t>Jornada de formació pels cossos de vigilància a través (Cos d'Agents Rurals, Unitat de Medi Ambient dels Mossos d'Esquadra) de la zona.</t>
  </si>
  <si>
    <t>Redacció del Pla de prevenció d'incendis de la finca de Mas de Melons</t>
  </si>
  <si>
    <t>Revisió i colocació de tots els cartells informatius dels valors de l'espai</t>
  </si>
  <si>
    <t>PROGRAMA D'ACTUACIONS DE L'ESPAI NATURAL PROTEGIT SECANS DE MAS DE MELONS-ALFÉS. ANY 2025</t>
  </si>
  <si>
    <t>Codi</t>
  </si>
  <si>
    <t>Codi RAE si s'escau</t>
  </si>
  <si>
    <t>Actuació</t>
  </si>
  <si>
    <t>Codi de l'OBJECTIU OPERATIU principal a què fa referència</t>
  </si>
  <si>
    <t>Codis d'altres OBJECTIU OPERATIUS relacionats</t>
  </si>
  <si>
    <t>Eix del Pla estratègic</t>
  </si>
  <si>
    <t>Partida RAE</t>
  </si>
  <si>
    <t>Tipus d'actuació segons MAP</t>
  </si>
  <si>
    <t>Import (sense  IVA)</t>
  </si>
  <si>
    <t>Grau de compliment de l'indicador definit al Pla estratègic</t>
  </si>
  <si>
    <t>Observacions</t>
  </si>
  <si>
    <t>25_NA_SEC_01</t>
  </si>
  <si>
    <t>Redacció del Pla de conservació de l'alosa becuda</t>
  </si>
  <si>
    <t>01.1.1</t>
  </si>
  <si>
    <t>01.1.2, 01.2.4</t>
  </si>
  <si>
    <t>1.Natura</t>
  </si>
  <si>
    <t>1.1 Planificació de la gestió i designació del lloc</t>
  </si>
  <si>
    <t>Amb mitjans propis (dins LIFE)</t>
  </si>
  <si>
    <t>25_NA_SEC_02</t>
  </si>
  <si>
    <t>Redacció del Pla de gestió de l'espai i presentació als agents implicats</t>
  </si>
  <si>
    <t>Tots</t>
  </si>
  <si>
    <t>Amb mitjans propis</t>
  </si>
  <si>
    <t>25_NA_SEC_03</t>
  </si>
  <si>
    <t>Establiment d'un sistema de seguiment de les accions de gestió de l'espai i un adequat mecanisme de gestió adaptativa de les mateixes</t>
  </si>
  <si>
    <t>01.2.1</t>
  </si>
  <si>
    <t>25_NA_SEC_04</t>
  </si>
  <si>
    <t>Definició del protocol de pastura pels dos ramats de Mas de Melons i del de la timoneda</t>
  </si>
  <si>
    <t>01.2.2</t>
  </si>
  <si>
    <t>01.3.5, 01.4.2</t>
  </si>
  <si>
    <t>2.5 Mesures de manteniment i restauració d'altres agroecosistemes (inclosos els conreus)</t>
  </si>
  <si>
    <t>25_NA_SEC_05</t>
  </si>
  <si>
    <t>Instalació d'un tancat per acollir cavalls en semillibertat a la finca pública de Mas de Melons</t>
  </si>
  <si>
    <t>01.3.5, 01.2.4</t>
  </si>
  <si>
    <t>25_NA_SEC_06</t>
  </si>
  <si>
    <t>Projecte de plantació per a millorar la composició florística i d'espècies d'invertebrats a la timoneda d'Alfés</t>
  </si>
  <si>
    <t>01.3.5</t>
  </si>
  <si>
    <t>2.4 Mesures de manteniment i restauració de prats i pastures</t>
  </si>
  <si>
    <t>En el marc del projecte de renaturalització de l'ambit de l'hangar</t>
  </si>
  <si>
    <t>25_NA_SEC_07</t>
  </si>
  <si>
    <t>Adaptació dels punts d'aigua de la Reserva de Mas de  Melons i renaturalització de dues basses</t>
  </si>
  <si>
    <t>01.2.4</t>
  </si>
  <si>
    <t>25_NA_SEC_08</t>
  </si>
  <si>
    <t>Actuacions de gestió d’espècies depredadores. Sol·licitud de control de les poblacions de: porc senglar, garsa i guineu</t>
  </si>
  <si>
    <t>1.2.2</t>
  </si>
  <si>
    <t>3.2 Prevenció, mitigació o compensació dels danys ocasionats per les espècies protegides</t>
  </si>
  <si>
    <t>25_NA_SEC_09</t>
  </si>
  <si>
    <t>Neteja, tancament i obertura de caixes niu</t>
  </si>
  <si>
    <t>3.1 Mesures i programes específics de conservació d'espècies no incloses en altres apartats</t>
  </si>
  <si>
    <t>25_NA_SEC_10</t>
  </si>
  <si>
    <t>Control de l'expansió de la retama, especialment a la Reserva Natural de Mas de Melons</t>
  </si>
  <si>
    <t>01.2.3</t>
  </si>
  <si>
    <t>01.2.2, 01.2.4</t>
  </si>
  <si>
    <t>Dos tècnics especialistes x 6 mesos</t>
  </si>
  <si>
    <t>25_NA_SEC_11</t>
  </si>
  <si>
    <t>06.2.6</t>
  </si>
  <si>
    <t>Possibilitat de fer un encàrrec per elaborar fitxes i un protocol basat en el WhatsApp</t>
  </si>
  <si>
    <t>25_NA_SEC_12</t>
  </si>
  <si>
    <t>13.2.3</t>
  </si>
  <si>
    <t>13.5.2, 3 i 4, 14.2.1</t>
  </si>
  <si>
    <t>6. Educació, voluntariat i comunicació</t>
  </si>
  <si>
    <t>Són dos contractes menors, un pels esdeveniments i un altre per a les xerrades</t>
  </si>
  <si>
    <t>25_NA_SEC_13</t>
  </si>
  <si>
    <t>8.1.3</t>
  </si>
  <si>
    <t>1.4.2</t>
  </si>
  <si>
    <t>4. Desenvolupament local</t>
  </si>
  <si>
    <t>25_NA_SEC_14</t>
  </si>
  <si>
    <t xml:space="preserve">Eliminació de pinedes per afavorir la regeneració de les bosquines pròpies de la zona.
</t>
  </si>
  <si>
    <t>01.3.2</t>
  </si>
  <si>
    <t>25_NA_SEC_16</t>
  </si>
  <si>
    <t>01.3.7</t>
  </si>
  <si>
    <t>25_NA_SEC_17</t>
  </si>
  <si>
    <t>02.1.2</t>
  </si>
  <si>
    <t xml:space="preserve">2.B Mesures adicionals d'«infraestructura verda» més enllà de Natura 2000 </t>
  </si>
  <si>
    <t>25_NA_SEC_18</t>
  </si>
  <si>
    <t>*Potenciació de l'acord de custòdia amb l'associació Trenca per a la gestió de la finca de Torreribera i la timoneda d'Alfés.</t>
  </si>
  <si>
    <t>01.4.1</t>
  </si>
  <si>
    <t>1.2 Administració del lloc i comunicació amb les parts interessades</t>
  </si>
  <si>
    <t>25_NA_SEC_19</t>
  </si>
  <si>
    <t xml:space="preserve">Anàlisi de la situació dels terrenys colindants a la finca pública de Mas de Melons i proposta de gestió dels mateixos, mitjançant l'establiment d'acords o una possible compra.
</t>
  </si>
  <si>
    <t>01.4.2</t>
  </si>
  <si>
    <t>25_NA_SEC_20</t>
  </si>
  <si>
    <t>Adaptació del maneig de les plantacions d'oliveres i ametllers per a millora de la seva funció per a la biodiversitat</t>
  </si>
  <si>
    <t>8.1.1</t>
  </si>
  <si>
    <t>25_NA_SEC_21</t>
  </si>
  <si>
    <t>Amb mitjans propis. Pensar si cal un contracte d'assessorament. Buscar aliances UdL, Gallecs,...</t>
  </si>
  <si>
    <t>25_NA_SEC_22</t>
  </si>
  <si>
    <t>*Definició d'un mecanisme de governança que incorpori als ens locals de manera adequada en la planificació, execució i seguiment de la gestió de l'espai.</t>
  </si>
  <si>
    <t>01.4.3</t>
  </si>
  <si>
    <t>25_NA_SEC_23</t>
  </si>
  <si>
    <t>Realització de les accions de millora necessàries per a potenciar la captació d'aigua de la vall de Matxerri, recuperant la utilitat del dipòsit que es troba adjacent a la bassa de la vall.</t>
  </si>
  <si>
    <t>03.3.3</t>
  </si>
  <si>
    <t xml:space="preserve">A: Ho podem deixar per un altre any. Acció paral·lela amb reconstrucció de murs de pedra seca a Matxerri. 1r - millorar captació, 2n - murs </t>
  </si>
  <si>
    <t>25_NA_SEC_24</t>
  </si>
  <si>
    <t>02.2.1</t>
  </si>
  <si>
    <t>02.2.3</t>
  </si>
  <si>
    <t>25_NA_SEC_25</t>
  </si>
  <si>
    <t>Elaboració dels informes ambientals necessaris per a la preservació dels elements d'interès a l'espai.</t>
  </si>
  <si>
    <t>03.1.1</t>
  </si>
  <si>
    <t>1.3 Seguiment, vigilància i notificació</t>
  </si>
  <si>
    <t>25_NA_SEC_26</t>
  </si>
  <si>
    <t>Participació d'un representant de l'òrgan gestor en les reunions de seguiment ambiental del canal Segarra_Garrigues (Comissió d'obres i Comissió d'hàbitats)</t>
  </si>
  <si>
    <t>03.1.2</t>
  </si>
  <si>
    <t>03.1.3</t>
  </si>
  <si>
    <t>03.4.1</t>
  </si>
  <si>
    <t>Ja previst al 2024 (compra ASG)
També inclou 50 ha en el projecte d'infraestructures (No inclòs a l'import mostrat)</t>
  </si>
  <si>
    <t>Reg puntual de plantacions arbòries i arbustives de port baix</t>
  </si>
  <si>
    <t xml:space="preserve">Actuacions de gestió de vegetació especialment en guarets tals com tallada de ginestes o espècies arbustives lignificades. Manteniment de la cobertura arbustiva i arbòria </t>
  </si>
  <si>
    <t>1.2.4</t>
  </si>
  <si>
    <t>25_CU_SEC_01</t>
  </si>
  <si>
    <t>04.1.1</t>
  </si>
  <si>
    <t>2. Cultura</t>
  </si>
  <si>
    <t xml:space="preserve">1.4 Buits de coneixement i necessitats de recerca </t>
  </si>
  <si>
    <t>25_CU_SEC_02</t>
  </si>
  <si>
    <t>Elaboració d'un inventari de camins, corriols i senders de l'espai de cara a la seva ordenació.</t>
  </si>
  <si>
    <t>04.1.3</t>
  </si>
  <si>
    <t>Amb mitjans propis. FET Incorporat al Pla de gestió</t>
  </si>
  <si>
    <t>25_CU_SEC_03</t>
  </si>
  <si>
    <t>Redacció i execució de projectes de recuperació de murs de pedra seca, cabanes de volta i dipòsits de pedra seca.</t>
  </si>
  <si>
    <t>04.3.2</t>
  </si>
  <si>
    <t>04.3.3, 05.2.1</t>
  </si>
  <si>
    <t>25_CU_SEC_04</t>
  </si>
  <si>
    <t>Incorporació del patrimoni cultural a la cartelleria derivada de la OP 11.5.2, allà on calgui</t>
  </si>
  <si>
    <t>04.4.1</t>
  </si>
  <si>
    <t>011.5.2</t>
  </si>
  <si>
    <t>1.5 Mesures de comunicació i sensibilització, educació i accés de visitants relacionades amb Natura 2000</t>
  </si>
  <si>
    <t>Mitjans propis. Pensar a on posar-ho dels cartells informatius a elaborar el 2025 (codi 25_US_SEC10)</t>
  </si>
  <si>
    <t>25_CU_SEC_05</t>
  </si>
  <si>
    <t xml:space="preserve">
Identificació de punts d'interès cultural a incorporar a les visites a l'espai</t>
  </si>
  <si>
    <t>04.4.2</t>
  </si>
  <si>
    <t>Incloure al projecte de senyalització informativa de l'espai (Codi 25_US_SEC10)</t>
  </si>
  <si>
    <t>25_CU_SEC_06</t>
  </si>
  <si>
    <t>05.2.1</t>
  </si>
  <si>
    <t>06.2.2</t>
  </si>
  <si>
    <t>3. Coneixement</t>
  </si>
  <si>
    <t>25_CO_SEC_01</t>
  </si>
  <si>
    <t>Realització dels transectes de mesomamífers nocturns</t>
  </si>
  <si>
    <t>6.2.2</t>
  </si>
  <si>
    <t>25_CO_SEC_02</t>
  </si>
  <si>
    <t>Seguiment de la parelles nidificants i productivitat de xoriguer petit i gaig blau. Control de les caixes niu de la Reserva Natural de Mas de Melons</t>
  </si>
  <si>
    <t>25_CO_SEC_03</t>
  </si>
  <si>
    <t>Anellament de polls d'espècies d’interès a l’espai: gaig blau, duc, gralla bec vermell amb col·laboradors autoritzats.</t>
  </si>
  <si>
    <t>25_CO_SEC_04</t>
  </si>
  <si>
    <t>Seguiment de poblacions amb càmares de fototrampeig</t>
  </si>
  <si>
    <t>25_CO_SEC_05</t>
  </si>
  <si>
    <t>Transsectes i recollida de dades en el marc del CBMS</t>
  </si>
  <si>
    <t>25_CO_SEC_06</t>
  </si>
  <si>
    <t>25_CO_SEC_07</t>
  </si>
  <si>
    <t>25_CO_SEC_08</t>
  </si>
  <si>
    <t>25_CO_SEC_09</t>
  </si>
  <si>
    <t>Estacions d'escolta d'aus i seguiment SEGRE</t>
  </si>
  <si>
    <t>25_CO_SEC_10</t>
  </si>
  <si>
    <t>Seguiment projecte Felis</t>
  </si>
  <si>
    <t>25_CO_SEC_11</t>
  </si>
  <si>
    <t>06.3.3</t>
  </si>
  <si>
    <t>Contracte per bolcar totes les dades històriques d'observacions de fauna a la BdD oficial de la Reserva</t>
  </si>
  <si>
    <t>25_CO_SEC_12</t>
  </si>
  <si>
    <t xml:space="preserve">Establiment de dos punts de mostreig vinculats al Pla de polinitzadors silvestres (PIPOL) a les finques públiques de Mas de Melons i la timoneda d'Alfés, a través del Contracte Programa del CREAF.
</t>
  </si>
  <si>
    <t>06.4.2</t>
  </si>
  <si>
    <t>Ja previst al CP pel 2025</t>
  </si>
  <si>
    <t>06.4.3</t>
  </si>
  <si>
    <t>A través de voluntaris i coordinat per l'equip de la Reserva.</t>
  </si>
  <si>
    <t>06.3.2</t>
  </si>
  <si>
    <t>06.4.5</t>
  </si>
  <si>
    <t>Registre de control de visitants a l'ENP en el punt d'informació.</t>
  </si>
  <si>
    <t>06.5.2</t>
  </si>
  <si>
    <t>Amb els informadors ambientals</t>
  </si>
  <si>
    <t>25_DE_SEC_01</t>
  </si>
  <si>
    <t>08.1.1</t>
  </si>
  <si>
    <t>25_DE_SEC_02</t>
  </si>
  <si>
    <t>Organització de dues jornades per a formar pagesos en el maneig dels conreus d'oliveres per a la biodiversitat</t>
  </si>
  <si>
    <t>08.1.2</t>
  </si>
  <si>
    <t>Jornades PATT ja previstes</t>
  </si>
  <si>
    <t>25_DE_SEC_03</t>
  </si>
  <si>
    <t>Cal ajuntar-ho amb la feina que està desenvolupant LEADER Ponent a Secans de Belianes- Preixana</t>
  </si>
  <si>
    <t>25_DE_SEC_04</t>
  </si>
  <si>
    <t>Combinar amb el projecte de ramaderia del David Giralt. Universitat d'Alacant</t>
  </si>
  <si>
    <t>25_DE_SEC_05</t>
  </si>
  <si>
    <t>Definició d'un model de governança que inclogui els agents socioeconòmics del territori, en el marc del model definit a la OP 15.1.1</t>
  </si>
  <si>
    <t>08.2.1</t>
  </si>
  <si>
    <t>01.4.3, 08.4.2, 15.1.1</t>
  </si>
  <si>
    <t>25_DE_SEC_06</t>
  </si>
  <si>
    <t>Establiment d'un mecanisme de treball conjunt amb altres iniciatives de gestió a la zona, com les de l'associació Espais de Ponent, Trenca o La Llena.</t>
  </si>
  <si>
    <t>08.3.2</t>
  </si>
  <si>
    <t>08.2.1, 15.1.1</t>
  </si>
  <si>
    <t>Inclòs a d'altres accions. No és una acció en si mateixa</t>
  </si>
  <si>
    <t>25_DE_SEC_07</t>
  </si>
  <si>
    <t>08.4.1</t>
  </si>
  <si>
    <t>Amb mitjans propis. SSTT de Lleida</t>
  </si>
  <si>
    <t>25_DE_SEC_08</t>
  </si>
  <si>
    <t>Control dels límits de les àrees privades de caça</t>
  </si>
  <si>
    <t>8.4.2</t>
  </si>
  <si>
    <t>25_DE_SEC_09</t>
  </si>
  <si>
    <t>Realització de batudes per gestionar les poblacions de senglar amb el CAR i les Societats de Caçadors locals.</t>
  </si>
  <si>
    <t>08.4.3</t>
  </si>
  <si>
    <t xml:space="preserve">Amb mitjans propis. </t>
  </si>
  <si>
    <t>25_DE_SEC_10</t>
  </si>
  <si>
    <t>Realització d'una o dues campanyes de control de conill dins la Reserva amb la brigada de Forestal Catalana.</t>
  </si>
  <si>
    <t>Sense cost. Ho realitza FC</t>
  </si>
  <si>
    <t>25_US_SEC_01</t>
  </si>
  <si>
    <t>Establiment d'un mecanisme de vigilància permanent a la timoneda d'Alfés.</t>
  </si>
  <si>
    <t>11.1.11</t>
  </si>
  <si>
    <t>5. Ús públic i social</t>
  </si>
  <si>
    <t>Estudiar opció del Guarda Rural.</t>
  </si>
  <si>
    <t>25_US_SEC_02</t>
  </si>
  <si>
    <t xml:space="preserve">
Elaboració d'un Pla d'us públic de l'espai</t>
  </si>
  <si>
    <t>11.2.1</t>
  </si>
  <si>
    <t>06.5.3,06.5.4, 06.5.6, 11.3.1, 11.3.2, 11.3.4, 11.3.5, 11.4.1, 11.6.2</t>
  </si>
  <si>
    <t>PENSAR SI CAL</t>
  </si>
  <si>
    <t>25_US_SEC_03</t>
  </si>
  <si>
    <t>Definició i publicitació de les rutes a promoure en l'espai.</t>
  </si>
  <si>
    <t>11.2.2</t>
  </si>
  <si>
    <t>En el marc del contracte amb CAMINAT. No suposa despesa per a la Reserva.</t>
  </si>
  <si>
    <t>25_US_SEC_04</t>
  </si>
  <si>
    <t>Manteniment de les tanques i altres infraestructures pel control d'accés a persones a determinats camins</t>
  </si>
  <si>
    <t>11.3.1</t>
  </si>
  <si>
    <t>06.5.3</t>
  </si>
  <si>
    <t>A realitzar per la brigada</t>
  </si>
  <si>
    <t>25_US_SEC_05</t>
  </si>
  <si>
    <t>Modificació del Pla especial (Acord GOB/185/2010) per tal que inclogui l'ús de drons entre les regulades.</t>
  </si>
  <si>
    <t>11.3.3</t>
  </si>
  <si>
    <t>En el marc més ampli de l'estudi de diverses concrecions del Pla especial</t>
  </si>
  <si>
    <t>25_US_SEC_06</t>
  </si>
  <si>
    <t>11.5.1</t>
  </si>
  <si>
    <t>11.5.2</t>
  </si>
  <si>
    <t>25_US_SEC_07</t>
  </si>
  <si>
    <t>Disseny i colocació de plafons paisatgístics i interpretatius i construcció d'un mirador panoràmic al turonet de la zona del LIFE (Cabana del Caçador), camí del Mas de Matxerri.</t>
  </si>
  <si>
    <t>Es financia, en part, amb la recaptació de les taxes dels hides. També amb pressupost LIFE</t>
  </si>
  <si>
    <t>25_US_SEC_08</t>
  </si>
  <si>
    <t>El pressupost era de 5481. Hi he afegit una mica per pensar el tema cultural</t>
  </si>
  <si>
    <t>25_US_SEC_09</t>
  </si>
  <si>
    <t>Actuacions de manteniment periòdic de tota la senyalització de l'espai</t>
  </si>
  <si>
    <t>Mitjans propis. Amb la brigada</t>
  </si>
  <si>
    <t>25_US_SEC_10</t>
  </si>
  <si>
    <t>11.8.2</t>
  </si>
  <si>
    <t>Poso pressupost per poder contractar experts i elaborar una mica de material</t>
  </si>
  <si>
    <t>25_US_SEC_11</t>
  </si>
  <si>
    <t>Manteniment dels itineraris, recollida de residus.</t>
  </si>
  <si>
    <t>11.7.1</t>
  </si>
  <si>
    <t>25_US_SEC_12</t>
  </si>
  <si>
    <t>Recorreguts diaris de vigilància i control de les actuacions que puguin ser contràries als objectius de conservació de l’espai (agricultura, ramaderia i caça).</t>
  </si>
  <si>
    <t>11.8.1</t>
  </si>
  <si>
    <t xml:space="preserve">Atenció a visitants. Donar servei de visites guiades per la Reserva Natural Parcial de Mas de Melons per a grups i el servei d’acompanyament a llocs autoritzats per a la pràctica de fotografia de fauna. </t>
  </si>
  <si>
    <t>13.5.5</t>
  </si>
  <si>
    <t>25_ED_SEC_01</t>
  </si>
  <si>
    <t>Realització de projectes PFC amb universitaris, principalment de la UdL</t>
  </si>
  <si>
    <t>13.2.4</t>
  </si>
  <si>
    <t>25_ED_SEC_02</t>
  </si>
  <si>
    <t>25_ED_SEC_03</t>
  </si>
  <si>
    <t>Participació a la taula Salut i Natura</t>
  </si>
  <si>
    <t>13.8.4</t>
  </si>
  <si>
    <t>25_ED_SEC_04</t>
  </si>
  <si>
    <t>Elaboració d'un pla de comunicació de l'espai</t>
  </si>
  <si>
    <t>14.1.1</t>
  </si>
  <si>
    <t>06.4.1</t>
  </si>
  <si>
    <t>PENSAR. Podria fer-se un encàrrec per establirt estratègia i iniciar contactes. O en el marc del projecte de La Llena</t>
  </si>
  <si>
    <t>25_GE_SEC_01</t>
  </si>
  <si>
    <t>Constitució i funcionament periòdic del Comitè científic de l'espai (mínim de 3 reunions l'any). Definició dins el Pla de gestió</t>
  </si>
  <si>
    <t>15.1.2</t>
  </si>
  <si>
    <t>01.4.3, 08.2.1, 15.1.1</t>
  </si>
  <si>
    <t>7. Gestió i Administració</t>
  </si>
  <si>
    <t>Amb mitjans propis.</t>
  </si>
  <si>
    <t>25_GE_SEC_02</t>
  </si>
  <si>
    <t>Creació d'un mínim d'una plaça de tècnic estructural per a l'espai.</t>
  </si>
  <si>
    <t>16.2.1</t>
  </si>
  <si>
    <t>Plaça d'estructura A21 (compto 6 mesos)</t>
  </si>
  <si>
    <t>25_GE_SEC_03</t>
  </si>
  <si>
    <t>Manteniment de les infraestructures de la Reserva Natural de Mas de Melons (masies, magatzems, observatoris de fauna salvatge, cabanes i abeuradors) i dels serveis que s'hi realitzen.</t>
  </si>
  <si>
    <t>16.3.5</t>
  </si>
  <si>
    <t>7. Gestió i administració</t>
  </si>
  <si>
    <t>Funcions de la colla de FC en part</t>
  </si>
  <si>
    <t>25_GE_SEC_04</t>
  </si>
  <si>
    <t>Creació d'un centre de documentació sobre els secans</t>
  </si>
  <si>
    <t>16.5.1</t>
  </si>
  <si>
    <t>Començar a pensar-ho perquè estigui al 2026</t>
  </si>
  <si>
    <t>25_GE_SEC_05</t>
  </si>
  <si>
    <t>Regularització de la situació de tot el personal del Parc</t>
  </si>
  <si>
    <t>16.6.2</t>
  </si>
  <si>
    <t>Tema Cap de Colla.</t>
  </si>
  <si>
    <t>MODEL DE PLA ESTRATÈGIC PELS ENP</t>
  </si>
  <si>
    <t>Espai natural protegit:</t>
  </si>
  <si>
    <t>Secans de Mas de Melons- Alfés</t>
  </si>
  <si>
    <t>Fita a assolir en 4 anys</t>
  </si>
  <si>
    <t>Gestió interna</t>
  </si>
  <si>
    <t>EIXOS</t>
  </si>
  <si>
    <t>OBJECTIUS Generals (PP)</t>
  </si>
  <si>
    <t>OBJECTIUS Estratègics</t>
  </si>
  <si>
    <t>OBJECTIUS operatius / Línia estratègica</t>
  </si>
  <si>
    <t>Comú / Específic</t>
  </si>
  <si>
    <t>Obligatori / Optatiu</t>
  </si>
  <si>
    <t>Redactat de l'OP adequat a l'espai</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</si>
  <si>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</si>
  <si>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</si>
  <si>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</si>
  <si>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</si>
  <si>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</si>
  <si>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</si>
  <si>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indicadors</t>
  </si>
  <si>
    <t>Mínima</t>
  </si>
  <si>
    <t>Màxim (Desitjable)</t>
  </si>
  <si>
    <t>Hores de dedicació</t>
  </si>
  <si>
    <t>Àrea responsable</t>
  </si>
  <si>
    <t>Persona responsable</t>
  </si>
  <si>
    <t>Com es pot executar</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</si>
  <si>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</si>
  <si>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</si>
  <si>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</si>
  <si>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</si>
  <si>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Implementar i executar plans de gestió específics per a hàbitats i espècies de conservació prioritària dins l'ENP</t>
  </si>
  <si>
    <t>Comú</t>
  </si>
  <si>
    <t xml:space="preserve">Obligatori </t>
  </si>
  <si>
    <t>Establir la planificació específica per a la conservació dels hàbitats i les espècies de conservació prioritàries a l'ENP</t>
  </si>
  <si>
    <t>Deixaria aquesta per a la planificació i l'execució a la 1.2.2 (plans d'espècies).</t>
  </si>
  <si>
    <t>Si</t>
  </si>
  <si>
    <t>ALTA</t>
  </si>
  <si>
    <t>MAP</t>
  </si>
  <si>
    <t>SFF: Elaboració de plans de gestió específics per a espècies de conservació prioritària i directrius de gestió d'hàbitats.
SFF/SENP: Definir a nivell de cluster quins son els que es poden elaborar conjuntament.</t>
  </si>
  <si>
    <t>1) Nombre de plans de gestió redactats i implementats
2) Nombre de projectes de restauració activa redactats per la millora de l'estat de conservació dels elements prioritzats</t>
  </si>
  <si>
    <t>1) 1
2) 1</t>
  </si>
  <si>
    <t>1) 3
2)3</t>
  </si>
  <si>
    <t>Contractació externa</t>
  </si>
  <si>
    <t>01.1.2</t>
  </si>
  <si>
    <t>Adaptar i executar plans de gestió específics per a elements geològics de conservació prioritària dins l'ENP</t>
  </si>
  <si>
    <t>No existeixen elements d'interès geològic a l'espai</t>
  </si>
  <si>
    <t> </t>
  </si>
  <si>
    <t>01.2</t>
  </si>
  <si>
    <t>Executar les mesures de gestió directa previstes en els intruments de planificació per la conservació i la gestió adaptativa dels elements clau de l'ENP</t>
  </si>
  <si>
    <t>Implementar la metodologia de gestió adaptativa (Estàndards Oberts de Gestió Adaptativa a Catalunya) en tots els processos de l'ENP</t>
  </si>
  <si>
    <t>Obligatori</t>
  </si>
  <si>
    <t>MITJANA</t>
  </si>
  <si>
    <t>ESNATURA</t>
  </si>
  <si>
    <t>SENP: Elaboració d'un manual per la implementació dels OSAM</t>
  </si>
  <si>
    <t>Sistema de seguiment creat</t>
  </si>
  <si>
    <t>Amb el personal actual</t>
  </si>
  <si>
    <t>Executar les mesures previstes en els plans de conservació o recuperació d'espècies amenaçades de forma coordinada amb el Servei de Flora i Fauna en l'àmbit de l'ENP</t>
  </si>
  <si>
    <t>Executar les mesures previstes als plans de gestió o plans de recuperació / conservació d'elements de conservació prioritària a l'espai</t>
  </si>
  <si>
    <t>Deixem l'execució de les mesures aquí i a l'OP 1.1.1 la planificació de les mateixes. Queda obert a plans de gestió, plans de protecció o de recuperació despècies ja que les mesures, en molts cassos, es repetiran.</t>
  </si>
  <si>
    <t>MÀXIMA</t>
  </si>
  <si>
    <t xml:space="preserve">*Actuacions de manteniment de la vegetació a l'alçada adequada per a la conservació d'alosa becuda i ganga principalment (pastura).
*Actuacions de recuperació de la vegetació natural adequada als requeriments de les aus d'interès comunitari, especialment ganga i alosa becuda.
*Reforç del programa de cria en captivitat i reintroducció al medi natural de la trenca.
*Creació de zones d'alimentació riques en llavors millorants del sòl per a la tórtora europea i altres espècies mitjançant la implantació de zones lliures de sembra i/o  sembres específiques per a la fauna en les extensions adjacents al projecte LIFE Connect Ricotí. 
*Execució de mesures per a millorar la composició florística i d'espècies d'invertebrats a la timoneda d'Alfés.
*Realització d'accions per a l'afavoriment de polinitzadors 
*Adaptació dels punts d'aigua per a amfibis i pteròclids i creació de nous punts d'aigua si així ho dermina el Pla de gestió.
</t>
  </si>
  <si>
    <t>MAP
Catàlegs</t>
  </si>
  <si>
    <t>SFF: Elaboració de plans de conservació o recuperació d'espècies protegides</t>
  </si>
  <si>
    <t>1) Percentatge d'accions executades del total incloses dins de plans de recuperació/conservació d'espècies
2) % d'accions executades del total incloses dins els plans de gestió</t>
  </si>
  <si>
    <t>1) 20%
2) 60%</t>
  </si>
  <si>
    <t>1) 50%
2) 80%</t>
  </si>
  <si>
    <t>Executar les mesures de gestió previstes en els plans de control i erradicació d'espècies exòtiques de forma coordinada amb el Servei de Flora i Fauna en l'àmbit de l'ENP</t>
  </si>
  <si>
    <t>Executar les mesures previstes en el pla de gestió pel control i erradicació d'espècies exòtiques invasores de forma coordinada amb la Subdirecció de Biodiversitat</t>
  </si>
  <si>
    <t>* Control de l'expansió de la retama, especialment a la Reserva Natural de Mas de Melons
*Elaboració d'un protocol de Detecció primerenca i Resposta Ràpida (DTRR) per a les principals espècies invasores de flora i fauna a l'espai natural.</t>
  </si>
  <si>
    <t>ESNATURA
MAP</t>
  </si>
  <si>
    <t>SFF: Elaboració de plans de control i erradicació d'espècies exòtiques</t>
  </si>
  <si>
    <t>1) % de superficie amb retama controlada
2) Nombre d'espècies incloses al Sistema DTRR</t>
  </si>
  <si>
    <t xml:space="preserve">1) 60%
2) 5
</t>
  </si>
  <si>
    <t xml:space="preserve">1) 100 %
2) 10
</t>
  </si>
  <si>
    <t xml:space="preserve">Desplegar els objectius i tasques recollits en els instruments de referència i compromisos internacionals  </t>
  </si>
  <si>
    <t>Específic</t>
  </si>
  <si>
    <t xml:space="preserve">Optatiu </t>
  </si>
  <si>
    <t>*Execució de totes les accions previstes al LIFE Connect Ricotí</t>
  </si>
  <si>
    <t>% d'accions executades</t>
  </si>
  <si>
    <t>01.3</t>
  </si>
  <si>
    <t>Crear ecosistemes complexes, resilients, i d'alta biodiversitat per garantir la recuperació dels processos ecosistèmics</t>
  </si>
  <si>
    <t>01.3.1</t>
  </si>
  <si>
    <t>Identificar espais pel foment de la dinàmica natural i l'aprofitament no extractiu</t>
  </si>
  <si>
    <t>No aplica</t>
  </si>
  <si>
    <t>Afavorir la maduresa dels sistemes forestals</t>
  </si>
  <si>
    <t>*Eliminació de pinedes per afavorir la regeneració de les bosquines pròpies de la zona.
*Actuacions de gestió per a la millora del bosc de ribera i augmentar la densitat de cavitats al riu Set.</t>
  </si>
  <si>
    <t>SENP/SFF: Definir criteris metodològics</t>
  </si>
  <si>
    <t>Sup. Recuperada/ millorada (ha)</t>
  </si>
  <si>
    <t>01.3.3</t>
  </si>
  <si>
    <t>Generar pertorbacions controlades</t>
  </si>
  <si>
    <t>01.3.4</t>
  </si>
  <si>
    <t xml:space="preserve">Restaurar la dinàmica natural dels rius </t>
  </si>
  <si>
    <t>Restaurar i conservar la dinàmica i estructura natural dels rius, les zones humides, i altres hàbitats d'aigua dolça</t>
  </si>
  <si>
    <t>Adaptar el redactat per a tot tipus de masses d'aigua</t>
  </si>
  <si>
    <t xml:space="preserve">*Actuacions per disminuir i substituir els productes fitosanitaris per altres de més selectius i de baixa toxicitat (AAA) tant per a la fauna terrestre com aquàtica.
*Accions per a la recuperació de franges de ribera entre cultius i la llera del riu Set.
*
* veure OP 1.2.2
</t>
  </si>
  <si>
    <t>1) Nombre d'actuacions executades
2) Sup. conservada (ha)</t>
  </si>
  <si>
    <t>1) 1
2) 2</t>
  </si>
  <si>
    <t>1) 3
2) 10</t>
  </si>
  <si>
    <t>Fomentar el paisatge en mosaïc</t>
  </si>
  <si>
    <t>*Ús dels ramats com a mecanisme de gestió de guarets per a la conservació de l’avifauna.
*Ús dels ramats com a mecanisme de gestió dels erms i altres zones amb vegetació natural.
*Plantació d'arbres als marges dels camps i a les finques no conreades per a potenciar la nidificació de les aus, especialment de gaig blau.</t>
  </si>
  <si>
    <t>1) Sup. guarets gestionada amb ramats (ha)
2) Sup. d'erms gestionats amb ramats (ha)
3) Nombre de peus plantats
4) Relació entre sup conreada i sup. de matollars i marges recuperats</t>
  </si>
  <si>
    <t>1) 50 ha
2) 10 ha
3) 20
4) 5%</t>
  </si>
  <si>
    <t>1) 150 ha
2) 30 ha
3) 50
4) 20%</t>
  </si>
  <si>
    <t>01.3.6</t>
  </si>
  <si>
    <t>Gestionar i intervenir en la dinàmica de poblacions de fauna que no tenen depredador natural</t>
  </si>
  <si>
    <t xml:space="preserve">Gestionar i intervenir en la dinàmica de poblacions de fauna que poden generar danys a la conservació dels elements d'interès de l'espai </t>
  </si>
  <si>
    <t>Creiem interessant centrar-nos en el tema de danys i no tant si tenen depredador natural o no. Tema preses aniria a l'OP8.4.2 i danys a lagricultura o forestals a OP8.4.3</t>
  </si>
  <si>
    <r>
      <t>*Control de la població de garsa (</t>
    </r>
    <r>
      <rPr>
        <i/>
        <sz val="11"/>
        <color theme="1"/>
        <rFont val="Calibri"/>
        <family val="2"/>
        <scheme val="minor"/>
      </rPr>
      <t>Pica pica</t>
    </r>
    <r>
      <rPr>
        <sz val="11"/>
        <color theme="1"/>
        <rFont val="Calibri"/>
        <family val="2"/>
        <scheme val="minor"/>
      </rPr>
      <t>) i gavià (</t>
    </r>
    <r>
      <rPr>
        <i/>
        <sz val="11"/>
        <color theme="1"/>
        <rFont val="Calibri"/>
        <family val="2"/>
        <scheme val="minor"/>
      </rPr>
      <t>Larus michaellis</t>
    </r>
    <r>
      <rPr>
        <sz val="11"/>
        <color theme="1"/>
        <rFont val="Calibri"/>
        <family val="2"/>
        <scheme val="minor"/>
      </rPr>
      <t xml:space="preserve">) als entorns de les zones de cria de la trenca.
</t>
    </r>
  </si>
  <si>
    <t>Nombre d'individus capturats
Nombre de nius depredats</t>
  </si>
  <si>
    <t>***</t>
  </si>
  <si>
    <t>Afavorir la connectivitat ecològica del territori</t>
  </si>
  <si>
    <t>*Actuacions de millora de la connectivitat de les aus estèpiques amb les poblacions properes d'alosa becuda, ganga, sisó i trenca (d'acord amb OP 6.2.7)
*Millora de la connectivitat entre les localitats amb presència de boscos de ribera així com entre els hàbitats aquàtics i els ecosistemes naturals terrestres adjacents, especialment pels hàbitats d'estanys i basses..
*Actuacions de correcció de punts negres d'atropellament de fauna.
*Actuacions de correcció dels suports de línies elèctriques on es detectin noves electrocucions o amb risc potencial d'electrocució i senyalització amb salvaocells de les línies perilloses per col·lisió.
*Execució del projecte de restauració de la vall de Matxerri i la seva connexió amb la timoneda.</t>
  </si>
  <si>
    <t>1) Sup. recuperada per a la connectivitat (ha)
2) Nombre de passos de fauna executats
3) Nombre de suports corregits
4) Percentatge de les accions previstes al projecte de restauració executades</t>
  </si>
  <si>
    <t>1) 25 ha
2) 2
3) 0
4) 40%</t>
  </si>
  <si>
    <t>1) 100 ha
2) 4s
3) 0
4) 100%</t>
  </si>
  <si>
    <t>01.4</t>
  </si>
  <si>
    <t>Alinear l'activitat de propietaris i gestors del territori amb la conservació, millora i restauració dels valors de l'ENP</t>
  </si>
  <si>
    <t>Fomentar acords de custòdia en espais d'alt valor dins l'ENP per a la gestió dels elements prioritaris</t>
  </si>
  <si>
    <t>SENP/SENP: Dissenyar el protocol i elaborar un model d'acord</t>
  </si>
  <si>
    <t>Acord signat Si/NO
Sup. sota acords de custòdia (ha)</t>
  </si>
  <si>
    <t>1) Si
2) ***</t>
  </si>
  <si>
    <t>Fomentar bones pràctiques entre els col·lectius de propietaris i gestors del territori</t>
  </si>
  <si>
    <t xml:space="preserve">*Establiment d'acords amb els agricultors i propietaris de terrenys colindants a les finques públiques per a realitzar una gestió adequada a la conservació dels valors naturals de l'espai.
*Establiment d'un mecanisme permanent d'acord amb els pagesos/ramaders que gestionen la finca pública de Mas de Melons
*Acord amb els pastors i propietaris de ramats per a la gestió adequada dels ramats a fi de potenciar l'hàbitat adequat per a alosa becuda i la ganga a la timoneda d'Alfés
</t>
  </si>
  <si>
    <t>1) Nombre d'acords
2) Sup sota acords de gestió (ha)
3) Sup. amb gestió d'acord al document de bones pràctiques</t>
  </si>
  <si>
    <t>1) 2
2) 20 ha
3) 50 ha</t>
  </si>
  <si>
    <t>1) 5
2) 50 ha
3) 100 ha</t>
  </si>
  <si>
    <t>Impulsar la coordinació amb els ens locals en la gestió finques públiques situades dins d’ENP</t>
  </si>
  <si>
    <t>1) Mecanisme establert 
2) % dels ens locals totals que en formen part</t>
  </si>
  <si>
    <t>1) Si
2) 60</t>
  </si>
  <si>
    <t>1) Si
2) 100%</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</si>
  <si>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</si>
  <si>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</si>
  <si>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</si>
  <si>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</si>
  <si>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</si>
  <si>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Elaborar i implementar el Pla d'adaptació de l'ENP al canvi climàtic</t>
  </si>
  <si>
    <t>*Elaboració de l'anàlisi de la vulnerabilitat al canvi climàtic de l'espai
*Elaboració del pla d'adaptació al canvi climàtic de l'espai.</t>
  </si>
  <si>
    <t xml:space="preserve">OCCC/SENP: Elaboració del model de Pla d'adaptació dels ENP al canvi climàtic </t>
  </si>
  <si>
    <t>Pla redactat
% de mesures executades</t>
  </si>
  <si>
    <t>1) Si
2) 15%</t>
  </si>
  <si>
    <t>1) Si
2) 40%</t>
  </si>
  <si>
    <t>Gestionar i planificar els recursos hídrics de l'ENP</t>
  </si>
  <si>
    <t>* Millorar la captació d'aigua de la vall de Matxerri, recuperant la utilitat del dipòsit que es troba adjacent a la bassa de la vall.</t>
  </si>
  <si>
    <t>Executat o no</t>
  </si>
  <si>
    <t>02.1.3</t>
  </si>
  <si>
    <t>Participar en la redacció i execució dels instruments d'ordenació forestal sostenible i per la conservació en finques públiques</t>
  </si>
  <si>
    <t>Participar en la redacció i execució dels instruments d'ordenació forestal sostenible en finques públiques per la conservació d'elements d'interès</t>
  </si>
  <si>
    <t xml:space="preserve">Es concreta l'objectiu de la participació </t>
  </si>
  <si>
    <t>BAIXA</t>
  </si>
  <si>
    <t xml:space="preserve">*Revisió dels documents d’ordenació forestal per orientar la gestió cap a la recuperació dels hàbitats i les espècies d’interès.
</t>
  </si>
  <si>
    <t>DGEFMN: Redacció d'IOF en finques públiques</t>
  </si>
  <si>
    <t>1) Percentatge dels documents de l'espai revisats
2) Sup. forestal revisada</t>
  </si>
  <si>
    <t>1) 50%
2) 50%</t>
  </si>
  <si>
    <t>1) 100%
2) 100%</t>
  </si>
  <si>
    <t>Amb contractació de més personal</t>
  </si>
  <si>
    <t>02.1.4</t>
  </si>
  <si>
    <t>Promoure la redacció d'instruments d'ordenació forestal per reduir la sensibilitat i vulnerabilitat dels boscos al canvi climàtic en finques privades</t>
  </si>
  <si>
    <t>Optatiu</t>
  </si>
  <si>
    <t>L'objectiu d'adaptació al canvi climàtic s'aborda des d'una perspectiva més àmplia (OP 2.1.1) i no només d'ordenació forestal</t>
  </si>
  <si>
    <t>02.2</t>
  </si>
  <si>
    <t xml:space="preserve">Planificar la prevenció i extinció d’incendis forestals i la gestió del foc de forma coordinada amb els diferents agents del territori </t>
  </si>
  <si>
    <t xml:space="preserve">Redactar i implementar el Pla de Prevenció d'Incendis </t>
  </si>
  <si>
    <t>Redactar el Pla de Prevenció d'Incendis</t>
  </si>
  <si>
    <t>La imlementació del Pla estaria a l'OP 2.2.3</t>
  </si>
  <si>
    <t>Equip de PPI: Disseny del protocol de treball</t>
  </si>
  <si>
    <t xml:space="preserve">Pla redactat </t>
  </si>
  <si>
    <t>02.2.2</t>
  </si>
  <si>
    <t>Definir i planificar la gestió del foc per a la millora de l'ENP</t>
  </si>
  <si>
    <t>SPEN: Elaboració d'un model de pla de gestió</t>
  </si>
  <si>
    <t>Treballar per a la prevenció d'incendis juntament amb els propietaris, ajuntaments, protecció civil, ADF i bombers.</t>
  </si>
  <si>
    <t>Execució de les mesures de prevenció d'incendis que es plantegin al Pla de l'OP 2.2.1</t>
  </si>
  <si>
    <t>1) % de mesures executades
2) Nombre incendis iniciats
3) Sup. cremada</t>
  </si>
  <si>
    <t>1) 50%
2) 0
3) 0</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</si>
  <si>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</si>
  <si>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</si>
  <si>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</si>
  <si>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Participar en les consultes dels procesos d'Avaluació Ambiental que afectin directament o indirectament l’espai del ENP</t>
  </si>
  <si>
    <t>Percentatge dels informes requerits per AIA elaborats</t>
  </si>
  <si>
    <t>Exercir un seguiment efectiu de les obres al Parc juntament amb les Oficines Territorials d'Acció i Avaluació Ambiental als efectes d'assegurar la correcta translació de la tutela administrativa.</t>
  </si>
  <si>
    <t>% d'assistència a les reunions</t>
  </si>
  <si>
    <t>Participar en la compensació d'impactes residuals durant els processos d'avaluació ambiental mitjançant la identificació de necessitats d'actuació prioritària dins i fora dels límits de l’ENP</t>
  </si>
  <si>
    <t>en el marc de la OP 3.1.2</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</si>
  <si>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</si>
  <si>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</si>
  <si>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</si>
  <si>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</si>
  <si>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No</t>
  </si>
  <si>
    <t>SPEN: Elaboració del Pla rector d'usos i gestió.
SPEN: Elaboració del Pla rector d'usos i gestió</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</si>
  <si>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</si>
  <si>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</si>
  <si>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</si>
  <si>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</si>
  <si>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ACA/CHE: Determinar els cabals ecològics en espais naturals protegits</t>
  </si>
  <si>
    <t>03.3.2</t>
  </si>
  <si>
    <t>Vetllar per la regulació dels dragatges, canalitzacions o implantació d'activitats extractives que puguin modificar la llera i el cabal dels rius</t>
  </si>
  <si>
    <t>Avaluar i controlar les actuacions que produeixin drenatges, captacions o que puguin impedir l’arribada d’aigua tant superficial com freàtica</t>
  </si>
  <si>
    <t xml:space="preserve">*veure OP 2.1.2
*Actuacions per a la millora de la captació d'aigua de la bassa dels triops.
*Realització d'un estudi que identifiqui punts critics en el règim hídric de l'espai i realitzar propostes d'actuació. 
</t>
  </si>
  <si>
    <t>1) Actuació realitzada
2) Nombre de punts crítics identificats
3) % dels punts crítics solucinats</t>
  </si>
  <si>
    <t>1) Si
2) A determinar
3) 33%</t>
  </si>
  <si>
    <t>1) Si
2) A determinar
3) 50%</t>
  </si>
  <si>
    <t>03.3.4</t>
  </si>
  <si>
    <t>Vetllar pel compliment de la normativa de depuració dels efluents agroramaders, urbans i industrials que s'aboquen als cursos fluvials</t>
  </si>
  <si>
    <t>Vetllar pel compliment de la normativa de depuració dels efluents agroramaders, urbans i industrials que s'aboquen als cursos fluvials, i promoure bones pràctiques entre els gestors i propietaris del territori</t>
  </si>
  <si>
    <t>Es posa l'èmfasi en el promoue bones pràctiques relatives a la contaminació de les aigües</t>
  </si>
  <si>
    <t>*Promoció de franges de mínim conreu o de restricció d’aportació de fertilitzants i fitosanitaris a la vora del riu Set i dels herbassars de Melons.</t>
  </si>
  <si>
    <t xml:space="preserve">Sup. de franges creada (ha) </t>
  </si>
  <si>
    <t>100 ml de riu</t>
  </si>
  <si>
    <t>500 ml</t>
  </si>
  <si>
    <t>03.3.5</t>
  </si>
  <si>
    <t>Vetllar per la conservació i ocupació del domini públic d'acord amb les delimitacions i la normativa d'usos vigent</t>
  </si>
  <si>
    <t>NOU OP. El tema de la delimitació del DPH no queda englobat a cap altre OP</t>
  </si>
  <si>
    <t>*Delimitació del Domini Públic Hidràulic i les seves franges de servitud al curs del riu Set.</t>
  </si>
  <si>
    <t>Delimitació feta</t>
  </si>
  <si>
    <t>03.4</t>
  </si>
  <si>
    <t>Incrementar el patrimoni públic destinat a la conservació i millora del patrimoni natural</t>
  </si>
  <si>
    <t xml:space="preserve">Identificar espais prioritaris per a la compra de terrenys de més valor dins l'ENP </t>
  </si>
  <si>
    <t>*Adquisició de finques als voltants de la timoneda d'Alfés per a incrementar l'habitat adequat de l'alosa becuda i la seva gestió corresponent.
*Adquisició de finques d'interès a l'entorn de la Reserva, especialment al marge del riu Set i a la vall de Matxerri.</t>
  </si>
  <si>
    <t>SENP/SPEN: Facilitar els criteris a seguir</t>
  </si>
  <si>
    <t>1)Nombre de finques adquirides
2) Sup. total comprada (ha)</t>
  </si>
  <si>
    <t>1) 8
2) 50</t>
  </si>
  <si>
    <t>1) 20
2) 150</t>
  </si>
  <si>
    <t>03.4.2</t>
  </si>
  <si>
    <t>Identificar espais prioritaris per a la gestió directa</t>
  </si>
  <si>
    <t xml:space="preserve">*Elaboració d'un estudi dels sectors no transformats en l'espai per a la seva possible compra o acord per a una gestió encaminada a la conservació dels valors naturals.
*Avaluació de les finques de major interès pel seu arrendament per a una gestió activa orientada a la conservació de les aus d'interès comunitari.
</t>
  </si>
  <si>
    <t>1) Estudi elaborat
2) Cartografia de finques d'interès elaborada
3) Superficie identificada
4) % de la sup indentificada amb gestió activa</t>
  </si>
  <si>
    <t>1) Si
2) Si
3) A determinar
4) 25%</t>
  </si>
  <si>
    <t>1) Si
2) Si
3) A determinar
4) 40%</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</si>
  <si>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</si>
  <si>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</si>
  <si>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</si>
  <si>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</si>
  <si>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Elaborar l'inventari i cartografia de patrimoni cultural de l'ENP, que també inclogui el patrimoni etnològic i immaterial</t>
  </si>
  <si>
    <t xml:space="preserve">*Elaboració de l'Inventari d’elements d’interès cultural i etnològic de l'espai (inclou elements relacionats amb la Batalla del Segre i l’aeròdrom republicà d’Alfés).
</t>
  </si>
  <si>
    <t>1) Inventari elaborat</t>
  </si>
  <si>
    <t>1) No</t>
  </si>
  <si>
    <t>1) Si</t>
  </si>
  <si>
    <t>04.1.2</t>
  </si>
  <si>
    <t>Elaborar el catàleg lingüístic (localismes) de patrimoni natural, geografia popular, festes i activitats tradicionals de l'ENP</t>
  </si>
  <si>
    <t>No té sentit a l'espai.</t>
  </si>
  <si>
    <t>Elaborar la cartografia de la xarxa de camins ramaders i senders tradicionals de l'ENP</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</si>
  <si>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</si>
  <si>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</si>
  <si>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</si>
  <si>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</si>
  <si>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Junt amb l'OP 4.2.2</t>
  </si>
  <si>
    <t>04.2.2</t>
  </si>
  <si>
    <t>Articular treballs conjunts entre l'ENP i representants, gestors o custodis del patrimoni cultural per a la seva protecció i millora</t>
  </si>
  <si>
    <t>si</t>
  </si>
  <si>
    <t>Elaboració d'un pla de treball per a la gestió, conservació i valorització del patrimoni cultural lligat als secans de la Plana de Lleida.</t>
  </si>
  <si>
    <t>1) Pla de treball elaborat</t>
  </si>
  <si>
    <t>04.2.3</t>
  </si>
  <si>
    <t>04.2.4</t>
  </si>
  <si>
    <t>Disposar de personal especialitzat en patrimoni cultural</t>
  </si>
  <si>
    <t>FORA DEL TERMINI DEL PLA</t>
  </si>
  <si>
    <t>Incorporació en un futur, d'un tècnic especialitzat en patrimoni cultural per a la gestió de tots els secans de Lleida (veure OP 16.2.1)</t>
  </si>
  <si>
    <t>Nombre de persones contractades</t>
  </si>
  <si>
    <t>04.3</t>
  </si>
  <si>
    <t>Potenciar la conservació i recuperació del patrimoni cultural material i immaterial de l'ENP</t>
  </si>
  <si>
    <t>04.3.1</t>
  </si>
  <si>
    <t>Recuperar i conservar el patrimoni cultural rural vinculat específicament a construccions de pedra en sec</t>
  </si>
  <si>
    <t>*Actuacions de conservació i recuperació dels murs de pedra seca i de les cabanes agrícoles tradicionals (veure OP5.2.1).</t>
  </si>
  <si>
    <t>Nombre d'elements recuperats</t>
  </si>
  <si>
    <t>04.3.3</t>
  </si>
  <si>
    <t xml:space="preserve">Fomentar la recuperació i conservació de l'arquitectura tradicional d'intrès de les edificacions i construccions </t>
  </si>
  <si>
    <t>Veure mesures de l'OP 4.3.2</t>
  </si>
  <si>
    <t>04.3.4</t>
  </si>
  <si>
    <t>Identificar i conservar la diversitat domesticada de varietats agrícoles i ramaderes locals</t>
  </si>
  <si>
    <t>* Estudiar les varietats domesticades d'oliveres i ametllers de l'ENP.</t>
  </si>
  <si>
    <t>Estudi realitzat
Nombre de varietats localitzades</t>
  </si>
  <si>
    <t>04.4</t>
  </si>
  <si>
    <t xml:space="preserve">Donar a conèixer els elements culturals com a valors del paisatge de l'ENP en les activitats d'ús públic </t>
  </si>
  <si>
    <t>Integrar el patrimoni cultural als itineraris i cartelleria de l'ENP.</t>
  </si>
  <si>
    <t>Percentatge de llocs d'interès cultural identificats a OP4.1.1 senyalitzat</t>
  </si>
  <si>
    <t>Incorporar el patrimoni cultural en els plans d’ús públic i educació ambiental per fomentar-ne la seva conservació i divulgació.</t>
  </si>
  <si>
    <t>*Posada en valor, de tots els conjunts de pintures rupestres existents al llarg del riu Set.
Identificació de punts d'interès cultural a incorporar a les visites a l'espai</t>
  </si>
  <si>
    <t>Percentatge de visites guiades a l'espai que incorporen els llocs d'interès cultural identificats a OP 4.1.1</t>
  </si>
  <si>
    <t>04.4.3</t>
  </si>
  <si>
    <t>Formar el personal dels punts d’informació en els valors culturals de l'ENP</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</si>
  <si>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</si>
  <si>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</si>
  <si>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</si>
  <si>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</si>
  <si>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</si>
  <si>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05.2</t>
  </si>
  <si>
    <t>Millorar la qualitat paisatgística</t>
  </si>
  <si>
    <t>Desplegar actuacions de restauració dels elements d'interès paisatgístic degradats</t>
  </si>
  <si>
    <t>*Redacció i execució del pla de recuperació natural i paisatgísitca dels terrenys actualment ocupats per l’aeròdrom d’Alfés
* Redacció i execució de projectes de recuperació de murs de pedra seca, cabanes de volta i dipòsits de pedra seca (veure OP4.3.2).</t>
  </si>
  <si>
    <t>Projecte de restauració de la timoneda executat
Nombre d'ha restaurades</t>
  </si>
  <si>
    <t>05.2.2</t>
  </si>
  <si>
    <t>Gestionar l'abandonament d'infraestructures i instal·lacions amb impactes sobre els valors de l'espai</t>
  </si>
  <si>
    <t>Promoure i gestionar l'eliminació i reducció d'impactes generats per les infraestructures i activitats existents en l'entorn de l'espai</t>
  </si>
  <si>
    <t>Creiem que s'entén millor així</t>
  </si>
  <si>
    <t>*Clausura de l’activitat de deixalleria existent al camí de Matxerri i a la timoneda d'Alfés.</t>
  </si>
  <si>
    <t>Nombre d'activitats clausurades</t>
  </si>
  <si>
    <t>05.2.3</t>
  </si>
  <si>
    <t>Minimitzar la brutícia, deixalles, vandalisme i males praxis dins l'ENP</t>
  </si>
  <si>
    <t>*Establiment de mesures de minimització de l’impacte de l’envolament de residus en col·laboració amb els gestors de l’abocador comarcal de residus urbans del Segrià.</t>
  </si>
  <si>
    <t>Mesures executades</t>
  </si>
  <si>
    <t>05.3</t>
  </si>
  <si>
    <t>Protegir la qualitat acústica i lumínica de l'ENP</t>
  </si>
  <si>
    <t>05.3.1</t>
  </si>
  <si>
    <t>Promoure la certificació de qualitat del cel nocturn</t>
  </si>
  <si>
    <t>*Realització de les accions necessàries per promoure la certificació de qualitat de cel nocturn a la finca de Mas de Melons.</t>
  </si>
  <si>
    <t>Certificació obtinguda</t>
  </si>
  <si>
    <t>05.3.2</t>
  </si>
  <si>
    <t>Promoure la certificació de zones d'especial protecció de la qualitat acústica</t>
  </si>
  <si>
    <t>No aplica a l'espai</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</si>
  <si>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</si>
  <si>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</si>
  <si>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</si>
  <si>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</si>
  <si>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</si>
  <si>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</si>
  <si>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Identificació d'espècies invasores no presents actualment a l'espai però amb problabilitat d'arribar-hi</t>
  </si>
  <si>
    <t>Directriva Habitats
Carta emplaçament
ESNATURA
Catàlegs</t>
  </si>
  <si>
    <t>UIC/SFF/SPEN: Definir criteris d'identificació d'elements interès.
UIC/SFF/SPEN: Definició dels objectes de conservació clau comuns a nivell de Xarxa d'ENP o clúster territorial</t>
  </si>
  <si>
    <t>Nombre d'espècies identificades</t>
  </si>
  <si>
    <t>06.1.2</t>
  </si>
  <si>
    <t>Definir espais fràgils i zones d'especial atenció</t>
  </si>
  <si>
    <t>*Realització de l'Inventari de totes les construccions agrícoles d’interès per a gaig blau i xoriguer petit dins l'espai.
*Realització de l'Inventari i pla de gestió de les basses i punts d'aigua a l'espai.
*Cartografia de les àrees d'especial interès per a la conservació de ganga, alosa becuda, còlit negre i gaig blau.
*Incorporació a l’Inventari de Zones Humides de Catalunya de diverses basses, pantans, salats i zones humides d’interès.</t>
  </si>
  <si>
    <t>SPEN: Inventari i cartografia d'espais fràgils i zones d'especial atenció</t>
  </si>
  <si>
    <t>1) Nombre de projectes d'identificació d'elements d'interès realitzats 
2) Nombre d'elements d'interès identificats</t>
  </si>
  <si>
    <t>1) 2
A determinar</t>
  </si>
  <si>
    <t>1) 4
A determinar</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</si>
  <si>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</si>
  <si>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</si>
  <si>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</si>
  <si>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</si>
  <si>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 xml:space="preserve">
</t>
  </si>
  <si>
    <t>UIC: Coordinar i contractar l'elaboració de la cartografia</t>
  </si>
  <si>
    <t>Conèixer i estudiar els processos naturals propis de l’espai, la seva funcionalitat, i ecologia en referència als ecosistemes</t>
  </si>
  <si>
    <t>Conèixer i estudiar els elements i processos naturals propis de l’espai, la seva tendència, funcionalitat, i ecologia, per al desenvolupament d'accions de gestió i conservació</t>
  </si>
  <si>
    <t>Creiem que s'entén millor així. Ho deixem en funció del pla de seguiment</t>
  </si>
  <si>
    <t>*Elaboració del pla de seguiment dels elements prioritaris de l'espai.
*Realitació de les accions de seguiment de les poblacions d'ocells estèpics.
*Establiment de programes de seguiment d'altres espècies de fauna i flora que determini el pla de seguiment de l'espai.
*Inventari de les espècies presents a l'espai de polinitzadors salvatges (abelles, sílfids i coleòpters).
*Estudis poblacionals per a determinar la relació de les poblacions d'aus estèpiques catalanes amb les de la resta de la Península.
*Estudis sobre l’estatus i ecologia dels rats-penats.
*Estudis sobre l’estatus i ecologia de les espècies de fauna d'interès comunitari.
*Estudis sobre l'estatus i l'ecologia dels ocells d'interès comunitari.</t>
  </si>
  <si>
    <t>1) Nombre de projectes de seguiment realitzat
2) percentatge dels projectes de seguiment identificats al Pla de seguiment realment executats</t>
  </si>
  <si>
    <t>1) A determinar
2) 75</t>
  </si>
  <si>
    <t>1) A determinar
2) 100</t>
  </si>
  <si>
    <t>06.2.3</t>
  </si>
  <si>
    <t>Conèixer els usos i factors de canvi rellevants en l'evolució dels elements de conservació, i avaluar els efectes que generen en l’espai (pressions i amenaces)</t>
  </si>
  <si>
    <t xml:space="preserve">*Estudi dels Plans de Dejeccions Ramaderes de les finques dins l'espai per definir mesures relacionades amb els objectius de conservació, especialment evitant la sobrefertilització.
</t>
  </si>
  <si>
    <t xml:space="preserve">SENP/UIC: Elaborar la classificació i cartografia de les pressions o factors de canvi sobre el medi natural </t>
  </si>
  <si>
    <t>1) Estudi realitzat
2) Detecció d'ivermectrina al sòl</t>
  </si>
  <si>
    <t>1) No
2) Si</t>
  </si>
  <si>
    <t>1) Si
2) No</t>
  </si>
  <si>
    <t>06.2.4</t>
  </si>
  <si>
    <t>Conèixer l'impacte de les gestió de l'aigua, sobre la biodiversitat.</t>
  </si>
  <si>
    <t>06.2.5</t>
  </si>
  <si>
    <t>Participar en el coneixement de la tendència d'espècies plaga amb afectacions sobre ecosistemes o activitats econòmiques dins l'ENP</t>
  </si>
  <si>
    <t>Conèixer la tendència d'espècies exòtiques invasores amb afectacions sobre ecosistemes o activitats econòmiques dins l'ENP</t>
  </si>
  <si>
    <t>Vinculat al sistema DTRR de l'OP1.2.3</t>
  </si>
  <si>
    <t>06.2.7</t>
  </si>
  <si>
    <t>Coneixer com millorar la connectivitat de forma coordinada amb altres ENP</t>
  </si>
  <si>
    <t>*Redacció d'estudis de connectivitat dels hàbitats de l'alosa becuda, ganga, sisó, xurra, botxí.</t>
  </si>
  <si>
    <t>Nombre d'espècies amb estudis de connectivitat elaborats</t>
  </si>
  <si>
    <t>3 (alosa, ganga i xurra)</t>
  </si>
  <si>
    <t>06.3</t>
  </si>
  <si>
    <t xml:space="preserve">Estandaritzar els seguiments periòdics dels grups clau </t>
  </si>
  <si>
    <t>06.3.1</t>
  </si>
  <si>
    <t>Participar en la definició del sistema estàndard de seguiment de flora, fauna i hàbitats de la DG</t>
  </si>
  <si>
    <t>UIC/SFF/SENP: Crear espais de participació
UIC/SFF: Definir el sistema estàndard de seguiment i el protocol d'aplicació</t>
  </si>
  <si>
    <t>Adequar i executar el sistema de seguiment periòdic dels grups clau de l'ENP al sistema estàndard de seguiment</t>
  </si>
  <si>
    <t>UIC/SFF: Definir el sistema estàndard de seguiment i el protocol d'aplicació
UIC: Elaborar el protocol d'informació i coneixement</t>
  </si>
  <si>
    <t xml:space="preserve">Mantenir una base de dades de seguiment de patrimoni natural de l'ENP actualitzada i ordenada </t>
  </si>
  <si>
    <t>Disseny i implementació de la Base de Dades d'observacions de fauna i flora a l'espai.</t>
  </si>
  <si>
    <t>1) Base de dades implementada
2) Nombre d'observacions incorporades</t>
  </si>
  <si>
    <t>1) Si
2) A determinar</t>
  </si>
  <si>
    <t>06.3.4</t>
  </si>
  <si>
    <t>UIC/SENP: Crear i coordinar una metodologia participativa per a la definició del SINATCAT</t>
  </si>
  <si>
    <t>06.4</t>
  </si>
  <si>
    <t>Incrementar el coneixement de qualitat mitjançant l’establiment de marcs de col·laboració, assessorament i suport amb centres de recerca, museus i entitats naturalistes per al desenvolupament de part de la seva activitat en l’ENP</t>
  </si>
  <si>
    <t>Crear sinèrgies i col·laborar amb museus i equipaments de referència per definir línies d'actuació conjunta entre patrimoni cultural i natural</t>
  </si>
  <si>
    <t>Crear sinèrgies i col·laborar amb museus i equipaments de referència per definir línies d'actuació conjunta a l'espai</t>
  </si>
  <si>
    <t>Es posa l'èmfasi en que es tracta de treballar conjuntament en la gestió i millora de coneixement de l'espai</t>
  </si>
  <si>
    <t>Creació d'un mecanisme de treball conjunt amb el equipaments situats als municipis propers per a valorització de l'espai natural protegit.</t>
  </si>
  <si>
    <t>SENP: Elaborar un mapa d'agents de referència</t>
  </si>
  <si>
    <t>Nombre d'ajuntaments amb acords de treball conjunt</t>
  </si>
  <si>
    <t>2 (Castelldans i Alfés)</t>
  </si>
  <si>
    <t>6 tots els de l'espai</t>
  </si>
  <si>
    <t>Establir acords amb les institucions de recerca i naturalistes per al desenvolupament d'estudis i inventaris dins l'ENP en el marc de les seves línies de recerca</t>
  </si>
  <si>
    <t xml:space="preserve">Realització d'accions previstes en el Pla de polinitzadors silvestres (PIPOL) a les finques públiques de Mas de Melons i la timoneda d'Alfés, a través d'un acord amb el CREAF.
</t>
  </si>
  <si>
    <t>SENP: Elaborar un mapa d'agents de referècia</t>
  </si>
  <si>
    <t>1) Nombre de projectes realitzats
2) Nombre d'espècies de polinitzadors identificades</t>
  </si>
  <si>
    <t>1) 2
2) A determinar</t>
  </si>
  <si>
    <t xml:space="preserve">Potenciar la ciència ciutadana en l’ENP com a eina per generar coneixement </t>
  </si>
  <si>
    <t>Realització de seguiments de biodiversitat a l'espai a través de voluntaris (CBMS, SOCC, flora,...).
Acord amb la Societat Catalana d'Herpetologia per a implementar el SACC a l'espai
Execuciçó d'altres jornades obertes de formació/difusió de les metodologies de ciència ciutadana</t>
  </si>
  <si>
    <t>Nombre de seguiments realitzats amb voluntaris</t>
  </si>
  <si>
    <t>2 (CBMS i SACC)</t>
  </si>
  <si>
    <t>06.4.4</t>
  </si>
  <si>
    <t xml:space="preserve">Crear i desenvolupar jornades de recerca de l'ENP de forma anual on els diferents centres mostrin els estudis realizats en l'ENP </t>
  </si>
  <si>
    <t>A pensar en el futur</t>
  </si>
  <si>
    <t>SENP: Suport en l'organització de les jornades</t>
  </si>
  <si>
    <t>Posar a disposició de la recerca, equipaments i serveis de l'ENP</t>
  </si>
  <si>
    <t>Millora del Centre d'Interpretació de Mas de Melons i adaptació per a acollir investigadors i estudiants en pràctiques (veure OP 11.7.2)</t>
  </si>
  <si>
    <t>1) Projecte redactat i executat
2) Nombre d'nvestigadors/equips acollits a la Reserva</t>
  </si>
  <si>
    <t>1) Si sense acollida d'investigadors
2) 0</t>
  </si>
  <si>
    <t>1) Si amb acollida d'investigadors
2) 2 anuals</t>
  </si>
  <si>
    <t>06.4.6</t>
  </si>
  <si>
    <t xml:space="preserve">Crear l'Observatori de recerca de l'ENP vinculat a l'Observatori del Patrimoni natural i la biodiversitat </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</si>
  <si>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</si>
  <si>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</si>
  <si>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</si>
  <si>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</si>
  <si>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</si>
  <si>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</si>
  <si>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 xml:space="preserve">Disposar de dades de freqüentació i perfil d'usuari en l'ENP i en especial en equipaments i en zones d'alta freqüentació segons el model de DG </t>
  </si>
  <si>
    <t>SENP: Disseny i elaboració del sistema estandaritzat de presa de dades i seguiment de la freqüentació en ENP</t>
  </si>
  <si>
    <t>Registre elaborat</t>
  </si>
  <si>
    <t>Si i disponible en digital</t>
  </si>
  <si>
    <t>Identificar les activitats i actors de l’espai.</t>
  </si>
  <si>
    <t>*Elaboració d'un mapa d'activitats i actors en el marc del Pla de gestió de l'espai
*Elaboració d'un Pla d'us públic de l'espai</t>
  </si>
  <si>
    <t>Nombre d'instruments de coneixement de l'ús públic elaborats</t>
  </si>
  <si>
    <t>1 mapa d'actors</t>
  </si>
  <si>
    <t>3 mapa activitats, d'acors i pla d'ús públic</t>
  </si>
  <si>
    <t>06.5.4</t>
  </si>
  <si>
    <t>Identificar en cartografia les males praxis i punts de massificació</t>
  </si>
  <si>
    <t>Incorporar-ho al Pla d'ús públic de l'OP 6.5.3</t>
  </si>
  <si>
    <t>(Veure OP 6.5.3)</t>
  </si>
  <si>
    <t>06.5.5</t>
  </si>
  <si>
    <t>Adaptar i mantenir un registre d'activitats, actors i inciències en ús públic (curses, conflictes, queixes, etc)</t>
  </si>
  <si>
    <t>UIC: Disseny d'un model de registre d'activitats, actors i inciències en ús públic</t>
  </si>
  <si>
    <t>06.5.6</t>
  </si>
  <si>
    <t>Identificar els impactes (positius i negatius) que generen les activitats d'ús públic dins l'ENP</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</si>
  <si>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</si>
  <si>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</si>
  <si>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</si>
  <si>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</si>
  <si>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</si>
  <si>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Participació en renions per l'aplicació dels Plans de Desenvolupament Local Sostenible</t>
  </si>
  <si>
    <t>Nombre % de participació de la RN respecte a les reunions sobre PDLS previstes</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</si>
  <si>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</si>
  <si>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</si>
  <si>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</si>
  <si>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 xml:space="preserve">Acompanyar i assessorar els productors agraris per millorar les tècniques productives agràries i afavorir la conservació dels hàbitats i paisatges </t>
  </si>
  <si>
    <t>Assessorar i donar suport als productors agraris per l'aplicació de bones pràctiques agràries en la conservació dels hàbitats i les espècies presents</t>
  </si>
  <si>
    <t xml:space="preserve">*Suport a la difusió i coneixement de les mesures agroambientals, especialment les d'espècies estèpiques.
*Suport per donar a conèixer i fer complir la condicionalitat de la PAC a la zona.
</t>
  </si>
  <si>
    <t xml:space="preserve">1) hores destinades a promoure bones pràctiques agràries a la zona
2) Nombre de material de suport elaborat per al foment de bones pràctiques executades </t>
  </si>
  <si>
    <t>1) =3*3*3
2) 1 guia</t>
  </si>
  <si>
    <t>1) =3*5*4
2) 2 guies</t>
  </si>
  <si>
    <t xml:space="preserve">Oferir formació als productors agraris per millorar el seu coneixement sobre tècniques eficients i respectuoses amb la conservació del patrimoni natural i cultural </t>
  </si>
  <si>
    <t xml:space="preserve">*Actuacions per formació dels agricultors en tècniques agrícoles més repectuoses amb la conservació dels valors naturals de l'espai.
*Actuacions per formar als agricultors per a l'adaptació dels conreus llenyosos existents a la conservació de la biodiversitat.
*Divulgació i valorització de les espècies pròpies d'ambients agrícoles entre els agents locals, incidint en la importància de l'aplicació de pràctiques de gestió encaminades a la seva conservació.
</t>
  </si>
  <si>
    <t>hores de formació a agricultors</t>
  </si>
  <si>
    <t>20 (2 cursos de 10h)</t>
  </si>
  <si>
    <t>80 (2 cursos de 10h x 4 anys)</t>
  </si>
  <si>
    <t>08.1.3</t>
  </si>
  <si>
    <t>Promoure la recuperació i conservació de marges i punts d'aigua associats a la ramaderia i l'agricultura i d'interès per la biodiversitat</t>
  </si>
  <si>
    <t>veure OP 3.4.2, OP 1.2.2 i OP 1.3.4</t>
  </si>
  <si>
    <t>Veure OP 3.4.2, 1.2.2 i 1.3.4</t>
  </si>
  <si>
    <t>08.2</t>
  </si>
  <si>
    <t>Promoure la coordinació amb els agents socioeconòmics del territori pel foment del desenvolupament sostenible de l'espai (sector primari i secundari)</t>
  </si>
  <si>
    <t>Establir una relació contínua amb agents socioeconòmics del territori, i si s'escau, crear una Taula de desenvolupament local</t>
  </si>
  <si>
    <t>1) Model establert
2) Nombre de reunions anuals de l'òrgan de governança</t>
  </si>
  <si>
    <t>1) Si, que inclogui tots els actors de Mas de Melons-Alfés 
2) 2 anuals</t>
  </si>
  <si>
    <t>Si, que inclogui tots els actors necessaris
2) 4 anuals</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</si>
  <si>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</si>
  <si>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</si>
  <si>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</si>
  <si>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</si>
  <si>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En el marc del OP 8.3.3</t>
  </si>
  <si>
    <t>Veure OP 8.3.3</t>
  </si>
  <si>
    <t>SENP: Crear una marca que identifiqui els productes agroalimentaris generats en els ENP</t>
  </si>
  <si>
    <t>Integrar els productes i activitats locals de qualitat en l'oferta d'activitats d'informació i turístiques de l'ENP</t>
  </si>
  <si>
    <t>ESNATURA
CETS</t>
  </si>
  <si>
    <t>1) Mecanisme establert
2) Nombre d'actuacions conjuntes</t>
  </si>
  <si>
    <t>1) Si
2) A determinar</t>
  </si>
  <si>
    <t>08.3.3</t>
  </si>
  <si>
    <t>Promoure fires d'artesania i productes locals de l'ENP</t>
  </si>
  <si>
    <t>*Accions  de promoció dels productes agraris vinculats a la conservació dels valors naturals dels espais protegits dels secans de Lleida.</t>
  </si>
  <si>
    <t>Nombre de productes agraris vinculats</t>
  </si>
  <si>
    <t>2 (cervesa i oli)</t>
  </si>
  <si>
    <t>4 (+ ametlles i mel)</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</si>
  <si>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</si>
  <si>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</si>
  <si>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</si>
  <si>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</si>
  <si>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No es considera necessari a l'espai</t>
  </si>
  <si>
    <t>08.3.6</t>
  </si>
  <si>
    <t>Veure OP8.3.2</t>
  </si>
  <si>
    <t>08.4</t>
  </si>
  <si>
    <t>Contribuir a una correcta planificació i gestió dels recursos cinegètics i piscícoles de forma compatible amb els valors de l'ENP</t>
  </si>
  <si>
    <t>Treballar amb l'autoritat competent per garantir objectius de conservació d’espècies i hàbitats en la revisió dels Plans de Gestió Cinegètica</t>
  </si>
  <si>
    <t>*Acords amb les Societats de Caçadors per a incorporar objectius de conservació d’espècies i hàbitats en la revisió dels Plans de Gestió Cinegètica de les APC dins l'espai.
*Elaboració d'informes sobre els nous Plans de Gestió Cnegètica perquè compleixin amb el que determina el Pla especial i no generin impactes als valors naturals de l'espai.
*Declaració de la Reserva Natural de fauna Salvatge de la timoneda d'Alfés.</t>
  </si>
  <si>
    <t>1) Nombre d'acords amb APC
2) % de nous PTGC informats i amb mesures incorporades</t>
  </si>
  <si>
    <t>1) A determinar
2)100%</t>
  </si>
  <si>
    <t>08.4.2</t>
  </si>
  <si>
    <t>Col·laborar en la regulació i ordenació de la caça i la pesca en zones sensibles o amb risc d'afectació d'elements clau objecte de conservació</t>
  </si>
  <si>
    <t>1) Nombre d'acords amb APC
2) Nombre de perdius i de conill i perdiu/ha</t>
  </si>
  <si>
    <t>1) 5
2)A determinar</t>
  </si>
  <si>
    <t>1) 25
2)A determinar</t>
  </si>
  <si>
    <t>Donar suport en la gestió de poblacions que generen danys a les activitats econòmiques de l'ENP</t>
  </si>
  <si>
    <t>*Acords a les Societats de Caçadors per gestionar les poblacions de conill en el cas que es detectin sobrepoblacions fora de la Reserva.
* Acords amb el Cos d'Agents Rurals i Forestal Catalana SA per dur a terme el control de: conill, porc senglar, guineu i garsa a dins la Reserva.</t>
  </si>
  <si>
    <t>1) Nombre d'acords amb APC
2) Nombre de conills capturats
3) Nombre de perdius i de conill i perdiu/ha</t>
  </si>
  <si>
    <t>1) 5
2) A determinar
3)A determinar</t>
  </si>
  <si>
    <t>1) 25
2) A determinar
3)A determinar</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</si>
  <si>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</si>
  <si>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</si>
  <si>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</si>
  <si>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</si>
  <si>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</si>
  <si>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No aplica a l'espai. Podria preveure's pel conjunt dels ENP de la Plana.</t>
  </si>
  <si>
    <t>09.1.2</t>
  </si>
  <si>
    <t>Tramitar la certificació Biosphere</t>
  </si>
  <si>
    <t xml:space="preserve">No aplica a l'espai.  </t>
  </si>
  <si>
    <t>09.1.3</t>
  </si>
  <si>
    <t xml:space="preserve">NOU OP. L'objectiu del model de turisme sostenible només es centrava en les certificacions. </t>
  </si>
  <si>
    <t>1) Grup de treball creat
2) Nombre d'allotjaments/recursos turístics creats</t>
  </si>
  <si>
    <t>1) No
2) 0</t>
  </si>
  <si>
    <t>1) Si
2) 3</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</si>
  <si>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</si>
  <si>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</si>
  <si>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</si>
  <si>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</si>
  <si>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*Explotació conjunta amb les empreses turístiques de les possbilitats ecoturístiques a l'espai (timoneda d'Alfés, Centre d'Informació de Mas de Melons, hides,...)
*Redacció del Pla de desenvolupament ecoturístic de l'espai</t>
  </si>
  <si>
    <t>Pla redactat</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</si>
  <si>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</si>
  <si>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</si>
  <si>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</si>
  <si>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</si>
  <si>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10.1</t>
  </si>
  <si>
    <t>Estandarditzar de regulació d'usos i aprofitaments  en base al model de Pla de protecció</t>
  </si>
  <si>
    <t>10.1.1</t>
  </si>
  <si>
    <t>Establir un model de construcció a l'ENP en base al model de Pla de protecció</t>
  </si>
  <si>
    <t xml:space="preserve">.
</t>
  </si>
  <si>
    <t>SPEN: Elaborar model</t>
  </si>
  <si>
    <t>10.1.2</t>
  </si>
  <si>
    <t>Regular els aprofitaments i extraccions dins l'espai</t>
  </si>
  <si>
    <t>NOU OP. Revisar el pla especial. Ja es regulen les activitats estractives</t>
  </si>
  <si>
    <t xml:space="preserve">Elaboració d'un Pla de gestió ramadera que reguli la càrrega ramadera a la timoneda d'Alfés i a la Reserva i defineixi periodes on s'hi pot pasturar i la seva intensitat.
</t>
  </si>
  <si>
    <t>Pla de gestió elaborat
veure Indicadors de l'OP1.3.5</t>
  </si>
  <si>
    <t>ORDENAR L'ÚS PÚBLIC I SOCIAL per a la protecció dels hàbitats, espècies i elements geològics</t>
  </si>
  <si>
    <t>11.1</t>
  </si>
  <si>
    <t>Estandaritzar regulació de l’ús públic i social en base al model acordat per govern</t>
  </si>
  <si>
    <t>11.1.1</t>
  </si>
  <si>
    <t>11.1.2</t>
  </si>
  <si>
    <t>Elaboració d'un pla d'ordenació dels camins en el marc del Pla de gestió.</t>
  </si>
  <si>
    <t>1) Pla elaborat
2) Nombre de conflictes amb persones circulant per camins no autoritzats</t>
  </si>
  <si>
    <t>11.1.3</t>
  </si>
  <si>
    <t>11.1.4</t>
  </si>
  <si>
    <t>11.1.5</t>
  </si>
  <si>
    <t>11.1.6</t>
  </si>
  <si>
    <t>Englobem la recolecció aquí</t>
  </si>
  <si>
    <t>11.1.7</t>
  </si>
  <si>
    <t>11.1.8</t>
  </si>
  <si>
    <t>11.1.9</t>
  </si>
  <si>
    <t>Regular el submarinisme i l'snorkel</t>
  </si>
  <si>
    <t>11.1.10</t>
  </si>
  <si>
    <t>Realització d'un estudi sobre la presència de gossos sense lligar a l'espai i que proposi actuacions de control d'aquesta activitat.
Establiment d'un mecanisme de vigilància permanent a la timoneda d'Alfés.</t>
  </si>
  <si>
    <t>1) estudi realitzat
2) Nombre de gossos sense lligar a la timoneda</t>
  </si>
  <si>
    <t>11.1.12</t>
  </si>
  <si>
    <t>11.2</t>
  </si>
  <si>
    <t>Disposar de la xarxa viària i itineraris oficials de l'ENP</t>
  </si>
  <si>
    <t xml:space="preserve">Identificar i classificar la xarxa viària bàsica, secundària, senders i itineraris senyalitzats d'acord amb els ajuntaments </t>
  </si>
  <si>
    <t>Incloure l'ordenació de la xarxa viària al pla d'ús públic de l'OP 6.5.3</t>
  </si>
  <si>
    <t>Persones i natura: concretar criteris</t>
  </si>
  <si>
    <t>1) km de senders per categoria
2) km d'itineraris senyalitzats</t>
  </si>
  <si>
    <t>1) A determinar
2) A determinar</t>
  </si>
  <si>
    <t>Treballar conjuntament amb els principals canals d’informació de rutes  per prioritzar itineraris oficials dins l’ENP</t>
  </si>
  <si>
    <t>Persones i natura: Coordinació</t>
  </si>
  <si>
    <t>Nombre de llocs on es publiciten les rutes a promoure</t>
  </si>
  <si>
    <t>2 (mapes Piolet i TurismeNatura)</t>
  </si>
  <si>
    <t>11.3</t>
  </si>
  <si>
    <t>Implementar el protocol estandarditzat basat en el pla per la regulació al accés, circulació i ús de la xarxa viària</t>
  </si>
  <si>
    <t>*Execució de mesures pel control de l'accés de persones i vehicles motoritzats en les zones de major sensibilitat per a ls espècies i hàbitats de l'espai (junt amb 11.3.4)</t>
  </si>
  <si>
    <t>1) Nombre de cartells colocats
veure indicadors OP 11.1.2</t>
  </si>
  <si>
    <t>1) ***
2) A determinar</t>
  </si>
  <si>
    <t>11.3.2</t>
  </si>
  <si>
    <t>Inclosa a l'OP 11.3.1</t>
  </si>
  <si>
    <t>Pla especial modificat</t>
  </si>
  <si>
    <t>11.3.4</t>
  </si>
  <si>
    <t>Aplicar limitacions temporals d'accés o circulació</t>
  </si>
  <si>
    <t>Realització d'accions de tancament de determinades pistes en l'època de nidificació de la ganga i l'alosa becuda (junt amb 11.3.1)</t>
  </si>
  <si>
    <t>veure indicadors OP 11.3.1</t>
  </si>
  <si>
    <t>11.3.5</t>
  </si>
  <si>
    <t>Execució del projecte de renaturalització ordenació de l'accés de persones i vehicles a l'antic hangar d'Alfés i la timoneda en el marc de l'actuació prevista a l'OP 5.2.1</t>
  </si>
  <si>
    <t>Veure indicadors OP 5.2.1</t>
  </si>
  <si>
    <t>11.4</t>
  </si>
  <si>
    <t>Enfortir la col·laboració i coordinació amb els agents d'ús públic (empreses, entitats i ajuntaments)</t>
  </si>
  <si>
    <t>11.4.1</t>
  </si>
  <si>
    <t>Implementar l'ordenació de l'ús públic en col·laboració amb els agents del territori</t>
  </si>
  <si>
    <t>Inclòs en totes les accions de l'OP 11.3</t>
  </si>
  <si>
    <t>11.4.2</t>
  </si>
  <si>
    <t>Promoció i acompanyament en l'ordenació de l'ús públic de l'ENP des de l'àmbit municipal</t>
  </si>
  <si>
    <t>11.5</t>
  </si>
  <si>
    <t>Mantenir i millorar la senyalització de l'ENP</t>
  </si>
  <si>
    <t>Realitzar l'inventari de senyalètica de l'ENP</t>
  </si>
  <si>
    <t>veure OP 11.3.1</t>
  </si>
  <si>
    <t>* Inventari de les tipologies de senyals i proposta d'unificació de criteris.
* Elaboració d'una imatge corporativa per a tots els secans de Lleida.</t>
  </si>
  <si>
    <t>1) Inventari fet
2) Imatge corporativa feta</t>
  </si>
  <si>
    <t>1)Si
2)Si</t>
  </si>
  <si>
    <t xml:space="preserve">Implantar el programa de senyalització i manteniment </t>
  </si>
  <si>
    <t>veure OP 11.3.4</t>
  </si>
  <si>
    <t>*Disseny i colocació de plafons paisatgístics i d’interpretació geogràfica a diversos miradors d’interès existents a la perifèria o els punts d'accés a l'espai.
Elaboració i colocació de tots els cartells normatius i informatius dels valors de l'espai derivats de l programa de senyalització de l'espai i de l'inventari de l'OP 11.5.1
Actuacions de manteniment periòdic de tota la senyalització de l'espai</t>
  </si>
  <si>
    <t>Persones i natura: Revisió del manual de senyalització</t>
  </si>
  <si>
    <t>Respecte als previstos al Pla:
1) % de plafons panoràmics colocats
2) % de plafons informatius colocats
3) % de plafons normatius colocats</t>
  </si>
  <si>
    <t>80% dels previstos al Pla</t>
  </si>
  <si>
    <t>100% dels previstos al Pla de senyalització</t>
  </si>
  <si>
    <t>11.6</t>
  </si>
  <si>
    <t>Prevenir i gestionar els impactes derivats de la sobrefreqüentació</t>
  </si>
  <si>
    <t>11.6.1</t>
  </si>
  <si>
    <t xml:space="preserve">Potenciar la visita a espais alternatius dins de l'àmbit d'influència de l'espai natural per reduir la pressió en zones sensibles </t>
  </si>
  <si>
    <t>veure OP 11.7.2</t>
  </si>
  <si>
    <t>11.6.2</t>
  </si>
  <si>
    <t xml:space="preserve">Implementar les mesures extraordinàries de regulació de l'ús públic </t>
  </si>
  <si>
    <t>11.7</t>
  </si>
  <si>
    <t>Ordenar i estandaritzar els espais d'acollida de visitants i equipaments d'ús públic, i garantir un correcte servei d'atenció i acollida dels visitants</t>
  </si>
  <si>
    <t>Adequar els principals accessos, aparcaments i centres d'interès amb un ús elevat</t>
  </si>
  <si>
    <t>11.7.2</t>
  </si>
  <si>
    <t>1) Nombre d'àrees d'acollida funcionals
2) Centre d'Interpretació de Mas de Melons adequat
3) Nombre de colaboracions amb l'Ajt de Castelldans pel centre d'interpretació</t>
  </si>
  <si>
    <t>1) 2
2) Si
3) 1 anual</t>
  </si>
  <si>
    <t>1) 3
2) Si
3) 2 anuals</t>
  </si>
  <si>
    <t>11.7.3</t>
  </si>
  <si>
    <t>Desenvolupar el Pla d'acollida als visitants en base al model de la DG</t>
  </si>
  <si>
    <t>Persones i natura: model de protocol d'acollida</t>
  </si>
  <si>
    <t>11.7.4</t>
  </si>
  <si>
    <t>Adaptar els missatges a donar des d'oficines d’informació, pròpies i alienes, d'acord amb el model de la DG</t>
  </si>
  <si>
    <t>Persones i natura: Unifica missatges que s'incorporen en el model de protocol d'acollida</t>
  </si>
  <si>
    <t>11.8</t>
  </si>
  <si>
    <t>Garantir el compliment de la normativa dins els ENP, especialment en l'accés motoritzat, zones amb hiperfrequentació i elements amb aprofitament comercial</t>
  </si>
  <si>
    <t>Elaborar i executar el Pla de vigilància de l’espai d'acord amb els cossos d’inspecció i seguretat</t>
  </si>
  <si>
    <t>Millorar la coordinació amb els cossos de seguretat per efectuar accions de control i vigilància</t>
  </si>
  <si>
    <t>*Reforç, ampliació i millora de la vigilància a través de: Cos d'Agents Rurals, Unitat de Medi Ambient dels Mossos d'Esquadra.</t>
  </si>
  <si>
    <t>Nombre d'agents destinats a vigilància de l'espai</t>
  </si>
  <si>
    <t>2 a temps parcial</t>
  </si>
  <si>
    <t>2 a temps total + 1 guarda per la timoneda</t>
  </si>
  <si>
    <t>11.8.3</t>
  </si>
  <si>
    <t>Vetllar pel compliment d'informes i la vigilància tècnica de l'espai</t>
  </si>
  <si>
    <t>GESTIONAR ELS RISCOS NATURALS per a l'autoprotecció de la població local</t>
  </si>
  <si>
    <t>12.1</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</si>
  <si>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</si>
  <si>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</si>
  <si>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</si>
  <si>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</si>
  <si>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</si>
  <si>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</si>
  <si>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</si>
  <si>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</si>
  <si>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</si>
  <si>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</si>
  <si>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</si>
  <si>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PEEVA
ESNATURA</t>
  </si>
  <si>
    <t>13.1.2</t>
  </si>
  <si>
    <t>Desplegar el model de Xarxa d'Escoles de l'Espai Natural (XEEN) a l'ENP d'acord amb el model general</t>
  </si>
  <si>
    <t>SEA: Elabora model de xarxa</t>
  </si>
  <si>
    <t>13.1.3</t>
  </si>
  <si>
    <t xml:space="preserve">Formar i capacitar al professorat de la XEEN </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</si>
  <si>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</si>
  <si>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</si>
  <si>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</si>
  <si>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</si>
  <si>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SEA: Comparteix models de situcions d'aprenentatge i de projects.</t>
  </si>
  <si>
    <t>13.2.2</t>
  </si>
  <si>
    <t>Dissenyar projectes d'ApS ambiental i Ciència ciutadana i projectes compartits amb entitats del territori que s'incloguin dins de l'oferta pedagògica.</t>
  </si>
  <si>
    <t>veure OP6.4.2 i OP6.4.3</t>
  </si>
  <si>
    <t>Elaborar recursos educatius sobre l’espai (que tinguin en compte les problemàtiques singulars del seu espai) i posar-los a disposició dels centres educatius</t>
  </si>
  <si>
    <t>Elaboració de recursos educatius sobre l’espai per a les escoles</t>
  </si>
  <si>
    <t>Nombre de materials per a les escoles elaborat</t>
  </si>
  <si>
    <t>1 primaria + 1 de secundària</t>
  </si>
  <si>
    <t>Oferir projectes de recerca vinculats a l'espai natural per a l'alumnat universitari i de la XEEN</t>
  </si>
  <si>
    <t>*Realització de projectes PFC amb universitaris, principalment de la UdL</t>
  </si>
  <si>
    <t>Nombre de colaboracions realitzades anualment</t>
  </si>
  <si>
    <t>13.3</t>
  </si>
  <si>
    <t>Establir mecanismes estables de formació, treball i coordinació amb els col·lectius implicats en la sensibilització i l'educació dins el ENP</t>
  </si>
  <si>
    <t>13.3.1</t>
  </si>
  <si>
    <t>Establir un model de coordinació territorial amb agents clau de l'educació ambiental</t>
  </si>
  <si>
    <t>veure OP 13.4.1</t>
  </si>
  <si>
    <t>13.3.2</t>
  </si>
  <si>
    <t>Cercar i establir col·laboracions i projectes conjunts amb agents clau del territori</t>
  </si>
  <si>
    <t>13.3.3</t>
  </si>
  <si>
    <t>Elaborar formacions dirigides als informadors, educadors i altres prescriptors del territori</t>
  </si>
  <si>
    <t>SEA: Elabora propostes MODEL de programes de formació</t>
  </si>
  <si>
    <t>13.4</t>
  </si>
  <si>
    <t>Desplegar un programa de divulgació i sensibilització per a visitants</t>
  </si>
  <si>
    <t>13.4.1</t>
  </si>
  <si>
    <t>Desplegar en el territori les campanyes de sensibilització i bones pràctiques que s'impulsin des de la DG</t>
  </si>
  <si>
    <t>*Elaboració d'un pla de foment d'ús públic i sensibilització pels visitants i els habitants de l'entorn de l'espai.</t>
  </si>
  <si>
    <t>SEA: Elabora un document marc per unificar missatges i coordinar la difusió</t>
  </si>
  <si>
    <t>1) Pla elaborat
2) Nombre de campanyes deplegades</t>
  </si>
  <si>
    <t>1) Si
2) 0</t>
  </si>
  <si>
    <t xml:space="preserve">1) Si
2) 1 </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</si>
  <si>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</si>
  <si>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</si>
  <si>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</si>
  <si>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</si>
  <si>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</si>
  <si>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</si>
  <si>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13.5</t>
  </si>
  <si>
    <t>Desplegar un programa de sensibilització i formació per als col·lectius del territori estratègics en la conservació de la natura</t>
  </si>
  <si>
    <t>13.5.1</t>
  </si>
  <si>
    <t>Identificar col·lectius estratègics implicats en la gestió i l'ús del territori</t>
  </si>
  <si>
    <t>veure OP 1.4.3</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</si>
  <si>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</si>
  <si>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</si>
  <si>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</si>
  <si>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</si>
  <si>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</si>
  <si>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</si>
  <si>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veure OP 8.1.2</t>
  </si>
  <si>
    <t>Elaborar i renovar periòdicament un programa d’educació ambiental adreçat a la població local que contribueixi a fomentar el sentiment de pertinença i la implicació en la conservació de l'ENP.</t>
  </si>
  <si>
    <t>*Divulgació i valorització de les espècies pròpies d'ambients agrícoles entre els agents locals, incidint en la importància de l'aplicació de pràctiques de gestió encaminades a la seva conservació.</t>
  </si>
  <si>
    <t>Nombre de reunions/trobades anuals realitzades</t>
  </si>
  <si>
    <t>1 per a cada municipi i 1 per a cada sector</t>
  </si>
  <si>
    <t>13.6</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</si>
  <si>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</si>
  <si>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</si>
  <si>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</si>
  <si>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</si>
  <si>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</si>
  <si>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ESNATURA
PEEVA</t>
  </si>
  <si>
    <t xml:space="preserve">SEA: Elabora Model de Taula de Voluntariat Ambiental </t>
  </si>
  <si>
    <t>13.7</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</si>
  <si>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</si>
  <si>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</si>
  <si>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</si>
  <si>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</si>
  <si>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</si>
  <si>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</si>
  <si>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</si>
  <si>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13.8</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</si>
  <si>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</si>
  <si>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</si>
  <si>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</si>
  <si>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</si>
  <si>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</si>
  <si>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</si>
  <si>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</si>
  <si>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 de reunions de la Taula amb participació de la RN</t>
  </si>
  <si>
    <t>COMUNICAR I DIFONDRE ELS VALORS DE L'ENP, contribuint a l'educació ambiental de la societat</t>
  </si>
  <si>
    <t>14.1</t>
  </si>
  <si>
    <t>Augmentar el coneixement de l'ENP entre la població</t>
  </si>
  <si>
    <t>Informar periòdicament sobre les tasques, projectes i actuacions que duu a terme l'ENP a la població</t>
  </si>
  <si>
    <t>Pla de comunicació</t>
  </si>
  <si>
    <t>SENP: Elaborar els productes comunicatius</t>
  </si>
  <si>
    <t>1) Pla elaborat
2) Nombre de canals de comunicació usats
3) Periodicitat amb què s'informa</t>
  </si>
  <si>
    <t>1) Si
2) Instagram, FB
3) bimensual</t>
  </si>
  <si>
    <t>1) Si
2) 2 mes
3) mensual</t>
  </si>
  <si>
    <t>14.1.2</t>
  </si>
  <si>
    <t>Garantir l'accessibilitat i gestió del coneixement disponible sobre l'ENP</t>
  </si>
  <si>
    <t>veure OP 14.1.1</t>
  </si>
  <si>
    <t>14.2</t>
  </si>
  <si>
    <t>Conscienciar sobre els valors de l'ENP als diferents públics objectiu</t>
  </si>
  <si>
    <t>14.2.1</t>
  </si>
  <si>
    <t>Sensibilitzar als diferents agents sobre els valors de l'ENP</t>
  </si>
  <si>
    <t>SEA: Crear material divulgatiu</t>
  </si>
  <si>
    <t>14.3</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</si>
  <si>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</si>
  <si>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</si>
  <si>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</si>
  <si>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</si>
  <si>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</si>
  <si>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</si>
  <si>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</si>
  <si>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</si>
  <si>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</si>
  <si>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</si>
  <si>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</si>
  <si>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Disposar d'assessorament científic en l'ENP</t>
  </si>
  <si>
    <t>Nombre de reunions del comitè científic anuals</t>
  </si>
  <si>
    <t>2 anuals</t>
  </si>
  <si>
    <t>3 anuals</t>
  </si>
  <si>
    <t>15.1.3</t>
  </si>
  <si>
    <t>Incloure entitats i organismes científics i culturals de referència en els mecanismes de presa de decisions de l'ENP</t>
  </si>
  <si>
    <t>veure OP 15.1.2</t>
  </si>
  <si>
    <t>15.1.4</t>
  </si>
  <si>
    <t>Adaptar i desplegar el model de governança dels espais naturals protegits</t>
  </si>
  <si>
    <t>SENP: Elaborar una proposta de model de governança dels espais naturals protegits</t>
  </si>
  <si>
    <t>MILLORAR L'EFICIÈNCIA de la gestió administrativa</t>
  </si>
  <si>
    <t>16.1</t>
  </si>
  <si>
    <t>Optimitzar l'aplicació pressupostaria</t>
  </si>
  <si>
    <t>16.1.1</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</si>
  <si>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</si>
  <si>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</si>
  <si>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Planificar i optimitzar els processos de contractació, concessió d'ajuts, i les col·laboracions amb ens públics i privats</t>
  </si>
  <si>
    <t>SENP: Crear espais de coordinació entre ENP per detectar necessitats conjuntes.</t>
  </si>
  <si>
    <t>Personal d'estructura contractat</t>
  </si>
  <si>
    <t>3 (conservació, cultura i ús públic i dinamització amb sector primari)</t>
  </si>
  <si>
    <t>16.2.2</t>
  </si>
  <si>
    <t>16.2.3</t>
  </si>
  <si>
    <t>Establir i renovar en temps i forma convenis de col·laboració, convenis marc, acords, protocols i altres instruments de col·laboració.</t>
  </si>
  <si>
    <t>veure OP1.4.1</t>
  </si>
  <si>
    <t>UGA: Coordinar l'elaboració dels catàlegs col·lectius amb ENP, universitats i centres documentació</t>
  </si>
  <si>
    <t>16.3</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</si>
  <si>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</si>
  <si>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</si>
  <si>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</si>
  <si>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</si>
  <si>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</si>
  <si>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UGA: Simplificació i optimització de formularis. Tipificació de peticions (tràmits específics)</t>
  </si>
  <si>
    <t>16.3.3</t>
  </si>
  <si>
    <t>Augmentar el coneixement de l'equip de treball en matèria de procediment administratiu</t>
  </si>
  <si>
    <t>16.3.4</t>
  </si>
  <si>
    <t>Garantir la transparència administrativa</t>
  </si>
  <si>
    <t>Realització de totes les tasques orientades a la conservació i manteniment de les infraestructures i edificacions propietat de la Generalitat a l'espai.
Adquisició d'un mínim d'un vehicle per a l'espai</t>
  </si>
  <si>
    <t>1) % d'incidències resoltes
2) nombre de vehicles a la RN</t>
  </si>
  <si>
    <t>1) 100%
2) 1</t>
  </si>
  <si>
    <t>1) 100%
2) 2 a més del de FC</t>
  </si>
  <si>
    <t>16.4</t>
  </si>
  <si>
    <t>Ordenar l'estat dels béns patrimonials</t>
  </si>
  <si>
    <t>16.4.1</t>
  </si>
  <si>
    <t>Revisar l’estat dels béns patrimonials i la situació administrativa-legal dels equipaments del parc</t>
  </si>
  <si>
    <t>UGA: tramitar els expedients de cessió de titularitat, declaracions d'obra nova, compra, lloguer, etc.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</si>
  <si>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</si>
  <si>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</si>
  <si>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UGA: Tramitar les assegurances dels béns patrimonials.</t>
  </si>
  <si>
    <t>16.5</t>
  </si>
  <si>
    <t>Estructurar la gestió documental</t>
  </si>
  <si>
    <t>SENP: Disseny d'una metodologia de treball conjunta</t>
  </si>
  <si>
    <t>Centre creat</t>
  </si>
  <si>
    <t>16.6</t>
  </si>
  <si>
    <t>Gestionar recursos humans</t>
  </si>
  <si>
    <t>16.6.1</t>
  </si>
  <si>
    <t>Gestió de la brigada de manteniment</t>
  </si>
  <si>
    <t>Elaboració periòdica de la encomana amb Forestal Catalana</t>
  </si>
  <si>
    <t>Encomana anual aprovada</t>
  </si>
  <si>
    <t>Millora de la categoria del cap de colla</t>
  </si>
  <si>
    <t>Model despesa</t>
  </si>
  <si>
    <t>Llistat tipologies MAP</t>
  </si>
  <si>
    <t>Eix</t>
  </si>
  <si>
    <t>Contractes</t>
  </si>
  <si>
    <t>Contracte menor a càrrec del RAE</t>
  </si>
  <si>
    <t>1. Natura</t>
  </si>
  <si>
    <t>Contracte obert (licitació des de la DG)</t>
  </si>
  <si>
    <t>Pla econòmic actuacions</t>
  </si>
  <si>
    <t>PEA Forestal Catalana</t>
  </si>
  <si>
    <t>Encomanes</t>
  </si>
  <si>
    <t>2.1 Mesures de manteniment i restauració d'aigües marines i costeres (inclou llacunes litorals)</t>
  </si>
  <si>
    <t>Encàrrecs directes</t>
  </si>
  <si>
    <t>Encàrrec directe Infraestructures</t>
  </si>
  <si>
    <t>2.2 Mesures de manteniment i restauració de matollars</t>
  </si>
  <si>
    <t>Encàrrec directe Forestal Catalana</t>
  </si>
  <si>
    <t>2.3 Mesures de manteniment i restauració de torberes</t>
  </si>
  <si>
    <t>Encàrrec directe CREAF</t>
  </si>
  <si>
    <t>Encàrrec directe CTFC</t>
  </si>
  <si>
    <t>Encàrrec directe TRAGSA</t>
  </si>
  <si>
    <t>2.6 Mesures de manteniment i restauració de boscos i superfícies forestals</t>
  </si>
  <si>
    <t>Contractre programa</t>
  </si>
  <si>
    <t>Contracte programa CTFC</t>
  </si>
  <si>
    <t>2.7 Mesures de conservació i restauració d'hàbitats rocosos, dunes i terres de vegetació esparsa</t>
  </si>
  <si>
    <t>2.8 Mesures de manteniment i restauració d'hàbitats d'aigua dolça (rius, llacs i zones humides no litorals)</t>
  </si>
  <si>
    <t>2.9 Mesures de conservación i restauración de coves i altres no inclosos als anteriors</t>
  </si>
  <si>
    <t>Adquisició de finques als voltants de la timoneda d'Alfés per a incrementar l'habitat adequat de l'alosa becuda i la seva gestió corresponent.</t>
  </si>
  <si>
    <t>Adquisició de finques d'interès a l'entorn de la Reserva, especialment al marge del riu Set i a la vall de Matxerri.</t>
  </si>
  <si>
    <t>Creació de la Base de Dades de Biodiversitat dels Secans de Mas de Melons- Alfés (BioMelons)</t>
  </si>
  <si>
    <t>Realització d'una jornada/xerrada per a la difusió i coneixement de les mesures agroambientals les d'espècies estèpiques a l'espai.</t>
  </si>
  <si>
    <t>Elaboració d'informes sobre els nous Plans de Gestió Cinegètica perquè compleixin amb el que determina el Pla especial i no generin impactes als valors naturals de l'espai.</t>
  </si>
  <si>
    <t>Concreció d'algunes activitats regulades pel Pla especial (Acord GOB/185/2010) com, per exemple, les plantes de compostatge, les plantacions de llenyosos o l'ús de drons.</t>
  </si>
  <si>
    <t>Creació d'un mecanisme de treball conjunt amb els municipis propers per a valorització de l'espai natural protegit</t>
  </si>
  <si>
    <t>Elaboració de l'Inventari d’elements d’interès cultural i etnològic de a Reserva.</t>
  </si>
  <si>
    <t>Definició d'un mecanisme de governança que incorpori als ens locals de manera adequada en la planificació, execució i seguiment de la gestió de l'espai.</t>
  </si>
  <si>
    <t>25_GE_SEC_06</t>
  </si>
  <si>
    <t>01.4.3, 08.4.3</t>
  </si>
  <si>
    <t>25_NA_SEC_15</t>
  </si>
  <si>
    <t>Potenciació de l'acord de custòdia amb l'associació Trenca per a la gestió de la finca de Torreribera i la timoneda d'Alfés.</t>
  </si>
  <si>
    <t>Finalització del projecte i execució del pla de recuperació natural i paisatgísitca dels terrenys actualment ocupats per l’aeròdrom d’Alfés</t>
  </si>
  <si>
    <t>Suport per a la sensibilització i formació a pagesos en el maneig per a la biodiversitat dels conreus d'oliveres i ametllers</t>
  </si>
  <si>
    <t>A través del CAR i les SC</t>
  </si>
  <si>
    <t>Adequació abeuradors, tancats i anàlisi de sòls i campanya ivermectrina</t>
  </si>
  <si>
    <t>En el marc de l'ordre d'ajuts. Estimo 20 ha a 3000€</t>
  </si>
  <si>
    <t>Posar pressupost previst. PENDENT</t>
  </si>
  <si>
    <t>Establiment de quatre punts de mostreig d'amfibis amb la metodologia del SACC</t>
  </si>
  <si>
    <t>Contracte informadors ambientals</t>
  </si>
  <si>
    <t>Realització d’activitats d’educació ambiental a la Reserva.</t>
  </si>
  <si>
    <t>En el marc del contracte d'educació ambiental</t>
  </si>
  <si>
    <r>
      <rPr>
        <sz val="11"/>
        <color rgb="FF000000"/>
        <rFont val="Calibri"/>
        <family val="2"/>
        <scheme val="minor"/>
      </rPr>
      <t xml:space="preserve">*Elaboració dels Plans de Conservació i/o Recuperació de les espècies de fauna estèpica. NO APLICABLE A L'ESPAI
*Altres espècies??? Gripau esperons, llagosta d'Alfés, flora??? </t>
    </r>
    <r>
      <rPr>
        <sz val="11"/>
        <color rgb="FFF85C26"/>
        <rFont val="Calibri"/>
        <family val="2"/>
        <scheme val="minor"/>
      </rPr>
      <t xml:space="preserve">PENDENT FAUNA </t>
    </r>
    <r>
      <rPr>
        <sz val="11"/>
        <color rgb="FF000000"/>
        <rFont val="Calibri"/>
        <family val="2"/>
        <scheme val="minor"/>
      </rPr>
      <t xml:space="preserve">*Redacció del Pla de gestió de l'espai amb èmfasi especial per a les finques públiques  Mas de Melons, timoneda d’Alfés o Carrassumada.
*Redacció dels corresponents projectes de restauració específics per a les zones humides, el tram del riu Set i de la vall de Matxerri com a connector amb la timoneda.
</t>
    </r>
  </si>
  <si>
    <t>No es considera adient usar aquesta eina de gestió a un espai de secà com aquest, més tenint en compte que està prohibit usar el foc en les tasques agrícoles.</t>
  </si>
  <si>
    <t>Impulsar i/o participar dels treballs de restauració arquitectònica, arqueològica i del patrimoni cultural</t>
  </si>
  <si>
    <t>Recuperar i conservar el patrimoni cultural immaterial (associat a les activitats i aprofitaments rurals tradicionals) i els valors espirituals</t>
  </si>
  <si>
    <t>Participar en la definició, organització i bolcatge de dades del SINATCAT</t>
  </si>
  <si>
    <t xml:space="preserve">Promoure i/o col·laborar en l'aplicació de Plans de Desenvolupament Local Sostenible </t>
  </si>
  <si>
    <t>Promoure els agents del territori que potencien i difonen els productes locals i de qualitat (artesanies, allotjaments, restaurants, cellers, establiments, elaboradors i productors) que afavoreixin la conservació</t>
  </si>
  <si>
    <t xml:space="preserve">*Foment dels acords amb les societats de caçadors per millorar la gestió de les poblacions de conill i perdiu.
</t>
  </si>
  <si>
    <t>Fomentar la creació d'allotjaments i altres recursos turístics d'acord amb les necessitats i els agents turístics del territori que es vinculin als valors naturals de l'espai</t>
  </si>
  <si>
    <r>
      <rPr>
        <sz val="11"/>
        <color rgb="FF000000"/>
        <rFont val="Calibri"/>
        <family val="2"/>
        <scheme val="minor"/>
      </rPr>
      <t xml:space="preserve">*Establiment d'un grup de treball amb els Ajuntaments implicats per estudiar possibles mecanismes per incrementar l'ús turístic de l'espai i la possibilitat d’implantar allotjaments turístics als nuclis o a alguns masos de la zona. 
</t>
    </r>
    <r>
      <rPr>
        <sz val="11"/>
        <color rgb="FFFF0000"/>
        <rFont val="Calibri"/>
        <family val="2"/>
        <scheme val="minor"/>
      </rPr>
      <t xml:space="preserve">
</t>
    </r>
    <r>
      <rPr>
        <sz val="11"/>
        <color rgb="FF000000"/>
        <rFont val="Calibri"/>
        <family val="2"/>
        <scheme val="minor"/>
      </rPr>
      <t xml:space="preserve">
</t>
    </r>
  </si>
  <si>
    <t>Ordenar l'acampada i pernoctació  en base a un model estandarditzat de Pla de protecció</t>
  </si>
  <si>
    <t>Ordenar la circulació rodada no motoritzada en base a un model estàndard de Pla de protecció</t>
  </si>
  <si>
    <t>Ordenar l'escalada i alpinisme, barranquisme, i espeleologia  en base a un model estàndard de Pla de protecció</t>
  </si>
  <si>
    <t>Ordenar les curses i altres activitats esportives organitzades en base a un model estàndard de Pla de protecció</t>
  </si>
  <si>
    <t>Ordenar els enregistraments i l'observació de fauna i natura en base a un model estàndard de Pla de protecció</t>
  </si>
  <si>
    <t>Ordenar les activitats científiques en base a un model estàndard de Pla de protecció</t>
  </si>
  <si>
    <t>Ordenar les activitats científiques i de recolecció en base a un model estàndard de Pla de protecció</t>
  </si>
  <si>
    <r>
      <rPr>
        <sz val="11"/>
        <color rgb="FFFF0000"/>
        <rFont val="Calibri"/>
        <family val="2"/>
        <scheme val="minor"/>
      </rPr>
      <t xml:space="preserve">*Regulació de la recol·lecció de plantes emprades en medicina popular o per temes de recerca científica.
</t>
    </r>
    <r>
      <rPr>
        <sz val="11"/>
        <color rgb="FF000000"/>
        <rFont val="Calibri"/>
        <family val="2"/>
        <scheme val="minor"/>
      </rPr>
      <t xml:space="preserve">
</t>
    </r>
  </si>
  <si>
    <t>Ordenar les zones de bany</t>
  </si>
  <si>
    <t>Ordenar l'enlairament i aterratge sense motor</t>
  </si>
  <si>
    <t>Ordenar les activitats aquàtiques i nàutiques i zones de fondeig</t>
  </si>
  <si>
    <t>Ordenar la presència d'animals de companyia</t>
  </si>
  <si>
    <t>Ordenar les activitats d'educació ambiental i el lleure educatiu</t>
  </si>
  <si>
    <t>Ordenar l'accés i la circulació</t>
  </si>
  <si>
    <t>Ordenar la xarxa viària principal, secundària i restringida</t>
  </si>
  <si>
    <t>Ordenar l'ús de drons, l'enlairament i l'aterratge</t>
  </si>
  <si>
    <t>Ordenar l'aparcament de vehícles</t>
  </si>
  <si>
    <t>Disposar i mantenir els serveis, equipaments i infraestructures necessàries i accessibles per acollir, informar, facilitar la visita i garantir la seguretat dels visitants i la protecció de l'entorn</t>
  </si>
  <si>
    <r>
      <t xml:space="preserve">*Millora i manteniment de les àrees d'acollida existents 
*Creació de noves àrees recreatives amb equipament ambiental interpretatiu 
*Adequació del Centre d'Interpretació de Mas de Melons
Colaboració amb el Centre d’activitats i ús públic dels Secans de Mas de Melons – Alfés de Castelldans.
</t>
    </r>
    <r>
      <rPr>
        <strike/>
        <sz val="11"/>
        <color rgb="FF000000"/>
        <rFont val="Calibri"/>
        <family val="2"/>
      </rPr>
      <t xml:space="preserve">
</t>
    </r>
  </si>
  <si>
    <t>13.2.5</t>
  </si>
  <si>
    <t>Desplegar el Pla estratègic 2021-2030 d’educació i voluntariat ambiental del Parc Natural dels Ports (PEEVA): Educació ambiental</t>
  </si>
  <si>
    <t>Desplegar el Pla estratègic 2021-2030 d’educació i voluntariat ambiental (PEEVA): Educació ambiental</t>
  </si>
  <si>
    <t>Ja inclòs en d'altres accions</t>
  </si>
  <si>
    <t>13.6.3</t>
  </si>
  <si>
    <t>Desplegar el Pla estratègic 2021-2030 d’educació i voluntariat ambiental: Voluntariat</t>
  </si>
  <si>
    <t>Desplegar i/o participar a les Taules territorials de Salut i Natura</t>
  </si>
  <si>
    <t xml:space="preserve">Gestionar i millorar administrativament els pressupostos anuals d'entrades i despeses </t>
  </si>
  <si>
    <t>Planificar, detectar les necessitats de contractació del l'ENP per a l'optimització dels contractes a nivell de Xarxa i gestionar els contractes</t>
  </si>
  <si>
    <t>Planificar i gestionar els ajuts</t>
  </si>
  <si>
    <t>Millorar i mantenir el material, infraestructures i equipaments de gestió de l'espai</t>
  </si>
  <si>
    <t>Millorar l'accessibilitat i la gestió documental i digital de l'ENP</t>
  </si>
  <si>
    <t>Gestionar, enfortir i consolidar l'equip de gestió del parc</t>
  </si>
  <si>
    <t>16.6.3</t>
  </si>
  <si>
    <t>Gestió ordinària i imprevistos no contemplats en cap dels Objectius opertatius anteriors</t>
  </si>
  <si>
    <t>Realitzar Projecte executiu. Hi ha 500.000 al PEA per 2026</t>
  </si>
  <si>
    <t>25_DE_SEC_11</t>
  </si>
  <si>
    <t>Elaboració de capes de SIG amb la informació de les parceles on s'ha autoritzat rompudes o noves plantació de llenyoses</t>
  </si>
  <si>
    <t>Restauració de la peixera d'Aspa</t>
  </si>
  <si>
    <t xml:space="preserve">Inventari d'elements d'interès natural io cultural vinculats a la memòria històrica i proposta d'itinerari i senyalització </t>
  </si>
  <si>
    <t>26_CU_SEC_01</t>
  </si>
  <si>
    <t>26_NA_SEC_01</t>
  </si>
  <si>
    <t>Projecte de renaturalització del Clot de la Unilla</t>
  </si>
  <si>
    <t>S</t>
  </si>
  <si>
    <t>Pastura amb rucs en règim de semillibertat a la finca pública de Mas de Melons per manteniment de l'hàbitat de les aus estèpiques</t>
  </si>
  <si>
    <t>26_NA_SEC_02</t>
  </si>
  <si>
    <t>26_NA_SEC_03</t>
  </si>
  <si>
    <t>26_NA_SEC_04</t>
  </si>
  <si>
    <t>26_NA_SEC_05</t>
  </si>
  <si>
    <t>26_NA_SEC_06</t>
  </si>
  <si>
    <t>26_NA_SEC_07</t>
  </si>
  <si>
    <t>26_NA_SEC_08</t>
  </si>
  <si>
    <t>A Torreribera, a través de TRENCA</t>
  </si>
  <si>
    <t>Actuacions de gestió d’espècies depredadores. Prova pilot d'aversió a consumició d'ous per part de les guineus</t>
  </si>
  <si>
    <t>Al Contracte programa del CTFC</t>
  </si>
  <si>
    <t>26_NA_SEC_09</t>
  </si>
  <si>
    <t>26_NA_SEC_10</t>
  </si>
  <si>
    <t>26_NA_SEC_11</t>
  </si>
  <si>
    <t>26_NA_SEC_12</t>
  </si>
  <si>
    <t>26_NA_SEC_13</t>
  </si>
  <si>
    <t>Execució de l'acció C2. Adequació d'infraestructures ramaderes del LIFE Connect Ricotí a la timoneda d'Alfés</t>
  </si>
  <si>
    <t>26_NA_SEC_14</t>
  </si>
  <si>
    <t>Establiment d'un living lab sobre olivera regenerativa a la Reserva.</t>
  </si>
  <si>
    <t>26_NA_SEC_16</t>
  </si>
  <si>
    <t>26_NA_SEC_18</t>
  </si>
  <si>
    <t>26_NA_SEC_15</t>
  </si>
  <si>
    <t>26_NA_SEC_17</t>
  </si>
  <si>
    <t>En el Contracte programa del CREAF</t>
  </si>
  <si>
    <t xml:space="preserve">Adaptació del maneig dels conreus de cereal </t>
  </si>
  <si>
    <t>26_NA_SEC_19</t>
  </si>
  <si>
    <t>Realització de les accions de millora necessàries per a potenciar la captació d'aigua de la vall de Matxerri i restauració dels murs de pedra seca</t>
  </si>
  <si>
    <t>26_NA_SEC_20</t>
  </si>
  <si>
    <t>26_NA_SEC_21</t>
  </si>
  <si>
    <t>26_NA_SEC_22</t>
  </si>
  <si>
    <t>26_NA_SEC_23</t>
  </si>
  <si>
    <t>26_NA_SEC_24</t>
  </si>
  <si>
    <t>Adquisició de finques als voltants de la timoneda d'Alfés per a incrementar l'habitat adequat de l'alosa becuda i la seva gestió corresponent a través de l'ajut de compres</t>
  </si>
  <si>
    <t>26_NA_SEC_25</t>
  </si>
  <si>
    <t>Posada en valor del patrimoni històricocultural de la Reserva i dels municipis del Cogul i Castelldans</t>
  </si>
  <si>
    <t>26_CU_SEC_02</t>
  </si>
  <si>
    <t>26_CU_SEC_03</t>
  </si>
  <si>
    <t>26_CU_SEC_04</t>
  </si>
  <si>
    <t>26_CU_SEC_05</t>
  </si>
  <si>
    <t>Execució del pla de recuperació natural i paisatgísitca dels terrenys actualment ocupats per l’aeròdrom d’Alfés</t>
  </si>
  <si>
    <t xml:space="preserve">Seguiment dels dos transsectes d'abelles vinculats al Pla de polinitzadors silvestres (PIPOL) a les finques públiques de Mas de Melons i la timoneda d'Alfés.
</t>
  </si>
  <si>
    <t>26_CO_SEC_01</t>
  </si>
  <si>
    <t>26_CO_SEC_02</t>
  </si>
  <si>
    <t>26_CO_SEC_03</t>
  </si>
  <si>
    <t>26_CO_SEC_04</t>
  </si>
  <si>
    <t>26_CO_SEC_05</t>
  </si>
  <si>
    <t>26_CO_SEC_06</t>
  </si>
  <si>
    <t>26_CO_SEC_07</t>
  </si>
  <si>
    <t>26_CO_SEC_08</t>
  </si>
  <si>
    <t>26_CO_SEC_09</t>
  </si>
  <si>
    <t>26_CO_SEC_10</t>
  </si>
  <si>
    <t>Elaboració de l'inventari de briòfits a la Reserva i a l'espai de Secans de Mas de Melons-Alfés</t>
  </si>
  <si>
    <t>26_CO_SEC_11</t>
  </si>
  <si>
    <t>Contracte menor del LIFE Connect Ricotí</t>
  </si>
  <si>
    <t>26_DE_SEC_01</t>
  </si>
  <si>
    <t>Realització d'una jornada de difusió de les conclusions del LIFE Connect Ricotí</t>
  </si>
  <si>
    <t>Accions de formació i sensibilització per a la conservació de la biodiversitat als ENP en les oliveres i la producció d'oli</t>
  </si>
  <si>
    <t>26_DE_SEC_02</t>
  </si>
  <si>
    <t>26_DE_SEC_03</t>
  </si>
  <si>
    <t>26_DE_SEC_04</t>
  </si>
  <si>
    <t>26_DE_SEC_05</t>
  </si>
  <si>
    <t>26_DE_SEC_06</t>
  </si>
  <si>
    <t>26_DE_SEC_07</t>
  </si>
  <si>
    <t>26_DE_SEC_08</t>
  </si>
  <si>
    <t>Elaboració del Pla de gestió cinegètic de l'APC de la Reserva</t>
  </si>
  <si>
    <t>26_DE_SEC_09</t>
  </si>
  <si>
    <t>26_DE_SEC_10</t>
  </si>
  <si>
    <t>Realització de reunions periòdiques amb els caps de comarca del CAR i amb de l'Of. Comarcal del DARPA</t>
  </si>
  <si>
    <t>Vigilància permanent a la timoneda d'Alfés.</t>
  </si>
  <si>
    <t>26_US_SEC_01</t>
  </si>
  <si>
    <t>26_US_SEC_03</t>
  </si>
  <si>
    <t>26_US_SEC_04</t>
  </si>
  <si>
    <t>26_US_SEC_05</t>
  </si>
  <si>
    <t>26_US_SEC_06</t>
  </si>
  <si>
    <t>26_US_SEC_07</t>
  </si>
  <si>
    <t>26_US_SEC_08</t>
  </si>
  <si>
    <t>26_US_SEC_09</t>
  </si>
  <si>
    <t>menor del LIFE. Adequació del centre d'interpretació de Mas de Melons</t>
  </si>
  <si>
    <t>26_ED_SEC_01</t>
  </si>
  <si>
    <t>26_ED_SEC_02</t>
  </si>
  <si>
    <t>26_ED_SEC_03</t>
  </si>
  <si>
    <t>Menor LIFE Realització d'enquestes de percepció de la conservació</t>
  </si>
  <si>
    <t>26_ED_SEC_04</t>
  </si>
  <si>
    <t>26_GE_SEC_01</t>
  </si>
  <si>
    <t>26_GE_SEC_02</t>
  </si>
  <si>
    <t>26_GE_SEC_03</t>
  </si>
  <si>
    <t>26_GE_SEC_04</t>
  </si>
  <si>
    <t>26_GE_SEC_06</t>
  </si>
  <si>
    <t>26_GE_SEC_05</t>
  </si>
  <si>
    <t>Menor LIFE Anàlisi del sòl i campanya per a un ús racional dels antiparassitaris entre els veterinaris i els ramaders de la plana de Lleida</t>
  </si>
  <si>
    <t>Universitat d'Alacant</t>
  </si>
  <si>
    <t>26_CO_SEC_12</t>
  </si>
  <si>
    <t>Estudi de l'efecte del paisatge i la gestió de guarets sobre les comunitats d’abelles silvestres als secans de Lleida</t>
  </si>
  <si>
    <t>Pende nt definir mecanisme administratiu</t>
  </si>
  <si>
    <t>26_CO_SEC_13</t>
  </si>
  <si>
    <t>Establiment de nous punts de mostreig i seguiment a altres espais de Natura 2000 de la Plana de Lleida</t>
  </si>
  <si>
    <t>Amb personal propi</t>
  </si>
  <si>
    <t>Gestor responsable</t>
  </si>
  <si>
    <t>Actuació recurrent</t>
  </si>
  <si>
    <t>Jordi Parpal Servole</t>
  </si>
  <si>
    <t>es preveuen dues basses de la part sud de la Reserva</t>
  </si>
  <si>
    <t>Actuacions de gestió d’espècies depredadores. Control de les poblacions de porc senglar</t>
  </si>
  <si>
    <t>Actuacions de gestió d’espècies depredadores. Control de les poblacions de garsa</t>
  </si>
  <si>
    <t>Per fer d'acord amb els Ajuntaments (cotorra argentina i visó americà)</t>
  </si>
  <si>
    <t>Corral de la timoneda i campanya ivermectrina</t>
  </si>
  <si>
    <t>Inclou 50 ha en el projecte d'infraestructures (No inclòs a l'import mostrat) Potser alguna finca més amb ASG</t>
  </si>
  <si>
    <t>XXX</t>
  </si>
  <si>
    <t>Consolidar les compres finançades amb l'ordre d'ajuts 2025</t>
  </si>
  <si>
    <t>Amb l'equip del Jabvi Retana</t>
  </si>
  <si>
    <t>Actuacions de gestió d’espècies depredadores. Control de la presència de conill</t>
  </si>
  <si>
    <t>Amb la brigada de conillaires de FC</t>
  </si>
  <si>
    <t>Codi RAE, si s'escau</t>
  </si>
  <si>
    <t>Import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</si>
</sst>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0.00\ &quot;€&quot;;[Red]\-#,##0.00\ &quot;€&quot;"/>
    <numFmt numFmtId="43" formatCode="_-* #,##0.00_-;\-* #,##0.00_-;_-* &quot;-&quot;??_-;_-@_-"/>
  </numFmts>
  <fonts count="39">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b/>
      <sz val="14"/>
      <name val="Calibri"/>
      <family val="2"/>
      <scheme val="minor"/>
    </font>
    <font>
      <sz val="14"/>
      <name val="Calibri"/>
      <family val="2"/>
      <scheme val="minor"/>
    </font>
    <font>
      <strike/>
      <sz val="11"/>
      <color theme="1"/>
      <name val="Calibri"/>
      <family val="2"/>
      <scheme val="minor"/>
    </font>
    <font>
      <sz val="9"/>
      <color theme="1"/>
      <name val="Calibri"/>
      <family val="2"/>
      <scheme val="minor"/>
    </font>
    <font>
      <sz val="11"/>
      <color theme="1"/>
      <name val="Calibri"/>
      <family val="2"/>
      <scheme val="minor"/>
    </font>
    <font>
      <i/>
      <sz val="11"/>
      <color theme="1"/>
      <name val="Calibri"/>
      <family val="2"/>
      <scheme val="minor"/>
    </font>
    <font>
      <sz val="11"/>
      <color rgb="FF242424"/>
      <name val="Aptos Narrow"/>
      <charset val="1"/>
    </font>
    <font>
      <b/>
      <sz val="9"/>
      <color indexed="81"/>
      <name val="Tahoma"/>
      <family val="2"/>
    </font>
    <font>
      <sz val="9"/>
      <color indexed="81"/>
      <name val="Tahoma"/>
      <family val="2"/>
    </font>
    <font>
      <sz val="11"/>
      <color rgb="FF00B0F0"/>
      <name val="Calibri"/>
      <family val="2"/>
      <scheme val="minor"/>
    </font>
    <font>
      <b/>
      <sz val="11"/>
      <color rgb="FF000000"/>
      <name val="Calibri"/>
      <family val="2"/>
    </font>
    <font>
      <sz val="11"/>
      <color rgb="FF3D9B35"/>
      <name val="Calibri"/>
      <family val="2"/>
      <scheme val="minor"/>
    </font>
    <font>
      <sz val="11"/>
      <color rgb="FFFF0000"/>
      <name val="Calibri"/>
      <family val="2"/>
    </font>
    <font>
      <sz val="11"/>
      <color rgb="FF3D9B35"/>
      <name val="Calibri"/>
      <family val="2"/>
    </font>
    <font>
      <sz val="9"/>
      <name val="Calibri"/>
      <family val="2"/>
      <scheme val="minor"/>
    </font>
    <font>
      <sz val="9"/>
      <color rgb="FFFF0000"/>
      <name val="Calibri"/>
      <family val="2"/>
      <scheme val="minor"/>
    </font>
    <font>
      <sz val="9"/>
      <color rgb="FF071D49"/>
      <name val="Calibri"/>
      <family val="2"/>
      <scheme val="minor"/>
    </font>
    <font>
      <sz val="9"/>
      <color rgb="FF1F4D78"/>
      <name val="Calibri"/>
      <family val="2"/>
      <scheme val="minor"/>
    </font>
    <font>
      <b/>
      <sz val="9"/>
      <color theme="1"/>
      <name val="Calibri"/>
      <family val="2"/>
      <scheme val="minor"/>
    </font>
    <font>
      <b/>
      <sz val="9"/>
      <name val="Calibri"/>
      <family val="2"/>
      <scheme val="minor"/>
    </font>
    <font>
      <sz val="9"/>
      <color rgb="FFC00000"/>
      <name val="Calibri"/>
      <family val="2"/>
      <scheme val="minor"/>
    </font>
    <font>
      <sz val="9"/>
      <color rgb="FF000000"/>
      <name val="Calibri"/>
      <family val="2"/>
      <scheme val="minor"/>
    </font>
    <font>
      <sz val="9"/>
      <color rgb="FF002060"/>
      <name val="Calibri"/>
      <family val="2"/>
    </font>
    <font>
      <sz val="11"/>
      <color rgb="FFF85C26"/>
      <name val="Calibri"/>
      <family val="2"/>
      <scheme val="minor"/>
    </font>
    <font>
      <strike/>
      <sz val="11"/>
      <color rgb="FF000000"/>
      <name val="Calibri"/>
      <family val="2"/>
    </font>
    <font>
      <sz val="9"/>
      <name val="Arial"/>
      <family val="2"/>
    </font>
    <font>
      <b/>
      <sz val="10"/>
      <name val="Calibri"/>
      <family val="2"/>
      <scheme val="minor"/>
    </font>
    <font>
      <sz val="10"/>
      <name val="Calibri"/>
      <family val="2"/>
      <scheme val="minor"/>
    </font>
    <font>
      <sz val="9"/>
      <name val="Calibri"/>
      <family val="2"/>
    </font>
  </fonts>
  <fills count="34">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rgb="FFC5E0B3"/>
        <bgColor indexed="64"/>
      </patternFill>
    </fill>
    <fill>
      <patternFill patternType="solid">
        <fgColor rgb="FFBDD6EE"/>
        <bgColor indexed="64"/>
      </patternFill>
    </fill>
    <fill>
      <patternFill patternType="solid">
        <fgColor rgb="FFDEEAF6"/>
        <bgColor indexed="64"/>
      </patternFill>
    </fill>
    <fill>
      <patternFill patternType="solid">
        <fgColor rgb="FFFBE4D5"/>
        <bgColor indexed="64"/>
      </patternFill>
    </fill>
    <fill>
      <patternFill patternType="solid">
        <fgColor rgb="FFFCBC20"/>
        <bgColor indexed="64"/>
      </patternFill>
    </fill>
    <fill>
      <patternFill patternType="solid">
        <fgColor rgb="FFE7E6E6"/>
        <bgColor indexed="64"/>
      </patternFill>
    </fill>
    <fill>
      <patternFill patternType="solid">
        <fgColor theme="2"/>
        <bgColor indexed="64"/>
      </patternFill>
    </fill>
    <fill>
      <patternFill patternType="solid">
        <fgColor rgb="FFFFC000"/>
        <bgColor indexed="64"/>
      </patternFill>
    </fill>
    <fill>
      <patternFill patternType="solid">
        <fgColor theme="0"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332">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3" fillId="0" borderId="1" xfId="0" applyFont="1" applyBorder="1" applyAlignment="1">
      <alignment horizontal="center"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49" fontId="9" fillId="0" borderId="0" xfId="0" applyNumberFormat="1" applyFont="1" applyAlignment="1">
      <alignment horizontal="right" vertical="top"/>
    </xf>
    <xf numFmtId="0" fontId="11" fillId="18" borderId="1" xfId="0" applyFont="1" applyFill="1" applyBorder="1" applyAlignment="1">
      <alignment vertical="top" wrapText="1"/>
    </xf>
    <xf numFmtId="0" fontId="3" fillId="18" borderId="1" xfId="0" applyFont="1" applyFill="1" applyBorder="1" applyAlignment="1">
      <alignment horizontal="center" vertical="center" wrapText="1"/>
    </xf>
    <xf numFmtId="0" fontId="3" fillId="18" borderId="1" xfId="0" applyFont="1" applyFill="1" applyBorder="1" applyAlignment="1">
      <alignment horizontal="center" vertical="center"/>
    </xf>
    <xf numFmtId="0" fontId="2" fillId="0" borderId="1" xfId="0" applyFont="1" applyBorder="1" applyAlignment="1">
      <alignment horizontal="center" vertical="center"/>
    </xf>
    <xf numFmtId="0" fontId="2" fillId="18" borderId="1" xfId="0" applyFont="1" applyFill="1" applyBorder="1" applyAlignment="1">
      <alignment horizontal="center" vertical="center"/>
    </xf>
    <xf numFmtId="0" fontId="2" fillId="18" borderId="1" xfId="0" applyFont="1" applyFill="1" applyBorder="1" applyAlignment="1">
      <alignment horizontal="center" vertical="center" wrapText="1"/>
    </xf>
    <xf numFmtId="0" fontId="2" fillId="0" borderId="0" xfId="0" applyFont="1" applyAlignment="1">
      <alignment horizontal="center" vertical="center"/>
    </xf>
    <xf numFmtId="0" fontId="1" fillId="18"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1" fillId="18" borderId="1" xfId="0" applyFont="1" applyFill="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vertical="top" wrapText="1"/>
    </xf>
    <xf numFmtId="0" fontId="0" fillId="0" borderId="1" xfId="0" applyBorder="1" applyAlignment="1">
      <alignment horizontal="center" vertical="center"/>
    </xf>
    <xf numFmtId="0" fontId="0" fillId="18" borderId="1" xfId="0" applyFill="1" applyBorder="1" applyAlignment="1">
      <alignment horizontal="center" vertical="center"/>
    </xf>
    <xf numFmtId="0" fontId="0" fillId="18" borderId="1" xfId="0" applyFill="1" applyBorder="1" applyAlignment="1">
      <alignment horizontal="left" vertical="center" wrapText="1"/>
    </xf>
    <xf numFmtId="0" fontId="1" fillId="0" borderId="1" xfId="0" applyFont="1" applyBorder="1" applyAlignment="1">
      <alignment vertical="top"/>
    </xf>
    <xf numFmtId="0" fontId="8" fillId="18" borderId="1" xfId="0" applyFont="1" applyFill="1" applyBorder="1" applyAlignment="1">
      <alignment horizontal="left" vertical="center" wrapText="1"/>
    </xf>
    <xf numFmtId="0" fontId="0" fillId="18" borderId="1" xfId="0" applyFill="1" applyBorder="1" applyAlignment="1">
      <alignment horizontal="center" vertical="center" wrapText="1"/>
    </xf>
    <xf numFmtId="0" fontId="1" fillId="0" borderId="1" xfId="0" applyFont="1" applyBorder="1" applyAlignment="1">
      <alignment horizontal="center" vertical="center" wrapText="1"/>
    </xf>
    <xf numFmtId="0" fontId="6" fillId="18" borderId="1" xfId="0" applyFont="1" applyFill="1" applyBorder="1" applyAlignment="1">
      <alignment horizontal="left" vertical="center" wrapText="1"/>
    </xf>
    <xf numFmtId="0" fontId="1" fillId="0" borderId="1" xfId="0" applyFont="1" applyBorder="1" applyAlignment="1">
      <alignment horizontal="left" vertical="top" wrapText="1"/>
    </xf>
    <xf numFmtId="0" fontId="1" fillId="0" borderId="1" xfId="0" quotePrefix="1" applyFont="1" applyBorder="1" applyAlignment="1">
      <alignment vertical="top" wrapText="1"/>
    </xf>
    <xf numFmtId="0" fontId="4" fillId="0" borderId="1" xfId="0" applyFont="1" applyBorder="1" applyAlignment="1">
      <alignment vertical="top"/>
    </xf>
    <xf numFmtId="0" fontId="6" fillId="18" borderId="1" xfId="0" applyFont="1" applyFill="1" applyBorder="1" applyAlignment="1">
      <alignment horizontal="center" vertical="center" wrapText="1"/>
    </xf>
    <xf numFmtId="0" fontId="6" fillId="0" borderId="1" xfId="0" applyFont="1" applyBorder="1" applyAlignment="1">
      <alignment vertical="top" wrapText="1"/>
    </xf>
    <xf numFmtId="0" fontId="12" fillId="18" borderId="1" xfId="0" applyFont="1" applyFill="1" applyBorder="1" applyAlignment="1">
      <alignment horizontal="left" vertical="center" wrapText="1"/>
    </xf>
    <xf numFmtId="0" fontId="6" fillId="18" borderId="1" xfId="0" applyFont="1" applyFill="1" applyBorder="1" applyAlignment="1">
      <alignment horizontal="center" vertical="center"/>
    </xf>
    <xf numFmtId="0" fontId="4" fillId="18" borderId="1" xfId="0" applyFont="1" applyFill="1" applyBorder="1" applyAlignment="1">
      <alignment horizontal="left" vertical="center" wrapText="1"/>
    </xf>
    <xf numFmtId="49" fontId="2" fillId="0" borderId="0" xfId="0" applyNumberFormat="1" applyFont="1" applyAlignment="1">
      <alignment horizontal="center" vertical="top" wrapText="1"/>
    </xf>
    <xf numFmtId="0" fontId="0" fillId="0" borderId="0" xfId="0" applyAlignment="1">
      <alignment horizontal="left"/>
    </xf>
    <xf numFmtId="0" fontId="0" fillId="0" borderId="0" xfId="0" applyAlignment="1">
      <alignment wrapText="1"/>
    </xf>
    <xf numFmtId="0" fontId="2" fillId="17" borderId="1" xfId="0" applyFont="1" applyFill="1" applyBorder="1" applyAlignment="1">
      <alignment wrapText="1"/>
    </xf>
    <xf numFmtId="0" fontId="0" fillId="0" borderId="1" xfId="0" applyBorder="1" applyAlignment="1">
      <alignment wrapText="1"/>
    </xf>
    <xf numFmtId="0" fontId="2" fillId="10" borderId="1" xfId="0" applyFont="1" applyFill="1" applyBorder="1" applyAlignment="1">
      <alignment wrapText="1"/>
    </xf>
    <xf numFmtId="0" fontId="2" fillId="0" borderId="0" xfId="0" applyFont="1"/>
    <xf numFmtId="0" fontId="0" fillId="0" borderId="0" xfId="0" applyAlignment="1">
      <alignment horizontal="left" wrapText="1"/>
    </xf>
    <xf numFmtId="0" fontId="13" fillId="0" borderId="0" xfId="0" applyFont="1"/>
    <xf numFmtId="0" fontId="0" fillId="0" borderId="0" xfId="0" applyAlignment="1">
      <alignment vertical="center"/>
    </xf>
    <xf numFmtId="49" fontId="9" fillId="0" borderId="0" xfId="0" applyNumberFormat="1" applyFont="1" applyAlignment="1">
      <alignment horizontal="left" vertical="top"/>
    </xf>
    <xf numFmtId="0" fontId="10" fillId="0" borderId="0" xfId="0" applyFont="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11" fillId="0" borderId="0" xfId="0" applyFont="1" applyAlignment="1">
      <alignment vertical="top" wrapText="1"/>
    </xf>
    <xf numFmtId="0" fontId="2" fillId="0" borderId="1" xfId="0" applyFont="1" applyBorder="1" applyAlignment="1">
      <alignment horizontal="center" vertical="center" wrapText="1"/>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vertical="top" wrapText="1"/>
    </xf>
    <xf numFmtId="0" fontId="4" fillId="0" borderId="1" xfId="0" applyFont="1" applyBorder="1" applyAlignment="1">
      <alignment horizontal="left" vertical="top"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9" fontId="0" fillId="0" borderId="1" xfId="0" applyNumberFormat="1" applyBorder="1" applyAlignment="1">
      <alignment vertical="top"/>
    </xf>
    <xf numFmtId="0" fontId="0" fillId="0" borderId="1" xfId="0" applyBorder="1" applyAlignment="1">
      <alignment horizontal="center" vertical="center" wrapText="1"/>
    </xf>
    <xf numFmtId="0" fontId="7" fillId="0" borderId="1" xfId="0" applyFont="1" applyBorder="1" applyAlignment="1">
      <alignment vertical="top" wrapText="1"/>
    </xf>
    <xf numFmtId="0" fontId="7" fillId="0" borderId="9" xfId="0" applyFont="1" applyBorder="1" applyAlignment="1">
      <alignment vertical="top" wrapText="1"/>
    </xf>
    <xf numFmtId="0" fontId="2" fillId="0" borderId="1" xfId="0" applyFont="1" applyBorder="1" applyAlignment="1">
      <alignment horizontal="center" vertical="top" wrapText="1"/>
    </xf>
    <xf numFmtId="0" fontId="19" fillId="0" borderId="1" xfId="0" applyFont="1" applyBorder="1" applyAlignment="1">
      <alignment vertical="top" wrapText="1"/>
    </xf>
    <xf numFmtId="0" fontId="21" fillId="0" borderId="1" xfId="0" applyFont="1" applyBorder="1" applyAlignment="1">
      <alignment vertical="top" wrapText="1"/>
    </xf>
    <xf numFmtId="0" fontId="8" fillId="0" borderId="1" xfId="0" applyFont="1" applyBorder="1" applyAlignment="1">
      <alignment vertical="top" wrapText="1"/>
    </xf>
    <xf numFmtId="0" fontId="21" fillId="0" borderId="1" xfId="0" applyFont="1" applyBorder="1" applyAlignment="1">
      <alignment horizontal="left" vertical="top" wrapText="1"/>
    </xf>
    <xf numFmtId="0" fontId="7" fillId="0" borderId="10" xfId="0" applyFont="1" applyBorder="1" applyAlignment="1">
      <alignment vertical="top" wrapText="1"/>
    </xf>
    <xf numFmtId="0" fontId="7" fillId="0" borderId="0" xfId="0" applyFont="1" applyAlignment="1">
      <alignment vertical="top" wrapText="1"/>
    </xf>
    <xf numFmtId="0" fontId="24" fillId="25" borderId="1" xfId="0" applyFont="1" applyFill="1" applyBorder="1" applyAlignment="1">
      <alignment horizontal="center" vertical="center" wrapText="1"/>
    </xf>
    <xf numFmtId="0" fontId="24" fillId="25" borderId="1" xfId="0" applyFont="1" applyFill="1" applyBorder="1" applyAlignment="1">
      <alignment horizontal="left" vertical="center" wrapText="1"/>
    </xf>
    <xf numFmtId="0" fontId="24" fillId="25" borderId="1" xfId="0" applyFont="1" applyFill="1" applyBorder="1" applyAlignment="1">
      <alignment vertical="center" wrapText="1"/>
    </xf>
    <xf numFmtId="0" fontId="24" fillId="25" borderId="1" xfId="0" applyFont="1" applyFill="1" applyBorder="1" applyAlignment="1">
      <alignment horizontal="left" vertical="top" wrapText="1"/>
    </xf>
    <xf numFmtId="0" fontId="24" fillId="0" borderId="0" xfId="0" applyFont="1"/>
    <xf numFmtId="0" fontId="24" fillId="26" borderId="1" xfId="0" applyFont="1" applyFill="1" applyBorder="1" applyAlignment="1">
      <alignment vertical="center" wrapText="1"/>
    </xf>
    <xf numFmtId="0" fontId="24" fillId="26" borderId="1" xfId="0" applyFont="1" applyFill="1" applyBorder="1" applyAlignment="1">
      <alignment horizontal="left" vertical="center" wrapText="1"/>
    </xf>
    <xf numFmtId="0" fontId="24" fillId="3" borderId="1" xfId="0" applyFont="1" applyFill="1" applyBorder="1" applyAlignment="1">
      <alignment vertical="center" wrapText="1"/>
    </xf>
    <xf numFmtId="0" fontId="24" fillId="3" borderId="6" xfId="0" applyFont="1" applyFill="1" applyBorder="1" applyAlignment="1">
      <alignment vertical="center" wrapText="1"/>
    </xf>
    <xf numFmtId="0" fontId="24" fillId="3" borderId="1" xfId="0" applyFont="1" applyFill="1" applyBorder="1" applyAlignment="1">
      <alignment vertical="top" wrapText="1"/>
    </xf>
    <xf numFmtId="0" fontId="26" fillId="3" borderId="1" xfId="0" applyFont="1" applyFill="1" applyBorder="1" applyAlignment="1">
      <alignment vertical="center" wrapText="1"/>
    </xf>
    <xf numFmtId="0" fontId="24" fillId="27" borderId="1" xfId="0" applyFont="1" applyFill="1" applyBorder="1" applyAlignment="1">
      <alignment vertical="center" wrapText="1"/>
    </xf>
    <xf numFmtId="0" fontId="24" fillId="28" borderId="1" xfId="0" applyFont="1" applyFill="1" applyBorder="1" applyAlignment="1">
      <alignment vertical="center" wrapText="1"/>
    </xf>
    <xf numFmtId="0" fontId="24" fillId="29" borderId="1" xfId="0" applyFont="1" applyFill="1" applyBorder="1" applyAlignment="1">
      <alignment vertical="center" wrapText="1"/>
    </xf>
    <xf numFmtId="0" fontId="27" fillId="29" borderId="1" xfId="0" applyFont="1" applyFill="1" applyBorder="1" applyAlignment="1">
      <alignment vertical="center" wrapText="1"/>
    </xf>
    <xf numFmtId="0" fontId="24" fillId="30" borderId="1" xfId="0" applyFont="1" applyFill="1" applyBorder="1" applyAlignment="1">
      <alignment vertical="center" wrapText="1"/>
    </xf>
    <xf numFmtId="0" fontId="27" fillId="30" borderId="1" xfId="0" applyFont="1" applyFill="1" applyBorder="1" applyAlignment="1">
      <alignment vertical="center" wrapText="1"/>
    </xf>
    <xf numFmtId="0" fontId="24" fillId="30" borderId="6" xfId="0" applyFont="1" applyFill="1" applyBorder="1" applyAlignment="1">
      <alignment vertical="center" wrapText="1"/>
    </xf>
    <xf numFmtId="0" fontId="24" fillId="30" borderId="7" xfId="0" applyFont="1" applyFill="1" applyBorder="1" applyAlignment="1">
      <alignment vertical="center" wrapText="1"/>
    </xf>
    <xf numFmtId="0" fontId="27" fillId="30" borderId="7" xfId="0" applyFont="1" applyFill="1" applyBorder="1" applyAlignment="1">
      <alignment vertical="center" wrapText="1"/>
    </xf>
    <xf numFmtId="0" fontId="28" fillId="0" borderId="0" xfId="0" applyFont="1"/>
    <xf numFmtId="0" fontId="13" fillId="0" borderId="0" xfId="0" applyFont="1" applyAlignment="1">
      <alignment wrapText="1"/>
    </xf>
    <xf numFmtId="43" fontId="13" fillId="0" borderId="0" xfId="1" applyFont="1"/>
    <xf numFmtId="0" fontId="29" fillId="18" borderId="2" xfId="0" applyFont="1" applyFill="1" applyBorder="1" applyAlignment="1">
      <alignment horizontal="center" vertical="center" wrapText="1"/>
    </xf>
    <xf numFmtId="0" fontId="29" fillId="18" borderId="3" xfId="0" applyFont="1" applyFill="1" applyBorder="1" applyAlignment="1">
      <alignment horizontal="center" vertical="center" wrapText="1"/>
    </xf>
    <xf numFmtId="0" fontId="29" fillId="18" borderId="3" xfId="0" applyFont="1" applyFill="1" applyBorder="1" applyAlignment="1">
      <alignment horizontal="left" vertical="center" wrapText="1"/>
    </xf>
    <xf numFmtId="0" fontId="29" fillId="18" borderId="3" xfId="0" applyFont="1" applyFill="1" applyBorder="1" applyAlignment="1">
      <alignment vertical="center" wrapText="1"/>
    </xf>
    <xf numFmtId="0" fontId="28" fillId="18" borderId="3" xfId="0" applyFont="1" applyFill="1" applyBorder="1" applyAlignment="1">
      <alignment vertical="top" wrapText="1"/>
    </xf>
    <xf numFmtId="43" fontId="28" fillId="18" borderId="3" xfId="1" applyFont="1" applyFill="1" applyBorder="1" applyAlignment="1">
      <alignment vertical="top" wrapText="1"/>
    </xf>
    <xf numFmtId="0" fontId="28" fillId="18" borderId="4" xfId="0" applyFont="1" applyFill="1" applyBorder="1" applyAlignment="1">
      <alignment vertical="top" wrapText="1"/>
    </xf>
    <xf numFmtId="0" fontId="30" fillId="0" borderId="0" xfId="0" applyFont="1"/>
    <xf numFmtId="0" fontId="24" fillId="25" borderId="5" xfId="0" applyFont="1" applyFill="1" applyBorder="1" applyAlignment="1">
      <alignment horizontal="center" vertical="center" wrapText="1"/>
    </xf>
    <xf numFmtId="43" fontId="24" fillId="25" borderId="1" xfId="1" applyFont="1" applyFill="1" applyBorder="1" applyAlignment="1">
      <alignment vertical="center" wrapText="1"/>
    </xf>
    <xf numFmtId="0" fontId="24" fillId="25" borderId="6" xfId="0" applyFont="1" applyFill="1" applyBorder="1" applyAlignment="1">
      <alignment horizontal="left" vertical="center" wrapText="1"/>
    </xf>
    <xf numFmtId="43" fontId="24" fillId="25" borderId="1" xfId="1" applyFont="1" applyFill="1" applyBorder="1" applyAlignment="1">
      <alignment horizontal="left" vertical="center" wrapText="1"/>
    </xf>
    <xf numFmtId="0" fontId="24" fillId="25" borderId="6" xfId="0" applyFont="1" applyFill="1" applyBorder="1" applyAlignment="1">
      <alignment vertical="center" wrapText="1"/>
    </xf>
    <xf numFmtId="0" fontId="31" fillId="25" borderId="6" xfId="0" applyFont="1" applyFill="1" applyBorder="1" applyAlignment="1">
      <alignment vertical="center" wrapText="1"/>
    </xf>
    <xf numFmtId="0" fontId="24" fillId="26" borderId="5" xfId="0" applyFont="1" applyFill="1" applyBorder="1" applyAlignment="1">
      <alignment vertical="center" wrapText="1"/>
    </xf>
    <xf numFmtId="0" fontId="31" fillId="26" borderId="1" xfId="0" applyFont="1" applyFill="1" applyBorder="1" applyAlignment="1">
      <alignment vertical="center" wrapText="1"/>
    </xf>
    <xf numFmtId="43" fontId="31" fillId="26" borderId="1" xfId="1" applyFont="1" applyFill="1" applyBorder="1" applyAlignment="1">
      <alignment vertical="center" wrapText="1"/>
    </xf>
    <xf numFmtId="0" fontId="31" fillId="26" borderId="6" xfId="0" applyFont="1" applyFill="1" applyBorder="1" applyAlignment="1">
      <alignment vertical="center" wrapText="1"/>
    </xf>
    <xf numFmtId="0" fontId="31" fillId="26" borderId="1" xfId="0" applyFont="1" applyFill="1" applyBorder="1" applyAlignment="1">
      <alignment horizontal="left" vertical="center" wrapText="1"/>
    </xf>
    <xf numFmtId="43" fontId="31" fillId="26" borderId="1" xfId="1" applyFont="1" applyFill="1" applyBorder="1" applyAlignment="1">
      <alignment horizontal="left" vertical="center" wrapText="1"/>
    </xf>
    <xf numFmtId="0" fontId="31" fillId="26" borderId="6" xfId="0" applyFont="1" applyFill="1" applyBorder="1" applyAlignment="1">
      <alignment horizontal="left" vertical="center" wrapText="1"/>
    </xf>
    <xf numFmtId="0" fontId="24" fillId="3" borderId="5" xfId="0" applyFont="1" applyFill="1" applyBorder="1" applyAlignment="1">
      <alignment vertical="center" wrapText="1"/>
    </xf>
    <xf numFmtId="8" fontId="31" fillId="3" borderId="1" xfId="0" applyNumberFormat="1" applyFont="1" applyFill="1" applyBorder="1" applyAlignment="1">
      <alignment vertical="center"/>
    </xf>
    <xf numFmtId="8" fontId="31" fillId="3" borderId="1" xfId="0" applyNumberFormat="1" applyFont="1" applyFill="1" applyBorder="1" applyAlignment="1">
      <alignment vertical="center" wrapText="1"/>
    </xf>
    <xf numFmtId="43" fontId="31" fillId="3" borderId="1" xfId="1" applyFont="1" applyFill="1" applyBorder="1" applyAlignment="1">
      <alignment vertical="center"/>
    </xf>
    <xf numFmtId="8" fontId="31" fillId="3" borderId="6" xfId="0" applyNumberFormat="1" applyFont="1" applyFill="1" applyBorder="1" applyAlignment="1">
      <alignment vertical="center" wrapText="1"/>
    </xf>
    <xf numFmtId="8" fontId="24" fillId="3" borderId="1" xfId="0" applyNumberFormat="1" applyFont="1" applyFill="1" applyBorder="1" applyAlignment="1">
      <alignment vertical="center"/>
    </xf>
    <xf numFmtId="8" fontId="31" fillId="3" borderId="1" xfId="0" applyNumberFormat="1" applyFont="1" applyFill="1" applyBorder="1" applyAlignment="1">
      <alignment horizontal="center" vertical="center"/>
    </xf>
    <xf numFmtId="8" fontId="24" fillId="3" borderId="1" xfId="0" applyNumberFormat="1" applyFont="1" applyFill="1" applyBorder="1" applyAlignment="1">
      <alignment vertical="center" wrapText="1"/>
    </xf>
    <xf numFmtId="43" fontId="31" fillId="3" borderId="1" xfId="1" applyFont="1" applyFill="1" applyBorder="1" applyAlignment="1">
      <alignment horizontal="center" vertical="center"/>
    </xf>
    <xf numFmtId="8" fontId="31" fillId="3" borderId="6" xfId="0" applyNumberFormat="1" applyFont="1" applyFill="1" applyBorder="1" applyAlignment="1">
      <alignment horizontal="center" vertical="center" wrapText="1"/>
    </xf>
    <xf numFmtId="43" fontId="24" fillId="3" borderId="1" xfId="1" applyFont="1" applyFill="1" applyBorder="1" applyAlignment="1">
      <alignment vertical="center"/>
    </xf>
    <xf numFmtId="0" fontId="24" fillId="27" borderId="5" xfId="0" applyFont="1" applyFill="1" applyBorder="1" applyAlignment="1">
      <alignment vertical="center" wrapText="1"/>
    </xf>
    <xf numFmtId="8" fontId="26" fillId="27" borderId="1" xfId="0" applyNumberFormat="1" applyFont="1" applyFill="1" applyBorder="1" applyAlignment="1">
      <alignment vertical="center"/>
    </xf>
    <xf numFmtId="8" fontId="26" fillId="27" borderId="1" xfId="0" applyNumberFormat="1" applyFont="1" applyFill="1" applyBorder="1" applyAlignment="1">
      <alignment vertical="center" wrapText="1"/>
    </xf>
    <xf numFmtId="43" fontId="26" fillId="27" borderId="1" xfId="1" applyFont="1" applyFill="1" applyBorder="1" applyAlignment="1">
      <alignment vertical="center"/>
    </xf>
    <xf numFmtId="8" fontId="26" fillId="27" borderId="6" xfId="0" applyNumberFormat="1" applyFont="1" applyFill="1" applyBorder="1" applyAlignment="1">
      <alignment vertical="center" wrapText="1"/>
    </xf>
    <xf numFmtId="8" fontId="31" fillId="27" borderId="1" xfId="0" applyNumberFormat="1" applyFont="1" applyFill="1" applyBorder="1" applyAlignment="1">
      <alignment vertical="center"/>
    </xf>
    <xf numFmtId="8" fontId="31" fillId="27" borderId="1" xfId="0" applyNumberFormat="1" applyFont="1" applyFill="1" applyBorder="1" applyAlignment="1">
      <alignment vertical="center" wrapText="1"/>
    </xf>
    <xf numFmtId="43" fontId="31" fillId="27" borderId="1" xfId="1" applyFont="1" applyFill="1" applyBorder="1" applyAlignment="1">
      <alignment vertical="center"/>
    </xf>
    <xf numFmtId="8" fontId="31" fillId="27" borderId="6" xfId="0" applyNumberFormat="1" applyFont="1" applyFill="1" applyBorder="1" applyAlignment="1">
      <alignment vertical="center" wrapText="1"/>
    </xf>
    <xf numFmtId="0" fontId="24" fillId="27" borderId="6" xfId="0" applyFont="1" applyFill="1" applyBorder="1" applyAlignment="1">
      <alignment vertical="center" wrapText="1"/>
    </xf>
    <xf numFmtId="4" fontId="31" fillId="27" borderId="1" xfId="0" applyNumberFormat="1" applyFont="1" applyFill="1" applyBorder="1" applyAlignment="1">
      <alignment vertical="center"/>
    </xf>
    <xf numFmtId="4" fontId="31" fillId="27" borderId="1" xfId="0" applyNumberFormat="1" applyFont="1" applyFill="1" applyBorder="1" applyAlignment="1">
      <alignment vertical="center" wrapText="1"/>
    </xf>
    <xf numFmtId="4" fontId="31" fillId="27" borderId="6" xfId="0" applyNumberFormat="1" applyFont="1" applyFill="1" applyBorder="1" applyAlignment="1">
      <alignment vertical="center" wrapText="1"/>
    </xf>
    <xf numFmtId="0" fontId="24" fillId="28" borderId="5" xfId="0" applyFont="1" applyFill="1" applyBorder="1" applyAlignment="1">
      <alignment vertical="center" wrapText="1"/>
    </xf>
    <xf numFmtId="8" fontId="26" fillId="28" borderId="1" xfId="0" applyNumberFormat="1" applyFont="1" applyFill="1" applyBorder="1" applyAlignment="1">
      <alignment vertical="center"/>
    </xf>
    <xf numFmtId="8" fontId="26" fillId="28" borderId="1" xfId="0" applyNumberFormat="1" applyFont="1" applyFill="1" applyBorder="1" applyAlignment="1">
      <alignment vertical="center" wrapText="1"/>
    </xf>
    <xf numFmtId="43" fontId="26" fillId="28" borderId="1" xfId="1" applyFont="1" applyFill="1" applyBorder="1" applyAlignment="1">
      <alignment vertical="center"/>
    </xf>
    <xf numFmtId="8" fontId="26" fillId="28" borderId="6" xfId="0" applyNumberFormat="1" applyFont="1" applyFill="1" applyBorder="1" applyAlignment="1">
      <alignment vertical="center" wrapText="1"/>
    </xf>
    <xf numFmtId="0" fontId="24" fillId="28" borderId="6" xfId="0" applyFont="1" applyFill="1" applyBorder="1" applyAlignment="1">
      <alignment vertical="center" wrapText="1"/>
    </xf>
    <xf numFmtId="8" fontId="31" fillId="28" borderId="1" xfId="0" applyNumberFormat="1" applyFont="1" applyFill="1" applyBorder="1" applyAlignment="1">
      <alignment vertical="center"/>
    </xf>
    <xf numFmtId="43" fontId="31" fillId="28" borderId="1" xfId="1" applyFont="1" applyFill="1" applyBorder="1" applyAlignment="1">
      <alignment vertical="center"/>
    </xf>
    <xf numFmtId="8" fontId="31" fillId="28" borderId="6" xfId="0" applyNumberFormat="1" applyFont="1" applyFill="1" applyBorder="1" applyAlignment="1">
      <alignment vertical="center" wrapText="1"/>
    </xf>
    <xf numFmtId="8" fontId="31" fillId="28" borderId="1" xfId="0" applyNumberFormat="1" applyFont="1" applyFill="1" applyBorder="1" applyAlignment="1">
      <alignment vertical="center" wrapText="1"/>
    </xf>
    <xf numFmtId="8" fontId="31" fillId="28" borderId="1" xfId="0" applyNumberFormat="1" applyFont="1" applyFill="1" applyBorder="1" applyAlignment="1">
      <alignment horizontal="center" vertical="center"/>
    </xf>
    <xf numFmtId="43" fontId="31" fillId="28" borderId="1" xfId="1" applyFont="1" applyFill="1" applyBorder="1" applyAlignment="1">
      <alignment horizontal="center" vertical="center"/>
    </xf>
    <xf numFmtId="8" fontId="31" fillId="28" borderId="6" xfId="0" applyNumberFormat="1" applyFont="1" applyFill="1" applyBorder="1" applyAlignment="1">
      <alignment horizontal="center" vertical="center" wrapText="1"/>
    </xf>
    <xf numFmtId="8" fontId="24" fillId="28" borderId="6" xfId="0" applyNumberFormat="1" applyFont="1" applyFill="1" applyBorder="1" applyAlignment="1">
      <alignment vertical="center" wrapText="1"/>
    </xf>
    <xf numFmtId="8" fontId="31" fillId="28" borderId="6" xfId="0" applyNumberFormat="1" applyFont="1" applyFill="1" applyBorder="1" applyAlignment="1">
      <alignment vertical="center"/>
    </xf>
    <xf numFmtId="0" fontId="24" fillId="29" borderId="5" xfId="0" applyFont="1" applyFill="1" applyBorder="1" applyAlignment="1">
      <alignment vertical="center" wrapText="1"/>
    </xf>
    <xf numFmtId="8" fontId="26" fillId="29" borderId="1" xfId="0" applyNumberFormat="1" applyFont="1" applyFill="1" applyBorder="1" applyAlignment="1">
      <alignment vertical="center"/>
    </xf>
    <xf numFmtId="8" fontId="26" fillId="29" borderId="1" xfId="0" applyNumberFormat="1" applyFont="1" applyFill="1" applyBorder="1" applyAlignment="1">
      <alignment vertical="center" wrapText="1"/>
    </xf>
    <xf numFmtId="43" fontId="26" fillId="29" borderId="1" xfId="1" applyFont="1" applyFill="1" applyBorder="1" applyAlignment="1">
      <alignment vertical="center"/>
    </xf>
    <xf numFmtId="8" fontId="26" fillId="29" borderId="6" xfId="0" applyNumberFormat="1" applyFont="1" applyFill="1" applyBorder="1" applyAlignment="1">
      <alignment vertical="center" wrapText="1"/>
    </xf>
    <xf numFmtId="8" fontId="31" fillId="29" borderId="1" xfId="0" applyNumberFormat="1" applyFont="1" applyFill="1" applyBorder="1" applyAlignment="1">
      <alignment vertical="center"/>
    </xf>
    <xf numFmtId="43" fontId="31" fillId="29" borderId="1" xfId="1" applyFont="1" applyFill="1" applyBorder="1" applyAlignment="1">
      <alignment vertical="center"/>
    </xf>
    <xf numFmtId="8" fontId="31" fillId="29" borderId="6" xfId="0" applyNumberFormat="1" applyFont="1" applyFill="1" applyBorder="1" applyAlignment="1">
      <alignment vertical="center" wrapText="1"/>
    </xf>
    <xf numFmtId="43" fontId="24" fillId="29" borderId="1" xfId="1" applyFont="1" applyFill="1" applyBorder="1" applyAlignment="1">
      <alignment vertical="center" wrapText="1"/>
    </xf>
    <xf numFmtId="0" fontId="24" fillId="29" borderId="6" xfId="0" applyFont="1" applyFill="1" applyBorder="1" applyAlignment="1">
      <alignment vertical="center" wrapText="1"/>
    </xf>
    <xf numFmtId="0" fontId="24" fillId="30" borderId="5" xfId="0" applyFont="1" applyFill="1" applyBorder="1" applyAlignment="1">
      <alignment vertical="center" wrapText="1"/>
    </xf>
    <xf numFmtId="8" fontId="31" fillId="30" borderId="1" xfId="0" applyNumberFormat="1" applyFont="1" applyFill="1" applyBorder="1" applyAlignment="1">
      <alignment vertical="center"/>
    </xf>
    <xf numFmtId="8" fontId="31" fillId="30" borderId="1" xfId="0" applyNumberFormat="1" applyFont="1" applyFill="1" applyBorder="1" applyAlignment="1">
      <alignment vertical="center" wrapText="1"/>
    </xf>
    <xf numFmtId="43" fontId="31" fillId="30" borderId="1" xfId="1" applyFont="1" applyFill="1" applyBorder="1" applyAlignment="1">
      <alignment vertical="center"/>
    </xf>
    <xf numFmtId="8" fontId="31" fillId="30" borderId="6" xfId="0" applyNumberFormat="1" applyFont="1" applyFill="1" applyBorder="1" applyAlignment="1">
      <alignment vertical="center" wrapText="1"/>
    </xf>
    <xf numFmtId="8" fontId="31" fillId="30" borderId="7" xfId="0" applyNumberFormat="1" applyFont="1" applyFill="1" applyBorder="1" applyAlignment="1">
      <alignment vertical="center"/>
    </xf>
    <xf numFmtId="43" fontId="31" fillId="30" borderId="7" xfId="1" applyFont="1" applyFill="1" applyBorder="1" applyAlignment="1">
      <alignment vertical="center"/>
    </xf>
    <xf numFmtId="8" fontId="31" fillId="30" borderId="8" xfId="0" applyNumberFormat="1" applyFont="1" applyFill="1" applyBorder="1" applyAlignment="1">
      <alignment vertical="center" wrapText="1"/>
    </xf>
    <xf numFmtId="0" fontId="24" fillId="31" borderId="1" xfId="0" applyFont="1" applyFill="1" applyBorder="1" applyAlignment="1">
      <alignment horizontal="center" vertical="center" wrapText="1"/>
    </xf>
    <xf numFmtId="0" fontId="24" fillId="31" borderId="1" xfId="0" applyFont="1" applyFill="1" applyBorder="1" applyAlignment="1">
      <alignment horizontal="left" vertical="center" wrapText="1"/>
    </xf>
    <xf numFmtId="0" fontId="24" fillId="31" borderId="1" xfId="0" applyFont="1" applyFill="1" applyBorder="1" applyAlignment="1">
      <alignment vertical="center" wrapText="1"/>
    </xf>
    <xf numFmtId="43" fontId="24" fillId="31" borderId="1" xfId="1" applyFont="1" applyFill="1" applyBorder="1" applyAlignment="1">
      <alignment vertical="center" wrapText="1"/>
    </xf>
    <xf numFmtId="0" fontId="24" fillId="31" borderId="6" xfId="0" applyFont="1" applyFill="1" applyBorder="1" applyAlignment="1">
      <alignment vertical="center" wrapText="1"/>
    </xf>
    <xf numFmtId="0" fontId="1" fillId="0" borderId="1" xfId="0" applyFont="1" applyFill="1" applyBorder="1" applyAlignment="1">
      <alignment horizontal="left" vertical="center" wrapText="1"/>
    </xf>
    <xf numFmtId="0" fontId="32" fillId="25" borderId="11" xfId="0" applyFont="1" applyFill="1" applyBorder="1" applyAlignment="1">
      <alignment horizontal="left" vertical="center" wrapText="1"/>
    </xf>
    <xf numFmtId="0" fontId="25" fillId="25" borderId="1" xfId="0" applyFont="1" applyFill="1" applyBorder="1" applyAlignment="1">
      <alignment horizontal="left" vertical="center" wrapText="1"/>
    </xf>
    <xf numFmtId="0" fontId="1" fillId="0" borderId="0" xfId="0" applyFont="1" applyFill="1" applyAlignment="1">
      <alignment horizontal="left" vertical="center" wrapText="1"/>
    </xf>
    <xf numFmtId="49" fontId="3" fillId="18" borderId="1" xfId="0" applyNumberFormat="1" applyFont="1" applyFill="1" applyBorder="1" applyAlignment="1">
      <alignment horizontal="center" vertical="center" wrapText="1"/>
    </xf>
    <xf numFmtId="0" fontId="3" fillId="0" borderId="1" xfId="0" applyFont="1" applyFill="1" applyBorder="1" applyAlignment="1">
      <alignment horizontal="left" vertical="center" wrapText="1"/>
    </xf>
    <xf numFmtId="0" fontId="20" fillId="0" borderId="1" xfId="0" applyFont="1" applyBorder="1" applyAlignment="1">
      <alignment horizontal="center" vertical="center" wrapText="1"/>
    </xf>
    <xf numFmtId="49" fontId="2" fillId="2" borderId="1" xfId="0" applyNumberFormat="1" applyFont="1" applyFill="1" applyBorder="1" applyAlignment="1">
      <alignment horizontal="center" vertical="top" wrapText="1"/>
    </xf>
    <xf numFmtId="0" fontId="1" fillId="9" borderId="1" xfId="0" applyFont="1" applyFill="1" applyBorder="1" applyAlignment="1">
      <alignment horizontal="center" vertical="top"/>
    </xf>
    <xf numFmtId="0" fontId="6" fillId="9" borderId="1" xfId="0" applyFont="1" applyFill="1" applyBorder="1" applyAlignment="1">
      <alignment vertical="top" wrapText="1"/>
    </xf>
    <xf numFmtId="49" fontId="1" fillId="10" borderId="1" xfId="0" applyNumberFormat="1" applyFont="1" applyFill="1" applyBorder="1" applyAlignment="1">
      <alignment vertical="center" wrapText="1"/>
    </xf>
    <xf numFmtId="0" fontId="1" fillId="10" borderId="1" xfId="0" applyFont="1" applyFill="1" applyBorder="1" applyAlignment="1">
      <alignment vertical="center" wrapText="1"/>
    </xf>
    <xf numFmtId="0" fontId="14" fillId="0" borderId="1" xfId="0" applyFont="1" applyBorder="1" applyAlignment="1">
      <alignment horizontal="left" vertical="top" wrapText="1"/>
    </xf>
    <xf numFmtId="0" fontId="7" fillId="0" borderId="1" xfId="0" applyFont="1" applyFill="1" applyBorder="1" applyAlignment="1">
      <alignment vertical="top" wrapText="1"/>
    </xf>
    <xf numFmtId="0" fontId="0" fillId="0" borderId="1" xfId="0" applyFill="1" applyBorder="1" applyAlignment="1">
      <alignment vertical="top"/>
    </xf>
    <xf numFmtId="0" fontId="1" fillId="9" borderId="1" xfId="0" applyFont="1" applyFill="1" applyBorder="1" applyAlignment="1">
      <alignment vertical="top"/>
    </xf>
    <xf numFmtId="0" fontId="1" fillId="9" borderId="1" xfId="0" applyFont="1" applyFill="1" applyBorder="1" applyAlignment="1">
      <alignment vertical="top" wrapText="1"/>
    </xf>
    <xf numFmtId="0" fontId="16" fillId="0" borderId="1" xfId="0" applyFont="1" applyFill="1" applyBorder="1"/>
    <xf numFmtId="0" fontId="19" fillId="0" borderId="1" xfId="0" applyFont="1" applyFill="1" applyBorder="1" applyAlignment="1">
      <alignment horizontal="left" vertical="center" wrapText="1"/>
    </xf>
    <xf numFmtId="49" fontId="1" fillId="10" borderId="1" xfId="0" applyNumberFormat="1" applyFont="1" applyFill="1" applyBorder="1" applyAlignment="1">
      <alignment horizontal="center" vertical="center" wrapText="1"/>
    </xf>
    <xf numFmtId="49" fontId="2" fillId="7" borderId="1" xfId="0" applyNumberFormat="1" applyFont="1" applyFill="1" applyBorder="1" applyAlignment="1">
      <alignment horizontal="center" vertical="top" wrapText="1"/>
    </xf>
    <xf numFmtId="0" fontId="1" fillId="20" borderId="1" xfId="0" applyFont="1" applyFill="1" applyBorder="1" applyAlignment="1">
      <alignment vertical="top"/>
    </xf>
    <xf numFmtId="0" fontId="1" fillId="20" borderId="1" xfId="0" applyFont="1" applyFill="1" applyBorder="1" applyAlignment="1">
      <alignment vertical="top" wrapText="1"/>
    </xf>
    <xf numFmtId="0" fontId="1" fillId="21" borderId="1" xfId="0" applyFont="1" applyFill="1" applyBorder="1" applyAlignment="1">
      <alignment vertical="center"/>
    </xf>
    <xf numFmtId="0" fontId="1" fillId="21" borderId="1" xfId="0" applyFont="1" applyFill="1" applyBorder="1" applyAlignment="1">
      <alignment vertical="center" wrapText="1"/>
    </xf>
    <xf numFmtId="0" fontId="4" fillId="0" borderId="1" xfId="0" applyFont="1" applyBorder="1" applyAlignment="1">
      <alignment vertical="top" wrapText="1"/>
    </xf>
    <xf numFmtId="49" fontId="1" fillId="21" borderId="1" xfId="0" applyNumberFormat="1" applyFont="1" applyFill="1" applyBorder="1" applyAlignment="1">
      <alignment vertical="center" wrapText="1"/>
    </xf>
    <xf numFmtId="49" fontId="1" fillId="21"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top" wrapText="1"/>
    </xf>
    <xf numFmtId="0" fontId="1" fillId="11" borderId="1" xfId="0" applyFont="1" applyFill="1" applyBorder="1" applyAlignment="1">
      <alignment horizontal="center" vertical="top"/>
    </xf>
    <xf numFmtId="0" fontId="1" fillId="11" borderId="1" xfId="0" applyFont="1" applyFill="1" applyBorder="1" applyAlignment="1">
      <alignment horizontal="left" vertical="top" wrapText="1"/>
    </xf>
    <xf numFmtId="49" fontId="1" fillId="12" borderId="1" xfId="0" applyNumberFormat="1" applyFont="1" applyFill="1" applyBorder="1" applyAlignment="1">
      <alignment vertical="center" wrapText="1"/>
    </xf>
    <xf numFmtId="0" fontId="1" fillId="12" borderId="1" xfId="0" applyFont="1" applyFill="1" applyBorder="1" applyAlignment="1">
      <alignment vertical="center" wrapText="1"/>
    </xf>
    <xf numFmtId="0" fontId="0" fillId="0" borderId="1" xfId="0" applyFont="1" applyBorder="1" applyAlignment="1">
      <alignment horizontal="left" vertical="top" wrapText="1"/>
    </xf>
    <xf numFmtId="49" fontId="2" fillId="4" borderId="1" xfId="0" applyNumberFormat="1" applyFont="1" applyFill="1" applyBorder="1" applyAlignment="1">
      <alignment horizontal="center" vertical="top" wrapText="1"/>
    </xf>
    <xf numFmtId="0" fontId="1" fillId="14" borderId="1" xfId="0" applyFont="1" applyFill="1" applyBorder="1" applyAlignment="1">
      <alignment horizontal="center" vertical="top"/>
    </xf>
    <xf numFmtId="0" fontId="1" fillId="14" borderId="1" xfId="0" applyFont="1" applyFill="1" applyBorder="1" applyAlignment="1">
      <alignment horizontal="left" vertical="top" wrapText="1"/>
    </xf>
    <xf numFmtId="49" fontId="1" fillId="13" borderId="1" xfId="0" applyNumberFormat="1" applyFont="1" applyFill="1" applyBorder="1" applyAlignment="1">
      <alignment horizontal="center" vertical="center" wrapText="1"/>
    </xf>
    <xf numFmtId="0" fontId="1" fillId="13" borderId="1" xfId="0" applyFont="1" applyFill="1" applyBorder="1" applyAlignment="1">
      <alignment vertical="center" wrapText="1"/>
    </xf>
    <xf numFmtId="0" fontId="1" fillId="14" borderId="1" xfId="0" applyFont="1" applyFill="1" applyBorder="1" applyAlignment="1">
      <alignment vertical="top"/>
    </xf>
    <xf numFmtId="0" fontId="1" fillId="14" borderId="1" xfId="0" applyFont="1" applyFill="1" applyBorder="1" applyAlignment="1">
      <alignment vertical="top" wrapText="1"/>
    </xf>
    <xf numFmtId="49" fontId="1" fillId="13" borderId="1" xfId="0" applyNumberFormat="1" applyFont="1" applyFill="1" applyBorder="1" applyAlignment="1">
      <alignment vertical="center" wrapText="1"/>
    </xf>
    <xf numFmtId="49" fontId="2" fillId="5" borderId="1" xfId="0" applyNumberFormat="1" applyFont="1" applyFill="1" applyBorder="1" applyAlignment="1">
      <alignment horizontal="center" vertical="top" wrapText="1"/>
    </xf>
    <xf numFmtId="0" fontId="1" fillId="15" borderId="1" xfId="0" applyFont="1" applyFill="1" applyBorder="1" applyAlignment="1">
      <alignment vertical="top"/>
    </xf>
    <xf numFmtId="0" fontId="1" fillId="15" borderId="1" xfId="0" applyFont="1" applyFill="1" applyBorder="1" applyAlignment="1">
      <alignment vertical="top" wrapText="1"/>
    </xf>
    <xf numFmtId="49" fontId="1" fillId="16" borderId="1" xfId="0" applyNumberFormat="1" applyFont="1" applyFill="1" applyBorder="1" applyAlignment="1">
      <alignment vertical="center" wrapText="1"/>
    </xf>
    <xf numFmtId="0" fontId="4" fillId="16" borderId="1" xfId="0" applyFont="1" applyFill="1" applyBorder="1" applyAlignment="1">
      <alignment vertical="center" wrapText="1"/>
    </xf>
    <xf numFmtId="0" fontId="1" fillId="15" borderId="1" xfId="0" applyFont="1" applyFill="1" applyBorder="1" applyAlignment="1">
      <alignment horizontal="center" vertical="top"/>
    </xf>
    <xf numFmtId="0" fontId="1" fillId="16" borderId="1" xfId="0" applyFont="1" applyFill="1" applyBorder="1" applyAlignment="1">
      <alignment vertical="center" wrapText="1"/>
    </xf>
    <xf numFmtId="0" fontId="4" fillId="24" borderId="1" xfId="0" applyFont="1" applyFill="1" applyBorder="1" applyAlignment="1">
      <alignment horizontal="left" vertical="top" wrapText="1"/>
    </xf>
    <xf numFmtId="0" fontId="22" fillId="0" borderId="1" xfId="0" applyFont="1" applyBorder="1" applyAlignment="1">
      <alignment vertical="top" wrapText="1"/>
    </xf>
    <xf numFmtId="0" fontId="1" fillId="16" borderId="1" xfId="0" applyFont="1" applyFill="1" applyBorder="1" applyAlignment="1">
      <alignment vertical="center"/>
    </xf>
    <xf numFmtId="0" fontId="23" fillId="0" borderId="1" xfId="0" applyFont="1" applyBorder="1" applyAlignment="1">
      <alignment vertical="top" wrapText="1"/>
    </xf>
    <xf numFmtId="0" fontId="7" fillId="0" borderId="1" xfId="0" applyFont="1" applyBorder="1" applyAlignment="1">
      <alignment wrapText="1"/>
    </xf>
    <xf numFmtId="0" fontId="1" fillId="15" borderId="1" xfId="0" applyFont="1" applyFill="1" applyBorder="1" applyAlignment="1">
      <alignment horizontal="center" vertical="top" wrapText="1"/>
    </xf>
    <xf numFmtId="49" fontId="2" fillId="6" borderId="1" xfId="0" applyNumberFormat="1" applyFont="1" applyFill="1" applyBorder="1" applyAlignment="1">
      <alignment horizontal="center" vertical="top" wrapText="1"/>
    </xf>
    <xf numFmtId="0" fontId="1" fillId="18" borderId="1" xfId="0" applyFont="1" applyFill="1" applyBorder="1" applyAlignment="1">
      <alignment vertical="top"/>
    </xf>
    <xf numFmtId="0" fontId="1" fillId="18" borderId="1" xfId="0" applyFont="1" applyFill="1" applyBorder="1" applyAlignment="1">
      <alignment vertical="top" wrapText="1"/>
    </xf>
    <xf numFmtId="49" fontId="1" fillId="17" borderId="1" xfId="0" applyNumberFormat="1" applyFont="1" applyFill="1" applyBorder="1" applyAlignment="1">
      <alignment vertical="center" wrapText="1"/>
    </xf>
    <xf numFmtId="0" fontId="1" fillId="17" borderId="1" xfId="0" applyFont="1" applyFill="1" applyBorder="1" applyAlignment="1">
      <alignment vertical="center" wrapText="1"/>
    </xf>
    <xf numFmtId="0" fontId="16" fillId="0" borderId="1" xfId="0" applyFont="1" applyBorder="1"/>
    <xf numFmtId="0" fontId="4" fillId="17" borderId="1" xfId="0" applyFont="1" applyFill="1" applyBorder="1" applyAlignment="1">
      <alignment vertical="center" wrapText="1"/>
    </xf>
    <xf numFmtId="0" fontId="6" fillId="17" borderId="1" xfId="0" applyFont="1" applyFill="1" applyBorder="1" applyAlignment="1">
      <alignment vertical="center" wrapText="1"/>
    </xf>
    <xf numFmtId="0" fontId="1" fillId="17" borderId="1" xfId="0" applyFont="1" applyFill="1" applyBorder="1" applyAlignment="1">
      <alignment vertical="center"/>
    </xf>
    <xf numFmtId="0" fontId="7" fillId="17" borderId="1" xfId="0" applyFont="1" applyFill="1" applyBorder="1" applyAlignment="1">
      <alignment vertical="center" wrapText="1"/>
    </xf>
    <xf numFmtId="49" fontId="1" fillId="17" borderId="1" xfId="0" applyNumberFormat="1" applyFont="1" applyFill="1" applyBorder="1" applyAlignment="1">
      <alignment horizontal="center" vertical="center" wrapText="1"/>
    </xf>
    <xf numFmtId="0" fontId="1" fillId="17" borderId="1" xfId="0" applyFont="1" applyFill="1" applyBorder="1" applyAlignment="1">
      <alignment horizontal="left" vertical="center" wrapText="1"/>
    </xf>
    <xf numFmtId="0" fontId="5" fillId="8" borderId="1" xfId="0" applyFont="1" applyFill="1" applyBorder="1" applyAlignment="1">
      <alignment horizontal="center" vertical="top" wrapText="1"/>
    </xf>
    <xf numFmtId="0" fontId="1" fillId="19" borderId="1" xfId="0" applyFont="1" applyFill="1" applyBorder="1" applyAlignment="1">
      <alignment vertical="top"/>
    </xf>
    <xf numFmtId="0" fontId="1" fillId="19" borderId="1" xfId="0" applyFont="1" applyFill="1" applyBorder="1" applyAlignment="1">
      <alignment vertical="top" wrapText="1"/>
    </xf>
    <xf numFmtId="0" fontId="1" fillId="23" borderId="1" xfId="0" applyFont="1" applyFill="1" applyBorder="1" applyAlignment="1">
      <alignment vertical="center" wrapText="1"/>
    </xf>
    <xf numFmtId="0" fontId="1" fillId="22" borderId="1" xfId="0" applyFont="1" applyFill="1" applyBorder="1" applyAlignment="1">
      <alignment vertical="top" wrapText="1"/>
    </xf>
    <xf numFmtId="0" fontId="1" fillId="23" borderId="1" xfId="0" applyFont="1" applyFill="1" applyBorder="1" applyAlignment="1">
      <alignment horizontal="center" vertical="center" wrapText="1"/>
    </xf>
    <xf numFmtId="0" fontId="1" fillId="23" borderId="1" xfId="0" applyFont="1" applyFill="1" applyBorder="1" applyAlignment="1">
      <alignment horizontal="left" vertical="center" wrapText="1"/>
    </xf>
    <xf numFmtId="0" fontId="13" fillId="24" borderId="0" xfId="0" applyFont="1" applyFill="1"/>
    <xf numFmtId="0" fontId="2" fillId="0" borderId="12" xfId="0" applyFont="1" applyBorder="1" applyAlignment="1">
      <alignment horizontal="center" vertical="top"/>
    </xf>
    <xf numFmtId="0" fontId="2" fillId="0" borderId="13" xfId="0" applyFont="1" applyBorder="1" applyAlignment="1">
      <alignment horizontal="center" vertical="top"/>
    </xf>
    <xf numFmtId="0" fontId="2" fillId="0" borderId="14" xfId="0" applyFont="1" applyBorder="1" applyAlignment="1">
      <alignment horizontal="center" vertical="top"/>
    </xf>
    <xf numFmtId="0" fontId="1" fillId="0" borderId="0" xfId="0" applyFont="1"/>
    <xf numFmtId="0" fontId="36" fillId="18" borderId="15" xfId="0" applyFont="1" applyFill="1" applyBorder="1" applyAlignment="1">
      <alignment horizontal="center" vertical="center" wrapText="1"/>
    </xf>
    <xf numFmtId="0" fontId="36" fillId="18" borderId="16" xfId="0" applyFont="1" applyFill="1" applyBorder="1" applyAlignment="1">
      <alignment horizontal="center" vertical="center" wrapText="1"/>
    </xf>
    <xf numFmtId="0" fontId="36" fillId="18" borderId="16" xfId="0" applyFont="1" applyFill="1" applyBorder="1" applyAlignment="1">
      <alignment horizontal="left" vertical="center" wrapText="1"/>
    </xf>
    <xf numFmtId="0" fontId="36" fillId="18" borderId="16" xfId="0" applyFont="1" applyFill="1" applyBorder="1" applyAlignment="1">
      <alignment vertical="center" wrapText="1"/>
    </xf>
    <xf numFmtId="0" fontId="36" fillId="18" borderId="16" xfId="0" applyFont="1" applyFill="1" applyBorder="1" applyAlignment="1">
      <alignment vertical="top" wrapText="1"/>
    </xf>
    <xf numFmtId="0" fontId="36" fillId="18" borderId="16" xfId="0" applyFont="1" applyFill="1" applyBorder="1" applyAlignment="1">
      <alignment vertical="top"/>
    </xf>
    <xf numFmtId="0" fontId="36" fillId="18" borderId="17" xfId="0" applyFont="1" applyFill="1" applyBorder="1" applyAlignment="1">
      <alignment vertical="top" wrapText="1"/>
    </xf>
    <xf numFmtId="0" fontId="37" fillId="0" borderId="0" xfId="0" applyFont="1"/>
    <xf numFmtId="0" fontId="24" fillId="9" borderId="18" xfId="0" applyFont="1" applyFill="1" applyBorder="1" applyAlignment="1">
      <alignment horizontal="center" vertical="center" wrapText="1"/>
    </xf>
    <xf numFmtId="0" fontId="24" fillId="9" borderId="9" xfId="0" applyFont="1" applyFill="1" applyBorder="1" applyAlignment="1">
      <alignment horizontal="center" vertical="center" wrapText="1"/>
    </xf>
    <xf numFmtId="0" fontId="24" fillId="9" borderId="9" xfId="0" applyFont="1" applyFill="1" applyBorder="1" applyAlignment="1">
      <alignment horizontal="left" vertical="center" wrapText="1"/>
    </xf>
    <xf numFmtId="0" fontId="24" fillId="9" borderId="9" xfId="0" applyFont="1" applyFill="1" applyBorder="1" applyAlignment="1">
      <alignment vertical="center" wrapText="1"/>
    </xf>
    <xf numFmtId="43" fontId="24" fillId="9" borderId="9" xfId="1" applyFont="1" applyFill="1" applyBorder="1" applyAlignment="1">
      <alignment vertical="center" wrapText="1"/>
    </xf>
    <xf numFmtId="0" fontId="29" fillId="9" borderId="19" xfId="0" applyFont="1" applyFill="1" applyBorder="1" applyAlignment="1">
      <alignment horizontal="center" vertical="center"/>
    </xf>
    <xf numFmtId="0" fontId="35" fillId="0" borderId="0" xfId="0" applyFont="1"/>
    <xf numFmtId="0" fontId="24" fillId="9" borderId="5"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24" fillId="9" borderId="1" xfId="0" applyFont="1" applyFill="1" applyBorder="1" applyAlignment="1">
      <alignment horizontal="left" vertical="center" wrapText="1"/>
    </xf>
    <xf numFmtId="0" fontId="24" fillId="9" borderId="1" xfId="0" applyFont="1" applyFill="1" applyBorder="1" applyAlignment="1">
      <alignment vertical="center" wrapText="1"/>
    </xf>
    <xf numFmtId="43" fontId="24" fillId="9" borderId="1" xfId="1" applyFont="1" applyFill="1" applyBorder="1" applyAlignment="1">
      <alignment vertical="center" wrapText="1"/>
    </xf>
    <xf numFmtId="0" fontId="29" fillId="9" borderId="6" xfId="0" applyFont="1" applyFill="1" applyBorder="1" applyAlignment="1">
      <alignment horizontal="center" vertical="center"/>
    </xf>
    <xf numFmtId="0" fontId="24" fillId="9" borderId="1" xfId="0" applyFont="1" applyFill="1" applyBorder="1" applyAlignment="1">
      <alignment horizontal="left" vertical="top" wrapText="1"/>
    </xf>
    <xf numFmtId="0" fontId="38" fillId="9" borderId="1" xfId="0" applyFont="1" applyFill="1" applyBorder="1" applyAlignment="1">
      <alignment horizontal="left" vertical="center" wrapText="1"/>
    </xf>
    <xf numFmtId="0" fontId="24" fillId="9" borderId="6" xfId="0" applyFont="1" applyFill="1" applyBorder="1"/>
    <xf numFmtId="0" fontId="24" fillId="19" borderId="5" xfId="0" applyFont="1" applyFill="1" applyBorder="1" applyAlignment="1">
      <alignment vertical="center" wrapText="1"/>
    </xf>
    <xf numFmtId="0" fontId="24" fillId="19" borderId="1" xfId="0" applyFont="1" applyFill="1" applyBorder="1" applyAlignment="1">
      <alignment vertical="center" wrapText="1"/>
    </xf>
    <xf numFmtId="43" fontId="24" fillId="19" borderId="1" xfId="1" applyFont="1" applyFill="1" applyBorder="1" applyAlignment="1">
      <alignment vertical="center" wrapText="1"/>
    </xf>
    <xf numFmtId="0" fontId="29" fillId="19" borderId="6" xfId="0" applyFont="1" applyFill="1" applyBorder="1" applyAlignment="1">
      <alignment horizontal="center" vertical="center"/>
    </xf>
    <xf numFmtId="0" fontId="29" fillId="3" borderId="6" xfId="0" applyFont="1" applyFill="1" applyBorder="1" applyAlignment="1">
      <alignment horizontal="center" vertical="center"/>
    </xf>
    <xf numFmtId="8" fontId="24" fillId="3" borderId="1" xfId="0" applyNumberFormat="1" applyFont="1" applyFill="1" applyBorder="1" applyAlignment="1">
      <alignment horizontal="center" vertical="center"/>
    </xf>
    <xf numFmtId="43" fontId="24" fillId="3" borderId="1" xfId="1" applyFont="1" applyFill="1" applyBorder="1" applyAlignment="1">
      <alignment horizontal="center" vertical="center"/>
    </xf>
    <xf numFmtId="8" fontId="24" fillId="3" borderId="1" xfId="0" applyNumberFormat="1" applyFont="1" applyFill="1" applyBorder="1" applyAlignment="1">
      <alignment horizontal="center" vertical="center" wrapText="1"/>
    </xf>
    <xf numFmtId="0" fontId="24" fillId="13" borderId="5" xfId="0" applyFont="1" applyFill="1" applyBorder="1" applyAlignment="1">
      <alignment vertical="center" wrapText="1"/>
    </xf>
    <xf numFmtId="0" fontId="24" fillId="13" borderId="1" xfId="0" applyFont="1" applyFill="1" applyBorder="1" applyAlignment="1">
      <alignment vertical="center" wrapText="1"/>
    </xf>
    <xf numFmtId="8" fontId="24" fillId="13" borderId="1" xfId="0" applyNumberFormat="1" applyFont="1" applyFill="1" applyBorder="1" applyAlignment="1">
      <alignment vertical="center"/>
    </xf>
    <xf numFmtId="8" fontId="24" fillId="13" borderId="1" xfId="0" applyNumberFormat="1" applyFont="1" applyFill="1" applyBorder="1" applyAlignment="1">
      <alignment vertical="center" wrapText="1"/>
    </xf>
    <xf numFmtId="43" fontId="24" fillId="13" borderId="1" xfId="1" applyFont="1" applyFill="1" applyBorder="1" applyAlignment="1">
      <alignment vertical="center"/>
    </xf>
    <xf numFmtId="0" fontId="29" fillId="13" borderId="6" xfId="0" applyFont="1" applyFill="1" applyBorder="1" applyAlignment="1">
      <alignment horizontal="center" vertical="center"/>
    </xf>
    <xf numFmtId="43" fontId="24" fillId="13" borderId="1" xfId="1" applyFont="1" applyFill="1" applyBorder="1" applyAlignment="1">
      <alignment vertical="center" wrapText="1"/>
    </xf>
    <xf numFmtId="0" fontId="24" fillId="16" borderId="5" xfId="0" applyFont="1" applyFill="1" applyBorder="1" applyAlignment="1">
      <alignment vertical="center" wrapText="1"/>
    </xf>
    <xf numFmtId="0" fontId="24" fillId="16" borderId="1" xfId="0" applyFont="1" applyFill="1" applyBorder="1" applyAlignment="1">
      <alignment vertical="center" wrapText="1"/>
    </xf>
    <xf numFmtId="8" fontId="24" fillId="16" borderId="1" xfId="0" applyNumberFormat="1" applyFont="1" applyFill="1" applyBorder="1" applyAlignment="1">
      <alignment vertical="center"/>
    </xf>
    <xf numFmtId="8" fontId="24" fillId="16" borderId="1" xfId="0" applyNumberFormat="1" applyFont="1" applyFill="1" applyBorder="1" applyAlignment="1">
      <alignment vertical="center" wrapText="1"/>
    </xf>
    <xf numFmtId="43" fontId="24" fillId="16" borderId="1" xfId="1" applyFont="1" applyFill="1" applyBorder="1" applyAlignment="1">
      <alignment vertical="center"/>
    </xf>
    <xf numFmtId="0" fontId="29" fillId="16" borderId="6" xfId="0" applyFont="1" applyFill="1" applyBorder="1" applyAlignment="1">
      <alignment horizontal="center" vertical="center"/>
    </xf>
    <xf numFmtId="0" fontId="24" fillId="32" borderId="5" xfId="0" applyFont="1" applyFill="1" applyBorder="1" applyAlignment="1">
      <alignment vertical="center" wrapText="1"/>
    </xf>
    <xf numFmtId="0" fontId="24" fillId="32" borderId="1" xfId="0" applyFont="1" applyFill="1" applyBorder="1" applyAlignment="1">
      <alignment vertical="center" wrapText="1"/>
    </xf>
    <xf numFmtId="8" fontId="24" fillId="32" borderId="1" xfId="0" applyNumberFormat="1" applyFont="1" applyFill="1" applyBorder="1" applyAlignment="1">
      <alignment vertical="center"/>
    </xf>
    <xf numFmtId="8" fontId="24" fillId="32" borderId="1" xfId="0" applyNumberFormat="1" applyFont="1" applyFill="1" applyBorder="1" applyAlignment="1">
      <alignment vertical="center" wrapText="1"/>
    </xf>
    <xf numFmtId="43" fontId="24" fillId="32" borderId="1" xfId="1" applyFont="1" applyFill="1" applyBorder="1" applyAlignment="1">
      <alignment vertical="center"/>
    </xf>
    <xf numFmtId="0" fontId="29" fillId="32" borderId="6" xfId="0" applyFont="1" applyFill="1" applyBorder="1" applyAlignment="1">
      <alignment horizontal="center" vertical="center"/>
    </xf>
    <xf numFmtId="43" fontId="24" fillId="32" borderId="1" xfId="1" applyFont="1" applyFill="1" applyBorder="1" applyAlignment="1">
      <alignment vertical="center" wrapText="1"/>
    </xf>
    <xf numFmtId="0" fontId="24" fillId="33" borderId="5" xfId="0" applyFont="1" applyFill="1" applyBorder="1" applyAlignment="1">
      <alignment vertical="center" wrapText="1"/>
    </xf>
    <xf numFmtId="0" fontId="24" fillId="33" borderId="1" xfId="0" applyFont="1" applyFill="1" applyBorder="1" applyAlignment="1">
      <alignment vertical="center" wrapText="1"/>
    </xf>
    <xf numFmtId="8" fontId="24" fillId="33" borderId="1" xfId="0" applyNumberFormat="1" applyFont="1" applyFill="1" applyBorder="1" applyAlignment="1">
      <alignment vertical="center"/>
    </xf>
    <xf numFmtId="8" fontId="24" fillId="33" borderId="1" xfId="0" applyNumberFormat="1" applyFont="1" applyFill="1" applyBorder="1" applyAlignment="1">
      <alignment vertical="center" wrapText="1"/>
    </xf>
    <xf numFmtId="43" fontId="24" fillId="33" borderId="1" xfId="1" applyFont="1" applyFill="1" applyBorder="1" applyAlignment="1">
      <alignment vertical="center"/>
    </xf>
    <xf numFmtId="0" fontId="29" fillId="33" borderId="6" xfId="0" applyFont="1" applyFill="1" applyBorder="1" applyAlignment="1">
      <alignment horizontal="center" vertical="center"/>
    </xf>
    <xf numFmtId="0" fontId="24" fillId="33" borderId="1" xfId="0" applyFont="1" applyFill="1" applyBorder="1" applyAlignment="1">
      <alignment horizontal="center" vertical="center" wrapText="1"/>
    </xf>
    <xf numFmtId="0" fontId="24" fillId="33" borderId="1" xfId="0" applyFont="1" applyFill="1" applyBorder="1" applyAlignment="1">
      <alignment horizontal="left" vertical="center" wrapText="1"/>
    </xf>
    <xf numFmtId="43" fontId="24" fillId="33" borderId="1" xfId="1" applyFont="1" applyFill="1" applyBorder="1" applyAlignment="1">
      <alignment vertical="center" wrapText="1"/>
    </xf>
    <xf numFmtId="0" fontId="24" fillId="33" borderId="20" xfId="0" applyFont="1" applyFill="1" applyBorder="1" applyAlignment="1">
      <alignment vertical="center" wrapText="1"/>
    </xf>
    <xf numFmtId="0" fontId="24" fillId="33" borderId="7" xfId="0" applyFont="1" applyFill="1" applyBorder="1" applyAlignment="1">
      <alignment vertical="center" wrapText="1"/>
    </xf>
    <xf numFmtId="8" fontId="24" fillId="33" borderId="7" xfId="0" applyNumberFormat="1" applyFont="1" applyFill="1" applyBorder="1" applyAlignment="1">
      <alignment vertical="center"/>
    </xf>
    <xf numFmtId="8" fontId="24" fillId="33" borderId="7" xfId="0" applyNumberFormat="1" applyFont="1" applyFill="1" applyBorder="1" applyAlignment="1">
      <alignment vertical="center" wrapText="1"/>
    </xf>
    <xf numFmtId="43" fontId="24" fillId="33" borderId="7" xfId="1" applyFont="1" applyFill="1" applyBorder="1" applyAlignment="1">
      <alignment vertical="center"/>
    </xf>
    <xf numFmtId="0" fontId="29" fillId="33" borderId="8" xfId="0" applyFont="1" applyFill="1" applyBorder="1" applyAlignment="1">
      <alignment horizontal="center" vertical="center"/>
    </xf>
  </cellXfs>
  <cellStyles count="2">
    <cellStyle name="Coma" xfId="1" builtinId="3"/>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0RRevisions\Pla%20Estrategic%20ENP_v2024_Revisi&#243;%20Objectius%20Operatius.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Pla%20Estrategic%20ENP_v2024_Secans%20de%20mas%20de%20Melons%20Alf&#233;s_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Models\Programa%20actuacions\Model%20Programa%20actuacions%20del%20Pla%20Estrategic%20ENP_finalUI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sheetName val="Resums"/>
      <sheetName val="Revisió"/>
      <sheetName val="Llistes"/>
      <sheetName val="Full1"/>
      <sheetName val="Taxonomia Amenaces"/>
    </sheetNames>
    <sheetDataSet>
      <sheetData sheetId="0"/>
      <sheetData sheetId="1"/>
      <sheetData sheetId="2"/>
      <sheetData sheetId="3"/>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listes"/>
      <sheetName val="Full1"/>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s"/>
      <sheetName val="PROGRAMA ANUAL"/>
      <sheetName val="PLA ESTRATÈGIC"/>
      <sheetName val="Llistes"/>
      <sheetName val="Gestor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workbookViewId="0">
      <selection activeCell="B4" sqref="B4"/>
    </sheetView>
  </sheetViews>
  <sheetFormatPr defaultRowHeight="14.5"/>
  <cols>
    <col min="1" max="1" width="19.453125" style="47" customWidth="1"/>
    <col min="2" max="2" width="95.7265625" style="47" customWidth="1"/>
  </cols>
  <sheetData>
    <row r="2" spans="1:2" ht="29">
      <c r="A2" s="48" t="s">
        <v>0</v>
      </c>
      <c r="B2" s="49" t="s">
        <v>1</v>
      </c>
    </row>
    <row r="3" spans="1:2" ht="29">
      <c r="A3" s="48" t="s">
        <v>2</v>
      </c>
      <c r="B3" s="49" t="s">
        <v>3</v>
      </c>
    </row>
    <row r="4" spans="1:2">
      <c r="A4" s="48" t="s">
        <v>4</v>
      </c>
      <c r="B4" s="49" t="s">
        <v>5</v>
      </c>
    </row>
    <row r="5" spans="1:2">
      <c r="A5" s="48" t="s">
        <v>6</v>
      </c>
      <c r="B5" s="49" t="s">
        <v>7</v>
      </c>
    </row>
    <row r="6" spans="1:2">
      <c r="A6" s="48" t="s">
        <v>8</v>
      </c>
      <c r="B6" s="49" t="s">
        <v>9</v>
      </c>
    </row>
    <row r="7" spans="1:2" ht="29">
      <c r="A7" s="48" t="s">
        <v>10</v>
      </c>
      <c r="B7" s="49" t="s">
        <v>11</v>
      </c>
    </row>
    <row r="8" spans="1:2" ht="29">
      <c r="A8" s="48" t="s">
        <v>12</v>
      </c>
      <c r="B8" s="49" t="s">
        <v>13</v>
      </c>
    </row>
    <row r="9" spans="1:2">
      <c r="A9" s="48" t="s">
        <v>14</v>
      </c>
      <c r="B9" s="49" t="s">
        <v>15</v>
      </c>
    </row>
    <row r="10" spans="1:2">
      <c r="A10" s="48" t="s">
        <v>16</v>
      </c>
      <c r="B10" s="49" t="s">
        <v>17</v>
      </c>
    </row>
    <row r="11" spans="1:2" ht="58">
      <c r="A11" s="48" t="s">
        <v>18</v>
      </c>
      <c r="B11" s="49" t="s">
        <v>19</v>
      </c>
    </row>
    <row r="14" spans="1:2" ht="87">
      <c r="A14" s="50" t="s">
        <v>20</v>
      </c>
      <c r="B14" s="49"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N74"/>
  <sheetViews>
    <sheetView tabSelected="1" workbookViewId="0"/>
  </sheetViews>
  <sheetFormatPr defaultRowHeight="14.5"/>
  <cols>
    <col min="1" max="1" width="12.1796875" style="264" customWidth="1"/>
    <col min="2" max="2" width="8.7265625" style="264"/>
    <col min="3" max="3" width="38.1796875" style="264" customWidth="1"/>
    <col min="4" max="4" width="27.26953125" style="264" customWidth="1"/>
    <col min="5" max="5" width="31.1796875" style="264" customWidth="1"/>
    <col min="6" max="6" width="20.26953125" style="84" customWidth="1"/>
    <col min="7" max="7" width="26.54296875" style="264" customWidth="1"/>
    <col min="8" max="8" width="8.7265625" style="264"/>
    <col min="9" max="9" width="38.26953125" style="264" customWidth="1"/>
    <col min="10" max="10" width="12.1796875" style="264" customWidth="1"/>
    <col min="11" max="11" width="23" style="264" customWidth="1"/>
    <col min="12" max="12" width="26.7265625" style="264" customWidth="1"/>
    <col min="13" max="13" width="23" style="264" customWidth="1"/>
    <col min="14" max="14" width="22.54296875" style="264" customWidth="1"/>
    <col min="15" max="16384" width="8.7265625" style="264"/>
  </cols>
  <sheetData>
    <row r="1" spans="1:14" s="272" customFormat="1" ht="39.5" thickBot="1">
      <c r="A1" s="265" t="s">
        <v>38</v>
      </c>
      <c r="B1" s="266" t="s">
        <v>1340</v>
      </c>
      <c r="C1" s="266" t="s">
        <v>40</v>
      </c>
      <c r="D1" s="267" t="s">
        <v>41</v>
      </c>
      <c r="E1" s="267" t="s">
        <v>42</v>
      </c>
      <c r="F1" s="268" t="s">
        <v>43</v>
      </c>
      <c r="G1" s="267" t="s">
        <v>22</v>
      </c>
      <c r="H1" s="269" t="s">
        <v>44</v>
      </c>
      <c r="I1" s="267" t="s">
        <v>45</v>
      </c>
      <c r="J1" s="270" t="s">
        <v>1341</v>
      </c>
      <c r="K1" s="269" t="s">
        <v>47</v>
      </c>
      <c r="L1" s="269" t="s">
        <v>48</v>
      </c>
      <c r="M1" s="269" t="s">
        <v>1326</v>
      </c>
      <c r="N1" s="271" t="s">
        <v>1327</v>
      </c>
    </row>
    <row r="2" spans="1:14" s="279" customFormat="1" ht="12">
      <c r="A2" s="273" t="s">
        <v>1226</v>
      </c>
      <c r="B2" s="274"/>
      <c r="C2" s="275" t="s">
        <v>50</v>
      </c>
      <c r="D2" s="275" t="s">
        <v>51</v>
      </c>
      <c r="E2" s="276" t="s">
        <v>52</v>
      </c>
      <c r="F2" s="276" t="s">
        <v>53</v>
      </c>
      <c r="G2" s="276"/>
      <c r="H2" s="276"/>
      <c r="I2" s="276" t="s">
        <v>54</v>
      </c>
      <c r="J2" s="277"/>
      <c r="K2" s="276"/>
      <c r="L2" s="275" t="s">
        <v>55</v>
      </c>
      <c r="M2" s="276" t="s">
        <v>1328</v>
      </c>
      <c r="N2" s="278"/>
    </row>
    <row r="3" spans="1:14" s="279" customFormat="1" ht="36">
      <c r="A3" s="280" t="s">
        <v>1230</v>
      </c>
      <c r="B3" s="281"/>
      <c r="C3" s="282" t="s">
        <v>61</v>
      </c>
      <c r="D3" s="282" t="s">
        <v>62</v>
      </c>
      <c r="E3" s="283"/>
      <c r="F3" s="283" t="s">
        <v>53</v>
      </c>
      <c r="G3" s="283"/>
      <c r="H3" s="283"/>
      <c r="I3" s="283" t="s">
        <v>54</v>
      </c>
      <c r="J3" s="284"/>
      <c r="K3" s="283"/>
      <c r="L3" s="283" t="s">
        <v>59</v>
      </c>
      <c r="M3" s="283" t="s">
        <v>1328</v>
      </c>
      <c r="N3" s="285"/>
    </row>
    <row r="4" spans="1:14" s="279" customFormat="1" ht="24">
      <c r="A4" s="280" t="s">
        <v>1231</v>
      </c>
      <c r="B4" s="281"/>
      <c r="C4" s="282" t="s">
        <v>64</v>
      </c>
      <c r="D4" s="282" t="s">
        <v>65</v>
      </c>
      <c r="E4" s="283" t="s">
        <v>66</v>
      </c>
      <c r="F4" s="283" t="s">
        <v>53</v>
      </c>
      <c r="G4" s="283"/>
      <c r="H4" s="283"/>
      <c r="I4" s="283" t="s">
        <v>67</v>
      </c>
      <c r="J4" s="284"/>
      <c r="K4" s="283"/>
      <c r="L4" s="283" t="s">
        <v>59</v>
      </c>
      <c r="M4" s="283" t="s">
        <v>1328</v>
      </c>
      <c r="N4" s="285" t="s">
        <v>1228</v>
      </c>
    </row>
    <row r="5" spans="1:14" s="279" customFormat="1" ht="36">
      <c r="A5" s="280" t="s">
        <v>1232</v>
      </c>
      <c r="B5" s="281"/>
      <c r="C5" s="282" t="s">
        <v>1229</v>
      </c>
      <c r="D5" s="282" t="s">
        <v>65</v>
      </c>
      <c r="E5" s="283" t="s">
        <v>70</v>
      </c>
      <c r="F5" s="283" t="s">
        <v>53</v>
      </c>
      <c r="G5" s="283" t="s">
        <v>28</v>
      </c>
      <c r="H5" s="283"/>
      <c r="I5" s="283" t="s">
        <v>67</v>
      </c>
      <c r="J5" s="284">
        <v>8000</v>
      </c>
      <c r="K5" s="283"/>
      <c r="L5" s="283" t="s">
        <v>1322</v>
      </c>
      <c r="M5" s="283" t="s">
        <v>1328</v>
      </c>
      <c r="N5" s="285"/>
    </row>
    <row r="6" spans="1:14" s="279" customFormat="1" ht="36">
      <c r="A6" s="280" t="s">
        <v>1233</v>
      </c>
      <c r="B6" s="281"/>
      <c r="C6" s="286" t="s">
        <v>72</v>
      </c>
      <c r="D6" s="282" t="s">
        <v>65</v>
      </c>
      <c r="E6" s="283" t="s">
        <v>73</v>
      </c>
      <c r="F6" s="283" t="s">
        <v>53</v>
      </c>
      <c r="G6" s="283" t="s">
        <v>29</v>
      </c>
      <c r="H6" s="283"/>
      <c r="I6" s="283" t="s">
        <v>74</v>
      </c>
      <c r="J6" s="284"/>
      <c r="K6" s="283"/>
      <c r="L6" s="283" t="s">
        <v>75</v>
      </c>
      <c r="M6" s="283" t="s">
        <v>1328</v>
      </c>
      <c r="N6" s="285"/>
    </row>
    <row r="7" spans="1:14" s="279" customFormat="1" ht="24">
      <c r="A7" s="280" t="s">
        <v>1234</v>
      </c>
      <c r="B7" s="281"/>
      <c r="C7" s="282" t="s">
        <v>77</v>
      </c>
      <c r="D7" s="282" t="s">
        <v>65</v>
      </c>
      <c r="E7" s="283" t="s">
        <v>78</v>
      </c>
      <c r="F7" s="283" t="s">
        <v>53</v>
      </c>
      <c r="G7" s="283" t="s">
        <v>29</v>
      </c>
      <c r="H7" s="283"/>
      <c r="I7" s="283" t="s">
        <v>74</v>
      </c>
      <c r="J7" s="284"/>
      <c r="K7" s="283"/>
      <c r="L7" s="283" t="s">
        <v>1329</v>
      </c>
      <c r="M7" s="283" t="s">
        <v>1328</v>
      </c>
      <c r="N7" s="285"/>
    </row>
    <row r="8" spans="1:14" s="279" customFormat="1" ht="24">
      <c r="A8" s="280" t="s">
        <v>1235</v>
      </c>
      <c r="B8" s="281"/>
      <c r="C8" s="282" t="s">
        <v>1330</v>
      </c>
      <c r="D8" s="282" t="s">
        <v>81</v>
      </c>
      <c r="E8" s="283"/>
      <c r="F8" s="283" t="s">
        <v>53</v>
      </c>
      <c r="G8" s="283"/>
      <c r="H8" s="283"/>
      <c r="I8" s="283" t="s">
        <v>82</v>
      </c>
      <c r="J8" s="284"/>
      <c r="K8" s="283"/>
      <c r="L8" s="283" t="s">
        <v>1168</v>
      </c>
      <c r="M8" s="283" t="s">
        <v>1328</v>
      </c>
      <c r="N8" s="285" t="s">
        <v>1228</v>
      </c>
    </row>
    <row r="9" spans="1:14" s="279" customFormat="1" ht="24">
      <c r="A9" s="280" t="s">
        <v>1236</v>
      </c>
      <c r="B9" s="281"/>
      <c r="C9" s="282" t="s">
        <v>1331</v>
      </c>
      <c r="D9" s="282" t="s">
        <v>81</v>
      </c>
      <c r="E9" s="283"/>
      <c r="F9" s="283" t="s">
        <v>53</v>
      </c>
      <c r="G9" s="283"/>
      <c r="H9" s="283"/>
      <c r="I9" s="283" t="s">
        <v>82</v>
      </c>
      <c r="J9" s="284"/>
      <c r="K9" s="283"/>
      <c r="L9" s="283" t="s">
        <v>1237</v>
      </c>
      <c r="M9" s="283" t="s">
        <v>1328</v>
      </c>
      <c r="N9" s="285" t="s">
        <v>1228</v>
      </c>
    </row>
    <row r="10" spans="1:14" s="279" customFormat="1" ht="36">
      <c r="A10" s="280" t="s">
        <v>1240</v>
      </c>
      <c r="B10" s="281"/>
      <c r="C10" s="282" t="s">
        <v>1238</v>
      </c>
      <c r="D10" s="282" t="s">
        <v>81</v>
      </c>
      <c r="E10" s="283"/>
      <c r="F10" s="283" t="s">
        <v>53</v>
      </c>
      <c r="G10" s="283"/>
      <c r="H10" s="283"/>
      <c r="I10" s="283" t="s">
        <v>82</v>
      </c>
      <c r="J10" s="284"/>
      <c r="K10" s="283"/>
      <c r="L10" s="283" t="s">
        <v>1239</v>
      </c>
      <c r="M10" s="283" t="s">
        <v>1328</v>
      </c>
      <c r="N10" s="285"/>
    </row>
    <row r="11" spans="1:14" s="279" customFormat="1" ht="24">
      <c r="A11" s="280" t="s">
        <v>1241</v>
      </c>
      <c r="B11" s="281"/>
      <c r="C11" s="282" t="s">
        <v>1338</v>
      </c>
      <c r="D11" s="282"/>
      <c r="E11" s="283"/>
      <c r="F11" s="283"/>
      <c r="G11" s="283"/>
      <c r="H11" s="283"/>
      <c r="I11" s="283" t="s">
        <v>82</v>
      </c>
      <c r="J11" s="284"/>
      <c r="K11" s="283"/>
      <c r="L11" s="283" t="s">
        <v>1339</v>
      </c>
      <c r="M11" s="283" t="s">
        <v>1328</v>
      </c>
      <c r="N11" s="285" t="s">
        <v>1228</v>
      </c>
    </row>
    <row r="12" spans="1:14" s="279" customFormat="1" ht="24">
      <c r="A12" s="280" t="s">
        <v>1242</v>
      </c>
      <c r="B12" s="281"/>
      <c r="C12" s="282" t="s">
        <v>84</v>
      </c>
      <c r="D12" s="282" t="s">
        <v>81</v>
      </c>
      <c r="E12" s="283"/>
      <c r="F12" s="283" t="s">
        <v>53</v>
      </c>
      <c r="G12" s="283" t="s">
        <v>28</v>
      </c>
      <c r="H12" s="283"/>
      <c r="I12" s="283" t="s">
        <v>85</v>
      </c>
      <c r="J12" s="284"/>
      <c r="K12" s="283"/>
      <c r="L12" s="283"/>
      <c r="M12" s="283" t="s">
        <v>1328</v>
      </c>
      <c r="N12" s="285" t="s">
        <v>1228</v>
      </c>
    </row>
    <row r="13" spans="1:14" s="279" customFormat="1" ht="24">
      <c r="A13" s="280" t="s">
        <v>1243</v>
      </c>
      <c r="B13" s="281"/>
      <c r="C13" s="282" t="s">
        <v>87</v>
      </c>
      <c r="D13" s="282" t="s">
        <v>88</v>
      </c>
      <c r="E13" s="283" t="s">
        <v>89</v>
      </c>
      <c r="F13" s="283" t="s">
        <v>53</v>
      </c>
      <c r="G13" s="283" t="s">
        <v>28</v>
      </c>
      <c r="H13" s="283"/>
      <c r="I13" s="283" t="s">
        <v>67</v>
      </c>
      <c r="J13" s="284"/>
      <c r="K13" s="283"/>
      <c r="L13" s="283" t="s">
        <v>90</v>
      </c>
      <c r="M13" s="283" t="s">
        <v>1328</v>
      </c>
      <c r="N13" s="285"/>
    </row>
    <row r="14" spans="1:14" s="279" customFormat="1" ht="36">
      <c r="A14" s="280" t="s">
        <v>1244</v>
      </c>
      <c r="B14" s="281"/>
      <c r="C14" s="282" t="s">
        <v>33</v>
      </c>
      <c r="D14" s="282" t="s">
        <v>88</v>
      </c>
      <c r="E14" s="283" t="s">
        <v>92</v>
      </c>
      <c r="F14" s="283" t="s">
        <v>53</v>
      </c>
      <c r="G14" s="283" t="s">
        <v>23</v>
      </c>
      <c r="H14" s="283"/>
      <c r="I14" s="283" t="s">
        <v>67</v>
      </c>
      <c r="J14" s="284"/>
      <c r="K14" s="283"/>
      <c r="L14" s="283" t="s">
        <v>1332</v>
      </c>
      <c r="M14" s="283" t="s">
        <v>1328</v>
      </c>
      <c r="N14" s="285"/>
    </row>
    <row r="15" spans="1:14" s="279" customFormat="1" ht="36">
      <c r="A15" s="280" t="s">
        <v>1246</v>
      </c>
      <c r="B15" s="281"/>
      <c r="C15" s="282" t="s">
        <v>1245</v>
      </c>
      <c r="D15" s="282" t="s">
        <v>100</v>
      </c>
      <c r="E15" s="283" t="s">
        <v>101</v>
      </c>
      <c r="F15" s="283" t="s">
        <v>102</v>
      </c>
      <c r="G15" s="283" t="s">
        <v>23</v>
      </c>
      <c r="H15" s="283"/>
      <c r="I15" s="283" t="s">
        <v>85</v>
      </c>
      <c r="J15" s="284">
        <v>40000</v>
      </c>
      <c r="K15" s="283"/>
      <c r="L15" s="287" t="s">
        <v>1333</v>
      </c>
      <c r="M15" s="283" t="s">
        <v>1328</v>
      </c>
      <c r="N15" s="285"/>
    </row>
    <row r="16" spans="1:14" s="279" customFormat="1" ht="36">
      <c r="A16" s="280" t="s">
        <v>1250</v>
      </c>
      <c r="B16" s="281"/>
      <c r="C16" s="282" t="s">
        <v>104</v>
      </c>
      <c r="D16" s="282" t="s">
        <v>105</v>
      </c>
      <c r="E16" s="283" t="s">
        <v>73</v>
      </c>
      <c r="F16" s="283" t="s">
        <v>53</v>
      </c>
      <c r="G16" s="283" t="s">
        <v>29</v>
      </c>
      <c r="H16" s="283"/>
      <c r="I16" s="283" t="s">
        <v>74</v>
      </c>
      <c r="J16" s="284"/>
      <c r="K16" s="283"/>
      <c r="L16" s="283"/>
      <c r="M16" s="283" t="s">
        <v>1328</v>
      </c>
      <c r="N16" s="285"/>
    </row>
    <row r="17" spans="1:14" s="279" customFormat="1" ht="60">
      <c r="A17" s="280" t="s">
        <v>1248</v>
      </c>
      <c r="B17" s="281"/>
      <c r="C17" s="282" t="s">
        <v>116</v>
      </c>
      <c r="D17" s="282" t="s">
        <v>117</v>
      </c>
      <c r="E17" s="283"/>
      <c r="F17" s="283" t="s">
        <v>53</v>
      </c>
      <c r="G17" s="283"/>
      <c r="H17" s="283"/>
      <c r="I17" s="283" t="s">
        <v>114</v>
      </c>
      <c r="J17" s="284"/>
      <c r="K17" s="283"/>
      <c r="L17" s="283" t="s">
        <v>59</v>
      </c>
      <c r="M17" s="283" t="s">
        <v>1328</v>
      </c>
      <c r="N17" s="285"/>
    </row>
    <row r="18" spans="1:14" s="279" customFormat="1" ht="36">
      <c r="A18" s="280" t="s">
        <v>1251</v>
      </c>
      <c r="B18" s="281"/>
      <c r="C18" s="282" t="s">
        <v>1253</v>
      </c>
      <c r="D18" s="282" t="s">
        <v>117</v>
      </c>
      <c r="E18" s="283" t="s">
        <v>120</v>
      </c>
      <c r="F18" s="283" t="s">
        <v>53</v>
      </c>
      <c r="G18" s="283" t="s">
        <v>23</v>
      </c>
      <c r="H18" s="283"/>
      <c r="I18" s="283" t="s">
        <v>67</v>
      </c>
      <c r="J18" s="284">
        <v>8000</v>
      </c>
      <c r="K18" s="283"/>
      <c r="L18" s="283" t="s">
        <v>122</v>
      </c>
      <c r="M18" s="283" t="s">
        <v>1328</v>
      </c>
      <c r="N18" s="285"/>
    </row>
    <row r="19" spans="1:14" s="279" customFormat="1" ht="36">
      <c r="A19" s="280" t="s">
        <v>1249</v>
      </c>
      <c r="B19" s="281"/>
      <c r="C19" s="282" t="s">
        <v>1255</v>
      </c>
      <c r="D19" s="282" t="s">
        <v>109</v>
      </c>
      <c r="E19" s="283" t="s">
        <v>128</v>
      </c>
      <c r="F19" s="283" t="s">
        <v>53</v>
      </c>
      <c r="G19" s="283" t="s">
        <v>29</v>
      </c>
      <c r="H19" s="283"/>
      <c r="I19" s="283" t="s">
        <v>67</v>
      </c>
      <c r="J19" s="284"/>
      <c r="K19" s="283"/>
      <c r="L19" s="283"/>
      <c r="M19" s="283" t="s">
        <v>1328</v>
      </c>
      <c r="N19" s="285"/>
    </row>
    <row r="20" spans="1:14" s="279" customFormat="1" ht="24">
      <c r="A20" s="280" t="s">
        <v>1254</v>
      </c>
      <c r="B20" s="281"/>
      <c r="C20" s="282" t="s">
        <v>35</v>
      </c>
      <c r="D20" s="282" t="s">
        <v>131</v>
      </c>
      <c r="E20" s="283" t="s">
        <v>132</v>
      </c>
      <c r="F20" s="283" t="s">
        <v>53</v>
      </c>
      <c r="G20" s="283" t="s">
        <v>23</v>
      </c>
      <c r="H20" s="283"/>
      <c r="I20" s="283" t="s">
        <v>54</v>
      </c>
      <c r="J20" s="284">
        <v>14999</v>
      </c>
      <c r="K20" s="283"/>
      <c r="L20" s="283"/>
      <c r="M20" s="283" t="s">
        <v>1328</v>
      </c>
      <c r="N20" s="285"/>
    </row>
    <row r="21" spans="1:14" s="279" customFormat="1" ht="24">
      <c r="A21" s="280" t="s">
        <v>1256</v>
      </c>
      <c r="B21" s="281"/>
      <c r="C21" s="282" t="s">
        <v>134</v>
      </c>
      <c r="D21" s="282" t="s">
        <v>135</v>
      </c>
      <c r="E21" s="283"/>
      <c r="F21" s="283" t="s">
        <v>53</v>
      </c>
      <c r="G21" s="283"/>
      <c r="H21" s="283"/>
      <c r="I21" s="283" t="s">
        <v>136</v>
      </c>
      <c r="J21" s="284"/>
      <c r="K21" s="283"/>
      <c r="L21" s="283" t="s">
        <v>59</v>
      </c>
      <c r="M21" s="283" t="s">
        <v>1328</v>
      </c>
      <c r="N21" s="285" t="s">
        <v>1228</v>
      </c>
    </row>
    <row r="22" spans="1:14" s="279" customFormat="1" ht="48">
      <c r="A22" s="280" t="s">
        <v>1257</v>
      </c>
      <c r="B22" s="281"/>
      <c r="C22" s="282" t="s">
        <v>138</v>
      </c>
      <c r="D22" s="282" t="s">
        <v>139</v>
      </c>
      <c r="E22" s="283" t="s">
        <v>140</v>
      </c>
      <c r="F22" s="283" t="s">
        <v>53</v>
      </c>
      <c r="G22" s="283"/>
      <c r="H22" s="283"/>
      <c r="I22" s="283" t="s">
        <v>114</v>
      </c>
      <c r="J22" s="284"/>
      <c r="K22" s="283"/>
      <c r="L22" s="283" t="s">
        <v>59</v>
      </c>
      <c r="M22" s="283" t="s">
        <v>1328</v>
      </c>
      <c r="N22" s="285" t="s">
        <v>1228</v>
      </c>
    </row>
    <row r="23" spans="1:14" s="279" customFormat="1" ht="48">
      <c r="A23" s="280" t="s">
        <v>1258</v>
      </c>
      <c r="B23" s="281"/>
      <c r="C23" s="282" t="s">
        <v>1153</v>
      </c>
      <c r="D23" s="282" t="s">
        <v>141</v>
      </c>
      <c r="E23" s="283" t="s">
        <v>65</v>
      </c>
      <c r="F23" s="283" t="s">
        <v>53</v>
      </c>
      <c r="G23" s="283" t="s">
        <v>29</v>
      </c>
      <c r="H23" s="283"/>
      <c r="I23" s="283" t="s">
        <v>54</v>
      </c>
      <c r="J23" s="284" t="s">
        <v>1335</v>
      </c>
      <c r="K23" s="283"/>
      <c r="L23" s="283" t="s">
        <v>1334</v>
      </c>
      <c r="M23" s="283" t="s">
        <v>1328</v>
      </c>
      <c r="N23" s="285"/>
    </row>
    <row r="24" spans="1:14" s="279" customFormat="1" ht="48">
      <c r="A24" s="280" t="s">
        <v>1259</v>
      </c>
      <c r="B24" s="281"/>
      <c r="C24" s="282" t="s">
        <v>1261</v>
      </c>
      <c r="D24" s="282" t="s">
        <v>141</v>
      </c>
      <c r="E24" s="283" t="s">
        <v>65</v>
      </c>
      <c r="F24" s="283" t="s">
        <v>53</v>
      </c>
      <c r="G24" s="283" t="s">
        <v>24</v>
      </c>
      <c r="H24" s="283"/>
      <c r="I24" s="283" t="s">
        <v>54</v>
      </c>
      <c r="J24" s="284"/>
      <c r="K24" s="283"/>
      <c r="L24" s="283" t="s">
        <v>1336</v>
      </c>
      <c r="M24" s="283" t="s">
        <v>1328</v>
      </c>
      <c r="N24" s="285"/>
    </row>
    <row r="25" spans="1:14" s="279" customFormat="1" ht="48">
      <c r="A25" s="280" t="s">
        <v>1260</v>
      </c>
      <c r="B25" s="281"/>
      <c r="C25" s="282" t="s">
        <v>144</v>
      </c>
      <c r="D25" s="282" t="s">
        <v>145</v>
      </c>
      <c r="E25" s="283" t="s">
        <v>81</v>
      </c>
      <c r="F25" s="283" t="s">
        <v>53</v>
      </c>
      <c r="G25" s="283"/>
      <c r="H25" s="283"/>
      <c r="I25" s="283" t="s">
        <v>67</v>
      </c>
      <c r="J25" s="284"/>
      <c r="K25" s="283"/>
      <c r="L25" s="283" t="s">
        <v>254</v>
      </c>
      <c r="M25" s="283" t="s">
        <v>1328</v>
      </c>
      <c r="N25" s="285" t="s">
        <v>1228</v>
      </c>
    </row>
    <row r="26" spans="1:14" s="279" customFormat="1" ht="24">
      <c r="A26" s="280" t="s">
        <v>1262</v>
      </c>
      <c r="B26" s="281"/>
      <c r="C26" s="282" t="s">
        <v>1227</v>
      </c>
      <c r="D26" s="282" t="s">
        <v>65</v>
      </c>
      <c r="E26" s="283" t="s">
        <v>73</v>
      </c>
      <c r="F26" s="283" t="s">
        <v>53</v>
      </c>
      <c r="G26" s="283" t="s">
        <v>29</v>
      </c>
      <c r="H26" s="283"/>
      <c r="I26" s="283" t="s">
        <v>74</v>
      </c>
      <c r="J26" s="284" t="s">
        <v>1335</v>
      </c>
      <c r="K26" s="283"/>
      <c r="L26" s="282" t="s">
        <v>55</v>
      </c>
      <c r="M26" s="283" t="s">
        <v>1328</v>
      </c>
      <c r="N26" s="288"/>
    </row>
    <row r="27" spans="1:14" s="279" customFormat="1" ht="36">
      <c r="A27" s="289" t="s">
        <v>1225</v>
      </c>
      <c r="B27" s="290"/>
      <c r="C27" s="290" t="s">
        <v>1224</v>
      </c>
      <c r="D27" s="290" t="s">
        <v>147</v>
      </c>
      <c r="E27" s="290"/>
      <c r="F27" s="290" t="s">
        <v>148</v>
      </c>
      <c r="G27" s="290" t="s">
        <v>23</v>
      </c>
      <c r="H27" s="290"/>
      <c r="I27" s="290" t="s">
        <v>149</v>
      </c>
      <c r="J27" s="291">
        <v>9000</v>
      </c>
      <c r="K27" s="290"/>
      <c r="L27" s="290"/>
      <c r="M27" s="290" t="s">
        <v>1328</v>
      </c>
      <c r="N27" s="292"/>
    </row>
    <row r="28" spans="1:14" s="279" customFormat="1" ht="36">
      <c r="A28" s="289" t="s">
        <v>1264</v>
      </c>
      <c r="B28" s="290"/>
      <c r="C28" s="290" t="s">
        <v>155</v>
      </c>
      <c r="D28" s="290" t="s">
        <v>156</v>
      </c>
      <c r="E28" s="290" t="s">
        <v>157</v>
      </c>
      <c r="F28" s="290" t="s">
        <v>148</v>
      </c>
      <c r="G28" s="290" t="s">
        <v>29</v>
      </c>
      <c r="H28" s="290"/>
      <c r="I28" s="290" t="s">
        <v>67</v>
      </c>
      <c r="J28" s="291">
        <v>0</v>
      </c>
      <c r="K28" s="290"/>
      <c r="L28" s="290" t="s">
        <v>1220</v>
      </c>
      <c r="M28" s="290" t="s">
        <v>1328</v>
      </c>
      <c r="N28" s="292"/>
    </row>
    <row r="29" spans="1:14" s="279" customFormat="1" ht="24">
      <c r="A29" s="289" t="s">
        <v>1265</v>
      </c>
      <c r="B29" s="290"/>
      <c r="C29" s="290" t="s">
        <v>1263</v>
      </c>
      <c r="D29" s="290" t="s">
        <v>160</v>
      </c>
      <c r="E29" s="290" t="s">
        <v>161</v>
      </c>
      <c r="F29" s="290" t="s">
        <v>148</v>
      </c>
      <c r="G29" s="290"/>
      <c r="H29" s="290"/>
      <c r="I29" s="290" t="s">
        <v>162</v>
      </c>
      <c r="J29" s="291"/>
      <c r="K29" s="290"/>
      <c r="L29" s="290"/>
      <c r="M29" s="290" t="s">
        <v>1328</v>
      </c>
      <c r="N29" s="292"/>
    </row>
    <row r="30" spans="1:14" s="279" customFormat="1" ht="36">
      <c r="A30" s="289" t="s">
        <v>1266</v>
      </c>
      <c r="B30" s="290"/>
      <c r="C30" s="290" t="s">
        <v>165</v>
      </c>
      <c r="D30" s="290" t="s">
        <v>166</v>
      </c>
      <c r="E30" s="290"/>
      <c r="F30" s="290" t="s">
        <v>148</v>
      </c>
      <c r="G30" s="290"/>
      <c r="H30" s="290"/>
      <c r="I30" s="290" t="s">
        <v>162</v>
      </c>
      <c r="J30" s="291"/>
      <c r="K30" s="290"/>
      <c r="L30" s="290" t="s">
        <v>167</v>
      </c>
      <c r="M30" s="290" t="s">
        <v>1328</v>
      </c>
      <c r="N30" s="292"/>
    </row>
    <row r="31" spans="1:14" s="279" customFormat="1" ht="36">
      <c r="A31" s="289" t="s">
        <v>1267</v>
      </c>
      <c r="B31" s="290"/>
      <c r="C31" s="290" t="s">
        <v>1268</v>
      </c>
      <c r="D31" s="290" t="s">
        <v>169</v>
      </c>
      <c r="E31" s="290"/>
      <c r="F31" s="290" t="s">
        <v>148</v>
      </c>
      <c r="G31" s="290" t="s">
        <v>29</v>
      </c>
      <c r="H31" s="290"/>
      <c r="I31" s="290" t="s">
        <v>74</v>
      </c>
      <c r="J31" s="291"/>
      <c r="K31" s="290"/>
      <c r="L31" s="290" t="s">
        <v>1171</v>
      </c>
      <c r="M31" s="290" t="s">
        <v>1328</v>
      </c>
      <c r="N31" s="292"/>
    </row>
    <row r="32" spans="1:14" s="279" customFormat="1" ht="12">
      <c r="A32" s="124" t="s">
        <v>1270</v>
      </c>
      <c r="B32" s="87"/>
      <c r="C32" s="87" t="s">
        <v>173</v>
      </c>
      <c r="D32" s="87" t="s">
        <v>174</v>
      </c>
      <c r="E32" s="87"/>
      <c r="F32" s="87" t="s">
        <v>171</v>
      </c>
      <c r="G32" s="87" t="s">
        <v>28</v>
      </c>
      <c r="H32" s="87"/>
      <c r="I32" s="131" t="s">
        <v>136</v>
      </c>
      <c r="J32" s="87"/>
      <c r="K32" s="87"/>
      <c r="L32" s="87"/>
      <c r="M32" s="87" t="s">
        <v>1328</v>
      </c>
      <c r="N32" s="293" t="s">
        <v>1228</v>
      </c>
    </row>
    <row r="33" spans="1:14" s="279" customFormat="1" ht="36">
      <c r="A33" s="124" t="s">
        <v>1271</v>
      </c>
      <c r="B33" s="87"/>
      <c r="C33" s="87" t="s">
        <v>176</v>
      </c>
      <c r="D33" s="87" t="s">
        <v>174</v>
      </c>
      <c r="E33" s="87"/>
      <c r="F33" s="87" t="s">
        <v>171</v>
      </c>
      <c r="G33" s="87" t="s">
        <v>28</v>
      </c>
      <c r="H33" s="87"/>
      <c r="I33" s="131" t="s">
        <v>136</v>
      </c>
      <c r="J33" s="87"/>
      <c r="K33" s="87"/>
      <c r="L33" s="87"/>
      <c r="M33" s="87" t="s">
        <v>1328</v>
      </c>
      <c r="N33" s="293" t="s">
        <v>1228</v>
      </c>
    </row>
    <row r="34" spans="1:14" s="279" customFormat="1" ht="36">
      <c r="A34" s="124" t="s">
        <v>1272</v>
      </c>
      <c r="B34" s="87"/>
      <c r="C34" s="87" t="s">
        <v>178</v>
      </c>
      <c r="D34" s="87" t="s">
        <v>174</v>
      </c>
      <c r="E34" s="87"/>
      <c r="F34" s="87" t="s">
        <v>171</v>
      </c>
      <c r="G34" s="87" t="s">
        <v>28</v>
      </c>
      <c r="H34" s="87"/>
      <c r="I34" s="131" t="s">
        <v>136</v>
      </c>
      <c r="J34" s="87"/>
      <c r="K34" s="87"/>
      <c r="L34" s="87"/>
      <c r="M34" s="87" t="s">
        <v>1328</v>
      </c>
      <c r="N34" s="293" t="s">
        <v>1228</v>
      </c>
    </row>
    <row r="35" spans="1:14" s="279" customFormat="1" ht="24">
      <c r="A35" s="124" t="s">
        <v>1273</v>
      </c>
      <c r="B35" s="87"/>
      <c r="C35" s="87" t="s">
        <v>180</v>
      </c>
      <c r="D35" s="87" t="s">
        <v>174</v>
      </c>
      <c r="E35" s="87"/>
      <c r="F35" s="87" t="s">
        <v>171</v>
      </c>
      <c r="G35" s="87" t="s">
        <v>28</v>
      </c>
      <c r="H35" s="87"/>
      <c r="I35" s="131" t="s">
        <v>136</v>
      </c>
      <c r="J35" s="87"/>
      <c r="K35" s="87"/>
      <c r="L35" s="87"/>
      <c r="M35" s="87" t="s">
        <v>1328</v>
      </c>
      <c r="N35" s="293" t="s">
        <v>1228</v>
      </c>
    </row>
    <row r="36" spans="1:14" s="279" customFormat="1" ht="12">
      <c r="A36" s="124" t="s">
        <v>1274</v>
      </c>
      <c r="B36" s="87"/>
      <c r="C36" s="87" t="s">
        <v>182</v>
      </c>
      <c r="D36" s="87" t="s">
        <v>174</v>
      </c>
      <c r="E36" s="87"/>
      <c r="F36" s="87" t="s">
        <v>171</v>
      </c>
      <c r="G36" s="87" t="s">
        <v>28</v>
      </c>
      <c r="H36" s="87"/>
      <c r="I36" s="131" t="s">
        <v>136</v>
      </c>
      <c r="J36" s="87"/>
      <c r="K36" s="87"/>
      <c r="L36" s="87"/>
      <c r="M36" s="87" t="s">
        <v>1328</v>
      </c>
      <c r="N36" s="293" t="s">
        <v>1228</v>
      </c>
    </row>
    <row r="37" spans="1:14" s="279" customFormat="1" ht="12">
      <c r="A37" s="124" t="s">
        <v>1275</v>
      </c>
      <c r="B37" s="87"/>
      <c r="C37" s="87" t="s">
        <v>187</v>
      </c>
      <c r="D37" s="87" t="s">
        <v>174</v>
      </c>
      <c r="E37" s="87"/>
      <c r="F37" s="87" t="s">
        <v>171</v>
      </c>
      <c r="G37" s="87" t="s">
        <v>28</v>
      </c>
      <c r="H37" s="87"/>
      <c r="I37" s="131" t="s">
        <v>136</v>
      </c>
      <c r="J37" s="87"/>
      <c r="K37" s="87"/>
      <c r="L37" s="87"/>
      <c r="M37" s="87" t="s">
        <v>1328</v>
      </c>
      <c r="N37" s="293" t="s">
        <v>1228</v>
      </c>
    </row>
    <row r="38" spans="1:14" s="279" customFormat="1" ht="12">
      <c r="A38" s="124" t="s">
        <v>1276</v>
      </c>
      <c r="B38" s="87"/>
      <c r="C38" s="87" t="s">
        <v>189</v>
      </c>
      <c r="D38" s="87" t="s">
        <v>174</v>
      </c>
      <c r="E38" s="87"/>
      <c r="F38" s="87" t="s">
        <v>171</v>
      </c>
      <c r="G38" s="87" t="s">
        <v>28</v>
      </c>
      <c r="H38" s="87"/>
      <c r="I38" s="131" t="s">
        <v>136</v>
      </c>
      <c r="J38" s="87"/>
      <c r="K38" s="87"/>
      <c r="L38" s="87"/>
      <c r="M38" s="87" t="s">
        <v>1328</v>
      </c>
      <c r="N38" s="293" t="s">
        <v>1228</v>
      </c>
    </row>
    <row r="39" spans="1:14" s="279" customFormat="1" ht="48">
      <c r="A39" s="124" t="s">
        <v>1277</v>
      </c>
      <c r="B39" s="87"/>
      <c r="C39" s="89" t="s">
        <v>1269</v>
      </c>
      <c r="D39" s="87" t="s">
        <v>195</v>
      </c>
      <c r="E39" s="87"/>
      <c r="F39" s="87" t="s">
        <v>171</v>
      </c>
      <c r="G39" s="129" t="s">
        <v>26</v>
      </c>
      <c r="H39" s="129"/>
      <c r="I39" s="131" t="s">
        <v>136</v>
      </c>
      <c r="J39" s="134">
        <v>25000</v>
      </c>
      <c r="K39" s="129"/>
      <c r="L39" s="131" t="s">
        <v>196</v>
      </c>
      <c r="M39" s="87" t="s">
        <v>1328</v>
      </c>
      <c r="N39" s="293" t="s">
        <v>1228</v>
      </c>
    </row>
    <row r="40" spans="1:14" s="279" customFormat="1" ht="36">
      <c r="A40" s="124" t="s">
        <v>1278</v>
      </c>
      <c r="B40" s="87"/>
      <c r="C40" s="89" t="s">
        <v>1321</v>
      </c>
      <c r="D40" s="87"/>
      <c r="E40" s="87"/>
      <c r="F40" s="87"/>
      <c r="G40" s="129" t="s">
        <v>26</v>
      </c>
      <c r="H40" s="129"/>
      <c r="I40" s="131" t="s">
        <v>149</v>
      </c>
      <c r="J40" s="134">
        <v>85000</v>
      </c>
      <c r="K40" s="129"/>
      <c r="L40" s="131" t="s">
        <v>1252</v>
      </c>
      <c r="M40" s="87" t="s">
        <v>1328</v>
      </c>
      <c r="N40" s="293"/>
    </row>
    <row r="41" spans="1:14" s="279" customFormat="1" ht="24">
      <c r="A41" s="124" t="s">
        <v>1279</v>
      </c>
      <c r="B41" s="87"/>
      <c r="C41" s="87" t="s">
        <v>1172</v>
      </c>
      <c r="D41" s="87" t="s">
        <v>197</v>
      </c>
      <c r="E41" s="87"/>
      <c r="F41" s="87" t="s">
        <v>171</v>
      </c>
      <c r="G41" s="129"/>
      <c r="H41" s="129"/>
      <c r="I41" s="131" t="s">
        <v>136</v>
      </c>
      <c r="J41" s="134"/>
      <c r="K41" s="129"/>
      <c r="L41" s="131" t="s">
        <v>198</v>
      </c>
      <c r="M41" s="87" t="s">
        <v>1328</v>
      </c>
      <c r="N41" s="293" t="s">
        <v>1228</v>
      </c>
    </row>
    <row r="42" spans="1:14" s="279" customFormat="1" ht="24">
      <c r="A42" s="124" t="s">
        <v>1281</v>
      </c>
      <c r="B42" s="87"/>
      <c r="C42" s="87" t="s">
        <v>1280</v>
      </c>
      <c r="D42" s="87" t="s">
        <v>199</v>
      </c>
      <c r="E42" s="87"/>
      <c r="F42" s="87" t="s">
        <v>171</v>
      </c>
      <c r="G42" s="129" t="s">
        <v>23</v>
      </c>
      <c r="H42" s="294"/>
      <c r="I42" s="131" t="s">
        <v>149</v>
      </c>
      <c r="J42" s="295">
        <v>15000</v>
      </c>
      <c r="K42" s="294"/>
      <c r="L42" s="296"/>
      <c r="M42" s="87" t="s">
        <v>1328</v>
      </c>
      <c r="N42" s="293"/>
    </row>
    <row r="43" spans="1:14" s="279" customFormat="1" ht="24">
      <c r="A43" s="124" t="s">
        <v>1320</v>
      </c>
      <c r="B43" s="87"/>
      <c r="C43" s="87" t="s">
        <v>201</v>
      </c>
      <c r="D43" s="87" t="s">
        <v>202</v>
      </c>
      <c r="E43" s="87"/>
      <c r="F43" s="87" t="s">
        <v>171</v>
      </c>
      <c r="G43" s="129"/>
      <c r="H43" s="129"/>
      <c r="I43" s="131" t="s">
        <v>149</v>
      </c>
      <c r="J43" s="134"/>
      <c r="K43" s="129"/>
      <c r="L43" s="131" t="s">
        <v>203</v>
      </c>
      <c r="M43" s="87" t="s">
        <v>1328</v>
      </c>
      <c r="N43" s="293" t="s">
        <v>1228</v>
      </c>
    </row>
    <row r="44" spans="1:14" s="279" customFormat="1" ht="24">
      <c r="A44" s="124" t="s">
        <v>1323</v>
      </c>
      <c r="B44" s="87"/>
      <c r="C44" s="87" t="s">
        <v>1324</v>
      </c>
      <c r="D44" s="87" t="s">
        <v>202</v>
      </c>
      <c r="E44" s="87"/>
      <c r="F44" s="87" t="s">
        <v>171</v>
      </c>
      <c r="G44" s="129"/>
      <c r="H44" s="129"/>
      <c r="I44" s="131" t="s">
        <v>149</v>
      </c>
      <c r="J44" s="134">
        <v>0</v>
      </c>
      <c r="K44" s="129"/>
      <c r="L44" s="131" t="s">
        <v>1325</v>
      </c>
      <c r="M44" s="87" t="s">
        <v>1328</v>
      </c>
      <c r="N44" s="293"/>
    </row>
    <row r="45" spans="1:14" s="279" customFormat="1" ht="24">
      <c r="A45" s="297" t="s">
        <v>1283</v>
      </c>
      <c r="B45" s="298"/>
      <c r="C45" s="298" t="s">
        <v>1284</v>
      </c>
      <c r="D45" s="298" t="s">
        <v>205</v>
      </c>
      <c r="E45" s="298"/>
      <c r="F45" s="298" t="s">
        <v>102</v>
      </c>
      <c r="G45" s="299" t="s">
        <v>23</v>
      </c>
      <c r="H45" s="299"/>
      <c r="I45" s="300" t="s">
        <v>162</v>
      </c>
      <c r="J45" s="301">
        <v>6000</v>
      </c>
      <c r="K45" s="299"/>
      <c r="L45" s="300" t="s">
        <v>1282</v>
      </c>
      <c r="M45" s="298" t="s">
        <v>1328</v>
      </c>
      <c r="N45" s="302"/>
    </row>
    <row r="46" spans="1:14" s="279" customFormat="1" ht="36">
      <c r="A46" s="297" t="s">
        <v>1286</v>
      </c>
      <c r="B46" s="298"/>
      <c r="C46" s="298" t="s">
        <v>1285</v>
      </c>
      <c r="D46" s="298" t="s">
        <v>208</v>
      </c>
      <c r="E46" s="298"/>
      <c r="F46" s="298" t="s">
        <v>102</v>
      </c>
      <c r="G46" s="299" t="s">
        <v>23</v>
      </c>
      <c r="H46" s="299"/>
      <c r="I46" s="300" t="s">
        <v>162</v>
      </c>
      <c r="J46" s="301">
        <v>12000</v>
      </c>
      <c r="K46" s="299"/>
      <c r="L46" s="300" t="s">
        <v>211</v>
      </c>
      <c r="M46" s="298" t="s">
        <v>1328</v>
      </c>
      <c r="N46" s="302"/>
    </row>
    <row r="47" spans="1:14" s="279" customFormat="1" ht="24">
      <c r="A47" s="297" t="s">
        <v>1287</v>
      </c>
      <c r="B47" s="298"/>
      <c r="C47" s="298" t="s">
        <v>1247</v>
      </c>
      <c r="D47" s="298" t="s">
        <v>117</v>
      </c>
      <c r="E47" s="298" t="s">
        <v>120</v>
      </c>
      <c r="F47" s="298" t="s">
        <v>53</v>
      </c>
      <c r="G47" s="298" t="s">
        <v>26</v>
      </c>
      <c r="H47" s="298"/>
      <c r="I47" s="298" t="s">
        <v>67</v>
      </c>
      <c r="J47" s="303">
        <v>90000</v>
      </c>
      <c r="K47" s="298"/>
      <c r="L47" s="298" t="s">
        <v>1337</v>
      </c>
      <c r="M47" s="298" t="s">
        <v>1328</v>
      </c>
      <c r="N47" s="302"/>
    </row>
    <row r="48" spans="1:14" s="279" customFormat="1" ht="36">
      <c r="A48" s="297" t="s">
        <v>1288</v>
      </c>
      <c r="B48" s="298"/>
      <c r="C48" s="298" t="s">
        <v>1318</v>
      </c>
      <c r="D48" s="298" t="s">
        <v>208</v>
      </c>
      <c r="E48" s="298"/>
      <c r="F48" s="298" t="s">
        <v>102</v>
      </c>
      <c r="G48" s="299" t="s">
        <v>23</v>
      </c>
      <c r="H48" s="299"/>
      <c r="I48" s="300" t="s">
        <v>149</v>
      </c>
      <c r="J48" s="301">
        <v>5000</v>
      </c>
      <c r="K48" s="299"/>
      <c r="L48" s="300" t="s">
        <v>1319</v>
      </c>
      <c r="M48" s="298" t="s">
        <v>1328</v>
      </c>
      <c r="N48" s="302"/>
    </row>
    <row r="49" spans="1:14" s="279" customFormat="1" ht="36">
      <c r="A49" s="297" t="s">
        <v>1289</v>
      </c>
      <c r="B49" s="298"/>
      <c r="C49" s="298" t="s">
        <v>215</v>
      </c>
      <c r="D49" s="298" t="s">
        <v>216</v>
      </c>
      <c r="E49" s="298" t="s">
        <v>217</v>
      </c>
      <c r="F49" s="298" t="s">
        <v>102</v>
      </c>
      <c r="G49" s="299"/>
      <c r="H49" s="299"/>
      <c r="I49" s="300" t="s">
        <v>114</v>
      </c>
      <c r="J49" s="301"/>
      <c r="K49" s="299"/>
      <c r="L49" s="300" t="s">
        <v>59</v>
      </c>
      <c r="M49" s="298" t="s">
        <v>1328</v>
      </c>
      <c r="N49" s="302"/>
    </row>
    <row r="50" spans="1:14" s="279" customFormat="1" ht="36">
      <c r="A50" s="297" t="s">
        <v>1290</v>
      </c>
      <c r="B50" s="298"/>
      <c r="C50" s="298" t="s">
        <v>219</v>
      </c>
      <c r="D50" s="298" t="s">
        <v>220</v>
      </c>
      <c r="E50" s="298" t="s">
        <v>221</v>
      </c>
      <c r="F50" s="298" t="s">
        <v>102</v>
      </c>
      <c r="G50" s="299"/>
      <c r="H50" s="299"/>
      <c r="I50" s="300" t="s">
        <v>114</v>
      </c>
      <c r="J50" s="301"/>
      <c r="K50" s="299"/>
      <c r="L50" s="300" t="s">
        <v>222</v>
      </c>
      <c r="M50" s="298" t="s">
        <v>1328</v>
      </c>
      <c r="N50" s="302"/>
    </row>
    <row r="51" spans="1:14" s="279" customFormat="1" ht="48">
      <c r="A51" s="297" t="s">
        <v>1291</v>
      </c>
      <c r="B51" s="298"/>
      <c r="C51" s="298" t="s">
        <v>1157</v>
      </c>
      <c r="D51" s="298" t="s">
        <v>224</v>
      </c>
      <c r="E51" s="298"/>
      <c r="F51" s="298" t="s">
        <v>102</v>
      </c>
      <c r="G51" s="299"/>
      <c r="H51" s="299"/>
      <c r="I51" s="300" t="s">
        <v>136</v>
      </c>
      <c r="J51" s="301"/>
      <c r="K51" s="299"/>
      <c r="L51" s="300" t="s">
        <v>225</v>
      </c>
      <c r="M51" s="298" t="s">
        <v>1328</v>
      </c>
      <c r="N51" s="302" t="s">
        <v>1228</v>
      </c>
    </row>
    <row r="52" spans="1:14" s="279" customFormat="1" ht="12">
      <c r="A52" s="297" t="s">
        <v>1292</v>
      </c>
      <c r="B52" s="298"/>
      <c r="C52" s="298" t="s">
        <v>227</v>
      </c>
      <c r="D52" s="298" t="s">
        <v>228</v>
      </c>
      <c r="E52" s="298"/>
      <c r="F52" s="298" t="s">
        <v>102</v>
      </c>
      <c r="G52" s="298"/>
      <c r="H52" s="298"/>
      <c r="I52" s="298" t="s">
        <v>136</v>
      </c>
      <c r="J52" s="298"/>
      <c r="K52" s="298"/>
      <c r="L52" s="298" t="s">
        <v>254</v>
      </c>
      <c r="M52" s="298" t="s">
        <v>1328</v>
      </c>
      <c r="N52" s="302" t="s">
        <v>1228</v>
      </c>
    </row>
    <row r="53" spans="1:14" s="279" customFormat="1" ht="24">
      <c r="A53" s="297" t="s">
        <v>1294</v>
      </c>
      <c r="B53" s="298"/>
      <c r="C53" s="298" t="s">
        <v>1293</v>
      </c>
      <c r="D53" s="298" t="s">
        <v>231</v>
      </c>
      <c r="E53" s="298"/>
      <c r="F53" s="298" t="s">
        <v>102</v>
      </c>
      <c r="G53" s="299"/>
      <c r="H53" s="299"/>
      <c r="I53" s="300" t="s">
        <v>82</v>
      </c>
      <c r="J53" s="301"/>
      <c r="K53" s="299"/>
      <c r="L53" s="300" t="s">
        <v>59</v>
      </c>
      <c r="M53" s="298" t="s">
        <v>1328</v>
      </c>
      <c r="N53" s="302"/>
    </row>
    <row r="54" spans="1:14" s="279" customFormat="1" ht="24">
      <c r="A54" s="297" t="s">
        <v>1295</v>
      </c>
      <c r="B54" s="298"/>
      <c r="C54" s="298" t="s">
        <v>1296</v>
      </c>
      <c r="D54" s="298"/>
      <c r="E54" s="298"/>
      <c r="F54" s="298"/>
      <c r="G54" s="299"/>
      <c r="H54" s="299"/>
      <c r="I54" s="300" t="s">
        <v>114</v>
      </c>
      <c r="J54" s="301"/>
      <c r="K54" s="299"/>
      <c r="L54" s="300" t="s">
        <v>59</v>
      </c>
      <c r="M54" s="298" t="s">
        <v>1328</v>
      </c>
      <c r="N54" s="302"/>
    </row>
    <row r="55" spans="1:14" s="279" customFormat="1" ht="12">
      <c r="A55" s="304" t="s">
        <v>1298</v>
      </c>
      <c r="B55" s="305"/>
      <c r="C55" s="305" t="s">
        <v>1297</v>
      </c>
      <c r="D55" s="305" t="s">
        <v>238</v>
      </c>
      <c r="E55" s="305"/>
      <c r="F55" s="305" t="s">
        <v>239</v>
      </c>
      <c r="G55" s="306"/>
      <c r="H55" s="306"/>
      <c r="I55" s="307" t="s">
        <v>136</v>
      </c>
      <c r="J55" s="308"/>
      <c r="K55" s="306"/>
      <c r="L55" s="307" t="s">
        <v>240</v>
      </c>
      <c r="M55" s="305" t="s">
        <v>1328</v>
      </c>
      <c r="N55" s="309"/>
    </row>
    <row r="56" spans="1:14" s="279" customFormat="1" ht="24">
      <c r="A56" s="304" t="s">
        <v>1299</v>
      </c>
      <c r="B56" s="305"/>
      <c r="C56" s="305" t="s">
        <v>251</v>
      </c>
      <c r="D56" s="305" t="s">
        <v>252</v>
      </c>
      <c r="E56" s="305" t="s">
        <v>253</v>
      </c>
      <c r="F56" s="305" t="s">
        <v>239</v>
      </c>
      <c r="G56" s="306"/>
      <c r="H56" s="306"/>
      <c r="I56" s="305" t="s">
        <v>162</v>
      </c>
      <c r="J56" s="308"/>
      <c r="K56" s="306"/>
      <c r="L56" s="307" t="s">
        <v>254</v>
      </c>
      <c r="M56" s="305" t="s">
        <v>1328</v>
      </c>
      <c r="N56" s="309" t="s">
        <v>1228</v>
      </c>
    </row>
    <row r="57" spans="1:14" s="279" customFormat="1" ht="48">
      <c r="A57" s="304" t="s">
        <v>1300</v>
      </c>
      <c r="B57" s="305"/>
      <c r="C57" s="305" t="s">
        <v>1158</v>
      </c>
      <c r="D57" s="305" t="s">
        <v>257</v>
      </c>
      <c r="E57" s="305"/>
      <c r="F57" s="305" t="s">
        <v>239</v>
      </c>
      <c r="G57" s="306"/>
      <c r="H57" s="306"/>
      <c r="I57" s="307" t="s">
        <v>54</v>
      </c>
      <c r="J57" s="308"/>
      <c r="K57" s="306"/>
      <c r="L57" s="307" t="s">
        <v>258</v>
      </c>
      <c r="M57" s="305" t="s">
        <v>1328</v>
      </c>
      <c r="N57" s="309" t="s">
        <v>1228</v>
      </c>
    </row>
    <row r="58" spans="1:14" s="279" customFormat="1" ht="24">
      <c r="A58" s="304" t="s">
        <v>1301</v>
      </c>
      <c r="B58" s="305"/>
      <c r="C58" s="305" t="s">
        <v>268</v>
      </c>
      <c r="D58" s="305" t="s">
        <v>261</v>
      </c>
      <c r="E58" s="305"/>
      <c r="F58" s="305" t="s">
        <v>239</v>
      </c>
      <c r="G58" s="306"/>
      <c r="H58" s="306"/>
      <c r="I58" s="305" t="s">
        <v>162</v>
      </c>
      <c r="J58" s="308"/>
      <c r="K58" s="306"/>
      <c r="L58" s="307" t="s">
        <v>269</v>
      </c>
      <c r="M58" s="305" t="s">
        <v>1328</v>
      </c>
      <c r="N58" s="309" t="s">
        <v>1228</v>
      </c>
    </row>
    <row r="59" spans="1:14" s="279" customFormat="1" ht="24">
      <c r="A59" s="304" t="s">
        <v>1302</v>
      </c>
      <c r="B59" s="305"/>
      <c r="C59" s="305" t="s">
        <v>274</v>
      </c>
      <c r="D59" s="305" t="s">
        <v>275</v>
      </c>
      <c r="E59" s="305"/>
      <c r="F59" s="305" t="s">
        <v>239</v>
      </c>
      <c r="G59" s="306"/>
      <c r="H59" s="306"/>
      <c r="I59" s="305" t="s">
        <v>162</v>
      </c>
      <c r="J59" s="308"/>
      <c r="K59" s="306"/>
      <c r="L59" s="306"/>
      <c r="M59" s="305" t="s">
        <v>1328</v>
      </c>
      <c r="N59" s="309" t="s">
        <v>1228</v>
      </c>
    </row>
    <row r="60" spans="1:14" s="279" customFormat="1" ht="36">
      <c r="A60" s="304" t="s">
        <v>1303</v>
      </c>
      <c r="B60" s="305"/>
      <c r="C60" s="305" t="s">
        <v>277</v>
      </c>
      <c r="D60" s="305" t="s">
        <v>278</v>
      </c>
      <c r="E60" s="305"/>
      <c r="F60" s="305" t="s">
        <v>239</v>
      </c>
      <c r="G60" s="305"/>
      <c r="H60" s="305"/>
      <c r="I60" s="305" t="s">
        <v>136</v>
      </c>
      <c r="J60" s="305"/>
      <c r="K60" s="305"/>
      <c r="L60" s="305"/>
      <c r="M60" s="305" t="s">
        <v>1328</v>
      </c>
      <c r="N60" s="309" t="s">
        <v>1228</v>
      </c>
    </row>
    <row r="61" spans="1:14" s="279" customFormat="1" ht="48">
      <c r="A61" s="304" t="s">
        <v>1304</v>
      </c>
      <c r="B61" s="305"/>
      <c r="C61" s="305" t="s">
        <v>279</v>
      </c>
      <c r="D61" s="305" t="s">
        <v>280</v>
      </c>
      <c r="E61" s="305"/>
      <c r="F61" s="305" t="s">
        <v>239</v>
      </c>
      <c r="G61" s="306" t="s">
        <v>1134</v>
      </c>
      <c r="H61" s="306"/>
      <c r="I61" s="305" t="s">
        <v>162</v>
      </c>
      <c r="J61" s="308"/>
      <c r="K61" s="306"/>
      <c r="L61" s="306" t="s">
        <v>1173</v>
      </c>
      <c r="M61" s="305" t="s">
        <v>1328</v>
      </c>
      <c r="N61" s="309" t="s">
        <v>1228</v>
      </c>
    </row>
    <row r="62" spans="1:14" s="279" customFormat="1" ht="24">
      <c r="A62" s="304" t="s">
        <v>1305</v>
      </c>
      <c r="B62" s="305"/>
      <c r="C62" s="305" t="s">
        <v>1306</v>
      </c>
      <c r="D62" s="305" t="s">
        <v>280</v>
      </c>
      <c r="E62" s="305"/>
      <c r="F62" s="305" t="s">
        <v>239</v>
      </c>
      <c r="G62" s="306" t="s">
        <v>23</v>
      </c>
      <c r="H62" s="306"/>
      <c r="I62" s="305" t="s">
        <v>162</v>
      </c>
      <c r="J62" s="308">
        <v>14000</v>
      </c>
      <c r="K62" s="306"/>
      <c r="L62" s="306"/>
      <c r="M62" s="305" t="s">
        <v>1328</v>
      </c>
      <c r="N62" s="309"/>
    </row>
    <row r="63" spans="1:14" s="279" customFormat="1" ht="24">
      <c r="A63" s="310" t="s">
        <v>1307</v>
      </c>
      <c r="B63" s="311"/>
      <c r="C63" s="311" t="s">
        <v>282</v>
      </c>
      <c r="D63" s="311" t="s">
        <v>283</v>
      </c>
      <c r="E63" s="311"/>
      <c r="F63" s="311" t="s">
        <v>97</v>
      </c>
      <c r="G63" s="312"/>
      <c r="H63" s="312"/>
      <c r="I63" s="313" t="s">
        <v>162</v>
      </c>
      <c r="J63" s="314"/>
      <c r="K63" s="312"/>
      <c r="L63" s="313"/>
      <c r="M63" s="311" t="s">
        <v>1328</v>
      </c>
      <c r="N63" s="315"/>
    </row>
    <row r="64" spans="1:14" s="279" customFormat="1" ht="24">
      <c r="A64" s="310" t="s">
        <v>1308</v>
      </c>
      <c r="B64" s="311"/>
      <c r="C64" s="311" t="s">
        <v>1174</v>
      </c>
      <c r="D64" s="311" t="s">
        <v>280</v>
      </c>
      <c r="E64" s="311"/>
      <c r="F64" s="311" t="s">
        <v>97</v>
      </c>
      <c r="G64" s="312" t="s">
        <v>1134</v>
      </c>
      <c r="H64" s="312"/>
      <c r="I64" s="313" t="s">
        <v>162</v>
      </c>
      <c r="J64" s="314">
        <v>130187</v>
      </c>
      <c r="K64" s="312"/>
      <c r="L64" s="313" t="s">
        <v>1175</v>
      </c>
      <c r="M64" s="311" t="s">
        <v>1328</v>
      </c>
      <c r="N64" s="315"/>
    </row>
    <row r="65" spans="1:14" s="279" customFormat="1" ht="24">
      <c r="A65" s="310" t="s">
        <v>1309</v>
      </c>
      <c r="B65" s="311"/>
      <c r="C65" s="311" t="s">
        <v>286</v>
      </c>
      <c r="D65" s="311" t="s">
        <v>287</v>
      </c>
      <c r="E65" s="311"/>
      <c r="F65" s="311" t="s">
        <v>97</v>
      </c>
      <c r="G65" s="312"/>
      <c r="H65" s="312"/>
      <c r="I65" s="313" t="s">
        <v>162</v>
      </c>
      <c r="J65" s="314"/>
      <c r="K65" s="312"/>
      <c r="L65" s="313" t="s">
        <v>59</v>
      </c>
      <c r="M65" s="311" t="s">
        <v>1328</v>
      </c>
      <c r="N65" s="315"/>
    </row>
    <row r="66" spans="1:14" s="279" customFormat="1" ht="24">
      <c r="A66" s="310" t="s">
        <v>1311</v>
      </c>
      <c r="B66" s="311"/>
      <c r="C66" s="311" t="s">
        <v>1310</v>
      </c>
      <c r="D66" s="311" t="s">
        <v>291</v>
      </c>
      <c r="E66" s="311"/>
      <c r="F66" s="311" t="s">
        <v>171</v>
      </c>
      <c r="G66" s="311" t="s">
        <v>23</v>
      </c>
      <c r="H66" s="311"/>
      <c r="I66" s="313" t="s">
        <v>162</v>
      </c>
      <c r="J66" s="316">
        <v>7000</v>
      </c>
      <c r="K66" s="311"/>
      <c r="L66" s="311"/>
      <c r="M66" s="311" t="s">
        <v>1328</v>
      </c>
      <c r="N66" s="315"/>
    </row>
    <row r="67" spans="1:14" s="279" customFormat="1" ht="36">
      <c r="A67" s="317" t="s">
        <v>1312</v>
      </c>
      <c r="B67" s="318"/>
      <c r="C67" s="318" t="s">
        <v>294</v>
      </c>
      <c r="D67" s="318" t="s">
        <v>295</v>
      </c>
      <c r="E67" s="318" t="s">
        <v>296</v>
      </c>
      <c r="F67" s="318" t="s">
        <v>297</v>
      </c>
      <c r="G67" s="319"/>
      <c r="H67" s="319"/>
      <c r="I67" s="320" t="s">
        <v>114</v>
      </c>
      <c r="J67" s="321"/>
      <c r="K67" s="319"/>
      <c r="L67" s="320" t="s">
        <v>298</v>
      </c>
      <c r="M67" s="318" t="s">
        <v>1328</v>
      </c>
      <c r="N67" s="322" t="s">
        <v>1228</v>
      </c>
    </row>
    <row r="68" spans="1:14" s="279" customFormat="1" ht="36">
      <c r="A68" s="317" t="s">
        <v>1313</v>
      </c>
      <c r="B68" s="323"/>
      <c r="C68" s="324" t="s">
        <v>1161</v>
      </c>
      <c r="D68" s="324" t="s">
        <v>1067</v>
      </c>
      <c r="E68" s="318" t="s">
        <v>1163</v>
      </c>
      <c r="F68" s="318" t="s">
        <v>306</v>
      </c>
      <c r="G68" s="318"/>
      <c r="H68" s="318"/>
      <c r="I68" s="318" t="s">
        <v>114</v>
      </c>
      <c r="J68" s="325"/>
      <c r="K68" s="318"/>
      <c r="L68" s="318" t="s">
        <v>59</v>
      </c>
      <c r="M68" s="318" t="s">
        <v>1328</v>
      </c>
      <c r="N68" s="322"/>
    </row>
    <row r="69" spans="1:14" s="279" customFormat="1" ht="24">
      <c r="A69" s="317" t="s">
        <v>1314</v>
      </c>
      <c r="B69" s="318"/>
      <c r="C69" s="318" t="s">
        <v>300</v>
      </c>
      <c r="D69" s="318" t="s">
        <v>301</v>
      </c>
      <c r="E69" s="318"/>
      <c r="F69" s="318" t="s">
        <v>297</v>
      </c>
      <c r="G69" s="319" t="s">
        <v>24</v>
      </c>
      <c r="H69" s="319"/>
      <c r="I69" s="320" t="s">
        <v>114</v>
      </c>
      <c r="J69" s="321"/>
      <c r="K69" s="319"/>
      <c r="L69" s="320"/>
      <c r="M69" s="318" t="s">
        <v>1328</v>
      </c>
      <c r="N69" s="322"/>
    </row>
    <row r="70" spans="1:14" s="279" customFormat="1" ht="48">
      <c r="A70" s="317" t="s">
        <v>1315</v>
      </c>
      <c r="B70" s="318"/>
      <c r="C70" s="318" t="s">
        <v>304</v>
      </c>
      <c r="D70" s="318" t="s">
        <v>305</v>
      </c>
      <c r="E70" s="318"/>
      <c r="F70" s="318" t="s">
        <v>306</v>
      </c>
      <c r="G70" s="318"/>
      <c r="H70" s="318"/>
      <c r="I70" s="320" t="s">
        <v>114</v>
      </c>
      <c r="J70" s="318"/>
      <c r="K70" s="318"/>
      <c r="L70" s="318" t="s">
        <v>307</v>
      </c>
      <c r="M70" s="318" t="s">
        <v>1328</v>
      </c>
      <c r="N70" s="322" t="s">
        <v>1228</v>
      </c>
    </row>
    <row r="71" spans="1:14" s="279" customFormat="1" ht="24">
      <c r="A71" s="317" t="s">
        <v>1317</v>
      </c>
      <c r="B71" s="318"/>
      <c r="C71" s="318" t="s">
        <v>309</v>
      </c>
      <c r="D71" s="318" t="s">
        <v>310</v>
      </c>
      <c r="E71" s="318"/>
      <c r="F71" s="318" t="s">
        <v>297</v>
      </c>
      <c r="G71" s="319"/>
      <c r="H71" s="319"/>
      <c r="I71" s="320" t="s">
        <v>114</v>
      </c>
      <c r="J71" s="321"/>
      <c r="K71" s="319"/>
      <c r="L71" s="320"/>
      <c r="M71" s="318" t="s">
        <v>1328</v>
      </c>
      <c r="N71" s="322"/>
    </row>
    <row r="72" spans="1:14" s="84" customFormat="1" ht="24.5" thickBot="1">
      <c r="A72" s="326" t="s">
        <v>1316</v>
      </c>
      <c r="B72" s="327"/>
      <c r="C72" s="327" t="s">
        <v>313</v>
      </c>
      <c r="D72" s="327" t="s">
        <v>314</v>
      </c>
      <c r="E72" s="327"/>
      <c r="F72" s="327" t="s">
        <v>297</v>
      </c>
      <c r="G72" s="328"/>
      <c r="H72" s="328"/>
      <c r="I72" s="329" t="s">
        <v>114</v>
      </c>
      <c r="J72" s="330"/>
      <c r="K72" s="328"/>
      <c r="L72" s="329"/>
      <c r="M72" s="327" t="s">
        <v>1328</v>
      </c>
      <c r="N72" s="331"/>
    </row>
    <row r="73" spans="1:14" s="84" customFormat="1" ht="12"/>
    <row r="74" spans="1:14" s="84" customFormat="1" ht="12"/>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14:formula1>
            <xm:f>Llistes!#REF!</xm:f>
          </x14:formula1>
          <xm:sqref>F2:F72</xm:sqref>
        </x14:dataValidation>
        <x14:dataValidation type="list" allowBlank="1" showInputMessage="1" showErrorMessage="1">
          <x14:formula1>
            <xm:f>Llistes!#REF!</xm:f>
          </x14:formula1>
          <xm:sqref>I2:I72</xm:sqref>
        </x14:dataValidation>
        <x14:dataValidation type="list" allowBlank="1" showInputMessage="1" showErrorMessage="1">
          <x14:formula1>
            <xm:f>Llistes!#REF!</xm:f>
          </x14:formula1>
          <xm:sqref>G2:G72</xm:sqref>
        </x14:dataValidation>
        <x14:dataValidation type="list" allowBlank="1" showInputMessage="1" showErrorMessage="1">
          <x14:formula1>
            <xm:f>'[Model Programa actuacions del Pla Estrategic ENP_finalUIC.xlsx]PLA ESTRATÈGIC'!#REF!</xm:f>
          </x14:formula1>
          <xm:sqref>D73:D1048576</xm:sqref>
        </x14:dataValidation>
        <x14:dataValidation type="list" allowBlank="1" showInputMessage="1" showErrorMessage="1">
          <x14:formula1>
            <xm:f>INDIRECT(VLOOKUP(#REF!,'[Model Programa actuacions del Pla Estrategic ENP_finalUIC.xlsx]Gestors'!#REF!,2,FALSE))</xm:f>
          </x14:formula1>
          <xm:sqref>M2:M1048576</xm:sqref>
        </x14:dataValidation>
        <x14:dataValidation type="list" allowBlank="1" showInputMessage="1" showErrorMessage="1" errorTitle="Camp obligatori" error="Aquest camp és obligatori i ha de respondre's &quot;Sí&quot; o &quot;No&quot;">
          <x14:formula1>
            <xm:f>'[Model Programa actuacions del Pla Estrategic ENP_finalUIC.xlsx]Llistes'!#REF!</xm:f>
          </x14:formula1>
          <xm:sqref>N73:N1048576</xm:sqref>
        </x14:dataValidation>
        <x14:dataValidation type="list" allowBlank="1" showInputMessage="1" showErrorMessage="1">
          <x14:formula1>
            <xm:f>'[Model Programa actuacions del Pla Estrategic ENP_finalUIC.xlsx]Llistes'!#REF!</xm:f>
          </x14:formula1>
          <xm:sqref>F73:F1048576 F1</xm:sqref>
        </x14:dataValidation>
        <x14:dataValidation type="list" allowBlank="1" showInputMessage="1" showErrorMessage="1">
          <x14:formula1>
            <xm:f>'[Model Programa actuacions del Pla Estrategic ENP_finalUIC.xlsx]Llistes'!#REF!</xm:f>
          </x14:formula1>
          <xm:sqref>H73:H1048576 H1</xm:sqref>
        </x14:dataValidation>
        <x14:dataValidation type="list" allowBlank="1" showInputMessage="1" showErrorMessage="1">
          <x14:formula1>
            <xm:f>'[Model Programa actuacions del Pla Estrategic ENP_finalUIC.xlsx]Llistes'!#REF!</xm:f>
          </x14:formula1>
          <xm:sqref>I73:I1048576 I1</xm:sqref>
        </x14:dataValidation>
        <x14:dataValidation type="list" allowBlank="1" showInputMessage="1" showErrorMessage="1">
          <x14:formula1>
            <xm:f>'[Model Programa actuacions del Pla Estrategic ENP_finalUIC.xlsx]Llistes'!#REF!</xm:f>
          </x14:formula1>
          <xm:sqref>G73:G1048576 G1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L82"/>
  <sheetViews>
    <sheetView topLeftCell="A27" workbookViewId="0">
      <selection activeCell="C35" sqref="C35"/>
    </sheetView>
  </sheetViews>
  <sheetFormatPr defaultRowHeight="12"/>
  <cols>
    <col min="1" max="1" width="12.1796875" style="53" customWidth="1"/>
    <col min="2" max="2" width="10.1796875" style="53" customWidth="1"/>
    <col min="3" max="3" width="38.1796875" style="53" customWidth="1"/>
    <col min="4" max="4" width="19.453125" style="53" customWidth="1"/>
    <col min="5" max="5" width="23.453125" style="53" customWidth="1"/>
    <col min="6" max="6" width="20.453125" style="53" customWidth="1"/>
    <col min="7" max="7" width="26.54296875" style="53" customWidth="1"/>
    <col min="8" max="8" width="9.1796875" style="53" customWidth="1"/>
    <col min="9" max="9" width="45.1796875" style="101" customWidth="1"/>
    <col min="10" max="10" width="12.1796875" style="102" customWidth="1"/>
    <col min="11" max="11" width="23" style="53" customWidth="1"/>
    <col min="12" max="12" width="34.26953125" style="101" customWidth="1"/>
    <col min="13" max="16384" width="8.7265625" style="53"/>
  </cols>
  <sheetData>
    <row r="1" spans="1:12">
      <c r="B1" s="100" t="s">
        <v>37</v>
      </c>
      <c r="C1" s="100"/>
    </row>
    <row r="2" spans="1:12" ht="12.5" thickBot="1"/>
    <row r="3" spans="1:12" s="110" customFormat="1" ht="36">
      <c r="A3" s="103" t="s">
        <v>38</v>
      </c>
      <c r="B3" s="104" t="s">
        <v>39</v>
      </c>
      <c r="C3" s="104" t="s">
        <v>40</v>
      </c>
      <c r="D3" s="105" t="s">
        <v>41</v>
      </c>
      <c r="E3" s="105" t="s">
        <v>42</v>
      </c>
      <c r="F3" s="106" t="s">
        <v>43</v>
      </c>
      <c r="G3" s="105" t="s">
        <v>22</v>
      </c>
      <c r="H3" s="107" t="s">
        <v>44</v>
      </c>
      <c r="I3" s="105" t="s">
        <v>45</v>
      </c>
      <c r="J3" s="108" t="s">
        <v>46</v>
      </c>
      <c r="K3" s="107" t="s">
        <v>47</v>
      </c>
      <c r="L3" s="109" t="s">
        <v>48</v>
      </c>
    </row>
    <row r="4" spans="1:12">
      <c r="A4" s="111" t="s">
        <v>49</v>
      </c>
      <c r="B4" s="80"/>
      <c r="C4" s="81" t="s">
        <v>50</v>
      </c>
      <c r="D4" s="81" t="s">
        <v>51</v>
      </c>
      <c r="E4" s="82" t="s">
        <v>52</v>
      </c>
      <c r="F4" s="82" t="s">
        <v>53</v>
      </c>
      <c r="G4" s="82"/>
      <c r="H4" s="82"/>
      <c r="I4" s="82" t="s">
        <v>54</v>
      </c>
      <c r="J4" s="112"/>
      <c r="K4" s="82"/>
      <c r="L4" s="113" t="s">
        <v>55</v>
      </c>
    </row>
    <row r="5" spans="1:12" ht="24">
      <c r="A5" s="111" t="s">
        <v>56</v>
      </c>
      <c r="B5" s="80"/>
      <c r="C5" s="81" t="s">
        <v>57</v>
      </c>
      <c r="D5" s="81" t="s">
        <v>51</v>
      </c>
      <c r="E5" s="81" t="s">
        <v>58</v>
      </c>
      <c r="F5" s="82" t="s">
        <v>53</v>
      </c>
      <c r="G5" s="81"/>
      <c r="H5" s="81"/>
      <c r="I5" s="81" t="s">
        <v>54</v>
      </c>
      <c r="J5" s="114"/>
      <c r="K5" s="81"/>
      <c r="L5" s="113" t="s">
        <v>59</v>
      </c>
    </row>
    <row r="6" spans="1:12" ht="36">
      <c r="A6" s="111" t="s">
        <v>60</v>
      </c>
      <c r="B6" s="80"/>
      <c r="C6" s="81" t="s">
        <v>61</v>
      </c>
      <c r="D6" s="81" t="s">
        <v>62</v>
      </c>
      <c r="E6" s="82"/>
      <c r="F6" s="82" t="s">
        <v>53</v>
      </c>
      <c r="G6" s="82"/>
      <c r="H6" s="82"/>
      <c r="I6" s="82" t="s">
        <v>54</v>
      </c>
      <c r="J6" s="112"/>
      <c r="K6" s="82"/>
      <c r="L6" s="115" t="s">
        <v>59</v>
      </c>
    </row>
    <row r="7" spans="1:12" ht="24">
      <c r="A7" s="111" t="s">
        <v>63</v>
      </c>
      <c r="B7" s="80"/>
      <c r="C7" s="81" t="s">
        <v>64</v>
      </c>
      <c r="D7" s="81" t="s">
        <v>65</v>
      </c>
      <c r="E7" s="82" t="s">
        <v>66</v>
      </c>
      <c r="F7" s="82" t="s">
        <v>53</v>
      </c>
      <c r="G7" s="82"/>
      <c r="H7" s="82"/>
      <c r="I7" s="82" t="s">
        <v>67</v>
      </c>
      <c r="J7" s="112"/>
      <c r="K7" s="82"/>
      <c r="L7" s="115" t="s">
        <v>59</v>
      </c>
    </row>
    <row r="8" spans="1:12" ht="24">
      <c r="A8" s="111" t="s">
        <v>68</v>
      </c>
      <c r="B8" s="80"/>
      <c r="C8" s="81" t="s">
        <v>69</v>
      </c>
      <c r="D8" s="81" t="s">
        <v>65</v>
      </c>
      <c r="E8" s="82" t="s">
        <v>70</v>
      </c>
      <c r="F8" s="82" t="s">
        <v>53</v>
      </c>
      <c r="G8" s="82" t="s">
        <v>28</v>
      </c>
      <c r="H8" s="82"/>
      <c r="I8" s="82" t="s">
        <v>67</v>
      </c>
      <c r="J8" s="112"/>
      <c r="K8" s="82"/>
      <c r="L8" s="115"/>
    </row>
    <row r="9" spans="1:12" ht="36">
      <c r="A9" s="111" t="s">
        <v>71</v>
      </c>
      <c r="B9" s="80"/>
      <c r="C9" s="83" t="s">
        <v>72</v>
      </c>
      <c r="D9" s="81" t="s">
        <v>65</v>
      </c>
      <c r="E9" s="82" t="s">
        <v>73</v>
      </c>
      <c r="F9" s="82" t="s">
        <v>53</v>
      </c>
      <c r="G9" s="82" t="s">
        <v>29</v>
      </c>
      <c r="H9" s="82"/>
      <c r="I9" s="82" t="s">
        <v>74</v>
      </c>
      <c r="J9" s="112"/>
      <c r="K9" s="82"/>
      <c r="L9" s="115" t="s">
        <v>75</v>
      </c>
    </row>
    <row r="10" spans="1:12" ht="24">
      <c r="A10" s="111" t="s">
        <v>76</v>
      </c>
      <c r="B10" s="80"/>
      <c r="C10" s="81" t="s">
        <v>77</v>
      </c>
      <c r="D10" s="81" t="s">
        <v>65</v>
      </c>
      <c r="E10" s="82" t="s">
        <v>78</v>
      </c>
      <c r="F10" s="82" t="s">
        <v>53</v>
      </c>
      <c r="G10" s="82" t="s">
        <v>29</v>
      </c>
      <c r="H10" s="82"/>
      <c r="I10" s="82" t="s">
        <v>74</v>
      </c>
      <c r="J10" s="112"/>
      <c r="K10" s="82"/>
      <c r="L10" s="115"/>
    </row>
    <row r="11" spans="1:12" ht="36">
      <c r="A11" s="111" t="s">
        <v>79</v>
      </c>
      <c r="B11" s="80"/>
      <c r="C11" s="81" t="s">
        <v>80</v>
      </c>
      <c r="D11" s="81" t="s">
        <v>81</v>
      </c>
      <c r="E11" s="82"/>
      <c r="F11" s="82" t="s">
        <v>53</v>
      </c>
      <c r="G11" s="82"/>
      <c r="H11" s="82"/>
      <c r="I11" s="82" t="s">
        <v>82</v>
      </c>
      <c r="J11" s="112"/>
      <c r="K11" s="82"/>
      <c r="L11" s="115" t="s">
        <v>1168</v>
      </c>
    </row>
    <row r="12" spans="1:12" ht="24">
      <c r="A12" s="111" t="s">
        <v>83</v>
      </c>
      <c r="B12" s="80"/>
      <c r="C12" s="81" t="s">
        <v>84</v>
      </c>
      <c r="D12" s="81" t="s">
        <v>81</v>
      </c>
      <c r="E12" s="82"/>
      <c r="F12" s="82" t="s">
        <v>53</v>
      </c>
      <c r="G12" s="82" t="s">
        <v>28</v>
      </c>
      <c r="H12" s="82"/>
      <c r="I12" s="82" t="s">
        <v>85</v>
      </c>
      <c r="J12" s="112"/>
      <c r="K12" s="82"/>
      <c r="L12" s="115"/>
    </row>
    <row r="13" spans="1:12" ht="24">
      <c r="A13" s="111" t="s">
        <v>86</v>
      </c>
      <c r="B13" s="80"/>
      <c r="C13" s="81" t="s">
        <v>87</v>
      </c>
      <c r="D13" s="81" t="s">
        <v>88</v>
      </c>
      <c r="E13" s="82" t="s">
        <v>89</v>
      </c>
      <c r="F13" s="82" t="s">
        <v>53</v>
      </c>
      <c r="G13" s="82" t="s">
        <v>28</v>
      </c>
      <c r="H13" s="82"/>
      <c r="I13" s="82" t="s">
        <v>67</v>
      </c>
      <c r="J13" s="112"/>
      <c r="K13" s="82"/>
      <c r="L13" s="115" t="s">
        <v>90</v>
      </c>
    </row>
    <row r="14" spans="1:12" ht="36">
      <c r="A14" s="111" t="s">
        <v>91</v>
      </c>
      <c r="B14" s="80"/>
      <c r="C14" s="81" t="s">
        <v>33</v>
      </c>
      <c r="D14" s="81" t="s">
        <v>88</v>
      </c>
      <c r="E14" s="82" t="s">
        <v>92</v>
      </c>
      <c r="F14" s="82" t="s">
        <v>53</v>
      </c>
      <c r="G14" s="82" t="s">
        <v>23</v>
      </c>
      <c r="H14" s="82"/>
      <c r="I14" s="82" t="s">
        <v>67</v>
      </c>
      <c r="J14" s="112">
        <v>10000</v>
      </c>
      <c r="K14" s="82"/>
      <c r="L14" s="115" t="s">
        <v>93</v>
      </c>
    </row>
    <row r="15" spans="1:12" ht="24">
      <c r="A15" s="111" t="s">
        <v>94</v>
      </c>
      <c r="B15" s="80"/>
      <c r="C15" s="81" t="s">
        <v>32</v>
      </c>
      <c r="D15" s="81" t="s">
        <v>95</v>
      </c>
      <c r="E15" s="82" t="s">
        <v>96</v>
      </c>
      <c r="F15" s="82" t="s">
        <v>97</v>
      </c>
      <c r="G15" s="82" t="s">
        <v>23</v>
      </c>
      <c r="H15" s="82"/>
      <c r="I15" s="82" t="s">
        <v>85</v>
      </c>
      <c r="J15" s="112">
        <v>14000</v>
      </c>
      <c r="K15" s="82"/>
      <c r="L15" s="115" t="s">
        <v>98</v>
      </c>
    </row>
    <row r="16" spans="1:12" ht="24.5" thickBot="1">
      <c r="A16" s="111" t="s">
        <v>99</v>
      </c>
      <c r="B16" s="80"/>
      <c r="C16" s="81" t="s">
        <v>31</v>
      </c>
      <c r="D16" s="81" t="s">
        <v>100</v>
      </c>
      <c r="E16" s="82" t="s">
        <v>101</v>
      </c>
      <c r="F16" s="82" t="s">
        <v>102</v>
      </c>
      <c r="G16" s="82" t="s">
        <v>23</v>
      </c>
      <c r="H16" s="82"/>
      <c r="I16" s="82" t="s">
        <v>85</v>
      </c>
      <c r="J16" s="112">
        <v>100000</v>
      </c>
      <c r="K16" s="82"/>
      <c r="L16" s="187" t="s">
        <v>1169</v>
      </c>
    </row>
    <row r="17" spans="1:12" ht="36">
      <c r="A17" s="111" t="s">
        <v>103</v>
      </c>
      <c r="B17" s="80"/>
      <c r="C17" s="81" t="s">
        <v>104</v>
      </c>
      <c r="D17" s="81" t="s">
        <v>105</v>
      </c>
      <c r="E17" s="82" t="s">
        <v>73</v>
      </c>
      <c r="F17" s="82" t="s">
        <v>53</v>
      </c>
      <c r="G17" s="82" t="s">
        <v>29</v>
      </c>
      <c r="H17" s="82"/>
      <c r="I17" s="82" t="s">
        <v>74</v>
      </c>
      <c r="J17" s="112"/>
      <c r="K17" s="82"/>
      <c r="L17" s="115"/>
    </row>
    <row r="18" spans="1:12" ht="36">
      <c r="A18" s="111" t="s">
        <v>1164</v>
      </c>
      <c r="B18" s="80"/>
      <c r="C18" s="188" t="s">
        <v>1165</v>
      </c>
      <c r="D18" s="81" t="s">
        <v>113</v>
      </c>
      <c r="E18" s="82"/>
      <c r="F18" s="82" t="s">
        <v>53</v>
      </c>
      <c r="G18" s="82"/>
      <c r="H18" s="82"/>
      <c r="I18" s="82" t="s">
        <v>114</v>
      </c>
      <c r="J18" s="112"/>
      <c r="K18" s="82"/>
      <c r="L18" s="116"/>
    </row>
    <row r="19" spans="1:12" ht="60">
      <c r="A19" s="111" t="s">
        <v>106</v>
      </c>
      <c r="B19" s="80"/>
      <c r="C19" s="81" t="s">
        <v>116</v>
      </c>
      <c r="D19" s="81" t="s">
        <v>117</v>
      </c>
      <c r="E19" s="82"/>
      <c r="F19" s="82" t="s">
        <v>53</v>
      </c>
      <c r="G19" s="82"/>
      <c r="H19" s="82"/>
      <c r="I19" s="82" t="s">
        <v>114</v>
      </c>
      <c r="J19" s="112"/>
      <c r="K19" s="82"/>
      <c r="L19" s="115" t="s">
        <v>59</v>
      </c>
    </row>
    <row r="20" spans="1:12" ht="36">
      <c r="A20" s="111" t="s">
        <v>108</v>
      </c>
      <c r="B20" s="80"/>
      <c r="C20" s="81" t="s">
        <v>119</v>
      </c>
      <c r="D20" s="81" t="s">
        <v>117</v>
      </c>
      <c r="E20" s="82" t="s">
        <v>120</v>
      </c>
      <c r="F20" s="82" t="s">
        <v>53</v>
      </c>
      <c r="G20" s="82"/>
      <c r="H20" s="82"/>
      <c r="I20" s="82" t="s">
        <v>67</v>
      </c>
      <c r="J20" s="112"/>
      <c r="K20" s="82"/>
      <c r="L20" s="115" t="s">
        <v>232</v>
      </c>
    </row>
    <row r="21" spans="1:12" ht="24">
      <c r="A21" s="111" t="s">
        <v>111</v>
      </c>
      <c r="B21" s="80"/>
      <c r="C21" s="81" t="s">
        <v>25</v>
      </c>
      <c r="D21" s="81" t="s">
        <v>117</v>
      </c>
      <c r="E21" s="82" t="s">
        <v>120</v>
      </c>
      <c r="F21" s="82" t="s">
        <v>53</v>
      </c>
      <c r="G21" s="82" t="s">
        <v>23</v>
      </c>
      <c r="H21" s="82"/>
      <c r="I21" s="82" t="s">
        <v>67</v>
      </c>
      <c r="J21" s="112">
        <v>8000</v>
      </c>
      <c r="K21" s="82"/>
      <c r="L21" s="115" t="s">
        <v>122</v>
      </c>
    </row>
    <row r="22" spans="1:12" ht="48">
      <c r="A22" s="111" t="s">
        <v>115</v>
      </c>
      <c r="B22" s="80"/>
      <c r="C22" s="81" t="s">
        <v>127</v>
      </c>
      <c r="D22" s="81" t="s">
        <v>109</v>
      </c>
      <c r="E22" s="82" t="s">
        <v>128</v>
      </c>
      <c r="F22" s="82" t="s">
        <v>53</v>
      </c>
      <c r="G22" s="82" t="s">
        <v>29</v>
      </c>
      <c r="H22" s="82"/>
      <c r="I22" s="82" t="s">
        <v>67</v>
      </c>
      <c r="J22" s="112"/>
      <c r="K22" s="82"/>
      <c r="L22" s="115" t="s">
        <v>129</v>
      </c>
    </row>
    <row r="23" spans="1:12" ht="24">
      <c r="A23" s="111" t="s">
        <v>118</v>
      </c>
      <c r="B23" s="80"/>
      <c r="C23" s="81" t="s">
        <v>35</v>
      </c>
      <c r="D23" s="81" t="s">
        <v>131</v>
      </c>
      <c r="E23" s="82" t="s">
        <v>132</v>
      </c>
      <c r="F23" s="82" t="s">
        <v>53</v>
      </c>
      <c r="G23" s="82" t="s">
        <v>23</v>
      </c>
      <c r="H23" s="82"/>
      <c r="I23" s="82" t="s">
        <v>54</v>
      </c>
      <c r="J23" s="112">
        <v>10000</v>
      </c>
      <c r="K23" s="82"/>
      <c r="L23" s="115"/>
    </row>
    <row r="24" spans="1:12" ht="24">
      <c r="A24" s="111" t="s">
        <v>121</v>
      </c>
      <c r="B24" s="80"/>
      <c r="C24" s="81" t="s">
        <v>134</v>
      </c>
      <c r="D24" s="81" t="s">
        <v>135</v>
      </c>
      <c r="E24" s="82"/>
      <c r="F24" s="82" t="s">
        <v>53</v>
      </c>
      <c r="G24" s="82"/>
      <c r="H24" s="82"/>
      <c r="I24" s="82" t="s">
        <v>136</v>
      </c>
      <c r="J24" s="112"/>
      <c r="K24" s="82"/>
      <c r="L24" s="115" t="s">
        <v>59</v>
      </c>
    </row>
    <row r="25" spans="1:12" ht="48">
      <c r="A25" s="111" t="s">
        <v>123</v>
      </c>
      <c r="B25" s="80"/>
      <c r="C25" s="81" t="s">
        <v>138</v>
      </c>
      <c r="D25" s="81" t="s">
        <v>139</v>
      </c>
      <c r="E25" s="82" t="s">
        <v>140</v>
      </c>
      <c r="F25" s="82" t="s">
        <v>53</v>
      </c>
      <c r="G25" s="82"/>
      <c r="H25" s="82"/>
      <c r="I25" s="82" t="s">
        <v>114</v>
      </c>
      <c r="J25" s="112"/>
      <c r="K25" s="82"/>
      <c r="L25" s="115" t="s">
        <v>59</v>
      </c>
    </row>
    <row r="26" spans="1:12" ht="36">
      <c r="A26" s="111" t="s">
        <v>126</v>
      </c>
      <c r="B26" s="80"/>
      <c r="C26" s="81" t="s">
        <v>1153</v>
      </c>
      <c r="D26" s="81" t="s">
        <v>141</v>
      </c>
      <c r="E26" s="82" t="s">
        <v>65</v>
      </c>
      <c r="F26" s="82" t="s">
        <v>53</v>
      </c>
      <c r="G26" s="82" t="s">
        <v>29</v>
      </c>
      <c r="H26" s="82"/>
      <c r="I26" s="82" t="s">
        <v>54</v>
      </c>
      <c r="J26" s="112">
        <f>3000*21</f>
        <v>63000</v>
      </c>
      <c r="K26" s="82"/>
      <c r="L26" s="115" t="s">
        <v>142</v>
      </c>
    </row>
    <row r="27" spans="1:12" ht="24">
      <c r="A27" s="111" t="s">
        <v>130</v>
      </c>
      <c r="B27" s="80"/>
      <c r="C27" s="81" t="s">
        <v>1154</v>
      </c>
      <c r="D27" s="81" t="s">
        <v>141</v>
      </c>
      <c r="E27" s="82" t="s">
        <v>65</v>
      </c>
      <c r="F27" s="82" t="s">
        <v>53</v>
      </c>
      <c r="G27" s="82" t="s">
        <v>24</v>
      </c>
      <c r="H27" s="82"/>
      <c r="I27" s="82" t="s">
        <v>54</v>
      </c>
      <c r="J27" s="112">
        <f>20*3000</f>
        <v>60000</v>
      </c>
      <c r="K27" s="82"/>
      <c r="L27" s="115" t="s">
        <v>1170</v>
      </c>
    </row>
    <row r="28" spans="1:12" ht="24">
      <c r="A28" s="111" t="s">
        <v>133</v>
      </c>
      <c r="B28" s="80"/>
      <c r="C28" s="81" t="s">
        <v>143</v>
      </c>
      <c r="D28" s="81"/>
      <c r="E28" s="82" t="s">
        <v>81</v>
      </c>
      <c r="F28" s="82" t="s">
        <v>53</v>
      </c>
      <c r="G28" s="82"/>
      <c r="H28" s="82"/>
      <c r="I28" s="82" t="s">
        <v>67</v>
      </c>
      <c r="J28" s="112"/>
      <c r="K28" s="82"/>
      <c r="L28" s="115"/>
    </row>
    <row r="29" spans="1:12" ht="48">
      <c r="A29" s="111" t="s">
        <v>137</v>
      </c>
      <c r="B29" s="80"/>
      <c r="C29" s="81" t="s">
        <v>144</v>
      </c>
      <c r="D29" s="81" t="s">
        <v>145</v>
      </c>
      <c r="E29" s="82" t="s">
        <v>81</v>
      </c>
      <c r="F29" s="82" t="s">
        <v>53</v>
      </c>
      <c r="G29" s="82"/>
      <c r="H29" s="82"/>
      <c r="I29" s="82" t="s">
        <v>67</v>
      </c>
      <c r="J29" s="112"/>
      <c r="K29" s="82"/>
      <c r="L29" s="115"/>
    </row>
    <row r="30" spans="1:12" ht="24">
      <c r="A30" s="117" t="s">
        <v>146</v>
      </c>
      <c r="B30" s="85"/>
      <c r="C30" s="85" t="s">
        <v>1160</v>
      </c>
      <c r="D30" s="85" t="s">
        <v>147</v>
      </c>
      <c r="E30" s="85"/>
      <c r="F30" s="85" t="s">
        <v>148</v>
      </c>
      <c r="G30" s="118" t="s">
        <v>23</v>
      </c>
      <c r="H30" s="118"/>
      <c r="I30" s="118" t="s">
        <v>149</v>
      </c>
      <c r="J30" s="119">
        <v>12000</v>
      </c>
      <c r="K30" s="118"/>
      <c r="L30" s="120"/>
    </row>
    <row r="31" spans="1:12" ht="24">
      <c r="A31" s="117" t="s">
        <v>150</v>
      </c>
      <c r="B31" s="85"/>
      <c r="C31" s="85" t="s">
        <v>151</v>
      </c>
      <c r="D31" s="85" t="s">
        <v>152</v>
      </c>
      <c r="E31" s="86"/>
      <c r="F31" s="85" t="s">
        <v>148</v>
      </c>
      <c r="G31" s="121"/>
      <c r="H31" s="121"/>
      <c r="I31" s="121" t="s">
        <v>149</v>
      </c>
      <c r="J31" s="122"/>
      <c r="K31" s="121"/>
      <c r="L31" s="123" t="s">
        <v>153</v>
      </c>
    </row>
    <row r="32" spans="1:12" ht="36">
      <c r="A32" s="117" t="s">
        <v>154</v>
      </c>
      <c r="B32" s="85"/>
      <c r="C32" s="85" t="s">
        <v>155</v>
      </c>
      <c r="D32" s="85" t="s">
        <v>156</v>
      </c>
      <c r="E32" s="85" t="s">
        <v>157</v>
      </c>
      <c r="F32" s="85" t="s">
        <v>148</v>
      </c>
      <c r="G32" s="118" t="s">
        <v>29</v>
      </c>
      <c r="H32" s="118"/>
      <c r="I32" s="118" t="s">
        <v>67</v>
      </c>
      <c r="J32" s="119">
        <v>0</v>
      </c>
      <c r="K32" s="118"/>
      <c r="L32" s="120" t="s">
        <v>1220</v>
      </c>
    </row>
    <row r="33" spans="1:12" ht="36">
      <c r="A33" s="117" t="s">
        <v>158</v>
      </c>
      <c r="B33" s="85"/>
      <c r="C33" s="85" t="s">
        <v>159</v>
      </c>
      <c r="D33" s="85" t="s">
        <v>160</v>
      </c>
      <c r="E33" s="85" t="s">
        <v>161</v>
      </c>
      <c r="F33" s="85" t="s">
        <v>148</v>
      </c>
      <c r="G33" s="118"/>
      <c r="H33" s="118"/>
      <c r="I33" s="118" t="s">
        <v>162</v>
      </c>
      <c r="J33" s="119"/>
      <c r="K33" s="118"/>
      <c r="L33" s="120" t="s">
        <v>163</v>
      </c>
    </row>
    <row r="34" spans="1:12" ht="36">
      <c r="A34" s="117" t="s">
        <v>164</v>
      </c>
      <c r="B34" s="85"/>
      <c r="C34" s="85" t="s">
        <v>165</v>
      </c>
      <c r="D34" s="85" t="s">
        <v>166</v>
      </c>
      <c r="E34" s="85"/>
      <c r="F34" s="85" t="s">
        <v>148</v>
      </c>
      <c r="G34" s="118"/>
      <c r="H34" s="118"/>
      <c r="I34" s="118" t="s">
        <v>162</v>
      </c>
      <c r="J34" s="119"/>
      <c r="K34" s="118"/>
      <c r="L34" s="120" t="s">
        <v>167</v>
      </c>
    </row>
    <row r="35" spans="1:12" ht="36">
      <c r="A35" s="117" t="s">
        <v>168</v>
      </c>
      <c r="B35" s="85"/>
      <c r="C35" s="85" t="s">
        <v>1166</v>
      </c>
      <c r="D35" s="85" t="s">
        <v>169</v>
      </c>
      <c r="E35" s="85"/>
      <c r="F35" s="85" t="s">
        <v>148</v>
      </c>
      <c r="G35" s="118" t="s">
        <v>29</v>
      </c>
      <c r="H35" s="118"/>
      <c r="I35" s="118" t="s">
        <v>74</v>
      </c>
      <c r="J35" s="119"/>
      <c r="K35" s="118"/>
      <c r="L35" s="120" t="s">
        <v>1171</v>
      </c>
    </row>
    <row r="36" spans="1:12" s="84" customFormat="1">
      <c r="A36" s="124" t="s">
        <v>172</v>
      </c>
      <c r="B36" s="87"/>
      <c r="C36" s="87" t="s">
        <v>173</v>
      </c>
      <c r="D36" s="87" t="s">
        <v>174</v>
      </c>
      <c r="E36" s="87"/>
      <c r="F36" s="87" t="s">
        <v>171</v>
      </c>
      <c r="G36" s="87" t="s">
        <v>28</v>
      </c>
      <c r="H36" s="87"/>
      <c r="I36" s="126" t="s">
        <v>136</v>
      </c>
      <c r="J36" s="87"/>
      <c r="K36" s="87"/>
      <c r="L36" s="88"/>
    </row>
    <row r="37" spans="1:12" ht="36">
      <c r="A37" s="124" t="s">
        <v>175</v>
      </c>
      <c r="B37" s="87"/>
      <c r="C37" s="87" t="s">
        <v>176</v>
      </c>
      <c r="D37" s="87" t="s">
        <v>174</v>
      </c>
      <c r="E37" s="87"/>
      <c r="F37" s="87" t="s">
        <v>171</v>
      </c>
      <c r="G37" s="87" t="s">
        <v>28</v>
      </c>
      <c r="H37" s="87"/>
      <c r="I37" s="126" t="s">
        <v>136</v>
      </c>
      <c r="J37" s="87"/>
      <c r="K37" s="87"/>
      <c r="L37" s="88"/>
    </row>
    <row r="38" spans="1:12" ht="36">
      <c r="A38" s="124" t="s">
        <v>177</v>
      </c>
      <c r="B38" s="87"/>
      <c r="C38" s="87" t="s">
        <v>178</v>
      </c>
      <c r="D38" s="87" t="s">
        <v>174</v>
      </c>
      <c r="E38" s="87"/>
      <c r="F38" s="87" t="s">
        <v>171</v>
      </c>
      <c r="G38" s="87" t="s">
        <v>28</v>
      </c>
      <c r="H38" s="87"/>
      <c r="I38" s="126" t="s">
        <v>136</v>
      </c>
      <c r="J38" s="87"/>
      <c r="K38" s="87"/>
      <c r="L38" s="88"/>
    </row>
    <row r="39" spans="1:12" ht="24">
      <c r="A39" s="124" t="s">
        <v>179</v>
      </c>
      <c r="B39" s="87"/>
      <c r="C39" s="87" t="s">
        <v>180</v>
      </c>
      <c r="D39" s="87" t="s">
        <v>174</v>
      </c>
      <c r="E39" s="87"/>
      <c r="F39" s="87" t="s">
        <v>171</v>
      </c>
      <c r="G39" s="87" t="s">
        <v>28</v>
      </c>
      <c r="H39" s="87"/>
      <c r="I39" s="126" t="s">
        <v>136</v>
      </c>
      <c r="J39" s="87"/>
      <c r="K39" s="87"/>
      <c r="L39" s="88"/>
    </row>
    <row r="40" spans="1:12">
      <c r="A40" s="124" t="s">
        <v>181</v>
      </c>
      <c r="B40" s="87"/>
      <c r="C40" s="87" t="s">
        <v>182</v>
      </c>
      <c r="D40" s="87" t="s">
        <v>174</v>
      </c>
      <c r="E40" s="87"/>
      <c r="F40" s="87" t="s">
        <v>171</v>
      </c>
      <c r="G40" s="87" t="s">
        <v>28</v>
      </c>
      <c r="H40" s="87"/>
      <c r="I40" s="126" t="s">
        <v>136</v>
      </c>
      <c r="J40" s="87"/>
      <c r="K40" s="87"/>
      <c r="L40" s="88"/>
    </row>
    <row r="41" spans="1:12">
      <c r="A41" s="124" t="s">
        <v>183</v>
      </c>
      <c r="B41" s="87"/>
      <c r="C41" s="87" t="s">
        <v>187</v>
      </c>
      <c r="D41" s="87" t="s">
        <v>174</v>
      </c>
      <c r="E41" s="87"/>
      <c r="F41" s="87" t="s">
        <v>171</v>
      </c>
      <c r="G41" s="87" t="s">
        <v>28</v>
      </c>
      <c r="H41" s="87"/>
      <c r="I41" s="126" t="s">
        <v>136</v>
      </c>
      <c r="J41" s="87"/>
      <c r="K41" s="87"/>
      <c r="L41" s="88"/>
    </row>
    <row r="42" spans="1:12">
      <c r="A42" s="124" t="s">
        <v>184</v>
      </c>
      <c r="B42" s="87"/>
      <c r="C42" s="87" t="s">
        <v>189</v>
      </c>
      <c r="D42" s="87" t="s">
        <v>174</v>
      </c>
      <c r="E42" s="87"/>
      <c r="F42" s="87" t="s">
        <v>171</v>
      </c>
      <c r="G42" s="87" t="s">
        <v>28</v>
      </c>
      <c r="H42" s="87"/>
      <c r="I42" s="126" t="s">
        <v>136</v>
      </c>
      <c r="J42" s="87"/>
      <c r="K42" s="87"/>
      <c r="L42" s="88"/>
    </row>
    <row r="43" spans="1:12" ht="50" customHeight="1">
      <c r="A43" s="124" t="s">
        <v>185</v>
      </c>
      <c r="B43" s="87"/>
      <c r="C43" s="89" t="s">
        <v>194</v>
      </c>
      <c r="D43" s="87" t="s">
        <v>195</v>
      </c>
      <c r="E43" s="87"/>
      <c r="F43" s="87" t="s">
        <v>171</v>
      </c>
      <c r="G43" s="125" t="s">
        <v>26</v>
      </c>
      <c r="H43" s="125"/>
      <c r="I43" s="126" t="s">
        <v>136</v>
      </c>
      <c r="J43" s="127">
        <v>25000</v>
      </c>
      <c r="K43" s="125"/>
      <c r="L43" s="128" t="s">
        <v>196</v>
      </c>
    </row>
    <row r="44" spans="1:12" ht="24">
      <c r="A44" s="124" t="s">
        <v>186</v>
      </c>
      <c r="B44" s="87"/>
      <c r="C44" s="87" t="s">
        <v>1172</v>
      </c>
      <c r="D44" s="87" t="s">
        <v>197</v>
      </c>
      <c r="E44" s="87"/>
      <c r="F44" s="87" t="s">
        <v>171</v>
      </c>
      <c r="G44" s="125"/>
      <c r="H44" s="125"/>
      <c r="I44" s="126" t="s">
        <v>136</v>
      </c>
      <c r="J44" s="127"/>
      <c r="K44" s="125"/>
      <c r="L44" s="128" t="s">
        <v>198</v>
      </c>
    </row>
    <row r="45" spans="1:12">
      <c r="A45" s="124" t="s">
        <v>188</v>
      </c>
      <c r="B45" s="87"/>
      <c r="C45" s="87" t="s">
        <v>30</v>
      </c>
      <c r="D45" s="90" t="s">
        <v>199</v>
      </c>
      <c r="E45" s="87"/>
      <c r="F45" s="87" t="s">
        <v>171</v>
      </c>
      <c r="G45" s="129" t="s">
        <v>23</v>
      </c>
      <c r="H45" s="130"/>
      <c r="I45" s="131" t="s">
        <v>149</v>
      </c>
      <c r="J45" s="132">
        <v>13000</v>
      </c>
      <c r="K45" s="130"/>
      <c r="L45" s="133"/>
    </row>
    <row r="46" spans="1:12" s="84" customFormat="1" ht="36">
      <c r="A46" s="124" t="s">
        <v>190</v>
      </c>
      <c r="B46" s="87"/>
      <c r="C46" s="87" t="s">
        <v>1155</v>
      </c>
      <c r="D46" s="87" t="s">
        <v>200</v>
      </c>
      <c r="E46" s="87" t="s">
        <v>191</v>
      </c>
      <c r="F46" s="87" t="s">
        <v>171</v>
      </c>
      <c r="G46" s="129" t="s">
        <v>23</v>
      </c>
      <c r="H46" s="129"/>
      <c r="I46" s="131" t="s">
        <v>149</v>
      </c>
      <c r="J46" s="134">
        <v>12000</v>
      </c>
      <c r="K46" s="129"/>
      <c r="L46" s="128" t="s">
        <v>192</v>
      </c>
    </row>
    <row r="47" spans="1:12" ht="24">
      <c r="A47" s="124" t="s">
        <v>193</v>
      </c>
      <c r="B47" s="87"/>
      <c r="C47" s="87" t="s">
        <v>201</v>
      </c>
      <c r="D47" s="87" t="s">
        <v>202</v>
      </c>
      <c r="E47" s="87"/>
      <c r="F47" s="87" t="s">
        <v>171</v>
      </c>
      <c r="G47" s="125"/>
      <c r="H47" s="125"/>
      <c r="I47" s="126" t="s">
        <v>149</v>
      </c>
      <c r="J47" s="127"/>
      <c r="K47" s="125"/>
      <c r="L47" s="128" t="s">
        <v>203</v>
      </c>
    </row>
    <row r="48" spans="1:12" ht="46" customHeight="1">
      <c r="A48" s="135" t="s">
        <v>204</v>
      </c>
      <c r="B48" s="91"/>
      <c r="C48" s="91" t="s">
        <v>1156</v>
      </c>
      <c r="D48" s="91" t="s">
        <v>205</v>
      </c>
      <c r="E48" s="91"/>
      <c r="F48" s="91" t="s">
        <v>102</v>
      </c>
      <c r="G48" s="136"/>
      <c r="H48" s="136"/>
      <c r="I48" s="137" t="s">
        <v>162</v>
      </c>
      <c r="J48" s="138"/>
      <c r="K48" s="136"/>
      <c r="L48" s="139"/>
    </row>
    <row r="49" spans="1:12" ht="24">
      <c r="A49" s="135" t="s">
        <v>206</v>
      </c>
      <c r="B49" s="91"/>
      <c r="C49" s="91" t="s">
        <v>207</v>
      </c>
      <c r="D49" s="91" t="s">
        <v>208</v>
      </c>
      <c r="E49" s="91"/>
      <c r="F49" s="91" t="s">
        <v>102</v>
      </c>
      <c r="G49" s="136" t="s">
        <v>24</v>
      </c>
      <c r="H49" s="136"/>
      <c r="I49" s="137" t="s">
        <v>162</v>
      </c>
      <c r="J49" s="138">
        <v>2000</v>
      </c>
      <c r="K49" s="136"/>
      <c r="L49" s="139" t="s">
        <v>209</v>
      </c>
    </row>
    <row r="50" spans="1:12" ht="36">
      <c r="A50" s="135" t="s">
        <v>210</v>
      </c>
      <c r="B50" s="91"/>
      <c r="C50" s="91" t="s">
        <v>1167</v>
      </c>
      <c r="D50" s="91" t="s">
        <v>208</v>
      </c>
      <c r="E50" s="91"/>
      <c r="F50" s="91" t="s">
        <v>102</v>
      </c>
      <c r="G50" s="136" t="s">
        <v>23</v>
      </c>
      <c r="H50" s="136"/>
      <c r="I50" s="137" t="s">
        <v>162</v>
      </c>
      <c r="J50" s="138">
        <v>12000</v>
      </c>
      <c r="K50" s="136"/>
      <c r="L50" s="139" t="s">
        <v>211</v>
      </c>
    </row>
    <row r="51" spans="1:12" ht="24">
      <c r="A51" s="135" t="s">
        <v>212</v>
      </c>
      <c r="B51" s="91"/>
      <c r="C51" s="91" t="s">
        <v>27</v>
      </c>
      <c r="D51" s="91" t="s">
        <v>208</v>
      </c>
      <c r="E51" s="91"/>
      <c r="F51" s="91" t="s">
        <v>102</v>
      </c>
      <c r="G51" s="136" t="s">
        <v>23</v>
      </c>
      <c r="H51" s="136"/>
      <c r="I51" s="137" t="s">
        <v>149</v>
      </c>
      <c r="J51" s="138">
        <v>3000</v>
      </c>
      <c r="K51" s="136"/>
      <c r="L51" s="139" t="s">
        <v>213</v>
      </c>
    </row>
    <row r="52" spans="1:12" ht="36">
      <c r="A52" s="135" t="s">
        <v>214</v>
      </c>
      <c r="B52" s="91"/>
      <c r="C52" s="91" t="s">
        <v>215</v>
      </c>
      <c r="D52" s="91" t="s">
        <v>216</v>
      </c>
      <c r="E52" s="91" t="s">
        <v>217</v>
      </c>
      <c r="F52" s="91" t="s">
        <v>102</v>
      </c>
      <c r="G52" s="140"/>
      <c r="H52" s="140"/>
      <c r="I52" s="141" t="s">
        <v>114</v>
      </c>
      <c r="J52" s="142"/>
      <c r="K52" s="140"/>
      <c r="L52" s="143" t="s">
        <v>59</v>
      </c>
    </row>
    <row r="53" spans="1:12" ht="36">
      <c r="A53" s="135" t="s">
        <v>218</v>
      </c>
      <c r="B53" s="91"/>
      <c r="C53" s="91" t="s">
        <v>219</v>
      </c>
      <c r="D53" s="91" t="s">
        <v>220</v>
      </c>
      <c r="E53" s="91" t="s">
        <v>221</v>
      </c>
      <c r="F53" s="91" t="s">
        <v>102</v>
      </c>
      <c r="G53" s="136"/>
      <c r="H53" s="136"/>
      <c r="I53" s="137" t="s">
        <v>114</v>
      </c>
      <c r="J53" s="138"/>
      <c r="K53" s="136"/>
      <c r="L53" s="139" t="s">
        <v>222</v>
      </c>
    </row>
    <row r="54" spans="1:12" ht="53" customHeight="1">
      <c r="A54" s="135" t="s">
        <v>223</v>
      </c>
      <c r="B54" s="91"/>
      <c r="C54" s="91" t="s">
        <v>1157</v>
      </c>
      <c r="D54" s="91" t="s">
        <v>224</v>
      </c>
      <c r="E54" s="91"/>
      <c r="F54" s="91" t="s">
        <v>102</v>
      </c>
      <c r="G54" s="136"/>
      <c r="H54" s="136"/>
      <c r="I54" s="137" t="s">
        <v>136</v>
      </c>
      <c r="J54" s="138"/>
      <c r="K54" s="136"/>
      <c r="L54" s="139" t="s">
        <v>225</v>
      </c>
    </row>
    <row r="55" spans="1:12">
      <c r="A55" s="135" t="s">
        <v>226</v>
      </c>
      <c r="B55" s="91"/>
      <c r="C55" s="91" t="s">
        <v>227</v>
      </c>
      <c r="D55" s="91" t="s">
        <v>228</v>
      </c>
      <c r="E55" s="91"/>
      <c r="F55" s="91" t="s">
        <v>102</v>
      </c>
      <c r="G55" s="91"/>
      <c r="H55" s="91"/>
      <c r="I55" s="91" t="s">
        <v>136</v>
      </c>
      <c r="J55" s="91"/>
      <c r="K55" s="91"/>
      <c r="L55" s="144"/>
    </row>
    <row r="56" spans="1:12" ht="24">
      <c r="A56" s="135" t="s">
        <v>229</v>
      </c>
      <c r="B56" s="91"/>
      <c r="C56" s="91" t="s">
        <v>230</v>
      </c>
      <c r="D56" s="91" t="s">
        <v>231</v>
      </c>
      <c r="E56" s="91"/>
      <c r="F56" s="91" t="s">
        <v>102</v>
      </c>
      <c r="G56" s="145"/>
      <c r="H56" s="145"/>
      <c r="I56" s="146" t="s">
        <v>82</v>
      </c>
      <c r="J56" s="142"/>
      <c r="K56" s="145"/>
      <c r="L56" s="147" t="s">
        <v>232</v>
      </c>
    </row>
    <row r="57" spans="1:12" ht="36">
      <c r="A57" s="135" t="s">
        <v>233</v>
      </c>
      <c r="B57" s="91"/>
      <c r="C57" s="91" t="s">
        <v>234</v>
      </c>
      <c r="D57" s="91" t="s">
        <v>231</v>
      </c>
      <c r="E57" s="91"/>
      <c r="F57" s="91" t="s">
        <v>102</v>
      </c>
      <c r="G57" s="140"/>
      <c r="H57" s="140"/>
      <c r="I57" s="141" t="s">
        <v>82</v>
      </c>
      <c r="J57" s="142"/>
      <c r="K57" s="140"/>
      <c r="L57" s="143" t="s">
        <v>235</v>
      </c>
    </row>
    <row r="58" spans="1:12" ht="36">
      <c r="A58" s="135" t="s">
        <v>1221</v>
      </c>
      <c r="B58" s="91"/>
      <c r="C58" s="91" t="s">
        <v>1222</v>
      </c>
      <c r="D58" s="91" t="s">
        <v>208</v>
      </c>
      <c r="E58" s="91"/>
      <c r="F58" s="91" t="s">
        <v>102</v>
      </c>
      <c r="G58" s="140" t="s">
        <v>23</v>
      </c>
      <c r="H58" s="140"/>
      <c r="I58" s="141" t="s">
        <v>114</v>
      </c>
      <c r="J58" s="142">
        <v>12000</v>
      </c>
      <c r="K58" s="140"/>
      <c r="L58" s="143"/>
    </row>
    <row r="59" spans="1:12" ht="24">
      <c r="A59" s="148" t="s">
        <v>236</v>
      </c>
      <c r="B59" s="92"/>
      <c r="C59" s="92" t="s">
        <v>237</v>
      </c>
      <c r="D59" s="92" t="s">
        <v>238</v>
      </c>
      <c r="E59" s="92"/>
      <c r="F59" s="92" t="s">
        <v>239</v>
      </c>
      <c r="G59" s="149"/>
      <c r="H59" s="149"/>
      <c r="I59" s="150" t="s">
        <v>136</v>
      </c>
      <c r="J59" s="151"/>
      <c r="K59" s="149"/>
      <c r="L59" s="152" t="s">
        <v>240</v>
      </c>
    </row>
    <row r="60" spans="1:12" s="84" customFormat="1" ht="36">
      <c r="A60" s="148" t="s">
        <v>241</v>
      </c>
      <c r="B60" s="92"/>
      <c r="C60" s="92" t="s">
        <v>242</v>
      </c>
      <c r="D60" s="92" t="s">
        <v>243</v>
      </c>
      <c r="E60" s="92" t="s">
        <v>244</v>
      </c>
      <c r="F60" s="92" t="s">
        <v>239</v>
      </c>
      <c r="G60" s="92"/>
      <c r="H60" s="92"/>
      <c r="I60" s="92" t="s">
        <v>162</v>
      </c>
      <c r="J60" s="92"/>
      <c r="K60" s="92"/>
      <c r="L60" s="153" t="s">
        <v>245</v>
      </c>
    </row>
    <row r="61" spans="1:12" ht="24">
      <c r="A61" s="148" t="s">
        <v>246</v>
      </c>
      <c r="B61" s="92"/>
      <c r="C61" s="92" t="s">
        <v>247</v>
      </c>
      <c r="D61" s="92" t="s">
        <v>248</v>
      </c>
      <c r="E61" s="92"/>
      <c r="F61" s="92" t="s">
        <v>239</v>
      </c>
      <c r="G61" s="154"/>
      <c r="H61" s="154"/>
      <c r="I61" s="92" t="s">
        <v>162</v>
      </c>
      <c r="J61" s="155"/>
      <c r="K61" s="154"/>
      <c r="L61" s="156" t="s">
        <v>249</v>
      </c>
    </row>
    <row r="62" spans="1:12" ht="24">
      <c r="A62" s="148" t="s">
        <v>250</v>
      </c>
      <c r="B62" s="92"/>
      <c r="C62" s="92" t="s">
        <v>251</v>
      </c>
      <c r="D62" s="92" t="s">
        <v>252</v>
      </c>
      <c r="E62" s="92" t="s">
        <v>253</v>
      </c>
      <c r="F62" s="92" t="s">
        <v>239</v>
      </c>
      <c r="G62" s="154"/>
      <c r="H62" s="154"/>
      <c r="I62" s="92" t="s">
        <v>162</v>
      </c>
      <c r="J62" s="155"/>
      <c r="K62" s="154"/>
      <c r="L62" s="156" t="s">
        <v>254</v>
      </c>
    </row>
    <row r="63" spans="1:12" ht="48">
      <c r="A63" s="148" t="s">
        <v>255</v>
      </c>
      <c r="B63" s="92"/>
      <c r="C63" s="92" t="s">
        <v>1158</v>
      </c>
      <c r="D63" s="92" t="s">
        <v>257</v>
      </c>
      <c r="E63" s="92"/>
      <c r="F63" s="92" t="s">
        <v>239</v>
      </c>
      <c r="G63" s="154"/>
      <c r="H63" s="154"/>
      <c r="I63" s="157" t="s">
        <v>54</v>
      </c>
      <c r="J63" s="155"/>
      <c r="K63" s="154"/>
      <c r="L63" s="156" t="s">
        <v>258</v>
      </c>
    </row>
    <row r="64" spans="1:12" ht="48">
      <c r="A64" s="148" t="s">
        <v>259</v>
      </c>
      <c r="B64" s="92"/>
      <c r="C64" s="92" t="s">
        <v>263</v>
      </c>
      <c r="D64" s="92" t="s">
        <v>261</v>
      </c>
      <c r="E64" s="92" t="s">
        <v>260</v>
      </c>
      <c r="F64" s="92" t="s">
        <v>239</v>
      </c>
      <c r="G64" s="158" t="s">
        <v>24</v>
      </c>
      <c r="H64" s="158"/>
      <c r="I64" s="92" t="s">
        <v>162</v>
      </c>
      <c r="J64" s="159">
        <v>13000</v>
      </c>
      <c r="K64" s="158"/>
      <c r="L64" s="160" t="s">
        <v>264</v>
      </c>
    </row>
    <row r="65" spans="1:12" ht="24">
      <c r="A65" s="148" t="s">
        <v>262</v>
      </c>
      <c r="B65" s="92"/>
      <c r="C65" s="92" t="s">
        <v>36</v>
      </c>
      <c r="D65" s="92" t="s">
        <v>261</v>
      </c>
      <c r="E65" s="92" t="s">
        <v>260</v>
      </c>
      <c r="F65" s="92" t="s">
        <v>239</v>
      </c>
      <c r="G65" s="154" t="s">
        <v>23</v>
      </c>
      <c r="H65" s="154"/>
      <c r="I65" s="92" t="s">
        <v>162</v>
      </c>
      <c r="J65" s="155">
        <v>11000</v>
      </c>
      <c r="K65" s="154"/>
      <c r="L65" s="156" t="s">
        <v>266</v>
      </c>
    </row>
    <row r="66" spans="1:12" ht="24">
      <c r="A66" s="148" t="s">
        <v>265</v>
      </c>
      <c r="B66" s="92"/>
      <c r="C66" s="92" t="s">
        <v>268</v>
      </c>
      <c r="D66" s="92" t="s">
        <v>261</v>
      </c>
      <c r="E66" s="92"/>
      <c r="F66" s="92" t="s">
        <v>239</v>
      </c>
      <c r="G66" s="154"/>
      <c r="H66" s="154"/>
      <c r="I66" s="92" t="s">
        <v>162</v>
      </c>
      <c r="J66" s="155"/>
      <c r="K66" s="154"/>
      <c r="L66" s="156" t="s">
        <v>269</v>
      </c>
    </row>
    <row r="67" spans="1:12" ht="36">
      <c r="A67" s="148" t="s">
        <v>267</v>
      </c>
      <c r="B67" s="92"/>
      <c r="C67" s="92" t="s">
        <v>34</v>
      </c>
      <c r="D67" s="92" t="s">
        <v>271</v>
      </c>
      <c r="E67" s="92"/>
      <c r="F67" s="92" t="s">
        <v>239</v>
      </c>
      <c r="G67" s="154" t="s">
        <v>23</v>
      </c>
      <c r="H67" s="154"/>
      <c r="I67" s="92" t="s">
        <v>162</v>
      </c>
      <c r="J67" s="155">
        <v>1000</v>
      </c>
      <c r="K67" s="154"/>
      <c r="L67" s="161" t="s">
        <v>272</v>
      </c>
    </row>
    <row r="68" spans="1:12" ht="24">
      <c r="A68" s="148" t="s">
        <v>270</v>
      </c>
      <c r="B68" s="92"/>
      <c r="C68" s="92" t="s">
        <v>274</v>
      </c>
      <c r="D68" s="92" t="s">
        <v>275</v>
      </c>
      <c r="E68" s="92"/>
      <c r="F68" s="92" t="s">
        <v>239</v>
      </c>
      <c r="G68" s="154"/>
      <c r="H68" s="154"/>
      <c r="I68" s="92" t="s">
        <v>162</v>
      </c>
      <c r="J68" s="155"/>
      <c r="K68" s="154"/>
      <c r="L68" s="162"/>
    </row>
    <row r="69" spans="1:12" ht="36">
      <c r="A69" s="148" t="s">
        <v>273</v>
      </c>
      <c r="B69" s="92"/>
      <c r="C69" s="92" t="s">
        <v>277</v>
      </c>
      <c r="D69" s="92" t="s">
        <v>278</v>
      </c>
      <c r="E69" s="92"/>
      <c r="F69" s="92" t="s">
        <v>239</v>
      </c>
      <c r="G69" s="92"/>
      <c r="H69" s="92"/>
      <c r="I69" s="92" t="s">
        <v>136</v>
      </c>
      <c r="J69" s="92"/>
      <c r="K69" s="92"/>
      <c r="L69" s="153"/>
    </row>
    <row r="70" spans="1:12" ht="48">
      <c r="A70" s="148" t="s">
        <v>276</v>
      </c>
      <c r="B70" s="92"/>
      <c r="C70" s="92" t="s">
        <v>279</v>
      </c>
      <c r="D70" s="92" t="s">
        <v>280</v>
      </c>
      <c r="E70" s="92"/>
      <c r="F70" s="92" t="s">
        <v>239</v>
      </c>
      <c r="G70" s="154" t="s">
        <v>1134</v>
      </c>
      <c r="H70" s="154"/>
      <c r="I70" s="92" t="s">
        <v>162</v>
      </c>
      <c r="J70" s="155"/>
      <c r="K70" s="154"/>
      <c r="L70" s="162" t="s">
        <v>1173</v>
      </c>
    </row>
    <row r="71" spans="1:12" ht="24">
      <c r="A71" s="163" t="s">
        <v>281</v>
      </c>
      <c r="B71" s="93"/>
      <c r="C71" s="93" t="s">
        <v>282</v>
      </c>
      <c r="D71" s="93" t="s">
        <v>283</v>
      </c>
      <c r="E71" s="93"/>
      <c r="F71" s="94" t="s">
        <v>97</v>
      </c>
      <c r="G71" s="164"/>
      <c r="H71" s="164"/>
      <c r="I71" s="165" t="s">
        <v>162</v>
      </c>
      <c r="J71" s="166"/>
      <c r="K71" s="164"/>
      <c r="L71" s="167"/>
    </row>
    <row r="72" spans="1:12" ht="24">
      <c r="A72" s="163" t="s">
        <v>284</v>
      </c>
      <c r="B72" s="93"/>
      <c r="C72" s="93" t="s">
        <v>1174</v>
      </c>
      <c r="D72" s="93" t="s">
        <v>280</v>
      </c>
      <c r="E72" s="93"/>
      <c r="F72" s="94" t="s">
        <v>97</v>
      </c>
      <c r="G72" s="164" t="s">
        <v>1134</v>
      </c>
      <c r="H72" s="164"/>
      <c r="I72" s="165" t="s">
        <v>162</v>
      </c>
      <c r="J72" s="166">
        <v>130187</v>
      </c>
      <c r="K72" s="164"/>
      <c r="L72" s="167" t="s">
        <v>1175</v>
      </c>
    </row>
    <row r="73" spans="1:12" ht="24">
      <c r="A73" s="163" t="s">
        <v>285</v>
      </c>
      <c r="B73" s="93"/>
      <c r="C73" s="93" t="s">
        <v>286</v>
      </c>
      <c r="D73" s="93" t="s">
        <v>287</v>
      </c>
      <c r="E73" s="93"/>
      <c r="F73" s="94" t="s">
        <v>97</v>
      </c>
      <c r="G73" s="168"/>
      <c r="H73" s="168"/>
      <c r="I73" s="165" t="s">
        <v>162</v>
      </c>
      <c r="J73" s="169"/>
      <c r="K73" s="168"/>
      <c r="L73" s="170" t="s">
        <v>59</v>
      </c>
    </row>
    <row r="74" spans="1:12" ht="36">
      <c r="A74" s="163" t="s">
        <v>288</v>
      </c>
      <c r="B74" s="93"/>
      <c r="C74" s="93" t="s">
        <v>1159</v>
      </c>
      <c r="D74" s="93" t="s">
        <v>291</v>
      </c>
      <c r="E74" s="93"/>
      <c r="F74" s="93" t="s">
        <v>171</v>
      </c>
      <c r="G74" s="93" t="s">
        <v>23</v>
      </c>
      <c r="H74" s="93"/>
      <c r="I74" s="165" t="s">
        <v>162</v>
      </c>
      <c r="J74" s="171">
        <v>7000</v>
      </c>
      <c r="K74" s="93"/>
      <c r="L74" s="172" t="s">
        <v>292</v>
      </c>
    </row>
    <row r="75" spans="1:12" ht="36">
      <c r="A75" s="173" t="s">
        <v>293</v>
      </c>
      <c r="B75" s="95"/>
      <c r="C75" s="95" t="s">
        <v>294</v>
      </c>
      <c r="D75" s="95" t="s">
        <v>295</v>
      </c>
      <c r="E75" s="95" t="s">
        <v>296</v>
      </c>
      <c r="F75" s="96" t="s">
        <v>297</v>
      </c>
      <c r="G75" s="174"/>
      <c r="H75" s="174"/>
      <c r="I75" s="175" t="s">
        <v>114</v>
      </c>
      <c r="J75" s="176"/>
      <c r="K75" s="174"/>
      <c r="L75" s="177" t="s">
        <v>298</v>
      </c>
    </row>
    <row r="76" spans="1:12" ht="36">
      <c r="A76" s="173" t="s">
        <v>299</v>
      </c>
      <c r="B76" s="181"/>
      <c r="C76" s="182" t="s">
        <v>1161</v>
      </c>
      <c r="D76" s="182" t="s">
        <v>1067</v>
      </c>
      <c r="E76" s="183" t="s">
        <v>1163</v>
      </c>
      <c r="F76" s="183" t="s">
        <v>306</v>
      </c>
      <c r="G76" s="183"/>
      <c r="H76" s="183"/>
      <c r="I76" s="183" t="s">
        <v>114</v>
      </c>
      <c r="J76" s="184"/>
      <c r="K76" s="183"/>
      <c r="L76" s="185" t="s">
        <v>59</v>
      </c>
    </row>
    <row r="77" spans="1:12" ht="24">
      <c r="A77" s="173" t="s">
        <v>303</v>
      </c>
      <c r="B77" s="95"/>
      <c r="C77" s="95" t="s">
        <v>300</v>
      </c>
      <c r="D77" s="95" t="s">
        <v>301</v>
      </c>
      <c r="E77" s="95"/>
      <c r="F77" s="96" t="s">
        <v>297</v>
      </c>
      <c r="G77" s="174" t="s">
        <v>24</v>
      </c>
      <c r="H77" s="174"/>
      <c r="I77" s="175" t="s">
        <v>114</v>
      </c>
      <c r="J77" s="176">
        <f>34817.82/2</f>
        <v>17408.91</v>
      </c>
      <c r="K77" s="174"/>
      <c r="L77" s="177" t="s">
        <v>302</v>
      </c>
    </row>
    <row r="78" spans="1:12" s="84" customFormat="1" ht="62.25" customHeight="1">
      <c r="A78" s="173" t="s">
        <v>308</v>
      </c>
      <c r="B78" s="95"/>
      <c r="C78" s="95" t="s">
        <v>304</v>
      </c>
      <c r="D78" s="95" t="s">
        <v>305</v>
      </c>
      <c r="E78" s="95"/>
      <c r="F78" s="95" t="s">
        <v>306</v>
      </c>
      <c r="G78" s="95"/>
      <c r="H78" s="95"/>
      <c r="I78" s="175" t="s">
        <v>114</v>
      </c>
      <c r="J78" s="95"/>
      <c r="K78" s="95"/>
      <c r="L78" s="97" t="s">
        <v>307</v>
      </c>
    </row>
    <row r="79" spans="1:12" ht="24">
      <c r="A79" s="173" t="s">
        <v>312</v>
      </c>
      <c r="B79" s="95"/>
      <c r="C79" s="95" t="s">
        <v>309</v>
      </c>
      <c r="D79" s="95" t="s">
        <v>310</v>
      </c>
      <c r="E79" s="95"/>
      <c r="F79" s="96" t="s">
        <v>297</v>
      </c>
      <c r="G79" s="174"/>
      <c r="H79" s="174"/>
      <c r="I79" s="175" t="s">
        <v>114</v>
      </c>
      <c r="J79" s="176"/>
      <c r="K79" s="174"/>
      <c r="L79" s="177" t="s">
        <v>311</v>
      </c>
    </row>
    <row r="80" spans="1:12" ht="24.5" thickBot="1">
      <c r="A80" s="173" t="s">
        <v>1162</v>
      </c>
      <c r="B80" s="98"/>
      <c r="C80" s="98" t="s">
        <v>313</v>
      </c>
      <c r="D80" s="98" t="s">
        <v>314</v>
      </c>
      <c r="E80" s="98"/>
      <c r="F80" s="99" t="s">
        <v>297</v>
      </c>
      <c r="G80" s="178"/>
      <c r="H80" s="178"/>
      <c r="I80" s="175" t="s">
        <v>114</v>
      </c>
      <c r="J80" s="179"/>
      <c r="K80" s="178"/>
      <c r="L80" s="180" t="s">
        <v>315</v>
      </c>
    </row>
    <row r="81" spans="3:10">
      <c r="J81" s="102">
        <f>SUM(J2:J80)</f>
        <v>535595.91</v>
      </c>
    </row>
    <row r="82" spans="3:10">
      <c r="C82" s="260" t="s">
        <v>1223</v>
      </c>
    </row>
  </sheetData>
  <autoFilter ref="A3:L80"/>
  <dataValidations count="1">
    <dataValidation type="list" allowBlank="1" showInputMessage="1" showErrorMessage="1" sqref="F81:F1048576">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Llistes!$B$2:$B$15</xm:f>
          </x14:formula1>
          <xm:sqref>G4:G1048576</xm:sqref>
        </x14:dataValidation>
        <x14:dataValidation type="list" allowBlank="1" showInputMessage="1" showErrorMessage="1">
          <x14:formula1>
            <xm:f>Llistes!$D$2:$D$19</xm:f>
          </x14:formula1>
          <xm:sqref>I4:I1048576</xm:sqref>
        </x14:dataValidation>
        <x14:dataValidation type="list" allowBlank="1" showInputMessage="1" showErrorMessage="1">
          <x14:formula1>
            <xm:f>Llistes!$F$2:$F$8</xm:f>
          </x14:formula1>
          <xm:sqref>F4:F80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heetPr>
  <dimension ref="A1:W192"/>
  <sheetViews>
    <sheetView showGridLines="0" topLeftCell="F4" zoomScale="90" zoomScaleNormal="90" workbookViewId="0">
      <pane ySplit="1" topLeftCell="A155" activePane="bottomLeft" state="frozen"/>
      <selection pane="bottomLeft" activeCell="J159" sqref="J159"/>
    </sheetView>
  </sheetViews>
  <sheetFormatPr defaultColWidth="8.54296875" defaultRowHeight="14.5"/>
  <cols>
    <col min="1" max="1" width="22.81640625" style="45" customWidth="1"/>
    <col min="2" max="2" width="4" style="11" customWidth="1"/>
    <col min="3" max="3" width="34.1796875" style="13" customWidth="1"/>
    <col min="4" max="4" width="7.453125" style="9" customWidth="1"/>
    <col min="5" max="5" width="50" style="5" customWidth="1"/>
    <col min="6" max="6" width="7.81640625" style="7" customWidth="1"/>
    <col min="7" max="7" width="54.81640625" style="6" customWidth="1"/>
    <col min="8" max="8" width="15.453125" style="10" hidden="1" customWidth="1"/>
    <col min="9" max="9" width="18.1796875" style="10" hidden="1" customWidth="1"/>
    <col min="10" max="10" width="48.453125" style="189" bestFit="1" customWidth="1"/>
    <col min="11" max="11" width="25.1796875" style="7" customWidth="1"/>
    <col min="12" max="12" width="18.26953125" style="11" customWidth="1"/>
    <col min="13" max="13" width="10.54296875" style="12" customWidth="1"/>
    <col min="14" max="14" width="74.26953125" style="58" customWidth="1"/>
    <col min="15" max="15" width="24.54296875" style="12" hidden="1" customWidth="1"/>
    <col min="16" max="16" width="47.54296875" style="14" hidden="1" customWidth="1"/>
    <col min="17" max="17" width="29.26953125" style="79" customWidth="1"/>
    <col min="18" max="18" width="14.7265625" style="3" customWidth="1"/>
    <col min="19" max="19" width="15.08984375" style="3" customWidth="1"/>
    <col min="20" max="20" width="9.453125" style="3" customWidth="1"/>
    <col min="21" max="21" width="12.453125" style="3" customWidth="1"/>
    <col min="22" max="22" width="11.81640625" style="3" customWidth="1"/>
    <col min="23" max="23" width="14" style="3" customWidth="1"/>
    <col min="24" max="16384" width="8.54296875" style="3"/>
  </cols>
  <sheetData>
    <row r="1" spans="1:23" ht="18.5" hidden="1">
      <c r="A1" s="55" t="s">
        <v>316</v>
      </c>
      <c r="B1" s="56"/>
      <c r="C1" s="57"/>
      <c r="Q1" s="72"/>
    </row>
    <row r="2" spans="1:23" ht="37" hidden="1">
      <c r="A2" s="15"/>
      <c r="B2" s="16" t="s">
        <v>317</v>
      </c>
      <c r="C2" s="17" t="s">
        <v>318</v>
      </c>
      <c r="Q2" s="72"/>
    </row>
    <row r="3" spans="1:23" ht="18.5" hidden="1">
      <c r="A3" s="15"/>
      <c r="B3" s="16"/>
      <c r="C3" s="59"/>
      <c r="Q3" s="78"/>
      <c r="R3" s="261" t="s">
        <v>319</v>
      </c>
      <c r="S3" s="262"/>
      <c r="T3" s="261" t="s">
        <v>320</v>
      </c>
      <c r="U3" s="263"/>
      <c r="V3" s="262"/>
    </row>
    <row r="4" spans="1:23" s="23" customFormat="1" ht="42" customHeight="1">
      <c r="A4" s="22" t="s">
        <v>321</v>
      </c>
      <c r="B4" s="19"/>
      <c r="C4" s="18" t="s">
        <v>322</v>
      </c>
      <c r="D4" s="190"/>
      <c r="E4" s="18" t="s">
        <v>323</v>
      </c>
      <c r="F4" s="18"/>
      <c r="G4" s="18" t="s">
        <v>324</v>
      </c>
      <c r="H4" s="18" t="s">
        <v>325</v>
      </c>
      <c r="I4" s="19" t="s">
        <v>326</v>
      </c>
      <c r="J4" s="191" t="s">
        <v>327</v>
      </c>
      <c r="K4" s="8" t="s">
        <v>328</v>
      </c>
      <c r="L4" s="8" t="s">
        <v>329</v>
      </c>
      <c r="M4" s="20" t="s">
        <v>330</v>
      </c>
      <c r="N4" s="60" t="s">
        <v>331</v>
      </c>
      <c r="O4" s="21" t="s">
        <v>332</v>
      </c>
      <c r="P4" s="22" t="s">
        <v>333</v>
      </c>
      <c r="Q4" s="192" t="s">
        <v>334</v>
      </c>
      <c r="R4" s="73" t="s">
        <v>335</v>
      </c>
      <c r="S4" s="73" t="s">
        <v>336</v>
      </c>
      <c r="T4" s="60" t="s">
        <v>337</v>
      </c>
      <c r="U4" s="60" t="s">
        <v>338</v>
      </c>
      <c r="V4" s="60" t="s">
        <v>339</v>
      </c>
      <c r="W4" s="60" t="s">
        <v>340</v>
      </c>
    </row>
    <row r="5" spans="1:23" ht="116">
      <c r="A5" s="193" t="s">
        <v>341</v>
      </c>
      <c r="B5" s="194">
        <v>1</v>
      </c>
      <c r="C5" s="195" t="s">
        <v>342</v>
      </c>
      <c r="D5" s="196" t="s">
        <v>343</v>
      </c>
      <c r="E5" s="197" t="s">
        <v>344</v>
      </c>
      <c r="F5" s="24" t="s">
        <v>51</v>
      </c>
      <c r="G5" s="25" t="s">
        <v>345</v>
      </c>
      <c r="H5" s="26" t="s">
        <v>346</v>
      </c>
      <c r="I5" s="26" t="s">
        <v>347</v>
      </c>
      <c r="J5" s="186" t="s">
        <v>348</v>
      </c>
      <c r="K5" s="35" t="s">
        <v>349</v>
      </c>
      <c r="L5" s="28" t="s">
        <v>350</v>
      </c>
      <c r="M5" s="29" t="s">
        <v>351</v>
      </c>
      <c r="N5" s="198" t="s">
        <v>1176</v>
      </c>
      <c r="O5" s="30" t="s">
        <v>352</v>
      </c>
      <c r="P5" s="31" t="s">
        <v>353</v>
      </c>
      <c r="Q5" s="71" t="s">
        <v>354</v>
      </c>
      <c r="R5" s="61" t="s">
        <v>355</v>
      </c>
      <c r="S5" s="61" t="s">
        <v>356</v>
      </c>
      <c r="T5" s="62"/>
      <c r="U5" s="62"/>
      <c r="V5" s="62"/>
      <c r="W5" s="28" t="s">
        <v>357</v>
      </c>
    </row>
    <row r="6" spans="1:23" ht="58">
      <c r="A6" s="193" t="s">
        <v>341</v>
      </c>
      <c r="B6" s="194">
        <v>1</v>
      </c>
      <c r="C6" s="195" t="s">
        <v>342</v>
      </c>
      <c r="D6" s="196" t="s">
        <v>343</v>
      </c>
      <c r="E6" s="197" t="s">
        <v>344</v>
      </c>
      <c r="F6" s="24" t="s">
        <v>358</v>
      </c>
      <c r="G6" s="25" t="s">
        <v>359</v>
      </c>
      <c r="H6" s="26" t="s">
        <v>346</v>
      </c>
      <c r="I6" s="26" t="s">
        <v>347</v>
      </c>
      <c r="J6" s="186"/>
      <c r="K6" s="35" t="s">
        <v>360</v>
      </c>
      <c r="L6" s="32"/>
      <c r="M6" s="29"/>
      <c r="N6" s="63"/>
      <c r="O6" s="30"/>
      <c r="P6" s="33"/>
      <c r="Q6" s="71" t="s">
        <v>361</v>
      </c>
      <c r="R6" s="62"/>
      <c r="S6" s="62"/>
      <c r="T6" s="62"/>
      <c r="U6" s="62"/>
      <c r="V6" s="62"/>
      <c r="W6" s="28"/>
    </row>
    <row r="7" spans="1:23" ht="58">
      <c r="A7" s="193" t="s">
        <v>341</v>
      </c>
      <c r="B7" s="194">
        <v>1</v>
      </c>
      <c r="C7" s="195" t="s">
        <v>342</v>
      </c>
      <c r="D7" s="196" t="s">
        <v>362</v>
      </c>
      <c r="E7" s="197" t="s">
        <v>363</v>
      </c>
      <c r="F7" s="26" t="s">
        <v>62</v>
      </c>
      <c r="G7" s="25" t="s">
        <v>364</v>
      </c>
      <c r="H7" s="26" t="s">
        <v>346</v>
      </c>
      <c r="I7" s="26" t="s">
        <v>365</v>
      </c>
      <c r="J7" s="186" t="str">
        <f>G7</f>
        <v>Implementar la metodologia de gestió adaptativa (Estàndards Oberts de Gestió Adaptativa a Catalunya) en tots els processos de l'ENP</v>
      </c>
      <c r="K7" s="35"/>
      <c r="L7" s="32" t="s">
        <v>350</v>
      </c>
      <c r="M7" s="29" t="s">
        <v>366</v>
      </c>
      <c r="N7" s="63" t="s">
        <v>61</v>
      </c>
      <c r="O7" s="30" t="s">
        <v>367</v>
      </c>
      <c r="P7" s="31" t="s">
        <v>368</v>
      </c>
      <c r="Q7" s="71" t="s">
        <v>369</v>
      </c>
      <c r="R7" s="62">
        <v>1</v>
      </c>
      <c r="S7" s="62">
        <v>1</v>
      </c>
      <c r="T7" s="62"/>
      <c r="U7" s="62"/>
      <c r="V7" s="62"/>
      <c r="W7" s="28" t="s">
        <v>370</v>
      </c>
    </row>
    <row r="8" spans="1:23" ht="232">
      <c r="A8" s="193" t="s">
        <v>341</v>
      </c>
      <c r="B8" s="194">
        <v>1</v>
      </c>
      <c r="C8" s="195" t="s">
        <v>342</v>
      </c>
      <c r="D8" s="196" t="s">
        <v>362</v>
      </c>
      <c r="E8" s="197" t="s">
        <v>363</v>
      </c>
      <c r="F8" s="26" t="s">
        <v>65</v>
      </c>
      <c r="G8" s="25" t="s">
        <v>371</v>
      </c>
      <c r="H8" s="26" t="s">
        <v>346</v>
      </c>
      <c r="I8" s="26" t="s">
        <v>347</v>
      </c>
      <c r="J8" s="186" t="s">
        <v>372</v>
      </c>
      <c r="K8" s="35" t="s">
        <v>373</v>
      </c>
      <c r="L8" s="28" t="s">
        <v>350</v>
      </c>
      <c r="M8" s="29" t="s">
        <v>374</v>
      </c>
      <c r="N8" s="37" t="s">
        <v>375</v>
      </c>
      <c r="O8" s="34" t="s">
        <v>376</v>
      </c>
      <c r="P8" s="31" t="s">
        <v>377</v>
      </c>
      <c r="Q8" s="71" t="s">
        <v>378</v>
      </c>
      <c r="R8" s="61" t="s">
        <v>379</v>
      </c>
      <c r="S8" s="61" t="s">
        <v>380</v>
      </c>
      <c r="T8" s="62"/>
      <c r="U8" s="62"/>
      <c r="V8" s="62"/>
      <c r="W8" s="28" t="s">
        <v>357</v>
      </c>
    </row>
    <row r="9" spans="1:23" ht="58">
      <c r="A9" s="193" t="s">
        <v>341</v>
      </c>
      <c r="B9" s="194">
        <v>1</v>
      </c>
      <c r="C9" s="195" t="s">
        <v>342</v>
      </c>
      <c r="D9" s="196" t="s">
        <v>362</v>
      </c>
      <c r="E9" s="197" t="s">
        <v>363</v>
      </c>
      <c r="F9" s="26" t="s">
        <v>88</v>
      </c>
      <c r="G9" s="25" t="s">
        <v>381</v>
      </c>
      <c r="H9" s="26" t="s">
        <v>346</v>
      </c>
      <c r="I9" s="26" t="s">
        <v>347</v>
      </c>
      <c r="J9" s="186" t="s">
        <v>382</v>
      </c>
      <c r="K9" s="35"/>
      <c r="L9" s="28" t="s">
        <v>350</v>
      </c>
      <c r="M9" s="29" t="s">
        <v>374</v>
      </c>
      <c r="N9" s="64" t="s">
        <v>383</v>
      </c>
      <c r="O9" s="34" t="s">
        <v>384</v>
      </c>
      <c r="P9" s="31" t="s">
        <v>385</v>
      </c>
      <c r="Q9" s="71" t="s">
        <v>386</v>
      </c>
      <c r="R9" s="71" t="s">
        <v>387</v>
      </c>
      <c r="S9" s="71" t="s">
        <v>388</v>
      </c>
      <c r="T9" s="62"/>
      <c r="U9" s="62"/>
      <c r="V9" s="62"/>
      <c r="W9" s="28" t="s">
        <v>357</v>
      </c>
    </row>
    <row r="10" spans="1:23" ht="58">
      <c r="A10" s="193" t="s">
        <v>341</v>
      </c>
      <c r="B10" s="194">
        <v>1</v>
      </c>
      <c r="C10" s="195" t="s">
        <v>342</v>
      </c>
      <c r="D10" s="196" t="s">
        <v>362</v>
      </c>
      <c r="E10" s="197" t="s">
        <v>363</v>
      </c>
      <c r="F10" s="26" t="s">
        <v>78</v>
      </c>
      <c r="G10" s="25" t="s">
        <v>389</v>
      </c>
      <c r="H10" s="26" t="s">
        <v>390</v>
      </c>
      <c r="I10" s="26" t="s">
        <v>391</v>
      </c>
      <c r="J10" s="186" t="str">
        <f t="shared" ref="J10:J71" si="0">G10</f>
        <v xml:space="preserve">Desplegar els objectius i tasques recollits en els instruments de referència i compromisos internacionals  </v>
      </c>
      <c r="K10" s="35"/>
      <c r="L10" s="74" t="s">
        <v>350</v>
      </c>
      <c r="M10" s="29" t="s">
        <v>351</v>
      </c>
      <c r="N10" s="37" t="s">
        <v>392</v>
      </c>
      <c r="O10" s="34"/>
      <c r="P10" s="31"/>
      <c r="Q10" s="199" t="s">
        <v>393</v>
      </c>
      <c r="R10" s="69">
        <v>0.9</v>
      </c>
      <c r="S10" s="69">
        <v>1</v>
      </c>
      <c r="T10" s="62"/>
      <c r="U10" s="62"/>
      <c r="V10" s="62"/>
      <c r="W10" s="28" t="s">
        <v>350</v>
      </c>
    </row>
    <row r="11" spans="1:23" ht="58">
      <c r="A11" s="193" t="s">
        <v>341</v>
      </c>
      <c r="B11" s="194">
        <v>1</v>
      </c>
      <c r="C11" s="195" t="s">
        <v>342</v>
      </c>
      <c r="D11" s="196" t="s">
        <v>394</v>
      </c>
      <c r="E11" s="197" t="s">
        <v>395</v>
      </c>
      <c r="F11" s="24" t="s">
        <v>396</v>
      </c>
      <c r="G11" s="25" t="s">
        <v>397</v>
      </c>
      <c r="H11" s="26" t="s">
        <v>390</v>
      </c>
      <c r="I11" s="26" t="s">
        <v>391</v>
      </c>
      <c r="J11" s="186"/>
      <c r="K11" s="35" t="s">
        <v>398</v>
      </c>
      <c r="L11" s="74"/>
      <c r="M11" s="29"/>
      <c r="N11" s="37"/>
      <c r="O11" s="34"/>
      <c r="P11" s="31"/>
      <c r="Q11" s="199"/>
      <c r="R11" s="62"/>
      <c r="S11" s="62"/>
      <c r="T11" s="62"/>
      <c r="U11" s="62"/>
      <c r="V11" s="62"/>
      <c r="W11" s="28"/>
    </row>
    <row r="12" spans="1:23" ht="58">
      <c r="A12" s="193" t="s">
        <v>341</v>
      </c>
      <c r="B12" s="194">
        <v>1</v>
      </c>
      <c r="C12" s="195" t="s">
        <v>342</v>
      </c>
      <c r="D12" s="196" t="s">
        <v>394</v>
      </c>
      <c r="E12" s="197" t="s">
        <v>395</v>
      </c>
      <c r="F12" s="24" t="s">
        <v>105</v>
      </c>
      <c r="G12" s="25" t="s">
        <v>399</v>
      </c>
      <c r="H12" s="26" t="s">
        <v>390</v>
      </c>
      <c r="I12" s="26" t="s">
        <v>391</v>
      </c>
      <c r="J12" s="186" t="s">
        <v>399</v>
      </c>
      <c r="K12" s="35"/>
      <c r="L12" s="28" t="s">
        <v>350</v>
      </c>
      <c r="M12" s="29" t="s">
        <v>366</v>
      </c>
      <c r="N12" s="63" t="s">
        <v>400</v>
      </c>
      <c r="O12" s="30" t="s">
        <v>352</v>
      </c>
      <c r="P12" s="31" t="s">
        <v>401</v>
      </c>
      <c r="Q12" s="71" t="s">
        <v>402</v>
      </c>
      <c r="R12" s="62">
        <v>10</v>
      </c>
      <c r="S12" s="62">
        <v>50</v>
      </c>
      <c r="T12" s="62"/>
      <c r="U12" s="62"/>
      <c r="V12" s="62"/>
      <c r="W12" s="28" t="s">
        <v>357</v>
      </c>
    </row>
    <row r="13" spans="1:23" ht="58">
      <c r="A13" s="193" t="s">
        <v>341</v>
      </c>
      <c r="B13" s="194">
        <v>1</v>
      </c>
      <c r="C13" s="195" t="s">
        <v>342</v>
      </c>
      <c r="D13" s="196" t="s">
        <v>394</v>
      </c>
      <c r="E13" s="197" t="s">
        <v>395</v>
      </c>
      <c r="F13" s="24" t="s">
        <v>403</v>
      </c>
      <c r="G13" s="25" t="s">
        <v>404</v>
      </c>
      <c r="H13" s="26" t="s">
        <v>390</v>
      </c>
      <c r="I13" s="26" t="s">
        <v>391</v>
      </c>
      <c r="J13" s="186"/>
      <c r="K13" s="35" t="s">
        <v>398</v>
      </c>
      <c r="L13" s="28"/>
      <c r="M13" s="29"/>
      <c r="N13" s="63"/>
      <c r="O13" s="30"/>
      <c r="P13" s="31"/>
      <c r="Q13" s="71"/>
      <c r="R13" s="62"/>
      <c r="S13" s="62"/>
      <c r="T13" s="62"/>
      <c r="U13" s="62"/>
      <c r="V13" s="62"/>
      <c r="W13" s="28"/>
    </row>
    <row r="14" spans="1:23" ht="101.5">
      <c r="A14" s="193" t="s">
        <v>341</v>
      </c>
      <c r="B14" s="194">
        <v>1</v>
      </c>
      <c r="C14" s="195" t="s">
        <v>342</v>
      </c>
      <c r="D14" s="196" t="s">
        <v>394</v>
      </c>
      <c r="E14" s="197" t="s">
        <v>395</v>
      </c>
      <c r="F14" s="24" t="s">
        <v>405</v>
      </c>
      <c r="G14" s="25" t="s">
        <v>406</v>
      </c>
      <c r="H14" s="26" t="s">
        <v>390</v>
      </c>
      <c r="I14" s="26" t="s">
        <v>391</v>
      </c>
      <c r="J14" s="186" t="s">
        <v>407</v>
      </c>
      <c r="K14" s="35" t="s">
        <v>408</v>
      </c>
      <c r="L14" s="28" t="s">
        <v>350</v>
      </c>
      <c r="M14" s="29" t="s">
        <v>366</v>
      </c>
      <c r="N14" s="63" t="s">
        <v>409</v>
      </c>
      <c r="O14" s="30" t="s">
        <v>352</v>
      </c>
      <c r="P14" s="31" t="s">
        <v>401</v>
      </c>
      <c r="Q14" s="71" t="s">
        <v>410</v>
      </c>
      <c r="R14" s="61" t="s">
        <v>411</v>
      </c>
      <c r="S14" s="61" t="s">
        <v>412</v>
      </c>
      <c r="T14" s="62"/>
      <c r="U14" s="62"/>
      <c r="V14" s="62"/>
      <c r="W14" s="28" t="s">
        <v>357</v>
      </c>
    </row>
    <row r="15" spans="1:23" ht="116">
      <c r="A15" s="193" t="s">
        <v>341</v>
      </c>
      <c r="B15" s="194">
        <v>1</v>
      </c>
      <c r="C15" s="195" t="s">
        <v>342</v>
      </c>
      <c r="D15" s="196" t="s">
        <v>394</v>
      </c>
      <c r="E15" s="197" t="s">
        <v>395</v>
      </c>
      <c r="F15" s="24" t="s">
        <v>73</v>
      </c>
      <c r="G15" s="25" t="s">
        <v>413</v>
      </c>
      <c r="H15" s="26" t="s">
        <v>390</v>
      </c>
      <c r="I15" s="26" t="s">
        <v>391</v>
      </c>
      <c r="J15" s="186" t="str">
        <f t="shared" si="0"/>
        <v>Fomentar el paisatge en mosaïc</v>
      </c>
      <c r="K15" s="35"/>
      <c r="L15" s="28" t="s">
        <v>350</v>
      </c>
      <c r="M15" s="29" t="s">
        <v>351</v>
      </c>
      <c r="N15" s="63" t="s">
        <v>414</v>
      </c>
      <c r="O15" s="30" t="s">
        <v>367</v>
      </c>
      <c r="P15" s="31" t="s">
        <v>401</v>
      </c>
      <c r="Q15" s="71" t="s">
        <v>415</v>
      </c>
      <c r="R15" s="199" t="s">
        <v>416</v>
      </c>
      <c r="S15" s="199" t="s">
        <v>417</v>
      </c>
      <c r="T15" s="62"/>
      <c r="U15" s="62"/>
      <c r="V15" s="62"/>
      <c r="W15" s="28" t="s">
        <v>370</v>
      </c>
    </row>
    <row r="16" spans="1:23" ht="101.5">
      <c r="A16" s="193" t="s">
        <v>341</v>
      </c>
      <c r="B16" s="194">
        <v>1</v>
      </c>
      <c r="C16" s="195" t="s">
        <v>342</v>
      </c>
      <c r="D16" s="196" t="s">
        <v>394</v>
      </c>
      <c r="E16" s="197" t="s">
        <v>395</v>
      </c>
      <c r="F16" s="24" t="s">
        <v>418</v>
      </c>
      <c r="G16" s="25" t="s">
        <v>419</v>
      </c>
      <c r="H16" s="26" t="s">
        <v>390</v>
      </c>
      <c r="I16" s="26" t="s">
        <v>391</v>
      </c>
      <c r="J16" s="186" t="s">
        <v>420</v>
      </c>
      <c r="K16" s="35" t="s">
        <v>421</v>
      </c>
      <c r="L16" s="28" t="s">
        <v>350</v>
      </c>
      <c r="M16" s="29" t="s">
        <v>351</v>
      </c>
      <c r="N16" s="63" t="s">
        <v>422</v>
      </c>
      <c r="O16" s="30"/>
      <c r="P16" s="31" t="s">
        <v>401</v>
      </c>
      <c r="Q16" s="71" t="s">
        <v>423</v>
      </c>
      <c r="R16" s="200" t="s">
        <v>424</v>
      </c>
      <c r="S16" s="200"/>
      <c r="T16" s="62"/>
      <c r="U16" s="62"/>
      <c r="V16" s="62"/>
      <c r="W16" s="28" t="s">
        <v>357</v>
      </c>
    </row>
    <row r="17" spans="1:23" ht="159.5">
      <c r="A17" s="193" t="s">
        <v>341</v>
      </c>
      <c r="B17" s="194">
        <v>1</v>
      </c>
      <c r="C17" s="195" t="s">
        <v>342</v>
      </c>
      <c r="D17" s="196" t="s">
        <v>394</v>
      </c>
      <c r="E17" s="197" t="s">
        <v>395</v>
      </c>
      <c r="F17" s="24" t="s">
        <v>107</v>
      </c>
      <c r="G17" s="25" t="s">
        <v>425</v>
      </c>
      <c r="H17" s="26" t="s">
        <v>390</v>
      </c>
      <c r="I17" s="26" t="s">
        <v>391</v>
      </c>
      <c r="J17" s="186" t="str">
        <f>G17</f>
        <v>Afavorir la connectivitat ecològica del territori</v>
      </c>
      <c r="K17" s="35"/>
      <c r="L17" s="28" t="s">
        <v>350</v>
      </c>
      <c r="M17" s="29" t="s">
        <v>351</v>
      </c>
      <c r="N17" s="64" t="s">
        <v>426</v>
      </c>
      <c r="O17" s="30"/>
      <c r="P17" s="31"/>
      <c r="Q17" s="71" t="s">
        <v>427</v>
      </c>
      <c r="R17" s="71" t="s">
        <v>428</v>
      </c>
      <c r="S17" s="71" t="s">
        <v>429</v>
      </c>
      <c r="T17" s="62"/>
      <c r="U17" s="62"/>
      <c r="V17" s="62"/>
      <c r="W17" s="28" t="s">
        <v>357</v>
      </c>
    </row>
    <row r="18" spans="1:23" ht="58">
      <c r="A18" s="193" t="s">
        <v>341</v>
      </c>
      <c r="B18" s="194">
        <v>1</v>
      </c>
      <c r="C18" s="195" t="s">
        <v>342</v>
      </c>
      <c r="D18" s="196" t="s">
        <v>430</v>
      </c>
      <c r="E18" s="197" t="s">
        <v>431</v>
      </c>
      <c r="F18" s="24" t="s">
        <v>113</v>
      </c>
      <c r="G18" s="25" t="s">
        <v>432</v>
      </c>
      <c r="H18" s="26" t="s">
        <v>346</v>
      </c>
      <c r="I18" s="26" t="s">
        <v>391</v>
      </c>
      <c r="J18" s="186" t="str">
        <f t="shared" si="0"/>
        <v>Fomentar acords de custòdia en espais d'alt valor dins l'ENP per a la gestió dels elements prioritaris</v>
      </c>
      <c r="K18" s="35"/>
      <c r="L18" s="28" t="s">
        <v>350</v>
      </c>
      <c r="M18" s="29" t="s">
        <v>374</v>
      </c>
      <c r="N18" s="63" t="s">
        <v>112</v>
      </c>
      <c r="O18" s="30" t="s">
        <v>352</v>
      </c>
      <c r="P18" s="31" t="s">
        <v>433</v>
      </c>
      <c r="Q18" s="71" t="s">
        <v>434</v>
      </c>
      <c r="R18" s="61" t="s">
        <v>435</v>
      </c>
      <c r="S18" s="61" t="s">
        <v>435</v>
      </c>
      <c r="T18" s="62"/>
      <c r="U18" s="62"/>
      <c r="V18" s="62"/>
      <c r="W18" s="28" t="s">
        <v>370</v>
      </c>
    </row>
    <row r="19" spans="1:23" ht="116">
      <c r="A19" s="193" t="s">
        <v>341</v>
      </c>
      <c r="B19" s="194">
        <v>1</v>
      </c>
      <c r="C19" s="195" t="s">
        <v>342</v>
      </c>
      <c r="D19" s="196" t="s">
        <v>430</v>
      </c>
      <c r="E19" s="197" t="s">
        <v>431</v>
      </c>
      <c r="F19" s="24" t="s">
        <v>117</v>
      </c>
      <c r="G19" s="25" t="s">
        <v>436</v>
      </c>
      <c r="H19" s="26" t="s">
        <v>346</v>
      </c>
      <c r="I19" s="26" t="s">
        <v>391</v>
      </c>
      <c r="J19" s="186" t="str">
        <f t="shared" si="0"/>
        <v>Fomentar bones pràctiques entre els col·lectius de propietaris i gestors del territori</v>
      </c>
      <c r="K19" s="65"/>
      <c r="L19" s="28" t="s">
        <v>350</v>
      </c>
      <c r="M19" s="29" t="s">
        <v>351</v>
      </c>
      <c r="N19" s="37" t="s">
        <v>437</v>
      </c>
      <c r="O19" s="30"/>
      <c r="P19" s="31"/>
      <c r="Q19" s="71" t="s">
        <v>438</v>
      </c>
      <c r="R19" s="71" t="s">
        <v>439</v>
      </c>
      <c r="S19" s="71" t="s">
        <v>440</v>
      </c>
      <c r="T19" s="62"/>
      <c r="U19" s="62"/>
      <c r="V19" s="62"/>
      <c r="W19" s="28" t="s">
        <v>370</v>
      </c>
    </row>
    <row r="20" spans="1:23" ht="58">
      <c r="A20" s="193" t="s">
        <v>341</v>
      </c>
      <c r="B20" s="194">
        <v>1</v>
      </c>
      <c r="C20" s="195" t="s">
        <v>342</v>
      </c>
      <c r="D20" s="196" t="s">
        <v>430</v>
      </c>
      <c r="E20" s="197" t="s">
        <v>431</v>
      </c>
      <c r="F20" s="24" t="s">
        <v>125</v>
      </c>
      <c r="G20" s="25" t="s">
        <v>441</v>
      </c>
      <c r="H20" s="26" t="s">
        <v>390</v>
      </c>
      <c r="I20" s="26" t="s">
        <v>391</v>
      </c>
      <c r="J20" s="186" t="str">
        <f t="shared" si="0"/>
        <v>Impulsar la coordinació amb els ens locals en la gestió finques públiques situades dins d’ENP</v>
      </c>
      <c r="K20" s="35"/>
      <c r="L20" s="28" t="s">
        <v>350</v>
      </c>
      <c r="M20" s="29" t="s">
        <v>351</v>
      </c>
      <c r="N20" s="63" t="s">
        <v>124</v>
      </c>
      <c r="O20" s="30" t="s">
        <v>367</v>
      </c>
      <c r="P20" s="31"/>
      <c r="Q20" s="71" t="s">
        <v>442</v>
      </c>
      <c r="R20" s="61" t="s">
        <v>443</v>
      </c>
      <c r="S20" s="61" t="s">
        <v>444</v>
      </c>
      <c r="T20" s="62"/>
      <c r="U20" s="62"/>
      <c r="V20" s="62"/>
      <c r="W20" s="28" t="s">
        <v>370</v>
      </c>
    </row>
    <row r="21" spans="1:23" ht="29" customHeight="1">
      <c r="A21" s="193" t="s">
        <v>341</v>
      </c>
      <c r="B21" s="201">
        <v>2</v>
      </c>
      <c r="C21" s="202" t="s">
        <v>445</v>
      </c>
      <c r="D21" s="196" t="s">
        <v>446</v>
      </c>
      <c r="E21" s="197" t="s">
        <v>447</v>
      </c>
      <c r="F21" s="24" t="s">
        <v>448</v>
      </c>
      <c r="G21" s="25" t="s">
        <v>449</v>
      </c>
      <c r="H21" s="26" t="s">
        <v>346</v>
      </c>
      <c r="I21" s="26" t="s">
        <v>347</v>
      </c>
      <c r="J21" s="203" t="s">
        <v>450</v>
      </c>
      <c r="K21" s="35"/>
      <c r="L21" s="28" t="s">
        <v>350</v>
      </c>
      <c r="M21" s="29" t="s">
        <v>366</v>
      </c>
      <c r="N21" s="63" t="s">
        <v>451</v>
      </c>
      <c r="O21" s="30"/>
      <c r="P21" s="31" t="s">
        <v>452</v>
      </c>
      <c r="Q21" s="71" t="s">
        <v>453</v>
      </c>
      <c r="R21" s="61" t="s">
        <v>454</v>
      </c>
      <c r="S21" s="61" t="s">
        <v>455</v>
      </c>
      <c r="T21" s="62"/>
      <c r="U21" s="62"/>
      <c r="V21" s="62"/>
      <c r="W21" s="28" t="s">
        <v>357</v>
      </c>
    </row>
    <row r="22" spans="1:23" ht="43.5">
      <c r="A22" s="193" t="s">
        <v>341</v>
      </c>
      <c r="B22" s="201">
        <v>2</v>
      </c>
      <c r="C22" s="202" t="s">
        <v>445</v>
      </c>
      <c r="D22" s="196" t="s">
        <v>446</v>
      </c>
      <c r="E22" s="197" t="s">
        <v>447</v>
      </c>
      <c r="F22" s="24" t="s">
        <v>109</v>
      </c>
      <c r="G22" s="25" t="s">
        <v>456</v>
      </c>
      <c r="H22" s="26" t="s">
        <v>346</v>
      </c>
      <c r="I22" s="26" t="s">
        <v>365</v>
      </c>
      <c r="J22" s="204" t="str">
        <f>G22</f>
        <v>Gestionar i planificar els recursos hídrics de l'ENP</v>
      </c>
      <c r="K22" s="65"/>
      <c r="L22" s="75" t="s">
        <v>350</v>
      </c>
      <c r="M22" s="29" t="s">
        <v>351</v>
      </c>
      <c r="N22" s="64" t="s">
        <v>457</v>
      </c>
      <c r="O22" s="30"/>
      <c r="P22" s="31"/>
      <c r="Q22" s="71" t="s">
        <v>458</v>
      </c>
      <c r="R22" s="62" t="s">
        <v>350</v>
      </c>
      <c r="S22" s="62" t="s">
        <v>350</v>
      </c>
      <c r="T22" s="62"/>
      <c r="U22" s="62"/>
      <c r="V22" s="62"/>
      <c r="W22" s="28" t="s">
        <v>357</v>
      </c>
    </row>
    <row r="23" spans="1:23" ht="58">
      <c r="A23" s="193" t="s">
        <v>341</v>
      </c>
      <c r="B23" s="201">
        <v>2</v>
      </c>
      <c r="C23" s="202" t="s">
        <v>445</v>
      </c>
      <c r="D23" s="196" t="s">
        <v>446</v>
      </c>
      <c r="E23" s="197" t="s">
        <v>447</v>
      </c>
      <c r="F23" s="24" t="s">
        <v>459</v>
      </c>
      <c r="G23" s="25" t="s">
        <v>460</v>
      </c>
      <c r="H23" s="26" t="s">
        <v>390</v>
      </c>
      <c r="I23" s="26" t="s">
        <v>391</v>
      </c>
      <c r="J23" s="186" t="s">
        <v>461</v>
      </c>
      <c r="K23" s="66" t="s">
        <v>462</v>
      </c>
      <c r="L23" s="75" t="s">
        <v>350</v>
      </c>
      <c r="M23" s="29" t="s">
        <v>463</v>
      </c>
      <c r="N23" s="67" t="s">
        <v>464</v>
      </c>
      <c r="O23" s="30"/>
      <c r="P23" s="31" t="s">
        <v>465</v>
      </c>
      <c r="Q23" s="71" t="s">
        <v>466</v>
      </c>
      <c r="R23" s="61" t="s">
        <v>467</v>
      </c>
      <c r="S23" s="61" t="s">
        <v>468</v>
      </c>
      <c r="T23" s="62"/>
      <c r="U23" s="62"/>
      <c r="V23" s="62"/>
      <c r="W23" s="28" t="s">
        <v>469</v>
      </c>
    </row>
    <row r="24" spans="1:23" ht="72.5">
      <c r="A24" s="193" t="s">
        <v>341</v>
      </c>
      <c r="B24" s="201">
        <v>2</v>
      </c>
      <c r="C24" s="202" t="s">
        <v>445</v>
      </c>
      <c r="D24" s="196" t="s">
        <v>446</v>
      </c>
      <c r="E24" s="197" t="s">
        <v>447</v>
      </c>
      <c r="F24" s="24" t="s">
        <v>470</v>
      </c>
      <c r="G24" s="25" t="s">
        <v>471</v>
      </c>
      <c r="H24" s="26" t="s">
        <v>390</v>
      </c>
      <c r="I24" s="26" t="s">
        <v>472</v>
      </c>
      <c r="J24" s="186"/>
      <c r="K24" s="35" t="s">
        <v>473</v>
      </c>
      <c r="L24" s="74"/>
      <c r="M24" s="29"/>
      <c r="N24" s="63"/>
      <c r="O24" s="30"/>
      <c r="P24" s="31"/>
      <c r="Q24" s="71" t="s">
        <v>361</v>
      </c>
      <c r="R24" s="62"/>
      <c r="S24" s="62"/>
      <c r="T24" s="62"/>
      <c r="U24" s="62"/>
      <c r="V24" s="62"/>
      <c r="W24" s="28"/>
    </row>
    <row r="25" spans="1:23" ht="43.5">
      <c r="A25" s="193" t="s">
        <v>341</v>
      </c>
      <c r="B25" s="201">
        <v>2</v>
      </c>
      <c r="C25" s="202" t="s">
        <v>445</v>
      </c>
      <c r="D25" s="196" t="s">
        <v>474</v>
      </c>
      <c r="E25" s="197" t="s">
        <v>475</v>
      </c>
      <c r="F25" s="24" t="s">
        <v>131</v>
      </c>
      <c r="G25" s="25" t="s">
        <v>476</v>
      </c>
      <c r="H25" s="26" t="s">
        <v>346</v>
      </c>
      <c r="I25" s="26" t="s">
        <v>347</v>
      </c>
      <c r="J25" s="203" t="s">
        <v>477</v>
      </c>
      <c r="K25" s="35" t="s">
        <v>478</v>
      </c>
      <c r="L25" s="74" t="s">
        <v>350</v>
      </c>
      <c r="M25" s="29" t="s">
        <v>351</v>
      </c>
      <c r="N25" s="63" t="s">
        <v>35</v>
      </c>
      <c r="O25" s="30" t="s">
        <v>367</v>
      </c>
      <c r="P25" s="31" t="s">
        <v>479</v>
      </c>
      <c r="Q25" s="71" t="s">
        <v>480</v>
      </c>
      <c r="R25" s="62" t="s">
        <v>350</v>
      </c>
      <c r="S25" s="62" t="s">
        <v>350</v>
      </c>
      <c r="T25" s="62"/>
      <c r="U25" s="62"/>
      <c r="V25" s="62"/>
      <c r="W25" s="28" t="s">
        <v>357</v>
      </c>
    </row>
    <row r="26" spans="1:23" ht="87">
      <c r="A26" s="193" t="s">
        <v>341</v>
      </c>
      <c r="B26" s="201">
        <v>2</v>
      </c>
      <c r="C26" s="202" t="s">
        <v>445</v>
      </c>
      <c r="D26" s="196" t="s">
        <v>474</v>
      </c>
      <c r="E26" s="197" t="s">
        <v>475</v>
      </c>
      <c r="F26" s="24" t="s">
        <v>481</v>
      </c>
      <c r="G26" s="25" t="s">
        <v>482</v>
      </c>
      <c r="H26" s="26" t="s">
        <v>390</v>
      </c>
      <c r="I26" s="26" t="s">
        <v>391</v>
      </c>
      <c r="J26" s="186"/>
      <c r="K26" s="35" t="s">
        <v>1177</v>
      </c>
      <c r="L26" s="28"/>
      <c r="M26" s="29"/>
      <c r="N26" s="68"/>
      <c r="O26" s="30"/>
      <c r="P26" s="31" t="s">
        <v>483</v>
      </c>
      <c r="Q26" s="71" t="s">
        <v>361</v>
      </c>
      <c r="R26" s="62"/>
      <c r="S26" s="62"/>
      <c r="T26" s="62"/>
      <c r="U26" s="62"/>
      <c r="V26" s="62"/>
      <c r="W26" s="28"/>
    </row>
    <row r="27" spans="1:23" ht="72.5">
      <c r="A27" s="193" t="s">
        <v>341</v>
      </c>
      <c r="B27" s="201">
        <v>2</v>
      </c>
      <c r="C27" s="202" t="s">
        <v>445</v>
      </c>
      <c r="D27" s="196" t="s">
        <v>474</v>
      </c>
      <c r="E27" s="197" t="s">
        <v>475</v>
      </c>
      <c r="F27" s="24" t="s">
        <v>132</v>
      </c>
      <c r="G27" s="25" t="s">
        <v>484</v>
      </c>
      <c r="H27" s="26" t="s">
        <v>346</v>
      </c>
      <c r="I27" s="26" t="s">
        <v>347</v>
      </c>
      <c r="J27" s="186" t="str">
        <f t="shared" si="0"/>
        <v>Treballar per a la prevenció d'incendis juntament amb els propietaris, ajuntaments, protecció civil, ADF i bombers.</v>
      </c>
      <c r="K27" s="35"/>
      <c r="L27" s="28" t="s">
        <v>350</v>
      </c>
      <c r="M27" s="29" t="s">
        <v>366</v>
      </c>
      <c r="N27" s="63" t="s">
        <v>485</v>
      </c>
      <c r="O27" s="30"/>
      <c r="P27" s="31"/>
      <c r="Q27" s="71" t="s">
        <v>486</v>
      </c>
      <c r="R27" s="61" t="s">
        <v>487</v>
      </c>
      <c r="S27" s="61" t="s">
        <v>487</v>
      </c>
      <c r="T27" s="62"/>
      <c r="U27" s="62"/>
      <c r="V27" s="62"/>
      <c r="W27" s="28" t="s">
        <v>357</v>
      </c>
    </row>
    <row r="28" spans="1:23" ht="43.5" customHeight="1">
      <c r="A28" s="193" t="s">
        <v>341</v>
      </c>
      <c r="B28" s="201">
        <v>3</v>
      </c>
      <c r="C28" s="202" t="s">
        <v>488</v>
      </c>
      <c r="D28" s="196" t="s">
        <v>489</v>
      </c>
      <c r="E28" s="197" t="s">
        <v>490</v>
      </c>
      <c r="F28" s="24" t="s">
        <v>135</v>
      </c>
      <c r="G28" s="25" t="s">
        <v>491</v>
      </c>
      <c r="H28" s="26" t="s">
        <v>346</v>
      </c>
      <c r="I28" s="26" t="s">
        <v>365</v>
      </c>
      <c r="J28" s="186" t="str">
        <f t="shared" si="0"/>
        <v>Participar en les consultes dels procesos d'Avaluació Ambiental que afectin directament o indirectament l’espai del ENP</v>
      </c>
      <c r="K28" s="35"/>
      <c r="L28" s="32" t="s">
        <v>350</v>
      </c>
      <c r="M28" s="29" t="s">
        <v>351</v>
      </c>
      <c r="N28" s="63" t="s">
        <v>134</v>
      </c>
      <c r="O28" s="30"/>
      <c r="P28" s="31"/>
      <c r="Q28" s="71" t="s">
        <v>492</v>
      </c>
      <c r="R28" s="69">
        <v>1</v>
      </c>
      <c r="S28" s="69">
        <v>1</v>
      </c>
      <c r="T28" s="62"/>
      <c r="U28" s="62"/>
      <c r="V28" s="62"/>
      <c r="W28" s="28" t="s">
        <v>370</v>
      </c>
    </row>
    <row r="29" spans="1:23" ht="58">
      <c r="A29" s="193" t="s">
        <v>341</v>
      </c>
      <c r="B29" s="201">
        <v>3</v>
      </c>
      <c r="C29" s="202" t="s">
        <v>488</v>
      </c>
      <c r="D29" s="196" t="s">
        <v>489</v>
      </c>
      <c r="E29" s="197" t="s">
        <v>490</v>
      </c>
      <c r="F29" s="24" t="s">
        <v>139</v>
      </c>
      <c r="G29" s="25" t="s">
        <v>493</v>
      </c>
      <c r="H29" s="26" t="s">
        <v>346</v>
      </c>
      <c r="I29" s="26" t="s">
        <v>365</v>
      </c>
      <c r="J29" s="186" t="str">
        <f t="shared" si="0"/>
        <v>Exercir un seguiment efectiu de les obres al Parc juntament amb les Oficines Territorials d'Acció i Avaluació Ambiental als efectes d'assegurar la correcta translació de la tutela administrativa.</v>
      </c>
      <c r="K29" s="35"/>
      <c r="L29" s="28" t="s">
        <v>350</v>
      </c>
      <c r="M29" s="29" t="s">
        <v>351</v>
      </c>
      <c r="N29" s="63" t="s">
        <v>138</v>
      </c>
      <c r="O29" s="30"/>
      <c r="P29" s="31"/>
      <c r="Q29" s="71" t="s">
        <v>494</v>
      </c>
      <c r="R29" s="69">
        <v>1</v>
      </c>
      <c r="S29" s="69">
        <v>1</v>
      </c>
      <c r="T29" s="62"/>
      <c r="U29" s="62"/>
      <c r="V29" s="62"/>
      <c r="W29" s="28" t="s">
        <v>370</v>
      </c>
    </row>
    <row r="30" spans="1:23" ht="58">
      <c r="A30" s="193" t="s">
        <v>341</v>
      </c>
      <c r="B30" s="201">
        <v>3</v>
      </c>
      <c r="C30" s="202" t="s">
        <v>488</v>
      </c>
      <c r="D30" s="196" t="s">
        <v>489</v>
      </c>
      <c r="E30" s="197" t="s">
        <v>490</v>
      </c>
      <c r="F30" s="24" t="s">
        <v>140</v>
      </c>
      <c r="G30" s="25" t="s">
        <v>495</v>
      </c>
      <c r="H30" s="26" t="s">
        <v>346</v>
      </c>
      <c r="I30" s="26" t="s">
        <v>391</v>
      </c>
      <c r="J30" s="186"/>
      <c r="K30" s="68" t="s">
        <v>496</v>
      </c>
      <c r="L30" s="28"/>
      <c r="M30" s="29"/>
      <c r="N30" s="63"/>
      <c r="O30" s="30"/>
      <c r="P30" s="31"/>
      <c r="Q30" s="71" t="s">
        <v>361</v>
      </c>
      <c r="R30" s="62"/>
      <c r="S30" s="62"/>
      <c r="T30" s="62"/>
      <c r="U30" s="62"/>
      <c r="V30" s="62"/>
      <c r="W30" s="28"/>
    </row>
    <row r="31" spans="1:23" ht="58">
      <c r="A31" s="193" t="s">
        <v>341</v>
      </c>
      <c r="B31" s="201">
        <v>3</v>
      </c>
      <c r="C31" s="202" t="s">
        <v>488</v>
      </c>
      <c r="D31" s="205" t="s">
        <v>497</v>
      </c>
      <c r="E31" s="197" t="s">
        <v>498</v>
      </c>
      <c r="F31" s="24" t="s">
        <v>499</v>
      </c>
      <c r="G31" s="25" t="s">
        <v>500</v>
      </c>
      <c r="H31" s="26" t="s">
        <v>346</v>
      </c>
      <c r="I31" s="24" t="s">
        <v>365</v>
      </c>
      <c r="J31" s="186" t="str">
        <f t="shared" si="0"/>
        <v>Participar en l'elaboració dels instruments de planificació de l'ENP</v>
      </c>
      <c r="K31" s="65"/>
      <c r="L31" s="28" t="s">
        <v>501</v>
      </c>
      <c r="M31" s="29"/>
      <c r="N31" s="68"/>
      <c r="O31" s="30"/>
      <c r="P31" s="31" t="s">
        <v>502</v>
      </c>
      <c r="Q31" s="71" t="s">
        <v>361</v>
      </c>
      <c r="R31" s="62"/>
      <c r="S31" s="62"/>
      <c r="T31" s="62"/>
      <c r="U31" s="62"/>
      <c r="V31" s="62"/>
      <c r="W31" s="28"/>
    </row>
    <row r="32" spans="1:23" ht="58">
      <c r="A32" s="193" t="s">
        <v>341</v>
      </c>
      <c r="B32" s="201">
        <v>3</v>
      </c>
      <c r="C32" s="202" t="s">
        <v>488</v>
      </c>
      <c r="D32" s="196" t="s">
        <v>503</v>
      </c>
      <c r="E32" s="197" t="s">
        <v>504</v>
      </c>
      <c r="F32" s="24" t="s">
        <v>505</v>
      </c>
      <c r="G32" s="25" t="s">
        <v>506</v>
      </c>
      <c r="H32" s="26" t="s">
        <v>390</v>
      </c>
      <c r="I32" s="26" t="s">
        <v>472</v>
      </c>
      <c r="J32" s="186" t="str">
        <f t="shared" si="0"/>
        <v>Vetllar pel manteniment del cabal ecològic dels rius definit al Pla sectorial corresponent</v>
      </c>
      <c r="K32" s="35"/>
      <c r="L32" s="28" t="s">
        <v>501</v>
      </c>
      <c r="M32" s="29"/>
      <c r="N32" s="63"/>
      <c r="O32" s="30" t="s">
        <v>367</v>
      </c>
      <c r="P32" s="31" t="s">
        <v>507</v>
      </c>
      <c r="Q32" s="71" t="s">
        <v>361</v>
      </c>
      <c r="R32" s="62"/>
      <c r="S32" s="62"/>
      <c r="T32" s="62"/>
      <c r="U32" s="62"/>
      <c r="V32" s="62"/>
      <c r="W32" s="28"/>
    </row>
    <row r="33" spans="1:23" ht="58">
      <c r="A33" s="193" t="s">
        <v>341</v>
      </c>
      <c r="B33" s="201">
        <v>3</v>
      </c>
      <c r="C33" s="202" t="s">
        <v>488</v>
      </c>
      <c r="D33" s="196" t="s">
        <v>503</v>
      </c>
      <c r="E33" s="197" t="s">
        <v>504</v>
      </c>
      <c r="F33" s="24" t="s">
        <v>508</v>
      </c>
      <c r="G33" s="25" t="s">
        <v>509</v>
      </c>
      <c r="H33" s="26" t="s">
        <v>390</v>
      </c>
      <c r="I33" s="26" t="s">
        <v>391</v>
      </c>
      <c r="J33" s="186" t="str">
        <f t="shared" si="0"/>
        <v>Vetllar per la regulació dels dragatges, canalitzacions o implantació d'activitats extractives que puguin modificar la llera i el cabal dels rius</v>
      </c>
      <c r="K33" s="35"/>
      <c r="L33" s="28" t="s">
        <v>501</v>
      </c>
      <c r="M33" s="29"/>
      <c r="N33" s="63"/>
      <c r="O33" s="30"/>
      <c r="P33" s="31"/>
      <c r="Q33" s="71" t="s">
        <v>361</v>
      </c>
      <c r="R33" s="62"/>
      <c r="S33" s="62"/>
      <c r="T33" s="62"/>
      <c r="U33" s="62"/>
      <c r="V33" s="62"/>
      <c r="W33" s="28"/>
    </row>
    <row r="34" spans="1:23" ht="87">
      <c r="A34" s="193" t="s">
        <v>341</v>
      </c>
      <c r="B34" s="201">
        <v>3</v>
      </c>
      <c r="C34" s="202" t="s">
        <v>488</v>
      </c>
      <c r="D34" s="196" t="s">
        <v>503</v>
      </c>
      <c r="E34" s="197" t="s">
        <v>504</v>
      </c>
      <c r="F34" s="24" t="s">
        <v>128</v>
      </c>
      <c r="G34" s="25" t="s">
        <v>510</v>
      </c>
      <c r="H34" s="26" t="s">
        <v>390</v>
      </c>
      <c r="I34" s="26" t="s">
        <v>391</v>
      </c>
      <c r="J34" s="186" t="str">
        <f t="shared" si="0"/>
        <v>Avaluar i controlar les actuacions que produeixin drenatges, captacions o que puguin impedir l’arribada d’aigua tant superficial com freàtica</v>
      </c>
      <c r="K34" s="35"/>
      <c r="L34" s="28" t="s">
        <v>350</v>
      </c>
      <c r="M34" s="29" t="s">
        <v>366</v>
      </c>
      <c r="N34" s="63" t="s">
        <v>511</v>
      </c>
      <c r="O34" s="30"/>
      <c r="P34" s="31"/>
      <c r="Q34" s="71" t="s">
        <v>512</v>
      </c>
      <c r="R34" s="61" t="s">
        <v>513</v>
      </c>
      <c r="S34" s="61" t="s">
        <v>514</v>
      </c>
      <c r="T34" s="62"/>
      <c r="U34" s="62"/>
      <c r="V34" s="62"/>
      <c r="W34" s="28" t="s">
        <v>357</v>
      </c>
    </row>
    <row r="35" spans="1:23" ht="58">
      <c r="A35" s="193" t="s">
        <v>341</v>
      </c>
      <c r="B35" s="201">
        <v>3</v>
      </c>
      <c r="C35" s="202" t="s">
        <v>488</v>
      </c>
      <c r="D35" s="196" t="s">
        <v>503</v>
      </c>
      <c r="E35" s="197" t="s">
        <v>504</v>
      </c>
      <c r="F35" s="24" t="s">
        <v>515</v>
      </c>
      <c r="G35" s="25" t="s">
        <v>516</v>
      </c>
      <c r="H35" s="26" t="s">
        <v>390</v>
      </c>
      <c r="I35" s="26" t="s">
        <v>391</v>
      </c>
      <c r="J35" s="186" t="s">
        <v>517</v>
      </c>
      <c r="K35" s="35" t="s">
        <v>518</v>
      </c>
      <c r="L35" s="28" t="s">
        <v>350</v>
      </c>
      <c r="M35" s="29" t="s">
        <v>366</v>
      </c>
      <c r="N35" s="28" t="s">
        <v>519</v>
      </c>
      <c r="O35" s="30"/>
      <c r="P35" s="31"/>
      <c r="Q35" s="71" t="s">
        <v>520</v>
      </c>
      <c r="R35" s="62" t="s">
        <v>521</v>
      </c>
      <c r="S35" s="62" t="s">
        <v>522</v>
      </c>
      <c r="T35" s="62"/>
      <c r="U35" s="62"/>
      <c r="V35" s="62"/>
      <c r="W35" s="28" t="s">
        <v>357</v>
      </c>
    </row>
    <row r="36" spans="1:23" ht="58">
      <c r="A36" s="193" t="s">
        <v>341</v>
      </c>
      <c r="B36" s="201">
        <v>3</v>
      </c>
      <c r="C36" s="202" t="s">
        <v>488</v>
      </c>
      <c r="D36" s="196" t="s">
        <v>503</v>
      </c>
      <c r="E36" s="197" t="s">
        <v>504</v>
      </c>
      <c r="F36" s="24" t="s">
        <v>523</v>
      </c>
      <c r="G36" s="25" t="s">
        <v>524</v>
      </c>
      <c r="H36" s="26"/>
      <c r="I36" s="26"/>
      <c r="J36" s="186" t="str">
        <f t="shared" si="0"/>
        <v>Vetllar per la conservació i ocupació del domini públic d'acord amb les delimitacions i la normativa d'usos vigent</v>
      </c>
      <c r="K36" s="35" t="s">
        <v>525</v>
      </c>
      <c r="L36" s="28" t="s">
        <v>350</v>
      </c>
      <c r="M36" s="29" t="s">
        <v>463</v>
      </c>
      <c r="N36" s="61" t="s">
        <v>526</v>
      </c>
      <c r="O36" s="30"/>
      <c r="P36" s="31"/>
      <c r="Q36" s="71" t="s">
        <v>527</v>
      </c>
      <c r="R36" s="62" t="s">
        <v>501</v>
      </c>
      <c r="S36" s="62" t="s">
        <v>350</v>
      </c>
      <c r="T36" s="62"/>
      <c r="U36" s="62"/>
      <c r="V36" s="62"/>
      <c r="W36" s="28" t="s">
        <v>24</v>
      </c>
    </row>
    <row r="37" spans="1:23" ht="58">
      <c r="A37" s="193" t="s">
        <v>341</v>
      </c>
      <c r="B37" s="201">
        <v>3</v>
      </c>
      <c r="C37" s="202" t="s">
        <v>488</v>
      </c>
      <c r="D37" s="196" t="s">
        <v>528</v>
      </c>
      <c r="E37" s="197" t="s">
        <v>529</v>
      </c>
      <c r="F37" s="24" t="s">
        <v>141</v>
      </c>
      <c r="G37" s="25" t="s">
        <v>530</v>
      </c>
      <c r="H37" s="26" t="s">
        <v>346</v>
      </c>
      <c r="I37" s="26" t="s">
        <v>391</v>
      </c>
      <c r="J37" s="186" t="str">
        <f t="shared" si="0"/>
        <v xml:space="preserve">Identificar espais prioritaris per a la compra de terrenys de més valor dins l'ENP </v>
      </c>
      <c r="K37" s="35"/>
      <c r="L37" s="28" t="s">
        <v>350</v>
      </c>
      <c r="M37" s="29" t="s">
        <v>374</v>
      </c>
      <c r="N37" s="64" t="s">
        <v>531</v>
      </c>
      <c r="O37" s="30"/>
      <c r="P37" s="31" t="s">
        <v>532</v>
      </c>
      <c r="Q37" s="71" t="s">
        <v>533</v>
      </c>
      <c r="R37" s="61" t="s">
        <v>534</v>
      </c>
      <c r="S37" s="61" t="s">
        <v>535</v>
      </c>
      <c r="T37" s="62"/>
      <c r="U37" s="62"/>
      <c r="V37" s="62"/>
      <c r="W37" s="28" t="s">
        <v>24</v>
      </c>
    </row>
    <row r="38" spans="1:23" ht="87">
      <c r="A38" s="193" t="s">
        <v>341</v>
      </c>
      <c r="B38" s="201">
        <v>3</v>
      </c>
      <c r="C38" s="202" t="s">
        <v>488</v>
      </c>
      <c r="D38" s="196" t="s">
        <v>528</v>
      </c>
      <c r="E38" s="197" t="s">
        <v>529</v>
      </c>
      <c r="F38" s="24" t="s">
        <v>536</v>
      </c>
      <c r="G38" s="25" t="s">
        <v>537</v>
      </c>
      <c r="H38" s="26" t="s">
        <v>346</v>
      </c>
      <c r="I38" s="26" t="s">
        <v>472</v>
      </c>
      <c r="J38" s="186" t="str">
        <f t="shared" si="0"/>
        <v>Identificar espais prioritaris per a la gestió directa</v>
      </c>
      <c r="K38" s="35"/>
      <c r="L38" s="28" t="s">
        <v>350</v>
      </c>
      <c r="M38" s="29" t="s">
        <v>351</v>
      </c>
      <c r="N38" s="198" t="s">
        <v>538</v>
      </c>
      <c r="O38" s="30"/>
      <c r="P38" s="31" t="s">
        <v>532</v>
      </c>
      <c r="Q38" s="71" t="s">
        <v>539</v>
      </c>
      <c r="R38" s="61" t="s">
        <v>540</v>
      </c>
      <c r="S38" s="61" t="s">
        <v>541</v>
      </c>
      <c r="T38" s="62"/>
      <c r="U38" s="62"/>
      <c r="V38" s="62"/>
      <c r="W38" s="28" t="s">
        <v>357</v>
      </c>
    </row>
    <row r="39" spans="1:23" ht="58">
      <c r="A39" s="206" t="s">
        <v>542</v>
      </c>
      <c r="B39" s="207">
        <v>4</v>
      </c>
      <c r="C39" s="208" t="s">
        <v>543</v>
      </c>
      <c r="D39" s="209" t="s">
        <v>544</v>
      </c>
      <c r="E39" s="210" t="s">
        <v>545</v>
      </c>
      <c r="F39" s="24" t="s">
        <v>147</v>
      </c>
      <c r="G39" s="25" t="s">
        <v>546</v>
      </c>
      <c r="H39" s="26" t="s">
        <v>346</v>
      </c>
      <c r="I39" s="26" t="s">
        <v>472</v>
      </c>
      <c r="J39" s="186" t="str">
        <f t="shared" si="0"/>
        <v>Elaborar l'inventari i cartografia de patrimoni cultural de l'ENP, que també inclogui el patrimoni etnològic i immaterial</v>
      </c>
      <c r="K39" s="35"/>
      <c r="L39" s="28" t="s">
        <v>350</v>
      </c>
      <c r="M39" s="29" t="s">
        <v>351</v>
      </c>
      <c r="N39" s="211" t="s">
        <v>547</v>
      </c>
      <c r="O39" s="30"/>
      <c r="P39" s="31"/>
      <c r="Q39" s="71" t="s">
        <v>548</v>
      </c>
      <c r="R39" s="62" t="s">
        <v>549</v>
      </c>
      <c r="S39" s="62" t="s">
        <v>550</v>
      </c>
      <c r="T39" s="62"/>
      <c r="U39" s="62"/>
      <c r="V39" s="62"/>
      <c r="W39" s="28" t="s">
        <v>469</v>
      </c>
    </row>
    <row r="40" spans="1:23" ht="58">
      <c r="A40" s="206" t="s">
        <v>542</v>
      </c>
      <c r="B40" s="207">
        <v>4</v>
      </c>
      <c r="C40" s="208" t="s">
        <v>543</v>
      </c>
      <c r="D40" s="209" t="s">
        <v>544</v>
      </c>
      <c r="E40" s="210" t="s">
        <v>545</v>
      </c>
      <c r="F40" s="24" t="s">
        <v>551</v>
      </c>
      <c r="G40" s="25" t="s">
        <v>552</v>
      </c>
      <c r="H40" s="26" t="s">
        <v>346</v>
      </c>
      <c r="I40" s="26" t="s">
        <v>472</v>
      </c>
      <c r="J40" s="186"/>
      <c r="K40" s="66" t="s">
        <v>553</v>
      </c>
      <c r="L40" s="28"/>
      <c r="M40" s="29"/>
      <c r="N40" s="63"/>
      <c r="O40" s="30"/>
      <c r="P40" s="31"/>
      <c r="Q40" s="71"/>
      <c r="R40" s="62"/>
      <c r="S40" s="62"/>
      <c r="T40" s="62"/>
      <c r="U40" s="62"/>
      <c r="V40" s="62"/>
      <c r="W40" s="28"/>
    </row>
    <row r="41" spans="1:23" ht="58">
      <c r="A41" s="206" t="s">
        <v>542</v>
      </c>
      <c r="B41" s="207">
        <v>4</v>
      </c>
      <c r="C41" s="208" t="s">
        <v>543</v>
      </c>
      <c r="D41" s="209" t="s">
        <v>544</v>
      </c>
      <c r="E41" s="210" t="s">
        <v>545</v>
      </c>
      <c r="F41" s="24" t="s">
        <v>152</v>
      </c>
      <c r="G41" s="25" t="s">
        <v>554</v>
      </c>
      <c r="H41" s="26" t="s">
        <v>346</v>
      </c>
      <c r="I41" s="26" t="s">
        <v>472</v>
      </c>
      <c r="J41" s="186" t="str">
        <f t="shared" si="0"/>
        <v>Elaborar la cartografia de la xarxa de camins ramaders i senders tradicionals de l'ENP</v>
      </c>
      <c r="K41" s="35"/>
      <c r="L41" s="28" t="s">
        <v>350</v>
      </c>
      <c r="M41" s="29" t="s">
        <v>366</v>
      </c>
      <c r="N41" s="63" t="s">
        <v>151</v>
      </c>
      <c r="O41" s="30"/>
      <c r="P41" s="31"/>
      <c r="Q41" s="71" t="s">
        <v>548</v>
      </c>
      <c r="R41" s="62" t="s">
        <v>550</v>
      </c>
      <c r="S41" s="62" t="s">
        <v>550</v>
      </c>
      <c r="T41" s="62"/>
      <c r="U41" s="62"/>
      <c r="V41" s="62"/>
      <c r="W41" s="28" t="s">
        <v>370</v>
      </c>
    </row>
    <row r="42" spans="1:23" ht="43.5">
      <c r="A42" s="206" t="s">
        <v>542</v>
      </c>
      <c r="B42" s="207">
        <v>4</v>
      </c>
      <c r="C42" s="208" t="s">
        <v>543</v>
      </c>
      <c r="D42" s="212" t="s">
        <v>555</v>
      </c>
      <c r="E42" s="210" t="s">
        <v>556</v>
      </c>
      <c r="F42" s="24" t="s">
        <v>557</v>
      </c>
      <c r="G42" s="25" t="s">
        <v>558</v>
      </c>
      <c r="H42" s="26" t="s">
        <v>346</v>
      </c>
      <c r="I42" s="26" t="s">
        <v>365</v>
      </c>
      <c r="J42" s="186"/>
      <c r="K42" s="68" t="s">
        <v>559</v>
      </c>
      <c r="L42" s="28"/>
      <c r="M42" s="29"/>
      <c r="N42" s="63"/>
      <c r="O42" s="30"/>
      <c r="P42" s="31"/>
      <c r="Q42" s="71"/>
      <c r="R42" s="62"/>
      <c r="S42" s="62"/>
      <c r="T42" s="62"/>
      <c r="U42" s="62"/>
      <c r="V42" s="62"/>
      <c r="W42" s="28"/>
    </row>
    <row r="43" spans="1:23" ht="43.5">
      <c r="A43" s="206" t="s">
        <v>542</v>
      </c>
      <c r="B43" s="207">
        <v>4</v>
      </c>
      <c r="C43" s="208" t="s">
        <v>543</v>
      </c>
      <c r="D43" s="212" t="s">
        <v>555</v>
      </c>
      <c r="E43" s="210" t="s">
        <v>556</v>
      </c>
      <c r="F43" s="24" t="s">
        <v>560</v>
      </c>
      <c r="G43" s="25" t="s">
        <v>561</v>
      </c>
      <c r="H43" s="26" t="s">
        <v>346</v>
      </c>
      <c r="I43" s="26" t="s">
        <v>472</v>
      </c>
      <c r="J43" s="186" t="str">
        <f t="shared" si="0"/>
        <v>Articular treballs conjunts entre l'ENP i representants, gestors o custodis del patrimoni cultural per a la seva protecció i millora</v>
      </c>
      <c r="K43" s="35"/>
      <c r="L43" s="28" t="s">
        <v>562</v>
      </c>
      <c r="M43" s="29" t="s">
        <v>366</v>
      </c>
      <c r="N43" s="63" t="s">
        <v>563</v>
      </c>
      <c r="O43" s="30"/>
      <c r="P43" s="31"/>
      <c r="Q43" s="71" t="s">
        <v>564</v>
      </c>
      <c r="R43" s="62" t="s">
        <v>550</v>
      </c>
      <c r="S43" s="62" t="s">
        <v>550</v>
      </c>
      <c r="T43" s="62"/>
      <c r="U43" s="62"/>
      <c r="V43" s="62"/>
      <c r="W43" s="28" t="s">
        <v>469</v>
      </c>
    </row>
    <row r="44" spans="1:23" ht="43.5">
      <c r="A44" s="206" t="s">
        <v>542</v>
      </c>
      <c r="B44" s="207">
        <v>4</v>
      </c>
      <c r="C44" s="208" t="s">
        <v>543</v>
      </c>
      <c r="D44" s="212" t="s">
        <v>555</v>
      </c>
      <c r="E44" s="210" t="s">
        <v>556</v>
      </c>
      <c r="F44" s="24" t="s">
        <v>565</v>
      </c>
      <c r="G44" s="25" t="s">
        <v>1178</v>
      </c>
      <c r="H44" s="26" t="s">
        <v>346</v>
      </c>
      <c r="I44" s="26" t="s">
        <v>472</v>
      </c>
      <c r="J44" s="203"/>
      <c r="K44" s="35" t="s">
        <v>559</v>
      </c>
      <c r="L44" s="28" t="s">
        <v>501</v>
      </c>
      <c r="M44" s="29"/>
      <c r="N44" s="63"/>
      <c r="O44" s="30"/>
      <c r="P44" s="31"/>
      <c r="Q44" s="71"/>
      <c r="R44" s="62"/>
      <c r="S44" s="62"/>
      <c r="T44" s="62"/>
      <c r="U44" s="62"/>
      <c r="V44" s="62"/>
      <c r="W44" s="28"/>
    </row>
    <row r="45" spans="1:23" ht="43.5">
      <c r="A45" s="206" t="s">
        <v>542</v>
      </c>
      <c r="B45" s="207">
        <v>4</v>
      </c>
      <c r="C45" s="208" t="s">
        <v>543</v>
      </c>
      <c r="D45" s="212" t="s">
        <v>555</v>
      </c>
      <c r="E45" s="210" t="s">
        <v>556</v>
      </c>
      <c r="F45" s="24" t="s">
        <v>566</v>
      </c>
      <c r="G45" s="25" t="s">
        <v>567</v>
      </c>
      <c r="H45" s="26" t="s">
        <v>346</v>
      </c>
      <c r="I45" s="26" t="s">
        <v>347</v>
      </c>
      <c r="J45" s="186" t="str">
        <f t="shared" si="0"/>
        <v>Disposar de personal especialitzat en patrimoni cultural</v>
      </c>
      <c r="K45" s="65"/>
      <c r="L45" s="28" t="s">
        <v>350</v>
      </c>
      <c r="M45" s="29" t="s">
        <v>568</v>
      </c>
      <c r="N45" s="63" t="s">
        <v>569</v>
      </c>
      <c r="O45" s="30"/>
      <c r="P45" s="31"/>
      <c r="Q45" s="71" t="s">
        <v>570</v>
      </c>
      <c r="R45" s="62">
        <v>0</v>
      </c>
      <c r="S45" s="62">
        <v>0</v>
      </c>
      <c r="T45" s="62"/>
      <c r="U45" s="62"/>
      <c r="V45" s="62"/>
      <c r="W45" s="28" t="s">
        <v>469</v>
      </c>
    </row>
    <row r="46" spans="1:23" ht="43.5">
      <c r="A46" s="206" t="s">
        <v>542</v>
      </c>
      <c r="B46" s="207">
        <v>4</v>
      </c>
      <c r="C46" s="208" t="s">
        <v>543</v>
      </c>
      <c r="D46" s="209" t="s">
        <v>571</v>
      </c>
      <c r="E46" s="210" t="s">
        <v>572</v>
      </c>
      <c r="F46" s="24" t="s">
        <v>573</v>
      </c>
      <c r="G46" s="25" t="s">
        <v>1179</v>
      </c>
      <c r="H46" s="26" t="s">
        <v>346</v>
      </c>
      <c r="I46" s="26" t="s">
        <v>347</v>
      </c>
      <c r="J46" s="186"/>
      <c r="K46" s="68" t="s">
        <v>559</v>
      </c>
      <c r="L46" s="76"/>
      <c r="M46" s="29"/>
      <c r="N46" s="68"/>
      <c r="O46" s="30" t="s">
        <v>352</v>
      </c>
      <c r="P46" s="31"/>
      <c r="Q46" s="71"/>
      <c r="R46" s="62"/>
      <c r="S46" s="62"/>
      <c r="T46" s="62"/>
      <c r="U46" s="62"/>
      <c r="V46" s="62"/>
      <c r="W46" s="28"/>
    </row>
    <row r="47" spans="1:23" ht="43.5">
      <c r="A47" s="206" t="s">
        <v>542</v>
      </c>
      <c r="B47" s="207">
        <v>4</v>
      </c>
      <c r="C47" s="208" t="s">
        <v>543</v>
      </c>
      <c r="D47" s="209" t="s">
        <v>571</v>
      </c>
      <c r="E47" s="210" t="s">
        <v>572</v>
      </c>
      <c r="F47" s="24" t="s">
        <v>156</v>
      </c>
      <c r="G47" s="25" t="s">
        <v>574</v>
      </c>
      <c r="H47" s="26" t="s">
        <v>390</v>
      </c>
      <c r="I47" s="26" t="s">
        <v>347</v>
      </c>
      <c r="J47" s="186" t="str">
        <f t="shared" si="0"/>
        <v>Recuperar i conservar el patrimoni cultural rural vinculat específicament a construccions de pedra en sec</v>
      </c>
      <c r="K47" s="35"/>
      <c r="L47" s="28" t="s">
        <v>350</v>
      </c>
      <c r="M47" s="29" t="s">
        <v>374</v>
      </c>
      <c r="N47" s="61" t="s">
        <v>575</v>
      </c>
      <c r="O47" s="30" t="s">
        <v>352</v>
      </c>
      <c r="P47" s="31"/>
      <c r="Q47" s="71" t="s">
        <v>576</v>
      </c>
      <c r="R47" s="62">
        <v>3</v>
      </c>
      <c r="S47" s="62">
        <v>10</v>
      </c>
      <c r="T47" s="62"/>
      <c r="U47" s="62"/>
      <c r="V47" s="62"/>
      <c r="W47" s="28" t="s">
        <v>357</v>
      </c>
    </row>
    <row r="48" spans="1:23" ht="43.5">
      <c r="A48" s="206" t="s">
        <v>542</v>
      </c>
      <c r="B48" s="207">
        <v>4</v>
      </c>
      <c r="C48" s="208" t="s">
        <v>543</v>
      </c>
      <c r="D48" s="209" t="s">
        <v>571</v>
      </c>
      <c r="E48" s="210" t="s">
        <v>572</v>
      </c>
      <c r="F48" s="24" t="s">
        <v>577</v>
      </c>
      <c r="G48" s="25" t="s">
        <v>578</v>
      </c>
      <c r="H48" s="26" t="s">
        <v>346</v>
      </c>
      <c r="I48" s="26" t="s">
        <v>391</v>
      </c>
      <c r="J48" s="186"/>
      <c r="K48" s="68" t="s">
        <v>579</v>
      </c>
      <c r="L48" s="28"/>
      <c r="M48" s="29"/>
      <c r="N48" s="63"/>
      <c r="O48" s="30"/>
      <c r="P48" s="31"/>
      <c r="Q48" s="71"/>
      <c r="R48" s="62"/>
      <c r="S48" s="62"/>
      <c r="T48" s="62"/>
      <c r="U48" s="62"/>
      <c r="V48" s="62"/>
      <c r="W48" s="28"/>
    </row>
    <row r="49" spans="1:23" ht="43.5">
      <c r="A49" s="206" t="s">
        <v>542</v>
      </c>
      <c r="B49" s="207">
        <v>4</v>
      </c>
      <c r="C49" s="208" t="s">
        <v>543</v>
      </c>
      <c r="D49" s="209" t="s">
        <v>571</v>
      </c>
      <c r="E49" s="210" t="s">
        <v>572</v>
      </c>
      <c r="F49" s="24" t="s">
        <v>580</v>
      </c>
      <c r="G49" s="25" t="s">
        <v>581</v>
      </c>
      <c r="H49" s="26" t="s">
        <v>346</v>
      </c>
      <c r="I49" s="26" t="s">
        <v>365</v>
      </c>
      <c r="J49" s="186" t="str">
        <f t="shared" si="0"/>
        <v>Identificar i conservar la diversitat domesticada de varietats agrícoles i ramaderes locals</v>
      </c>
      <c r="K49" s="65"/>
      <c r="L49" s="28" t="s">
        <v>350</v>
      </c>
      <c r="M49" s="29" t="s">
        <v>463</v>
      </c>
      <c r="N49" s="64" t="s">
        <v>582</v>
      </c>
      <c r="O49" s="30" t="s">
        <v>367</v>
      </c>
      <c r="P49" s="31"/>
      <c r="Q49" s="71" t="s">
        <v>583</v>
      </c>
      <c r="R49" s="62" t="s">
        <v>501</v>
      </c>
      <c r="S49" s="62" t="s">
        <v>350</v>
      </c>
      <c r="T49" s="62"/>
      <c r="U49" s="62"/>
      <c r="V49" s="62"/>
      <c r="W49" s="28" t="s">
        <v>357</v>
      </c>
    </row>
    <row r="50" spans="1:23" ht="43.5">
      <c r="A50" s="206" t="s">
        <v>542</v>
      </c>
      <c r="B50" s="207">
        <v>4</v>
      </c>
      <c r="C50" s="208" t="s">
        <v>543</v>
      </c>
      <c r="D50" s="209" t="s">
        <v>584</v>
      </c>
      <c r="E50" s="210" t="s">
        <v>585</v>
      </c>
      <c r="F50" s="26" t="s">
        <v>160</v>
      </c>
      <c r="G50" s="25" t="s">
        <v>586</v>
      </c>
      <c r="H50" s="26" t="s">
        <v>346</v>
      </c>
      <c r="I50" s="26" t="s">
        <v>347</v>
      </c>
      <c r="J50" s="186" t="str">
        <f t="shared" si="0"/>
        <v>Integrar el patrimoni cultural als itineraris i cartelleria de l'ENP.</v>
      </c>
      <c r="K50" s="35"/>
      <c r="L50" s="28" t="s">
        <v>350</v>
      </c>
      <c r="M50" s="29" t="s">
        <v>351</v>
      </c>
      <c r="N50" s="28" t="s">
        <v>159</v>
      </c>
      <c r="O50" s="30"/>
      <c r="P50" s="31"/>
      <c r="Q50" s="71" t="s">
        <v>587</v>
      </c>
      <c r="R50" s="62">
        <v>30</v>
      </c>
      <c r="S50" s="62">
        <v>100</v>
      </c>
      <c r="T50" s="62"/>
      <c r="U50" s="62"/>
      <c r="V50" s="62"/>
      <c r="W50" s="28" t="s">
        <v>469</v>
      </c>
    </row>
    <row r="51" spans="1:23" ht="58">
      <c r="A51" s="206" t="s">
        <v>542</v>
      </c>
      <c r="B51" s="207">
        <v>4</v>
      </c>
      <c r="C51" s="208" t="s">
        <v>543</v>
      </c>
      <c r="D51" s="209" t="s">
        <v>584</v>
      </c>
      <c r="E51" s="210" t="s">
        <v>585</v>
      </c>
      <c r="F51" s="26" t="s">
        <v>166</v>
      </c>
      <c r="G51" s="25" t="s">
        <v>588</v>
      </c>
      <c r="H51" s="26" t="s">
        <v>346</v>
      </c>
      <c r="I51" s="26" t="s">
        <v>347</v>
      </c>
      <c r="J51" s="186" t="str">
        <f t="shared" si="0"/>
        <v>Incorporar el patrimoni cultural en els plans d’ús públic i educació ambiental per fomentar-ne la seva conservació i divulgació.</v>
      </c>
      <c r="K51" s="35"/>
      <c r="L51" s="28" t="s">
        <v>350</v>
      </c>
      <c r="M51" s="29" t="s">
        <v>366</v>
      </c>
      <c r="N51" s="211" t="s">
        <v>589</v>
      </c>
      <c r="O51" s="30"/>
      <c r="P51" s="31"/>
      <c r="Q51" s="71" t="s">
        <v>590</v>
      </c>
      <c r="R51" s="62">
        <v>10</v>
      </c>
      <c r="S51" s="62">
        <v>33</v>
      </c>
      <c r="T51" s="62"/>
      <c r="U51" s="62"/>
      <c r="V51" s="62"/>
      <c r="W51" s="28" t="s">
        <v>469</v>
      </c>
    </row>
    <row r="52" spans="1:23" ht="43.5">
      <c r="A52" s="206" t="s">
        <v>542</v>
      </c>
      <c r="B52" s="207">
        <v>4</v>
      </c>
      <c r="C52" s="208" t="s">
        <v>543</v>
      </c>
      <c r="D52" s="209" t="s">
        <v>584</v>
      </c>
      <c r="E52" s="210" t="s">
        <v>585</v>
      </c>
      <c r="F52" s="26" t="s">
        <v>591</v>
      </c>
      <c r="G52" s="25" t="s">
        <v>592</v>
      </c>
      <c r="H52" s="26" t="s">
        <v>346</v>
      </c>
      <c r="I52" s="26" t="s">
        <v>347</v>
      </c>
      <c r="J52" s="186" t="str">
        <f t="shared" si="0"/>
        <v>Formar el personal dels punts d’informació en els valors culturals de l'ENP</v>
      </c>
      <c r="K52" s="35"/>
      <c r="L52" s="28" t="s">
        <v>501</v>
      </c>
      <c r="M52" s="29"/>
      <c r="N52" s="63"/>
      <c r="O52" s="30"/>
      <c r="P52" s="31"/>
      <c r="Q52" s="71"/>
      <c r="R52" s="62"/>
      <c r="S52" s="62"/>
      <c r="T52" s="62"/>
      <c r="U52" s="62"/>
      <c r="V52" s="62"/>
      <c r="W52" s="28"/>
    </row>
    <row r="53" spans="1:23" ht="29">
      <c r="A53" s="206" t="s">
        <v>542</v>
      </c>
      <c r="B53" s="207">
        <v>5</v>
      </c>
      <c r="C53" s="208" t="s">
        <v>593</v>
      </c>
      <c r="D53" s="213" t="s">
        <v>594</v>
      </c>
      <c r="E53" s="210" t="s">
        <v>595</v>
      </c>
      <c r="F53" s="26" t="s">
        <v>596</v>
      </c>
      <c r="G53" s="25" t="s">
        <v>597</v>
      </c>
      <c r="H53" s="26" t="s">
        <v>346</v>
      </c>
      <c r="I53" s="26" t="s">
        <v>472</v>
      </c>
      <c r="J53" s="186" t="str">
        <f t="shared" si="0"/>
        <v xml:space="preserve">Elaborar un inventari d'elements d'interès paisatgístic de l'ENP d'acord amb el Catàleg de paisatge de la zona </v>
      </c>
      <c r="K53" s="35"/>
      <c r="L53" s="28" t="s">
        <v>501</v>
      </c>
      <c r="M53" s="29"/>
      <c r="N53" s="63"/>
      <c r="O53" s="30"/>
      <c r="P53" s="31"/>
      <c r="Q53" s="71"/>
      <c r="R53" s="62"/>
      <c r="S53" s="62"/>
      <c r="T53" s="62"/>
      <c r="U53" s="62"/>
      <c r="V53" s="62"/>
      <c r="W53" s="28"/>
    </row>
    <row r="54" spans="1:23" ht="58">
      <c r="A54" s="206" t="s">
        <v>542</v>
      </c>
      <c r="B54" s="207">
        <v>5</v>
      </c>
      <c r="C54" s="208" t="s">
        <v>593</v>
      </c>
      <c r="D54" s="212" t="s">
        <v>598</v>
      </c>
      <c r="E54" s="210" t="s">
        <v>599</v>
      </c>
      <c r="F54" s="24" t="s">
        <v>169</v>
      </c>
      <c r="G54" s="25" t="s">
        <v>600</v>
      </c>
      <c r="H54" s="26" t="s">
        <v>346</v>
      </c>
      <c r="I54" s="26" t="s">
        <v>472</v>
      </c>
      <c r="J54" s="186" t="str">
        <f t="shared" si="0"/>
        <v>Desplegar actuacions de restauració dels elements d'interès paisatgístic degradats</v>
      </c>
      <c r="K54" s="35"/>
      <c r="L54" s="28" t="s">
        <v>350</v>
      </c>
      <c r="M54" s="29" t="s">
        <v>351</v>
      </c>
      <c r="N54" s="28" t="s">
        <v>601</v>
      </c>
      <c r="O54" s="30"/>
      <c r="P54" s="31"/>
      <c r="Q54" s="71" t="s">
        <v>602</v>
      </c>
      <c r="R54" s="62" t="s">
        <v>350</v>
      </c>
      <c r="S54" s="62" t="s">
        <v>350</v>
      </c>
      <c r="T54" s="62"/>
      <c r="U54" s="62"/>
      <c r="V54" s="62"/>
      <c r="W54" s="28" t="s">
        <v>357</v>
      </c>
    </row>
    <row r="55" spans="1:23" ht="43.5">
      <c r="A55" s="206" t="s">
        <v>542</v>
      </c>
      <c r="B55" s="207">
        <v>5</v>
      </c>
      <c r="C55" s="208" t="s">
        <v>593</v>
      </c>
      <c r="D55" s="212" t="s">
        <v>598</v>
      </c>
      <c r="E55" s="210" t="s">
        <v>599</v>
      </c>
      <c r="F55" s="24" t="s">
        <v>603</v>
      </c>
      <c r="G55" s="25" t="s">
        <v>604</v>
      </c>
      <c r="H55" s="26"/>
      <c r="I55" s="26"/>
      <c r="J55" s="186" t="s">
        <v>605</v>
      </c>
      <c r="K55" s="35" t="s">
        <v>606</v>
      </c>
      <c r="L55" s="28" t="s">
        <v>350</v>
      </c>
      <c r="M55" s="29" t="s">
        <v>366</v>
      </c>
      <c r="N55" s="28" t="s">
        <v>607</v>
      </c>
      <c r="O55" s="30"/>
      <c r="P55" s="31"/>
      <c r="Q55" s="71" t="s">
        <v>608</v>
      </c>
      <c r="R55" s="62">
        <v>1</v>
      </c>
      <c r="S55" s="62">
        <v>2</v>
      </c>
      <c r="T55" s="62"/>
      <c r="U55" s="62"/>
      <c r="V55" s="62"/>
      <c r="W55" s="28" t="s">
        <v>357</v>
      </c>
    </row>
    <row r="56" spans="1:23" ht="29">
      <c r="A56" s="206" t="s">
        <v>542</v>
      </c>
      <c r="B56" s="207">
        <v>5</v>
      </c>
      <c r="C56" s="208" t="s">
        <v>593</v>
      </c>
      <c r="D56" s="212" t="s">
        <v>598</v>
      </c>
      <c r="E56" s="210" t="s">
        <v>599</v>
      </c>
      <c r="F56" s="24" t="s">
        <v>609</v>
      </c>
      <c r="G56" s="25" t="s">
        <v>610</v>
      </c>
      <c r="H56" s="26" t="s">
        <v>346</v>
      </c>
      <c r="I56" s="26" t="s">
        <v>365</v>
      </c>
      <c r="J56" s="186" t="str">
        <f t="shared" si="0"/>
        <v>Minimitzar la brutícia, deixalles, vandalisme i males praxis dins l'ENP</v>
      </c>
      <c r="K56" s="35"/>
      <c r="L56" s="28" t="s">
        <v>350</v>
      </c>
      <c r="M56" s="29" t="s">
        <v>463</v>
      </c>
      <c r="N56" s="211" t="s">
        <v>611</v>
      </c>
      <c r="O56" s="30"/>
      <c r="P56" s="31"/>
      <c r="Q56" s="71" t="s">
        <v>612</v>
      </c>
      <c r="R56" s="62" t="s">
        <v>501</v>
      </c>
      <c r="S56" s="62" t="s">
        <v>350</v>
      </c>
      <c r="T56" s="62"/>
      <c r="U56" s="62"/>
      <c r="V56" s="62"/>
      <c r="W56" s="28" t="s">
        <v>357</v>
      </c>
    </row>
    <row r="57" spans="1:23" ht="43.5">
      <c r="A57" s="206" t="s">
        <v>542</v>
      </c>
      <c r="B57" s="207">
        <v>5</v>
      </c>
      <c r="C57" s="208" t="s">
        <v>593</v>
      </c>
      <c r="D57" s="212" t="s">
        <v>613</v>
      </c>
      <c r="E57" s="210" t="s">
        <v>614</v>
      </c>
      <c r="F57" s="24" t="s">
        <v>615</v>
      </c>
      <c r="G57" s="25" t="s">
        <v>616</v>
      </c>
      <c r="H57" s="26" t="s">
        <v>390</v>
      </c>
      <c r="I57" s="26" t="s">
        <v>472</v>
      </c>
      <c r="J57" s="186" t="str">
        <f t="shared" si="0"/>
        <v>Promoure la certificació de qualitat del cel nocturn</v>
      </c>
      <c r="K57" s="65"/>
      <c r="L57" s="28" t="s">
        <v>350</v>
      </c>
      <c r="M57" s="29" t="s">
        <v>463</v>
      </c>
      <c r="N57" s="63" t="s">
        <v>617</v>
      </c>
      <c r="O57" s="30" t="s">
        <v>367</v>
      </c>
      <c r="P57" s="31"/>
      <c r="Q57" s="71" t="s">
        <v>618</v>
      </c>
      <c r="R57" s="62" t="s">
        <v>501</v>
      </c>
      <c r="S57" s="62" t="s">
        <v>350</v>
      </c>
      <c r="T57" s="62"/>
      <c r="U57" s="62"/>
      <c r="V57" s="62"/>
      <c r="W57" s="28" t="s">
        <v>469</v>
      </c>
    </row>
    <row r="58" spans="1:23" ht="29">
      <c r="A58" s="206" t="s">
        <v>542</v>
      </c>
      <c r="B58" s="207">
        <v>5</v>
      </c>
      <c r="C58" s="208" t="s">
        <v>593</v>
      </c>
      <c r="D58" s="212" t="s">
        <v>613</v>
      </c>
      <c r="E58" s="210" t="s">
        <v>614</v>
      </c>
      <c r="F58" s="24" t="s">
        <v>619</v>
      </c>
      <c r="G58" s="25" t="s">
        <v>620</v>
      </c>
      <c r="H58" s="26" t="s">
        <v>390</v>
      </c>
      <c r="I58" s="26" t="s">
        <v>472</v>
      </c>
      <c r="J58" s="186"/>
      <c r="K58" s="35" t="s">
        <v>621</v>
      </c>
      <c r="L58" s="28"/>
      <c r="M58" s="29"/>
      <c r="N58" s="63"/>
      <c r="O58" s="30" t="s">
        <v>367</v>
      </c>
      <c r="P58" s="31"/>
      <c r="Q58" s="71"/>
      <c r="R58" s="62"/>
      <c r="S58" s="62"/>
      <c r="T58" s="62"/>
      <c r="U58" s="62"/>
      <c r="V58" s="62"/>
      <c r="W58" s="28"/>
    </row>
    <row r="59" spans="1:23" ht="58">
      <c r="A59" s="214" t="s">
        <v>622</v>
      </c>
      <c r="B59" s="215">
        <v>6</v>
      </c>
      <c r="C59" s="216" t="s">
        <v>623</v>
      </c>
      <c r="D59" s="217" t="s">
        <v>624</v>
      </c>
      <c r="E59" s="218" t="s">
        <v>625</v>
      </c>
      <c r="F59" s="24" t="s">
        <v>626</v>
      </c>
      <c r="G59" s="36" t="s">
        <v>627</v>
      </c>
      <c r="H59" s="26" t="s">
        <v>346</v>
      </c>
      <c r="I59" s="26" t="s">
        <v>365</v>
      </c>
      <c r="J59" s="186" t="str">
        <f t="shared" si="0"/>
        <v>Identificar i prioritzar els elements clau i d'interès per la gestió de la biodiversitat i geodiversitat de Catalunya es troben dins l'ENP (especies amenaçades, espècies exòtiques invasores,.. )</v>
      </c>
      <c r="K59" s="35"/>
      <c r="L59" s="77" t="s">
        <v>350</v>
      </c>
      <c r="M59" s="29" t="s">
        <v>374</v>
      </c>
      <c r="N59" s="37" t="s">
        <v>628</v>
      </c>
      <c r="O59" s="34" t="s">
        <v>629</v>
      </c>
      <c r="P59" s="31" t="s">
        <v>630</v>
      </c>
      <c r="Q59" s="71" t="s">
        <v>631</v>
      </c>
      <c r="R59" s="62">
        <v>5</v>
      </c>
      <c r="S59" s="62">
        <v>10</v>
      </c>
      <c r="T59" s="62"/>
      <c r="U59" s="62"/>
      <c r="V59" s="62"/>
      <c r="W59" s="28" t="s">
        <v>370</v>
      </c>
    </row>
    <row r="60" spans="1:23" ht="101.5">
      <c r="A60" s="214" t="s">
        <v>622</v>
      </c>
      <c r="B60" s="215">
        <v>6</v>
      </c>
      <c r="C60" s="216" t="s">
        <v>623</v>
      </c>
      <c r="D60" s="217" t="s">
        <v>624</v>
      </c>
      <c r="E60" s="218" t="s">
        <v>625</v>
      </c>
      <c r="F60" s="24" t="s">
        <v>632</v>
      </c>
      <c r="G60" s="25" t="s">
        <v>633</v>
      </c>
      <c r="H60" s="26" t="s">
        <v>346</v>
      </c>
      <c r="I60" s="26" t="s">
        <v>365</v>
      </c>
      <c r="J60" s="186" t="str">
        <f t="shared" si="0"/>
        <v>Definir espais fràgils i zones d'especial atenció</v>
      </c>
      <c r="K60" s="35"/>
      <c r="L60" s="28" t="s">
        <v>350</v>
      </c>
      <c r="M60" s="29" t="s">
        <v>351</v>
      </c>
      <c r="N60" s="198" t="s">
        <v>634</v>
      </c>
      <c r="O60" s="30"/>
      <c r="P60" s="31" t="s">
        <v>635</v>
      </c>
      <c r="Q60" s="71" t="s">
        <v>636</v>
      </c>
      <c r="R60" s="61" t="s">
        <v>637</v>
      </c>
      <c r="S60" s="61" t="s">
        <v>638</v>
      </c>
      <c r="T60" s="62"/>
      <c r="U60" s="62"/>
      <c r="V60" s="62"/>
      <c r="W60" s="28" t="s">
        <v>370</v>
      </c>
    </row>
    <row r="61" spans="1:23" ht="58">
      <c r="A61" s="214" t="s">
        <v>622</v>
      </c>
      <c r="B61" s="215">
        <v>6</v>
      </c>
      <c r="C61" s="216" t="s">
        <v>623</v>
      </c>
      <c r="D61" s="217" t="s">
        <v>639</v>
      </c>
      <c r="E61" s="218" t="s">
        <v>640</v>
      </c>
      <c r="F61" s="24" t="s">
        <v>641</v>
      </c>
      <c r="G61" s="25" t="s">
        <v>642</v>
      </c>
      <c r="H61" s="26" t="s">
        <v>346</v>
      </c>
      <c r="I61" s="26" t="s">
        <v>365</v>
      </c>
      <c r="J61" s="186" t="str">
        <f t="shared" si="0"/>
        <v>Participar en l'elaboració de la cartografia que elabora la UIC</v>
      </c>
      <c r="K61" s="35"/>
      <c r="L61" s="28" t="s">
        <v>501</v>
      </c>
      <c r="M61" s="29"/>
      <c r="N61" s="63" t="s">
        <v>643</v>
      </c>
      <c r="O61" s="30" t="s">
        <v>367</v>
      </c>
      <c r="P61" s="31" t="s">
        <v>644</v>
      </c>
      <c r="Q61" s="71"/>
      <c r="R61" s="62"/>
      <c r="S61" s="62"/>
      <c r="T61" s="62"/>
      <c r="U61" s="62"/>
      <c r="V61" s="62"/>
      <c r="W61" s="28"/>
    </row>
    <row r="62" spans="1:23" ht="159.5">
      <c r="A62" s="214" t="s">
        <v>622</v>
      </c>
      <c r="B62" s="215">
        <v>6</v>
      </c>
      <c r="C62" s="216" t="s">
        <v>623</v>
      </c>
      <c r="D62" s="217" t="s">
        <v>639</v>
      </c>
      <c r="E62" s="218" t="s">
        <v>640</v>
      </c>
      <c r="F62" s="24" t="s">
        <v>170</v>
      </c>
      <c r="G62" s="25" t="s">
        <v>645</v>
      </c>
      <c r="H62" s="26" t="s">
        <v>346</v>
      </c>
      <c r="I62" s="26" t="s">
        <v>365</v>
      </c>
      <c r="J62" s="186" t="s">
        <v>646</v>
      </c>
      <c r="K62" s="35" t="s">
        <v>647</v>
      </c>
      <c r="L62" s="28" t="s">
        <v>350</v>
      </c>
      <c r="M62" s="29" t="s">
        <v>351</v>
      </c>
      <c r="N62" s="68" t="s">
        <v>648</v>
      </c>
      <c r="O62" s="30"/>
      <c r="P62" s="31"/>
      <c r="Q62" s="71" t="s">
        <v>649</v>
      </c>
      <c r="R62" s="61" t="s">
        <v>650</v>
      </c>
      <c r="S62" s="61" t="s">
        <v>651</v>
      </c>
      <c r="T62" s="62"/>
      <c r="U62" s="62"/>
      <c r="V62" s="62"/>
      <c r="W62" s="28" t="s">
        <v>357</v>
      </c>
    </row>
    <row r="63" spans="1:23" ht="72.5">
      <c r="A63" s="214" t="s">
        <v>622</v>
      </c>
      <c r="B63" s="215">
        <v>6</v>
      </c>
      <c r="C63" s="216" t="s">
        <v>623</v>
      </c>
      <c r="D63" s="217" t="s">
        <v>639</v>
      </c>
      <c r="E63" s="218" t="s">
        <v>640</v>
      </c>
      <c r="F63" s="24" t="s">
        <v>652</v>
      </c>
      <c r="G63" s="25" t="s">
        <v>653</v>
      </c>
      <c r="H63" s="26" t="s">
        <v>346</v>
      </c>
      <c r="I63" s="26" t="s">
        <v>365</v>
      </c>
      <c r="J63" s="186" t="str">
        <f t="shared" si="0"/>
        <v>Conèixer els usos i factors de canvi rellevants en l'evolució dels elements de conservació, i avaluar els efectes que generen en l’espai (pressions i amenaces)</v>
      </c>
      <c r="K63" s="65"/>
      <c r="L63" s="28" t="s">
        <v>350</v>
      </c>
      <c r="M63" s="29" t="s">
        <v>366</v>
      </c>
      <c r="N63" s="37" t="s">
        <v>654</v>
      </c>
      <c r="O63" s="30" t="s">
        <v>367</v>
      </c>
      <c r="P63" s="31" t="s">
        <v>655</v>
      </c>
      <c r="Q63" s="71" t="s">
        <v>656</v>
      </c>
      <c r="R63" s="61" t="s">
        <v>657</v>
      </c>
      <c r="S63" s="61" t="s">
        <v>658</v>
      </c>
      <c r="T63" s="62"/>
      <c r="U63" s="62"/>
      <c r="V63" s="62"/>
      <c r="W63" s="28" t="s">
        <v>357</v>
      </c>
    </row>
    <row r="64" spans="1:23" ht="58">
      <c r="A64" s="214" t="s">
        <v>622</v>
      </c>
      <c r="B64" s="215">
        <v>6</v>
      </c>
      <c r="C64" s="216" t="s">
        <v>623</v>
      </c>
      <c r="D64" s="217" t="s">
        <v>639</v>
      </c>
      <c r="E64" s="218" t="s">
        <v>640</v>
      </c>
      <c r="F64" s="24" t="s">
        <v>659</v>
      </c>
      <c r="G64" s="25" t="s">
        <v>660</v>
      </c>
      <c r="H64" s="26" t="s">
        <v>346</v>
      </c>
      <c r="I64" s="26" t="s">
        <v>472</v>
      </c>
      <c r="J64" s="186"/>
      <c r="K64" s="66" t="s">
        <v>621</v>
      </c>
      <c r="L64" s="28"/>
      <c r="M64" s="29"/>
      <c r="N64" s="63"/>
      <c r="O64" s="30"/>
      <c r="P64" s="31"/>
      <c r="Q64" s="71"/>
      <c r="R64" s="62"/>
      <c r="S64" s="62"/>
      <c r="T64" s="62"/>
      <c r="U64" s="62"/>
      <c r="V64" s="62"/>
      <c r="W64" s="28"/>
    </row>
    <row r="65" spans="1:23" ht="58">
      <c r="A65" s="214" t="s">
        <v>622</v>
      </c>
      <c r="B65" s="215">
        <v>6</v>
      </c>
      <c r="C65" s="216" t="s">
        <v>623</v>
      </c>
      <c r="D65" s="217" t="s">
        <v>639</v>
      </c>
      <c r="E65" s="218" t="s">
        <v>640</v>
      </c>
      <c r="F65" s="24" t="s">
        <v>661</v>
      </c>
      <c r="G65" s="25" t="s">
        <v>662</v>
      </c>
      <c r="H65" s="26" t="s">
        <v>346</v>
      </c>
      <c r="I65" s="26" t="s">
        <v>472</v>
      </c>
      <c r="J65" s="186" t="str">
        <f t="shared" si="0"/>
        <v>Participar en el coneixement de la tendència d'espècies plaga amb afectacions sobre ecosistemes o activitats econòmiques dins l'ENP</v>
      </c>
      <c r="K65" s="35"/>
      <c r="L65" s="28" t="s">
        <v>501</v>
      </c>
      <c r="M65" s="29"/>
      <c r="N65" s="63"/>
      <c r="O65" s="30"/>
      <c r="P65" s="31"/>
      <c r="Q65" s="71"/>
      <c r="R65" s="62"/>
      <c r="S65" s="62"/>
      <c r="T65" s="62"/>
      <c r="U65" s="62"/>
      <c r="V65" s="62"/>
      <c r="W65" s="28"/>
    </row>
    <row r="66" spans="1:23" ht="58">
      <c r="A66" s="214" t="s">
        <v>622</v>
      </c>
      <c r="B66" s="215">
        <v>6</v>
      </c>
      <c r="C66" s="216" t="s">
        <v>623</v>
      </c>
      <c r="D66" s="217" t="s">
        <v>639</v>
      </c>
      <c r="E66" s="218" t="s">
        <v>640</v>
      </c>
      <c r="F66" s="24" t="s">
        <v>92</v>
      </c>
      <c r="G66" s="25" t="s">
        <v>663</v>
      </c>
      <c r="H66" s="26" t="s">
        <v>346</v>
      </c>
      <c r="I66" s="26" t="s">
        <v>365</v>
      </c>
      <c r="J66" s="186"/>
      <c r="K66" s="68" t="s">
        <v>664</v>
      </c>
      <c r="L66" s="28"/>
      <c r="M66" s="29"/>
      <c r="N66" s="63"/>
      <c r="O66" s="30" t="s">
        <v>367</v>
      </c>
      <c r="P66" s="31"/>
      <c r="Q66" s="71"/>
      <c r="R66" s="62"/>
      <c r="S66" s="62"/>
      <c r="T66" s="62"/>
      <c r="U66" s="62"/>
      <c r="V66" s="62"/>
      <c r="W66" s="28"/>
    </row>
    <row r="67" spans="1:23" ht="58">
      <c r="A67" s="214" t="s">
        <v>622</v>
      </c>
      <c r="B67" s="215">
        <v>6</v>
      </c>
      <c r="C67" s="216" t="s">
        <v>623</v>
      </c>
      <c r="D67" s="217" t="s">
        <v>639</v>
      </c>
      <c r="E67" s="218" t="s">
        <v>640</v>
      </c>
      <c r="F67" s="24" t="s">
        <v>665</v>
      </c>
      <c r="G67" s="25" t="s">
        <v>666</v>
      </c>
      <c r="H67" s="26" t="s">
        <v>346</v>
      </c>
      <c r="I67" s="26" t="s">
        <v>472</v>
      </c>
      <c r="J67" s="186" t="str">
        <f t="shared" si="0"/>
        <v>Coneixer com millorar la connectivitat de forma coordinada amb altres ENP</v>
      </c>
      <c r="K67" s="35"/>
      <c r="L67" s="28" t="s">
        <v>350</v>
      </c>
      <c r="M67" s="29" t="s">
        <v>351</v>
      </c>
      <c r="N67" s="64" t="s">
        <v>667</v>
      </c>
      <c r="O67" s="30" t="s">
        <v>367</v>
      </c>
      <c r="P67" s="31"/>
      <c r="Q67" s="71" t="s">
        <v>668</v>
      </c>
      <c r="R67" s="62" t="s">
        <v>669</v>
      </c>
      <c r="S67" s="62">
        <v>5</v>
      </c>
      <c r="T67" s="62"/>
      <c r="U67" s="62"/>
      <c r="V67" s="62"/>
      <c r="W67" s="28" t="s">
        <v>357</v>
      </c>
    </row>
    <row r="68" spans="1:23" ht="43.5">
      <c r="A68" s="214" t="s">
        <v>622</v>
      </c>
      <c r="B68" s="215">
        <v>6</v>
      </c>
      <c r="C68" s="216" t="s">
        <v>623</v>
      </c>
      <c r="D68" s="217" t="s">
        <v>670</v>
      </c>
      <c r="E68" s="218" t="s">
        <v>671</v>
      </c>
      <c r="F68" s="24" t="s">
        <v>672</v>
      </c>
      <c r="G68" s="25" t="s">
        <v>673</v>
      </c>
      <c r="H68" s="26" t="s">
        <v>346</v>
      </c>
      <c r="I68" s="26" t="s">
        <v>365</v>
      </c>
      <c r="J68" s="186" t="str">
        <f t="shared" si="0"/>
        <v>Participar en la definició del sistema estàndard de seguiment de flora, fauna i hàbitats de la DG</v>
      </c>
      <c r="K68" s="35"/>
      <c r="L68" s="28" t="s">
        <v>501</v>
      </c>
      <c r="M68" s="29"/>
      <c r="N68" s="63"/>
      <c r="O68" s="30" t="s">
        <v>367</v>
      </c>
      <c r="P68" s="31" t="s">
        <v>674</v>
      </c>
      <c r="Q68" s="71"/>
      <c r="R68" s="62"/>
      <c r="S68" s="62"/>
      <c r="T68" s="62"/>
      <c r="U68" s="62"/>
      <c r="V68" s="62"/>
      <c r="W68" s="28"/>
    </row>
    <row r="69" spans="1:23" ht="43.5">
      <c r="A69" s="214" t="s">
        <v>622</v>
      </c>
      <c r="B69" s="215">
        <v>6</v>
      </c>
      <c r="C69" s="216" t="s">
        <v>623</v>
      </c>
      <c r="D69" s="217" t="s">
        <v>670</v>
      </c>
      <c r="E69" s="218" t="s">
        <v>671</v>
      </c>
      <c r="F69" s="24" t="s">
        <v>199</v>
      </c>
      <c r="G69" s="25" t="s">
        <v>675</v>
      </c>
      <c r="H69" s="26" t="s">
        <v>346</v>
      </c>
      <c r="I69" s="26" t="s">
        <v>365</v>
      </c>
      <c r="J69" s="186" t="str">
        <f t="shared" si="0"/>
        <v>Adequar i executar el sistema de seguiment periòdic dels grups clau de l'ENP al sistema estàndard de seguiment</v>
      </c>
      <c r="K69" s="35"/>
      <c r="L69" s="28" t="s">
        <v>501</v>
      </c>
      <c r="M69" s="29"/>
      <c r="N69" s="63"/>
      <c r="O69" s="30" t="s">
        <v>367</v>
      </c>
      <c r="P69" s="31" t="s">
        <v>676</v>
      </c>
      <c r="Q69" s="71"/>
      <c r="R69" s="62"/>
      <c r="S69" s="62"/>
      <c r="T69" s="62"/>
      <c r="U69" s="62"/>
      <c r="V69" s="62"/>
      <c r="W69" s="28"/>
    </row>
    <row r="70" spans="1:23" ht="43.5">
      <c r="A70" s="214" t="s">
        <v>622</v>
      </c>
      <c r="B70" s="215">
        <v>6</v>
      </c>
      <c r="C70" s="216" t="s">
        <v>623</v>
      </c>
      <c r="D70" s="217" t="s">
        <v>670</v>
      </c>
      <c r="E70" s="218" t="s">
        <v>671</v>
      </c>
      <c r="F70" s="24" t="s">
        <v>191</v>
      </c>
      <c r="G70" s="25" t="s">
        <v>677</v>
      </c>
      <c r="H70" s="26" t="s">
        <v>346</v>
      </c>
      <c r="I70" s="26" t="s">
        <v>365</v>
      </c>
      <c r="J70" s="186" t="str">
        <f t="shared" si="0"/>
        <v xml:space="preserve">Mantenir una base de dades de seguiment de patrimoni natural de l'ENP actualitzada i ordenada </v>
      </c>
      <c r="K70" s="35"/>
      <c r="L70" s="28" t="s">
        <v>350</v>
      </c>
      <c r="M70" s="29" t="s">
        <v>351</v>
      </c>
      <c r="N70" s="37" t="s">
        <v>678</v>
      </c>
      <c r="O70" s="30"/>
      <c r="P70" s="31"/>
      <c r="Q70" s="71" t="s">
        <v>679</v>
      </c>
      <c r="R70" s="61" t="s">
        <v>680</v>
      </c>
      <c r="S70" s="61" t="s">
        <v>680</v>
      </c>
      <c r="T70" s="62"/>
      <c r="U70" s="62"/>
      <c r="V70" s="62"/>
      <c r="W70" s="28" t="s">
        <v>370</v>
      </c>
    </row>
    <row r="71" spans="1:23" ht="43.5">
      <c r="A71" s="214" t="s">
        <v>622</v>
      </c>
      <c r="B71" s="215">
        <v>6</v>
      </c>
      <c r="C71" s="216" t="s">
        <v>623</v>
      </c>
      <c r="D71" s="217" t="s">
        <v>670</v>
      </c>
      <c r="E71" s="218" t="s">
        <v>671</v>
      </c>
      <c r="F71" s="24" t="s">
        <v>681</v>
      </c>
      <c r="G71" s="25" t="s">
        <v>1180</v>
      </c>
      <c r="H71" s="26" t="s">
        <v>346</v>
      </c>
      <c r="I71" s="26" t="s">
        <v>365</v>
      </c>
      <c r="J71" s="186" t="str">
        <f t="shared" si="0"/>
        <v>Participar en la definició, organització i bolcatge de dades del SINATCAT</v>
      </c>
      <c r="K71" s="35"/>
      <c r="L71" s="32" t="s">
        <v>501</v>
      </c>
      <c r="M71" s="29"/>
      <c r="N71" s="63"/>
      <c r="O71" s="30"/>
      <c r="P71" s="31" t="s">
        <v>682</v>
      </c>
      <c r="Q71" s="71"/>
      <c r="R71" s="62"/>
      <c r="S71" s="62"/>
      <c r="T71" s="62"/>
      <c r="U71" s="62"/>
      <c r="V71" s="62"/>
      <c r="W71" s="28"/>
    </row>
    <row r="72" spans="1:23" ht="72.5">
      <c r="A72" s="214" t="s">
        <v>622</v>
      </c>
      <c r="B72" s="215">
        <v>6</v>
      </c>
      <c r="C72" s="216" t="s">
        <v>623</v>
      </c>
      <c r="D72" s="217" t="s">
        <v>683</v>
      </c>
      <c r="E72" s="218" t="s">
        <v>684</v>
      </c>
      <c r="F72" s="24" t="s">
        <v>291</v>
      </c>
      <c r="G72" s="25" t="s">
        <v>685</v>
      </c>
      <c r="H72" s="26" t="s">
        <v>346</v>
      </c>
      <c r="I72" s="26" t="s">
        <v>472</v>
      </c>
      <c r="J72" s="186" t="s">
        <v>686</v>
      </c>
      <c r="K72" s="35" t="s">
        <v>687</v>
      </c>
      <c r="L72" s="28" t="s">
        <v>350</v>
      </c>
      <c r="M72" s="29" t="s">
        <v>366</v>
      </c>
      <c r="N72" s="63" t="s">
        <v>688</v>
      </c>
      <c r="O72" s="30"/>
      <c r="P72" s="31" t="s">
        <v>689</v>
      </c>
      <c r="Q72" s="71" t="s">
        <v>690</v>
      </c>
      <c r="R72" s="62" t="s">
        <v>691</v>
      </c>
      <c r="S72" s="62" t="s">
        <v>692</v>
      </c>
      <c r="T72" s="62"/>
      <c r="U72" s="62"/>
      <c r="V72" s="62"/>
      <c r="W72" s="28" t="s">
        <v>370</v>
      </c>
    </row>
    <row r="73" spans="1:23" ht="72.5">
      <c r="A73" s="214" t="s">
        <v>622</v>
      </c>
      <c r="B73" s="215">
        <v>6</v>
      </c>
      <c r="C73" s="216" t="s">
        <v>623</v>
      </c>
      <c r="D73" s="217" t="s">
        <v>683</v>
      </c>
      <c r="E73" s="218" t="s">
        <v>684</v>
      </c>
      <c r="F73" s="24" t="s">
        <v>195</v>
      </c>
      <c r="G73" s="25" t="s">
        <v>693</v>
      </c>
      <c r="H73" s="26" t="s">
        <v>346</v>
      </c>
      <c r="I73" s="26" t="s">
        <v>472</v>
      </c>
      <c r="J73" s="186" t="str">
        <f t="shared" ref="J73:J137" si="1">G73</f>
        <v>Establir acords amb les institucions de recerca i naturalistes per al desenvolupament d'estudis i inventaris dins l'ENP en el marc de les seves línies de recerca</v>
      </c>
      <c r="K73" s="35"/>
      <c r="L73" s="28" t="s">
        <v>350</v>
      </c>
      <c r="M73" s="29" t="s">
        <v>351</v>
      </c>
      <c r="N73" s="63" t="s">
        <v>694</v>
      </c>
      <c r="O73" s="30"/>
      <c r="P73" s="31" t="s">
        <v>695</v>
      </c>
      <c r="Q73" s="71" t="s">
        <v>696</v>
      </c>
      <c r="R73" s="61" t="s">
        <v>697</v>
      </c>
      <c r="S73" s="61" t="s">
        <v>697</v>
      </c>
      <c r="T73" s="62"/>
      <c r="U73" s="62"/>
      <c r="V73" s="62"/>
      <c r="W73" s="28" t="s">
        <v>357</v>
      </c>
    </row>
    <row r="74" spans="1:23" ht="72.5">
      <c r="A74" s="214" t="s">
        <v>622</v>
      </c>
      <c r="B74" s="215">
        <v>6</v>
      </c>
      <c r="C74" s="216" t="s">
        <v>623</v>
      </c>
      <c r="D74" s="217" t="s">
        <v>683</v>
      </c>
      <c r="E74" s="218" t="s">
        <v>684</v>
      </c>
      <c r="F74" s="24" t="s">
        <v>197</v>
      </c>
      <c r="G74" s="25" t="s">
        <v>698</v>
      </c>
      <c r="H74" s="26" t="s">
        <v>346</v>
      </c>
      <c r="I74" s="26" t="s">
        <v>472</v>
      </c>
      <c r="J74" s="186" t="str">
        <f t="shared" si="1"/>
        <v xml:space="preserve">Potenciar la ciència ciutadana en l’ENP com a eina per generar coneixement </v>
      </c>
      <c r="K74" s="65"/>
      <c r="L74" s="28" t="s">
        <v>350</v>
      </c>
      <c r="M74" s="29" t="s">
        <v>351</v>
      </c>
      <c r="N74" s="219" t="s">
        <v>699</v>
      </c>
      <c r="O74" s="30"/>
      <c r="P74" s="31"/>
      <c r="Q74" s="71" t="s">
        <v>700</v>
      </c>
      <c r="R74" s="62" t="s">
        <v>701</v>
      </c>
      <c r="S74" s="62">
        <v>4</v>
      </c>
      <c r="T74" s="62"/>
      <c r="U74" s="62"/>
      <c r="V74" s="62"/>
      <c r="W74" s="28" t="s">
        <v>370</v>
      </c>
    </row>
    <row r="75" spans="1:23" ht="72.5">
      <c r="A75" s="214" t="s">
        <v>622</v>
      </c>
      <c r="B75" s="215">
        <v>6</v>
      </c>
      <c r="C75" s="216" t="s">
        <v>623</v>
      </c>
      <c r="D75" s="217" t="s">
        <v>683</v>
      </c>
      <c r="E75" s="218" t="s">
        <v>684</v>
      </c>
      <c r="F75" s="24" t="s">
        <v>702</v>
      </c>
      <c r="G75" s="25" t="s">
        <v>703</v>
      </c>
      <c r="H75" s="26" t="s">
        <v>346</v>
      </c>
      <c r="I75" s="26" t="s">
        <v>472</v>
      </c>
      <c r="J75" s="186" t="str">
        <f t="shared" si="1"/>
        <v xml:space="preserve">Crear i desenvolupar jornades de recerca de l'ENP de forma anual on els diferents centres mostrin els estudis realizats en l'ENP </v>
      </c>
      <c r="K75" s="35"/>
      <c r="L75" s="28" t="s">
        <v>350</v>
      </c>
      <c r="M75" s="29" t="s">
        <v>568</v>
      </c>
      <c r="N75" s="64" t="s">
        <v>704</v>
      </c>
      <c r="O75" s="30"/>
      <c r="P75" s="31" t="s">
        <v>705</v>
      </c>
      <c r="Q75" s="71"/>
      <c r="R75" s="62"/>
      <c r="S75" s="62"/>
      <c r="T75" s="62"/>
      <c r="U75" s="62"/>
      <c r="V75" s="62"/>
      <c r="W75" s="28"/>
    </row>
    <row r="76" spans="1:23" ht="72.5">
      <c r="A76" s="214" t="s">
        <v>622</v>
      </c>
      <c r="B76" s="215">
        <v>6</v>
      </c>
      <c r="C76" s="216" t="s">
        <v>623</v>
      </c>
      <c r="D76" s="217" t="s">
        <v>683</v>
      </c>
      <c r="E76" s="218" t="s">
        <v>684</v>
      </c>
      <c r="F76" s="24" t="s">
        <v>200</v>
      </c>
      <c r="G76" s="25" t="s">
        <v>706</v>
      </c>
      <c r="H76" s="26" t="s">
        <v>346</v>
      </c>
      <c r="I76" s="26" t="s">
        <v>472</v>
      </c>
      <c r="J76" s="186" t="str">
        <f t="shared" si="1"/>
        <v>Posar a disposició de la recerca, equipaments i serveis de l'ENP</v>
      </c>
      <c r="K76" s="35"/>
      <c r="L76" s="28" t="s">
        <v>350</v>
      </c>
      <c r="M76" s="29" t="s">
        <v>366</v>
      </c>
      <c r="N76" s="63" t="s">
        <v>707</v>
      </c>
      <c r="O76" s="30" t="s">
        <v>367</v>
      </c>
      <c r="P76" s="31"/>
      <c r="Q76" s="71" t="s">
        <v>708</v>
      </c>
      <c r="R76" s="61" t="s">
        <v>709</v>
      </c>
      <c r="S76" s="61" t="s">
        <v>710</v>
      </c>
      <c r="T76" s="62"/>
      <c r="U76" s="62"/>
      <c r="V76" s="62"/>
      <c r="W76" s="28" t="s">
        <v>357</v>
      </c>
    </row>
    <row r="77" spans="1:23" ht="72.5">
      <c r="A77" s="214" t="s">
        <v>622</v>
      </c>
      <c r="B77" s="215">
        <v>6</v>
      </c>
      <c r="C77" s="216" t="s">
        <v>623</v>
      </c>
      <c r="D77" s="217" t="s">
        <v>683</v>
      </c>
      <c r="E77" s="218" t="s">
        <v>684</v>
      </c>
      <c r="F77" s="24" t="s">
        <v>711</v>
      </c>
      <c r="G77" s="25" t="s">
        <v>712</v>
      </c>
      <c r="H77" s="26" t="s">
        <v>346</v>
      </c>
      <c r="I77" s="26" t="s">
        <v>472</v>
      </c>
      <c r="J77" s="186" t="str">
        <f t="shared" si="1"/>
        <v xml:space="preserve">Crear l'Observatori de recerca de l'ENP vinculat a l'Observatori del Patrimoni natural i la biodiversitat </v>
      </c>
      <c r="K77" s="35"/>
      <c r="L77" s="28" t="s">
        <v>350</v>
      </c>
      <c r="M77" s="29" t="s">
        <v>568</v>
      </c>
      <c r="N77" s="64" t="s">
        <v>704</v>
      </c>
      <c r="O77" s="30"/>
      <c r="P77" s="31" t="s">
        <v>713</v>
      </c>
      <c r="Q77" s="71"/>
      <c r="R77" s="62"/>
      <c r="S77" s="62"/>
      <c r="T77" s="62"/>
      <c r="U77" s="62"/>
      <c r="V77" s="62"/>
      <c r="W77" s="28"/>
    </row>
    <row r="78" spans="1:23" ht="43.5">
      <c r="A78" s="214" t="s">
        <v>622</v>
      </c>
      <c r="B78" s="215">
        <v>6</v>
      </c>
      <c r="C78" s="216" t="s">
        <v>623</v>
      </c>
      <c r="D78" s="217" t="s">
        <v>714</v>
      </c>
      <c r="E78" s="218" t="s">
        <v>715</v>
      </c>
      <c r="F78" s="24" t="s">
        <v>716</v>
      </c>
      <c r="G78" s="25" t="s">
        <v>717</v>
      </c>
      <c r="H78" s="26" t="s">
        <v>346</v>
      </c>
      <c r="I78" s="26" t="s">
        <v>365</v>
      </c>
      <c r="J78" s="186" t="str">
        <f t="shared" si="1"/>
        <v>Participar en la definició del sistema estándard de seguiment de l'ús públic amb el SENP</v>
      </c>
      <c r="K78" s="35"/>
      <c r="L78" s="28" t="s">
        <v>501</v>
      </c>
      <c r="M78" s="29"/>
      <c r="N78" s="63"/>
      <c r="O78" s="30"/>
      <c r="P78" s="31" t="s">
        <v>718</v>
      </c>
      <c r="Q78" s="71"/>
      <c r="R78" s="62"/>
      <c r="S78" s="62"/>
      <c r="T78" s="62"/>
      <c r="U78" s="62"/>
      <c r="V78" s="62"/>
      <c r="W78" s="28"/>
    </row>
    <row r="79" spans="1:23" ht="43.5">
      <c r="A79" s="214" t="s">
        <v>622</v>
      </c>
      <c r="B79" s="215">
        <v>6</v>
      </c>
      <c r="C79" s="216" t="s">
        <v>623</v>
      </c>
      <c r="D79" s="217" t="s">
        <v>714</v>
      </c>
      <c r="E79" s="218" t="s">
        <v>715</v>
      </c>
      <c r="F79" s="24" t="s">
        <v>202</v>
      </c>
      <c r="G79" s="25" t="s">
        <v>719</v>
      </c>
      <c r="H79" s="26" t="s">
        <v>346</v>
      </c>
      <c r="I79" s="26" t="s">
        <v>365</v>
      </c>
      <c r="J79" s="186" t="str">
        <f>G79</f>
        <v xml:space="preserve">Disposar de dades de freqüentació i perfil d'usuari en l'ENP i en especial en equipaments i en zones d'alta freqüentació segons el model de DG </v>
      </c>
      <c r="K79" s="35"/>
      <c r="L79" s="28" t="s">
        <v>350</v>
      </c>
      <c r="M79" s="29" t="s">
        <v>366</v>
      </c>
      <c r="N79" s="63" t="s">
        <v>201</v>
      </c>
      <c r="O79" s="30"/>
      <c r="P79" s="31" t="s">
        <v>720</v>
      </c>
      <c r="Q79" s="71" t="s">
        <v>721</v>
      </c>
      <c r="R79" s="62" t="s">
        <v>350</v>
      </c>
      <c r="S79" s="62" t="s">
        <v>722</v>
      </c>
      <c r="T79" s="62"/>
      <c r="U79" s="62"/>
      <c r="V79" s="62"/>
      <c r="W79" s="28" t="s">
        <v>370</v>
      </c>
    </row>
    <row r="80" spans="1:23" ht="43.5">
      <c r="A80" s="214" t="s">
        <v>622</v>
      </c>
      <c r="B80" s="215">
        <v>6</v>
      </c>
      <c r="C80" s="216" t="s">
        <v>623</v>
      </c>
      <c r="D80" s="217" t="s">
        <v>714</v>
      </c>
      <c r="E80" s="218" t="s">
        <v>715</v>
      </c>
      <c r="F80" s="24" t="s">
        <v>253</v>
      </c>
      <c r="G80" s="25" t="s">
        <v>723</v>
      </c>
      <c r="H80" s="26" t="s">
        <v>346</v>
      </c>
      <c r="I80" s="26" t="s">
        <v>365</v>
      </c>
      <c r="J80" s="186" t="str">
        <f t="shared" si="1"/>
        <v>Identificar les activitats i actors de l’espai.</v>
      </c>
      <c r="K80" s="35"/>
      <c r="L80" s="28" t="s">
        <v>350</v>
      </c>
      <c r="M80" s="29" t="s">
        <v>463</v>
      </c>
      <c r="N80" s="63" t="s">
        <v>724</v>
      </c>
      <c r="O80" s="30"/>
      <c r="P80" s="31"/>
      <c r="Q80" s="71" t="s">
        <v>725</v>
      </c>
      <c r="R80" s="62" t="s">
        <v>726</v>
      </c>
      <c r="S80" s="62" t="s">
        <v>727</v>
      </c>
      <c r="T80" s="62"/>
      <c r="U80" s="62"/>
      <c r="V80" s="62"/>
      <c r="W80" s="28" t="s">
        <v>469</v>
      </c>
    </row>
    <row r="81" spans="1:23" ht="43.5">
      <c r="A81" s="214" t="s">
        <v>622</v>
      </c>
      <c r="B81" s="215">
        <v>6</v>
      </c>
      <c r="C81" s="216" t="s">
        <v>623</v>
      </c>
      <c r="D81" s="217" t="s">
        <v>714</v>
      </c>
      <c r="E81" s="218" t="s">
        <v>715</v>
      </c>
      <c r="F81" s="24" t="s">
        <v>728</v>
      </c>
      <c r="G81" s="25" t="s">
        <v>729</v>
      </c>
      <c r="H81" s="26"/>
      <c r="I81" s="26"/>
      <c r="J81" s="186"/>
      <c r="K81" s="68" t="s">
        <v>730</v>
      </c>
      <c r="L81" s="28"/>
      <c r="M81" s="29"/>
      <c r="N81" s="63" t="s">
        <v>731</v>
      </c>
      <c r="O81" s="30"/>
      <c r="P81" s="31"/>
      <c r="Q81" s="71"/>
      <c r="R81" s="62"/>
      <c r="S81" s="62"/>
      <c r="T81" s="62"/>
      <c r="U81" s="62"/>
      <c r="V81" s="62"/>
      <c r="W81" s="28"/>
    </row>
    <row r="82" spans="1:23" ht="43.5">
      <c r="A82" s="214" t="s">
        <v>622</v>
      </c>
      <c r="B82" s="215">
        <v>6</v>
      </c>
      <c r="C82" s="216" t="s">
        <v>623</v>
      </c>
      <c r="D82" s="217" t="s">
        <v>714</v>
      </c>
      <c r="E82" s="218" t="s">
        <v>715</v>
      </c>
      <c r="F82" s="24" t="s">
        <v>732</v>
      </c>
      <c r="G82" s="25" t="s">
        <v>733</v>
      </c>
      <c r="H82" s="26" t="s">
        <v>346</v>
      </c>
      <c r="I82" s="26" t="s">
        <v>365</v>
      </c>
      <c r="J82" s="186"/>
      <c r="K82" s="68" t="s">
        <v>730</v>
      </c>
      <c r="L82" s="28"/>
      <c r="M82" s="29"/>
      <c r="N82" s="63" t="s">
        <v>731</v>
      </c>
      <c r="O82" s="30"/>
      <c r="P82" s="31" t="s">
        <v>734</v>
      </c>
      <c r="Q82" s="71"/>
      <c r="R82" s="62"/>
      <c r="S82" s="62"/>
      <c r="T82" s="62"/>
      <c r="U82" s="62"/>
      <c r="V82" s="62"/>
      <c r="W82" s="28"/>
    </row>
    <row r="83" spans="1:23" ht="43.5">
      <c r="A83" s="214" t="s">
        <v>622</v>
      </c>
      <c r="B83" s="215">
        <v>6</v>
      </c>
      <c r="C83" s="216" t="s">
        <v>623</v>
      </c>
      <c r="D83" s="217" t="s">
        <v>714</v>
      </c>
      <c r="E83" s="218" t="s">
        <v>715</v>
      </c>
      <c r="F83" s="24" t="s">
        <v>735</v>
      </c>
      <c r="G83" s="25" t="s">
        <v>736</v>
      </c>
      <c r="H83" s="26" t="s">
        <v>346</v>
      </c>
      <c r="I83" s="26" t="s">
        <v>365</v>
      </c>
      <c r="J83" s="186"/>
      <c r="K83" s="68" t="s">
        <v>730</v>
      </c>
      <c r="L83" s="28"/>
      <c r="M83" s="29"/>
      <c r="N83" s="63" t="s">
        <v>731</v>
      </c>
      <c r="O83" s="30" t="s">
        <v>367</v>
      </c>
      <c r="P83" s="31"/>
      <c r="Q83" s="71"/>
      <c r="R83" s="62"/>
      <c r="S83" s="62"/>
      <c r="T83" s="62"/>
      <c r="U83" s="62"/>
      <c r="V83" s="62"/>
      <c r="W83" s="28"/>
    </row>
    <row r="84" spans="1:23" ht="43.5">
      <c r="A84" s="220" t="s">
        <v>737</v>
      </c>
      <c r="B84" s="221">
        <v>7</v>
      </c>
      <c r="C84" s="222" t="s">
        <v>738</v>
      </c>
      <c r="D84" s="223" t="s">
        <v>739</v>
      </c>
      <c r="E84" s="224" t="s">
        <v>740</v>
      </c>
      <c r="F84" s="24" t="s">
        <v>741</v>
      </c>
      <c r="G84" s="25" t="s">
        <v>1181</v>
      </c>
      <c r="H84" s="26" t="s">
        <v>346</v>
      </c>
      <c r="I84" s="26" t="s">
        <v>347</v>
      </c>
      <c r="J84" s="186" t="str">
        <f t="shared" si="1"/>
        <v xml:space="preserve">Promoure i/o col·laborar en l'aplicació de Plans de Desenvolupament Local Sostenible </v>
      </c>
      <c r="K84" s="35"/>
      <c r="L84" s="28" t="s">
        <v>350</v>
      </c>
      <c r="M84" s="29" t="s">
        <v>366</v>
      </c>
      <c r="N84" s="63" t="s">
        <v>742</v>
      </c>
      <c r="O84" s="30"/>
      <c r="P84" s="31"/>
      <c r="Q84" s="71" t="s">
        <v>743</v>
      </c>
      <c r="R84" s="69">
        <v>0.6</v>
      </c>
      <c r="S84" s="69">
        <v>1</v>
      </c>
      <c r="T84" s="62"/>
      <c r="U84" s="62"/>
      <c r="V84" s="62"/>
      <c r="W84" s="28"/>
    </row>
    <row r="85" spans="1:23" ht="87">
      <c r="A85" s="220" t="s">
        <v>737</v>
      </c>
      <c r="B85" s="225">
        <v>8</v>
      </c>
      <c r="C85" s="226" t="s">
        <v>744</v>
      </c>
      <c r="D85" s="227" t="s">
        <v>745</v>
      </c>
      <c r="E85" s="224" t="s">
        <v>746</v>
      </c>
      <c r="F85" s="24" t="s">
        <v>205</v>
      </c>
      <c r="G85" s="25" t="s">
        <v>747</v>
      </c>
      <c r="H85" s="26" t="s">
        <v>346</v>
      </c>
      <c r="I85" s="26" t="s">
        <v>347</v>
      </c>
      <c r="J85" s="186" t="s">
        <v>748</v>
      </c>
      <c r="K85" s="35" t="s">
        <v>606</v>
      </c>
      <c r="L85" s="28" t="s">
        <v>350</v>
      </c>
      <c r="M85" s="29" t="s">
        <v>351</v>
      </c>
      <c r="N85" s="211" t="s">
        <v>749</v>
      </c>
      <c r="O85" s="30"/>
      <c r="P85" s="31"/>
      <c r="Q85" s="71" t="s">
        <v>750</v>
      </c>
      <c r="R85" s="61" t="s">
        <v>751</v>
      </c>
      <c r="S85" s="61" t="s">
        <v>752</v>
      </c>
      <c r="T85" s="62"/>
      <c r="U85" s="62"/>
      <c r="V85" s="62"/>
      <c r="W85" s="28" t="s">
        <v>469</v>
      </c>
    </row>
    <row r="86" spans="1:23" ht="116">
      <c r="A86" s="220" t="s">
        <v>737</v>
      </c>
      <c r="B86" s="225">
        <v>8</v>
      </c>
      <c r="C86" s="226" t="s">
        <v>744</v>
      </c>
      <c r="D86" s="227" t="s">
        <v>745</v>
      </c>
      <c r="E86" s="224" t="s">
        <v>746</v>
      </c>
      <c r="F86" s="24" t="s">
        <v>208</v>
      </c>
      <c r="G86" s="25" t="s">
        <v>753</v>
      </c>
      <c r="H86" s="26" t="s">
        <v>346</v>
      </c>
      <c r="I86" s="26" t="s">
        <v>347</v>
      </c>
      <c r="J86" s="186" t="str">
        <f t="shared" si="1"/>
        <v xml:space="preserve">Oferir formació als productors agraris per millorar el seu coneixement sobre tècniques eficients i respectuoses amb la conservació del patrimoni natural i cultural </v>
      </c>
      <c r="K86" s="35"/>
      <c r="L86" s="28" t="s">
        <v>350</v>
      </c>
      <c r="M86" s="29" t="s">
        <v>374</v>
      </c>
      <c r="N86" s="63" t="s">
        <v>754</v>
      </c>
      <c r="O86" s="30"/>
      <c r="P86" s="31"/>
      <c r="Q86" s="71" t="s">
        <v>755</v>
      </c>
      <c r="R86" s="62" t="s">
        <v>756</v>
      </c>
      <c r="S86" s="62" t="s">
        <v>757</v>
      </c>
      <c r="T86" s="62"/>
      <c r="U86" s="62"/>
      <c r="V86" s="62"/>
      <c r="W86" s="28" t="s">
        <v>469</v>
      </c>
    </row>
    <row r="87" spans="1:23" ht="72.5">
      <c r="A87" s="220" t="s">
        <v>737</v>
      </c>
      <c r="B87" s="225">
        <v>8</v>
      </c>
      <c r="C87" s="226" t="s">
        <v>744</v>
      </c>
      <c r="D87" s="227" t="s">
        <v>745</v>
      </c>
      <c r="E87" s="224" t="s">
        <v>746</v>
      </c>
      <c r="F87" s="24" t="s">
        <v>758</v>
      </c>
      <c r="G87" s="25" t="s">
        <v>759</v>
      </c>
      <c r="H87" s="26" t="s">
        <v>390</v>
      </c>
      <c r="I87" s="26" t="s">
        <v>472</v>
      </c>
      <c r="J87" s="186"/>
      <c r="K87" s="76" t="s">
        <v>760</v>
      </c>
      <c r="L87" s="28"/>
      <c r="M87" s="29"/>
      <c r="N87" s="63" t="s">
        <v>761</v>
      </c>
      <c r="O87" s="30"/>
      <c r="P87" s="31"/>
      <c r="Q87" s="71"/>
      <c r="R87" s="62"/>
      <c r="S87" s="62"/>
      <c r="T87" s="62"/>
      <c r="U87" s="62"/>
      <c r="V87" s="62"/>
      <c r="W87" s="28"/>
    </row>
    <row r="88" spans="1:23" ht="72.5">
      <c r="A88" s="220" t="s">
        <v>737</v>
      </c>
      <c r="B88" s="225">
        <v>8</v>
      </c>
      <c r="C88" s="226" t="s">
        <v>744</v>
      </c>
      <c r="D88" s="223" t="s">
        <v>762</v>
      </c>
      <c r="E88" s="224" t="s">
        <v>763</v>
      </c>
      <c r="F88" s="26" t="s">
        <v>216</v>
      </c>
      <c r="G88" s="25" t="s">
        <v>764</v>
      </c>
      <c r="H88" s="30"/>
      <c r="I88" s="30"/>
      <c r="J88" s="186" t="str">
        <f t="shared" si="1"/>
        <v>Establir una relació contínua amb agents socioeconòmics del territori, i si s'escau, crear una Taula de desenvolupament local</v>
      </c>
      <c r="K88" s="70"/>
      <c r="L88" s="28" t="s">
        <v>350</v>
      </c>
      <c r="M88" s="29" t="s">
        <v>351</v>
      </c>
      <c r="N88" s="63" t="s">
        <v>215</v>
      </c>
      <c r="O88" s="30" t="s">
        <v>367</v>
      </c>
      <c r="P88" s="31"/>
      <c r="Q88" s="71" t="s">
        <v>765</v>
      </c>
      <c r="R88" s="61" t="s">
        <v>766</v>
      </c>
      <c r="S88" s="61" t="s">
        <v>767</v>
      </c>
      <c r="T88" s="62"/>
      <c r="U88" s="62"/>
      <c r="V88" s="62"/>
      <c r="W88" s="28" t="s">
        <v>370</v>
      </c>
    </row>
    <row r="89" spans="1:23" ht="72.5">
      <c r="A89" s="220" t="s">
        <v>737</v>
      </c>
      <c r="B89" s="225">
        <v>8</v>
      </c>
      <c r="C89" s="226" t="s">
        <v>744</v>
      </c>
      <c r="D89" s="227" t="s">
        <v>768</v>
      </c>
      <c r="E89" s="224" t="s">
        <v>769</v>
      </c>
      <c r="F89" s="24" t="s">
        <v>770</v>
      </c>
      <c r="G89" s="25" t="s">
        <v>771</v>
      </c>
      <c r="H89" s="26" t="s">
        <v>346</v>
      </c>
      <c r="I89" s="26" t="s">
        <v>472</v>
      </c>
      <c r="J89" s="186"/>
      <c r="K89" s="68" t="s">
        <v>772</v>
      </c>
      <c r="L89" s="28"/>
      <c r="M89" s="29"/>
      <c r="N89" s="63" t="s">
        <v>773</v>
      </c>
      <c r="O89" s="30" t="s">
        <v>367</v>
      </c>
      <c r="P89" s="31" t="s">
        <v>774</v>
      </c>
      <c r="Q89" s="71"/>
      <c r="R89" s="62"/>
      <c r="S89" s="62"/>
      <c r="T89" s="62"/>
      <c r="U89" s="62"/>
      <c r="V89" s="62"/>
      <c r="W89" s="28"/>
    </row>
    <row r="90" spans="1:23" ht="72.5">
      <c r="A90" s="220" t="s">
        <v>737</v>
      </c>
      <c r="B90" s="225">
        <v>8</v>
      </c>
      <c r="C90" s="226" t="s">
        <v>744</v>
      </c>
      <c r="D90" s="227" t="s">
        <v>768</v>
      </c>
      <c r="E90" s="224" t="s">
        <v>769</v>
      </c>
      <c r="F90" s="24" t="s">
        <v>220</v>
      </c>
      <c r="G90" s="25" t="s">
        <v>775</v>
      </c>
      <c r="H90" s="26" t="s">
        <v>346</v>
      </c>
      <c r="I90" s="26" t="s">
        <v>365</v>
      </c>
      <c r="J90" s="186" t="str">
        <f t="shared" si="1"/>
        <v>Integrar els productes i activitats locals de qualitat en l'oferta d'activitats d'informació i turístiques de l'ENP</v>
      </c>
      <c r="K90" s="35"/>
      <c r="L90" s="28" t="s">
        <v>350</v>
      </c>
      <c r="M90" s="29" t="s">
        <v>366</v>
      </c>
      <c r="N90" s="63" t="s">
        <v>219</v>
      </c>
      <c r="O90" s="34" t="s">
        <v>776</v>
      </c>
      <c r="P90" s="31"/>
      <c r="Q90" s="71" t="s">
        <v>777</v>
      </c>
      <c r="R90" s="61" t="s">
        <v>778</v>
      </c>
      <c r="S90" s="61" t="s">
        <v>778</v>
      </c>
      <c r="T90" s="62"/>
      <c r="U90" s="62"/>
      <c r="V90" s="62"/>
      <c r="W90" s="28" t="s">
        <v>370</v>
      </c>
    </row>
    <row r="91" spans="1:23" ht="72.5">
      <c r="A91" s="220" t="s">
        <v>737</v>
      </c>
      <c r="B91" s="225">
        <v>8</v>
      </c>
      <c r="C91" s="226" t="s">
        <v>744</v>
      </c>
      <c r="D91" s="227" t="s">
        <v>768</v>
      </c>
      <c r="E91" s="224" t="s">
        <v>769</v>
      </c>
      <c r="F91" s="24" t="s">
        <v>779</v>
      </c>
      <c r="G91" s="25" t="s">
        <v>780</v>
      </c>
      <c r="H91" s="26" t="s">
        <v>346</v>
      </c>
      <c r="I91" s="26" t="s">
        <v>472</v>
      </c>
      <c r="J91" s="186" t="s">
        <v>780</v>
      </c>
      <c r="K91" s="35"/>
      <c r="L91" s="32" t="s">
        <v>350</v>
      </c>
      <c r="M91" s="29" t="s">
        <v>366</v>
      </c>
      <c r="N91" s="63" t="s">
        <v>781</v>
      </c>
      <c r="O91" s="30"/>
      <c r="P91" s="31"/>
      <c r="Q91" s="71" t="s">
        <v>782</v>
      </c>
      <c r="R91" s="62" t="s">
        <v>783</v>
      </c>
      <c r="S91" s="62" t="s">
        <v>784</v>
      </c>
      <c r="T91" s="62"/>
      <c r="U91" s="62"/>
      <c r="V91" s="62"/>
      <c r="W91" s="28" t="s">
        <v>469</v>
      </c>
    </row>
    <row r="92" spans="1:23" ht="72.5">
      <c r="A92" s="220" t="s">
        <v>737</v>
      </c>
      <c r="B92" s="225">
        <v>8</v>
      </c>
      <c r="C92" s="226" t="s">
        <v>744</v>
      </c>
      <c r="D92" s="227" t="s">
        <v>768</v>
      </c>
      <c r="E92" s="224" t="s">
        <v>769</v>
      </c>
      <c r="F92" s="24" t="s">
        <v>785</v>
      </c>
      <c r="G92" s="25" t="s">
        <v>786</v>
      </c>
      <c r="H92" s="26" t="s">
        <v>346</v>
      </c>
      <c r="I92" s="26" t="s">
        <v>472</v>
      </c>
      <c r="J92" s="186" t="str">
        <f t="shared" si="1"/>
        <v xml:space="preserve">Generar aliances entre el sector primari, el turisme, la restauració i altres per fomentar la gastronomia local </v>
      </c>
      <c r="K92" s="35"/>
      <c r="L92" s="28" t="s">
        <v>562</v>
      </c>
      <c r="M92" s="29" t="s">
        <v>568</v>
      </c>
      <c r="N92" s="64" t="s">
        <v>704</v>
      </c>
      <c r="O92" s="34" t="s">
        <v>776</v>
      </c>
      <c r="P92" s="31"/>
      <c r="Q92" s="71"/>
      <c r="R92" s="62"/>
      <c r="S92" s="62"/>
      <c r="T92" s="62"/>
      <c r="U92" s="62"/>
      <c r="V92" s="62"/>
      <c r="W92" s="28"/>
    </row>
    <row r="93" spans="1:23" ht="72.5">
      <c r="A93" s="220" t="s">
        <v>737</v>
      </c>
      <c r="B93" s="225">
        <v>8</v>
      </c>
      <c r="C93" s="226" t="s">
        <v>744</v>
      </c>
      <c r="D93" s="227" t="s">
        <v>768</v>
      </c>
      <c r="E93" s="224" t="s">
        <v>769</v>
      </c>
      <c r="F93" s="24" t="s">
        <v>787</v>
      </c>
      <c r="G93" s="25" t="s">
        <v>788</v>
      </c>
      <c r="H93" s="26" t="s">
        <v>346</v>
      </c>
      <c r="I93" s="26" t="s">
        <v>472</v>
      </c>
      <c r="J93" s="186"/>
      <c r="K93" s="35" t="s">
        <v>789</v>
      </c>
      <c r="L93" s="28"/>
      <c r="M93" s="29"/>
      <c r="N93" s="63"/>
      <c r="O93" s="34" t="s">
        <v>367</v>
      </c>
      <c r="P93" s="31"/>
      <c r="Q93" s="71"/>
      <c r="R93" s="62"/>
      <c r="S93" s="62"/>
      <c r="T93" s="62"/>
      <c r="U93" s="62"/>
      <c r="V93" s="62"/>
      <c r="W93" s="28"/>
    </row>
    <row r="94" spans="1:23" ht="72.5">
      <c r="A94" s="220" t="s">
        <v>737</v>
      </c>
      <c r="B94" s="225">
        <v>8</v>
      </c>
      <c r="C94" s="226" t="s">
        <v>744</v>
      </c>
      <c r="D94" s="227" t="s">
        <v>768</v>
      </c>
      <c r="E94" s="224" t="s">
        <v>769</v>
      </c>
      <c r="F94" s="24" t="s">
        <v>790</v>
      </c>
      <c r="G94" s="25" t="s">
        <v>1182</v>
      </c>
      <c r="H94" s="26" t="s">
        <v>346</v>
      </c>
      <c r="I94" s="26" t="s">
        <v>472</v>
      </c>
      <c r="J94" s="186"/>
      <c r="K94" s="68" t="s">
        <v>791</v>
      </c>
      <c r="L94" s="32"/>
      <c r="M94" s="29"/>
      <c r="N94" s="63"/>
      <c r="O94" s="30"/>
      <c r="P94" s="31"/>
      <c r="Q94" s="71"/>
      <c r="R94" s="62"/>
      <c r="S94" s="62"/>
      <c r="T94" s="62"/>
      <c r="U94" s="62"/>
      <c r="V94" s="62"/>
      <c r="W94" s="28"/>
    </row>
    <row r="95" spans="1:23" ht="87">
      <c r="A95" s="220" t="s">
        <v>737</v>
      </c>
      <c r="B95" s="225">
        <v>8</v>
      </c>
      <c r="C95" s="226" t="s">
        <v>744</v>
      </c>
      <c r="D95" s="227" t="s">
        <v>792</v>
      </c>
      <c r="E95" s="224" t="s">
        <v>793</v>
      </c>
      <c r="F95" s="24" t="s">
        <v>224</v>
      </c>
      <c r="G95" s="25" t="s">
        <v>794</v>
      </c>
      <c r="H95" s="26" t="s">
        <v>346</v>
      </c>
      <c r="I95" s="26" t="s">
        <v>365</v>
      </c>
      <c r="J95" s="186" t="str">
        <f t="shared" si="1"/>
        <v>Treballar amb l'autoritat competent per garantir objectius de conservació d’espècies i hàbitats en la revisió dels Plans de Gestió Cinegètica</v>
      </c>
      <c r="K95" s="35"/>
      <c r="L95" s="28" t="s">
        <v>350</v>
      </c>
      <c r="M95" s="29" t="s">
        <v>351</v>
      </c>
      <c r="N95" s="63" t="s">
        <v>795</v>
      </c>
      <c r="O95" s="30" t="s">
        <v>352</v>
      </c>
      <c r="P95" s="31"/>
      <c r="Q95" s="71" t="s">
        <v>796</v>
      </c>
      <c r="R95" s="61" t="s">
        <v>797</v>
      </c>
      <c r="S95" s="61" t="s">
        <v>797</v>
      </c>
      <c r="T95" s="62"/>
      <c r="U95" s="62"/>
      <c r="V95" s="62"/>
      <c r="W95" s="28" t="s">
        <v>370</v>
      </c>
    </row>
    <row r="96" spans="1:23" ht="72.5">
      <c r="A96" s="220" t="s">
        <v>737</v>
      </c>
      <c r="B96" s="225">
        <v>8</v>
      </c>
      <c r="C96" s="226" t="s">
        <v>744</v>
      </c>
      <c r="D96" s="227" t="s">
        <v>792</v>
      </c>
      <c r="E96" s="224" t="s">
        <v>793</v>
      </c>
      <c r="F96" s="24" t="s">
        <v>798</v>
      </c>
      <c r="G96" s="25" t="s">
        <v>799</v>
      </c>
      <c r="H96" s="26" t="s">
        <v>346</v>
      </c>
      <c r="I96" s="26" t="s">
        <v>365</v>
      </c>
      <c r="J96" s="186" t="str">
        <f t="shared" si="1"/>
        <v>Col·laborar en la regulació i ordenació de la caça i la pesca en zones sensibles o amb risc d'afectació d'elements clau objecte de conservació</v>
      </c>
      <c r="K96" s="35"/>
      <c r="L96" s="28" t="s">
        <v>350</v>
      </c>
      <c r="M96" s="29" t="s">
        <v>351</v>
      </c>
      <c r="N96" s="64" t="s">
        <v>1183</v>
      </c>
      <c r="O96" s="30" t="s">
        <v>352</v>
      </c>
      <c r="P96" s="31"/>
      <c r="Q96" s="71" t="s">
        <v>800</v>
      </c>
      <c r="R96" s="61" t="s">
        <v>801</v>
      </c>
      <c r="S96" s="61" t="s">
        <v>802</v>
      </c>
      <c r="T96" s="62"/>
      <c r="U96" s="62"/>
      <c r="V96" s="62"/>
      <c r="W96" s="28" t="s">
        <v>370</v>
      </c>
    </row>
    <row r="97" spans="1:23" ht="72.5">
      <c r="A97" s="220" t="s">
        <v>737</v>
      </c>
      <c r="B97" s="225">
        <v>8</v>
      </c>
      <c r="C97" s="226" t="s">
        <v>744</v>
      </c>
      <c r="D97" s="227" t="s">
        <v>792</v>
      </c>
      <c r="E97" s="224" t="s">
        <v>793</v>
      </c>
      <c r="F97" s="24" t="s">
        <v>231</v>
      </c>
      <c r="G97" s="25" t="s">
        <v>803</v>
      </c>
      <c r="H97" s="26" t="s">
        <v>346</v>
      </c>
      <c r="I97" s="26" t="s">
        <v>365</v>
      </c>
      <c r="J97" s="186" t="str">
        <f t="shared" si="1"/>
        <v>Donar suport en la gestió de poblacions que generen danys a les activitats econòmiques de l'ENP</v>
      </c>
      <c r="K97" s="35"/>
      <c r="L97" s="28" t="s">
        <v>350</v>
      </c>
      <c r="M97" s="29" t="s">
        <v>366</v>
      </c>
      <c r="N97" s="63" t="s">
        <v>804</v>
      </c>
      <c r="O97" s="30"/>
      <c r="P97" s="31"/>
      <c r="Q97" s="71" t="s">
        <v>805</v>
      </c>
      <c r="R97" s="61" t="s">
        <v>806</v>
      </c>
      <c r="S97" s="61" t="s">
        <v>807</v>
      </c>
      <c r="T97" s="62"/>
      <c r="U97" s="62"/>
      <c r="V97" s="62"/>
      <c r="W97" s="28" t="s">
        <v>370</v>
      </c>
    </row>
    <row r="98" spans="1:23" ht="43.5">
      <c r="A98" s="220" t="s">
        <v>737</v>
      </c>
      <c r="B98" s="225">
        <v>9</v>
      </c>
      <c r="C98" s="226" t="s">
        <v>808</v>
      </c>
      <c r="D98" s="227" t="s">
        <v>809</v>
      </c>
      <c r="E98" s="224" t="s">
        <v>810</v>
      </c>
      <c r="F98" s="24" t="s">
        <v>811</v>
      </c>
      <c r="G98" s="25" t="s">
        <v>812</v>
      </c>
      <c r="H98" s="26" t="s">
        <v>346</v>
      </c>
      <c r="I98" s="26" t="s">
        <v>472</v>
      </c>
      <c r="J98" s="186"/>
      <c r="K98" s="35" t="s">
        <v>813</v>
      </c>
      <c r="L98" s="32"/>
      <c r="M98" s="29"/>
      <c r="N98" s="63"/>
      <c r="O98" s="30" t="s">
        <v>367</v>
      </c>
      <c r="P98" s="31"/>
      <c r="Q98" s="71"/>
      <c r="R98" s="62"/>
      <c r="S98" s="62"/>
      <c r="T98" s="62"/>
      <c r="U98" s="62"/>
      <c r="V98" s="62"/>
      <c r="W98" s="28"/>
    </row>
    <row r="99" spans="1:23" ht="43.5">
      <c r="A99" s="220" t="s">
        <v>737</v>
      </c>
      <c r="B99" s="225">
        <v>9</v>
      </c>
      <c r="C99" s="226" t="s">
        <v>808</v>
      </c>
      <c r="D99" s="227" t="s">
        <v>809</v>
      </c>
      <c r="E99" s="224" t="s">
        <v>810</v>
      </c>
      <c r="F99" s="24" t="s">
        <v>814</v>
      </c>
      <c r="G99" s="25" t="s">
        <v>815</v>
      </c>
      <c r="H99" s="26" t="s">
        <v>346</v>
      </c>
      <c r="I99" s="26" t="s">
        <v>472</v>
      </c>
      <c r="J99" s="186"/>
      <c r="K99" s="35" t="s">
        <v>816</v>
      </c>
      <c r="L99" s="32"/>
      <c r="M99" s="29"/>
      <c r="N99" s="63"/>
      <c r="O99" s="30"/>
      <c r="P99" s="31"/>
      <c r="Q99" s="71"/>
      <c r="R99" s="62"/>
      <c r="S99" s="62"/>
      <c r="T99" s="62"/>
      <c r="U99" s="62"/>
      <c r="V99" s="62"/>
      <c r="W99" s="28"/>
    </row>
    <row r="100" spans="1:23" ht="87">
      <c r="A100" s="220" t="s">
        <v>737</v>
      </c>
      <c r="B100" s="225">
        <v>9</v>
      </c>
      <c r="C100" s="226" t="s">
        <v>808</v>
      </c>
      <c r="D100" s="227" t="s">
        <v>809</v>
      </c>
      <c r="E100" s="224" t="s">
        <v>810</v>
      </c>
      <c r="F100" s="24" t="s">
        <v>817</v>
      </c>
      <c r="G100" s="25" t="s">
        <v>1184</v>
      </c>
      <c r="H100" s="26" t="s">
        <v>346</v>
      </c>
      <c r="I100" s="26" t="s">
        <v>472</v>
      </c>
      <c r="J100" s="186" t="str">
        <f t="shared" si="1"/>
        <v>Fomentar la creació d'allotjaments i altres recursos turístics d'acord amb les necessitats i els agents turístics del territori que es vinculin als valors naturals de l'espai</v>
      </c>
      <c r="K100" s="66" t="s">
        <v>818</v>
      </c>
      <c r="L100" s="32" t="s">
        <v>350</v>
      </c>
      <c r="M100" s="29" t="s">
        <v>366</v>
      </c>
      <c r="N100" s="28" t="s">
        <v>1185</v>
      </c>
      <c r="O100" s="30"/>
      <c r="P100" s="31"/>
      <c r="Q100" s="71" t="s">
        <v>819</v>
      </c>
      <c r="R100" s="61" t="s">
        <v>820</v>
      </c>
      <c r="S100" s="61" t="s">
        <v>821</v>
      </c>
      <c r="T100" s="62"/>
      <c r="U100" s="62"/>
      <c r="V100" s="62"/>
      <c r="W100" s="28" t="s">
        <v>469</v>
      </c>
    </row>
    <row r="101" spans="1:23" ht="43.5">
      <c r="A101" s="220" t="s">
        <v>737</v>
      </c>
      <c r="B101" s="225">
        <v>9</v>
      </c>
      <c r="C101" s="226" t="s">
        <v>808</v>
      </c>
      <c r="D101" s="227" t="s">
        <v>822</v>
      </c>
      <c r="E101" s="224" t="s">
        <v>823</v>
      </c>
      <c r="F101" s="24" t="s">
        <v>824</v>
      </c>
      <c r="G101" s="25" t="s">
        <v>825</v>
      </c>
      <c r="H101" s="26" t="s">
        <v>346</v>
      </c>
      <c r="I101" s="26" t="s">
        <v>472</v>
      </c>
      <c r="J101" s="186" t="str">
        <f t="shared" si="1"/>
        <v xml:space="preserve">Treballar amb les empreses turístiques per trobar eines de canvi cap a un model de turisme sostenible i de qualitat </v>
      </c>
      <c r="K101" s="35"/>
      <c r="L101" s="75" t="s">
        <v>350</v>
      </c>
      <c r="M101" s="29" t="s">
        <v>463</v>
      </c>
      <c r="N101" s="63" t="s">
        <v>826</v>
      </c>
      <c r="O101" s="30" t="s">
        <v>367</v>
      </c>
      <c r="P101" s="31"/>
      <c r="Q101" s="71" t="s">
        <v>827</v>
      </c>
      <c r="R101" s="62" t="s">
        <v>350</v>
      </c>
      <c r="S101" s="62" t="s">
        <v>350</v>
      </c>
      <c r="T101" s="62"/>
      <c r="U101" s="62"/>
      <c r="V101" s="62"/>
      <c r="W101" s="28" t="s">
        <v>469</v>
      </c>
    </row>
    <row r="102" spans="1:23" ht="43.5">
      <c r="A102" s="220" t="s">
        <v>737</v>
      </c>
      <c r="B102" s="225">
        <v>9</v>
      </c>
      <c r="C102" s="226" t="s">
        <v>808</v>
      </c>
      <c r="D102" s="227" t="s">
        <v>822</v>
      </c>
      <c r="E102" s="224" t="s">
        <v>823</v>
      </c>
      <c r="F102" s="24" t="s">
        <v>828</v>
      </c>
      <c r="G102" s="25" t="s">
        <v>829</v>
      </c>
      <c r="H102" s="26" t="s">
        <v>346</v>
      </c>
      <c r="I102" s="26" t="s">
        <v>472</v>
      </c>
      <c r="J102" s="186" t="str">
        <f t="shared" si="1"/>
        <v>Crear productes i paquets turístics amb associacions d’empreses turístiques i operadors turístics</v>
      </c>
      <c r="K102" s="35"/>
      <c r="L102" s="28" t="s">
        <v>350</v>
      </c>
      <c r="M102" s="29" t="s">
        <v>568</v>
      </c>
      <c r="N102" s="64" t="s">
        <v>704</v>
      </c>
      <c r="O102" s="30" t="s">
        <v>367</v>
      </c>
      <c r="P102" s="31"/>
      <c r="Q102" s="71"/>
      <c r="R102" s="62"/>
      <c r="S102" s="62"/>
      <c r="T102" s="62"/>
      <c r="U102" s="62"/>
      <c r="V102" s="62"/>
      <c r="W102" s="28"/>
    </row>
    <row r="103" spans="1:23" ht="29" customHeight="1">
      <c r="A103" s="228" t="s">
        <v>830</v>
      </c>
      <c r="B103" s="229">
        <v>10</v>
      </c>
      <c r="C103" s="230" t="s">
        <v>831</v>
      </c>
      <c r="D103" s="231" t="s">
        <v>832</v>
      </c>
      <c r="E103" s="232" t="s">
        <v>833</v>
      </c>
      <c r="F103" s="24" t="s">
        <v>834</v>
      </c>
      <c r="G103" s="25" t="s">
        <v>835</v>
      </c>
      <c r="H103" s="26" t="s">
        <v>346</v>
      </c>
      <c r="I103" s="26" t="s">
        <v>365</v>
      </c>
      <c r="J103" s="186"/>
      <c r="K103" s="35" t="s">
        <v>621</v>
      </c>
      <c r="L103" s="38"/>
      <c r="M103" s="29"/>
      <c r="N103" s="63" t="s">
        <v>836</v>
      </c>
      <c r="O103" s="30"/>
      <c r="P103" s="31" t="s">
        <v>837</v>
      </c>
      <c r="Q103" s="71"/>
      <c r="R103" s="62"/>
      <c r="S103" s="62"/>
      <c r="T103" s="62"/>
      <c r="U103" s="62"/>
      <c r="V103" s="62"/>
      <c r="W103" s="28"/>
    </row>
    <row r="104" spans="1:23" ht="58">
      <c r="A104" s="228" t="s">
        <v>830</v>
      </c>
      <c r="B104" s="229">
        <v>10</v>
      </c>
      <c r="C104" s="230" t="s">
        <v>831</v>
      </c>
      <c r="D104" s="231" t="s">
        <v>832</v>
      </c>
      <c r="E104" s="232" t="s">
        <v>833</v>
      </c>
      <c r="F104" s="24" t="s">
        <v>838</v>
      </c>
      <c r="G104" s="25" t="s">
        <v>839</v>
      </c>
      <c r="H104" s="26"/>
      <c r="I104" s="26"/>
      <c r="J104" s="186" t="str">
        <f>G104</f>
        <v>Regular els aprofitaments i extraccions dins l'espai</v>
      </c>
      <c r="K104" s="65" t="s">
        <v>840</v>
      </c>
      <c r="L104" s="38" t="s">
        <v>350</v>
      </c>
      <c r="M104" s="29" t="s">
        <v>374</v>
      </c>
      <c r="N104" s="64" t="s">
        <v>841</v>
      </c>
      <c r="O104" s="30"/>
      <c r="P104" s="31"/>
      <c r="Q104" s="71" t="s">
        <v>842</v>
      </c>
      <c r="R104" s="62" t="s">
        <v>350</v>
      </c>
      <c r="S104" s="62" t="s">
        <v>350</v>
      </c>
      <c r="T104" s="62"/>
      <c r="U104" s="62"/>
      <c r="V104" s="62"/>
      <c r="W104" s="28" t="s">
        <v>370</v>
      </c>
    </row>
    <row r="105" spans="1:23" ht="29" customHeight="1">
      <c r="A105" s="228" t="s">
        <v>830</v>
      </c>
      <c r="B105" s="233">
        <v>11</v>
      </c>
      <c r="C105" s="230" t="s">
        <v>843</v>
      </c>
      <c r="D105" s="231" t="s">
        <v>844</v>
      </c>
      <c r="E105" s="234" t="s">
        <v>845</v>
      </c>
      <c r="F105" s="24" t="s">
        <v>846</v>
      </c>
      <c r="G105" s="25" t="s">
        <v>1186</v>
      </c>
      <c r="H105" s="26" t="s">
        <v>346</v>
      </c>
      <c r="I105" s="26" t="s">
        <v>365</v>
      </c>
      <c r="J105" s="186" t="str">
        <f t="shared" ref="J105:J109" si="2">G105</f>
        <v>Ordenar l'acampada i pernoctació  en base a un model estandarditzat de Pla de protecció</v>
      </c>
      <c r="K105" s="35"/>
      <c r="L105" s="27" t="s">
        <v>501</v>
      </c>
      <c r="M105" s="29"/>
      <c r="N105" s="64"/>
      <c r="O105" s="30"/>
      <c r="P105" s="31" t="s">
        <v>837</v>
      </c>
      <c r="Q105" s="71"/>
      <c r="R105" s="62"/>
      <c r="S105" s="62"/>
      <c r="T105" s="62"/>
      <c r="U105" s="62"/>
      <c r="V105" s="62"/>
      <c r="W105" s="28"/>
    </row>
    <row r="106" spans="1:23" ht="58">
      <c r="A106" s="228" t="s">
        <v>830</v>
      </c>
      <c r="B106" s="233">
        <v>11</v>
      </c>
      <c r="C106" s="230" t="s">
        <v>843</v>
      </c>
      <c r="D106" s="231" t="s">
        <v>844</v>
      </c>
      <c r="E106" s="234" t="s">
        <v>845</v>
      </c>
      <c r="F106" s="24" t="s">
        <v>847</v>
      </c>
      <c r="G106" s="25" t="s">
        <v>1187</v>
      </c>
      <c r="H106" s="26" t="s">
        <v>346</v>
      </c>
      <c r="I106" s="26" t="s">
        <v>365</v>
      </c>
      <c r="J106" s="186" t="str">
        <f t="shared" si="2"/>
        <v>Ordenar la circulació rodada no motoritzada en base a un model estàndard de Pla de protecció</v>
      </c>
      <c r="K106" s="35"/>
      <c r="L106" s="27" t="s">
        <v>350</v>
      </c>
      <c r="M106" s="29" t="s">
        <v>351</v>
      </c>
      <c r="N106" s="63" t="s">
        <v>848</v>
      </c>
      <c r="O106" s="30"/>
      <c r="P106" s="31" t="s">
        <v>837</v>
      </c>
      <c r="Q106" s="71" t="s">
        <v>849</v>
      </c>
      <c r="R106" s="61" t="s">
        <v>778</v>
      </c>
      <c r="S106" s="61" t="s">
        <v>778</v>
      </c>
      <c r="T106" s="62"/>
      <c r="U106" s="62"/>
      <c r="V106" s="62"/>
      <c r="W106" s="28" t="s">
        <v>370</v>
      </c>
    </row>
    <row r="107" spans="1:23" ht="43.5">
      <c r="A107" s="228" t="s">
        <v>830</v>
      </c>
      <c r="B107" s="233">
        <v>11</v>
      </c>
      <c r="C107" s="230" t="s">
        <v>843</v>
      </c>
      <c r="D107" s="231" t="s">
        <v>844</v>
      </c>
      <c r="E107" s="234" t="s">
        <v>845</v>
      </c>
      <c r="F107" s="24" t="s">
        <v>850</v>
      </c>
      <c r="G107" s="25" t="s">
        <v>1188</v>
      </c>
      <c r="H107" s="26" t="s">
        <v>390</v>
      </c>
      <c r="I107" s="26" t="s">
        <v>365</v>
      </c>
      <c r="J107" s="186" t="str">
        <f t="shared" si="2"/>
        <v>Ordenar l'escalada i alpinisme, barranquisme, i espeleologia  en base a un model estàndard de Pla de protecció</v>
      </c>
      <c r="K107" s="65"/>
      <c r="L107" s="27" t="s">
        <v>501</v>
      </c>
      <c r="M107" s="29"/>
      <c r="N107" s="64"/>
      <c r="O107" s="30"/>
      <c r="P107" s="31" t="s">
        <v>837</v>
      </c>
      <c r="Q107" s="71"/>
      <c r="R107" s="62"/>
      <c r="S107" s="62"/>
      <c r="T107" s="62"/>
      <c r="U107" s="62"/>
      <c r="V107" s="62"/>
      <c r="W107" s="28"/>
    </row>
    <row r="108" spans="1:23" ht="43.5">
      <c r="A108" s="228" t="s">
        <v>830</v>
      </c>
      <c r="B108" s="233">
        <v>11</v>
      </c>
      <c r="C108" s="230" t="s">
        <v>843</v>
      </c>
      <c r="D108" s="231" t="s">
        <v>844</v>
      </c>
      <c r="E108" s="234" t="s">
        <v>845</v>
      </c>
      <c r="F108" s="24" t="s">
        <v>851</v>
      </c>
      <c r="G108" s="25" t="s">
        <v>1189</v>
      </c>
      <c r="H108" s="26" t="s">
        <v>346</v>
      </c>
      <c r="I108" s="26" t="s">
        <v>365</v>
      </c>
      <c r="J108" s="186" t="str">
        <f t="shared" si="2"/>
        <v>Ordenar les curses i altres activitats esportives organitzades en base a un model estàndard de Pla de protecció</v>
      </c>
      <c r="K108" s="35"/>
      <c r="L108" s="27" t="s">
        <v>501</v>
      </c>
      <c r="M108" s="29"/>
      <c r="N108" s="68"/>
      <c r="O108" s="30"/>
      <c r="P108" s="31" t="s">
        <v>837</v>
      </c>
      <c r="Q108" s="71"/>
      <c r="R108" s="62"/>
      <c r="S108" s="62"/>
      <c r="T108" s="62"/>
      <c r="U108" s="62"/>
      <c r="V108" s="62"/>
      <c r="W108" s="28"/>
    </row>
    <row r="109" spans="1:23" ht="43.5">
      <c r="A109" s="228" t="s">
        <v>830</v>
      </c>
      <c r="B109" s="233">
        <v>11</v>
      </c>
      <c r="C109" s="230" t="s">
        <v>843</v>
      </c>
      <c r="D109" s="231" t="s">
        <v>844</v>
      </c>
      <c r="E109" s="234" t="s">
        <v>845</v>
      </c>
      <c r="F109" s="24" t="s">
        <v>852</v>
      </c>
      <c r="G109" s="25" t="s">
        <v>1190</v>
      </c>
      <c r="H109" s="26" t="s">
        <v>346</v>
      </c>
      <c r="I109" s="26" t="s">
        <v>365</v>
      </c>
      <c r="J109" s="186" t="str">
        <f t="shared" si="2"/>
        <v>Ordenar els enregistraments i l'observació de fauna i natura en base a un model estàndard de Pla de protecció</v>
      </c>
      <c r="K109" s="35"/>
      <c r="L109" s="27" t="s">
        <v>501</v>
      </c>
      <c r="M109" s="29"/>
      <c r="N109" s="68"/>
      <c r="O109" s="30"/>
      <c r="P109" s="31" t="s">
        <v>837</v>
      </c>
      <c r="Q109" s="71"/>
      <c r="R109" s="62"/>
      <c r="S109" s="62"/>
      <c r="T109" s="62"/>
      <c r="U109" s="62"/>
      <c r="V109" s="62"/>
      <c r="W109" s="28"/>
    </row>
    <row r="110" spans="1:23" ht="58">
      <c r="A110" s="228" t="s">
        <v>830</v>
      </c>
      <c r="B110" s="233">
        <v>11</v>
      </c>
      <c r="C110" s="230" t="s">
        <v>843</v>
      </c>
      <c r="D110" s="231" t="s">
        <v>844</v>
      </c>
      <c r="E110" s="234" t="s">
        <v>845</v>
      </c>
      <c r="F110" s="24" t="s">
        <v>853</v>
      </c>
      <c r="G110" s="25" t="s">
        <v>1191</v>
      </c>
      <c r="H110" s="26" t="s">
        <v>346</v>
      </c>
      <c r="I110" s="26" t="s">
        <v>365</v>
      </c>
      <c r="J110" s="186" t="s">
        <v>1192</v>
      </c>
      <c r="K110" s="35" t="s">
        <v>854</v>
      </c>
      <c r="L110" s="27" t="s">
        <v>350</v>
      </c>
      <c r="M110" s="29" t="s">
        <v>366</v>
      </c>
      <c r="N110" s="235" t="s">
        <v>1193</v>
      </c>
      <c r="O110" s="30"/>
      <c r="P110" s="31" t="s">
        <v>837</v>
      </c>
      <c r="Q110" s="236"/>
      <c r="R110" s="62"/>
      <c r="S110" s="62"/>
      <c r="T110" s="62"/>
      <c r="U110" s="62"/>
      <c r="V110" s="62"/>
      <c r="W110" s="28" t="s">
        <v>469</v>
      </c>
    </row>
    <row r="111" spans="1:23" ht="43.5">
      <c r="A111" s="228" t="s">
        <v>830</v>
      </c>
      <c r="B111" s="233">
        <v>11</v>
      </c>
      <c r="C111" s="230" t="s">
        <v>843</v>
      </c>
      <c r="D111" s="231" t="s">
        <v>844</v>
      </c>
      <c r="E111" s="234" t="s">
        <v>845</v>
      </c>
      <c r="F111" s="24" t="s">
        <v>855</v>
      </c>
      <c r="G111" s="25" t="s">
        <v>1194</v>
      </c>
      <c r="H111" s="26" t="s">
        <v>390</v>
      </c>
      <c r="I111" s="26" t="s">
        <v>365</v>
      </c>
      <c r="J111" s="186"/>
      <c r="K111" s="35" t="s">
        <v>398</v>
      </c>
      <c r="L111" s="27"/>
      <c r="M111" s="29"/>
      <c r="N111" s="63"/>
      <c r="O111" s="30"/>
      <c r="P111" s="31" t="s">
        <v>837</v>
      </c>
      <c r="Q111" s="71"/>
      <c r="R111" s="62"/>
      <c r="S111" s="62"/>
      <c r="T111" s="62"/>
      <c r="U111" s="62"/>
      <c r="V111" s="62"/>
      <c r="W111" s="28"/>
    </row>
    <row r="112" spans="1:23" ht="43.5">
      <c r="A112" s="228" t="s">
        <v>830</v>
      </c>
      <c r="B112" s="233">
        <v>11</v>
      </c>
      <c r="C112" s="230" t="s">
        <v>843</v>
      </c>
      <c r="D112" s="231" t="s">
        <v>844</v>
      </c>
      <c r="E112" s="234" t="s">
        <v>845</v>
      </c>
      <c r="F112" s="24" t="s">
        <v>856</v>
      </c>
      <c r="G112" s="25" t="s">
        <v>1195</v>
      </c>
      <c r="H112" s="26" t="s">
        <v>390</v>
      </c>
      <c r="I112" s="26" t="s">
        <v>365</v>
      </c>
      <c r="J112" s="186" t="str">
        <f>G112</f>
        <v>Ordenar l'enlairament i aterratge sense motor</v>
      </c>
      <c r="K112" s="35"/>
      <c r="L112" s="27" t="s">
        <v>501</v>
      </c>
      <c r="M112" s="29"/>
      <c r="N112" s="63"/>
      <c r="O112" s="30"/>
      <c r="P112" s="31" t="s">
        <v>837</v>
      </c>
      <c r="Q112" s="71"/>
      <c r="R112" s="62"/>
      <c r="S112" s="62"/>
      <c r="T112" s="62"/>
      <c r="U112" s="62"/>
      <c r="V112" s="62"/>
      <c r="W112" s="28"/>
    </row>
    <row r="113" spans="1:23" ht="43.5">
      <c r="A113" s="228" t="s">
        <v>830</v>
      </c>
      <c r="B113" s="233">
        <v>11</v>
      </c>
      <c r="C113" s="230" t="s">
        <v>843</v>
      </c>
      <c r="D113" s="231" t="s">
        <v>844</v>
      </c>
      <c r="E113" s="234" t="s">
        <v>845</v>
      </c>
      <c r="F113" s="24" t="s">
        <v>857</v>
      </c>
      <c r="G113" s="25" t="s">
        <v>858</v>
      </c>
      <c r="H113" s="26" t="s">
        <v>390</v>
      </c>
      <c r="I113" s="26" t="s">
        <v>365</v>
      </c>
      <c r="J113" s="186"/>
      <c r="K113" s="35" t="s">
        <v>398</v>
      </c>
      <c r="L113" s="27"/>
      <c r="M113" s="29"/>
      <c r="N113" s="63"/>
      <c r="O113" s="30"/>
      <c r="P113" s="31" t="s">
        <v>837</v>
      </c>
      <c r="Q113" s="71"/>
      <c r="R113" s="62"/>
      <c r="S113" s="62"/>
      <c r="T113" s="62"/>
      <c r="U113" s="62"/>
      <c r="V113" s="62"/>
      <c r="W113" s="28"/>
    </row>
    <row r="114" spans="1:23" ht="43.5">
      <c r="A114" s="228" t="s">
        <v>830</v>
      </c>
      <c r="B114" s="233">
        <v>11</v>
      </c>
      <c r="C114" s="230" t="s">
        <v>843</v>
      </c>
      <c r="D114" s="231" t="s">
        <v>844</v>
      </c>
      <c r="E114" s="234" t="s">
        <v>845</v>
      </c>
      <c r="F114" s="24" t="s">
        <v>859</v>
      </c>
      <c r="G114" s="25" t="s">
        <v>1196</v>
      </c>
      <c r="H114" s="26" t="s">
        <v>390</v>
      </c>
      <c r="I114" s="26" t="s">
        <v>365</v>
      </c>
      <c r="J114" s="186"/>
      <c r="K114" s="35" t="s">
        <v>398</v>
      </c>
      <c r="L114" s="27"/>
      <c r="M114" s="29"/>
      <c r="N114" s="63"/>
      <c r="O114" s="30"/>
      <c r="P114" s="31" t="s">
        <v>837</v>
      </c>
      <c r="Q114" s="71"/>
      <c r="R114" s="62"/>
      <c r="S114" s="62"/>
      <c r="T114" s="62"/>
      <c r="U114" s="62"/>
      <c r="V114" s="62"/>
      <c r="W114" s="28"/>
    </row>
    <row r="115" spans="1:23" ht="43.5">
      <c r="A115" s="228" t="s">
        <v>830</v>
      </c>
      <c r="B115" s="233">
        <v>11</v>
      </c>
      <c r="C115" s="230" t="s">
        <v>843</v>
      </c>
      <c r="D115" s="231" t="s">
        <v>844</v>
      </c>
      <c r="E115" s="234" t="s">
        <v>845</v>
      </c>
      <c r="F115" s="24" t="s">
        <v>238</v>
      </c>
      <c r="G115" s="25" t="s">
        <v>1197</v>
      </c>
      <c r="H115" s="26" t="s">
        <v>346</v>
      </c>
      <c r="I115" s="26" t="s">
        <v>365</v>
      </c>
      <c r="J115" s="186" t="str">
        <f t="shared" si="1"/>
        <v>Ordenar la presència d'animals de companyia</v>
      </c>
      <c r="K115" s="35"/>
      <c r="L115" s="27" t="s">
        <v>350</v>
      </c>
      <c r="M115" s="29" t="s">
        <v>351</v>
      </c>
      <c r="N115" s="68" t="s">
        <v>860</v>
      </c>
      <c r="O115" s="30"/>
      <c r="P115" s="31" t="s">
        <v>837</v>
      </c>
      <c r="Q115" s="71" t="s">
        <v>861</v>
      </c>
      <c r="R115" s="61" t="s">
        <v>778</v>
      </c>
      <c r="S115" s="61" t="s">
        <v>778</v>
      </c>
      <c r="T115" s="62"/>
      <c r="U115" s="62"/>
      <c r="V115" s="62"/>
      <c r="W115" s="28" t="s">
        <v>370</v>
      </c>
    </row>
    <row r="116" spans="1:23" ht="43.5">
      <c r="A116" s="228" t="s">
        <v>830</v>
      </c>
      <c r="B116" s="233">
        <v>11</v>
      </c>
      <c r="C116" s="230" t="s">
        <v>843</v>
      </c>
      <c r="D116" s="231" t="s">
        <v>844</v>
      </c>
      <c r="E116" s="234" t="s">
        <v>845</v>
      </c>
      <c r="F116" s="24" t="s">
        <v>862</v>
      </c>
      <c r="G116" s="25" t="s">
        <v>1198</v>
      </c>
      <c r="H116" s="26" t="s">
        <v>346</v>
      </c>
      <c r="I116" s="26" t="s">
        <v>365</v>
      </c>
      <c r="J116" s="186" t="str">
        <f t="shared" si="1"/>
        <v>Ordenar les activitats d'educació ambiental i el lleure educatiu</v>
      </c>
      <c r="K116" s="35"/>
      <c r="L116" s="27" t="s">
        <v>501</v>
      </c>
      <c r="M116" s="29"/>
      <c r="N116" s="68"/>
      <c r="O116" s="30"/>
      <c r="P116" s="31" t="s">
        <v>837</v>
      </c>
      <c r="Q116" s="71"/>
      <c r="R116" s="62"/>
      <c r="S116" s="62"/>
      <c r="T116" s="62"/>
      <c r="U116" s="62"/>
      <c r="V116" s="62"/>
      <c r="W116" s="28"/>
    </row>
    <row r="117" spans="1:23" ht="43.5">
      <c r="A117" s="228" t="s">
        <v>830</v>
      </c>
      <c r="B117" s="233">
        <v>11</v>
      </c>
      <c r="C117" s="230" t="s">
        <v>843</v>
      </c>
      <c r="D117" s="231" t="s">
        <v>863</v>
      </c>
      <c r="E117" s="237" t="s">
        <v>864</v>
      </c>
      <c r="F117" s="26" t="s">
        <v>243</v>
      </c>
      <c r="G117" s="25" t="s">
        <v>865</v>
      </c>
      <c r="H117" s="26" t="s">
        <v>346</v>
      </c>
      <c r="I117" s="26" t="s">
        <v>365</v>
      </c>
      <c r="J117" s="186" t="str">
        <f t="shared" si="1"/>
        <v xml:space="preserve">Identificar i classificar la xarxa viària bàsica, secundària, senders i itineraris senyalitzats d'acord amb els ajuntaments </v>
      </c>
      <c r="K117" s="35"/>
      <c r="L117" s="28" t="s">
        <v>350</v>
      </c>
      <c r="M117" s="29" t="s">
        <v>366</v>
      </c>
      <c r="N117" s="63" t="s">
        <v>866</v>
      </c>
      <c r="O117" s="30"/>
      <c r="P117" s="25" t="s">
        <v>867</v>
      </c>
      <c r="Q117" s="71" t="s">
        <v>868</v>
      </c>
      <c r="R117" s="71" t="s">
        <v>869</v>
      </c>
      <c r="S117" s="71" t="s">
        <v>869</v>
      </c>
      <c r="T117" s="62"/>
      <c r="U117" s="62"/>
      <c r="V117" s="62"/>
      <c r="W117" s="28"/>
    </row>
    <row r="118" spans="1:23" ht="43.5">
      <c r="A118" s="228" t="s">
        <v>830</v>
      </c>
      <c r="B118" s="233">
        <v>11</v>
      </c>
      <c r="C118" s="230" t="s">
        <v>843</v>
      </c>
      <c r="D118" s="231" t="s">
        <v>863</v>
      </c>
      <c r="E118" s="237" t="s">
        <v>864</v>
      </c>
      <c r="F118" s="26" t="s">
        <v>248</v>
      </c>
      <c r="G118" s="25" t="s">
        <v>870</v>
      </c>
      <c r="H118" s="26" t="s">
        <v>346</v>
      </c>
      <c r="I118" s="26" t="s">
        <v>365</v>
      </c>
      <c r="J118" s="186" t="str">
        <f t="shared" si="1"/>
        <v>Treballar conjuntament amb els principals canals d’informació de rutes  per prioritzar itineraris oficials dins l’ENP</v>
      </c>
      <c r="K118" s="35"/>
      <c r="L118" s="28" t="s">
        <v>350</v>
      </c>
      <c r="M118" s="29" t="s">
        <v>366</v>
      </c>
      <c r="N118" s="63" t="s">
        <v>247</v>
      </c>
      <c r="O118" s="30"/>
      <c r="P118" s="25" t="s">
        <v>871</v>
      </c>
      <c r="Q118" s="71" t="s">
        <v>872</v>
      </c>
      <c r="R118" s="62" t="s">
        <v>873</v>
      </c>
      <c r="S118" s="62">
        <v>5</v>
      </c>
      <c r="T118" s="62"/>
      <c r="U118" s="62"/>
      <c r="V118" s="62"/>
      <c r="W118" s="28" t="s">
        <v>370</v>
      </c>
    </row>
    <row r="119" spans="1:23" ht="43.5">
      <c r="A119" s="228" t="s">
        <v>830</v>
      </c>
      <c r="B119" s="233">
        <v>11</v>
      </c>
      <c r="C119" s="230" t="s">
        <v>843</v>
      </c>
      <c r="D119" s="231" t="s">
        <v>874</v>
      </c>
      <c r="E119" s="234" t="s">
        <v>875</v>
      </c>
      <c r="F119" s="24" t="s">
        <v>252</v>
      </c>
      <c r="G119" s="25" t="s">
        <v>1199</v>
      </c>
      <c r="H119" s="26" t="s">
        <v>346</v>
      </c>
      <c r="I119" s="26" t="s">
        <v>365</v>
      </c>
      <c r="J119" s="186" t="str">
        <f t="shared" si="1"/>
        <v>Ordenar l'accés i la circulació</v>
      </c>
      <c r="K119" s="35"/>
      <c r="L119" s="27" t="s">
        <v>350</v>
      </c>
      <c r="M119" s="29" t="s">
        <v>374</v>
      </c>
      <c r="N119" s="63" t="s">
        <v>876</v>
      </c>
      <c r="O119" s="30"/>
      <c r="P119" s="31" t="s">
        <v>837</v>
      </c>
      <c r="Q119" s="71" t="s">
        <v>877</v>
      </c>
      <c r="R119" s="61" t="s">
        <v>878</v>
      </c>
      <c r="S119" s="61" t="s">
        <v>878</v>
      </c>
      <c r="T119" s="62"/>
      <c r="U119" s="62"/>
      <c r="V119" s="62"/>
      <c r="W119" s="28" t="s">
        <v>370</v>
      </c>
    </row>
    <row r="120" spans="1:23" ht="43.5">
      <c r="A120" s="228" t="s">
        <v>830</v>
      </c>
      <c r="B120" s="233">
        <v>11</v>
      </c>
      <c r="C120" s="230" t="s">
        <v>843</v>
      </c>
      <c r="D120" s="231" t="s">
        <v>874</v>
      </c>
      <c r="E120" s="234" t="s">
        <v>875</v>
      </c>
      <c r="F120" s="24" t="s">
        <v>879</v>
      </c>
      <c r="G120" s="25" t="s">
        <v>1200</v>
      </c>
      <c r="H120" s="26" t="s">
        <v>346</v>
      </c>
      <c r="I120" s="26" t="s">
        <v>365</v>
      </c>
      <c r="J120" s="186"/>
      <c r="K120" s="68" t="s">
        <v>880</v>
      </c>
      <c r="L120" s="27"/>
      <c r="M120" s="29"/>
      <c r="N120" s="63"/>
      <c r="O120" s="30"/>
      <c r="P120" s="31" t="s">
        <v>837</v>
      </c>
      <c r="Q120" s="238"/>
      <c r="R120" s="62"/>
      <c r="S120" s="62"/>
      <c r="T120" s="62"/>
      <c r="U120" s="62"/>
      <c r="V120" s="62"/>
      <c r="W120" s="28"/>
    </row>
    <row r="121" spans="1:23" ht="43.5">
      <c r="A121" s="228" t="s">
        <v>830</v>
      </c>
      <c r="B121" s="233">
        <v>11</v>
      </c>
      <c r="C121" s="230" t="s">
        <v>843</v>
      </c>
      <c r="D121" s="231" t="s">
        <v>874</v>
      </c>
      <c r="E121" s="234" t="s">
        <v>875</v>
      </c>
      <c r="F121" s="24" t="s">
        <v>257</v>
      </c>
      <c r="G121" s="25" t="s">
        <v>1201</v>
      </c>
      <c r="H121" s="26" t="s">
        <v>390</v>
      </c>
      <c r="I121" s="26" t="s">
        <v>365</v>
      </c>
      <c r="J121" s="186" t="str">
        <f t="shared" si="1"/>
        <v>Ordenar l'ús de drons, l'enlairament i l'aterratge</v>
      </c>
      <c r="K121" s="35"/>
      <c r="L121" s="27" t="s">
        <v>350</v>
      </c>
      <c r="M121" s="29" t="s">
        <v>366</v>
      </c>
      <c r="N121" s="63" t="s">
        <v>256</v>
      </c>
      <c r="O121" s="30"/>
      <c r="P121" s="31" t="s">
        <v>837</v>
      </c>
      <c r="Q121" s="71" t="s">
        <v>881</v>
      </c>
      <c r="R121" s="62" t="s">
        <v>350</v>
      </c>
      <c r="S121" s="62" t="s">
        <v>350</v>
      </c>
      <c r="T121" s="62"/>
      <c r="U121" s="62"/>
      <c r="V121" s="62"/>
      <c r="W121" s="28" t="s">
        <v>370</v>
      </c>
    </row>
    <row r="122" spans="1:23" ht="43.5">
      <c r="A122" s="228" t="s">
        <v>830</v>
      </c>
      <c r="B122" s="233">
        <v>11</v>
      </c>
      <c r="C122" s="230" t="s">
        <v>843</v>
      </c>
      <c r="D122" s="231" t="s">
        <v>874</v>
      </c>
      <c r="E122" s="234" t="s">
        <v>875</v>
      </c>
      <c r="F122" s="24" t="s">
        <v>882</v>
      </c>
      <c r="G122" s="25" t="s">
        <v>883</v>
      </c>
      <c r="H122" s="26" t="s">
        <v>346</v>
      </c>
      <c r="I122" s="26" t="s">
        <v>365</v>
      </c>
      <c r="J122" s="186" t="str">
        <f t="shared" si="1"/>
        <v>Aplicar limitacions temporals d'accés o circulació</v>
      </c>
      <c r="K122" s="35"/>
      <c r="L122" s="27" t="s">
        <v>350</v>
      </c>
      <c r="M122" s="29" t="s">
        <v>374</v>
      </c>
      <c r="N122" s="63" t="s">
        <v>884</v>
      </c>
      <c r="O122" s="30"/>
      <c r="P122" s="31" t="s">
        <v>837</v>
      </c>
      <c r="Q122" s="71" t="s">
        <v>885</v>
      </c>
      <c r="R122" s="62"/>
      <c r="S122" s="62"/>
      <c r="T122" s="62"/>
      <c r="U122" s="62"/>
      <c r="V122" s="62"/>
      <c r="W122" s="28" t="s">
        <v>370</v>
      </c>
    </row>
    <row r="123" spans="1:23" ht="43.5">
      <c r="A123" s="228" t="s">
        <v>830</v>
      </c>
      <c r="B123" s="233">
        <v>11</v>
      </c>
      <c r="C123" s="230" t="s">
        <v>843</v>
      </c>
      <c r="D123" s="231" t="s">
        <v>874</v>
      </c>
      <c r="E123" s="234" t="s">
        <v>875</v>
      </c>
      <c r="F123" s="24" t="s">
        <v>886</v>
      </c>
      <c r="G123" s="25" t="s">
        <v>1202</v>
      </c>
      <c r="H123" s="26" t="s">
        <v>346</v>
      </c>
      <c r="I123" s="26" t="s">
        <v>365</v>
      </c>
      <c r="J123" s="186" t="str">
        <f t="shared" si="1"/>
        <v>Ordenar l'aparcament de vehícles</v>
      </c>
      <c r="K123" s="35"/>
      <c r="L123" s="27" t="s">
        <v>350</v>
      </c>
      <c r="M123" s="29" t="s">
        <v>366</v>
      </c>
      <c r="N123" s="198" t="s">
        <v>887</v>
      </c>
      <c r="O123" s="30"/>
      <c r="P123" s="31" t="s">
        <v>837</v>
      </c>
      <c r="Q123" s="71" t="s">
        <v>888</v>
      </c>
      <c r="R123" s="62"/>
      <c r="S123" s="62"/>
      <c r="T123" s="62"/>
      <c r="U123" s="62"/>
      <c r="V123" s="62"/>
      <c r="W123" s="28" t="s">
        <v>357</v>
      </c>
    </row>
    <row r="124" spans="1:23" ht="43.5">
      <c r="A124" s="228" t="s">
        <v>830</v>
      </c>
      <c r="B124" s="233">
        <v>11</v>
      </c>
      <c r="C124" s="230" t="s">
        <v>843</v>
      </c>
      <c r="D124" s="231" t="s">
        <v>889</v>
      </c>
      <c r="E124" s="234" t="s">
        <v>890</v>
      </c>
      <c r="F124" s="24" t="s">
        <v>891</v>
      </c>
      <c r="G124" s="25" t="s">
        <v>892</v>
      </c>
      <c r="H124" s="26" t="s">
        <v>346</v>
      </c>
      <c r="I124" s="26" t="s">
        <v>365</v>
      </c>
      <c r="J124" s="186"/>
      <c r="K124" s="68" t="s">
        <v>893</v>
      </c>
      <c r="L124" s="28"/>
      <c r="M124" s="29"/>
      <c r="N124" s="63"/>
      <c r="O124" s="30"/>
      <c r="P124" s="31"/>
      <c r="Q124" s="71"/>
      <c r="R124" s="62"/>
      <c r="S124" s="62"/>
      <c r="T124" s="62"/>
      <c r="U124" s="62"/>
      <c r="V124" s="62"/>
      <c r="W124" s="28"/>
    </row>
    <row r="125" spans="1:23" ht="43.5">
      <c r="A125" s="228" t="s">
        <v>830</v>
      </c>
      <c r="B125" s="233">
        <v>11</v>
      </c>
      <c r="C125" s="230" t="s">
        <v>843</v>
      </c>
      <c r="D125" s="231" t="s">
        <v>889</v>
      </c>
      <c r="E125" s="234" t="s">
        <v>890</v>
      </c>
      <c r="F125" s="24" t="s">
        <v>894</v>
      </c>
      <c r="G125" s="25" t="s">
        <v>895</v>
      </c>
      <c r="H125" s="26" t="s">
        <v>346</v>
      </c>
      <c r="I125" s="26" t="s">
        <v>365</v>
      </c>
      <c r="J125" s="186"/>
      <c r="K125" s="68" t="s">
        <v>893</v>
      </c>
      <c r="L125" s="39"/>
      <c r="M125" s="29"/>
      <c r="N125" s="63"/>
      <c r="O125" s="30"/>
      <c r="P125" s="31"/>
      <c r="Q125" s="71"/>
      <c r="R125" s="62"/>
      <c r="S125" s="62"/>
      <c r="T125" s="62"/>
      <c r="U125" s="62"/>
      <c r="V125" s="62"/>
      <c r="W125" s="28"/>
    </row>
    <row r="126" spans="1:23" ht="43.5">
      <c r="A126" s="228" t="s">
        <v>830</v>
      </c>
      <c r="B126" s="233">
        <v>11</v>
      </c>
      <c r="C126" s="230" t="s">
        <v>843</v>
      </c>
      <c r="D126" s="231" t="s">
        <v>896</v>
      </c>
      <c r="E126" s="234" t="s">
        <v>897</v>
      </c>
      <c r="F126" s="24" t="s">
        <v>260</v>
      </c>
      <c r="G126" s="25" t="s">
        <v>898</v>
      </c>
      <c r="H126" s="26" t="s">
        <v>346</v>
      </c>
      <c r="I126" s="26" t="s">
        <v>365</v>
      </c>
      <c r="J126" s="186" t="str">
        <f t="shared" si="1"/>
        <v>Realitzar l'inventari de senyalètica de l'ENP</v>
      </c>
      <c r="K126" s="63" t="s">
        <v>899</v>
      </c>
      <c r="L126" s="32" t="s">
        <v>350</v>
      </c>
      <c r="M126" s="29" t="s">
        <v>366</v>
      </c>
      <c r="N126" s="63" t="s">
        <v>900</v>
      </c>
      <c r="O126" s="30"/>
      <c r="P126" s="31"/>
      <c r="Q126" s="71" t="s">
        <v>901</v>
      </c>
      <c r="R126" s="61" t="s">
        <v>902</v>
      </c>
      <c r="S126" s="61" t="s">
        <v>902</v>
      </c>
      <c r="T126" s="62"/>
      <c r="U126" s="62"/>
      <c r="V126" s="62"/>
      <c r="W126" s="28" t="s">
        <v>357</v>
      </c>
    </row>
    <row r="127" spans="1:23" ht="101.5">
      <c r="A127" s="228" t="s">
        <v>830</v>
      </c>
      <c r="B127" s="233">
        <v>11</v>
      </c>
      <c r="C127" s="230" t="s">
        <v>843</v>
      </c>
      <c r="D127" s="231" t="s">
        <v>896</v>
      </c>
      <c r="E127" s="234" t="s">
        <v>897</v>
      </c>
      <c r="F127" s="24" t="s">
        <v>261</v>
      </c>
      <c r="G127" s="25" t="s">
        <v>903</v>
      </c>
      <c r="H127" s="26" t="s">
        <v>346</v>
      </c>
      <c r="I127" s="26" t="s">
        <v>365</v>
      </c>
      <c r="J127" s="186" t="str">
        <f t="shared" si="1"/>
        <v xml:space="preserve">Implantar el programa de senyalització i manteniment </v>
      </c>
      <c r="K127" s="63" t="s">
        <v>904</v>
      </c>
      <c r="L127" s="28" t="s">
        <v>350</v>
      </c>
      <c r="M127" s="29" t="s">
        <v>366</v>
      </c>
      <c r="N127" s="239" t="s">
        <v>905</v>
      </c>
      <c r="O127" s="34" t="s">
        <v>384</v>
      </c>
      <c r="P127" s="25" t="s">
        <v>906</v>
      </c>
      <c r="Q127" s="71" t="s">
        <v>907</v>
      </c>
      <c r="R127" s="62" t="s">
        <v>908</v>
      </c>
      <c r="S127" s="62" t="s">
        <v>909</v>
      </c>
      <c r="T127" s="62"/>
      <c r="U127" s="62"/>
      <c r="V127" s="62"/>
      <c r="W127" s="28" t="s">
        <v>357</v>
      </c>
    </row>
    <row r="128" spans="1:23" ht="43.5">
      <c r="A128" s="228" t="s">
        <v>830</v>
      </c>
      <c r="B128" s="233">
        <v>11</v>
      </c>
      <c r="C128" s="230" t="s">
        <v>843</v>
      </c>
      <c r="D128" s="231" t="s">
        <v>910</v>
      </c>
      <c r="E128" s="234" t="s">
        <v>911</v>
      </c>
      <c r="F128" s="24" t="s">
        <v>912</v>
      </c>
      <c r="G128" s="25" t="s">
        <v>913</v>
      </c>
      <c r="H128" s="26" t="s">
        <v>346</v>
      </c>
      <c r="I128" s="26" t="s">
        <v>472</v>
      </c>
      <c r="J128" s="186"/>
      <c r="K128" s="68" t="s">
        <v>914</v>
      </c>
      <c r="L128" s="28"/>
      <c r="M128" s="29"/>
      <c r="N128" s="63"/>
      <c r="O128" s="30"/>
      <c r="P128" s="31"/>
      <c r="Q128" s="71"/>
      <c r="R128" s="62"/>
      <c r="S128" s="62"/>
      <c r="T128" s="62"/>
      <c r="U128" s="62"/>
      <c r="V128" s="62"/>
      <c r="W128" s="28"/>
    </row>
    <row r="129" spans="1:23" ht="43.5">
      <c r="A129" s="228" t="s">
        <v>830</v>
      </c>
      <c r="B129" s="233">
        <v>11</v>
      </c>
      <c r="C129" s="230" t="s">
        <v>843</v>
      </c>
      <c r="D129" s="231" t="s">
        <v>910</v>
      </c>
      <c r="E129" s="234" t="s">
        <v>911</v>
      </c>
      <c r="F129" s="24" t="s">
        <v>915</v>
      </c>
      <c r="G129" s="36" t="s">
        <v>916</v>
      </c>
      <c r="H129" s="26" t="s">
        <v>346</v>
      </c>
      <c r="I129" s="26" t="s">
        <v>472</v>
      </c>
      <c r="J129" s="186"/>
      <c r="K129" s="68" t="s">
        <v>904</v>
      </c>
      <c r="L129" s="28"/>
      <c r="M129" s="29"/>
      <c r="N129" s="63"/>
      <c r="O129" s="30"/>
      <c r="P129" s="31"/>
      <c r="Q129" s="71"/>
      <c r="R129" s="62"/>
      <c r="S129" s="62"/>
      <c r="T129" s="62"/>
      <c r="U129" s="62"/>
      <c r="V129" s="62"/>
      <c r="W129" s="28"/>
    </row>
    <row r="130" spans="1:23" ht="43.5">
      <c r="A130" s="228" t="s">
        <v>830</v>
      </c>
      <c r="B130" s="233">
        <v>11</v>
      </c>
      <c r="C130" s="230" t="s">
        <v>843</v>
      </c>
      <c r="D130" s="231" t="s">
        <v>917</v>
      </c>
      <c r="E130" s="234" t="s">
        <v>918</v>
      </c>
      <c r="F130" s="24" t="s">
        <v>275</v>
      </c>
      <c r="G130" s="25" t="s">
        <v>919</v>
      </c>
      <c r="H130" s="26" t="s">
        <v>346</v>
      </c>
      <c r="I130" s="26" t="s">
        <v>365</v>
      </c>
      <c r="J130" s="186"/>
      <c r="K130" s="68" t="s">
        <v>914</v>
      </c>
      <c r="L130" s="28"/>
      <c r="M130" s="29"/>
      <c r="N130" s="63"/>
      <c r="O130" s="30"/>
      <c r="P130" s="31"/>
      <c r="Q130" s="71"/>
      <c r="R130" s="62"/>
      <c r="S130" s="62"/>
      <c r="T130" s="62"/>
      <c r="U130" s="62"/>
      <c r="V130" s="62"/>
      <c r="W130" s="28"/>
    </row>
    <row r="131" spans="1:23" ht="101.5">
      <c r="A131" s="228" t="s">
        <v>830</v>
      </c>
      <c r="B131" s="233">
        <v>11</v>
      </c>
      <c r="C131" s="230" t="s">
        <v>843</v>
      </c>
      <c r="D131" s="231" t="s">
        <v>917</v>
      </c>
      <c r="E131" s="234" t="s">
        <v>918</v>
      </c>
      <c r="F131" s="24" t="s">
        <v>920</v>
      </c>
      <c r="G131" s="36" t="s">
        <v>1203</v>
      </c>
      <c r="H131" s="26" t="s">
        <v>346</v>
      </c>
      <c r="I131" s="26" t="s">
        <v>365</v>
      </c>
      <c r="J131" s="186" t="str">
        <f t="shared" si="1"/>
        <v>Disposar i mantenir els serveis, equipaments i infraestructures necessàries i accessibles per acollir, informar, facilitar la visita i garantir la seguretat dels visitants i la protecció de l'entorn</v>
      </c>
      <c r="K131" s="35"/>
      <c r="L131" s="75" t="s">
        <v>350</v>
      </c>
      <c r="M131" s="29" t="s">
        <v>366</v>
      </c>
      <c r="N131" s="71" t="s">
        <v>1204</v>
      </c>
      <c r="O131" s="30"/>
      <c r="P131" s="31"/>
      <c r="Q131" s="71" t="s">
        <v>921</v>
      </c>
      <c r="R131" s="61" t="s">
        <v>922</v>
      </c>
      <c r="S131" s="61" t="s">
        <v>923</v>
      </c>
      <c r="T131" s="62"/>
      <c r="U131" s="62"/>
      <c r="V131" s="62"/>
      <c r="W131" s="28" t="s">
        <v>357</v>
      </c>
    </row>
    <row r="132" spans="1:23" ht="43.5">
      <c r="A132" s="228" t="s">
        <v>830</v>
      </c>
      <c r="B132" s="233">
        <v>11</v>
      </c>
      <c r="C132" s="230" t="s">
        <v>843</v>
      </c>
      <c r="D132" s="231" t="s">
        <v>917</v>
      </c>
      <c r="E132" s="234" t="s">
        <v>918</v>
      </c>
      <c r="F132" s="24" t="s">
        <v>924</v>
      </c>
      <c r="G132" s="36" t="s">
        <v>925</v>
      </c>
      <c r="H132" s="26" t="s">
        <v>346</v>
      </c>
      <c r="I132" s="26" t="s">
        <v>365</v>
      </c>
      <c r="J132" s="186" t="str">
        <f t="shared" si="1"/>
        <v>Desenvolupar el Pla d'acollida als visitants en base al model de la DG</v>
      </c>
      <c r="K132" s="35"/>
      <c r="L132" s="75" t="s">
        <v>501</v>
      </c>
      <c r="M132" s="29"/>
      <c r="N132" s="63"/>
      <c r="O132" s="30"/>
      <c r="P132" s="25" t="s">
        <v>926</v>
      </c>
      <c r="Q132" s="71"/>
      <c r="R132" s="62"/>
      <c r="S132" s="62"/>
      <c r="T132" s="62"/>
      <c r="U132" s="62"/>
      <c r="V132" s="62"/>
      <c r="W132" s="28"/>
    </row>
    <row r="133" spans="1:23" ht="43.5">
      <c r="A133" s="228" t="s">
        <v>830</v>
      </c>
      <c r="B133" s="233">
        <v>11</v>
      </c>
      <c r="C133" s="230" t="s">
        <v>843</v>
      </c>
      <c r="D133" s="231" t="s">
        <v>917</v>
      </c>
      <c r="E133" s="234" t="s">
        <v>918</v>
      </c>
      <c r="F133" s="24" t="s">
        <v>927</v>
      </c>
      <c r="G133" s="36" t="s">
        <v>928</v>
      </c>
      <c r="H133" s="26" t="s">
        <v>346</v>
      </c>
      <c r="I133" s="26" t="s">
        <v>365</v>
      </c>
      <c r="J133" s="186" t="str">
        <f t="shared" si="1"/>
        <v>Adaptar els missatges a donar des d'oficines d’informació, pròpies i alienes, d'acord amb el model de la DG</v>
      </c>
      <c r="K133" s="35"/>
      <c r="L133" s="28" t="s">
        <v>501</v>
      </c>
      <c r="M133" s="29"/>
      <c r="N133" s="63"/>
      <c r="O133" s="30" t="s">
        <v>352</v>
      </c>
      <c r="P133" s="25" t="s">
        <v>929</v>
      </c>
      <c r="Q133" s="71"/>
      <c r="R133" s="62"/>
      <c r="S133" s="62"/>
      <c r="T133" s="62"/>
      <c r="U133" s="62"/>
      <c r="V133" s="62"/>
      <c r="W133" s="28"/>
    </row>
    <row r="134" spans="1:23" ht="43.5">
      <c r="A134" s="228" t="s">
        <v>830</v>
      </c>
      <c r="B134" s="233">
        <v>11</v>
      </c>
      <c r="C134" s="230" t="s">
        <v>843</v>
      </c>
      <c r="D134" s="231" t="s">
        <v>930</v>
      </c>
      <c r="E134" s="234" t="s">
        <v>931</v>
      </c>
      <c r="F134" s="24" t="s">
        <v>278</v>
      </c>
      <c r="G134" s="25" t="s">
        <v>932</v>
      </c>
      <c r="H134" s="26" t="s">
        <v>346</v>
      </c>
      <c r="I134" s="26" t="s">
        <v>472</v>
      </c>
      <c r="J134" s="186" t="str">
        <f t="shared" si="1"/>
        <v>Elaborar i executar el Pla de vigilància de l’espai d'acord amb els cossos d’inspecció i seguretat</v>
      </c>
      <c r="K134" s="35"/>
      <c r="L134" s="75" t="s">
        <v>501</v>
      </c>
      <c r="M134" s="29"/>
      <c r="N134" s="63"/>
      <c r="O134" s="30"/>
      <c r="P134" s="31"/>
      <c r="Q134" s="71"/>
      <c r="R134" s="62"/>
      <c r="S134" s="62"/>
      <c r="T134" s="62"/>
      <c r="U134" s="62"/>
      <c r="V134" s="62"/>
      <c r="W134" s="28" t="s">
        <v>24</v>
      </c>
    </row>
    <row r="135" spans="1:23" ht="43.5">
      <c r="A135" s="228" t="s">
        <v>830</v>
      </c>
      <c r="B135" s="233">
        <v>11</v>
      </c>
      <c r="C135" s="230" t="s">
        <v>843</v>
      </c>
      <c r="D135" s="231" t="s">
        <v>930</v>
      </c>
      <c r="E135" s="234" t="s">
        <v>931</v>
      </c>
      <c r="F135" s="24" t="s">
        <v>271</v>
      </c>
      <c r="G135" s="25" t="s">
        <v>933</v>
      </c>
      <c r="H135" s="26" t="s">
        <v>346</v>
      </c>
      <c r="I135" s="26" t="s">
        <v>365</v>
      </c>
      <c r="J135" s="186" t="str">
        <f t="shared" si="1"/>
        <v>Millorar la coordinació amb els cossos de seguretat per efectuar accions de control i vigilància</v>
      </c>
      <c r="K135" s="35"/>
      <c r="L135" s="28" t="s">
        <v>350</v>
      </c>
      <c r="M135" s="29" t="s">
        <v>351</v>
      </c>
      <c r="N135" s="64" t="s">
        <v>934</v>
      </c>
      <c r="O135" s="30"/>
      <c r="P135" s="31"/>
      <c r="Q135" s="71" t="s">
        <v>935</v>
      </c>
      <c r="R135" s="62" t="s">
        <v>936</v>
      </c>
      <c r="S135" s="62" t="s">
        <v>937</v>
      </c>
      <c r="T135" s="62"/>
      <c r="U135" s="62"/>
      <c r="V135" s="62"/>
      <c r="W135" s="28" t="s">
        <v>370</v>
      </c>
    </row>
    <row r="136" spans="1:23" ht="43.5">
      <c r="A136" s="228" t="s">
        <v>830</v>
      </c>
      <c r="B136" s="233">
        <v>11</v>
      </c>
      <c r="C136" s="230" t="s">
        <v>843</v>
      </c>
      <c r="D136" s="231" t="s">
        <v>930</v>
      </c>
      <c r="E136" s="234" t="s">
        <v>931</v>
      </c>
      <c r="F136" s="24" t="s">
        <v>938</v>
      </c>
      <c r="G136" s="25" t="s">
        <v>939</v>
      </c>
      <c r="H136" s="26" t="s">
        <v>346</v>
      </c>
      <c r="I136" s="26" t="s">
        <v>365</v>
      </c>
      <c r="J136" s="186" t="str">
        <f t="shared" si="1"/>
        <v>Vetllar pel compliment d'informes i la vigilància tècnica de l'espai</v>
      </c>
      <c r="K136" s="35"/>
      <c r="L136" s="28" t="s">
        <v>501</v>
      </c>
      <c r="M136" s="29"/>
      <c r="N136" s="63"/>
      <c r="O136" s="30"/>
      <c r="P136" s="31"/>
      <c r="Q136" s="71"/>
      <c r="R136" s="62"/>
      <c r="S136" s="62"/>
      <c r="T136" s="62"/>
      <c r="U136" s="62"/>
      <c r="V136" s="62"/>
      <c r="W136" s="28"/>
    </row>
    <row r="137" spans="1:23" ht="29">
      <c r="A137" s="228" t="s">
        <v>830</v>
      </c>
      <c r="B137" s="240">
        <v>12</v>
      </c>
      <c r="C137" s="240" t="s">
        <v>940</v>
      </c>
      <c r="D137" s="231" t="s">
        <v>941</v>
      </c>
      <c r="E137" s="234" t="s">
        <v>942</v>
      </c>
      <c r="F137" s="24" t="s">
        <v>943</v>
      </c>
      <c r="G137" s="25" t="s">
        <v>944</v>
      </c>
      <c r="H137" s="26" t="s">
        <v>346</v>
      </c>
      <c r="I137" s="26" t="s">
        <v>365</v>
      </c>
      <c r="J137" s="186" t="str">
        <f t="shared" si="1"/>
        <v>Ordenar el pla d’emergències</v>
      </c>
      <c r="K137" s="35"/>
      <c r="L137" s="28" t="s">
        <v>501</v>
      </c>
      <c r="M137" s="29"/>
      <c r="N137" s="63"/>
      <c r="O137" s="30"/>
      <c r="P137" s="31"/>
      <c r="Q137" s="71"/>
      <c r="R137" s="62"/>
      <c r="S137" s="62"/>
      <c r="T137" s="62"/>
      <c r="U137" s="62"/>
      <c r="V137" s="62"/>
      <c r="W137" s="28"/>
    </row>
    <row r="138" spans="1:23" ht="29">
      <c r="A138" s="228" t="s">
        <v>830</v>
      </c>
      <c r="B138" s="240">
        <v>12</v>
      </c>
      <c r="C138" s="240" t="s">
        <v>940</v>
      </c>
      <c r="D138" s="231" t="s">
        <v>941</v>
      </c>
      <c r="E138" s="234" t="s">
        <v>942</v>
      </c>
      <c r="F138" s="24" t="s">
        <v>945</v>
      </c>
      <c r="G138" s="25" t="s">
        <v>946</v>
      </c>
      <c r="H138" s="26" t="s">
        <v>346</v>
      </c>
      <c r="I138" s="26" t="s">
        <v>365</v>
      </c>
      <c r="J138" s="186" t="str">
        <f t="shared" ref="J138:J192" si="3">G138</f>
        <v>Contribuir a la protecció dels assentaments humans respecte dels riscos naturals</v>
      </c>
      <c r="K138" s="35"/>
      <c r="L138" s="28" t="s">
        <v>501</v>
      </c>
      <c r="M138" s="29"/>
      <c r="N138" s="63"/>
      <c r="O138" s="30"/>
      <c r="P138" s="31"/>
      <c r="Q138" s="71"/>
      <c r="R138" s="62"/>
      <c r="S138" s="62"/>
      <c r="T138" s="62"/>
      <c r="U138" s="62"/>
      <c r="V138" s="62"/>
      <c r="W138" s="28"/>
    </row>
    <row r="139" spans="1:23" ht="29" customHeight="1">
      <c r="A139" s="241" t="s">
        <v>947</v>
      </c>
      <c r="B139" s="242">
        <v>13</v>
      </c>
      <c r="C139" s="243" t="s">
        <v>948</v>
      </c>
      <c r="D139" s="244" t="s">
        <v>949</v>
      </c>
      <c r="E139" s="245" t="s">
        <v>950</v>
      </c>
      <c r="F139" s="40" t="s">
        <v>951</v>
      </c>
      <c r="G139" s="25" t="s">
        <v>952</v>
      </c>
      <c r="H139" s="26" t="s">
        <v>346</v>
      </c>
      <c r="I139" s="26" t="s">
        <v>365</v>
      </c>
      <c r="J139" s="186" t="s">
        <v>952</v>
      </c>
      <c r="K139" s="35"/>
      <c r="L139" s="28"/>
      <c r="M139" s="29"/>
      <c r="N139" s="63"/>
      <c r="O139" s="40" t="s">
        <v>953</v>
      </c>
      <c r="P139" s="31"/>
      <c r="Q139" s="71"/>
      <c r="R139" s="62"/>
      <c r="S139" s="62"/>
      <c r="T139" s="62"/>
      <c r="U139" s="62"/>
      <c r="V139" s="62"/>
      <c r="W139" s="28"/>
    </row>
    <row r="140" spans="1:23" ht="43.5">
      <c r="A140" s="241" t="s">
        <v>947</v>
      </c>
      <c r="B140" s="242">
        <v>13</v>
      </c>
      <c r="C140" s="243" t="s">
        <v>948</v>
      </c>
      <c r="D140" s="244" t="s">
        <v>949</v>
      </c>
      <c r="E140" s="245" t="s">
        <v>950</v>
      </c>
      <c r="F140" s="40" t="s">
        <v>954</v>
      </c>
      <c r="G140" s="36" t="s">
        <v>955</v>
      </c>
      <c r="H140" s="26" t="s">
        <v>346</v>
      </c>
      <c r="I140" s="26" t="s">
        <v>365</v>
      </c>
      <c r="J140" s="186"/>
      <c r="K140" s="35" t="s">
        <v>398</v>
      </c>
      <c r="L140" s="41"/>
      <c r="M140" s="29"/>
      <c r="N140" s="63"/>
      <c r="O140" s="40" t="s">
        <v>953</v>
      </c>
      <c r="P140" s="25" t="s">
        <v>956</v>
      </c>
      <c r="Q140" s="71"/>
      <c r="R140" s="62"/>
      <c r="S140" s="62"/>
      <c r="T140" s="62"/>
      <c r="U140" s="62"/>
      <c r="V140" s="62"/>
      <c r="W140" s="28"/>
    </row>
    <row r="141" spans="1:23" ht="43.5">
      <c r="A141" s="241" t="s">
        <v>947</v>
      </c>
      <c r="B141" s="242">
        <v>13</v>
      </c>
      <c r="C141" s="243" t="s">
        <v>948</v>
      </c>
      <c r="D141" s="244" t="s">
        <v>949</v>
      </c>
      <c r="E141" s="245" t="s">
        <v>950</v>
      </c>
      <c r="F141" s="40" t="s">
        <v>957</v>
      </c>
      <c r="G141" s="25" t="s">
        <v>958</v>
      </c>
      <c r="H141" s="26" t="s">
        <v>346</v>
      </c>
      <c r="I141" s="26" t="s">
        <v>365</v>
      </c>
      <c r="J141" s="186"/>
      <c r="K141" s="35" t="s">
        <v>398</v>
      </c>
      <c r="L141" s="41"/>
      <c r="M141" s="29"/>
      <c r="N141" s="63"/>
      <c r="O141" s="40" t="s">
        <v>953</v>
      </c>
      <c r="P141" s="25"/>
      <c r="Q141" s="71"/>
      <c r="R141" s="62"/>
      <c r="S141" s="62"/>
      <c r="T141" s="62"/>
      <c r="U141" s="62"/>
      <c r="V141" s="62"/>
      <c r="W141" s="28"/>
    </row>
    <row r="142" spans="1:23" ht="43.5">
      <c r="A142" s="241" t="s">
        <v>947</v>
      </c>
      <c r="B142" s="242">
        <v>13</v>
      </c>
      <c r="C142" s="243" t="s">
        <v>948</v>
      </c>
      <c r="D142" s="244" t="s">
        <v>959</v>
      </c>
      <c r="E142" s="245" t="s">
        <v>960</v>
      </c>
      <c r="F142" s="24" t="s">
        <v>961</v>
      </c>
      <c r="G142" s="25" t="s">
        <v>962</v>
      </c>
      <c r="H142" s="26" t="s">
        <v>346</v>
      </c>
      <c r="I142" s="26" t="s">
        <v>365</v>
      </c>
      <c r="J142" s="186" t="str">
        <f t="shared" si="3"/>
        <v>Adaptar i millorar l'oferta pedagògica de l'ENP generant situacions d'aprenentatge i treballs per projecte</v>
      </c>
      <c r="K142" s="35"/>
      <c r="L142" s="28" t="s">
        <v>501</v>
      </c>
      <c r="M142" s="29"/>
      <c r="N142" s="63"/>
      <c r="O142" s="40" t="s">
        <v>953</v>
      </c>
      <c r="P142" s="25" t="s">
        <v>963</v>
      </c>
      <c r="Q142" s="71"/>
      <c r="R142" s="62"/>
      <c r="S142" s="62"/>
      <c r="T142" s="62"/>
      <c r="U142" s="62"/>
      <c r="V142" s="62"/>
      <c r="W142" s="28"/>
    </row>
    <row r="143" spans="1:23" ht="43.5">
      <c r="A143" s="241" t="s">
        <v>947</v>
      </c>
      <c r="B143" s="242">
        <v>13</v>
      </c>
      <c r="C143" s="243" t="s">
        <v>948</v>
      </c>
      <c r="D143" s="244" t="s">
        <v>959</v>
      </c>
      <c r="E143" s="245" t="s">
        <v>960</v>
      </c>
      <c r="F143" s="24" t="s">
        <v>964</v>
      </c>
      <c r="G143" s="25" t="s">
        <v>965</v>
      </c>
      <c r="H143" s="26" t="s">
        <v>346</v>
      </c>
      <c r="I143" s="26" t="s">
        <v>472</v>
      </c>
      <c r="J143" s="186"/>
      <c r="K143" s="68" t="s">
        <v>966</v>
      </c>
      <c r="L143" s="28"/>
      <c r="M143" s="29"/>
      <c r="N143" s="63"/>
      <c r="O143" s="40" t="s">
        <v>953</v>
      </c>
      <c r="P143" s="31"/>
      <c r="Q143" s="71"/>
      <c r="R143" s="62"/>
      <c r="S143" s="62"/>
      <c r="T143" s="62"/>
      <c r="U143" s="62"/>
      <c r="V143" s="62"/>
      <c r="W143" s="28"/>
    </row>
    <row r="144" spans="1:23" ht="43.5">
      <c r="A144" s="241" t="s">
        <v>947</v>
      </c>
      <c r="B144" s="242">
        <v>13</v>
      </c>
      <c r="C144" s="243" t="s">
        <v>948</v>
      </c>
      <c r="D144" s="244" t="s">
        <v>959</v>
      </c>
      <c r="E144" s="245" t="s">
        <v>960</v>
      </c>
      <c r="F144" s="24" t="s">
        <v>95</v>
      </c>
      <c r="G144" s="25" t="s">
        <v>967</v>
      </c>
      <c r="H144" s="26" t="s">
        <v>346</v>
      </c>
      <c r="I144" s="26" t="s">
        <v>472</v>
      </c>
      <c r="J144" s="186" t="str">
        <f>G144</f>
        <v>Elaborar recursos educatius sobre l’espai (que tinguin en compte les problemàtiques singulars del seu espai) i posar-los a disposició dels centres educatius</v>
      </c>
      <c r="K144" s="35"/>
      <c r="L144" s="28" t="s">
        <v>350</v>
      </c>
      <c r="M144" s="29" t="s">
        <v>463</v>
      </c>
      <c r="N144" s="246" t="s">
        <v>968</v>
      </c>
      <c r="O144" s="40" t="s">
        <v>953</v>
      </c>
      <c r="P144" s="31"/>
      <c r="Q144" s="71" t="s">
        <v>969</v>
      </c>
      <c r="R144" s="62">
        <v>0</v>
      </c>
      <c r="S144" s="62" t="s">
        <v>970</v>
      </c>
      <c r="T144" s="62"/>
      <c r="U144" s="62"/>
      <c r="V144" s="62"/>
      <c r="W144" s="28" t="s">
        <v>469</v>
      </c>
    </row>
    <row r="145" spans="1:23" ht="43.5">
      <c r="A145" s="241" t="s">
        <v>947</v>
      </c>
      <c r="B145" s="242">
        <v>13</v>
      </c>
      <c r="C145" s="243" t="s">
        <v>948</v>
      </c>
      <c r="D145" s="244" t="s">
        <v>959</v>
      </c>
      <c r="E145" s="245" t="s">
        <v>960</v>
      </c>
      <c r="F145" s="24" t="s">
        <v>283</v>
      </c>
      <c r="G145" s="25" t="s">
        <v>971</v>
      </c>
      <c r="H145" s="26" t="s">
        <v>346</v>
      </c>
      <c r="I145" s="26" t="s">
        <v>472</v>
      </c>
      <c r="J145" s="186" t="str">
        <f t="shared" si="3"/>
        <v>Oferir projectes de recerca vinculats a l'espai natural per a l'alumnat universitari i de la XEEN</v>
      </c>
      <c r="K145" s="35"/>
      <c r="L145" s="28" t="s">
        <v>350</v>
      </c>
      <c r="M145" s="29" t="s">
        <v>366</v>
      </c>
      <c r="N145" s="63" t="s">
        <v>972</v>
      </c>
      <c r="O145" s="40" t="s">
        <v>953</v>
      </c>
      <c r="P145" s="31"/>
      <c r="Q145" s="71" t="s">
        <v>973</v>
      </c>
      <c r="R145" s="62">
        <v>1</v>
      </c>
      <c r="S145" s="62">
        <v>2</v>
      </c>
      <c r="T145" s="62"/>
      <c r="U145" s="62"/>
      <c r="V145" s="62"/>
      <c r="W145" s="28" t="s">
        <v>370</v>
      </c>
    </row>
    <row r="146" spans="1:23" ht="43.5">
      <c r="A146" s="241" t="s">
        <v>947</v>
      </c>
      <c r="B146" s="242">
        <v>13</v>
      </c>
      <c r="C146" s="243" t="s">
        <v>948</v>
      </c>
      <c r="D146" s="244" t="s">
        <v>959</v>
      </c>
      <c r="E146" s="245" t="s">
        <v>960</v>
      </c>
      <c r="F146" s="24" t="s">
        <v>1205</v>
      </c>
      <c r="G146" s="25" t="s">
        <v>1206</v>
      </c>
      <c r="H146" s="26" t="s">
        <v>346</v>
      </c>
      <c r="I146" s="26" t="s">
        <v>472</v>
      </c>
      <c r="J146" s="186" t="s">
        <v>1207</v>
      </c>
      <c r="K146" s="35"/>
      <c r="L146" s="28" t="s">
        <v>501</v>
      </c>
      <c r="M146" s="29"/>
      <c r="N146" s="63" t="s">
        <v>1208</v>
      </c>
      <c r="O146" s="40" t="s">
        <v>953</v>
      </c>
      <c r="P146" s="31"/>
      <c r="Q146" s="71"/>
      <c r="R146" s="62"/>
      <c r="S146" s="62"/>
      <c r="T146" s="62"/>
      <c r="U146" s="62"/>
      <c r="V146" s="62"/>
      <c r="W146" s="28"/>
    </row>
    <row r="147" spans="1:23" ht="43.5">
      <c r="A147" s="241" t="s">
        <v>947</v>
      </c>
      <c r="B147" s="242">
        <v>13</v>
      </c>
      <c r="C147" s="243" t="s">
        <v>948</v>
      </c>
      <c r="D147" s="244" t="s">
        <v>974</v>
      </c>
      <c r="E147" s="245" t="s">
        <v>975</v>
      </c>
      <c r="F147" s="24" t="s">
        <v>976</v>
      </c>
      <c r="G147" s="25" t="s">
        <v>977</v>
      </c>
      <c r="H147" s="26" t="s">
        <v>346</v>
      </c>
      <c r="I147" s="26" t="s">
        <v>365</v>
      </c>
      <c r="J147" s="186"/>
      <c r="K147" s="68" t="s">
        <v>978</v>
      </c>
      <c r="L147" s="28"/>
      <c r="M147" s="29"/>
      <c r="N147" s="63"/>
      <c r="O147" s="40" t="s">
        <v>953</v>
      </c>
      <c r="P147" s="31"/>
      <c r="Q147" s="71"/>
      <c r="R147" s="62"/>
      <c r="S147" s="62"/>
      <c r="T147" s="62"/>
      <c r="U147" s="62"/>
      <c r="V147" s="62"/>
      <c r="W147" s="28"/>
    </row>
    <row r="148" spans="1:23" ht="43.5">
      <c r="A148" s="241" t="s">
        <v>947</v>
      </c>
      <c r="B148" s="242">
        <v>13</v>
      </c>
      <c r="C148" s="243" t="s">
        <v>948</v>
      </c>
      <c r="D148" s="244" t="s">
        <v>974</v>
      </c>
      <c r="E148" s="245" t="s">
        <v>975</v>
      </c>
      <c r="F148" s="24" t="s">
        <v>979</v>
      </c>
      <c r="G148" s="25" t="s">
        <v>980</v>
      </c>
      <c r="H148" s="26" t="s">
        <v>346</v>
      </c>
      <c r="I148" s="26" t="s">
        <v>365</v>
      </c>
      <c r="J148" s="186"/>
      <c r="K148" s="68" t="s">
        <v>978</v>
      </c>
      <c r="L148" s="28"/>
      <c r="M148" s="29"/>
      <c r="N148" s="63"/>
      <c r="O148" s="40" t="s">
        <v>953</v>
      </c>
      <c r="P148" s="31"/>
      <c r="Q148" s="71"/>
      <c r="R148" s="62"/>
      <c r="S148" s="62"/>
      <c r="T148" s="62"/>
      <c r="U148" s="62"/>
      <c r="V148" s="62"/>
      <c r="W148" s="28"/>
    </row>
    <row r="149" spans="1:23" ht="43.5">
      <c r="A149" s="241" t="s">
        <v>947</v>
      </c>
      <c r="B149" s="242">
        <v>13</v>
      </c>
      <c r="C149" s="243" t="s">
        <v>948</v>
      </c>
      <c r="D149" s="244" t="s">
        <v>974</v>
      </c>
      <c r="E149" s="245" t="s">
        <v>975</v>
      </c>
      <c r="F149" s="24" t="s">
        <v>981</v>
      </c>
      <c r="G149" s="25" t="s">
        <v>982</v>
      </c>
      <c r="H149" s="26" t="s">
        <v>346</v>
      </c>
      <c r="I149" s="26" t="s">
        <v>365</v>
      </c>
      <c r="J149" s="186" t="str">
        <f t="shared" si="3"/>
        <v>Elaborar formacions dirigides als informadors, educadors i altres prescriptors del territori</v>
      </c>
      <c r="K149" s="35"/>
      <c r="L149" s="28" t="s">
        <v>501</v>
      </c>
      <c r="M149" s="29"/>
      <c r="N149" s="63"/>
      <c r="O149" s="40" t="s">
        <v>953</v>
      </c>
      <c r="P149" s="25" t="s">
        <v>983</v>
      </c>
      <c r="Q149" s="71"/>
      <c r="R149" s="62"/>
      <c r="S149" s="62"/>
      <c r="T149" s="62"/>
      <c r="U149" s="62"/>
      <c r="V149" s="62"/>
      <c r="W149" s="28"/>
    </row>
    <row r="150" spans="1:23" ht="43.5">
      <c r="A150" s="241" t="s">
        <v>947</v>
      </c>
      <c r="B150" s="242">
        <v>13</v>
      </c>
      <c r="C150" s="243" t="s">
        <v>948</v>
      </c>
      <c r="D150" s="244" t="s">
        <v>984</v>
      </c>
      <c r="E150" s="247" t="s">
        <v>985</v>
      </c>
      <c r="F150" s="24" t="s">
        <v>986</v>
      </c>
      <c r="G150" s="25" t="s">
        <v>987</v>
      </c>
      <c r="H150" s="26" t="s">
        <v>346</v>
      </c>
      <c r="I150" s="26" t="s">
        <v>365</v>
      </c>
      <c r="J150" s="186" t="str">
        <f t="shared" si="3"/>
        <v>Desplegar en el territori les campanyes de sensibilització i bones pràctiques que s'impulsin des de la DG</v>
      </c>
      <c r="K150" s="35"/>
      <c r="L150" s="28" t="s">
        <v>350</v>
      </c>
      <c r="M150" s="29" t="s">
        <v>366</v>
      </c>
      <c r="N150" s="63" t="s">
        <v>988</v>
      </c>
      <c r="O150" s="40" t="s">
        <v>953</v>
      </c>
      <c r="P150" s="25" t="s">
        <v>989</v>
      </c>
      <c r="Q150" s="71" t="s">
        <v>990</v>
      </c>
      <c r="R150" s="61" t="s">
        <v>991</v>
      </c>
      <c r="S150" s="61" t="s">
        <v>992</v>
      </c>
      <c r="T150" s="62"/>
      <c r="U150" s="62"/>
      <c r="V150" s="62"/>
      <c r="W150" s="28" t="s">
        <v>469</v>
      </c>
    </row>
    <row r="151" spans="1:23" ht="43.5">
      <c r="A151" s="241" t="s">
        <v>947</v>
      </c>
      <c r="B151" s="242">
        <v>13</v>
      </c>
      <c r="C151" s="243" t="s">
        <v>948</v>
      </c>
      <c r="D151" s="244" t="s">
        <v>984</v>
      </c>
      <c r="E151" s="247" t="s">
        <v>985</v>
      </c>
      <c r="F151" s="24" t="s">
        <v>993</v>
      </c>
      <c r="G151" s="25" t="s">
        <v>994</v>
      </c>
      <c r="H151" s="26" t="s">
        <v>346</v>
      </c>
      <c r="I151" s="26" t="s">
        <v>472</v>
      </c>
      <c r="J151" s="186"/>
      <c r="K151" s="68" t="s">
        <v>978</v>
      </c>
      <c r="L151" s="28"/>
      <c r="M151" s="29"/>
      <c r="N151" s="63"/>
      <c r="O151" s="40" t="s">
        <v>953</v>
      </c>
      <c r="P151" s="42"/>
      <c r="Q151" s="71"/>
      <c r="R151" s="62"/>
      <c r="S151" s="62"/>
      <c r="T151" s="62"/>
      <c r="U151" s="62"/>
      <c r="V151" s="62"/>
      <c r="W151" s="28"/>
    </row>
    <row r="152" spans="1:23" ht="43.5">
      <c r="A152" s="241" t="s">
        <v>947</v>
      </c>
      <c r="B152" s="242">
        <v>13</v>
      </c>
      <c r="C152" s="243" t="s">
        <v>948</v>
      </c>
      <c r="D152" s="244" t="s">
        <v>984</v>
      </c>
      <c r="E152" s="247" t="s">
        <v>985</v>
      </c>
      <c r="F152" s="24" t="s">
        <v>995</v>
      </c>
      <c r="G152" s="36" t="s">
        <v>996</v>
      </c>
      <c r="H152" s="26" t="s">
        <v>346</v>
      </c>
      <c r="I152" s="26" t="s">
        <v>472</v>
      </c>
      <c r="J152" s="186"/>
      <c r="K152" s="68" t="s">
        <v>978</v>
      </c>
      <c r="L152" s="28"/>
      <c r="M152" s="29"/>
      <c r="N152" s="63"/>
      <c r="O152" s="40" t="s">
        <v>953</v>
      </c>
      <c r="P152" s="42"/>
      <c r="Q152" s="71"/>
      <c r="R152" s="62"/>
      <c r="S152" s="62"/>
      <c r="T152" s="62"/>
      <c r="U152" s="62"/>
      <c r="V152" s="62"/>
      <c r="W152" s="28"/>
    </row>
    <row r="153" spans="1:23" ht="43.5">
      <c r="A153" s="241" t="s">
        <v>947</v>
      </c>
      <c r="B153" s="242">
        <v>13</v>
      </c>
      <c r="C153" s="243" t="s">
        <v>948</v>
      </c>
      <c r="D153" s="244" t="s">
        <v>984</v>
      </c>
      <c r="E153" s="247" t="s">
        <v>985</v>
      </c>
      <c r="F153" s="24" t="s">
        <v>997</v>
      </c>
      <c r="G153" s="25" t="s">
        <v>998</v>
      </c>
      <c r="H153" s="26" t="s">
        <v>346</v>
      </c>
      <c r="I153" s="26" t="s">
        <v>472</v>
      </c>
      <c r="J153" s="186"/>
      <c r="K153" s="68" t="s">
        <v>978</v>
      </c>
      <c r="L153" s="28"/>
      <c r="M153" s="29"/>
      <c r="N153" s="63"/>
      <c r="O153" s="40" t="s">
        <v>953</v>
      </c>
      <c r="P153" s="42"/>
      <c r="Q153" s="71"/>
      <c r="R153" s="62"/>
      <c r="S153" s="62"/>
      <c r="T153" s="62"/>
      <c r="U153" s="62"/>
      <c r="V153" s="62"/>
      <c r="W153" s="28"/>
    </row>
    <row r="154" spans="1:23" ht="43.5">
      <c r="A154" s="241" t="s">
        <v>947</v>
      </c>
      <c r="B154" s="242">
        <v>13</v>
      </c>
      <c r="C154" s="243" t="s">
        <v>948</v>
      </c>
      <c r="D154" s="244" t="s">
        <v>999</v>
      </c>
      <c r="E154" s="245" t="s">
        <v>1000</v>
      </c>
      <c r="F154" s="24" t="s">
        <v>1001</v>
      </c>
      <c r="G154" s="36" t="s">
        <v>1002</v>
      </c>
      <c r="H154" s="26" t="s">
        <v>346</v>
      </c>
      <c r="I154" s="26" t="s">
        <v>365</v>
      </c>
      <c r="J154" s="186"/>
      <c r="K154" s="68" t="s">
        <v>1003</v>
      </c>
      <c r="L154" s="28"/>
      <c r="M154" s="29"/>
      <c r="N154" s="63"/>
      <c r="O154" s="40" t="s">
        <v>953</v>
      </c>
      <c r="P154" s="31"/>
      <c r="Q154" s="71"/>
      <c r="R154" s="62"/>
      <c r="S154" s="62"/>
      <c r="T154" s="62"/>
      <c r="U154" s="62"/>
      <c r="V154" s="62"/>
      <c r="W154" s="28"/>
    </row>
    <row r="155" spans="1:23" ht="43.5">
      <c r="A155" s="241" t="s">
        <v>947</v>
      </c>
      <c r="B155" s="242">
        <v>13</v>
      </c>
      <c r="C155" s="243" t="s">
        <v>948</v>
      </c>
      <c r="D155" s="244" t="s">
        <v>999</v>
      </c>
      <c r="E155" s="245" t="s">
        <v>1000</v>
      </c>
      <c r="F155" s="24" t="s">
        <v>1004</v>
      </c>
      <c r="G155" s="25" t="s">
        <v>1005</v>
      </c>
      <c r="H155" s="26" t="s">
        <v>346</v>
      </c>
      <c r="I155" s="26" t="s">
        <v>472</v>
      </c>
      <c r="J155" s="186"/>
      <c r="K155" s="68" t="s">
        <v>978</v>
      </c>
      <c r="L155" s="28"/>
      <c r="M155" s="29"/>
      <c r="N155" s="63"/>
      <c r="O155" s="40" t="s">
        <v>953</v>
      </c>
      <c r="P155" s="42"/>
      <c r="Q155" s="71"/>
      <c r="R155" s="62"/>
      <c r="S155" s="62"/>
      <c r="T155" s="62"/>
      <c r="U155" s="62"/>
      <c r="V155" s="62"/>
      <c r="W155" s="28"/>
    </row>
    <row r="156" spans="1:23" ht="43.5">
      <c r="A156" s="241" t="s">
        <v>947</v>
      </c>
      <c r="B156" s="242">
        <v>13</v>
      </c>
      <c r="C156" s="243" t="s">
        <v>948</v>
      </c>
      <c r="D156" s="244" t="s">
        <v>999</v>
      </c>
      <c r="E156" s="245" t="s">
        <v>1000</v>
      </c>
      <c r="F156" s="24" t="s">
        <v>1006</v>
      </c>
      <c r="G156" s="25" t="s">
        <v>1007</v>
      </c>
      <c r="H156" s="26" t="s">
        <v>346</v>
      </c>
      <c r="I156" s="26" t="s">
        <v>472</v>
      </c>
      <c r="J156" s="186"/>
      <c r="K156" s="68" t="s">
        <v>978</v>
      </c>
      <c r="L156" s="28"/>
      <c r="M156" s="29"/>
      <c r="N156" s="63"/>
      <c r="O156" s="40" t="s">
        <v>953</v>
      </c>
      <c r="P156" s="42"/>
      <c r="Q156" s="71"/>
      <c r="R156" s="62"/>
      <c r="S156" s="62"/>
      <c r="T156" s="62"/>
      <c r="U156" s="62"/>
      <c r="V156" s="62"/>
      <c r="W156" s="28"/>
    </row>
    <row r="157" spans="1:23" ht="43.5">
      <c r="A157" s="241" t="s">
        <v>947</v>
      </c>
      <c r="B157" s="242">
        <v>13</v>
      </c>
      <c r="C157" s="243" t="s">
        <v>948</v>
      </c>
      <c r="D157" s="244" t="s">
        <v>999</v>
      </c>
      <c r="E157" s="245" t="s">
        <v>1000</v>
      </c>
      <c r="F157" s="24" t="s">
        <v>1008</v>
      </c>
      <c r="G157" s="25" t="s">
        <v>1009</v>
      </c>
      <c r="H157" s="26" t="s">
        <v>346</v>
      </c>
      <c r="I157" s="26" t="s">
        <v>472</v>
      </c>
      <c r="J157" s="186"/>
      <c r="K157" s="68" t="s">
        <v>1010</v>
      </c>
      <c r="L157" s="32"/>
      <c r="M157" s="29"/>
      <c r="N157" s="63"/>
      <c r="O157" s="40" t="s">
        <v>953</v>
      </c>
      <c r="P157" s="42"/>
      <c r="Q157" s="71"/>
      <c r="R157" s="62"/>
      <c r="S157" s="62"/>
      <c r="T157" s="62"/>
      <c r="U157" s="62"/>
      <c r="V157" s="62"/>
      <c r="W157" s="28"/>
    </row>
    <row r="158" spans="1:23" ht="58">
      <c r="A158" s="241" t="s">
        <v>947</v>
      </c>
      <c r="B158" s="242">
        <v>13</v>
      </c>
      <c r="C158" s="243" t="s">
        <v>948</v>
      </c>
      <c r="D158" s="244" t="s">
        <v>999</v>
      </c>
      <c r="E158" s="245" t="s">
        <v>1000</v>
      </c>
      <c r="F158" s="24" t="s">
        <v>280</v>
      </c>
      <c r="G158" s="36" t="s">
        <v>1011</v>
      </c>
      <c r="H158" s="26" t="s">
        <v>346</v>
      </c>
      <c r="I158" s="26" t="s">
        <v>365</v>
      </c>
      <c r="J158" s="186" t="str">
        <f t="shared" si="3"/>
        <v>Elaborar i renovar periòdicament un programa d’educació ambiental adreçat a la població local que contribueixi a fomentar el sentiment de pertinença i la implicació en la conservació de l'ENP.</v>
      </c>
      <c r="K158" s="35"/>
      <c r="L158" s="28" t="s">
        <v>350</v>
      </c>
      <c r="M158" s="29" t="s">
        <v>366</v>
      </c>
      <c r="N158" s="63" t="s">
        <v>1012</v>
      </c>
      <c r="O158" s="40" t="s">
        <v>953</v>
      </c>
      <c r="P158" s="31"/>
      <c r="Q158" s="71" t="s">
        <v>1013</v>
      </c>
      <c r="R158" s="62">
        <v>1</v>
      </c>
      <c r="S158" s="62" t="s">
        <v>1014</v>
      </c>
      <c r="T158" s="62"/>
      <c r="U158" s="62"/>
      <c r="V158" s="62"/>
      <c r="W158" s="28" t="s">
        <v>469</v>
      </c>
    </row>
    <row r="159" spans="1:23" ht="43.5">
      <c r="A159" s="241" t="s">
        <v>947</v>
      </c>
      <c r="B159" s="242">
        <v>13</v>
      </c>
      <c r="C159" s="243" t="s">
        <v>948</v>
      </c>
      <c r="D159" s="244" t="s">
        <v>1015</v>
      </c>
      <c r="E159" s="248" t="s">
        <v>1016</v>
      </c>
      <c r="F159" s="24" t="s">
        <v>1017</v>
      </c>
      <c r="G159" s="25" t="s">
        <v>1018</v>
      </c>
      <c r="H159" s="26" t="s">
        <v>346</v>
      </c>
      <c r="I159" s="26" t="s">
        <v>365</v>
      </c>
      <c r="J159" s="186"/>
      <c r="K159" s="68" t="s">
        <v>978</v>
      </c>
      <c r="L159" s="28"/>
      <c r="M159" s="29"/>
      <c r="N159" s="63"/>
      <c r="O159" s="40" t="s">
        <v>953</v>
      </c>
      <c r="P159" s="31"/>
      <c r="Q159" s="71"/>
      <c r="R159" s="62"/>
      <c r="S159" s="62"/>
      <c r="T159" s="62"/>
      <c r="U159" s="62"/>
      <c r="V159" s="62"/>
      <c r="W159" s="28"/>
    </row>
    <row r="160" spans="1:23" ht="43.5">
      <c r="A160" s="241" t="s">
        <v>947</v>
      </c>
      <c r="B160" s="242">
        <v>13</v>
      </c>
      <c r="C160" s="243" t="s">
        <v>948</v>
      </c>
      <c r="D160" s="244" t="s">
        <v>1015</v>
      </c>
      <c r="E160" s="248" t="s">
        <v>1016</v>
      </c>
      <c r="F160" s="24" t="s">
        <v>1019</v>
      </c>
      <c r="G160" s="25" t="s">
        <v>1020</v>
      </c>
      <c r="H160" s="26" t="s">
        <v>346</v>
      </c>
      <c r="I160" s="26" t="s">
        <v>365</v>
      </c>
      <c r="J160" s="186" t="str">
        <f t="shared" si="3"/>
        <v>Establir un model de coordinació territorial amb agents clau del voluntariat ambiental</v>
      </c>
      <c r="K160" s="65"/>
      <c r="L160" s="28" t="s">
        <v>501</v>
      </c>
      <c r="M160" s="29"/>
      <c r="N160" s="63"/>
      <c r="O160" s="34" t="s">
        <v>1021</v>
      </c>
      <c r="P160" s="31" t="s">
        <v>1022</v>
      </c>
      <c r="Q160" s="71"/>
      <c r="R160" s="62"/>
      <c r="S160" s="62"/>
      <c r="T160" s="62"/>
      <c r="U160" s="62"/>
      <c r="V160" s="62"/>
      <c r="W160" s="28"/>
    </row>
    <row r="161" spans="1:23" ht="43.5">
      <c r="A161" s="241" t="s">
        <v>947</v>
      </c>
      <c r="B161" s="242">
        <v>13</v>
      </c>
      <c r="C161" s="243" t="s">
        <v>948</v>
      </c>
      <c r="D161" s="244" t="s">
        <v>1015</v>
      </c>
      <c r="E161" s="248" t="s">
        <v>1016</v>
      </c>
      <c r="F161" s="24" t="s">
        <v>1209</v>
      </c>
      <c r="G161" s="25" t="s">
        <v>1210</v>
      </c>
      <c r="H161" s="26" t="s">
        <v>346</v>
      </c>
      <c r="I161" s="26" t="s">
        <v>365</v>
      </c>
      <c r="J161" s="186" t="str">
        <f>G161</f>
        <v>Desplegar el Pla estratègic 2021-2030 d’educació i voluntariat ambiental: Voluntariat</v>
      </c>
      <c r="K161" s="65"/>
      <c r="L161" s="28" t="s">
        <v>501</v>
      </c>
      <c r="M161" s="29"/>
      <c r="N161" s="63"/>
      <c r="O161" s="34" t="s">
        <v>1021</v>
      </c>
      <c r="P161" s="31" t="s">
        <v>1022</v>
      </c>
      <c r="Q161" s="71"/>
      <c r="R161" s="62"/>
      <c r="S161" s="62"/>
      <c r="T161" s="62"/>
      <c r="U161" s="62"/>
      <c r="V161" s="62"/>
      <c r="W161" s="28"/>
    </row>
    <row r="162" spans="1:23" ht="43.5">
      <c r="A162" s="241" t="s">
        <v>947</v>
      </c>
      <c r="B162" s="242">
        <v>13</v>
      </c>
      <c r="C162" s="243" t="s">
        <v>948</v>
      </c>
      <c r="D162" s="249" t="s">
        <v>1023</v>
      </c>
      <c r="E162" s="248" t="s">
        <v>1024</v>
      </c>
      <c r="F162" s="43" t="s">
        <v>1025</v>
      </c>
      <c r="G162" s="25" t="s">
        <v>1026</v>
      </c>
      <c r="H162" s="26" t="s">
        <v>346</v>
      </c>
      <c r="I162" s="26" t="s">
        <v>365</v>
      </c>
      <c r="J162" s="186" t="str">
        <f t="shared" si="3"/>
        <v>Dissenyar i adaptar activitats inclusives per a persones amb necessitats específiques</v>
      </c>
      <c r="K162" s="35"/>
      <c r="L162" s="28" t="s">
        <v>501</v>
      </c>
      <c r="M162" s="29"/>
      <c r="N162" s="63"/>
      <c r="O162" s="40" t="s">
        <v>953</v>
      </c>
      <c r="P162" s="42"/>
      <c r="Q162" s="71"/>
      <c r="R162" s="62"/>
      <c r="S162" s="62"/>
      <c r="T162" s="62"/>
      <c r="U162" s="62"/>
      <c r="V162" s="62"/>
      <c r="W162" s="28"/>
    </row>
    <row r="163" spans="1:23" ht="43.5">
      <c r="A163" s="241" t="s">
        <v>947</v>
      </c>
      <c r="B163" s="242">
        <v>13</v>
      </c>
      <c r="C163" s="243" t="s">
        <v>948</v>
      </c>
      <c r="D163" s="249" t="s">
        <v>1023</v>
      </c>
      <c r="E163" s="248" t="s">
        <v>1024</v>
      </c>
      <c r="F163" s="43" t="s">
        <v>1027</v>
      </c>
      <c r="G163" s="25" t="s">
        <v>1028</v>
      </c>
      <c r="H163" s="26" t="s">
        <v>346</v>
      </c>
      <c r="I163" s="26" t="s">
        <v>472</v>
      </c>
      <c r="J163" s="186" t="str">
        <f t="shared" si="3"/>
        <v>Formar el personal de l'ENP (informadors i personal que treballa de cara al públic) en accessibilitat, diversitat funcional i diversitat de gènere</v>
      </c>
      <c r="K163" s="35"/>
      <c r="L163" s="28" t="s">
        <v>501</v>
      </c>
      <c r="M163" s="29"/>
      <c r="N163" s="63"/>
      <c r="O163" s="40" t="s">
        <v>953</v>
      </c>
      <c r="P163" s="31"/>
      <c r="Q163" s="71"/>
      <c r="R163" s="62"/>
      <c r="S163" s="62"/>
      <c r="T163" s="62"/>
      <c r="U163" s="62"/>
      <c r="V163" s="62"/>
      <c r="W163" s="28"/>
    </row>
    <row r="164" spans="1:23" ht="43.5">
      <c r="A164" s="241" t="s">
        <v>947</v>
      </c>
      <c r="B164" s="242">
        <v>13</v>
      </c>
      <c r="C164" s="243" t="s">
        <v>948</v>
      </c>
      <c r="D164" s="249" t="s">
        <v>1023</v>
      </c>
      <c r="E164" s="248" t="s">
        <v>1024</v>
      </c>
      <c r="F164" s="43" t="s">
        <v>1029</v>
      </c>
      <c r="G164" s="25" t="s">
        <v>1030</v>
      </c>
      <c r="H164" s="26" t="s">
        <v>346</v>
      </c>
      <c r="I164" s="26" t="s">
        <v>365</v>
      </c>
      <c r="J164" s="186" t="str">
        <f t="shared" si="3"/>
        <v>Incorporar la perspectiva de gènere als continguts i activitats de l'ENP</v>
      </c>
      <c r="K164" s="35"/>
      <c r="L164" s="28" t="s">
        <v>501</v>
      </c>
      <c r="M164" s="29"/>
      <c r="N164" s="63"/>
      <c r="O164" s="40" t="s">
        <v>953</v>
      </c>
      <c r="P164" s="31"/>
      <c r="Q164" s="71"/>
      <c r="R164" s="62"/>
      <c r="S164" s="62"/>
      <c r="T164" s="62"/>
      <c r="U164" s="62"/>
      <c r="V164" s="62"/>
      <c r="W164" s="28"/>
    </row>
    <row r="165" spans="1:23" ht="43.5">
      <c r="A165" s="241" t="s">
        <v>947</v>
      </c>
      <c r="B165" s="242">
        <v>13</v>
      </c>
      <c r="C165" s="243" t="s">
        <v>948</v>
      </c>
      <c r="D165" s="249" t="s">
        <v>1031</v>
      </c>
      <c r="E165" s="250" t="s">
        <v>1032</v>
      </c>
      <c r="F165" s="43" t="s">
        <v>1033</v>
      </c>
      <c r="G165" s="25" t="s">
        <v>1034</v>
      </c>
      <c r="H165" s="26" t="s">
        <v>346</v>
      </c>
      <c r="I165" s="26" t="s">
        <v>472</v>
      </c>
      <c r="J165" s="186" t="str">
        <f t="shared" si="3"/>
        <v>Dissenyar, implementar i fomentar itineraris saludables dins dels itineraris oficials dels ENP i en la zona d'influència</v>
      </c>
      <c r="K165" s="35"/>
      <c r="L165" s="28" t="s">
        <v>501</v>
      </c>
      <c r="M165" s="29"/>
      <c r="N165" s="63"/>
      <c r="O165" s="40" t="s">
        <v>953</v>
      </c>
      <c r="P165" s="31"/>
      <c r="Q165" s="71"/>
      <c r="R165" s="62"/>
      <c r="S165" s="62"/>
      <c r="T165" s="62"/>
      <c r="U165" s="62"/>
      <c r="V165" s="62"/>
      <c r="W165" s="28"/>
    </row>
    <row r="166" spans="1:23" ht="43.5">
      <c r="A166" s="241" t="s">
        <v>947</v>
      </c>
      <c r="B166" s="242">
        <v>13</v>
      </c>
      <c r="C166" s="243" t="s">
        <v>948</v>
      </c>
      <c r="D166" s="249" t="s">
        <v>1031</v>
      </c>
      <c r="E166" s="250" t="s">
        <v>1032</v>
      </c>
      <c r="F166" s="43" t="s">
        <v>1035</v>
      </c>
      <c r="G166" s="36" t="s">
        <v>1036</v>
      </c>
      <c r="H166" s="26" t="s">
        <v>346</v>
      </c>
      <c r="I166" s="26" t="s">
        <v>472</v>
      </c>
      <c r="J166" s="186" t="str">
        <f t="shared" si="3"/>
        <v>Identificar els agents clau i els àmbits de col·laboració per implementar el binomi salut i natura</v>
      </c>
      <c r="K166" s="35"/>
      <c r="L166" s="41" t="s">
        <v>501</v>
      </c>
      <c r="M166" s="29"/>
      <c r="N166" s="63"/>
      <c r="O166" s="40" t="s">
        <v>953</v>
      </c>
      <c r="P166" s="31"/>
      <c r="Q166" s="71"/>
      <c r="R166" s="62"/>
      <c r="S166" s="62"/>
      <c r="T166" s="62"/>
      <c r="U166" s="62"/>
      <c r="V166" s="62"/>
      <c r="W166" s="28"/>
    </row>
    <row r="167" spans="1:23" ht="43.5">
      <c r="A167" s="241" t="s">
        <v>947</v>
      </c>
      <c r="B167" s="242">
        <v>13</v>
      </c>
      <c r="C167" s="243" t="s">
        <v>948</v>
      </c>
      <c r="D167" s="249" t="s">
        <v>1031</v>
      </c>
      <c r="E167" s="250" t="s">
        <v>1032</v>
      </c>
      <c r="F167" s="43" t="s">
        <v>1037</v>
      </c>
      <c r="G167" s="25" t="s">
        <v>1038</v>
      </c>
      <c r="H167" s="26" t="s">
        <v>346</v>
      </c>
      <c r="I167" s="26" t="s">
        <v>472</v>
      </c>
      <c r="J167" s="186" t="str">
        <f t="shared" si="3"/>
        <v xml:space="preserve">Incloure el concepte de salut i natura en els missatges educatius i comunicatius de l'ENP </v>
      </c>
      <c r="K167" s="35"/>
      <c r="L167" s="28" t="s">
        <v>501</v>
      </c>
      <c r="M167" s="29"/>
      <c r="N167" s="63"/>
      <c r="O167" s="40" t="s">
        <v>953</v>
      </c>
      <c r="P167" s="31"/>
      <c r="Q167" s="71"/>
      <c r="R167" s="62"/>
      <c r="S167" s="62"/>
      <c r="T167" s="62"/>
      <c r="U167" s="62"/>
      <c r="V167" s="62"/>
      <c r="W167" s="28"/>
    </row>
    <row r="168" spans="1:23" ht="43.5">
      <c r="A168" s="241" t="s">
        <v>947</v>
      </c>
      <c r="B168" s="242">
        <v>13</v>
      </c>
      <c r="C168" s="243" t="s">
        <v>948</v>
      </c>
      <c r="D168" s="249" t="s">
        <v>1031</v>
      </c>
      <c r="E168" s="250" t="s">
        <v>1032</v>
      </c>
      <c r="F168" s="43" t="s">
        <v>287</v>
      </c>
      <c r="G168" s="36" t="s">
        <v>1211</v>
      </c>
      <c r="H168" s="26" t="s">
        <v>346</v>
      </c>
      <c r="I168" s="26" t="s">
        <v>472</v>
      </c>
      <c r="J168" s="186" t="str">
        <f t="shared" si="3"/>
        <v>Desplegar i/o participar a les Taules territorials de Salut i Natura</v>
      </c>
      <c r="K168" s="35"/>
      <c r="L168" s="28" t="s">
        <v>350</v>
      </c>
      <c r="M168" s="29" t="s">
        <v>366</v>
      </c>
      <c r="N168" s="63" t="s">
        <v>286</v>
      </c>
      <c r="O168" s="40" t="s">
        <v>953</v>
      </c>
      <c r="P168" s="31"/>
      <c r="Q168" s="71" t="s">
        <v>1039</v>
      </c>
      <c r="R168" s="69">
        <v>0.5</v>
      </c>
      <c r="S168" s="69">
        <v>0.9</v>
      </c>
      <c r="T168" s="62"/>
      <c r="U168" s="62"/>
      <c r="V168" s="62"/>
      <c r="W168" s="28" t="s">
        <v>370</v>
      </c>
    </row>
    <row r="169" spans="1:23" ht="58">
      <c r="A169" s="241" t="s">
        <v>947</v>
      </c>
      <c r="B169" s="242">
        <v>14</v>
      </c>
      <c r="C169" s="243" t="s">
        <v>1040</v>
      </c>
      <c r="D169" s="244" t="s">
        <v>1041</v>
      </c>
      <c r="E169" s="245" t="s">
        <v>1042</v>
      </c>
      <c r="F169" s="24" t="s">
        <v>290</v>
      </c>
      <c r="G169" s="25" t="s">
        <v>1043</v>
      </c>
      <c r="H169" s="26" t="s">
        <v>346</v>
      </c>
      <c r="I169" s="26" t="s">
        <v>365</v>
      </c>
      <c r="J169" s="186" t="str">
        <f t="shared" si="3"/>
        <v>Informar periòdicament sobre les tasques, projectes i actuacions que duu a terme l'ENP a la població</v>
      </c>
      <c r="K169" s="35"/>
      <c r="L169" s="37" t="s">
        <v>350</v>
      </c>
      <c r="M169" s="29" t="s">
        <v>366</v>
      </c>
      <c r="N169" s="63" t="s">
        <v>289</v>
      </c>
      <c r="O169" s="30" t="s">
        <v>1044</v>
      </c>
      <c r="P169" s="31" t="s">
        <v>1045</v>
      </c>
      <c r="Q169" s="71" t="s">
        <v>1046</v>
      </c>
      <c r="R169" s="61" t="s">
        <v>1047</v>
      </c>
      <c r="S169" s="61" t="s">
        <v>1048</v>
      </c>
      <c r="T169" s="62"/>
      <c r="U169" s="62"/>
      <c r="V169" s="62"/>
      <c r="W169" s="28" t="s">
        <v>370</v>
      </c>
    </row>
    <row r="170" spans="1:23" ht="43.5">
      <c r="A170" s="241" t="s">
        <v>947</v>
      </c>
      <c r="B170" s="242">
        <v>14</v>
      </c>
      <c r="C170" s="243" t="s">
        <v>1040</v>
      </c>
      <c r="D170" s="244" t="s">
        <v>1041</v>
      </c>
      <c r="E170" s="245" t="s">
        <v>1042</v>
      </c>
      <c r="F170" s="24" t="s">
        <v>1049</v>
      </c>
      <c r="G170" s="25" t="s">
        <v>1050</v>
      </c>
      <c r="H170" s="26" t="s">
        <v>346</v>
      </c>
      <c r="I170" s="26" t="s">
        <v>365</v>
      </c>
      <c r="J170" s="186"/>
      <c r="K170" s="68" t="s">
        <v>1051</v>
      </c>
      <c r="L170" s="37"/>
      <c r="M170" s="29"/>
      <c r="N170" s="63"/>
      <c r="O170" s="30"/>
      <c r="P170" s="31"/>
      <c r="Q170" s="71"/>
      <c r="R170" s="62"/>
      <c r="S170" s="62"/>
      <c r="T170" s="62"/>
      <c r="U170" s="62"/>
      <c r="V170" s="62"/>
      <c r="W170" s="28"/>
    </row>
    <row r="171" spans="1:23" ht="43.5">
      <c r="A171" s="241" t="s">
        <v>947</v>
      </c>
      <c r="B171" s="242">
        <v>14</v>
      </c>
      <c r="C171" s="243" t="s">
        <v>1040</v>
      </c>
      <c r="D171" s="251" t="s">
        <v>1052</v>
      </c>
      <c r="E171" s="252" t="s">
        <v>1053</v>
      </c>
      <c r="F171" s="24" t="s">
        <v>1054</v>
      </c>
      <c r="G171" s="25" t="s">
        <v>1055</v>
      </c>
      <c r="H171" s="26" t="s">
        <v>346</v>
      </c>
      <c r="I171" s="26" t="s">
        <v>365</v>
      </c>
      <c r="J171" s="186" t="str">
        <f t="shared" si="3"/>
        <v>Sensibilitzar als diferents agents sobre els valors de l'ENP</v>
      </c>
      <c r="K171" s="37"/>
      <c r="L171" s="37" t="s">
        <v>501</v>
      </c>
      <c r="M171" s="29"/>
      <c r="N171" s="63"/>
      <c r="O171" s="30"/>
      <c r="P171" s="31" t="s">
        <v>1056</v>
      </c>
      <c r="Q171" s="71"/>
      <c r="R171" s="62"/>
      <c r="S171" s="62"/>
      <c r="T171" s="62"/>
      <c r="U171" s="62"/>
      <c r="V171" s="62"/>
      <c r="W171" s="28"/>
    </row>
    <row r="172" spans="1:23" ht="43.5">
      <c r="A172" s="241" t="s">
        <v>947</v>
      </c>
      <c r="B172" s="242">
        <v>14</v>
      </c>
      <c r="C172" s="243" t="s">
        <v>1040</v>
      </c>
      <c r="D172" s="244" t="s">
        <v>1057</v>
      </c>
      <c r="E172" s="245" t="s">
        <v>1058</v>
      </c>
      <c r="F172" s="24" t="s">
        <v>1059</v>
      </c>
      <c r="G172" s="25" t="s">
        <v>1060</v>
      </c>
      <c r="H172" s="26" t="s">
        <v>346</v>
      </c>
      <c r="I172" s="26" t="s">
        <v>365</v>
      </c>
      <c r="J172" s="186" t="str">
        <f t="shared" si="3"/>
        <v>Optimitzar els canals de comunicació</v>
      </c>
      <c r="K172" s="63"/>
      <c r="L172" s="37" t="s">
        <v>501</v>
      </c>
      <c r="M172" s="29"/>
      <c r="N172" s="63"/>
      <c r="O172" s="30" t="s">
        <v>1044</v>
      </c>
      <c r="P172" s="31"/>
      <c r="Q172" s="71"/>
      <c r="R172" s="62"/>
      <c r="S172" s="62"/>
      <c r="T172" s="62"/>
      <c r="U172" s="62"/>
      <c r="V172" s="62"/>
      <c r="W172" s="28"/>
    </row>
    <row r="173" spans="1:23" ht="43.5">
      <c r="A173" s="241" t="s">
        <v>947</v>
      </c>
      <c r="B173" s="242">
        <v>14</v>
      </c>
      <c r="C173" s="243" t="s">
        <v>1040</v>
      </c>
      <c r="D173" s="244" t="s">
        <v>1057</v>
      </c>
      <c r="E173" s="245" t="s">
        <v>1058</v>
      </c>
      <c r="F173" s="24" t="s">
        <v>1061</v>
      </c>
      <c r="G173" s="25" t="s">
        <v>1062</v>
      </c>
      <c r="H173" s="26" t="s">
        <v>346</v>
      </c>
      <c r="I173" s="26" t="s">
        <v>365</v>
      </c>
      <c r="J173" s="186" t="str">
        <f t="shared" si="3"/>
        <v>Garantir l'harmonització de la comunicació com a Parc, Xarxa i Generalitat.</v>
      </c>
      <c r="K173" s="63"/>
      <c r="L173" s="37" t="s">
        <v>501</v>
      </c>
      <c r="M173" s="29"/>
      <c r="N173" s="63"/>
      <c r="O173" s="30" t="s">
        <v>1044</v>
      </c>
      <c r="P173" s="31"/>
      <c r="Q173" s="71"/>
      <c r="R173" s="62"/>
      <c r="S173" s="62"/>
      <c r="T173" s="62"/>
      <c r="U173" s="62"/>
      <c r="V173" s="62"/>
      <c r="W173" s="28"/>
    </row>
    <row r="174" spans="1:23" ht="29" customHeight="1">
      <c r="A174" s="253" t="s">
        <v>1063</v>
      </c>
      <c r="B174" s="254">
        <v>15</v>
      </c>
      <c r="C174" s="255" t="s">
        <v>1064</v>
      </c>
      <c r="D174" s="256" t="s">
        <v>1065</v>
      </c>
      <c r="E174" s="256" t="s">
        <v>1066</v>
      </c>
      <c r="F174" s="24" t="s">
        <v>1067</v>
      </c>
      <c r="G174" s="25" t="s">
        <v>1068</v>
      </c>
      <c r="H174" s="26" t="s">
        <v>346</v>
      </c>
      <c r="I174" s="26" t="s">
        <v>472</v>
      </c>
      <c r="J174" s="186"/>
      <c r="K174" s="68" t="s">
        <v>1003</v>
      </c>
      <c r="L174" s="37"/>
      <c r="M174" s="29"/>
      <c r="N174" s="63"/>
      <c r="O174" s="30"/>
      <c r="P174" s="33"/>
      <c r="Q174" s="71"/>
      <c r="R174" s="62"/>
      <c r="S174" s="62"/>
      <c r="T174" s="62"/>
      <c r="U174" s="62"/>
      <c r="V174" s="62"/>
      <c r="W174" s="28"/>
    </row>
    <row r="175" spans="1:23" ht="43.5">
      <c r="A175" s="253" t="s">
        <v>1063</v>
      </c>
      <c r="B175" s="254">
        <v>15</v>
      </c>
      <c r="C175" s="255" t="s">
        <v>1064</v>
      </c>
      <c r="D175" s="256" t="s">
        <v>1065</v>
      </c>
      <c r="E175" s="256" t="s">
        <v>1066</v>
      </c>
      <c r="F175" s="24" t="s">
        <v>295</v>
      </c>
      <c r="G175" s="25" t="s">
        <v>1069</v>
      </c>
      <c r="H175" s="26" t="s">
        <v>346</v>
      </c>
      <c r="I175" s="26" t="s">
        <v>472</v>
      </c>
      <c r="J175" s="186" t="str">
        <f t="shared" si="3"/>
        <v>Disposar d'assessorament científic en l'ENP</v>
      </c>
      <c r="K175" s="35"/>
      <c r="L175" s="37" t="s">
        <v>350</v>
      </c>
      <c r="M175" s="29" t="s">
        <v>351</v>
      </c>
      <c r="N175" s="63" t="s">
        <v>294</v>
      </c>
      <c r="O175" s="30"/>
      <c r="P175" s="33"/>
      <c r="Q175" s="71" t="s">
        <v>1070</v>
      </c>
      <c r="R175" s="62" t="s">
        <v>1071</v>
      </c>
      <c r="S175" s="62" t="s">
        <v>1072</v>
      </c>
      <c r="T175" s="62"/>
      <c r="U175" s="62"/>
      <c r="V175" s="62"/>
      <c r="W175" s="28" t="s">
        <v>370</v>
      </c>
    </row>
    <row r="176" spans="1:23" ht="43.5">
      <c r="A176" s="253" t="s">
        <v>1063</v>
      </c>
      <c r="B176" s="254">
        <v>15</v>
      </c>
      <c r="C176" s="255" t="s">
        <v>1064</v>
      </c>
      <c r="D176" s="256" t="s">
        <v>1065</v>
      </c>
      <c r="E176" s="256" t="s">
        <v>1066</v>
      </c>
      <c r="F176" s="24" t="s">
        <v>1073</v>
      </c>
      <c r="G176" s="25" t="s">
        <v>1074</v>
      </c>
      <c r="H176" s="26" t="s">
        <v>346</v>
      </c>
      <c r="I176" s="26" t="s">
        <v>472</v>
      </c>
      <c r="J176" s="186"/>
      <c r="K176" s="68" t="s">
        <v>1075</v>
      </c>
      <c r="L176" s="37"/>
      <c r="M176" s="29"/>
      <c r="N176" s="63"/>
      <c r="O176" s="30"/>
      <c r="P176" s="33"/>
      <c r="Q176" s="71"/>
      <c r="R176" s="62"/>
      <c r="S176" s="62"/>
      <c r="T176" s="62"/>
      <c r="U176" s="62"/>
      <c r="V176" s="62"/>
      <c r="W176" s="28"/>
    </row>
    <row r="177" spans="1:23" ht="43.5">
      <c r="A177" s="253" t="s">
        <v>1063</v>
      </c>
      <c r="B177" s="254">
        <v>15</v>
      </c>
      <c r="C177" s="255" t="s">
        <v>1064</v>
      </c>
      <c r="D177" s="256" t="s">
        <v>1065</v>
      </c>
      <c r="E177" s="256" t="s">
        <v>1066</v>
      </c>
      <c r="F177" s="24" t="s">
        <v>1076</v>
      </c>
      <c r="G177" s="25" t="s">
        <v>1077</v>
      </c>
      <c r="H177" s="26" t="s">
        <v>346</v>
      </c>
      <c r="I177" s="26" t="s">
        <v>365</v>
      </c>
      <c r="J177" s="186"/>
      <c r="K177" s="68" t="s">
        <v>1003</v>
      </c>
      <c r="L177" s="37"/>
      <c r="M177" s="29"/>
      <c r="N177" s="63"/>
      <c r="O177" s="30"/>
      <c r="P177" s="25" t="s">
        <v>1078</v>
      </c>
      <c r="Q177" s="71"/>
      <c r="R177" s="62"/>
      <c r="S177" s="62"/>
      <c r="T177" s="62"/>
      <c r="U177" s="62"/>
      <c r="V177" s="62"/>
      <c r="W177" s="28"/>
    </row>
    <row r="178" spans="1:23" ht="58">
      <c r="A178" s="253" t="s">
        <v>1063</v>
      </c>
      <c r="B178" s="254">
        <v>16</v>
      </c>
      <c r="C178" s="257" t="s">
        <v>1079</v>
      </c>
      <c r="D178" s="258" t="s">
        <v>1080</v>
      </c>
      <c r="E178" s="259" t="s">
        <v>1081</v>
      </c>
      <c r="F178" s="24" t="s">
        <v>1082</v>
      </c>
      <c r="G178" s="25" t="s">
        <v>1212</v>
      </c>
      <c r="H178" s="26" t="s">
        <v>346</v>
      </c>
      <c r="I178" s="26" t="s">
        <v>365</v>
      </c>
      <c r="J178" s="186" t="str">
        <f t="shared" si="3"/>
        <v xml:space="preserve">Gestionar i millorar administrativament els pressupostos anuals d'entrades i despeses </v>
      </c>
      <c r="K178" s="35"/>
      <c r="L178" s="37" t="s">
        <v>501</v>
      </c>
      <c r="M178" s="29"/>
      <c r="N178" s="63"/>
      <c r="O178" s="30"/>
      <c r="P178" s="33" t="s">
        <v>1083</v>
      </c>
      <c r="Q178" s="71"/>
      <c r="R178" s="62"/>
      <c r="S178" s="62"/>
      <c r="T178" s="62"/>
      <c r="U178" s="62"/>
      <c r="V178" s="62"/>
      <c r="W178" s="28"/>
    </row>
    <row r="179" spans="1:23" ht="43.5">
      <c r="A179" s="253" t="s">
        <v>1063</v>
      </c>
      <c r="B179" s="254">
        <v>16</v>
      </c>
      <c r="C179" s="257" t="s">
        <v>1079</v>
      </c>
      <c r="D179" s="256" t="s">
        <v>1084</v>
      </c>
      <c r="E179" s="256" t="s">
        <v>1085</v>
      </c>
      <c r="F179" s="24" t="s">
        <v>301</v>
      </c>
      <c r="G179" s="25" t="s">
        <v>1213</v>
      </c>
      <c r="H179" s="26" t="s">
        <v>346</v>
      </c>
      <c r="I179" s="26" t="s">
        <v>365</v>
      </c>
      <c r="J179" s="186" t="str">
        <f t="shared" si="3"/>
        <v>Planificar, detectar les necessitats de contractació del l'ENP per a l'optimització dels contractes a nivell de Xarxa i gestionar els contractes</v>
      </c>
      <c r="K179" s="65"/>
      <c r="L179" s="37" t="s">
        <v>350</v>
      </c>
      <c r="M179" s="29" t="s">
        <v>374</v>
      </c>
      <c r="N179" s="63" t="s">
        <v>300</v>
      </c>
      <c r="O179" s="30"/>
      <c r="P179" s="31" t="s">
        <v>1086</v>
      </c>
      <c r="Q179" s="71" t="s">
        <v>1087</v>
      </c>
      <c r="R179" s="62">
        <v>1</v>
      </c>
      <c r="S179" s="62" t="s">
        <v>1088</v>
      </c>
      <c r="T179" s="62"/>
      <c r="U179" s="62"/>
      <c r="V179" s="62"/>
      <c r="W179" s="28" t="s">
        <v>24</v>
      </c>
    </row>
    <row r="180" spans="1:23" ht="43.5">
      <c r="A180" s="253" t="s">
        <v>1063</v>
      </c>
      <c r="B180" s="254">
        <v>16</v>
      </c>
      <c r="C180" s="257" t="s">
        <v>1079</v>
      </c>
      <c r="D180" s="256" t="s">
        <v>1084</v>
      </c>
      <c r="E180" s="256" t="s">
        <v>1085</v>
      </c>
      <c r="F180" s="24" t="s">
        <v>1089</v>
      </c>
      <c r="G180" s="44" t="s">
        <v>1214</v>
      </c>
      <c r="H180" s="26" t="s">
        <v>346</v>
      </c>
      <c r="I180" s="26" t="s">
        <v>365</v>
      </c>
      <c r="J180" s="186" t="str">
        <f t="shared" si="3"/>
        <v>Planificar i gestionar els ajuts</v>
      </c>
      <c r="K180" s="35"/>
      <c r="L180" s="27" t="s">
        <v>501</v>
      </c>
      <c r="M180" s="29"/>
      <c r="N180" s="63"/>
      <c r="O180" s="30"/>
      <c r="P180" s="31"/>
      <c r="Q180" s="71"/>
      <c r="R180" s="62"/>
      <c r="S180" s="62"/>
      <c r="T180" s="62"/>
      <c r="U180" s="62"/>
      <c r="V180" s="62"/>
      <c r="W180" s="28"/>
    </row>
    <row r="181" spans="1:23" ht="43.5">
      <c r="A181" s="253" t="s">
        <v>1063</v>
      </c>
      <c r="B181" s="254">
        <v>16</v>
      </c>
      <c r="C181" s="257" t="s">
        <v>1079</v>
      </c>
      <c r="D181" s="256" t="s">
        <v>1084</v>
      </c>
      <c r="E181" s="256" t="s">
        <v>1085</v>
      </c>
      <c r="F181" s="24" t="s">
        <v>1090</v>
      </c>
      <c r="G181" s="44" t="s">
        <v>1091</v>
      </c>
      <c r="H181" s="26" t="s">
        <v>346</v>
      </c>
      <c r="I181" s="26" t="s">
        <v>365</v>
      </c>
      <c r="J181" s="186"/>
      <c r="K181" s="68" t="s">
        <v>1092</v>
      </c>
      <c r="L181" s="27"/>
      <c r="M181" s="29"/>
      <c r="N181" s="63"/>
      <c r="O181" s="30"/>
      <c r="P181" s="33" t="s">
        <v>1093</v>
      </c>
      <c r="Q181" s="71"/>
      <c r="R181" s="62"/>
      <c r="S181" s="62"/>
      <c r="T181" s="62"/>
      <c r="U181" s="62"/>
      <c r="V181" s="62"/>
      <c r="W181" s="28"/>
    </row>
    <row r="182" spans="1:23" ht="29">
      <c r="A182" s="253" t="s">
        <v>1063</v>
      </c>
      <c r="B182" s="254">
        <v>16</v>
      </c>
      <c r="C182" s="257" t="s">
        <v>1079</v>
      </c>
      <c r="D182" s="256" t="s">
        <v>1094</v>
      </c>
      <c r="E182" s="256" t="s">
        <v>1095</v>
      </c>
      <c r="F182" s="24" t="s">
        <v>1096</v>
      </c>
      <c r="G182" s="44" t="s">
        <v>1097</v>
      </c>
      <c r="H182" s="26" t="s">
        <v>346</v>
      </c>
      <c r="I182" s="26" t="s">
        <v>365</v>
      </c>
      <c r="J182" s="186" t="str">
        <f t="shared" si="3"/>
        <v>Optimitzar l'elaboració d'informes</v>
      </c>
      <c r="K182" s="35"/>
      <c r="L182" s="27" t="s">
        <v>501</v>
      </c>
      <c r="M182" s="29"/>
      <c r="N182" s="63"/>
      <c r="O182" s="30"/>
      <c r="P182" s="31"/>
      <c r="Q182" s="71"/>
      <c r="R182" s="62"/>
      <c r="S182" s="62"/>
      <c r="T182" s="62"/>
      <c r="U182" s="62"/>
      <c r="V182" s="62"/>
      <c r="W182" s="28"/>
    </row>
    <row r="183" spans="1:23" ht="43.5">
      <c r="A183" s="253" t="s">
        <v>1063</v>
      </c>
      <c r="B183" s="254">
        <v>16</v>
      </c>
      <c r="C183" s="257" t="s">
        <v>1079</v>
      </c>
      <c r="D183" s="256" t="s">
        <v>1094</v>
      </c>
      <c r="E183" s="256" t="s">
        <v>1095</v>
      </c>
      <c r="F183" s="24" t="s">
        <v>1098</v>
      </c>
      <c r="G183" s="25" t="s">
        <v>1099</v>
      </c>
      <c r="H183" s="26" t="s">
        <v>346</v>
      </c>
      <c r="I183" s="26" t="s">
        <v>365</v>
      </c>
      <c r="J183" s="186" t="str">
        <f t="shared" si="3"/>
        <v>Adequar i actualitzar els procediments i tramitacions realitzats des de l'ENP als nous processos i eines conjuntes proposades des de Serveis Centrals</v>
      </c>
      <c r="K183" s="35"/>
      <c r="L183" s="37" t="s">
        <v>501</v>
      </c>
      <c r="M183" s="29"/>
      <c r="N183" s="63"/>
      <c r="O183" s="30"/>
      <c r="P183" s="33" t="s">
        <v>1100</v>
      </c>
      <c r="Q183" s="71"/>
      <c r="R183" s="62"/>
      <c r="S183" s="62"/>
      <c r="T183" s="62"/>
      <c r="U183" s="62"/>
      <c r="V183" s="62"/>
      <c r="W183" s="28"/>
    </row>
    <row r="184" spans="1:23" ht="29">
      <c r="A184" s="253" t="s">
        <v>1063</v>
      </c>
      <c r="B184" s="254">
        <v>16</v>
      </c>
      <c r="C184" s="257" t="s">
        <v>1079</v>
      </c>
      <c r="D184" s="256" t="s">
        <v>1094</v>
      </c>
      <c r="E184" s="256" t="s">
        <v>1095</v>
      </c>
      <c r="F184" s="24" t="s">
        <v>1101</v>
      </c>
      <c r="G184" s="44" t="s">
        <v>1102</v>
      </c>
      <c r="H184" s="26" t="s">
        <v>346</v>
      </c>
      <c r="I184" s="26" t="s">
        <v>365</v>
      </c>
      <c r="J184" s="186" t="str">
        <f t="shared" si="3"/>
        <v>Augmentar el coneixement de l'equip de treball en matèria de procediment administratiu</v>
      </c>
      <c r="K184" s="35"/>
      <c r="L184" s="37" t="s">
        <v>501</v>
      </c>
      <c r="M184" s="29"/>
      <c r="N184" s="63"/>
      <c r="O184" s="30"/>
      <c r="P184" s="31"/>
      <c r="Q184" s="71"/>
      <c r="R184" s="62"/>
      <c r="S184" s="62"/>
      <c r="T184" s="62"/>
      <c r="U184" s="62"/>
      <c r="V184" s="62"/>
      <c r="W184" s="28"/>
    </row>
    <row r="185" spans="1:23" ht="29">
      <c r="A185" s="253" t="s">
        <v>1063</v>
      </c>
      <c r="B185" s="254">
        <v>16</v>
      </c>
      <c r="C185" s="257" t="s">
        <v>1079</v>
      </c>
      <c r="D185" s="256" t="s">
        <v>1094</v>
      </c>
      <c r="E185" s="256" t="s">
        <v>1095</v>
      </c>
      <c r="F185" s="24" t="s">
        <v>1103</v>
      </c>
      <c r="G185" s="25" t="s">
        <v>1104</v>
      </c>
      <c r="H185" s="26" t="s">
        <v>390</v>
      </c>
      <c r="I185" s="26" t="s">
        <v>365</v>
      </c>
      <c r="J185" s="186" t="str">
        <f t="shared" si="3"/>
        <v>Garantir la transparència administrativa</v>
      </c>
      <c r="K185" s="35"/>
      <c r="L185" s="37" t="s">
        <v>501</v>
      </c>
      <c r="M185" s="29"/>
      <c r="N185" s="63"/>
      <c r="O185" s="30"/>
      <c r="P185" s="31"/>
      <c r="Q185" s="71"/>
      <c r="R185" s="62"/>
      <c r="S185" s="62"/>
      <c r="T185" s="62"/>
      <c r="U185" s="62"/>
      <c r="V185" s="62"/>
      <c r="W185" s="28"/>
    </row>
    <row r="186" spans="1:23" ht="43.5">
      <c r="A186" s="253" t="s">
        <v>1063</v>
      </c>
      <c r="B186" s="254">
        <v>16</v>
      </c>
      <c r="C186" s="257" t="s">
        <v>1079</v>
      </c>
      <c r="D186" s="256" t="s">
        <v>1094</v>
      </c>
      <c r="E186" s="256" t="s">
        <v>1095</v>
      </c>
      <c r="F186" s="24" t="s">
        <v>305</v>
      </c>
      <c r="G186" s="25" t="s">
        <v>1215</v>
      </c>
      <c r="H186" s="26" t="s">
        <v>346</v>
      </c>
      <c r="I186" s="26" t="s">
        <v>472</v>
      </c>
      <c r="J186" s="186" t="str">
        <f t="shared" si="3"/>
        <v>Millorar i mantenir el material, infraestructures i equipaments de gestió de l'espai</v>
      </c>
      <c r="K186" s="35"/>
      <c r="L186" s="37" t="s">
        <v>350</v>
      </c>
      <c r="M186" s="29" t="s">
        <v>366</v>
      </c>
      <c r="N186" s="63" t="s">
        <v>1105</v>
      </c>
      <c r="O186" s="30"/>
      <c r="P186" s="25"/>
      <c r="Q186" s="71" t="s">
        <v>1106</v>
      </c>
      <c r="R186" s="61" t="s">
        <v>1107</v>
      </c>
      <c r="S186" s="61" t="s">
        <v>1108</v>
      </c>
      <c r="T186" s="62"/>
      <c r="U186" s="62"/>
      <c r="V186" s="62"/>
      <c r="W186" s="28" t="s">
        <v>24</v>
      </c>
    </row>
    <row r="187" spans="1:23" s="1" customFormat="1" ht="29">
      <c r="A187" s="253" t="s">
        <v>1063</v>
      </c>
      <c r="B187" s="254">
        <v>16</v>
      </c>
      <c r="C187" s="257" t="s">
        <v>1079</v>
      </c>
      <c r="D187" s="256" t="s">
        <v>1109</v>
      </c>
      <c r="E187" s="256" t="s">
        <v>1110</v>
      </c>
      <c r="F187" s="24" t="s">
        <v>1111</v>
      </c>
      <c r="G187" s="25" t="s">
        <v>1112</v>
      </c>
      <c r="H187" s="26" t="s">
        <v>346</v>
      </c>
      <c r="I187" s="26" t="s">
        <v>365</v>
      </c>
      <c r="J187" s="186" t="str">
        <f t="shared" si="3"/>
        <v>Revisar l’estat dels béns patrimonials i la situació administrativa-legal dels equipaments del parc</v>
      </c>
      <c r="K187" s="35"/>
      <c r="L187" s="37" t="s">
        <v>501</v>
      </c>
      <c r="M187" s="29"/>
      <c r="N187" s="63"/>
      <c r="O187" s="30"/>
      <c r="P187" s="33" t="s">
        <v>1113</v>
      </c>
      <c r="Q187" s="71"/>
      <c r="R187" s="61"/>
      <c r="S187" s="61"/>
      <c r="T187" s="61"/>
      <c r="U187" s="61"/>
      <c r="V187" s="61"/>
      <c r="W187" s="28"/>
    </row>
    <row r="188" spans="1:23" ht="72.5">
      <c r="A188" s="253" t="s">
        <v>1063</v>
      </c>
      <c r="B188" s="254">
        <v>16</v>
      </c>
      <c r="C188" s="257" t="s">
        <v>1079</v>
      </c>
      <c r="D188" s="256" t="s">
        <v>1109</v>
      </c>
      <c r="E188" s="256" t="s">
        <v>1110</v>
      </c>
      <c r="F188" s="24" t="s">
        <v>1114</v>
      </c>
      <c r="G188" s="25" t="s">
        <v>1115</v>
      </c>
      <c r="H188" s="26" t="s">
        <v>346</v>
      </c>
      <c r="I188" s="26" t="s">
        <v>365</v>
      </c>
      <c r="J188" s="186" t="str">
        <f t="shared" si="3"/>
        <v>Tenir cobertes les pèrdues o danys materials del patrimoni de la Direcció General que hi ha a l'àmbit territorial del Parc, com a conseqüència de la materialització de qualsevol dels riscs emparats en el plec de prescripcions tècniques de la pòlissa.</v>
      </c>
      <c r="K188" s="35"/>
      <c r="L188" s="37" t="s">
        <v>501</v>
      </c>
      <c r="M188" s="29"/>
      <c r="N188" s="63"/>
      <c r="O188" s="30"/>
      <c r="P188" s="33" t="s">
        <v>1116</v>
      </c>
      <c r="Q188" s="71"/>
      <c r="R188" s="62"/>
      <c r="S188" s="62"/>
      <c r="T188" s="62"/>
      <c r="U188" s="62"/>
      <c r="V188" s="62"/>
      <c r="W188" s="28"/>
    </row>
    <row r="189" spans="1:23" ht="43.5">
      <c r="A189" s="253" t="s">
        <v>1063</v>
      </c>
      <c r="B189" s="254">
        <v>16</v>
      </c>
      <c r="C189" s="257" t="s">
        <v>1079</v>
      </c>
      <c r="D189" s="258" t="s">
        <v>1117</v>
      </c>
      <c r="E189" s="256" t="s">
        <v>1118</v>
      </c>
      <c r="F189" s="24" t="s">
        <v>310</v>
      </c>
      <c r="G189" s="25" t="s">
        <v>1216</v>
      </c>
      <c r="H189" s="26" t="s">
        <v>346</v>
      </c>
      <c r="I189" s="26" t="s">
        <v>365</v>
      </c>
      <c r="J189" s="186" t="str">
        <f>G189</f>
        <v>Millorar l'accessibilitat i la gestió documental i digital de l'ENP</v>
      </c>
      <c r="K189" s="35"/>
      <c r="L189" s="28" t="s">
        <v>350</v>
      </c>
      <c r="M189" s="29" t="s">
        <v>463</v>
      </c>
      <c r="N189" s="63" t="s">
        <v>309</v>
      </c>
      <c r="O189" s="30"/>
      <c r="P189" s="31" t="s">
        <v>1119</v>
      </c>
      <c r="Q189" s="71" t="s">
        <v>1120</v>
      </c>
      <c r="R189" s="62" t="s">
        <v>350</v>
      </c>
      <c r="S189" s="62" t="s">
        <v>350</v>
      </c>
      <c r="T189" s="62"/>
      <c r="U189" s="62"/>
      <c r="V189" s="62"/>
      <c r="W189" s="28" t="s">
        <v>469</v>
      </c>
    </row>
    <row r="190" spans="1:23" ht="29">
      <c r="A190" s="253" t="s">
        <v>1063</v>
      </c>
      <c r="B190" s="254">
        <v>16</v>
      </c>
      <c r="C190" s="257" t="s">
        <v>1079</v>
      </c>
      <c r="D190" s="256" t="s">
        <v>1121</v>
      </c>
      <c r="E190" s="256" t="s">
        <v>1122</v>
      </c>
      <c r="F190" s="24" t="s">
        <v>1123</v>
      </c>
      <c r="G190" s="25" t="s">
        <v>1124</v>
      </c>
      <c r="H190" s="26" t="s">
        <v>390</v>
      </c>
      <c r="I190" s="26" t="s">
        <v>365</v>
      </c>
      <c r="J190" s="186" t="str">
        <f t="shared" si="3"/>
        <v>Gestió de la brigada de manteniment</v>
      </c>
      <c r="K190" s="35"/>
      <c r="L190" s="28" t="s">
        <v>350</v>
      </c>
      <c r="M190" s="29" t="s">
        <v>351</v>
      </c>
      <c r="N190" s="63" t="s">
        <v>1125</v>
      </c>
      <c r="O190" s="30"/>
      <c r="P190" s="31"/>
      <c r="Q190" s="71" t="s">
        <v>1126</v>
      </c>
      <c r="R190" s="62" t="s">
        <v>350</v>
      </c>
      <c r="S190" s="62" t="s">
        <v>350</v>
      </c>
      <c r="T190" s="62"/>
      <c r="U190" s="62"/>
      <c r="V190" s="62"/>
      <c r="W190" s="28" t="s">
        <v>370</v>
      </c>
    </row>
    <row r="191" spans="1:23" ht="29">
      <c r="A191" s="253" t="s">
        <v>1063</v>
      </c>
      <c r="B191" s="254">
        <v>16</v>
      </c>
      <c r="C191" s="257" t="s">
        <v>1079</v>
      </c>
      <c r="D191" s="256" t="s">
        <v>1121</v>
      </c>
      <c r="E191" s="256" t="s">
        <v>1122</v>
      </c>
      <c r="F191" s="24" t="s">
        <v>314</v>
      </c>
      <c r="G191" s="25" t="s">
        <v>1217</v>
      </c>
      <c r="H191" s="26" t="s">
        <v>390</v>
      </c>
      <c r="I191" s="26" t="s">
        <v>365</v>
      </c>
      <c r="J191" s="186" t="str">
        <f t="shared" si="3"/>
        <v>Gestionar, enfortir i consolidar l'equip de gestió del parc</v>
      </c>
      <c r="K191" s="35"/>
      <c r="L191" s="28" t="s">
        <v>350</v>
      </c>
      <c r="M191" s="29" t="s">
        <v>351</v>
      </c>
      <c r="N191" s="63" t="s">
        <v>313</v>
      </c>
      <c r="O191" s="30"/>
      <c r="P191" s="31"/>
      <c r="Q191" s="71" t="s">
        <v>1127</v>
      </c>
      <c r="R191" s="62" t="s">
        <v>350</v>
      </c>
      <c r="S191" s="62" t="s">
        <v>350</v>
      </c>
      <c r="T191" s="62"/>
      <c r="U191" s="62"/>
      <c r="V191" s="62"/>
      <c r="W191" s="28" t="s">
        <v>24</v>
      </c>
    </row>
    <row r="192" spans="1:23" ht="29">
      <c r="A192" s="253" t="s">
        <v>1063</v>
      </c>
      <c r="B192" s="254">
        <v>16</v>
      </c>
      <c r="C192" s="257" t="s">
        <v>1079</v>
      </c>
      <c r="D192" s="256" t="s">
        <v>1121</v>
      </c>
      <c r="E192" s="256" t="s">
        <v>1122</v>
      </c>
      <c r="F192" s="24" t="s">
        <v>1218</v>
      </c>
      <c r="G192" s="25" t="s">
        <v>1219</v>
      </c>
      <c r="H192" s="26" t="s">
        <v>390</v>
      </c>
      <c r="I192" s="26" t="s">
        <v>365</v>
      </c>
      <c r="J192" s="186" t="str">
        <f t="shared" si="3"/>
        <v>Gestió ordinària i imprevistos no contemplats en cap dels Objectius opertatius anteriors</v>
      </c>
      <c r="K192" s="35"/>
      <c r="L192" s="28" t="s">
        <v>350</v>
      </c>
      <c r="M192" s="29" t="s">
        <v>351</v>
      </c>
      <c r="N192" s="63"/>
      <c r="O192" s="30"/>
      <c r="P192" s="31"/>
      <c r="Q192" s="71"/>
      <c r="R192" s="62"/>
      <c r="S192" s="62"/>
      <c r="T192" s="62"/>
      <c r="U192" s="62"/>
      <c r="V192" s="62"/>
      <c r="W192" s="28"/>
    </row>
  </sheetData>
  <autoFilter ref="A4:W191"/>
  <dataConsolidate/>
  <mergeCells count="2">
    <mergeCell ref="R3:S3"/>
    <mergeCell ref="T3:V3"/>
  </mergeCells>
  <conditionalFormatting sqref="H160:I160 K160">
    <cfRule type="duplicateValues" dxfId="1" priority="2"/>
  </conditionalFormatting>
  <conditionalFormatting sqref="H161:I161 K161">
    <cfRule type="duplicateValues" dxfId="0" priority="1"/>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14:formula1>
            <xm:f>'D:\36981662P\OneDrive - Generalitat de Catalunya\Plans estratègics\00RRevisions\[Pla Estrategic ENP_v2024_Revisió Objectius Operatius.xlsx]Full1'!#REF!</xm:f>
          </x14:formula1>
          <xm:sqref>H11:I11 H13:I13</xm:sqref>
        </x14:dataValidation>
        <x14:dataValidation type="list" allowBlank="1" showInputMessage="1" showErrorMessage="1">
          <x14:formula1>
            <xm:f>'[Pla Estrategic ENP_v2024_Secans de mas de Melons Alfés_final.xlsx]Llistes'!#REF!</xm:f>
          </x14:formula1>
          <xm:sqref>W5:W192</xm:sqref>
        </x14:dataValidation>
        <x14:dataValidation type="list" allowBlank="1" showInputMessage="1" showErrorMessage="1">
          <x14:formula1>
            <xm:f>'[Pla Estrategic ENP_v2024_Secans de mas de Melons Alfés_final.xlsx]Full1'!#REF!</xm:f>
          </x14:formula1>
          <xm:sqref>I5:I10 I12 I14:I192</xm:sqref>
        </x14:dataValidation>
        <x14:dataValidation type="list" allowBlank="1" showInputMessage="1" showErrorMessage="1">
          <x14:formula1>
            <xm:f>'[Pla Estrategic ENP_v2024_Secans de mas de Melons Alfés_final.xlsx]Full1'!#REF!</xm:f>
          </x14:formula1>
          <xm:sqref>H5:H10 H12 H14:H192</xm:sqref>
        </x14:dataValidation>
        <x14:dataValidation type="list" allowBlank="1" showInputMessage="1" showErrorMessage="1">
          <x14:formula1>
            <xm:f>'[Pla Estrategic ENP_v2024_Secans de mas de Melons Alfés_final.xlsx]Full1'!#REF!</xm:f>
          </x14:formula1>
          <xm:sqref>L5:L192</xm:sqref>
        </x14:dataValidation>
        <x14:dataValidation type="list" allowBlank="1" showInputMessage="1" showErrorMessage="1">
          <x14:formula1>
            <xm:f>'[Pla Estrategic ENP_v2024_Secans de mas de Melons Alfés_final.xlsx]Full1'!#REF!</xm:f>
          </x14:formula1>
          <xm:sqref>M5:M192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sheetViews>
  <sheetFormatPr defaultColWidth="8.7265625" defaultRowHeight="14.5"/>
  <cols>
    <col min="1" max="1" width="14.453125" customWidth="1"/>
    <col min="2" max="2" width="33" customWidth="1"/>
    <col min="3" max="3" width="10" customWidth="1"/>
    <col min="4" max="4" width="53.1796875" customWidth="1"/>
    <col min="6" max="6" width="30" customWidth="1"/>
  </cols>
  <sheetData>
    <row r="1" spans="1:6">
      <c r="B1" s="4" t="s">
        <v>1128</v>
      </c>
      <c r="C1" s="4"/>
      <c r="D1" s="4" t="s">
        <v>1129</v>
      </c>
      <c r="E1" s="2"/>
      <c r="F1" s="51" t="s">
        <v>1130</v>
      </c>
    </row>
    <row r="2" spans="1:6">
      <c r="A2" t="s">
        <v>1131</v>
      </c>
      <c r="B2" s="54" t="s">
        <v>1132</v>
      </c>
      <c r="C2" s="54"/>
      <c r="D2" s="52" t="s">
        <v>54</v>
      </c>
      <c r="F2" s="46" t="s">
        <v>1133</v>
      </c>
    </row>
    <row r="3" spans="1:6" ht="29">
      <c r="A3" t="s">
        <v>1131</v>
      </c>
      <c r="B3" s="54" t="s">
        <v>23</v>
      </c>
      <c r="C3" s="54"/>
      <c r="D3" s="52" t="s">
        <v>114</v>
      </c>
      <c r="F3" s="46" t="s">
        <v>148</v>
      </c>
    </row>
    <row r="4" spans="1:6">
      <c r="A4" t="s">
        <v>1131</v>
      </c>
      <c r="B4" s="54" t="s">
        <v>1134</v>
      </c>
      <c r="C4" s="54"/>
      <c r="D4" s="52" t="s">
        <v>136</v>
      </c>
      <c r="F4" s="46" t="s">
        <v>171</v>
      </c>
    </row>
    <row r="5" spans="1:6">
      <c r="A5" t="s">
        <v>1135</v>
      </c>
      <c r="B5" t="s">
        <v>29</v>
      </c>
      <c r="D5" s="52" t="s">
        <v>149</v>
      </c>
      <c r="F5" s="46" t="s">
        <v>102</v>
      </c>
    </row>
    <row r="6" spans="1:6" ht="29">
      <c r="A6" t="s">
        <v>1135</v>
      </c>
      <c r="B6" t="s">
        <v>1136</v>
      </c>
      <c r="D6" s="52" t="s">
        <v>162</v>
      </c>
      <c r="F6" s="46" t="s">
        <v>239</v>
      </c>
    </row>
    <row r="7" spans="1:6" ht="29">
      <c r="A7" t="s">
        <v>1137</v>
      </c>
      <c r="B7" s="54" t="s">
        <v>28</v>
      </c>
      <c r="C7" s="54"/>
      <c r="D7" s="52" t="s">
        <v>1138</v>
      </c>
      <c r="F7" s="46" t="s">
        <v>97</v>
      </c>
    </row>
    <row r="8" spans="1:6">
      <c r="A8" t="s">
        <v>1139</v>
      </c>
      <c r="B8" t="s">
        <v>1140</v>
      </c>
      <c r="D8" s="52" t="s">
        <v>1141</v>
      </c>
      <c r="F8" s="46" t="s">
        <v>306</v>
      </c>
    </row>
    <row r="9" spans="1:6">
      <c r="A9" t="s">
        <v>1139</v>
      </c>
      <c r="B9" t="s">
        <v>1142</v>
      </c>
      <c r="D9" s="52" t="s">
        <v>1143</v>
      </c>
    </row>
    <row r="10" spans="1:6">
      <c r="A10" t="s">
        <v>1139</v>
      </c>
      <c r="B10" t="s">
        <v>1144</v>
      </c>
      <c r="D10" s="52" t="s">
        <v>74</v>
      </c>
    </row>
    <row r="11" spans="1:6" ht="29">
      <c r="A11" t="s">
        <v>1139</v>
      </c>
      <c r="B11" t="s">
        <v>1145</v>
      </c>
      <c r="D11" s="52" t="s">
        <v>67</v>
      </c>
    </row>
    <row r="12" spans="1:6" ht="29">
      <c r="A12" t="s">
        <v>1139</v>
      </c>
      <c r="B12" t="s">
        <v>1146</v>
      </c>
      <c r="D12" s="52" t="s">
        <v>1147</v>
      </c>
    </row>
    <row r="13" spans="1:6" ht="29">
      <c r="A13" t="s">
        <v>1148</v>
      </c>
      <c r="B13" t="s">
        <v>1149</v>
      </c>
      <c r="D13" s="52" t="s">
        <v>1150</v>
      </c>
    </row>
    <row r="14" spans="1:6" ht="29">
      <c r="A14" t="s">
        <v>1148</v>
      </c>
      <c r="B14" t="s">
        <v>26</v>
      </c>
      <c r="D14" s="52" t="s">
        <v>1151</v>
      </c>
    </row>
    <row r="15" spans="1:6" ht="29">
      <c r="A15" t="s">
        <v>24</v>
      </c>
      <c r="B15" t="s">
        <v>24</v>
      </c>
      <c r="D15" s="52" t="s">
        <v>1152</v>
      </c>
    </row>
    <row r="16" spans="1:6" ht="29">
      <c r="D16" s="52" t="s">
        <v>110</v>
      </c>
    </row>
    <row r="17" spans="4:4" ht="29">
      <c r="D17" s="52" t="s">
        <v>85</v>
      </c>
    </row>
    <row r="18" spans="4:4" ht="29">
      <c r="D18" s="52" t="s">
        <v>82</v>
      </c>
    </row>
    <row r="19" spans="4:4">
      <c r="D19" s="52"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6037a3-376c-4e35-9673-91218b302fbb">
      <Terms xmlns="http://schemas.microsoft.com/office/infopath/2007/PartnerControls"/>
    </lcf76f155ced4ddcb4097134ff3c332f>
    <TaxCatchAll xmlns="281f7b61-b72b-4a21-bb24-e43f40679a49" xsi:nil="true"/>
  </documentManagement>
</p:properties>
</file>

<file path=customXml/itemProps1.xml><?xml version="1.0" encoding="utf-8"?>
<ds:datastoreItem xmlns:ds="http://schemas.openxmlformats.org/officeDocument/2006/customXml" ds:itemID="{045C77D0-5834-4DE9-BC59-D25720EBB0B8}"/>
</file>

<file path=customXml/itemProps2.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3.xml><?xml version="1.0" encoding="utf-8"?>
<ds:datastoreItem xmlns:ds="http://schemas.openxmlformats.org/officeDocument/2006/customXml" ds:itemID="{9C3BBD1B-D8EB-4F55-AA85-1B39798B5B8A}">
  <ds:schemaRefs>
    <ds:schemaRef ds:uri="http://schemas.microsoft.com/office/2006/metadata/properties"/>
    <ds:schemaRef ds:uri="http://purl.org/dc/elements/1.1/"/>
    <ds:schemaRef ds:uri="http://schemas.openxmlformats.org/package/2006/metadata/core-properties"/>
    <ds:schemaRef ds:uri="http://purl.org/dc/terms/"/>
    <ds:schemaRef ds:uri="http://schemas.microsoft.com/office/infopath/2007/PartnerControls"/>
    <ds:schemaRef ds:uri="266b1bd2-8b66-448e-a3a1-0a5cc823683d"/>
    <ds:schemaRef ds:uri="http://schemas.microsoft.com/office/2006/documentManagement/types"/>
    <ds:schemaRef ds:uri="9189d81a-f84b-42a2-8c3c-6129aff3c0d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Instruccions</vt:lpstr>
      <vt:lpstr>PROGRAMA ANUAL 2026</vt:lpstr>
      <vt:lpstr>PROGRAMA ANUAL 25</vt:lpstr>
      <vt:lpstr>PLA ESTRATÈGIC</vt:lpstr>
      <vt:lpstr>Llistes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Parpal Servole, Jordi</cp:lastModifiedBy>
  <cp:revision/>
  <dcterms:created xsi:type="dcterms:W3CDTF">2015-06-05T18:17:20Z</dcterms:created>
  <dcterms:modified xsi:type="dcterms:W3CDTF">2026-02-23T16:07:49Z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