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mc:AlternateContent xmlns:mc="http://schemas.openxmlformats.org/markup-compatibility/2006">
    <mc:Choice Requires="x15">
      <x15ac:absPath xmlns:x15ac="http://schemas.microsoft.com/office/spreadsheetml/2010/11/ac" url="D:\40521698E\Desktop\"/>
    </mc:Choice>
  </mc:AlternateContent>
  <bookViews>
    <workbookView xWindow="-120" yWindow="-120" windowWidth="29040" windowHeight="15840" tabRatio="395" firstSheet="1" activeTab="1"/>
  </bookViews>
  <sheets>
    <sheet name="Instruccions" sheetId="18" r:id="rId1"/>
    <sheet name="PROGRAMA ANUAL" sheetId="14" r:id="rId2"/>
    <sheet name="PLA ESTRATÈGIC" sheetId="16" r:id="rId3"/>
    <sheet name="Llistes" sheetId="5" r:id="rId4"/>
    <sheet name="Gestors" sheetId="19" r:id="rId5"/>
  </sheets>
  <externalReferences>
    <externalReference r:id="rId6"/>
    <externalReference r:id="rId7"/>
    <externalReference r:id="rId8"/>
  </externalReferences>
  <definedNames>
    <definedName name="_xlnm._FilterDatabase" localSheetId="2" hidden="1">'PLA ESTRATÈGIC'!$A$4:$P$185</definedName>
    <definedName name="_xlnm._FilterDatabase" localSheetId="1" hidden="1">'PROGRAMA ANUAL'!$A$3:$N$118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8" i="14" l="1"/>
</calcChain>
</file>

<file path=xl/sharedStrings.xml><?xml version="1.0" encoding="utf-8"?>
<sst xmlns="http://schemas.openxmlformats.org/spreadsheetml/2006/main" count="2914" uniqueCount="1191">
  <si>
    <t>EIXOS</t>
  </si>
  <si>
    <t>OBJECTIUS Generals (PP)</t>
  </si>
  <si>
    <t>OBJECTIUS Estratègics</t>
  </si>
  <si>
    <t>Import</t>
  </si>
  <si>
    <t>NATURA</t>
  </si>
  <si>
    <t>CONSERVAR LA NATURA i restaurar els ecosistemes, els processos naturals i seminaturals, la biodiversitat i la geodiversitat associada.</t>
  </si>
  <si>
    <t>Adequar i fer eficient la conservació dels elements objecte de gestió prioritària marcats per la DG a l'ENP</t>
  </si>
  <si>
    <t>01.1.1</t>
  </si>
  <si>
    <t>Implementar i executar plans de gestió específics per a hàbitats i espècies de conservació prioritària dins l'ENP</t>
  </si>
  <si>
    <t>01.1.2</t>
  </si>
  <si>
    <t>Adaptar i executar plans de gestió específics per a elements geològics de conservació prioritària dins l'ENP</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</si>
  <si>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</si>
  <si>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</si>
  <si>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</si>
  <si>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01.2.2</t>
  </si>
  <si>
    <t>Executar les mesures previstes en els plans de conservació o recuperació d'espècies amenaçades de forma coordinada amb el Servei de Flora i Fauna en l'àmbit de l'ENP</t>
  </si>
  <si>
    <t>01.2.3</t>
  </si>
  <si>
    <t>Executar les mesures de gestió previstes en els plans de control i erradicació d'espècies exòtiques de forma coordinada amb el Servei de Flora i Fauna en l'àmbit de l'ENP</t>
  </si>
  <si>
    <t>01.2.4</t>
  </si>
  <si>
    <t xml:space="preserve">Desplegar els objectius i tasques recollits en els instruments de referència i compromisos internacionals  </t>
  </si>
  <si>
    <t>Crear ecosistemes complexes, resilients, i d'alta biodiversitat per garantir la recuperació dels processos ecosistèmics</t>
  </si>
  <si>
    <t>01.3.1</t>
  </si>
  <si>
    <t>Identificar espais pel foment de la dinàmica natural i l'aprofitament no extractiu</t>
  </si>
  <si>
    <t>01.3.2</t>
  </si>
  <si>
    <t>Afavorir la maduresa dels sistemes forestals</t>
  </si>
  <si>
    <t>01.3.3</t>
  </si>
  <si>
    <t>Generar pertorbacions controlades</t>
  </si>
  <si>
    <t>01.3.4</t>
  </si>
  <si>
    <t xml:space="preserve">Restaurar la dinàmica natural dels rius </t>
  </si>
  <si>
    <t>01.3.5</t>
  </si>
  <si>
    <t>Fomentar el paisatge en mosaïc</t>
  </si>
  <si>
    <t>01.3.6</t>
  </si>
  <si>
    <t>Gestionar i intervenir en la dinàmica de poblacions de fauna que no tenen depredador natural</t>
  </si>
  <si>
    <t>Alinear l'activitat de propietaris i gestors del territori amb la conservació, millora i restauració dels valors de l'ENP</t>
  </si>
  <si>
    <t>01.4.1</t>
  </si>
  <si>
    <t>Fomentar acords de custòdia en espais d'alt valor dins l'ENP per a la gestió dels elements prioritaris</t>
  </si>
  <si>
    <t>01.4.2</t>
  </si>
  <si>
    <t>Fomentar bones pràctiques entre els col·lectius de propietaris i gestors del territori</t>
  </si>
  <si>
    <t>01.4.3</t>
  </si>
  <si>
    <t>Impulsar la coordinació amb els ens locals en la gestió finques públiques situades dins d’ENP</t>
  </si>
  <si>
    <t>ADAPTAR ELS ECOSISTEMES AL CANVI CLIMÀTIC i millorar-ne la resiliència en front dels riscos associats.</t>
  </si>
  <si>
    <t>Planificar l'adaptació dels sistemes naturals al canvi climàtic</t>
  </si>
  <si>
    <t>02.1.1</t>
  </si>
  <si>
    <t>Adaptar i implementar el Pla d'adaptació de l'ENP al canvi climàtic</t>
  </si>
  <si>
    <t>02.1.2</t>
  </si>
  <si>
    <t>Gestionar i planificar els recursos hídrics de l'ENP</t>
  </si>
  <si>
    <t>02.1.3</t>
  </si>
  <si>
    <t>Participar en la redacció i execució dels instruments d'ordenació forestal sostenible i per la conservació en finques públiques</t>
  </si>
  <si>
    <t>02.1.4</t>
  </si>
  <si>
    <t>Promoure la redacció d'instruments d'ordenació forestal per reduir la sensibilitat i vulnerabilitat dels boscos al canvi climàtic en finques privades</t>
  </si>
  <si>
    <t xml:space="preserve">Planificar la prevenció i extinció d’incendis forestals i la gestió del foc de forma coordinada amb els diferents agents del territori </t>
  </si>
  <si>
    <t>02.2.1</t>
  </si>
  <si>
    <t xml:space="preserve">Redactar i implementar el Pla de Prevenció d'Incendis </t>
  </si>
  <si>
    <t>02.2.2</t>
  </si>
  <si>
    <t>Definir i planificar la gestió del foc per a la millora de l'ENP</t>
  </si>
  <si>
    <t>02.2.3</t>
  </si>
  <si>
    <t>Treballar per a la prevenció d'incendis juntament amb els propietaris, ajuntaments, protecció civil, ADF i bombers.</t>
  </si>
  <si>
    <t>PROTEGIR LA BIODIVERSITAT, i especialment els elements fràgils i amenaçats, d’interès comunitari o de major interès natural.</t>
  </si>
  <si>
    <t>Prevenir, minimitzar i compensar els impactes ambientals dels usos i activitats que es desenvolupin en l'àmbit de l'ENP</t>
  </si>
  <si>
    <t>03.1.1</t>
  </si>
  <si>
    <t>Participar en les consultes dels procesos d'Avaluació Ambiental que afectin directament o indirectament l’espai del ENP</t>
  </si>
  <si>
    <t>03.1.2</t>
  </si>
  <si>
    <t>Exercir un seguiment efectiu de les obres al Parc juntament amb les Oficines Territorials d'Acció i Avaluació Ambiental als efectes d'assegurar la correcta translació de la tutela administrativa.</t>
  </si>
  <si>
    <t>03.1.3</t>
  </si>
  <si>
    <t>Participar en la compensació d'impactes residuals durant els processos d'avaluació ambiental mitjançant la identificació de necessitats d'actuació prioritària dins i fora dels límits de l’ENP</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</si>
  <si>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</si>
  <si>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</si>
  <si>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</si>
  <si>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Vetllar pel manteniment dels cabals ecològics i la bona qualitat dels cursos fluvials de l'ENP de forma coordinada amb l'administració competent</t>
  </si>
  <si>
    <t>03.3.1</t>
  </si>
  <si>
    <t>Vetllar pel manteniment del cabal ecològic dels rius definit al Pla sectorial corresponent</t>
  </si>
  <si>
    <t>03.3.2</t>
  </si>
  <si>
    <t>Vetllar per la regulació dels dragatges, canalitzacions o implantació d'activitats extractives que puguin modificar la llera i el cabal dels rius</t>
  </si>
  <si>
    <t>03.3.3</t>
  </si>
  <si>
    <t>Avaluar i controlar les actuacions que produeixin drenatges, captacions o que puguin impedir l’arribada d’aigua tant superficial com freàtica</t>
  </si>
  <si>
    <t>03.3.4</t>
  </si>
  <si>
    <t>Vetllar pel compliment de la normativa de depuració dels efluents agroramaders, urbans i industrials que s'aboquen als cursos fluvials</t>
  </si>
  <si>
    <t>Incrementar el patrimoni públic destinat a la conservació i millora del patrimoni natural</t>
  </si>
  <si>
    <t>03.4.1</t>
  </si>
  <si>
    <t xml:space="preserve">Identificar espais prioritaris per a la compra de terrenys de més valor dins l'ENP </t>
  </si>
  <si>
    <t>03.4.2</t>
  </si>
  <si>
    <t>Identificar espais prioritaris per a la gestió directa</t>
  </si>
  <si>
    <t xml:space="preserve"> CULTURA</t>
  </si>
  <si>
    <t>CONSERVAR ELS ELEMENTS CULTURALS materials i immaterials vinculats a la natura</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</si>
  <si>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</si>
  <si>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</si>
  <si>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</si>
  <si>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04.1.2</t>
  </si>
  <si>
    <t>Elaborar el catàleg lingüístic (localismes) de patrimoni natural, geografia popular, festes i activitats tradicionals de l'ENP</t>
  </si>
  <si>
    <t>04.1.3</t>
  </si>
  <si>
    <t>Elaborar la cartografia de la xarxa de camins ramaders i senders tradicionals de l'ENP</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</si>
  <si>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</si>
  <si>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</si>
  <si>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</si>
  <si>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04.2.2</t>
  </si>
  <si>
    <t>Articular treballs conjunts entre l'ENP i representants, gestors o custodis del patrimoni cultural per a la seva protecció i millora</t>
  </si>
  <si>
    <t>04.2.3</t>
  </si>
  <si>
    <t>Coordinar i participar dels treballs de restauració arquitectònica i del patrimoni cultural</t>
  </si>
  <si>
    <t>04.2.4</t>
  </si>
  <si>
    <t>Disposar de personal especialitzat en patrimoni cultural</t>
  </si>
  <si>
    <t>Potenciar la conservació i recuperació del patrimoni cultural material i immaterial de l'ENP</t>
  </si>
  <si>
    <t>04.3.1</t>
  </si>
  <si>
    <t xml:space="preserve">Recuperar i conservar el patrimoni cultural rural immaterial associat a les activitats i aprofitaments tradicionals </t>
  </si>
  <si>
    <t>04.3.2</t>
  </si>
  <si>
    <t>Recuperar i conservar el patrimoni cultural rural vinculat específicament a construccions de pedra en sec</t>
  </si>
  <si>
    <t>04.3.3</t>
  </si>
  <si>
    <t xml:space="preserve">Fomentar la recuperació i conservació de l'arquitectura tradicional d'intrès de les edificacions i construccions </t>
  </si>
  <si>
    <t>04.3.4</t>
  </si>
  <si>
    <t>Identificar i conservar la diversitat domesticada de varietats agrícoles i ramaderes locals</t>
  </si>
  <si>
    <t xml:space="preserve">Donar a conèixer els elements culturals com a valors del paisatge de l'ENP en les activitats d'ús públic </t>
  </si>
  <si>
    <t>04.4.1</t>
  </si>
  <si>
    <t>Integrar el patrimoni cultural als itineraris i cartelleria de l'ENP.</t>
  </si>
  <si>
    <t>04.4.2</t>
  </si>
  <si>
    <t>Incorporar el patrimoni cultural en els plans d’ús públic i educació ambiental per fomentar-ne la seva conservació i divulgació.</t>
  </si>
  <si>
    <t>04.4.3</t>
  </si>
  <si>
    <t>Formar el personal dels punts d’informació en els valors culturals de l'ENP</t>
  </si>
  <si>
    <t>PROTEGIR EL PAISATGE i la qualitat de l'ambient visual, sonor i lumínic.</t>
  </si>
  <si>
    <t>Identificar els elements d'interès paisatgístic de l'espai</t>
  </si>
  <si>
    <t>05.1.1</t>
  </si>
  <si>
    <t xml:space="preserve">Elaborar un inventari d'elements d'interès paisatgístic de l'ENP d'acord amb el Catàleg de paisatge de la zona </t>
  </si>
  <si>
    <t>Millorar la qualitat paisatgística</t>
  </si>
  <si>
    <t>05.2.1</t>
  </si>
  <si>
    <t>Desplegar actuacions de restauració dels elements d'interès paisatgístic degradats</t>
  </si>
  <si>
    <t>05.2.2</t>
  </si>
  <si>
    <t>Gestionar l'abandonament d'infraestructures i instal·lacions amb inpactes sobre els valors de l'espai</t>
  </si>
  <si>
    <t>05.2.3</t>
  </si>
  <si>
    <t>Minimitzar la brutícia, deixalles, vandalisme i males praxis dins l'ENP</t>
  </si>
  <si>
    <t>Protegir la qualitat acústica i lumínica de l'ENP</t>
  </si>
  <si>
    <t>05.3.1</t>
  </si>
  <si>
    <t>Promoure la certificació de qualitat del cel nocturn</t>
  </si>
  <si>
    <t>05.3.2</t>
  </si>
  <si>
    <t>Promoure la certificació de zones d'especial protecció de la qualitat acústica</t>
  </si>
  <si>
    <t xml:space="preserve">CONEIXEMENT </t>
  </si>
  <si>
    <t>MILLORAR EL CONEIXEMENT DE L'ENTORN, del patrimoni natural, cultural i social.</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</si>
  <si>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</si>
  <si>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</si>
  <si>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</si>
  <si>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06.1.2</t>
  </si>
  <si>
    <t>Definir espais fràgils i zones d'especial atenció</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</si>
  <si>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</si>
  <si>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</si>
  <si>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</si>
  <si>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06.2.2</t>
  </si>
  <si>
    <t>Conèixer i estudiar els processos naturals propis de l’espai, la seva funcionalitat, i ecologia en referència als ecosistemes</t>
  </si>
  <si>
    <t>06.2.3</t>
  </si>
  <si>
    <t>Conèixer els usos i factors de canvi rellevants en l'evolució dels elements de conservació, i avaluar els efectes que generen en l’espai (pressions i amenaces)</t>
  </si>
  <si>
    <t>06.2.4</t>
  </si>
  <si>
    <t>Conèixer l'impacte de les gestió de l'aigua, sobre la biodiversitat.</t>
  </si>
  <si>
    <t>06.2.5</t>
  </si>
  <si>
    <t>Participar en el coneixement de la tendència d'espècies plaga amb afectacions sobre ecosistemes o activitats econòmiques dins l'ENP</t>
  </si>
  <si>
    <t>06.2.6</t>
  </si>
  <si>
    <t>Conèixer la tendència d'espècies exòtiques invasores amb afectacions sobre ecosistemes o activitats econòmiques dins l'ENP</t>
  </si>
  <si>
    <t>06.2.7</t>
  </si>
  <si>
    <t>Coneixer com millorar la connectivitat de forma coordinada amb altres ENP</t>
  </si>
  <si>
    <t xml:space="preserve">Estandaritzar els seguiments periòdics dels grups clau </t>
  </si>
  <si>
    <t>06.3.1</t>
  </si>
  <si>
    <t>Participar en la definició del sistema estàndard de seguiment de flora, fauna i hàbitats de la DG</t>
  </si>
  <si>
    <t>06.3.2</t>
  </si>
  <si>
    <t>Adequar i executar el sistema de seguiment periòdic dels grups clau de l'ENP al sistema estàndard de seguiment</t>
  </si>
  <si>
    <t>06.3.3</t>
  </si>
  <si>
    <t xml:space="preserve">Mantenir una base de dades de seguiment de patrimoni natural de l'ENP actualitzada i ordenada </t>
  </si>
  <si>
    <t>06.3.4</t>
  </si>
  <si>
    <t>Participar en el grups de treball per a la definició i organització del SINATCAT</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</si>
  <si>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</si>
  <si>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</si>
  <si>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</si>
  <si>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06.4.2</t>
  </si>
  <si>
    <t>Establir acords amb les institucions de recerca i naturalistes per al desenvolupament d'estudis i inventaris dins l'ENP en el marc de les seves línies de recerca</t>
  </si>
  <si>
    <t>06.4.3</t>
  </si>
  <si>
    <t xml:space="preserve">Potenciar la ciència ciutadana en l’ENP com a eina per generar coneixement </t>
  </si>
  <si>
    <t>06.4.4</t>
  </si>
  <si>
    <t xml:space="preserve">Crear i desenvolupar jornades de recerca de l'ENP de forma anual on els diferents centres mostrin els estudis realizats en l'ENP </t>
  </si>
  <si>
    <t>06.4.5</t>
  </si>
  <si>
    <t>Posar a disposició de la recerca, equipaments i serveis de l'ENP</t>
  </si>
  <si>
    <t>06.4.6</t>
  </si>
  <si>
    <t xml:space="preserve">Crear l'Observatori de recerca de l'ENP vinculat a l'Observatori del Patrimoni natural i la biodiversitat </t>
  </si>
  <si>
    <t>Millorar el coneixement global de les dinàmiques d'usos antròpics de l’ENP</t>
  </si>
  <si>
    <t>06.5.1</t>
  </si>
  <si>
    <t>Participar en la definició del sistema estándard de seguiment de l'ús públic amb el SENP</t>
  </si>
  <si>
    <t>06.5.2</t>
  </si>
  <si>
    <t xml:space="preserve">Disposar de dades de freqüentació i perfil d'usuari en l'ENP i en especial en equipaments i en zones d'alta freqüentació segons el model de DG </t>
  </si>
  <si>
    <t>06.5.3</t>
  </si>
  <si>
    <t>Identificar les activitats i actors de l’espai.</t>
  </si>
  <si>
    <t>06.5.4</t>
  </si>
  <si>
    <t>Identificar en cartografia les males praxis i punts de massificació</t>
  </si>
  <si>
    <t>06.5.5</t>
  </si>
  <si>
    <t>Adaptar i mantenir un registre d'activitats, actors i inciències en ús públic (curses, conflictes, queixes, etc)</t>
  </si>
  <si>
    <t>06.5.6</t>
  </si>
  <si>
    <t>Identificar els impactes (positius i negatius) que generen les activitats d'ús públic dins l'ENP</t>
  </si>
  <si>
    <t xml:space="preserve">DESENVOLUPAMENT LOCAL </t>
  </si>
  <si>
    <t>FIXAR LA POBLACIÓ AL TERRITORI d'acord amb les oportunitats que generen els objectius de l'espai.</t>
  </si>
  <si>
    <t xml:space="preserve">Fomentar i donar suport tècnic als Plans de desenvolupament socioecòmonic local sostenible dels municipis </t>
  </si>
  <si>
    <t>07.1.1</t>
  </si>
  <si>
    <t xml:space="preserve">Promoure i col·laborar en l'aplicació de Plans de Desenvolupament Local Sostenible </t>
  </si>
  <si>
    <t xml:space="preserve">APROFITAR ELS RECURSOS NATURALS DE FORMA SOSTENIBLE mitjançant desenvolupament dels aprofitaments tradicionals de forma compatible amb la conservació de l'espai </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</si>
  <si>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</si>
  <si>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</si>
  <si>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</si>
  <si>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08.1.2</t>
  </si>
  <si>
    <t xml:space="preserve">Oferir formació als productors agraris per millorar el seu coneixement sobre tècniques eficients i respectuoses amb la conservació del patrimoni natural i cultural </t>
  </si>
  <si>
    <t>08.1.3</t>
  </si>
  <si>
    <t>Promoure la recuperació i conservació de marges i punts d'aigua associats a la ramaderia i l'agricultura i d'interès per la biodiversitat</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</si>
  <si>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</si>
  <si>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</si>
  <si>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</si>
  <si>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</si>
  <si>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</si>
  <si>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</si>
  <si>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08.3.2</t>
  </si>
  <si>
    <t>Integrar els productes i activitats locals de qualitat en l'oferta d'activitats d'informació i turístiques de l'ENP</t>
  </si>
  <si>
    <t>08.3.3</t>
  </si>
  <si>
    <t>Promoure fires d'artesania i productes locals de l'ENP</t>
  </si>
  <si>
    <t>08.3.4</t>
  </si>
  <si>
    <t xml:space="preserve">Generar aliances entre el sector primari, el turisme, la restauració i altres per fomentar la gastronomia local </t>
  </si>
  <si>
    <t>08.3.5</t>
  </si>
  <si>
    <t>Elaborar una diagnòsi del teixit productiu local i un pla d’acció amb línies de treball i actuacions concretes per donar-li suport</t>
  </si>
  <si>
    <t>08.3.6</t>
  </si>
  <si>
    <t>Elaborar una guia per promocionar els agents del territori que potencien i difonen els productes alimentaris locals i de qualitat (allotjaments, restaurants, cellers, establiments, elaboradors i productors)</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</si>
  <si>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</si>
  <si>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</si>
  <si>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</si>
  <si>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08.4.2</t>
  </si>
  <si>
    <t>Col·laborar en la regulació i ordenació de la caça i la pesca en zones sensibles o amb risc d'afectació d'elements clau objecte de conservació</t>
  </si>
  <si>
    <t>08.4.3</t>
  </si>
  <si>
    <t>Donar suport en la gestió de poblacions que generen danys a les activitats econòmiques de l'ENP</t>
  </si>
  <si>
    <t xml:space="preserve">FOMENTAR UN TURISME SOSTENIBLE compatible amb la conservació de l'espai </t>
  </si>
  <si>
    <t xml:space="preserve">Fomentar un model de turisme que promogui els valors dels espais naturals protegits d'acord amb els agents turístics del territori </t>
  </si>
  <si>
    <t>09.1.1</t>
  </si>
  <si>
    <t>Desplegar la Carta Europea de Turisme Sostenible (CETS)</t>
  </si>
  <si>
    <t>09.1.2</t>
  </si>
  <si>
    <t>Tramitar la certificació Biosphere</t>
  </si>
  <si>
    <t>Promoure la coordinació amb els agents turístics del territori (empreses, industries, administració).</t>
  </si>
  <si>
    <t>09.2.1</t>
  </si>
  <si>
    <t xml:space="preserve">Treballar amb les empreses turístiques per trobar eines de canvi cap a un model de turisme sostenible i de qualitat </t>
  </si>
  <si>
    <t>09.2.2</t>
  </si>
  <si>
    <t>Crear productes i paquets turístics amb associacions d’empreses turístiques i operadors turístics</t>
  </si>
  <si>
    <t>ÚS PÚBLIC I SOCIAL</t>
  </si>
  <si>
    <t>ORDENAR ELS USOS I APROFITAMENTS per garantir l'equilibri de les activitats humanes amb la conservació de la biodiversitat</t>
  </si>
  <si>
    <t>Estandarditzar de regulació d'usos i aprofitaments  en base al model de Pla de protecció</t>
  </si>
  <si>
    <t>10.1.1</t>
  </si>
  <si>
    <t>Establir un model de construcció a l'ENP en base al model de Pla de protecció</t>
  </si>
  <si>
    <t>ORDENAR L'ÚS PÚBLIC I SOCIAL per a la protecció dels hàbitats, espècies i elements geològics</t>
  </si>
  <si>
    <t>Estandaritzar regulació de l’ús públic i social en base al model acordat per govern</t>
  </si>
  <si>
    <t>11.1.1</t>
  </si>
  <si>
    <t>Regular l'acampada i pernoctació  en base al model de Pla de protecció</t>
  </si>
  <si>
    <t>11.1.2</t>
  </si>
  <si>
    <t>Regular la circulació rodada no motoritzada en base al model de Pla de protecció</t>
  </si>
  <si>
    <t>11.1.3</t>
  </si>
  <si>
    <t>Regular l'escalada i alpinisme, barranquisme, i espeleologia  en base al model de Pla de protecció</t>
  </si>
  <si>
    <t>11.1.4</t>
  </si>
  <si>
    <t>Regular les curses i altres activitats esportives organitzades en base al model de Pla de protecció</t>
  </si>
  <si>
    <t>11.1.5</t>
  </si>
  <si>
    <t>Regular els enregistraments i l'observació de fauna i natura en base al model de Pla de protecció</t>
  </si>
  <si>
    <t>11.1.6</t>
  </si>
  <si>
    <t>Regular les activitats científiques en base al model de Pla de protecció</t>
  </si>
  <si>
    <t>11.1.7</t>
  </si>
  <si>
    <t>Regular les zones de bany</t>
  </si>
  <si>
    <t>11.1.8</t>
  </si>
  <si>
    <t>Regular l'enlairament i aterratge sense motor</t>
  </si>
  <si>
    <t>11.1.9</t>
  </si>
  <si>
    <t>Regular el submarinisme i l'snorkel</t>
  </si>
  <si>
    <t>11.1.10</t>
  </si>
  <si>
    <t>Regular les activitats aquàtiques i nàutiques i zones de fondeig</t>
  </si>
  <si>
    <t>11.1.11</t>
  </si>
  <si>
    <t>Regular la presència d'animals de companyia</t>
  </si>
  <si>
    <t>11.1.12</t>
  </si>
  <si>
    <t>Regular lels activitats d'educació ambiental i el lleure educatiu</t>
  </si>
  <si>
    <t>Disposar de la xarxa viària i itineraris oficials de l'ENP</t>
  </si>
  <si>
    <t>11.2.1</t>
  </si>
  <si>
    <t xml:space="preserve">Identificar i classificar la xarxa viària bàsica, secundària, senders i itineraris senyalitzats d'acord amb els ajuntaments </t>
  </si>
  <si>
    <t>11.2.2</t>
  </si>
  <si>
    <t>Treballar conjuntament amb els principals canals d’informació de rutes  per prioritzar itineraris oficials dins l’ENP</t>
  </si>
  <si>
    <t>Implementar el protocol estandarditzat basat en el pla per la regulació al accés, circulació i ús de la xarxa viària</t>
  </si>
  <si>
    <t>11.3.1</t>
  </si>
  <si>
    <t>Regular l'accés i la circulació</t>
  </si>
  <si>
    <t>11.3.2</t>
  </si>
  <si>
    <t>Regular la xarxa viària principal, secundària i restringida</t>
  </si>
  <si>
    <t>11.3.3</t>
  </si>
  <si>
    <t>Regular l'ús de drons, l'enlairament i l'aterratge</t>
  </si>
  <si>
    <t>11.3.4</t>
  </si>
  <si>
    <t>Aplicar limitacions temporals d'accés o circulació</t>
  </si>
  <si>
    <t>11.3.5</t>
  </si>
  <si>
    <t>Regular l'aparcament de vehícles</t>
  </si>
  <si>
    <t>Enfortir la col·laboració i coordinació amb els agents d'ús públic (empreses, entitats i ajuntaments)</t>
  </si>
  <si>
    <t>11.4.1</t>
  </si>
  <si>
    <t>Implementar l'ordenació de l'ús públic en col·laboració amb els agents del territori</t>
  </si>
  <si>
    <t>11.4.2</t>
  </si>
  <si>
    <t>Promoció i acompanyament en l'ordenació de l'ús públic de l'ENP des de l'àmbit municipal</t>
  </si>
  <si>
    <t>Mantenir i millorar la senyalització de l'ENP</t>
  </si>
  <si>
    <t>11.5.1</t>
  </si>
  <si>
    <t>Realitzar l'inventari de senyalètica de l'ENP</t>
  </si>
  <si>
    <t>11.5.2</t>
  </si>
  <si>
    <t xml:space="preserve">Implantar el programa de senyalització i manteniment </t>
  </si>
  <si>
    <t>Prevenir i gestionar els impactes derivats de la sobrefreqüentació</t>
  </si>
  <si>
    <t>11.6.1</t>
  </si>
  <si>
    <t xml:space="preserve">Potenciar la visita a espais alternatius dins de l'àmbit d'influència de l'espai natural per reduir la pressió en zones sensibles </t>
  </si>
  <si>
    <t>11.6.2</t>
  </si>
  <si>
    <t xml:space="preserve">Implementar les mesures extraordinàries de regulació de l'ús públic </t>
  </si>
  <si>
    <t>Ordenar i estandaritzar els espais d'acollida de visitants i equipaments d'ús públic, i garantir un correcte servei d'atenció i acollida dels visitants</t>
  </si>
  <si>
    <t>11.7.1</t>
  </si>
  <si>
    <t>Adequar els principals accessos, aparcaments i centres d'interès amb un ús elevat</t>
  </si>
  <si>
    <t>11.7.2</t>
  </si>
  <si>
    <t>Disposar dels equipaments i infraestructures necessàries i accessibles per acollir, informar, facilitar la visita i garantir la seguretat dels visitants i la protecció de l'entorn</t>
  </si>
  <si>
    <t>11.7.3</t>
  </si>
  <si>
    <t>Desenvolupar el Pla d'acollida als visitants en base al model de la DG</t>
  </si>
  <si>
    <t>11.7.4</t>
  </si>
  <si>
    <t>Adaptar els missatges a donar des d'oficines d’informació, pròpies i alienes, d'acord amb el model de la DG</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</si>
  <si>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</si>
  <si>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</si>
  <si>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</si>
  <si>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11.8.2</t>
  </si>
  <si>
    <t>Millorar la coordinació amb els cossos de seguretat per efectuar accions de control i vigilància</t>
  </si>
  <si>
    <t>11.8.3</t>
  </si>
  <si>
    <t>Vetllar pel compliment d'informes i la vigilància tècnica de l'espai</t>
  </si>
  <si>
    <t>GESTIONAR ELS RISCOS NATURALS per a l'autoprotecció de la població local</t>
  </si>
  <si>
    <t>Col·laborar amb les autoritats competents per a la gestió de riscos dins l’ENP</t>
  </si>
  <si>
    <t>12.1.1</t>
  </si>
  <si>
    <t>Ordenar el pla d’emergències</t>
  </si>
  <si>
    <t>12.1.2</t>
  </si>
  <si>
    <t>Contribuir a la protecció dels assentaments humans respecte dels riscos naturals</t>
  </si>
  <si>
    <t xml:space="preserve">EDUCACIÓ, VOLUNTARIAT I COMUNICACIÓ </t>
  </si>
  <si>
    <t>FORMAR I SENSIBILITZAR la població incrementant la valoració i estima social de l'ENP</t>
  </si>
  <si>
    <t xml:space="preserve">Afavorir la vinculació entre la comunitat educativa de l'entorn i l'ENP </t>
  </si>
  <si>
    <t>13.1.1</t>
  </si>
  <si>
    <t>Definir el model de Xarxa d'Escoles de l'Espai Natural (XEEN) a l'ENP amb els agents educatius del territori</t>
  </si>
  <si>
    <t>13.1.2</t>
  </si>
  <si>
    <t>Desplegar el model de Xarxa d'Escoles de l'Espai Natural (XEEN) a l'ENP d'acord amb el model general</t>
  </si>
  <si>
    <t>13.1.3</t>
  </si>
  <si>
    <t xml:space="preserve">Formar i capacitar al professorat de la XEEN </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</si>
  <si>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</si>
  <si>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</si>
  <si>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</si>
  <si>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</si>
  <si>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</si>
  <si>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</si>
  <si>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</si>
  <si>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t>13.2.4</t>
  </si>
  <si>
    <t>Oferir projectes de recerca vinculats a l'espai natural per a l'alumnat universitari i de la XEEN</t>
  </si>
  <si>
    <t>Establir mecanismes estables de formació, treball i coordinació amb els col·lectius implicats en la sensibilització i l'educació dins el ENP</t>
  </si>
  <si>
    <t>13.3.1</t>
  </si>
  <si>
    <t>Establir un model de coordinació territorial amb agents clau de l'educació ambiental</t>
  </si>
  <si>
    <t>13.3.2</t>
  </si>
  <si>
    <t>Cercar i establir col·laboracions i projectes conjunts amb agents clau del territori</t>
  </si>
  <si>
    <t>13.3.3</t>
  </si>
  <si>
    <t>Elaborar formacions dirigides als informadors, educadors i altres prescriptors del territori</t>
  </si>
  <si>
    <t>Desplegar un programa de divulgació i sensibilització per a visitants</t>
  </si>
  <si>
    <t>13.4.1</t>
  </si>
  <si>
    <t>Desplegar en el territori les campanyes de sensibilització i bones pràctiques que s'impulsin des de la DG</t>
  </si>
  <si>
    <t>13.4.2</t>
  </si>
  <si>
    <t xml:space="preserve">Adaptar el programa de divulgació i sensibilització de l'ENP perquè incorpori una oferta d’activitats adequada per a famílies </t>
  </si>
  <si>
    <t>13.4.3</t>
  </si>
  <si>
    <t xml:space="preserve">Adaptar el programa de divulgació i sensibilització de l'ENP perquè incorpori una oferta d’activitats adequada per a altres perfils </t>
  </si>
  <si>
    <t>13.4.4</t>
  </si>
  <si>
    <t xml:space="preserve">Adaptar el programa de divulgació i sensibilització de l'ENP perquè incorpori una oferta d’activitats dirigida al lleure educatiu </t>
  </si>
  <si>
    <t>Desplegar un programa de sensibilització i formació per als col·lectius del territori estratègics en la conservació de la natura</t>
  </si>
  <si>
    <t>13.5.1</t>
  </si>
  <si>
    <t>Identificar col·lectius estratègics implicats en la gestió i l'ús del territori</t>
  </si>
  <si>
    <t>13.5.2</t>
  </si>
  <si>
    <t>Executar els projectes de sensibilització i formació dirigits al sector turístic, esportiu i de lleure</t>
  </si>
  <si>
    <t>13.5.3</t>
  </si>
  <si>
    <t xml:space="preserve">Executar els projectes de sensibilització i formació dirigits als agents de lleure educatiu </t>
  </si>
  <si>
    <t>13.5.4</t>
  </si>
  <si>
    <t xml:space="preserve">Executar els projectes de sensibilització i formació dirigits als agents del sector primari </t>
  </si>
  <si>
    <t>13.5.5</t>
  </si>
  <si>
    <t>Elaborar i renovar periòdicament un programa d’educació ambiental adreçat a la població local que contribueixi a fomentar el sentiment de pertinença i la implicació en la conservació de l'ENP.</t>
  </si>
  <si>
    <t xml:space="preserve">Fomentar accions de voluntariat per conservar el patrimoni natural i cultural </t>
  </si>
  <si>
    <t>13.6.1</t>
  </si>
  <si>
    <t>Identificar els programes, projectes i accions en marxa o previstos a l’ENP que poden rebre el suport del voluntariat</t>
  </si>
  <si>
    <t>13.6.2</t>
  </si>
  <si>
    <t>Establir un model de coordinació territorial amb agents clau del voluntariat ambiental</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</si>
  <si>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</si>
  <si>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</si>
  <si>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</si>
  <si>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</si>
  <si>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</si>
  <si>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</si>
  <si>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</si>
  <si>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Desplegar i adaptar el programa Salut i Natura de la DG en l'àmbit de l'ENP</t>
  </si>
  <si>
    <t>13.8.1</t>
  </si>
  <si>
    <t>Dissenyar, implementar i fomentar itineraris saludables dins dels itineraris oficials dels ENP i en la zona d'influència</t>
  </si>
  <si>
    <t>13.8.2</t>
  </si>
  <si>
    <t>Identificar els agents clau i els àmbits de col·laboració per implementar el binomi salut i natura</t>
  </si>
  <si>
    <t>13.8.3</t>
  </si>
  <si>
    <t xml:space="preserve">Incloure el concepte de salut i natura en els missatges educatius i comunicatius de l'ENP </t>
  </si>
  <si>
    <t>13.8.4</t>
  </si>
  <si>
    <t>Participar a les Taules territorials de Salut i Natura</t>
  </si>
  <si>
    <t>COMUNICAR I DIFONDRE ELS VALORS DE L'ENP, contribuint a l'educació ambiental de la societat</t>
  </si>
  <si>
    <t>Augmentar el coneixement de l'ENP entre la població</t>
  </si>
  <si>
    <t>14.1.1</t>
  </si>
  <si>
    <t>Informar periòdicament sobre les tasques, projectes i actuacions que duu a terme l'ENP a la població</t>
  </si>
  <si>
    <t>14.1.2</t>
  </si>
  <si>
    <t>Garantir l'accessibilitat i gestió del coneixement disponible sobre l'ENP</t>
  </si>
  <si>
    <t>Conscienciar sobre els valors de l'ENP als diferents públics objectiu</t>
  </si>
  <si>
    <t>14.2.1</t>
  </si>
  <si>
    <t>Sensibilitzar als diferents agents sobre els valors de l'ENP</t>
  </si>
  <si>
    <t xml:space="preserve">Disposar d'una comunicació ordenada efectiva, positiva i coordinada que arribi a la ciutadania i aquesta pugui reconèixer fàcilment </t>
  </si>
  <si>
    <t>14.3.1</t>
  </si>
  <si>
    <t>Optimitzar els canals de comunicació</t>
  </si>
  <si>
    <t>14.3.2</t>
  </si>
  <si>
    <t>Garantir l'harmonització de la comunicació com a Parc, Xarxa i Generalitat.</t>
  </si>
  <si>
    <t>GESTIÓ I ADMINISTRACIÓ</t>
  </si>
  <si>
    <t>ESTABLIR EL MARC PER A LA GOVERNANÇA i la gestió eficient de l'espai i la xarxa d'ENP</t>
  </si>
  <si>
    <t>Disposar d'espais per a la participació de personal expert i agents del territori en la governança de l'ENP</t>
  </si>
  <si>
    <t>15.1.1</t>
  </si>
  <si>
    <t>Crear una taula de treball amb els agents prioritaris per a la gestió de l'ENP i els grups de treball temàtics necessaris</t>
  </si>
  <si>
    <t>15.1.2</t>
  </si>
  <si>
    <t>Disposar d'assessorament científic en l'ENP</t>
  </si>
  <si>
    <t>15.1.3</t>
  </si>
  <si>
    <t>Incloure entitats i organismes científics i culturals de referència en els mecanismes de presa de decisions de l'ENP</t>
  </si>
  <si>
    <t>15.1.4</t>
  </si>
  <si>
    <t>Adaptar i desplegar el model de governança dels espais naturals protegits</t>
  </si>
  <si>
    <t>MILLORAR L'EFICIÈNCIA de la gestió administrativa</t>
  </si>
  <si>
    <t>Optimitzar l'aplicació pressupostaria</t>
  </si>
  <si>
    <t>16.1.1</t>
  </si>
  <si>
    <t>Millorar el sistema de control de l'execució del pressupost, d'acord amb les indicacions de Serveis Centrals</t>
  </si>
  <si>
    <t>Planificar i optimitzar els processos de contractació, concessió d'ajuts, i les col·laboracions amb ens públics i privats</t>
  </si>
  <si>
    <t>16.2.1</t>
  </si>
  <si>
    <t>Planificar i detectar les necessitats de contractació del l'ENP per a l'optimització dels contractes a nivell de Xarxa</t>
  </si>
  <si>
    <t>16.2.2</t>
  </si>
  <si>
    <t>Planificar i detectar les tasques de convocatòries d'ajuts de l'ENP</t>
  </si>
  <si>
    <t>16.2.3</t>
  </si>
  <si>
    <t>Establir i renovar en temps i forma convenis de col·laboració, convenis marc, acords, protocols i altres instruments de col·laboració.</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</si>
  <si>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</si>
  <si>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</si>
  <si>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</si>
  <si>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</si>
  <si>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</si>
  <si>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16.3.3</t>
  </si>
  <si>
    <t>Augmentar el coneixement de l'equip de treball en matèria de procediment administratiu</t>
  </si>
  <si>
    <t>16.3.4</t>
  </si>
  <si>
    <t>Garantir la transparència administrativa</t>
  </si>
  <si>
    <t>16.3.5</t>
  </si>
  <si>
    <t>Millorar i mantenir el material i infraestructures de gestió</t>
  </si>
  <si>
    <t>Ordenar l'estat dels béns patrimonials</t>
  </si>
  <si>
    <t>16.4.1</t>
  </si>
  <si>
    <t>Revisar l’estat dels béns patrimonials i la situació administrativa-legal dels equipaments del parc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</si>
  <si>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</si>
  <si>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</si>
  <si>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Estructurar la gestió documental</t>
  </si>
  <si>
    <t>16.5.1</t>
  </si>
  <si>
    <t>Millorar l'accessibilitat i la gestió documental del centre o punt de documentació de l'ENP</t>
  </si>
  <si>
    <t>Gestionar recursos humans</t>
  </si>
  <si>
    <t>16.6.1</t>
  </si>
  <si>
    <t>Gestió de la brigada de manteniment</t>
  </si>
  <si>
    <t>16.6.2</t>
  </si>
  <si>
    <t>Gestió de personal</t>
  </si>
  <si>
    <t>Comú / Específic</t>
  </si>
  <si>
    <t>Obligatori / Optatiu</t>
  </si>
  <si>
    <t>Prioritat</t>
  </si>
  <si>
    <t>Comú</t>
  </si>
  <si>
    <t>Obligatori</t>
  </si>
  <si>
    <t>Específic</t>
  </si>
  <si>
    <t>Optatiu</t>
  </si>
  <si>
    <t>Codi</t>
  </si>
  <si>
    <t>Espai natural protegit:</t>
  </si>
  <si>
    <t>Explicació de la decisió presa en el cas de canvis respecte al llistat inicial (columna G)</t>
  </si>
  <si>
    <t>Objectiu amb mesures incorporables a la planificació anual de la gestió de l'espai?</t>
  </si>
  <si>
    <t>Propostes genèriques d'accions</t>
  </si>
  <si>
    <t>Marc de referència</t>
  </si>
  <si>
    <t>Resultats derivats</t>
  </si>
  <si>
    <t>01.1</t>
  </si>
  <si>
    <t xml:space="preserve">Obligatori </t>
  </si>
  <si>
    <t>MAP</t>
  </si>
  <si>
    <t>SFF: Elaboració de plans de gestió específics per a espècies de conservació prioritària i directrius de gestió d'hàbitats.
SFF/SENP: Definir a nivell de cluster quins son els que es poden elaborar conjuntament.</t>
  </si>
  <si>
    <t>01.2</t>
  </si>
  <si>
    <t>ESNATURA</t>
  </si>
  <si>
    <t>SENP: Elaboració d'un manual per la implementació dels OSAM</t>
  </si>
  <si>
    <t>MAP
Catàlegs</t>
  </si>
  <si>
    <t>SFF: Elaboració de plans de conservació o recuperació d'espècies protegides</t>
  </si>
  <si>
    <t>ESNATURA
MAP</t>
  </si>
  <si>
    <t>SFF: Elaboració de plans de control i erradicació d'espècies exòtiques</t>
  </si>
  <si>
    <t xml:space="preserve">Optatiu </t>
  </si>
  <si>
    <t>01.3</t>
  </si>
  <si>
    <t>SENP/SFF: Definir criteris metodològics</t>
  </si>
  <si>
    <t>01.4</t>
  </si>
  <si>
    <t>SENP/SENP: Dissenyar el protocol i elaborar un model d'acord</t>
  </si>
  <si>
    <t>02.1</t>
  </si>
  <si>
    <t xml:space="preserve">OCCC/SENP: Elaboració del model de Pla d'adaptació dels ENP al canvi climàtic </t>
  </si>
  <si>
    <t>DGEFMN: Redacció d'IOF en finques públiques</t>
  </si>
  <si>
    <t>02.2</t>
  </si>
  <si>
    <t>Equip de PPI: Disseny del protocol de treball</t>
  </si>
  <si>
    <t>SPEN: Elaboració d'un model de pla de gestió</t>
  </si>
  <si>
    <t>03.1</t>
  </si>
  <si>
    <t>03.2</t>
  </si>
  <si>
    <t>SPEN: Elaboració del Pla rector d'usos i gestió.
SPEN: Elaboració del Pla rector d'usos i gestió</t>
  </si>
  <si>
    <t>03.3</t>
  </si>
  <si>
    <t>ACA/CHE: Determinar els cabals ecològics en espais naturals protegits</t>
  </si>
  <si>
    <t>03.4</t>
  </si>
  <si>
    <t>SENP/SPEN: Facilitar els criteris a seguir</t>
  </si>
  <si>
    <t>04.1</t>
  </si>
  <si>
    <t>04.2</t>
  </si>
  <si>
    <t>04.3</t>
  </si>
  <si>
    <t>04.4</t>
  </si>
  <si>
    <t>05.1</t>
  </si>
  <si>
    <t>05.2</t>
  </si>
  <si>
    <t>05.3</t>
  </si>
  <si>
    <t>06.1</t>
  </si>
  <si>
    <t>Directriva Habitats
Carta emplaçament
ESNATURA
Catàlegs</t>
  </si>
  <si>
    <t>UIC/SFF/SPEN: Definir criteris d'identificació d'elements interès.
UIC/SFF/SPEN: Definició dels objectes de conservació clau comuns a nivell de Xarxa d'ENP o clúster territorial</t>
  </si>
  <si>
    <t>SPEN: Inventari i cartografia d'espais fràgils i zones d'especial atenció</t>
  </si>
  <si>
    <t>06.2</t>
  </si>
  <si>
    <t>UIC: Coordinar i contractar l'elaboració de la cartografia</t>
  </si>
  <si>
    <t xml:space="preserve">SENP/UIC: Elaborar la classificació i cartografia de les pressions o factors de canvi sobre el medi natural </t>
  </si>
  <si>
    <t>06.3</t>
  </si>
  <si>
    <t>UIC/SFF/SENP: Crear espais de participació
UIC/SFF: Definir el sistema estàndard de seguiment i el protocol d'aplicació</t>
  </si>
  <si>
    <t>UIC/SFF: Definir el sistema estàndard de seguiment i el protocol d'aplicació
UIC: Elaborar el protocol d'informació i coneixement</t>
  </si>
  <si>
    <t>UIC/SENP: Crear i coordinar una metodologia participativa per a la definició del SINATCAT</t>
  </si>
  <si>
    <t>06.4</t>
  </si>
  <si>
    <t>SENP: Elaborar un mapa d'agents de referència</t>
  </si>
  <si>
    <t>SENP: Elaborar un mapa d'agents de referècia</t>
  </si>
  <si>
    <t>SENP: Suport en l'organització de les jornades</t>
  </si>
  <si>
    <t>UIC: Suport en la creació de l'Observatori de reserca</t>
  </si>
  <si>
    <t>06.5</t>
  </si>
  <si>
    <t>SENP: Crear espais de participació. Definició del sistema estándard de seguiment de l'ús públic</t>
  </si>
  <si>
    <t>SENP: Disseny i elaboració del sistema estandaritzat de presa de dades i seguiment de la freqüentació en ENP</t>
  </si>
  <si>
    <t>UIC: Disseny d'un model de registre d'activitats, actors i inciències en ús públic</t>
  </si>
  <si>
    <t>07.1</t>
  </si>
  <si>
    <t>08.1</t>
  </si>
  <si>
    <t>08.2</t>
  </si>
  <si>
    <t>08.3</t>
  </si>
  <si>
    <t>SENP: Crear una marca que identifiqui els productes agroalimentaris generats en els ENP</t>
  </si>
  <si>
    <t>ESNATURA
CETS</t>
  </si>
  <si>
    <t>08.4</t>
  </si>
  <si>
    <t>09.1</t>
  </si>
  <si>
    <t>09.2</t>
  </si>
  <si>
    <t>10.1</t>
  </si>
  <si>
    <t>SPEN: Elaborar model</t>
  </si>
  <si>
    <t>11.1</t>
  </si>
  <si>
    <t>11.2</t>
  </si>
  <si>
    <t>Persones i natura: concretar criteris</t>
  </si>
  <si>
    <t>Persones i natura: Coordinació</t>
  </si>
  <si>
    <t>11.3</t>
  </si>
  <si>
    <t>11.4</t>
  </si>
  <si>
    <t>11.5</t>
  </si>
  <si>
    <t>Persones i natura: Revisió del manual de senyalització</t>
  </si>
  <si>
    <t>11.6</t>
  </si>
  <si>
    <t>11.7</t>
  </si>
  <si>
    <t>Persones i natura: model de protocol d'acollida</t>
  </si>
  <si>
    <t>Persones i natura: Unifica missatges que s'incorporen en el model de protocol d'acollida</t>
  </si>
  <si>
    <t>11.8</t>
  </si>
  <si>
    <t>12.1</t>
  </si>
  <si>
    <t>13.1</t>
  </si>
  <si>
    <t>PEEVA
ESNATURA</t>
  </si>
  <si>
    <t>SEA: Elabora model de xarxa</t>
  </si>
  <si>
    <t>13.2</t>
  </si>
  <si>
    <t>SEA: Comparteix models de situcions d'aprenentatge i de projects.</t>
  </si>
  <si>
    <t>13.3</t>
  </si>
  <si>
    <t>SEA: Elabora propostes MODEL de programes de formació</t>
  </si>
  <si>
    <t>13.4</t>
  </si>
  <si>
    <t>SEA: Elabora un document marc per unificar missatges i coordinar la difusió</t>
  </si>
  <si>
    <t>13.5</t>
  </si>
  <si>
    <t>13.6</t>
  </si>
  <si>
    <t>ESNATURA
PEEVA</t>
  </si>
  <si>
    <t xml:space="preserve">SEA: Elabora Model de Taula de Voluntariat Ambiental </t>
  </si>
  <si>
    <t>13.7</t>
  </si>
  <si>
    <t>13.8</t>
  </si>
  <si>
    <t>14.1</t>
  </si>
  <si>
    <t>Pla de comunicació</t>
  </si>
  <si>
    <t>SENP: Elaborar els productes comunicatius</t>
  </si>
  <si>
    <t>14.2</t>
  </si>
  <si>
    <t>SEA: Crear material divulgatiu</t>
  </si>
  <si>
    <t>14.3</t>
  </si>
  <si>
    <t>15.1</t>
  </si>
  <si>
    <t>SENP: Elaborar una proposta de model de governança dels espais naturals protegits</t>
  </si>
  <si>
    <t>16.1</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</si>
  <si>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</si>
  <si>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16.2</t>
  </si>
  <si>
    <t>SENP: Crear espais de coordinació entre ENP per detectar necessitats conjuntes.</t>
  </si>
  <si>
    <t>UGA: Coordinar l'elaboració dels catàlegs col·lectius amb ENP, universitats i centres documentació</t>
  </si>
  <si>
    <t>16.3</t>
  </si>
  <si>
    <t>UGA: Simplificació i optimització de formularis. Tipificació de peticions (tràmits específics)</t>
  </si>
  <si>
    <t>16.4</t>
  </si>
  <si>
    <t>UGA: tramitar els expedients de cessió de titularitat, declaracions d'obra nova, compra, lloguer, etc.</t>
  </si>
  <si>
    <t>UGA: Tramitar les assegurances dels béns patrimonials.</t>
  </si>
  <si>
    <t>16.5</t>
  </si>
  <si>
    <t>SENP: Disseny d'una metodologia de treball conjunta</t>
  </si>
  <si>
    <t>16.6</t>
  </si>
  <si>
    <t>AQUESTES COLUMNES HAN DE CORRESPONDRE AMB LES QUE S'HAN POSAT AL PLA ESTRATÈGIC</t>
  </si>
  <si>
    <t>OBJECTIUS operatius ESTÀNDARDS</t>
  </si>
  <si>
    <t>Objectiu operatiu concretat a l'espai</t>
  </si>
  <si>
    <t>Actuació</t>
  </si>
  <si>
    <t>Codi de l'OBJECTIU OPERATIU principal a què fa referència</t>
  </si>
  <si>
    <t>Codis d'altres OBJECTIU OPERATIUS relacionats</t>
  </si>
  <si>
    <t>Grau de compliment de l'indicador definit al Pla estratègic</t>
  </si>
  <si>
    <t>Tipus d'actuació segons MAP</t>
  </si>
  <si>
    <t>1.1 Planificació de la gestió i designació del lloc</t>
  </si>
  <si>
    <t>1.2 Administració del lloc i comunicació amb les parts interessades</t>
  </si>
  <si>
    <t xml:space="preserve">1.4 Buits de coneixement i necessitats de recerca </t>
  </si>
  <si>
    <t>1.5 Mesures de comunicació i sensibilització, educació i accés de visitants relacionades amb Natura 2000</t>
  </si>
  <si>
    <t>2.2 Mesures de manteniment i restauració de matollars</t>
  </si>
  <si>
    <t>2.4 Mesures de manteniment i restauració de prats i pastures</t>
  </si>
  <si>
    <t>2.6 Mesures de manteniment i restauració de boscos i superfícies forestals</t>
  </si>
  <si>
    <t>2.9 Mesures de conservación i restauración de coves i altres no inclosos als anteriors</t>
  </si>
  <si>
    <t xml:space="preserve">2.B Mesures adicionals d'«infraestructura verda» més enllà de Natura 2000 </t>
  </si>
  <si>
    <t>3.1 Mesures i programes específics de conservació d'espècies no incloses en altres apartats</t>
  </si>
  <si>
    <t>2.1 Mesures de manteniment i restauració d'aigües marines i costeres (inclou llacunes litorals)</t>
  </si>
  <si>
    <t>Observacions</t>
  </si>
  <si>
    <t>Codi:</t>
  </si>
  <si>
    <t>Actuació:</t>
  </si>
  <si>
    <t>Codi Obj Operatiu:</t>
  </si>
  <si>
    <t>Codis altres Oj. Oper.:</t>
  </si>
  <si>
    <t>Tipus d'actuació segons MAP:</t>
  </si>
  <si>
    <t>Grau de compliment de l'indicador:</t>
  </si>
  <si>
    <t>El nom de l'actuació concreta que realitzareu en l'any. Pot ser el mateix redactat que el del Pla estratègic o una mica més concret però, cal que provingui d'alguna actuació prevista al Pla estratègic.</t>
  </si>
  <si>
    <t>El Codi de l'Objectiu Operatiu que considereu que està més relacionat amb l'execució de l'actuació.</t>
  </si>
  <si>
    <t>En el cas que es consideri que l'actuació a executar també està relacionada amb d'altres Objectius Operatius</t>
  </si>
  <si>
    <t>Posar a quina de les tipologies d'actuacions previstes al MAP correspon la mesura. Llista desplegable amb una opció d'Altres al final. Si correspon a més d'una, posar la tipologia principal</t>
  </si>
  <si>
    <t>Altres</t>
  </si>
  <si>
    <t>IMPORTANT. Indicar quin indicador dels posats al Pla estratègic serveix per avaluar l'execució o l'impacte de l'actuació i quin grau de compliment respecte a la fita màxima. Ex. Si l'indicador era nombre d'ha restaurades i la fita màxima era 50, posar el % respecte a 50 que suposa l'execució de l'actuació. També pot ser més qualitatiu: Es redacta el Pla i queda pendent la seva aprovació. No cal que sempre sigui un percentatge.</t>
  </si>
  <si>
    <t>Com treballar?</t>
  </si>
  <si>
    <t>Import:</t>
  </si>
  <si>
    <t>Posar l'import previst per a la realització de l'actuació</t>
  </si>
  <si>
    <t>Eix.</t>
  </si>
  <si>
    <t>Segons els set Eixos del Pla estratègic</t>
  </si>
  <si>
    <t>Eix</t>
  </si>
  <si>
    <t>1. Natura</t>
  </si>
  <si>
    <t>2. Cultura</t>
  </si>
  <si>
    <t>3. Coneixement</t>
  </si>
  <si>
    <t>4. Desenvolupament local</t>
  </si>
  <si>
    <t>5. Ús públic i social</t>
  </si>
  <si>
    <t>6. Educació, voluntariat i comunicació</t>
  </si>
  <si>
    <t>7. Gestió i administració</t>
  </si>
  <si>
    <t>Eix del Pla estratègic</t>
  </si>
  <si>
    <t xml:space="preserve">CAL POSAR AQUÍ EL VOSTRE PLA ESTRATÈGIC TAL I COM HAGI QUEDAT. Només la pestanya del Pla </t>
  </si>
  <si>
    <t>Posar els Obj. Operatius tal i com surten al Pla estratègic i les actuacions previstes en ell amb la concreció pel 2025.</t>
  </si>
  <si>
    <t>1.Natura</t>
  </si>
  <si>
    <t>7. Gestió i Administració</t>
  </si>
  <si>
    <t>Codi RAE, si s'escau</t>
  </si>
  <si>
    <t>Tipus d'actuació segons model de despesa</t>
  </si>
  <si>
    <t>Model despesa</t>
  </si>
  <si>
    <t>Encomana Forestal Catalana</t>
  </si>
  <si>
    <t>Contracte programa CREAF</t>
  </si>
  <si>
    <t>Contracte programa CTFC</t>
  </si>
  <si>
    <t>Partida RAE</t>
  </si>
  <si>
    <t>Llistat tipologies MAP</t>
  </si>
  <si>
    <t>2.8 Mesures de conservació d'aigües continentals i boscos de ribera</t>
  </si>
  <si>
    <t>1.3 Seguiment, vigilància i notificació</t>
  </si>
  <si>
    <t>2.3 Mesures de manteniment i restauració de torberes</t>
  </si>
  <si>
    <t>2.7 Mesures de conservació i restauració d'hàbitats rocosos, dunes i terres de vegetació esparsa</t>
  </si>
  <si>
    <t>2.8 Mesures de manteniment i restauració d'hàbitats d'aigua dolça (rius, llacs i zones humides no litorals)</t>
  </si>
  <si>
    <t>3.2 Prevenció, mitigació o compensació dels danys ocasionats per les espècies protegides</t>
  </si>
  <si>
    <t>2.5 Mesures de manteniment i restauració d'altres agroecosistemes (inclosos els conreus)</t>
  </si>
  <si>
    <t>Un codi correlatiu segons l'any, l'Eix i l'acrònim del Parc (25_NA_PNAE_01) Es posen les dues primeres lletres de l'eix, en majúscules.</t>
  </si>
  <si>
    <t>Contracte menor a càrrec del RAE</t>
  </si>
  <si>
    <t>Contracte menor des de la DG</t>
  </si>
  <si>
    <t>Contracte obert (licitació des de la DG)</t>
  </si>
  <si>
    <t>PEA Infraestructures</t>
  </si>
  <si>
    <t>PEA Forestal Catalana</t>
  </si>
  <si>
    <t>Encàrrec directe Infraestructures</t>
  </si>
  <si>
    <t>Encàrrec directe Forestal Catalana</t>
  </si>
  <si>
    <t>Encàrrec directe CREAF</t>
  </si>
  <si>
    <t>Encàrrec directe CTFC</t>
  </si>
  <si>
    <t>Encàrrec directe TRAGSA</t>
  </si>
  <si>
    <t>Contractes</t>
  </si>
  <si>
    <t>Pla econòmic actuacions</t>
  </si>
  <si>
    <t>Encomanes</t>
  </si>
  <si>
    <t>Encàrrecs directes</t>
  </si>
  <si>
    <t>Contractre programa</t>
  </si>
  <si>
    <t>Partides RAE despeses</t>
  </si>
  <si>
    <t>Partides</t>
  </si>
  <si>
    <t>201.0001  - Lloguers i cànons de material de transport</t>
  </si>
  <si>
    <t>120 0001 00/5510_Despeses de personal</t>
  </si>
  <si>
    <t>203.0001 - Lloguers i cànons d'altre immobilitzat material</t>
  </si>
  <si>
    <t>200 0002 00/5510_Altres lloguers i cànons de terrenys, béns naturals, edificis i altres construccions</t>
  </si>
  <si>
    <t>210.0001 - Conservació, reparació i manteniment de terrenys</t>
  </si>
  <si>
    <t>204 0001 00/5510_Altres lloguers i cànons</t>
  </si>
  <si>
    <t>213.0001 - Conservació, reparació i manteniment d'altre immobilitzat material</t>
  </si>
  <si>
    <t>210 0001 00/5510_Conservació, reparació i manteniment de terrenys, béns naturals, edificis i altres construccions</t>
  </si>
  <si>
    <t>214.0001 - Altres despeses de conservació, reparació i manteniment</t>
  </si>
  <si>
    <t>211 0001 00/5510_Conservació, reparació i manteniment en material de transport</t>
  </si>
  <si>
    <t>215.0001 - Farmaciola</t>
  </si>
  <si>
    <t>212 0001 00/5510_Manteniment d'aplicacions informàtiques</t>
  </si>
  <si>
    <t>220.0001 - Material ordinari no inventariable</t>
  </si>
  <si>
    <t>213 0001 00/5510_Conservació, reparació i manteniment d'altre inmobilitzat material</t>
  </si>
  <si>
    <t>220.0002 - Premsa, revistes, llibres i altres publicacions</t>
  </si>
  <si>
    <t>214 0001 00/5510_Altres despeses de conservació, reparació i manteniment</t>
  </si>
  <si>
    <t>221.0001 - Aigua i energia</t>
  </si>
  <si>
    <t>221 0001 00/5510_Aigua i electricitat</t>
  </si>
  <si>
    <t>221.0002 - Combustible per a mitjans de transport</t>
  </si>
  <si>
    <t>221 0002 00/5510_Combustible per mitjans de transport</t>
  </si>
  <si>
    <t>221.0003 - Vestuari</t>
  </si>
  <si>
    <t>221 0089 00/5510_Altres subministraments</t>
  </si>
  <si>
    <t>221.0005 - Farmaciola</t>
  </si>
  <si>
    <t>222 0001 00/5510_Despeses postals, telèfon i altres</t>
  </si>
  <si>
    <t>221.0007 - Queviures</t>
  </si>
  <si>
    <t>223 0001 00/5510_Transports</t>
  </si>
  <si>
    <t>221.0089 - Altres subministraments</t>
  </si>
  <si>
    <t>227 0001 00/5510_Neteja i sanejament</t>
  </si>
  <si>
    <t>222.0001 - Despeses postals, missatgeria i altres similars</t>
  </si>
  <si>
    <t>227 0002 00/5510_Seguretat</t>
  </si>
  <si>
    <t>223.0001 - Transports</t>
  </si>
  <si>
    <t>227 0005 00/5510_Estudis</t>
  </si>
  <si>
    <t>225.0001 - Tributs i taxes</t>
  </si>
  <si>
    <t>227 0007 00/5510Gestió de centres i serveis</t>
  </si>
  <si>
    <t>226.0003 -  Publicitat, difusió i campanyes institucionals</t>
  </si>
  <si>
    <t>227 0012 00/5510Auditories externes de programes europeus</t>
  </si>
  <si>
    <t>226.0005 - Organització de reunions, conferències i cursos</t>
  </si>
  <si>
    <t>227 0013 00/5510Treballs tècnics</t>
  </si>
  <si>
    <t>226.0010 - Premis</t>
  </si>
  <si>
    <t>227 0089 00/5510Altres treballs realitzats per persones físiques o jurídiques</t>
  </si>
  <si>
    <t>226.0011 - Formació del personal propi</t>
  </si>
  <si>
    <t>230 0001 00/5510Dietes locomoció i trasllats</t>
  </si>
  <si>
    <t>226.0039 - Despeses per serveis bancàris</t>
  </si>
  <si>
    <t>220 0002 00/5510Premsa, revistes, llibres i altres publicacions</t>
  </si>
  <si>
    <t>226.0089 - Altres despeses diverses</t>
  </si>
  <si>
    <t>226 0001 00/5510Exposicions, certàmens i altres activitats de promoció</t>
  </si>
  <si>
    <t>227.0001 - Neteja i sanejament</t>
  </si>
  <si>
    <t>226 0002 00/5510Atencions protocolàries i representatives</t>
  </si>
  <si>
    <t>227.0003 - Valoracions i peritatges</t>
  </si>
  <si>
    <t>226 0003 00/5510Publicitat, difusió i campanyes institucionals</t>
  </si>
  <si>
    <t>227.0007 - Gestió dels centres i serveis</t>
  </si>
  <si>
    <t>226 0004 00/5510Jurídics i contenciosos</t>
  </si>
  <si>
    <t>227.0013 - Treballs tècnics</t>
  </si>
  <si>
    <t>226 0005 00/5510Organització de reunions, conferències i cursos</t>
  </si>
  <si>
    <t>227.0089 - Altres treballs realitzats per persones físiques o jurídiques</t>
  </si>
  <si>
    <t>226 0005 00/5530Organització de reunions, conferències i cursos</t>
  </si>
  <si>
    <t>230.0001 - Dietes, locomoció i trasllats</t>
  </si>
  <si>
    <t>226 0007 00/5510Publicacions i edictes als diaris oficials</t>
  </si>
  <si>
    <t>240.0001 - Despeses de publicacions</t>
  </si>
  <si>
    <t>226 0008 00/5510Funcionament de centres i serveis propis amb gestió autònoma</t>
  </si>
  <si>
    <t>610.0001 - Inversions en edificis i altres construccions per compte propi</t>
  </si>
  <si>
    <t>226 0010 00/5510Premis</t>
  </si>
  <si>
    <t>620.0001 - Inversions en maquinària, instal·lacions i utillatge</t>
  </si>
  <si>
    <t>226 0040 00/5510Inscripció com a soci o altra figura o organisme o a entitats de caràcter associatiu</t>
  </si>
  <si>
    <t>640.0001 - Inversions en mobiliari i estris</t>
  </si>
  <si>
    <t>226 0089 00/5510Altres despeses diverses</t>
  </si>
  <si>
    <t>650.0002 - Inversions en telecomunicacions</t>
  </si>
  <si>
    <t>660.0001 - Inversions en béns destinats a l'ús general</t>
  </si>
  <si>
    <t>240 0001 00/5510Despeses de publicacions</t>
  </si>
  <si>
    <t>670.0001 - Inversions en altre immobilitzat material</t>
  </si>
  <si>
    <t>430 6000 00/5510Al Patronat de la Muntanya de Montserrat (5510: 59.040 i 5530: 19.680)</t>
  </si>
  <si>
    <t>442 8520 00/5510Al CREAF</t>
  </si>
  <si>
    <t>442 8570 00/5510Al Centre Tecnològic Forestal de Catalunya (5510: 255.700 i 5530: 24.900)</t>
  </si>
  <si>
    <t>442 8980 00/5510Al Consorci per a la protecció i gestió dels espais del Delta del Llobregat</t>
  </si>
  <si>
    <t>443 8920 00/5510A la Fundació Institut Català de Ciències del Clima</t>
  </si>
  <si>
    <t>445 9288 00/5510Al Consorci per a la Protecció i la Gestió dels Espais d'Interès Natural del Ripollès</t>
  </si>
  <si>
    <t>445 7410 00/5510Al Consorci de l'Estany d'Ivars-Vila-Sana</t>
  </si>
  <si>
    <t>448 0001 00/5510A altres entitats participades pel sector públic</t>
  </si>
  <si>
    <t>448 0009 00/5510A la Fundació Fòrum Ambiental</t>
  </si>
  <si>
    <t>460 0001 00/5510A corporacions locals</t>
  </si>
  <si>
    <t>461 0001 00/5510A consorcis dependents de les corporacions locals</t>
  </si>
  <si>
    <t>462 0001 00/5510Transferències al Conselh Generau de la Val d'Aran</t>
  </si>
  <si>
    <t>470 0001 00/5510A empreses privades</t>
  </si>
  <si>
    <t>480 0001 00/5510A famílies</t>
  </si>
  <si>
    <t>481 0001 00/5510A fundacions</t>
  </si>
  <si>
    <t>481 0001 00/5530A fundacions</t>
  </si>
  <si>
    <t>482 0001 00/5510A altres institucions sense fi de lucre i a altres</t>
  </si>
  <si>
    <t>482 0001 00/5530A altres institucions sense fi de lucre i a altres</t>
  </si>
  <si>
    <t>442 8520 00/5710Al Consorci Centre de Recerca Ecològica i Aplicacions Forestals (CREAF)(750000-90000-39000)</t>
  </si>
  <si>
    <t>600 0001 00/5510Inversions en finques</t>
  </si>
  <si>
    <t>610 0001 00/5510Inversions en edificis i altres construccions</t>
  </si>
  <si>
    <t>620 0001 00/5510Inversions en maquinària, instal·lacions i utillatge</t>
  </si>
  <si>
    <t>630 0001 00/5510Vehicles</t>
  </si>
  <si>
    <t>660 0001 00/5510Inversions en béns destinats a l'ús general</t>
  </si>
  <si>
    <t>660 0003 00/5510Xarxa de camins</t>
  </si>
  <si>
    <t>699 0000 00/5510la Caixa</t>
  </si>
  <si>
    <t>661 6390 00/5510Apotacions a Infraestructures de la Generalitat per inversions en infraestructures</t>
  </si>
  <si>
    <t>670 0001 00/5510Inversions en altre inmobilitzat material (adquisició de material no inventariable però que precisa d'alguna instal·lació)</t>
  </si>
  <si>
    <t>680 0001 00/5510Inversions en inmobilitzat inmaterial (adquisició de material com ara fotografies, programari, ...)</t>
  </si>
  <si>
    <t>730 6000 00/5510Al Patronat de la Muntanya de Montserrat (5510: 59.040 i 5530: 19.680)</t>
  </si>
  <si>
    <t>745 9288 00/5510Al Consorci per a la Protecció i la Gestió dels Espais d'Interès Natural del Ripollès</t>
  </si>
  <si>
    <t>748 0001 00/5510A altres entitats participades pel sector públic</t>
  </si>
  <si>
    <t>760 0001 00/5510A corporacions locals</t>
  </si>
  <si>
    <t>761 0001 00/5510A consorcis dependents de les corporacions locals</t>
  </si>
  <si>
    <t>770 0001 00/5510A empreses privades</t>
  </si>
  <si>
    <t>780 0001 00/5510A famílies</t>
  </si>
  <si>
    <t>781 0001 00/5510A fundacions</t>
  </si>
  <si>
    <t>782 0001 00/5510A altres institucions sense fi de lucre i a altres</t>
  </si>
  <si>
    <t>Tipus act. segons model de despesa:</t>
  </si>
  <si>
    <t>Posar a quin tipus de despesa correspon (RAE, PEA, Contracte Programa,...). Llista desplegable tancada</t>
  </si>
  <si>
    <t>En el cas de ser una actuació del RAE, posar-hi el codi corresponent.</t>
  </si>
  <si>
    <t>Codi RAE:</t>
  </si>
  <si>
    <t>Cal revisar totes les actuacions posades al Pla estratègic i posar al programa anual aquelles que es consideri que es poden fer el 2025. Per a decidir què s'inclou i què no, cal tenir molt en compte les columnes de Prioritat que hagueu posat al Pla a més de totes les que hagueu afegit que us serveixen per prendre la decisió. 
El redactat de la mesura pot ser el mateix  que el del Pla, si és prou concret, o una concreció d'una mesura inclosa al Pla. Per exemple: al Pla pot posar recuperació del bosc de ribera i al Programa anual posaria: recuperació de les vernedes de la cua de l'embassament de la Torrassa.</t>
  </si>
  <si>
    <t>Gestor responsable</t>
  </si>
  <si>
    <t>Actuació recurrent</t>
  </si>
  <si>
    <t>ADRIA URREA MORA</t>
  </si>
  <si>
    <t>Alba Jordana Lapedra</t>
  </si>
  <si>
    <t>Albert Burgas Riera</t>
  </si>
  <si>
    <t>Albert Petit Saludes</t>
  </si>
  <si>
    <t>Alexandre Español Poblet</t>
  </si>
  <si>
    <t>Alícia Bo Mauri</t>
  </si>
  <si>
    <t>Ana Avila Aguila</t>
  </si>
  <si>
    <t>Ana Maria Ortiz Velasco</t>
  </si>
  <si>
    <t>Andrea Benabarre Felez</t>
  </si>
  <si>
    <t>Andreu del Rio i Vilatge</t>
  </si>
  <si>
    <t>Anna Planella Bosch</t>
  </si>
  <si>
    <t>Antoni Curco Masip</t>
  </si>
  <si>
    <t>Ariadna Purroy Albet</t>
  </si>
  <si>
    <t>Arnau Dorca Tomas</t>
  </si>
  <si>
    <t>Bernat Perramon Ramos</t>
  </si>
  <si>
    <t>Berta Navarro Bertran</t>
  </si>
  <si>
    <t>Carlos Gonzalez Farrando</t>
  </si>
  <si>
    <t>Carmen Alcantara Guirado</t>
  </si>
  <si>
    <t>Cecilia Cano Navarro</t>
  </si>
  <si>
    <t>Clara Franch Fosch</t>
  </si>
  <si>
    <t>Claudio Baiges Casanova</t>
  </si>
  <si>
    <t>Danae Garcia Sanagustin</t>
  </si>
  <si>
    <t>Daniel Salvador Carretero</t>
  </si>
  <si>
    <t>David Bove Jordana</t>
  </si>
  <si>
    <t>David Iturria March</t>
  </si>
  <si>
    <t>David Martra Colomes</t>
  </si>
  <si>
    <t>Elena Julia Alsina</t>
  </si>
  <si>
    <t>Elisenda Montserrat Freixa</t>
  </si>
  <si>
    <t>Eloy Josa Cos</t>
  </si>
  <si>
    <t>Emili Bassols Isamat</t>
  </si>
  <si>
    <t>Erica Bel Queralt</t>
  </si>
  <si>
    <t>Ester Trullols Sanchez</t>
  </si>
  <si>
    <t>Eva Calm Puig</t>
  </si>
  <si>
    <t>Eva Jorda Affonso</t>
  </si>
  <si>
    <t>Fatima Rebollo Domingo</t>
  </si>
  <si>
    <t>Fermin Morales Subirats</t>
  </si>
  <si>
    <t>Francesc Xavier Turra Caussa</t>
  </si>
  <si>
    <t>Francesc Xavier Vilabella Pecondon</t>
  </si>
  <si>
    <t>Francesca Gil Gomez</t>
  </si>
  <si>
    <t>Gerard Carrion Salip</t>
  </si>
  <si>
    <t>Gerard Giménez Pérez</t>
  </si>
  <si>
    <t>Gerard Roca Canal</t>
  </si>
  <si>
    <t>Gisela Picañol Vall</t>
  </si>
  <si>
    <t>Glòria Rosas Carrion</t>
  </si>
  <si>
    <t>Helena Fanlo Lopez</t>
  </si>
  <si>
    <t>Inmaculada Juan Franch</t>
  </si>
  <si>
    <t>Ivan Bustamante Galera</t>
  </si>
  <si>
    <t>Jaume Farriol Rafel</t>
  </si>
  <si>
    <t>Javier Oliver Martinez-Fornes</t>
  </si>
  <si>
    <t>Joan Bech Sabat</t>
  </si>
  <si>
    <t>Joan Casoliva Armengou</t>
  </si>
  <si>
    <t>Joan Francesc Vidal Esquerre</t>
  </si>
  <si>
    <t>Joan Mestre Querol</t>
  </si>
  <si>
    <t>Joan Montserrat Reig</t>
  </si>
  <si>
    <t>Joan Pijoan Coromina</t>
  </si>
  <si>
    <t>Joana Canals Ribó</t>
  </si>
  <si>
    <t>Joaquin Aragones Rabassa</t>
  </si>
  <si>
    <t>JOEL PEREZ VIDAL</t>
  </si>
  <si>
    <t>Jordi Giro Quer</t>
  </si>
  <si>
    <t>JORDI GUILLEN CUESTA</t>
  </si>
  <si>
    <t>Jordi Parpal Servole</t>
  </si>
  <si>
    <t>JORDI RODERO PAU</t>
  </si>
  <si>
    <t>Jordi Vicente Canillas</t>
  </si>
  <si>
    <t>Jorge Planella Santias</t>
  </si>
  <si>
    <t>Jose Luis Gomez Bringue</t>
  </si>
  <si>
    <t>Jose Maria Queral Casanova</t>
  </si>
  <si>
    <t>Jose Maria Rispa Pifarre</t>
  </si>
  <si>
    <t>Josep Maria Forcadell Roig</t>
  </si>
  <si>
    <t>Josep Pique Palacin</t>
  </si>
  <si>
    <t>Josep Riera Massegur</t>
  </si>
  <si>
    <t>Josep Sabate Balsells</t>
  </si>
  <si>
    <t>Juan Carlos Garrido Lomeña</t>
  </si>
  <si>
    <t>Juan Fernandez Gil</t>
  </si>
  <si>
    <t>Julia Piccardo Valdemarin</t>
  </si>
  <si>
    <t>Lluis Cullere Garcia</t>
  </si>
  <si>
    <t>Lluís F. Florit Molina</t>
  </si>
  <si>
    <t>Lorena Dominguez Pons</t>
  </si>
  <si>
    <t>Luis Pifarre Marti</t>
  </si>
  <si>
    <t>Mªpilar Sanllehi Puig</t>
  </si>
  <si>
    <t>Marc Aixarch Curto</t>
  </si>
  <si>
    <t>Marc Garriga Lujan</t>
  </si>
  <si>
    <t>Marc Plans Farrero</t>
  </si>
  <si>
    <t>Marcel Elias Sanllehy</t>
  </si>
  <si>
    <t>Maria Antonia Rojas Gonzalez</t>
  </si>
  <si>
    <t>Maria Carme Orriols Alsina</t>
  </si>
  <si>
    <t>Maria de las Merce Frade Palau</t>
  </si>
  <si>
    <t>Maria Isabel Sebastia Urbano</t>
  </si>
  <si>
    <t>Maria Lurdes Fontanet Paga</t>
  </si>
  <si>
    <t>Maria Lurdes Queral Castells</t>
  </si>
  <si>
    <t>Maria Merce San Jose Amat</t>
  </si>
  <si>
    <t>Maria Pilar Carabus Saballs</t>
  </si>
  <si>
    <t>Maria Pou Palau</t>
  </si>
  <si>
    <t>Maria Teresa Bel Bauza</t>
  </si>
  <si>
    <t>Marina Vergés Sánchez</t>
  </si>
  <si>
    <t>Mari-Sol Garcia Ardanuy</t>
  </si>
  <si>
    <t>Marta Ledesma i Bruch</t>
  </si>
  <si>
    <t>MARTA REIXACH ESTRAGUES</t>
  </si>
  <si>
    <t>Miquel Angel Franch Casanova</t>
  </si>
  <si>
    <t>Mireia Jimenez Monegal</t>
  </si>
  <si>
    <t>Miriam Aznar Galan</t>
  </si>
  <si>
    <t>Miriam Ralda Albiol</t>
  </si>
  <si>
    <t>Moises Villanueva Coello</t>
  </si>
  <si>
    <t>Monica Matencio Cardenas</t>
  </si>
  <si>
    <t>Montserrat Bonet Porcel</t>
  </si>
  <si>
    <t>Montserrat Grabolosa Sellabona</t>
  </si>
  <si>
    <t>Montserrat Pascual Manich</t>
  </si>
  <si>
    <t>Montserrat Raurell Sola</t>
  </si>
  <si>
    <t>Montserrat Sancho Blasco</t>
  </si>
  <si>
    <t>Montserrat Sola Rivera</t>
  </si>
  <si>
    <t>Natàlia Amores López</t>
  </si>
  <si>
    <t>Natividad Franch Ventura</t>
  </si>
  <si>
    <t>Noemi Aymami Ortiz</t>
  </si>
  <si>
    <t>Nuria Canals Sangra</t>
  </si>
  <si>
    <t>Nuria Cruset Tonietti</t>
  </si>
  <si>
    <t>Olga Nicolas De Francisco</t>
  </si>
  <si>
    <t>Oliana Carrasco Aparicio</t>
  </si>
  <si>
    <t>Oriol Grau Fernandez</t>
  </si>
  <si>
    <t>Oscar Palou Teixidor</t>
  </si>
  <si>
    <t>Patricia Hebrard Gras</t>
  </si>
  <si>
    <t>Ponç Feliu Latorre</t>
  </si>
  <si>
    <t>Queralt Tor Guitart</t>
  </si>
  <si>
    <t>RAFEL GUARDIA MIQUEL</t>
  </si>
  <si>
    <t>Ramon Alberto Alturo Monne</t>
  </si>
  <si>
    <t>Ricard Valls i Fígols</t>
  </si>
  <si>
    <t>Ricardo Jesus Collado Tortosa</t>
  </si>
  <si>
    <t>Rosa Llinàs Viola</t>
  </si>
  <si>
    <t>Rosana Senis Garrido</t>
  </si>
  <si>
    <t>Salomé Mulet Muria</t>
  </si>
  <si>
    <t>Salvador Nogues Feliu</t>
  </si>
  <si>
    <t>Salvi Ruiz Cruset</t>
  </si>
  <si>
    <t>Santiago Ramos Lopez</t>
  </si>
  <si>
    <t>Sebastia Camarasa Arbos</t>
  </si>
  <si>
    <t>Sergio Romero de Tejada Martinez</t>
  </si>
  <si>
    <t>Silvia Mara Martins Bazzo</t>
  </si>
  <si>
    <t>Sonia Blanco Esparza</t>
  </si>
  <si>
    <t>Susana Vilares Rubio</t>
  </si>
  <si>
    <t>Veronica Perez Peña</t>
  </si>
  <si>
    <t>Xavier Abril Ferrer</t>
  </si>
  <si>
    <t>XAVIER GARRETA PUYOL</t>
  </si>
  <si>
    <t>Xavier Grive Isern</t>
  </si>
  <si>
    <t>Xavier Llimiñana Sabate</t>
  </si>
  <si>
    <t>Parc Natural dels Ports</t>
  </si>
  <si>
    <t>Secans de Lleida</t>
  </si>
  <si>
    <t>Parc Nacional d'Aigüestortes i Estany de Sant Maurici</t>
  </si>
  <si>
    <t>Parc Natural dels Aiguamolls de l'Empordà</t>
  </si>
  <si>
    <t>Parc Natural de la Serra de Montsant</t>
  </si>
  <si>
    <t>Parc Natural del Delta de l'Ebre</t>
  </si>
  <si>
    <t>Parc Natural del Montgrí, les Illes Medes i el Baix Ter</t>
  </si>
  <si>
    <t>Parc Natural de la Zona Volcànica de la Garrotxa</t>
  </si>
  <si>
    <t>Parc Natural de les Capçaleres del Ter i el Freser</t>
  </si>
  <si>
    <t>Parc Natural del Cadí-Moixeró</t>
  </si>
  <si>
    <t>Parc Natural de Cap de Creus</t>
  </si>
  <si>
    <t>Paratge Natural d'Interès Nacional de Poblet</t>
  </si>
  <si>
    <t>Parc Natural de l'Alt Pirineu</t>
  </si>
  <si>
    <t>Paratge Natural d'Interès Nacional de l'Albera</t>
  </si>
  <si>
    <t>Espai natural</t>
  </si>
  <si>
    <t>Sí</t>
  </si>
  <si>
    <t>No</t>
  </si>
  <si>
    <t>Referència Taula</t>
  </si>
  <si>
    <t>ALB</t>
  </si>
  <si>
    <t>POB</t>
  </si>
  <si>
    <t>AEM</t>
  </si>
  <si>
    <t>CRE</t>
  </si>
  <si>
    <t>POR</t>
  </si>
  <si>
    <t>MON</t>
  </si>
  <si>
    <t>ZVG</t>
  </si>
  <si>
    <t>API</t>
  </si>
  <si>
    <t>CMO</t>
  </si>
  <si>
    <t>TFR</t>
  </si>
  <si>
    <t>DEB</t>
  </si>
  <si>
    <t>MMB</t>
  </si>
  <si>
    <t>AES</t>
  </si>
  <si>
    <t>SEC</t>
  </si>
  <si>
    <t>26_NA_01</t>
  </si>
  <si>
    <t>x</t>
  </si>
  <si>
    <t>Treballs d'alliberament  i seguiment de tortuga mediterrània</t>
  </si>
  <si>
    <t>26_NA_02</t>
  </si>
  <si>
    <t>Treball tècnic retirada invasores</t>
  </si>
  <si>
    <t>26_NA_03</t>
  </si>
  <si>
    <t xml:space="preserve">Col·laboracions LIFE medCLIFFS – Cap a una gestió integrada de les espècies de flora invasota en penya-segats de mar mediterranis d'interès europeu(LIFE20 NAT/ES/001223)  </t>
  </si>
  <si>
    <t>26_NA_04</t>
  </si>
  <si>
    <t>Servei d'instal·lació, manteniment i retirada de boies al Parc Natural del Montgrí, les Illes Medes i el Baix Ter i al Parc Natural de Cap de Creus. (lot 3)</t>
  </si>
  <si>
    <t>01.2.6</t>
  </si>
  <si>
    <t>26_NA_05</t>
  </si>
  <si>
    <t>Servei màquina instal·lació dipòsit d'aigua Mas Ventós</t>
  </si>
  <si>
    <t>26_NA_06</t>
  </si>
  <si>
    <t>Coordinació actuacions SSTT Girona, GRAF, ADF, Mossos, bombers, Diputació de Girona, grup treball crta Cadaqués, assistència a la Taula de Foc per a prevenció d'incendis.</t>
  </si>
  <si>
    <t>26_NA_07</t>
  </si>
  <si>
    <t xml:space="preserve">Elaboració informes preceptius del Parc de projectes i plans. </t>
  </si>
  <si>
    <t>03.1.4</t>
  </si>
  <si>
    <t>26_NA_08</t>
  </si>
  <si>
    <t>Assistència procediment compra muntanya de Sant Pere de Rodes</t>
  </si>
  <si>
    <t>26_CU_01</t>
  </si>
  <si>
    <t>Donar a conèixer el patrimoni cultural a través de la cartelleria, plafons i senyalització</t>
  </si>
  <si>
    <t>26_CU_02</t>
  </si>
  <si>
    <t>Formar el personal informador sobre els valors culturals</t>
  </si>
  <si>
    <t>26_CU_03</t>
  </si>
  <si>
    <t>Manual tècnic arquitectura dels masos Cap de Creus</t>
  </si>
  <si>
    <t>26_CU_04</t>
  </si>
  <si>
    <t>Projecte restauració camí vell del Far</t>
  </si>
  <si>
    <t>26_CU_05</t>
  </si>
  <si>
    <t xml:space="preserve">Retirada i gestió de residus del Parc
</t>
  </si>
  <si>
    <t xml:space="preserve">05.2.3 </t>
  </si>
  <si>
    <t>Assessorament tècnic ZEPQA</t>
  </si>
  <si>
    <t>Itineraris patrimoni cultural submergit</t>
  </si>
  <si>
    <t>26_CO_01</t>
  </si>
  <si>
    <t xml:space="preserve">Treball tècnic de seguiment peixos i altra fauna marina cales </t>
  </si>
  <si>
    <t>26_CO_02</t>
  </si>
  <si>
    <t>Campanya d'anellament ocells</t>
  </si>
  <si>
    <t>26_CO_03</t>
  </si>
  <si>
    <t>Treball tècnic de seguiment d'amfibis i rèptils</t>
  </si>
  <si>
    <t>26_CO_04</t>
  </si>
  <si>
    <t>Treball tècnic de seguiment de flora vulnerable i en perill d'extinció</t>
  </si>
  <si>
    <t>1.2.2</t>
  </si>
  <si>
    <t>26_CO_05</t>
  </si>
  <si>
    <t>Treball tècnic de seguiment de l'activitat cinegètica</t>
  </si>
  <si>
    <t>26_CO_06</t>
  </si>
  <si>
    <t>Treball tècnic de seguiment de ropalòcers</t>
  </si>
  <si>
    <t>26_CO_07</t>
  </si>
  <si>
    <r>
      <t>Treball tècnic sobre dades demogràfiques i cens de</t>
    </r>
    <r>
      <rPr>
        <i/>
        <sz val="10"/>
        <color rgb="FF000000"/>
        <rFont val="Calibri"/>
        <family val="2"/>
        <scheme val="minor"/>
      </rPr>
      <t xml:space="preserve"> Seseli farrenyi</t>
    </r>
  </si>
  <si>
    <t>26_CO_08</t>
  </si>
  <si>
    <t>Treball tècnic sobre la fauna ornítica</t>
  </si>
  <si>
    <t>26_CO_09</t>
  </si>
  <si>
    <t>Actualització llista patró ocells del Parc</t>
  </si>
  <si>
    <t>26_CO_10</t>
  </si>
  <si>
    <t>Treball tècnic d'invertebrats</t>
  </si>
  <si>
    <t>26_CO_11</t>
  </si>
  <si>
    <t>Treball tècnic micològic</t>
  </si>
  <si>
    <t>26_CO_12</t>
  </si>
  <si>
    <t>Treball tècnic avaluació d'hàbitat d'interès comunitari 5410</t>
  </si>
  <si>
    <t>26_CO_13</t>
  </si>
  <si>
    <t>Jornada anual de presentació dels estudis i seguiments tècnics en l'àmbit del Parc</t>
  </si>
  <si>
    <t>26_CO_14</t>
  </si>
  <si>
    <t>Assistència al grup de conservació de tècnics de Parcs</t>
  </si>
  <si>
    <t>26_CO_15</t>
  </si>
  <si>
    <t>Crear sinèrgies amb el conjunt monumental de Sant Pere de Rodes</t>
  </si>
  <si>
    <t>26_CO_16</t>
  </si>
  <si>
    <t>Organització cens de duc amb voluntaris d'entitats ambientals com la IAEDEN o APNE.</t>
  </si>
  <si>
    <t>26_CO_17</t>
  </si>
  <si>
    <t>Posar a disposició Mas Caials dels grups de recerca</t>
  </si>
  <si>
    <t>26_CO_18</t>
  </si>
  <si>
    <t>Instal·lació de comptadors de vehicles i persones</t>
  </si>
  <si>
    <t>26_CO_19</t>
  </si>
  <si>
    <t>Treball tècnic afluència de visitants</t>
  </si>
  <si>
    <t>26_DE_01</t>
  </si>
  <si>
    <t>Tanques ramaderes per ovelles i cabres</t>
  </si>
  <si>
    <t>26_DE_02</t>
  </si>
  <si>
    <t>Abeuradors</t>
  </si>
  <si>
    <t>26_DE_03</t>
  </si>
  <si>
    <t>Arranjament camí pista</t>
  </si>
  <si>
    <t>26_DE_04</t>
  </si>
  <si>
    <t>Assessorament i donar suport al sector agrícola i ramader.</t>
  </si>
  <si>
    <t>26_DE_05</t>
  </si>
  <si>
    <t>Coordinació i intercanvi informació amb les colles de caçadors del Parc Natural.</t>
  </si>
  <si>
    <t>26_DE_06</t>
  </si>
  <si>
    <t>Assistència desplegament CETS</t>
  </si>
  <si>
    <t>26_DE_07</t>
  </si>
  <si>
    <t>Acompanyament empreses que es volen acreditar en fase 2 CETS</t>
  </si>
  <si>
    <t>26_US_01</t>
  </si>
  <si>
    <t>Aplicació del Pla Especial amb l'emissió d'informes i autoritzacions del Parc</t>
  </si>
  <si>
    <t>26_US_02</t>
  </si>
  <si>
    <t>Autorització prèvia de totes les filmacions de medi natural que tenen lloc al Parc</t>
  </si>
  <si>
    <t>26_US_03</t>
  </si>
  <si>
    <t>Assessorament del PRUG</t>
  </si>
  <si>
    <t>26_US_10</t>
  </si>
  <si>
    <t>Instal·lació de boies per a abalisament</t>
  </si>
  <si>
    <t xml:space="preserve">Fabricació cartelleria diversa </t>
  </si>
  <si>
    <t xml:space="preserve">Manteniment de tanques i altres.
</t>
  </si>
  <si>
    <t>26_US_06</t>
  </si>
  <si>
    <t xml:space="preserve">Tudela: manteniment ferreteria (corten, baranes…)
</t>
  </si>
  <si>
    <t>26_US_07</t>
  </si>
  <si>
    <t>Manteniment d'una xarxa d'itineraris per a la visita i el gaudi del Parc</t>
  </si>
  <si>
    <t>26_US_08</t>
  </si>
  <si>
    <t>Manteniment i repàs de tota la senyalització de pistes (cartells del Pla Alfa, restricció d'accessos, no pernoctació, etc.)</t>
  </si>
  <si>
    <t>26_US_09</t>
  </si>
  <si>
    <t>Coordinació amb els Ajuntaments de Cadaqués i Roses en relació a la gestió de les restriccions al trànsit rodat a les carreteres del Far de Cap de Creus i de les cales meridionals del Parc.</t>
  </si>
  <si>
    <t>11.2.3</t>
  </si>
  <si>
    <t>26_US_11</t>
  </si>
  <si>
    <t>Disposar d’un servei d’informació i vigilància de l’àmbit marí (tot l'any).</t>
  </si>
  <si>
    <t>26_US_12</t>
  </si>
  <si>
    <t>Disposició d’un servei d’informació a l'àmbit terrestre del Parc (contracte del servei d'informació, educació i voluntariat ambiental. Lot 11)</t>
  </si>
  <si>
    <t>26_US_13</t>
  </si>
  <si>
    <t>Disposar d'un reforç de vigilància. Servei guardes rurals  (lot 8)</t>
  </si>
  <si>
    <t>26_US_14</t>
  </si>
  <si>
    <t>Projecte d'instal·lació camps de boies ecològiques al Parc Natural de Cap de Creus.</t>
  </si>
  <si>
    <t>11.5.3</t>
  </si>
  <si>
    <t>26_US_15</t>
  </si>
  <si>
    <t xml:space="preserve">Instal·lació boies perimetral de l'àmbit marí del Parc. Projecte d'instal·lacions, senyalització i monitorització d’espais naturals marins i terrestres dels Parcs Naturals de l’Empordà. Clau: OP. ENP-22372. </t>
  </si>
  <si>
    <t>11.5.4</t>
  </si>
  <si>
    <t>26_US_16</t>
  </si>
  <si>
    <t>Millora contínua de la senyalització de l'àmbit terrestres de les RNI.</t>
  </si>
  <si>
    <t>26_US_17</t>
  </si>
  <si>
    <t>Desenvolupar el projecte d’ordenació de la Punta de Cap de Creus</t>
  </si>
  <si>
    <t>26_US_18</t>
  </si>
  <si>
    <t>Regulació accessos RNI Cap de Creus i cales de Roses</t>
  </si>
  <si>
    <t>26_US_19</t>
  </si>
  <si>
    <t>Lloguer bicicleta informadors</t>
  </si>
  <si>
    <t>26_US_20</t>
  </si>
  <si>
    <t xml:space="preserve">Vestuari (campanya estiu pels informadors)
</t>
  </si>
  <si>
    <t>26_US_21</t>
  </si>
  <si>
    <t>Vestuari patrons/es</t>
  </si>
  <si>
    <t>26_US_22</t>
  </si>
  <si>
    <t xml:space="preserve">Manteniment i potenciació dels punts d'informació i educació ambiental de Vilajuïga (seu del Parc Natural), Paratge de Tudela, Espai Cap de Creus (ECC), Punta Falconera, Corral d’en Morell (i futur centre de S’Alqueria) i informadors itinerants o puntuals en llocs que per restriccions de pas o massa afluència ho requereixin com la Torre del Sastre, etc. </t>
  </si>
  <si>
    <t>26_US_23</t>
  </si>
  <si>
    <t>Assistència procediment lloguer magatzem Vilajuïga</t>
  </si>
  <si>
    <t>11.7.5</t>
  </si>
  <si>
    <t>26_US_24</t>
  </si>
  <si>
    <t>Compra comandaments a distància magatzem nou</t>
  </si>
  <si>
    <t>26_US_25</t>
  </si>
  <si>
    <t>Manteniment motor Caials i altres</t>
  </si>
  <si>
    <t>11.7.6</t>
  </si>
  <si>
    <t>26_US_26</t>
  </si>
  <si>
    <t xml:space="preserve">Material fungible per al manteniment d'instal·lacions i edificis del Parc (brigada manteniment)
</t>
  </si>
  <si>
    <t>26_US_27</t>
  </si>
  <si>
    <t>Lleixes nou magatzem</t>
  </si>
  <si>
    <t>26_US_28</t>
  </si>
  <si>
    <t>Mobiliari (estors Cat,  altres)</t>
  </si>
  <si>
    <t>26_US_29</t>
  </si>
  <si>
    <t>Col.locació dos panys portes arxiu Mas Caials</t>
  </si>
  <si>
    <t>26_US_30</t>
  </si>
  <si>
    <t>Pintura proteccio Mural Vilajuïga</t>
  </si>
  <si>
    <t>26_US_31</t>
  </si>
  <si>
    <t>Pintar exterior façana Mas Caials Blanc</t>
  </si>
  <si>
    <t>26_US_32</t>
  </si>
  <si>
    <t>Manteniment Àrea Recreativa Mas Ventós: tractament fusta (taules i tanques) i wc; Paratge de Tudela: caseta, fusta, itineraris, WC; Edifici Mas Caials.</t>
  </si>
  <si>
    <t>26_ED_01</t>
  </si>
  <si>
    <t>Agendes escolars i pòsters</t>
  </si>
  <si>
    <t>26_ED_02</t>
  </si>
  <si>
    <t>Trobada d'escolar  SOMPARCC (contracte servei ambulància)</t>
  </si>
  <si>
    <t>26_ED_03</t>
  </si>
  <si>
    <t>Bus escolar sortida xarxa escoles</t>
  </si>
  <si>
    <t>26_ED_04</t>
  </si>
  <si>
    <t>Dinamitzar xarxa descoles del Parc</t>
  </si>
  <si>
    <t>26_ED_05</t>
  </si>
  <si>
    <t>Dinamitzar xarxa d'instituts del Parc</t>
  </si>
  <si>
    <t>26_ED_06</t>
  </si>
  <si>
    <t>Cursos formació professorat centres educatius del Parc</t>
  </si>
  <si>
    <t>26_ED_07</t>
  </si>
  <si>
    <t xml:space="preserve">Organitzar xerrades, presentacions, activitats de natura </t>
  </si>
  <si>
    <t>26_ED_08</t>
  </si>
  <si>
    <t>Oferir nous recursos pedagògics als centres escolars</t>
  </si>
  <si>
    <t>26_ED_09</t>
  </si>
  <si>
    <t>Participar a la taula de voluntariat ambiental dels Parcs de l'Empordà</t>
  </si>
  <si>
    <t>26_ED_10</t>
  </si>
  <si>
    <t xml:space="preserve">Suport a activitats de voluntariat ambiental </t>
  </si>
  <si>
    <t>26_ED_11</t>
  </si>
  <si>
    <t>Promoció de la difusió de les activitats, projectes i actes organitzats pel Parc mitjançant l'edició del Butlletí Mensual</t>
  </si>
  <si>
    <t>26_ED_12</t>
  </si>
  <si>
    <t>Renovació fulletons PRUG, quadríptics itineraris i fulletons restriccions ús públic</t>
  </si>
  <si>
    <t>26_ED_13</t>
  </si>
  <si>
    <t xml:space="preserve">Compra material llibres i altres materials per ús tècnics </t>
  </si>
  <si>
    <t>26_ED_14</t>
  </si>
  <si>
    <t>Servei d'organització del Bioblitz</t>
  </si>
  <si>
    <t>26_ED_15</t>
  </si>
  <si>
    <t>Col·laboracions camps de treball</t>
  </si>
  <si>
    <t>26_ED_16</t>
  </si>
  <si>
    <t xml:space="preserve">Impressió làmines itineraris submarins </t>
  </si>
  <si>
    <t>26_ED_17</t>
  </si>
  <si>
    <t xml:space="preserve">Servei de dinamització i gestió de les XXSS </t>
  </si>
  <si>
    <t>26_ED_18</t>
  </si>
  <si>
    <t>Calendari anual</t>
  </si>
  <si>
    <t>26_ED_19</t>
  </si>
  <si>
    <t>Reimpressió de fulletons (quadríptics , restriccions accessos)</t>
  </si>
  <si>
    <t>26_ED_20</t>
  </si>
  <si>
    <t>Assistència tècnica cursos formació del Parc: curs informador/es i curs bons/es coneixedors/es</t>
  </si>
  <si>
    <t>26_ED_21</t>
  </si>
  <si>
    <t>Portaentrepans escolars</t>
  </si>
  <si>
    <t>26_GE_01</t>
  </si>
  <si>
    <t>Impostos i taxes</t>
  </si>
  <si>
    <t>16.2.6</t>
  </si>
  <si>
    <t>26_GE_02</t>
  </si>
  <si>
    <t>Despeses de serveis i manteniment del compte corrent</t>
  </si>
  <si>
    <t>26_GE_03</t>
  </si>
  <si>
    <t>Altres despeses diverses</t>
  </si>
  <si>
    <t>26_GE_04</t>
  </si>
  <si>
    <t xml:space="preserve">Gestió eficient i ràpida dels informes </t>
  </si>
  <si>
    <t>26_GE_05</t>
  </si>
  <si>
    <t>Creació de nous tràmits per a la gestió del PRUG amb disposició de nou personal</t>
  </si>
  <si>
    <t>26_GE_06</t>
  </si>
  <si>
    <t>Fabricació i subministrament de dues embarcacions amb la corresponent motorització i els equips auxiliars per al Parc Natural de Cap de Creus (lot)</t>
  </si>
  <si>
    <t>26_GE_07</t>
  </si>
  <si>
    <t>Servei de Manteniment, Conservació i Millora de les instal·lacions, infraestructures i entorn dels espais naturals de protecció especial del Parc Natural (lot5)</t>
  </si>
  <si>
    <t>26_GE_08</t>
  </si>
  <si>
    <t>Brigada de Forestal Catalana</t>
  </si>
  <si>
    <t>26_GE_09</t>
  </si>
  <si>
    <t>Adquisició de petita maquinària</t>
  </si>
  <si>
    <t>26_GE_10</t>
  </si>
  <si>
    <t xml:space="preserve">Lloguer ampolles submarinisme </t>
  </si>
  <si>
    <t>26_GE_11</t>
  </si>
  <si>
    <t>Manteniment de l'embarcació</t>
  </si>
  <si>
    <t>26_GE_12</t>
  </si>
  <si>
    <t xml:space="preserve">Manteniment vehicles terrestres
</t>
  </si>
  <si>
    <t>26_GE_13</t>
  </si>
  <si>
    <t xml:space="preserve">Material d'oficina </t>
  </si>
  <si>
    <t>26_GE_14</t>
  </si>
  <si>
    <t>Carburants barca</t>
  </si>
  <si>
    <t>26_GE_15</t>
  </si>
  <si>
    <t>Gasolina motors</t>
  </si>
  <si>
    <t>26_GE_16</t>
  </si>
  <si>
    <t>Material farmaciola barca</t>
  </si>
  <si>
    <t>26_GE_17</t>
  </si>
  <si>
    <t>Revisió botiquí oxigenoteràpia</t>
  </si>
  <si>
    <t>26_GE_18</t>
  </si>
  <si>
    <t>Vestuari tècnics/ques Parcs</t>
  </si>
  <si>
    <t>26_GE_19</t>
  </si>
  <si>
    <t xml:space="preserve">Material divers patrons-busseig </t>
  </si>
  <si>
    <t>26_GE_20</t>
  </si>
  <si>
    <t xml:space="preserve">Compra porta i llums remolc </t>
  </si>
  <si>
    <t>26_US_4</t>
  </si>
  <si>
    <t>26_US_33</t>
  </si>
  <si>
    <t>26_US_34</t>
  </si>
  <si>
    <t>no</t>
  </si>
  <si>
    <t>L'any passat no es va fer</t>
  </si>
  <si>
    <t>Aquest 2026 és el darrer any.</t>
  </si>
  <si>
    <t>Tot i que el títol de l'encàrrec és igual cada any, canvien les espècies estudiades.</t>
  </si>
  <si>
    <t>S'ha fet 2025 i 2026. No està previst que continui més enllà.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</si>
</sst>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0.00\ &quot;€&quot;;[Red]\-#,##0.00\ &quot;€&quot;"/>
    <numFmt numFmtId="164" formatCode="#,##0.00\ &quot;€&quot;"/>
  </numFmts>
  <fonts count="37">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name val="Calibri"/>
      <family val="2"/>
    </font>
    <font>
      <sz val="11"/>
      <color rgb="FF000000"/>
      <name val="Calibri"/>
      <family val="2"/>
    </font>
    <font>
      <sz val="11"/>
      <color rgb="FFFF0000"/>
      <name val="Calibri"/>
      <family val="2"/>
      <scheme val="minor"/>
    </font>
    <font>
      <b/>
      <sz val="14"/>
      <color theme="1"/>
      <name val="Calibri"/>
      <family val="2"/>
      <scheme val="minor"/>
    </font>
    <font>
      <b/>
      <sz val="14"/>
      <name val="Calibri"/>
      <family val="2"/>
      <scheme val="minor"/>
    </font>
    <font>
      <sz val="14"/>
      <name val="Calibri"/>
      <family val="2"/>
      <scheme val="minor"/>
    </font>
    <font>
      <sz val="11"/>
      <color rgb="FF0070C0"/>
      <name val="Calibri"/>
      <family val="2"/>
      <scheme val="minor"/>
    </font>
    <font>
      <strike/>
      <sz val="11"/>
      <color theme="1"/>
      <name val="Calibri"/>
      <family val="2"/>
      <scheme val="minor"/>
    </font>
    <font>
      <strike/>
      <sz val="11"/>
      <name val="Calibri"/>
      <family val="2"/>
      <scheme val="minor"/>
    </font>
    <font>
      <sz val="9"/>
      <name val="Arial"/>
      <family val="2"/>
    </font>
    <font>
      <b/>
      <sz val="10"/>
      <name val="Calibri"/>
      <family val="2"/>
      <scheme val="minor"/>
    </font>
    <font>
      <b/>
      <sz val="10"/>
      <color theme="1"/>
      <name val="Calibri"/>
      <family val="2"/>
      <scheme val="minor"/>
    </font>
    <font>
      <sz val="9"/>
      <color theme="1"/>
      <name val="Calibri"/>
      <family val="2"/>
      <scheme val="minor"/>
    </font>
    <font>
      <sz val="9"/>
      <color rgb="FF1F4D78"/>
      <name val="Arial"/>
      <family val="2"/>
    </font>
    <font>
      <sz val="9"/>
      <color rgb="FFC00000"/>
      <name val="Arial"/>
      <family val="2"/>
    </font>
    <font>
      <sz val="10"/>
      <color theme="1"/>
      <name val="Calibri"/>
      <family val="2"/>
      <scheme val="minor"/>
    </font>
    <font>
      <sz val="9"/>
      <color rgb="FF000000"/>
      <name val="Arial"/>
      <family val="2"/>
    </font>
    <font>
      <sz val="9"/>
      <color rgb="FF071D49"/>
      <name val="Arial"/>
      <family val="2"/>
    </font>
    <font>
      <sz val="9"/>
      <color rgb="FF071D49"/>
      <name val="Calibri"/>
      <family val="2"/>
    </font>
    <font>
      <b/>
      <sz val="9"/>
      <name val="Arial"/>
      <family val="2"/>
    </font>
    <font>
      <b/>
      <sz val="9"/>
      <color rgb="FF000000"/>
      <name val="Arial"/>
      <family val="2"/>
    </font>
    <font>
      <sz val="9"/>
      <color rgb="FF000000"/>
      <name val="Calibri"/>
      <family val="2"/>
    </font>
    <font>
      <sz val="9"/>
      <color theme="1"/>
      <name val="Arial"/>
      <family val="2"/>
    </font>
    <font>
      <b/>
      <sz val="11"/>
      <color rgb="FF000000"/>
      <name val="Arial"/>
      <family val="2"/>
    </font>
    <font>
      <sz val="11"/>
      <color rgb="FF000000"/>
      <name val="Arial"/>
      <family val="2"/>
    </font>
    <font>
      <sz val="10"/>
      <color theme="1"/>
      <name val="Arimo"/>
      <family val="2"/>
    </font>
    <font>
      <b/>
      <sz val="11"/>
      <color theme="0"/>
      <name val="Calibri"/>
      <family val="2"/>
      <scheme val="minor"/>
    </font>
    <font>
      <sz val="11"/>
      <color rgb="FF006100"/>
      <name val="Calibri"/>
      <family val="2"/>
      <scheme val="minor"/>
    </font>
    <font>
      <i/>
      <sz val="10"/>
      <color rgb="FF000000"/>
      <name val="Calibri"/>
      <family val="2"/>
      <scheme val="minor"/>
    </font>
    <font>
      <sz val="9"/>
      <name val="Calibri"/>
      <family val="2"/>
    </font>
    <font>
      <sz val="10"/>
      <color rgb="FF000000"/>
      <name val="Calibri"/>
      <family val="2"/>
      <scheme val="minor"/>
    </font>
  </fonts>
  <fills count="41">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
      <patternFill patternType="solid">
        <fgColor rgb="FFFF0000"/>
        <bgColor indexed="64"/>
      </patternFill>
    </fill>
    <fill>
      <patternFill patternType="solid">
        <fgColor rgb="FFC5E0B3"/>
        <bgColor indexed="64"/>
      </patternFill>
    </fill>
    <fill>
      <patternFill patternType="solid">
        <fgColor rgb="FFBDD6EE"/>
        <bgColor indexed="64"/>
      </patternFill>
    </fill>
    <fill>
      <patternFill patternType="solid">
        <fgColor rgb="FFDEEAF6"/>
        <bgColor indexed="64"/>
      </patternFill>
    </fill>
    <fill>
      <patternFill patternType="solid">
        <fgColor rgb="FFFBE4D5"/>
        <bgColor indexed="64"/>
      </patternFill>
    </fill>
    <fill>
      <patternFill patternType="solid">
        <fgColor rgb="FFFCBC20"/>
        <bgColor indexed="64"/>
      </patternFill>
    </fill>
    <fill>
      <patternFill patternType="solid">
        <fgColor rgb="FFE7E6E6"/>
        <bgColor indexed="64"/>
      </patternFill>
    </fill>
    <fill>
      <patternFill patternType="solid">
        <fgColor rgb="FFB1A0C7"/>
        <bgColor rgb="FF000000"/>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249977111117893"/>
        <bgColor indexed="64"/>
      </patternFill>
    </fill>
    <fill>
      <patternFill patternType="solid">
        <fgColor rgb="FFC6EFCE"/>
      </patternFill>
    </fill>
    <fill>
      <patternFill patternType="solid">
        <fgColor theme="8" tint="0.79998168889431442"/>
        <bgColor theme="8" tint="0.79998168889431442"/>
      </patternFill>
    </fill>
    <fill>
      <patternFill patternType="solid">
        <fgColor theme="0" tint="-0.14999847407452621"/>
        <bgColor indexed="64"/>
      </patternFill>
    </fill>
    <fill>
      <patternFill patternType="solid">
        <fgColor theme="2"/>
        <bgColor theme="8" tint="0.79998168889431442"/>
      </patternFill>
    </fill>
    <fill>
      <patternFill patternType="solid">
        <fgColor rgb="FFDCC8B6"/>
        <bgColor indexed="64"/>
      </patternFill>
    </fill>
  </fills>
  <borders count="59">
    <border>
      <left/>
      <right/>
      <top/>
      <bottom/>
      <diagonal/>
    </border>
    <border>
      <left style="thin">
        <color theme="5"/>
      </left>
      <right style="thin">
        <color theme="5"/>
      </right>
      <top style="thin">
        <color theme="5"/>
      </top>
      <bottom style="thin">
        <color theme="5"/>
      </bottom>
      <diagonal/>
    </border>
    <border>
      <left/>
      <right style="thin">
        <color theme="5"/>
      </right>
      <top style="thin">
        <color theme="5"/>
      </top>
      <bottom/>
      <diagonal/>
    </border>
    <border>
      <left/>
      <right style="thin">
        <color theme="6"/>
      </right>
      <top/>
      <bottom/>
      <diagonal/>
    </border>
    <border>
      <left/>
      <right/>
      <top style="thin">
        <color theme="6"/>
      </top>
      <bottom style="thin">
        <color theme="6"/>
      </bottom>
      <diagonal/>
    </border>
    <border>
      <left/>
      <right style="thin">
        <color rgb="FF00B0F0"/>
      </right>
      <top style="thin">
        <color rgb="FF00B0F0"/>
      </top>
      <bottom/>
      <diagonal/>
    </border>
    <border>
      <left/>
      <right style="thin">
        <color theme="8"/>
      </right>
      <top style="thin">
        <color rgb="FF00B0F0"/>
      </top>
      <bottom/>
      <diagonal/>
    </border>
    <border>
      <left/>
      <right style="thin">
        <color theme="8"/>
      </right>
      <top style="thin">
        <color theme="8"/>
      </top>
      <bottom/>
      <diagonal/>
    </border>
    <border>
      <left/>
      <right style="thin">
        <color theme="9"/>
      </right>
      <top/>
      <bottom/>
      <diagonal/>
    </border>
    <border>
      <left/>
      <right style="thin">
        <color theme="9"/>
      </right>
      <top style="thin">
        <color theme="9"/>
      </top>
      <bottom style="thin">
        <color theme="9"/>
      </bottom>
      <diagonal/>
    </border>
    <border>
      <left/>
      <right/>
      <top style="thin">
        <color theme="4"/>
      </top>
      <bottom style="thin">
        <color theme="4"/>
      </bottom>
      <diagonal/>
    </border>
    <border>
      <left/>
      <right style="thin">
        <color rgb="FF8497B0"/>
      </right>
      <top style="thin">
        <color theme="3" tint="0.39994506668294322"/>
      </top>
      <bottom/>
      <diagonal/>
    </border>
    <border>
      <left/>
      <right/>
      <top style="thin">
        <color theme="3" tint="0.39994506668294322"/>
      </top>
      <bottom/>
      <diagonal/>
    </border>
    <border>
      <left/>
      <right style="thin">
        <color theme="4"/>
      </right>
      <top style="thin">
        <color theme="5"/>
      </top>
      <bottom/>
      <diagonal/>
    </border>
    <border>
      <left/>
      <right style="thin">
        <color theme="4"/>
      </right>
      <top style="thin">
        <color theme="4"/>
      </top>
      <bottom/>
      <diagonal/>
    </border>
    <border>
      <left/>
      <right style="thin">
        <color theme="8"/>
      </right>
      <top style="thin">
        <color theme="8" tint="-0.24994659260841701"/>
      </top>
      <bottom/>
      <diagonal/>
    </border>
    <border>
      <left/>
      <right/>
      <top style="thin">
        <color theme="5"/>
      </top>
      <bottom/>
      <diagonal/>
    </border>
    <border>
      <left style="thin">
        <color indexed="64"/>
      </left>
      <right style="thin">
        <color indexed="64"/>
      </right>
      <top style="thin">
        <color indexed="64"/>
      </top>
      <bottom style="thin">
        <color indexed="64"/>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style="thin">
        <color theme="4"/>
      </left>
      <right/>
      <top style="thin">
        <color theme="5"/>
      </top>
      <bottom/>
      <diagonal/>
    </border>
    <border>
      <left style="thin">
        <color theme="4"/>
      </left>
      <right/>
      <top style="thin">
        <color theme="5"/>
      </top>
      <bottom style="thin">
        <color theme="4"/>
      </bottom>
      <diagonal/>
    </border>
    <border>
      <left style="thin">
        <color theme="4"/>
      </left>
      <right/>
      <top/>
      <bottom/>
      <diagonal/>
    </border>
    <border>
      <left/>
      <right/>
      <top style="thin">
        <color theme="4"/>
      </top>
      <bottom/>
      <diagonal/>
    </border>
    <border>
      <left/>
      <right/>
      <top style="thin">
        <color theme="6"/>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B0F0"/>
      </left>
      <right/>
      <top style="thin">
        <color rgb="FF00B0F0"/>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top style="thin">
        <color rgb="FF00B0F0"/>
      </top>
      <bottom/>
      <diagonal/>
    </border>
    <border>
      <left style="thin">
        <color theme="8"/>
      </left>
      <right/>
      <top/>
      <bottom style="thin">
        <color theme="8"/>
      </bottom>
      <diagonal/>
    </border>
    <border>
      <left style="thin">
        <color theme="8"/>
      </left>
      <right/>
      <top style="thin">
        <color rgb="FF00B0F0"/>
      </top>
      <bottom/>
      <diagonal/>
    </border>
    <border>
      <left style="thin">
        <color theme="8"/>
      </left>
      <right/>
      <top style="thin">
        <color theme="8"/>
      </top>
      <bottom/>
      <diagonal/>
    </border>
    <border>
      <left/>
      <right/>
      <top style="thin">
        <color theme="8"/>
      </top>
      <bottom/>
      <diagonal/>
    </border>
    <border>
      <left style="thin">
        <color theme="8" tint="-0.24994659260841701"/>
      </left>
      <right/>
      <top style="thin">
        <color theme="8" tint="-0.24994659260841701"/>
      </top>
      <bottom/>
      <diagonal/>
    </border>
    <border>
      <left style="thin">
        <color theme="9"/>
      </left>
      <right/>
      <top/>
      <bottom/>
      <diagonal/>
    </border>
    <border>
      <left style="thin">
        <color theme="9"/>
      </left>
      <right/>
      <top style="thin">
        <color theme="9"/>
      </top>
      <bottom/>
      <diagonal/>
    </border>
    <border>
      <left/>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style="thin">
        <color rgb="FF8497B0"/>
      </left>
      <right/>
      <top style="thin">
        <color theme="3" tint="0.39994506668294322"/>
      </top>
      <bottom/>
      <diagonal/>
    </border>
    <border>
      <left style="thin">
        <color rgb="FF8497B0"/>
      </left>
      <right/>
      <top style="thin">
        <color rgb="FF8497B0"/>
      </top>
      <bottom/>
      <diagonal/>
    </border>
    <border>
      <left/>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3" fillId="36" borderId="0" applyNumberFormat="0" applyBorder="0" applyAlignment="0" applyProtection="0"/>
  </cellStyleXfs>
  <cellXfs count="286">
    <xf numFmtId="0" fontId="0" fillId="0" borderId="0" xfId="0"/>
    <xf numFmtId="0" fontId="0" fillId="0" borderId="0" xfId="0" applyAlignment="1">
      <alignment vertical="top" wrapText="1"/>
    </xf>
    <xf numFmtId="0" fontId="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21" borderId="10" xfId="0" applyFont="1" applyFill="1" applyBorder="1" applyAlignment="1">
      <alignment vertical="center" wrapText="1"/>
    </xf>
    <xf numFmtId="0" fontId="1" fillId="11" borderId="3" xfId="0" applyFont="1" applyFill="1" applyBorder="1" applyAlignment="1">
      <alignment horizontal="left" vertical="top" wrapText="1"/>
    </xf>
    <xf numFmtId="0" fontId="1" fillId="14" borderId="5" xfId="0" applyFont="1" applyFill="1" applyBorder="1" applyAlignment="1">
      <alignment horizontal="left" vertical="top" wrapText="1"/>
    </xf>
    <xf numFmtId="0" fontId="1" fillId="12" borderId="4" xfId="0" applyFont="1" applyFill="1" applyBorder="1" applyAlignment="1">
      <alignment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49" fontId="1"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xf>
    <xf numFmtId="0" fontId="0" fillId="0" borderId="0" xfId="0" applyAlignment="1">
      <alignment horizontal="center" vertical="center"/>
    </xf>
    <xf numFmtId="0" fontId="1" fillId="0" borderId="0" xfId="0" applyFont="1" applyAlignment="1">
      <alignment vertical="top" wrapText="1"/>
    </xf>
    <xf numFmtId="0" fontId="0" fillId="0" borderId="0" xfId="0" applyAlignment="1">
      <alignment horizontal="left" vertical="center" wrapText="1"/>
    </xf>
    <xf numFmtId="49" fontId="9" fillId="0" borderId="0" xfId="0" applyNumberFormat="1" applyFont="1" applyAlignment="1">
      <alignment horizontal="center" vertical="top" wrapText="1"/>
    </xf>
    <xf numFmtId="49" fontId="9" fillId="0" borderId="0" xfId="0" applyNumberFormat="1" applyFont="1" applyAlignment="1">
      <alignment horizontal="right" vertical="top"/>
    </xf>
    <xf numFmtId="0" fontId="11" fillId="18" borderId="17" xfId="0" applyFont="1" applyFill="1" applyBorder="1" applyAlignment="1">
      <alignment vertical="top" wrapText="1"/>
    </xf>
    <xf numFmtId="0" fontId="11" fillId="0" borderId="0" xfId="0" applyFont="1" applyFill="1" applyBorder="1" applyAlignment="1">
      <alignment vertical="top" wrapText="1"/>
    </xf>
    <xf numFmtId="0" fontId="2" fillId="18" borderId="0" xfId="0" applyFont="1" applyFill="1" applyAlignment="1">
      <alignment horizontal="center" vertical="center" wrapText="1"/>
    </xf>
    <xf numFmtId="0" fontId="3" fillId="18" borderId="0" xfId="0" applyFont="1" applyFill="1" applyAlignment="1">
      <alignment horizontal="center" vertical="center"/>
    </xf>
    <xf numFmtId="0" fontId="3" fillId="18" borderId="0" xfId="0" applyFont="1" applyFill="1" applyAlignment="1">
      <alignment horizontal="center" vertical="center" wrapText="1"/>
    </xf>
    <xf numFmtId="49" fontId="3" fillId="18" borderId="0" xfId="0" applyNumberFormat="1" applyFont="1" applyFill="1" applyAlignment="1">
      <alignment horizontal="center" vertical="center" wrapText="1"/>
    </xf>
    <xf numFmtId="0" fontId="3" fillId="18" borderId="17" xfId="0" applyFont="1" applyFill="1" applyBorder="1" applyAlignment="1">
      <alignment horizontal="center" vertical="center" wrapText="1"/>
    </xf>
    <xf numFmtId="0" fontId="3" fillId="18" borderId="17" xfId="0" applyFont="1" applyFill="1" applyBorder="1" applyAlignment="1">
      <alignment horizontal="center" vertical="center"/>
    </xf>
    <xf numFmtId="0" fontId="2" fillId="0" borderId="17" xfId="0" applyFont="1" applyBorder="1" applyAlignment="1">
      <alignment horizontal="center" vertical="center"/>
    </xf>
    <xf numFmtId="0" fontId="2" fillId="18" borderId="17" xfId="0" applyFont="1" applyFill="1" applyBorder="1" applyAlignment="1">
      <alignment horizontal="center" vertical="center"/>
    </xf>
    <xf numFmtId="0" fontId="2" fillId="18" borderId="17" xfId="0" applyFont="1" applyFill="1" applyBorder="1" applyAlignment="1">
      <alignment horizontal="center" vertical="center" wrapText="1"/>
    </xf>
    <xf numFmtId="0" fontId="2" fillId="0" borderId="0" xfId="0" applyFont="1" applyAlignment="1">
      <alignment horizontal="center" vertical="center"/>
    </xf>
    <xf numFmtId="49" fontId="2" fillId="2" borderId="1" xfId="0" applyNumberFormat="1" applyFont="1" applyFill="1" applyBorder="1" applyAlignment="1">
      <alignment horizontal="center" vertical="top" wrapText="1"/>
    </xf>
    <xf numFmtId="0" fontId="1" fillId="9" borderId="18" xfId="0" applyFont="1" applyFill="1" applyBorder="1" applyAlignment="1">
      <alignment horizontal="center" vertical="top"/>
    </xf>
    <xf numFmtId="0" fontId="6" fillId="9" borderId="2" xfId="0" applyFont="1" applyFill="1" applyBorder="1" applyAlignment="1">
      <alignment vertical="top" wrapText="1"/>
    </xf>
    <xf numFmtId="0" fontId="1" fillId="18" borderId="17" xfId="0" applyFont="1" applyFill="1" applyBorder="1" applyAlignment="1">
      <alignment horizontal="center" vertical="center" wrapText="1"/>
    </xf>
    <xf numFmtId="0" fontId="1" fillId="18" borderId="17" xfId="0" applyFont="1" applyFill="1" applyBorder="1" applyAlignment="1">
      <alignment horizontal="left" vertical="center" wrapText="1"/>
    </xf>
    <xf numFmtId="0" fontId="1" fillId="18" borderId="17" xfId="0" applyFont="1" applyFill="1" applyBorder="1" applyAlignment="1">
      <alignment horizontal="center" vertical="center"/>
    </xf>
    <xf numFmtId="0" fontId="1" fillId="0" borderId="17" xfId="0" applyFont="1" applyBorder="1" applyAlignment="1">
      <alignment horizontal="left" vertical="center" wrapText="1"/>
    </xf>
    <xf numFmtId="0" fontId="1" fillId="0" borderId="17" xfId="0" applyFont="1" applyBorder="1" applyAlignment="1">
      <alignment horizontal="center" vertical="center"/>
    </xf>
    <xf numFmtId="0" fontId="1" fillId="0" borderId="17" xfId="0" applyFont="1" applyBorder="1" applyAlignment="1">
      <alignment vertical="top" wrapText="1"/>
    </xf>
    <xf numFmtId="0" fontId="0" fillId="0" borderId="17" xfId="0" applyBorder="1" applyAlignment="1">
      <alignment horizontal="center" vertical="center"/>
    </xf>
    <xf numFmtId="0" fontId="0" fillId="18" borderId="17" xfId="0" applyFill="1" applyBorder="1" applyAlignment="1">
      <alignment horizontal="center" vertical="center"/>
    </xf>
    <xf numFmtId="0" fontId="0" fillId="18" borderId="17" xfId="0" applyFill="1" applyBorder="1" applyAlignment="1">
      <alignment horizontal="left" vertical="center" wrapText="1"/>
    </xf>
    <xf numFmtId="0" fontId="1" fillId="0" borderId="17" xfId="0" applyFont="1" applyBorder="1" applyAlignment="1">
      <alignment vertical="top"/>
    </xf>
    <xf numFmtId="0" fontId="8" fillId="18" borderId="17" xfId="0" applyFont="1" applyFill="1" applyBorder="1" applyAlignment="1">
      <alignment horizontal="left" vertical="center" wrapText="1"/>
    </xf>
    <xf numFmtId="0" fontId="0" fillId="18" borderId="17" xfId="0" applyFill="1" applyBorder="1" applyAlignment="1">
      <alignment horizontal="center" vertical="center" wrapText="1"/>
    </xf>
    <xf numFmtId="49" fontId="1" fillId="10" borderId="19" xfId="0" applyNumberFormat="1" applyFont="1" applyFill="1" applyBorder="1" applyAlignment="1">
      <alignment horizontal="center" vertical="center" wrapText="1"/>
    </xf>
    <xf numFmtId="0" fontId="1" fillId="10" borderId="20" xfId="0" applyFont="1" applyFill="1" applyBorder="1" applyAlignment="1">
      <alignment vertical="center" wrapText="1"/>
    </xf>
    <xf numFmtId="0" fontId="1" fillId="0" borderId="17" xfId="0" applyFont="1" applyBorder="1" applyAlignment="1">
      <alignment horizontal="center" vertical="center" wrapText="1"/>
    </xf>
    <xf numFmtId="49" fontId="2" fillId="7" borderId="0" xfId="0" applyNumberFormat="1" applyFont="1" applyFill="1" applyAlignment="1">
      <alignment horizontal="center" vertical="top" wrapText="1"/>
    </xf>
    <xf numFmtId="0" fontId="1" fillId="20" borderId="21" xfId="0" applyFont="1" applyFill="1" applyBorder="1" applyAlignment="1">
      <alignment vertical="top"/>
    </xf>
    <xf numFmtId="0" fontId="1" fillId="20" borderId="13" xfId="0" applyFont="1" applyFill="1" applyBorder="1" applyAlignment="1">
      <alignment vertical="top" wrapText="1"/>
    </xf>
    <xf numFmtId="49" fontId="1" fillId="21" borderId="10" xfId="0" applyNumberFormat="1" applyFont="1" applyFill="1" applyBorder="1" applyAlignment="1">
      <alignment horizontal="center" vertical="center" wrapText="1"/>
    </xf>
    <xf numFmtId="49" fontId="2" fillId="3" borderId="0" xfId="0" applyNumberFormat="1" applyFont="1" applyFill="1" applyAlignment="1">
      <alignment horizontal="center" vertical="top" wrapText="1"/>
    </xf>
    <xf numFmtId="0" fontId="1" fillId="11" borderId="26" xfId="0" applyFont="1" applyFill="1" applyBorder="1" applyAlignment="1">
      <alignment horizontal="center" vertical="top"/>
    </xf>
    <xf numFmtId="0" fontId="6" fillId="18" borderId="17" xfId="0" applyFont="1" applyFill="1" applyBorder="1" applyAlignment="1">
      <alignment horizontal="left" vertical="center" wrapText="1"/>
    </xf>
    <xf numFmtId="0" fontId="1" fillId="0" borderId="17" xfId="0" applyFont="1" applyBorder="1" applyAlignment="1">
      <alignment horizontal="left" vertical="top" wrapText="1"/>
    </xf>
    <xf numFmtId="49" fontId="2" fillId="4" borderId="0" xfId="0" applyNumberFormat="1" applyFont="1" applyFill="1" applyAlignment="1">
      <alignment horizontal="center" vertical="top" wrapText="1"/>
    </xf>
    <xf numFmtId="0" fontId="1" fillId="14" borderId="28" xfId="0" applyFont="1" applyFill="1" applyBorder="1" applyAlignment="1">
      <alignment horizontal="center" vertical="top"/>
    </xf>
    <xf numFmtId="49" fontId="1" fillId="13" borderId="29" xfId="0" applyNumberFormat="1" applyFont="1" applyFill="1" applyBorder="1" applyAlignment="1">
      <alignment horizontal="center" vertical="center" wrapText="1"/>
    </xf>
    <xf numFmtId="0" fontId="1" fillId="13" borderId="30" xfId="0" applyFont="1" applyFill="1" applyBorder="1" applyAlignment="1">
      <alignment vertical="center" wrapText="1"/>
    </xf>
    <xf numFmtId="0" fontId="1" fillId="14" borderId="28" xfId="0" applyFont="1" applyFill="1" applyBorder="1" applyAlignment="1">
      <alignment vertical="top"/>
    </xf>
    <xf numFmtId="0" fontId="1" fillId="14" borderId="5" xfId="0" applyFont="1" applyFill="1" applyBorder="1" applyAlignment="1">
      <alignment vertical="top" wrapText="1"/>
    </xf>
    <xf numFmtId="49" fontId="2" fillId="5" borderId="0" xfId="0" applyNumberFormat="1" applyFont="1" applyFill="1" applyAlignment="1">
      <alignment horizontal="center" vertical="top" wrapText="1"/>
    </xf>
    <xf numFmtId="0" fontId="1" fillId="15" borderId="32" xfId="0" applyFont="1" applyFill="1" applyBorder="1" applyAlignment="1">
      <alignment vertical="top"/>
    </xf>
    <xf numFmtId="0" fontId="1" fillId="15" borderId="6" xfId="0" applyFont="1" applyFill="1" applyBorder="1" applyAlignment="1">
      <alignment vertical="top" wrapText="1"/>
    </xf>
    <xf numFmtId="49" fontId="1" fillId="16" borderId="33" xfId="0" applyNumberFormat="1" applyFont="1" applyFill="1" applyBorder="1" applyAlignment="1">
      <alignment horizontal="center" vertical="center" wrapText="1"/>
    </xf>
    <xf numFmtId="0" fontId="4" fillId="16" borderId="31" xfId="0" applyFont="1" applyFill="1" applyBorder="1" applyAlignment="1">
      <alignment vertical="center" wrapText="1"/>
    </xf>
    <xf numFmtId="0" fontId="1" fillId="0" borderId="17" xfId="0" quotePrefix="1" applyFont="1" applyBorder="1" applyAlignment="1">
      <alignment vertical="top" wrapText="1"/>
    </xf>
    <xf numFmtId="0" fontId="1" fillId="15" borderId="34" xfId="0" applyFont="1" applyFill="1" applyBorder="1" applyAlignment="1">
      <alignment horizontal="center" vertical="top"/>
    </xf>
    <xf numFmtId="0" fontId="4" fillId="0" borderId="17" xfId="0" applyFont="1" applyBorder="1" applyAlignment="1">
      <alignment vertical="top"/>
    </xf>
    <xf numFmtId="0" fontId="4" fillId="0" borderId="17" xfId="0" applyFont="1" applyBorder="1" applyAlignment="1">
      <alignment vertical="top" wrapText="1"/>
    </xf>
    <xf numFmtId="0" fontId="12" fillId="0" borderId="17" xfId="0" applyFont="1" applyBorder="1" applyAlignment="1">
      <alignment vertical="top" wrapText="1"/>
    </xf>
    <xf numFmtId="0" fontId="1" fillId="15" borderId="36" xfId="0" applyFont="1" applyFill="1" applyBorder="1" applyAlignment="1">
      <alignment horizontal="center" vertical="top" wrapText="1"/>
    </xf>
    <xf numFmtId="0" fontId="1" fillId="15" borderId="15" xfId="0" applyFont="1" applyFill="1" applyBorder="1" applyAlignment="1">
      <alignment horizontal="center" vertical="top" wrapText="1"/>
    </xf>
    <xf numFmtId="49" fontId="2" fillId="6" borderId="0" xfId="0" applyNumberFormat="1" applyFont="1" applyFill="1" applyAlignment="1">
      <alignment horizontal="center" vertical="top" wrapText="1"/>
    </xf>
    <xf numFmtId="0" fontId="6" fillId="18" borderId="17" xfId="0" applyFont="1" applyFill="1" applyBorder="1" applyAlignment="1">
      <alignment horizontal="center" vertical="center" wrapText="1"/>
    </xf>
    <xf numFmtId="0" fontId="6" fillId="0" borderId="17" xfId="0" applyFont="1" applyBorder="1" applyAlignment="1">
      <alignment vertical="top" wrapText="1"/>
    </xf>
    <xf numFmtId="0" fontId="13" fillId="18" borderId="17" xfId="0" applyFont="1" applyFill="1" applyBorder="1" applyAlignment="1">
      <alignment horizontal="left" vertical="center" wrapText="1"/>
    </xf>
    <xf numFmtId="0" fontId="14" fillId="0" borderId="17" xfId="0" applyFont="1" applyBorder="1" applyAlignment="1">
      <alignment vertical="top" wrapText="1"/>
    </xf>
    <xf numFmtId="0" fontId="6" fillId="18" borderId="17" xfId="0" applyFont="1" applyFill="1" applyBorder="1" applyAlignment="1">
      <alignment horizontal="center" vertical="center"/>
    </xf>
    <xf numFmtId="49" fontId="1" fillId="17" borderId="40" xfId="0" applyNumberFormat="1" applyFont="1" applyFill="1" applyBorder="1" applyAlignment="1">
      <alignment horizontal="center" vertical="center" wrapText="1"/>
    </xf>
    <xf numFmtId="0" fontId="1" fillId="17" borderId="41" xfId="0" applyFont="1" applyFill="1" applyBorder="1" applyAlignment="1">
      <alignment horizontal="left" vertical="center" wrapText="1"/>
    </xf>
    <xf numFmtId="0" fontId="5" fillId="8" borderId="0" xfId="0" applyFont="1" applyFill="1" applyAlignment="1">
      <alignment horizontal="center" vertical="top" wrapText="1"/>
    </xf>
    <xf numFmtId="0" fontId="1" fillId="19" borderId="12" xfId="0" applyFont="1" applyFill="1" applyBorder="1" applyAlignment="1">
      <alignment vertical="top"/>
    </xf>
    <xf numFmtId="0" fontId="1" fillId="22" borderId="11" xfId="0" applyFont="1" applyFill="1" applyBorder="1" applyAlignment="1">
      <alignment vertical="top" wrapText="1"/>
    </xf>
    <xf numFmtId="0" fontId="1" fillId="23" borderId="42" xfId="0" applyFont="1" applyFill="1" applyBorder="1" applyAlignment="1">
      <alignment horizontal="center" vertical="center" wrapText="1"/>
    </xf>
    <xf numFmtId="0" fontId="4" fillId="18" borderId="17" xfId="0" applyFont="1" applyFill="1" applyBorder="1" applyAlignment="1">
      <alignment horizontal="left" vertical="center" wrapText="1"/>
    </xf>
    <xf numFmtId="0" fontId="1" fillId="23" borderId="43" xfId="0" applyFont="1" applyFill="1" applyBorder="1" applyAlignment="1">
      <alignment vertical="center" wrapText="1"/>
    </xf>
    <xf numFmtId="0" fontId="1" fillId="23" borderId="44" xfId="0" applyFont="1" applyFill="1" applyBorder="1" applyAlignment="1">
      <alignment vertical="center" wrapText="1"/>
    </xf>
    <xf numFmtId="0" fontId="1" fillId="23" borderId="45" xfId="0" applyFont="1" applyFill="1" applyBorder="1" applyAlignment="1">
      <alignment horizontal="center" vertical="center" wrapText="1"/>
    </xf>
    <xf numFmtId="0" fontId="1" fillId="23" borderId="46" xfId="0" applyFont="1" applyFill="1" applyBorder="1" applyAlignment="1">
      <alignment vertical="center" wrapText="1"/>
    </xf>
    <xf numFmtId="49" fontId="2" fillId="0" borderId="0" xfId="0" applyNumberFormat="1" applyFont="1" applyAlignment="1">
      <alignment horizontal="center" vertical="top" wrapText="1"/>
    </xf>
    <xf numFmtId="0" fontId="1" fillId="24" borderId="0" xfId="0" applyFont="1" applyFill="1" applyAlignment="1">
      <alignment horizontal="left" vertical="center"/>
    </xf>
    <xf numFmtId="0" fontId="1" fillId="24" borderId="0" xfId="0" applyFont="1" applyFill="1" applyAlignment="1">
      <alignment horizontal="center" vertical="center"/>
    </xf>
    <xf numFmtId="0" fontId="1" fillId="24" borderId="0" xfId="0" applyFont="1" applyFill="1" applyAlignment="1">
      <alignment vertical="top"/>
    </xf>
    <xf numFmtId="0" fontId="0" fillId="24" borderId="0" xfId="0" applyFill="1" applyAlignment="1">
      <alignment horizontal="center" vertical="center"/>
    </xf>
    <xf numFmtId="0" fontId="1" fillId="24" borderId="0" xfId="0" applyFont="1" applyFill="1" applyAlignment="1">
      <alignment vertical="top" wrapText="1"/>
    </xf>
    <xf numFmtId="0" fontId="1" fillId="24" borderId="0" xfId="0" applyFont="1" applyFill="1" applyAlignment="1">
      <alignment horizontal="left" vertical="center" wrapText="1"/>
    </xf>
    <xf numFmtId="49" fontId="1" fillId="10" borderId="19" xfId="0" applyNumberFormat="1" applyFont="1" applyFill="1" applyBorder="1" applyAlignment="1">
      <alignment vertical="center" wrapText="1"/>
    </xf>
    <xf numFmtId="49" fontId="1" fillId="10" borderId="18" xfId="0" applyNumberFormat="1" applyFont="1" applyFill="1" applyBorder="1" applyAlignment="1">
      <alignment vertical="center" wrapText="1"/>
    </xf>
    <xf numFmtId="0" fontId="1" fillId="10" borderId="16" xfId="0" applyFont="1" applyFill="1" applyBorder="1" applyAlignment="1">
      <alignment vertical="center" wrapText="1"/>
    </xf>
    <xf numFmtId="0" fontId="1" fillId="21" borderId="22" xfId="0" applyFont="1" applyFill="1" applyBorder="1" applyAlignment="1">
      <alignment vertical="center"/>
    </xf>
    <xf numFmtId="0" fontId="1" fillId="21" borderId="16" xfId="0" applyFont="1" applyFill="1" applyBorder="1" applyAlignment="1">
      <alignment vertical="center" wrapText="1"/>
    </xf>
    <xf numFmtId="0" fontId="1" fillId="21" borderId="0" xfId="0" applyFont="1" applyFill="1" applyBorder="1" applyAlignment="1">
      <alignment vertical="center" wrapText="1"/>
    </xf>
    <xf numFmtId="49" fontId="1" fillId="21" borderId="23" xfId="0" applyNumberFormat="1" applyFont="1" applyFill="1" applyBorder="1" applyAlignment="1">
      <alignment vertical="center" wrapText="1"/>
    </xf>
    <xf numFmtId="0" fontId="1" fillId="21" borderId="10" xfId="0" applyFont="1" applyFill="1" applyBorder="1" applyAlignment="1">
      <alignment vertical="center"/>
    </xf>
    <xf numFmtId="49" fontId="1" fillId="21" borderId="24" xfId="0" applyNumberFormat="1" applyFont="1" applyFill="1" applyBorder="1" applyAlignment="1">
      <alignment vertical="center" wrapText="1"/>
    </xf>
    <xf numFmtId="0" fontId="1" fillId="21" borderId="24" xfId="0" applyFont="1" applyFill="1" applyBorder="1" applyAlignment="1">
      <alignment vertical="center" wrapText="1"/>
    </xf>
    <xf numFmtId="49" fontId="1" fillId="21" borderId="25" xfId="0" applyNumberFormat="1" applyFont="1" applyFill="1" applyBorder="1" applyAlignment="1">
      <alignment vertical="center" wrapText="1"/>
    </xf>
    <xf numFmtId="49" fontId="1" fillId="12" borderId="27" xfId="0" applyNumberFormat="1" applyFont="1" applyFill="1" applyBorder="1" applyAlignment="1">
      <alignment vertical="center" wrapText="1"/>
    </xf>
    <xf numFmtId="49" fontId="1" fillId="13" borderId="28" xfId="0" applyNumberFormat="1" applyFont="1" applyFill="1" applyBorder="1" applyAlignment="1">
      <alignment vertical="center" wrapText="1"/>
    </xf>
    <xf numFmtId="0" fontId="1" fillId="13" borderId="31" xfId="0" applyFont="1" applyFill="1" applyBorder="1" applyAlignment="1">
      <alignment vertical="center" wrapText="1"/>
    </xf>
    <xf numFmtId="49" fontId="1" fillId="13" borderId="29" xfId="0" applyNumberFormat="1" applyFont="1" applyFill="1" applyBorder="1" applyAlignment="1">
      <alignment vertical="center" wrapText="1"/>
    </xf>
    <xf numFmtId="49" fontId="1" fillId="16" borderId="34" xfId="0" applyNumberFormat="1" applyFont="1" applyFill="1" applyBorder="1" applyAlignment="1">
      <alignment vertical="center" wrapText="1"/>
    </xf>
    <xf numFmtId="0" fontId="1" fillId="16" borderId="35" xfId="0" applyFont="1" applyFill="1" applyBorder="1" applyAlignment="1">
      <alignment vertical="center" wrapText="1"/>
    </xf>
    <xf numFmtId="0" fontId="1" fillId="16" borderId="35" xfId="0" applyFont="1" applyFill="1" applyBorder="1" applyAlignment="1">
      <alignment vertical="center"/>
    </xf>
    <xf numFmtId="49" fontId="1" fillId="17" borderId="37" xfId="0" applyNumberFormat="1" applyFont="1" applyFill="1" applyBorder="1" applyAlignment="1">
      <alignment vertical="center" wrapText="1"/>
    </xf>
    <xf numFmtId="0" fontId="1" fillId="17" borderId="0" xfId="0" applyFont="1" applyFill="1" applyBorder="1" applyAlignment="1">
      <alignment vertical="center" wrapText="1"/>
    </xf>
    <xf numFmtId="49" fontId="1" fillId="17" borderId="38" xfId="0" applyNumberFormat="1" applyFont="1" applyFill="1" applyBorder="1" applyAlignment="1">
      <alignment vertical="center" wrapText="1"/>
    </xf>
    <xf numFmtId="0" fontId="1" fillId="17" borderId="39" xfId="0" applyFont="1" applyFill="1" applyBorder="1" applyAlignment="1">
      <alignment vertical="center" wrapText="1"/>
    </xf>
    <xf numFmtId="0" fontId="4" fillId="17" borderId="39" xfId="0" applyFont="1" applyFill="1" applyBorder="1" applyAlignment="1">
      <alignment vertical="center" wrapText="1"/>
    </xf>
    <xf numFmtId="0" fontId="6" fillId="17" borderId="39" xfId="0" applyFont="1" applyFill="1" applyBorder="1" applyAlignment="1">
      <alignment vertical="center" wrapText="1"/>
    </xf>
    <xf numFmtId="0" fontId="1" fillId="17" borderId="38" xfId="0" applyFont="1" applyFill="1" applyBorder="1" applyAlignment="1">
      <alignment vertical="center"/>
    </xf>
    <xf numFmtId="0" fontId="7" fillId="17" borderId="39" xfId="0" applyFont="1" applyFill="1" applyBorder="1" applyAlignment="1">
      <alignment vertical="center" wrapText="1"/>
    </xf>
    <xf numFmtId="49" fontId="1" fillId="17" borderId="40" xfId="0" applyNumberFormat="1" applyFont="1" applyFill="1" applyBorder="1" applyAlignment="1">
      <alignment vertical="center" wrapText="1"/>
    </xf>
    <xf numFmtId="0" fontId="1" fillId="17" borderId="41" xfId="0" applyFont="1" applyFill="1" applyBorder="1" applyAlignment="1">
      <alignment vertical="center" wrapText="1"/>
    </xf>
    <xf numFmtId="0" fontId="1" fillId="23" borderId="42" xfId="0" applyFont="1" applyFill="1" applyBorder="1" applyAlignment="1">
      <alignment vertical="center" wrapText="1"/>
    </xf>
    <xf numFmtId="0" fontId="1" fillId="23" borderId="12" xfId="0" applyFont="1" applyFill="1" applyBorder="1" applyAlignment="1">
      <alignment vertical="center" wrapText="1"/>
    </xf>
    <xf numFmtId="0" fontId="1" fillId="23" borderId="12" xfId="0" applyFont="1" applyFill="1" applyBorder="1" applyAlignment="1">
      <alignment horizontal="center" vertical="center" wrapText="1"/>
    </xf>
    <xf numFmtId="0" fontId="1" fillId="9" borderId="2" xfId="0" applyFont="1" applyFill="1" applyBorder="1" applyAlignment="1">
      <alignment vertical="top" wrapText="1"/>
    </xf>
    <xf numFmtId="0" fontId="1" fillId="9" borderId="18" xfId="0" applyFont="1" applyFill="1" applyBorder="1" applyAlignment="1">
      <alignment vertical="top"/>
    </xf>
    <xf numFmtId="0" fontId="1" fillId="20" borderId="24" xfId="0" applyFont="1" applyFill="1" applyBorder="1" applyAlignment="1">
      <alignment vertical="top"/>
    </xf>
    <xf numFmtId="0" fontId="1" fillId="20" borderId="14" xfId="0" applyFont="1" applyFill="1" applyBorder="1" applyAlignment="1">
      <alignment vertical="top" wrapText="1"/>
    </xf>
    <xf numFmtId="0" fontId="1" fillId="15" borderId="7" xfId="0" applyFont="1" applyFill="1" applyBorder="1" applyAlignment="1">
      <alignment vertical="top" wrapText="1"/>
    </xf>
    <xf numFmtId="0" fontId="1" fillId="18" borderId="37" xfId="0" applyFont="1" applyFill="1" applyBorder="1" applyAlignment="1">
      <alignment vertical="top"/>
    </xf>
    <xf numFmtId="0" fontId="1" fillId="18" borderId="8" xfId="0" applyFont="1" applyFill="1" applyBorder="1" applyAlignment="1">
      <alignment vertical="top" wrapText="1"/>
    </xf>
    <xf numFmtId="0" fontId="1" fillId="18" borderId="40" xfId="0" applyFont="1" applyFill="1" applyBorder="1" applyAlignment="1">
      <alignment vertical="top"/>
    </xf>
    <xf numFmtId="0" fontId="1" fillId="18" borderId="9" xfId="0" applyFont="1" applyFill="1" applyBorder="1" applyAlignment="1">
      <alignment vertical="top" wrapText="1"/>
    </xf>
    <xf numFmtId="0" fontId="1" fillId="19" borderId="12" xfId="0" applyFont="1" applyFill="1" applyBorder="1" applyAlignment="1">
      <alignment vertical="top" wrapText="1"/>
    </xf>
    <xf numFmtId="0" fontId="0" fillId="24" borderId="0" xfId="0" applyFill="1"/>
    <xf numFmtId="0" fontId="2" fillId="24" borderId="0" xfId="0" applyFont="1" applyFill="1"/>
    <xf numFmtId="0" fontId="0" fillId="0" borderId="0" xfId="0" applyAlignment="1">
      <alignment horizontal="left"/>
    </xf>
    <xf numFmtId="0" fontId="0" fillId="0" borderId="0" xfId="0" applyAlignment="1">
      <alignment wrapText="1"/>
    </xf>
    <xf numFmtId="0" fontId="2" fillId="17" borderId="17" xfId="0" applyFont="1" applyFill="1" applyBorder="1" applyAlignment="1">
      <alignment wrapText="1"/>
    </xf>
    <xf numFmtId="0" fontId="0" fillId="0" borderId="17" xfId="0" applyBorder="1" applyAlignment="1">
      <alignment wrapText="1"/>
    </xf>
    <xf numFmtId="0" fontId="2" fillId="10" borderId="17" xfId="0" applyFont="1" applyFill="1" applyBorder="1" applyAlignment="1">
      <alignment wrapText="1"/>
    </xf>
    <xf numFmtId="0" fontId="2" fillId="0" borderId="0" xfId="0" applyFont="1"/>
    <xf numFmtId="0" fontId="0" fillId="0" borderId="0" xfId="0" applyAlignment="1">
      <alignment horizontal="left" wrapText="1"/>
    </xf>
    <xf numFmtId="49" fontId="9" fillId="25" borderId="0" xfId="0" applyNumberFormat="1" applyFont="1" applyFill="1" applyAlignment="1">
      <alignment horizontal="left" vertical="top"/>
    </xf>
    <xf numFmtId="0" fontId="10" fillId="25" borderId="0" xfId="0" applyFont="1" applyFill="1" applyAlignment="1">
      <alignment vertical="top"/>
    </xf>
    <xf numFmtId="0" fontId="10" fillId="25" borderId="0" xfId="0" applyFont="1" applyFill="1" applyAlignment="1">
      <alignment vertical="top" wrapText="1"/>
    </xf>
    <xf numFmtId="49" fontId="1" fillId="25" borderId="0" xfId="0" applyNumberFormat="1" applyFont="1" applyFill="1" applyAlignment="1">
      <alignment horizontal="center" vertical="center" wrapText="1"/>
    </xf>
    <xf numFmtId="0" fontId="1" fillId="25" borderId="0" xfId="0" applyFont="1" applyFill="1" applyAlignment="1">
      <alignment vertical="center" wrapText="1"/>
    </xf>
    <xf numFmtId="0" fontId="15" fillId="26" borderId="17" xfId="0" applyFont="1" applyFill="1" applyBorder="1" applyAlignment="1">
      <alignment vertical="center" wrapText="1"/>
    </xf>
    <xf numFmtId="0" fontId="15" fillId="26" borderId="50" xfId="0" applyFont="1" applyFill="1" applyBorder="1" applyAlignment="1">
      <alignment horizontal="center" vertical="center" wrapText="1"/>
    </xf>
    <xf numFmtId="0" fontId="16" fillId="18" borderId="47" xfId="0" applyFont="1" applyFill="1" applyBorder="1" applyAlignment="1">
      <alignment horizontal="center" vertical="center" wrapText="1"/>
    </xf>
    <xf numFmtId="0" fontId="16" fillId="18" borderId="48" xfId="0" applyFont="1" applyFill="1" applyBorder="1" applyAlignment="1">
      <alignment horizontal="center" vertical="center" wrapText="1"/>
    </xf>
    <xf numFmtId="0" fontId="16" fillId="18" borderId="48" xfId="0" applyFont="1" applyFill="1" applyBorder="1" applyAlignment="1">
      <alignment horizontal="left" vertical="center" wrapText="1"/>
    </xf>
    <xf numFmtId="0" fontId="15" fillId="27" borderId="17" xfId="0" applyFont="1" applyFill="1" applyBorder="1" applyAlignment="1">
      <alignment vertical="center" wrapText="1"/>
    </xf>
    <xf numFmtId="0" fontId="15" fillId="3" borderId="17" xfId="0" applyFont="1" applyFill="1" applyBorder="1" applyAlignment="1">
      <alignment vertical="center" wrapText="1"/>
    </xf>
    <xf numFmtId="0" fontId="15" fillId="28" borderId="17" xfId="0" applyFont="1" applyFill="1" applyBorder="1" applyAlignment="1">
      <alignment vertical="center" wrapText="1"/>
    </xf>
    <xf numFmtId="0" fontId="15" fillId="29" borderId="17" xfId="0" applyFont="1" applyFill="1" applyBorder="1" applyAlignment="1">
      <alignment vertical="center" wrapText="1"/>
    </xf>
    <xf numFmtId="0" fontId="19" fillId="30" borderId="17" xfId="0" applyFont="1" applyFill="1" applyBorder="1" applyAlignment="1">
      <alignment vertical="center" wrapText="1"/>
    </xf>
    <xf numFmtId="0" fontId="19" fillId="31" borderId="17" xfId="0" applyFont="1" applyFill="1" applyBorder="1" applyAlignment="1">
      <alignment vertical="center" wrapText="1"/>
    </xf>
    <xf numFmtId="0" fontId="18" fillId="24" borderId="0" xfId="0" applyFont="1" applyFill="1" applyAlignment="1"/>
    <xf numFmtId="0" fontId="18" fillId="0" borderId="0" xfId="0" applyFont="1" applyAlignment="1"/>
    <xf numFmtId="0" fontId="15" fillId="27" borderId="50" xfId="0" applyFont="1" applyFill="1" applyBorder="1" applyAlignment="1">
      <alignment vertical="center" wrapText="1"/>
    </xf>
    <xf numFmtId="0" fontId="15" fillId="3" borderId="50" xfId="0" applyFont="1" applyFill="1" applyBorder="1" applyAlignment="1">
      <alignment vertical="center" wrapText="1"/>
    </xf>
    <xf numFmtId="0" fontId="15" fillId="28" borderId="50" xfId="0" applyFont="1" applyFill="1" applyBorder="1" applyAlignment="1">
      <alignment vertical="center" wrapText="1"/>
    </xf>
    <xf numFmtId="0" fontId="15" fillId="29" borderId="50" xfId="0" applyFont="1" applyFill="1" applyBorder="1" applyAlignment="1">
      <alignment vertical="center" wrapText="1"/>
    </xf>
    <xf numFmtId="0" fontId="15" fillId="30" borderId="50" xfId="0" applyFont="1" applyFill="1" applyBorder="1" applyAlignment="1">
      <alignment vertical="center" wrapText="1"/>
    </xf>
    <xf numFmtId="0" fontId="15" fillId="31" borderId="50" xfId="0" applyFont="1" applyFill="1" applyBorder="1" applyAlignment="1">
      <alignment vertical="center" wrapText="1"/>
    </xf>
    <xf numFmtId="0" fontId="17" fillId="18" borderId="48" xfId="0" applyFont="1" applyFill="1" applyBorder="1" applyAlignment="1">
      <alignment vertical="top"/>
    </xf>
    <xf numFmtId="0" fontId="16" fillId="18" borderId="51" xfId="0" applyFont="1" applyFill="1" applyBorder="1" applyAlignment="1">
      <alignment horizontal="center" vertical="center" wrapText="1"/>
    </xf>
    <xf numFmtId="0" fontId="15" fillId="26" borderId="52" xfId="0" applyFont="1" applyFill="1" applyBorder="1" applyAlignment="1">
      <alignment horizontal="center" vertical="center" wrapText="1"/>
    </xf>
    <xf numFmtId="0" fontId="15" fillId="3" borderId="52" xfId="0" applyFont="1" applyFill="1" applyBorder="1" applyAlignment="1">
      <alignment vertical="center" wrapText="1"/>
    </xf>
    <xf numFmtId="0" fontId="20" fillId="26" borderId="17" xfId="0" applyFont="1" applyFill="1" applyBorder="1" applyAlignment="1">
      <alignment vertical="center" wrapText="1"/>
    </xf>
    <xf numFmtId="0" fontId="0" fillId="0" borderId="0" xfId="0" applyFill="1"/>
    <xf numFmtId="0" fontId="16" fillId="18" borderId="48" xfId="0" applyFont="1" applyFill="1" applyBorder="1" applyAlignment="1">
      <alignment vertical="center" wrapText="1"/>
    </xf>
    <xf numFmtId="0" fontId="17" fillId="18" borderId="48" xfId="0" applyFont="1" applyFill="1" applyBorder="1" applyAlignment="1">
      <alignment vertical="top" wrapText="1"/>
    </xf>
    <xf numFmtId="0" fontId="17" fillId="18" borderId="49" xfId="0" applyFont="1" applyFill="1" applyBorder="1" applyAlignment="1">
      <alignment vertical="top" wrapText="1"/>
    </xf>
    <xf numFmtId="0" fontId="21" fillId="0" borderId="0" xfId="0" applyFont="1"/>
    <xf numFmtId="0" fontId="15" fillId="26" borderId="17" xfId="0" applyFont="1" applyFill="1" applyBorder="1" applyAlignment="1">
      <alignment horizontal="left" vertical="center" wrapText="1"/>
    </xf>
    <xf numFmtId="0" fontId="18" fillId="0" borderId="0" xfId="0" applyFont="1"/>
    <xf numFmtId="0" fontId="22" fillId="26" borderId="17" xfId="0" applyFont="1" applyFill="1" applyBorder="1" applyAlignment="1">
      <alignment vertical="center" wrapText="1"/>
    </xf>
    <xf numFmtId="0" fontId="23" fillId="26" borderId="17" xfId="0" applyFont="1" applyFill="1" applyBorder="1" applyAlignment="1">
      <alignment vertical="center" wrapText="1"/>
    </xf>
    <xf numFmtId="8" fontId="22" fillId="26" borderId="17" xfId="0" applyNumberFormat="1" applyFont="1" applyFill="1" applyBorder="1" applyAlignment="1">
      <alignment vertical="center" wrapText="1"/>
    </xf>
    <xf numFmtId="0" fontId="25" fillId="27" borderId="17" xfId="0" applyFont="1" applyFill="1" applyBorder="1" applyAlignment="1">
      <alignment vertical="center" wrapText="1"/>
    </xf>
    <xf numFmtId="0" fontId="25" fillId="27" borderId="17" xfId="0" applyFont="1" applyFill="1" applyBorder="1" applyAlignment="1">
      <alignment horizontal="left" vertical="center" wrapText="1"/>
    </xf>
    <xf numFmtId="0" fontId="26" fillId="27" borderId="17" xfId="0" applyFont="1" applyFill="1" applyBorder="1" applyAlignment="1">
      <alignment horizontal="left" vertical="center" wrapText="1"/>
    </xf>
    <xf numFmtId="0" fontId="25" fillId="3" borderId="17" xfId="0" applyFont="1" applyFill="1" applyBorder="1" applyAlignment="1">
      <alignment vertical="center" wrapText="1"/>
    </xf>
    <xf numFmtId="0" fontId="25" fillId="28" borderId="17" xfId="0" applyFont="1" applyFill="1" applyBorder="1" applyAlignment="1">
      <alignment vertical="center" wrapText="1"/>
    </xf>
    <xf numFmtId="0" fontId="25" fillId="29" borderId="17" xfId="0" applyFont="1" applyFill="1" applyBorder="1" applyAlignment="1">
      <alignment vertical="center" wrapText="1"/>
    </xf>
    <xf numFmtId="0" fontId="25" fillId="30" borderId="17" xfId="0" applyFont="1" applyFill="1" applyBorder="1" applyAlignment="1">
      <alignment vertical="center" wrapText="1"/>
    </xf>
    <xf numFmtId="0" fontId="24" fillId="31" borderId="17" xfId="0" applyFont="1" applyFill="1" applyBorder="1" applyAlignment="1">
      <alignment vertical="center" wrapText="1"/>
    </xf>
    <xf numFmtId="0" fontId="25" fillId="31" borderId="17" xfId="0" applyFont="1" applyFill="1" applyBorder="1" applyAlignment="1">
      <alignment vertical="center" wrapText="1"/>
    </xf>
    <xf numFmtId="8" fontId="27" fillId="31" borderId="17" xfId="0" applyNumberFormat="1" applyFont="1" applyFill="1" applyBorder="1" applyAlignment="1">
      <alignment vertical="center"/>
    </xf>
    <xf numFmtId="0" fontId="20" fillId="0" borderId="0" xfId="0" applyFont="1"/>
    <xf numFmtId="0" fontId="28" fillId="0" borderId="0" xfId="0" applyFont="1"/>
    <xf numFmtId="0" fontId="23" fillId="27" borderId="17" xfId="0" applyFont="1" applyFill="1" applyBorder="1" applyAlignment="1">
      <alignment vertical="center" wrapText="1"/>
    </xf>
    <xf numFmtId="0" fontId="23" fillId="27" borderId="17" xfId="0" applyFont="1" applyFill="1" applyBorder="1" applyAlignment="1">
      <alignment horizontal="left" vertical="center" wrapText="1"/>
    </xf>
    <xf numFmtId="8" fontId="23" fillId="27" borderId="17" xfId="0" applyNumberFormat="1" applyFont="1" applyFill="1" applyBorder="1" applyAlignment="1">
      <alignment horizontal="right" vertical="center"/>
    </xf>
    <xf numFmtId="0" fontId="23" fillId="3" borderId="17" xfId="0" applyFont="1" applyFill="1" applyBorder="1" applyAlignment="1">
      <alignment vertical="center" wrapText="1"/>
    </xf>
    <xf numFmtId="8" fontId="22" fillId="3" borderId="17" xfId="0" applyNumberFormat="1" applyFont="1" applyFill="1" applyBorder="1" applyAlignment="1">
      <alignment vertical="center"/>
    </xf>
    <xf numFmtId="8" fontId="22" fillId="3" borderId="17" xfId="0" applyNumberFormat="1" applyFont="1" applyFill="1" applyBorder="1" applyAlignment="1">
      <alignment horizontal="center" vertical="center"/>
    </xf>
    <xf numFmtId="0" fontId="23" fillId="28" borderId="17" xfId="0" applyFont="1" applyFill="1" applyBorder="1" applyAlignment="1">
      <alignment vertical="center" wrapText="1"/>
    </xf>
    <xf numFmtId="8" fontId="23" fillId="28" borderId="17" xfId="0" applyNumberFormat="1" applyFont="1" applyFill="1" applyBorder="1" applyAlignment="1">
      <alignment vertical="center"/>
    </xf>
    <xf numFmtId="8" fontId="22" fillId="28" borderId="17" xfId="0" applyNumberFormat="1" applyFont="1" applyFill="1" applyBorder="1" applyAlignment="1">
      <alignment vertical="center"/>
    </xf>
    <xf numFmtId="0" fontId="22" fillId="29" borderId="17" xfId="0" applyFont="1" applyFill="1" applyBorder="1" applyAlignment="1">
      <alignment vertical="center" wrapText="1"/>
    </xf>
    <xf numFmtId="0" fontId="23" fillId="29" borderId="17" xfId="0" applyFont="1" applyFill="1" applyBorder="1" applyAlignment="1">
      <alignment vertical="center" wrapText="1"/>
    </xf>
    <xf numFmtId="8" fontId="22" fillId="29" borderId="17" xfId="0" applyNumberFormat="1" applyFont="1" applyFill="1" applyBorder="1" applyAlignment="1">
      <alignment vertical="center"/>
    </xf>
    <xf numFmtId="8" fontId="23" fillId="29" borderId="17" xfId="0" applyNumberFormat="1" applyFont="1" applyFill="1" applyBorder="1" applyAlignment="1">
      <alignment vertical="center"/>
    </xf>
    <xf numFmtId="0" fontId="23" fillId="30" borderId="17" xfId="0" applyFont="1" applyFill="1" applyBorder="1" applyAlignment="1">
      <alignment vertical="center" wrapText="1"/>
    </xf>
    <xf numFmtId="8" fontId="23" fillId="30" borderId="17" xfId="0" applyNumberFormat="1" applyFont="1" applyFill="1" applyBorder="1" applyAlignment="1">
      <alignment vertical="center"/>
    </xf>
    <xf numFmtId="8" fontId="22" fillId="30" borderId="17" xfId="0" applyNumberFormat="1" applyFont="1" applyFill="1" applyBorder="1" applyAlignment="1">
      <alignment vertical="center"/>
    </xf>
    <xf numFmtId="0" fontId="22" fillId="30" borderId="17" xfId="0" applyFont="1" applyFill="1" applyBorder="1" applyAlignment="1">
      <alignment vertical="center" wrapText="1"/>
    </xf>
    <xf numFmtId="0" fontId="23" fillId="31" borderId="17" xfId="0" applyFont="1" applyFill="1" applyBorder="1" applyAlignment="1">
      <alignment vertical="center" wrapText="1"/>
    </xf>
    <xf numFmtId="8" fontId="22" fillId="31" borderId="17" xfId="0" applyNumberFormat="1" applyFont="1" applyFill="1" applyBorder="1" applyAlignment="1">
      <alignment vertical="center"/>
    </xf>
    <xf numFmtId="0" fontId="0" fillId="21" borderId="17" xfId="0" applyFill="1" applyBorder="1" applyAlignment="1">
      <alignment vertical="center"/>
    </xf>
    <xf numFmtId="0" fontId="0" fillId="21" borderId="17" xfId="0" applyFill="1" applyBorder="1"/>
    <xf numFmtId="0" fontId="29" fillId="32" borderId="0" xfId="0" applyFont="1" applyFill="1" applyAlignment="1">
      <alignment horizontal="center"/>
    </xf>
    <xf numFmtId="0" fontId="30" fillId="32" borderId="0" xfId="0" applyFont="1" applyFill="1"/>
    <xf numFmtId="0" fontId="31" fillId="33" borderId="53" xfId="0" applyFont="1" applyFill="1" applyBorder="1" applyAlignment="1">
      <alignment horizontal="left" vertical="center"/>
    </xf>
    <xf numFmtId="0" fontId="31" fillId="0" borderId="53" xfId="0" applyFont="1" applyBorder="1" applyAlignment="1">
      <alignment horizontal="left" vertical="center"/>
    </xf>
    <xf numFmtId="49" fontId="0" fillId="0" borderId="0" xfId="0" applyNumberFormat="1"/>
    <xf numFmtId="0" fontId="32" fillId="34" borderId="54" xfId="0" applyFont="1" applyFill="1" applyBorder="1"/>
    <xf numFmtId="0" fontId="32" fillId="34" borderId="55" xfId="0" applyFont="1" applyFill="1" applyBorder="1"/>
    <xf numFmtId="0" fontId="2" fillId="35" borderId="0" xfId="0" applyFont="1" applyFill="1"/>
    <xf numFmtId="9" fontId="15" fillId="26" borderId="17" xfId="0" applyNumberFormat="1" applyFont="1" applyFill="1" applyBorder="1" applyAlignment="1">
      <alignment vertical="center" wrapText="1"/>
    </xf>
    <xf numFmtId="0" fontId="15" fillId="27" borderId="52" xfId="0" applyFont="1" applyFill="1" applyBorder="1" applyAlignment="1">
      <alignment horizontal="center" vertical="center" wrapText="1"/>
    </xf>
    <xf numFmtId="9" fontId="15" fillId="27" borderId="17" xfId="0" applyNumberFormat="1" applyFont="1" applyFill="1" applyBorder="1" applyAlignment="1">
      <alignment vertical="center" wrapText="1"/>
    </xf>
    <xf numFmtId="0" fontId="22" fillId="27" borderId="17" xfId="0" applyFont="1" applyFill="1" applyBorder="1" applyAlignment="1">
      <alignment horizontal="left" vertical="center" wrapText="1"/>
    </xf>
    <xf numFmtId="0" fontId="15" fillId="27" borderId="17" xfId="0" applyFont="1" applyFill="1" applyBorder="1" applyAlignment="1">
      <alignment horizontal="left" vertical="center" wrapText="1"/>
    </xf>
    <xf numFmtId="0" fontId="15" fillId="3" borderId="52" xfId="0" applyFont="1" applyFill="1" applyBorder="1" applyAlignment="1">
      <alignment horizontal="center" vertical="center" wrapText="1"/>
    </xf>
    <xf numFmtId="164" fontId="15" fillId="3" borderId="17" xfId="0" applyNumberFormat="1" applyFont="1" applyFill="1" applyBorder="1" applyAlignment="1">
      <alignment vertical="center" wrapText="1"/>
    </xf>
    <xf numFmtId="9" fontId="15" fillId="3" borderId="56" xfId="0" applyNumberFormat="1" applyFont="1" applyFill="1" applyBorder="1" applyAlignment="1">
      <alignment vertical="center" wrapText="1"/>
    </xf>
    <xf numFmtId="9" fontId="15" fillId="3" borderId="17" xfId="0" applyNumberFormat="1" applyFont="1" applyFill="1" applyBorder="1" applyAlignment="1">
      <alignment vertical="center" wrapText="1"/>
    </xf>
    <xf numFmtId="0" fontId="15" fillId="28" borderId="52" xfId="0" applyFont="1" applyFill="1" applyBorder="1" applyAlignment="1">
      <alignment horizontal="center" vertical="center" wrapText="1"/>
    </xf>
    <xf numFmtId="9" fontId="15" fillId="28" borderId="17" xfId="0" applyNumberFormat="1" applyFont="1" applyFill="1" applyBorder="1" applyAlignment="1">
      <alignment horizontal="right" vertical="center" wrapText="1"/>
    </xf>
    <xf numFmtId="0" fontId="15" fillId="29" borderId="52" xfId="0" applyFont="1" applyFill="1" applyBorder="1" applyAlignment="1">
      <alignment horizontal="center" vertical="center" wrapText="1"/>
    </xf>
    <xf numFmtId="9" fontId="15" fillId="29" borderId="17" xfId="0" applyNumberFormat="1" applyFont="1" applyFill="1" applyBorder="1" applyAlignment="1">
      <alignment horizontal="right" vertical="center" wrapText="1"/>
    </xf>
    <xf numFmtId="0" fontId="21" fillId="37" borderId="17" xfId="1" quotePrefix="1" applyFont="1" applyFill="1" applyBorder="1" applyAlignment="1">
      <alignment vertical="center" wrapText="1"/>
    </xf>
    <xf numFmtId="9" fontId="15" fillId="29" borderId="17" xfId="0" applyNumberFormat="1" applyFont="1" applyFill="1" applyBorder="1" applyAlignment="1">
      <alignment vertical="center" wrapText="1"/>
    </xf>
    <xf numFmtId="9" fontId="15" fillId="29" borderId="56" xfId="0" applyNumberFormat="1" applyFont="1" applyFill="1" applyBorder="1" applyAlignment="1">
      <alignment vertical="center" wrapText="1"/>
    </xf>
    <xf numFmtId="0" fontId="15" fillId="30" borderId="52" xfId="0" applyFont="1" applyFill="1" applyBorder="1" applyAlignment="1">
      <alignment horizontal="center" vertical="center" wrapText="1"/>
    </xf>
    <xf numFmtId="9" fontId="15" fillId="30" borderId="17" xfId="0" applyNumberFormat="1" applyFont="1" applyFill="1" applyBorder="1" applyAlignment="1">
      <alignment horizontal="right" vertical="center" wrapText="1"/>
    </xf>
    <xf numFmtId="0" fontId="15" fillId="30" borderId="17" xfId="0" applyFont="1" applyFill="1" applyBorder="1" applyAlignment="1">
      <alignment vertical="center" wrapText="1"/>
    </xf>
    <xf numFmtId="9" fontId="15" fillId="30" borderId="17" xfId="0" applyNumberFormat="1" applyFont="1" applyFill="1" applyBorder="1" applyAlignment="1">
      <alignment vertical="center" wrapText="1"/>
    </xf>
    <xf numFmtId="0" fontId="15" fillId="31" borderId="52" xfId="0" applyFont="1" applyFill="1" applyBorder="1" applyAlignment="1">
      <alignment horizontal="center" vertical="center" wrapText="1"/>
    </xf>
    <xf numFmtId="0" fontId="35" fillId="31" borderId="17" xfId="0" applyFont="1" applyFill="1" applyBorder="1" applyAlignment="1">
      <alignment vertical="center" wrapText="1"/>
    </xf>
    <xf numFmtId="0" fontId="15" fillId="38" borderId="17" xfId="0" applyFont="1" applyFill="1" applyBorder="1" applyAlignment="1">
      <alignment vertical="center" wrapText="1"/>
    </xf>
    <xf numFmtId="4" fontId="36" fillId="39" borderId="17" xfId="1" quotePrefix="1" applyNumberFormat="1" applyFont="1" applyFill="1" applyBorder="1" applyAlignment="1">
      <alignment vertical="center" wrapText="1"/>
    </xf>
    <xf numFmtId="9" fontId="15" fillId="31" borderId="17" xfId="0" applyNumberFormat="1" applyFont="1" applyFill="1" applyBorder="1" applyAlignment="1">
      <alignment horizontal="right" vertical="center" wrapText="1"/>
    </xf>
    <xf numFmtId="9" fontId="15" fillId="28" borderId="56" xfId="0" applyNumberFormat="1" applyFont="1" applyFill="1" applyBorder="1" applyAlignment="1">
      <alignment vertical="center" wrapText="1"/>
    </xf>
    <xf numFmtId="9" fontId="15" fillId="28" borderId="57" xfId="0" applyNumberFormat="1" applyFont="1" applyFill="1" applyBorder="1" applyAlignment="1">
      <alignment vertical="center" wrapText="1"/>
    </xf>
    <xf numFmtId="9" fontId="15" fillId="28" borderId="58" xfId="0" applyNumberFormat="1" applyFont="1" applyFill="1" applyBorder="1" applyAlignment="1">
      <alignment vertical="center" wrapText="1"/>
    </xf>
    <xf numFmtId="9" fontId="15" fillId="29" borderId="58" xfId="0" applyNumberFormat="1" applyFont="1" applyFill="1" applyBorder="1" applyAlignment="1">
      <alignment vertical="center" wrapText="1"/>
    </xf>
    <xf numFmtId="9" fontId="15" fillId="29" borderId="57" xfId="0" applyNumberFormat="1" applyFont="1" applyFill="1" applyBorder="1" applyAlignment="1">
      <alignment vertical="center" wrapText="1"/>
    </xf>
    <xf numFmtId="9" fontId="15" fillId="30" borderId="56" xfId="0" applyNumberFormat="1" applyFont="1" applyFill="1" applyBorder="1" applyAlignment="1">
      <alignment vertical="center" wrapText="1"/>
    </xf>
    <xf numFmtId="9" fontId="15" fillId="30" borderId="57" xfId="0" applyNumberFormat="1" applyFont="1" applyFill="1" applyBorder="1" applyAlignment="1">
      <alignment vertical="center" wrapText="1"/>
    </xf>
    <xf numFmtId="9" fontId="15" fillId="30" borderId="58" xfId="0" applyNumberFormat="1" applyFont="1" applyFill="1" applyBorder="1" applyAlignment="1">
      <alignment vertical="center" wrapText="1"/>
    </xf>
    <xf numFmtId="9" fontId="15" fillId="31" borderId="56" xfId="0" applyNumberFormat="1" applyFont="1" applyFill="1" applyBorder="1" applyAlignment="1">
      <alignment vertical="center" wrapText="1"/>
    </xf>
    <xf numFmtId="0" fontId="15" fillId="31" borderId="57" xfId="0" applyFont="1" applyFill="1" applyBorder="1" applyAlignment="1">
      <alignment vertical="center" wrapText="1"/>
    </xf>
    <xf numFmtId="0" fontId="15" fillId="31" borderId="58" xfId="0" applyFont="1" applyFill="1" applyBorder="1" applyAlignment="1">
      <alignment vertical="center" wrapText="1"/>
    </xf>
    <xf numFmtId="9" fontId="15" fillId="31" borderId="17" xfId="0" applyNumberFormat="1" applyFont="1" applyFill="1" applyBorder="1" applyAlignment="1">
      <alignment vertical="center" wrapText="1"/>
    </xf>
    <xf numFmtId="0" fontId="15" fillId="31" borderId="17" xfId="0" applyFont="1" applyFill="1" applyBorder="1" applyAlignment="1">
      <alignment vertical="center" wrapText="1"/>
    </xf>
    <xf numFmtId="0" fontId="0" fillId="35" borderId="0" xfId="0" applyFont="1" applyFill="1"/>
    <xf numFmtId="0" fontId="0" fillId="0" borderId="0" xfId="0" applyFont="1"/>
    <xf numFmtId="8" fontId="0" fillId="0" borderId="0" xfId="0" applyNumberFormat="1"/>
    <xf numFmtId="0" fontId="15" fillId="40" borderId="50" xfId="0" applyFont="1" applyFill="1" applyBorder="1" applyAlignment="1">
      <alignment vertical="center" wrapText="1"/>
    </xf>
    <xf numFmtId="0" fontId="15" fillId="40" borderId="52" xfId="0" applyFont="1" applyFill="1" applyBorder="1" applyAlignment="1">
      <alignment horizontal="center" vertical="center" wrapText="1"/>
    </xf>
    <xf numFmtId="0" fontId="23" fillId="40" borderId="17" xfId="0" applyFont="1" applyFill="1" applyBorder="1" applyAlignment="1">
      <alignment horizontal="left" vertical="center" wrapText="1"/>
    </xf>
    <xf numFmtId="0" fontId="23" fillId="40" borderId="17" xfId="0" applyFont="1" applyFill="1" applyBorder="1" applyAlignment="1">
      <alignment vertical="center" wrapText="1"/>
    </xf>
    <xf numFmtId="0" fontId="25" fillId="40" borderId="17" xfId="0" applyFont="1" applyFill="1" applyBorder="1" applyAlignment="1">
      <alignment horizontal="left" vertical="center" wrapText="1"/>
    </xf>
    <xf numFmtId="0" fontId="22" fillId="40" borderId="17" xfId="0" applyFont="1" applyFill="1" applyBorder="1" applyAlignment="1">
      <alignment horizontal="left" vertical="center" wrapText="1"/>
    </xf>
    <xf numFmtId="0" fontId="26" fillId="40" borderId="17" xfId="0" applyFont="1" applyFill="1" applyBorder="1" applyAlignment="1">
      <alignment horizontal="left" vertical="center" wrapText="1"/>
    </xf>
    <xf numFmtId="8" fontId="23" fillId="40" borderId="17" xfId="0" applyNumberFormat="1" applyFont="1" applyFill="1" applyBorder="1" applyAlignment="1">
      <alignment horizontal="right" vertical="center"/>
    </xf>
    <xf numFmtId="9" fontId="15" fillId="40" borderId="17" xfId="0" applyNumberFormat="1" applyFont="1" applyFill="1" applyBorder="1" applyAlignment="1">
      <alignment vertical="center" wrapText="1"/>
    </xf>
    <xf numFmtId="0" fontId="15" fillId="40" borderId="17" xfId="0" applyFont="1" applyFill="1" applyBorder="1" applyAlignment="1">
      <alignment horizontal="left" vertical="center" wrapText="1"/>
    </xf>
    <xf numFmtId="0" fontId="28" fillId="40" borderId="0" xfId="0" applyFont="1" applyFill="1"/>
    <xf numFmtId="0" fontId="25" fillId="40" borderId="17" xfId="0" applyFont="1" applyFill="1" applyBorder="1" applyAlignment="1">
      <alignment vertical="center" wrapText="1"/>
    </xf>
    <xf numFmtId="8" fontId="22" fillId="29" borderId="17" xfId="0" applyNumberFormat="1" applyFont="1" applyFill="1" applyBorder="1" applyAlignment="1">
      <alignment horizontal="right" vertical="center"/>
    </xf>
  </cellXfs>
  <cellStyles count="2">
    <cellStyle name="Bé" xfId="1" builtinId="26"/>
    <cellStyle name="Normal" xfId="0" builtinId="0"/>
  </cellStyles>
  <dxfs count="33">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s>
  <tableStyles count="0" defaultTableStyle="TableStyleMedium2" defaultPivotStyle="PivotStyleLight16"/>
  <colors>
    <mruColors>
      <color rgb="FFDCC8B6"/>
      <color rgb="FFAE8055"/>
      <color rgb="FFC5A385"/>
      <color rgb="FF3D9B3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04476\PN_CAP%20DE%20CREUS\UO4500\&#192;rea%20de%20DIRECCI&#211;\PROGRAMES%20D'ACTUACI&#211;\Programa%20actuaci&#243;%202026\Programa%20actuacions%20del%20Pla%20Estrategic%20PNCC_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borranyPressupostPNCC20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6981662P/OneDrive%20-%20Generalitat%20de%20Catalunya/Plans%20estrat&#232;gics/0Models/Model%20Pla%20Estrategic%20ENP_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cions"/>
      <sheetName val="PROGRAMA ANUAL"/>
      <sheetName val="PLA ESTRATÈGIC"/>
      <sheetName val="Lliste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_DGPAMN"/>
      <sheetName val="PA_RAE_Despeses"/>
      <sheetName val="ROMANENT"/>
      <sheetName val="PA_RAE_Ingressos"/>
      <sheetName val="Dades"/>
      <sheetName val="Enllaços"/>
      <sheetName val="tesaures_No modificar"/>
      <sheetName val="DocTreballPAReunioPF_MP_JG"/>
      <sheetName val="PropostesNoves2024"/>
      <sheetName val="PA2026"/>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ÈGIA"/>
      <sheetName val="INSTRUCCIONS"/>
      <sheetName val="PRIORITZACIÓ"/>
      <sheetName val="PLA"/>
      <sheetName val="VINCLE AMENAÇA_OBJ. OPERATIU"/>
      <sheetName val="Taxonomia Amenaces"/>
      <sheetName val="Llistes"/>
      <sheetName val="Full1"/>
    </sheetNames>
    <sheetDataSet>
      <sheetData sheetId="0"/>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id="1" name="EspaiNatural" displayName="EspaiNatural" ref="A1:B15" totalsRowShown="0" headerRowDxfId="31" headerRowBorderDxfId="30" tableBorderDxfId="29">
  <autoFilter ref="A1:B15"/>
  <tableColumns count="2">
    <tableColumn id="1" name="Espai natural" dataDxfId="28"/>
    <tableColumn id="2" name="Referència Taula"/>
  </tableColumns>
  <tableStyleInfo name="TableStyleMedium2" showFirstColumn="0" showLastColumn="0" showRowStripes="1" showColumnStripes="0"/>
</table>
</file>

<file path=xl/tables/table2.xml><?xml version="1.0" encoding="utf-8"?>
<table xmlns="http://schemas.openxmlformats.org/spreadsheetml/2006/main" id="2" name="ALB" displayName="ALB" ref="D1:D4" totalsRowShown="0" headerRowDxfId="27">
  <autoFilter ref="D1:D4"/>
  <tableColumns count="1">
    <tableColumn id="1" name="Paratge Natural d'Interès Nacional de l'Albera" dataDxfId="26"/>
  </tableColumns>
  <tableStyleInfo name="TableStyleMedium2" showFirstColumn="0" showLastColumn="0" showRowStripes="1" showColumnStripes="0"/>
</table>
</file>

<file path=xl/tables/table3.xml><?xml version="1.0" encoding="utf-8"?>
<table xmlns="http://schemas.openxmlformats.org/spreadsheetml/2006/main" id="3" name="POB" displayName="POB" ref="E1:E7" totalsRowShown="0" headerRowDxfId="25">
  <autoFilter ref="E1:E7"/>
  <tableColumns count="1">
    <tableColumn id="1" name="Paratge Natural d'Interès Nacional de Poblet" dataDxfId="24"/>
  </tableColumns>
  <tableStyleInfo name="TableStyleMedium2" showFirstColumn="0" showLastColumn="0" showRowStripes="1" showColumnStripes="0"/>
</table>
</file>

<file path=xl/tables/table4.xml><?xml version="1.0" encoding="utf-8"?>
<table xmlns="http://schemas.openxmlformats.org/spreadsheetml/2006/main" id="4" name="AES" displayName="AES" ref="F1:F21" totalsRowShown="0" headerRowDxfId="23">
  <autoFilter ref="F1:F21"/>
  <tableColumns count="1">
    <tableColumn id="1" name="Parc Nacional d'Aigüestortes i Estany de Sant Maurici" dataDxfId="22"/>
  </tableColumns>
  <tableStyleInfo name="TableStyleMedium2" showFirstColumn="0" showLastColumn="0" showRowStripes="1" showColumnStripes="0"/>
</table>
</file>

<file path=xl/tables/table5.xml><?xml version="1.0" encoding="utf-8"?>
<table xmlns="http://schemas.openxmlformats.org/spreadsheetml/2006/main" id="5" name="CRE" displayName="CRE" ref="G1:G9" totalsRowShown="0" headerRowDxfId="21">
  <autoFilter ref="G1:G9"/>
  <tableColumns count="1">
    <tableColumn id="1" name="Parc Natural de Cap de Creus" dataDxfId="20"/>
  </tableColumns>
  <tableStyleInfo name="TableStyleMedium2" showFirstColumn="0" showLastColumn="0" showRowStripes="1" showColumnStripes="0"/>
</table>
</file>

<file path=xl/tables/table6.xml><?xml version="1.0" encoding="utf-8"?>
<table xmlns="http://schemas.openxmlformats.org/spreadsheetml/2006/main" id="6" name="MON" displayName="MON" ref="H1:H9" totalsRowShown="0" headerRowDxfId="19">
  <autoFilter ref="H1:H9"/>
  <tableColumns count="1">
    <tableColumn id="1" name="Parc Natural de la Serra de Montsant" dataDxfId="18"/>
  </tableColumns>
  <tableStyleInfo name="TableStyleMedium2" showFirstColumn="0" showLastColumn="0" showRowStripes="1" showColumnStripes="0"/>
</table>
</file>

<file path=xl/tables/table7.xml><?xml version="1.0" encoding="utf-8"?>
<table xmlns="http://schemas.openxmlformats.org/spreadsheetml/2006/main" id="7" name="ZVG" displayName="ZVG" ref="I1:I15" totalsRowShown="0" headerRowDxfId="17">
  <autoFilter ref="I1:I15"/>
  <tableColumns count="1">
    <tableColumn id="1" name="Parc Natural de la Zona Volcànica de la Garrotxa" dataDxfId="16"/>
  </tableColumns>
  <tableStyleInfo name="TableStyleMedium2" showFirstColumn="0" showLastColumn="0" showRowStripes="1" showColumnStripes="0"/>
</table>
</file>

<file path=xl/tables/table8.xml><?xml version="1.0" encoding="utf-8"?>
<table xmlns="http://schemas.openxmlformats.org/spreadsheetml/2006/main" id="8" name="API" displayName="API" ref="J1:J16" totalsRowShown="0" headerRowDxfId="15">
  <autoFilter ref="J1:J16"/>
  <tableColumns count="1">
    <tableColumn id="1" name="Parc Natural de l'Alt Pirineu" dataDxfId="14"/>
  </tableColumns>
  <tableStyleInfo name="TableStyleMedium2" showFirstColumn="0" showLastColumn="0" showRowStripes="1" showColumnStripes="0"/>
</table>
</file>

<file path=xl/tables/table9.xml><?xml version="1.0" encoding="utf-8"?>
<table xmlns="http://schemas.openxmlformats.org/spreadsheetml/2006/main" id="9" name="TFR" displayName="TFR" ref="K1:K6" totalsRowShown="0" headerRowDxfId="13">
  <autoFilter ref="K1:K6"/>
  <tableColumns count="1">
    <tableColumn id="1" name="Parc Natural de les Capçaleres del Ter i el Freser" dataDxfId="12"/>
  </tableColumns>
  <tableStyleInfo name="TableStyleMedium2" showFirstColumn="0" showLastColumn="0" showRowStripes="1" showColumnStripes="0"/>
</table>
</file>

<file path=xl/tables/table10.xml><?xml version="1.0" encoding="utf-8"?>
<table xmlns="http://schemas.openxmlformats.org/spreadsheetml/2006/main" id="10" name="CMO" displayName="CMO" ref="L1:L10" totalsRowShown="0" headerRowDxfId="11">
  <autoFilter ref="L1:L10"/>
  <tableColumns count="1">
    <tableColumn id="1" name="Parc Natural del Cadí-Moixeró" dataDxfId="10"/>
  </tableColumns>
  <tableStyleInfo name="TableStyleMedium2" showFirstColumn="0" showLastColumn="0" showRowStripes="1" showColumnStripes="0"/>
</table>
</file>

<file path=xl/tables/table11.xml><?xml version="1.0" encoding="utf-8"?>
<table xmlns="http://schemas.openxmlformats.org/spreadsheetml/2006/main" id="11" name="DEB" displayName="DEB" ref="M1:M15" totalsRowShown="0" headerRowDxfId="9">
  <autoFilter ref="M1:M15"/>
  <tableColumns count="1">
    <tableColumn id="1" name="Parc Natural del Delta de l'Ebre" dataDxfId="8"/>
  </tableColumns>
  <tableStyleInfo name="TableStyleMedium2" showFirstColumn="0" showLastColumn="0" showRowStripes="1" showColumnStripes="0"/>
</table>
</file>

<file path=xl/tables/table12.xml><?xml version="1.0" encoding="utf-8"?>
<table xmlns="http://schemas.openxmlformats.org/spreadsheetml/2006/main" id="12" name="MMB" displayName="MMB" ref="N1:N9" totalsRowShown="0" headerRowDxfId="7">
  <autoFilter ref="N1:N9"/>
  <tableColumns count="1">
    <tableColumn id="1" name="Parc Natural del Montgrí, les Illes Medes i el Baix Ter" dataDxfId="6"/>
  </tableColumns>
  <tableStyleInfo name="TableStyleMedium2" showFirstColumn="0" showLastColumn="0" showRowStripes="1" showColumnStripes="0"/>
</table>
</file>

<file path=xl/tables/table13.xml><?xml version="1.0" encoding="utf-8"?>
<table xmlns="http://schemas.openxmlformats.org/spreadsheetml/2006/main" id="13" name="AEM" displayName="AEM" ref="O1:O13" totalsRowShown="0" headerRowDxfId="5">
  <autoFilter ref="O1:O13"/>
  <tableColumns count="1">
    <tableColumn id="1" name="Parc Natural dels Aiguamolls de l'Empordà" dataDxfId="4"/>
  </tableColumns>
  <tableStyleInfo name="TableStyleMedium2" showFirstColumn="0" showLastColumn="0" showRowStripes="1" showColumnStripes="0"/>
</table>
</file>

<file path=xl/tables/table14.xml><?xml version="1.0" encoding="utf-8"?>
<table xmlns="http://schemas.openxmlformats.org/spreadsheetml/2006/main" id="14" name="POR" displayName="POR" ref="P1:P13" totalsRowShown="0" headerRowDxfId="3">
  <autoFilter ref="P1:P13"/>
  <tableColumns count="1">
    <tableColumn id="1" name="Parc Natural dels Ports" dataDxfId="2"/>
  </tableColumns>
  <tableStyleInfo name="TableStyleMedium2" showFirstColumn="0" showLastColumn="0" showRowStripes="1" showColumnStripes="0"/>
</table>
</file>

<file path=xl/tables/table15.xml><?xml version="1.0" encoding="utf-8"?>
<table xmlns="http://schemas.openxmlformats.org/spreadsheetml/2006/main" id="15" name="SEC" displayName="SEC" ref="Q1:Q8" totalsRowShown="0" headerRowDxfId="1">
  <autoFilter ref="Q1:Q8"/>
  <tableColumns count="1">
    <tableColumn id="1" name="Secans de Lleid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4"/>
  <sheetViews>
    <sheetView topLeftCell="A3" workbookViewId="0">
      <selection activeCell="D14" sqref="D14"/>
    </sheetView>
  </sheetViews>
  <sheetFormatPr defaultRowHeight="14.4"/>
  <cols>
    <col min="1" max="1" width="19.44140625" style="146" customWidth="1"/>
    <col min="2" max="2" width="95.88671875" style="146" customWidth="1"/>
  </cols>
  <sheetData>
    <row r="2" spans="1:2" ht="28.8">
      <c r="A2" s="147" t="s">
        <v>597</v>
      </c>
      <c r="B2" s="148" t="s">
        <v>642</v>
      </c>
    </row>
    <row r="3" spans="1:2">
      <c r="A3" s="147" t="s">
        <v>771</v>
      </c>
      <c r="B3" s="148" t="s">
        <v>770</v>
      </c>
    </row>
    <row r="4" spans="1:2" ht="28.8">
      <c r="A4" s="147" t="s">
        <v>598</v>
      </c>
      <c r="B4" s="148" t="s">
        <v>603</v>
      </c>
    </row>
    <row r="5" spans="1:2">
      <c r="A5" s="147" t="s">
        <v>599</v>
      </c>
      <c r="B5" s="148" t="s">
        <v>604</v>
      </c>
    </row>
    <row r="6" spans="1:2">
      <c r="A6" s="147" t="s">
        <v>600</v>
      </c>
      <c r="B6" s="148" t="s">
        <v>605</v>
      </c>
    </row>
    <row r="7" spans="1:2">
      <c r="A7" s="147" t="s">
        <v>612</v>
      </c>
      <c r="B7" s="148" t="s">
        <v>613</v>
      </c>
    </row>
    <row r="8" spans="1:2" ht="28.8">
      <c r="A8" s="147" t="s">
        <v>768</v>
      </c>
      <c r="B8" s="148" t="s">
        <v>769</v>
      </c>
    </row>
    <row r="9" spans="1:2" ht="28.8">
      <c r="A9" s="147" t="s">
        <v>601</v>
      </c>
      <c r="B9" s="148" t="s">
        <v>606</v>
      </c>
    </row>
    <row r="10" spans="1:2">
      <c r="A10" s="147" t="s">
        <v>610</v>
      </c>
      <c r="B10" s="148" t="s">
        <v>611</v>
      </c>
    </row>
    <row r="11" spans="1:2" ht="57.6">
      <c r="A11" s="147" t="s">
        <v>602</v>
      </c>
      <c r="B11" s="148" t="s">
        <v>608</v>
      </c>
    </row>
    <row r="14" spans="1:2" ht="86.4">
      <c r="A14" s="149" t="s">
        <v>609</v>
      </c>
      <c r="B14" s="148" t="s">
        <v>772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N118"/>
  <sheetViews>
    <sheetView tabSelected="1" topLeftCell="G94" zoomScale="80" zoomScaleNormal="80" workbookViewId="0">
      <selection activeCell="J48" sqref="J48"/>
    </sheetView>
  </sheetViews>
  <sheetFormatPr defaultRowHeight="14.4"/>
  <cols>
    <col min="3" max="3" width="38.109375" customWidth="1"/>
    <col min="4" max="4" width="27.44140625" customWidth="1"/>
    <col min="5" max="5" width="31.109375" customWidth="1"/>
    <col min="6" max="6" width="20.44140625" style="169" customWidth="1"/>
    <col min="7" max="7" width="26.5546875" customWidth="1"/>
    <col min="8" max="8" width="8.6640625" customWidth="1"/>
    <col min="9" max="9" width="38.44140625" customWidth="1"/>
    <col min="10" max="10" width="17.21875" customWidth="1"/>
    <col min="11" max="11" width="23" customWidth="1"/>
    <col min="12" max="12" width="26.5546875" customWidth="1"/>
    <col min="13" max="13" width="23" customWidth="1"/>
    <col min="14" max="14" width="22.5546875" style="271" customWidth="1"/>
  </cols>
  <sheetData>
    <row r="1" spans="1:14">
      <c r="C1" s="144" t="s">
        <v>624</v>
      </c>
      <c r="D1" s="143"/>
      <c r="E1" s="143"/>
      <c r="F1" s="168"/>
      <c r="G1" s="143"/>
      <c r="I1" s="181"/>
      <c r="M1" s="231" t="s">
        <v>930</v>
      </c>
      <c r="N1" s="270"/>
    </row>
    <row r="2" spans="1:14" ht="15" thickBot="1">
      <c r="J2" s="272"/>
    </row>
    <row r="3" spans="1:14" s="185" customFormat="1" ht="41.4">
      <c r="A3" s="159" t="s">
        <v>453</v>
      </c>
      <c r="B3" s="177" t="s">
        <v>627</v>
      </c>
      <c r="C3" s="160" t="s">
        <v>580</v>
      </c>
      <c r="D3" s="161" t="s">
        <v>581</v>
      </c>
      <c r="E3" s="161" t="s">
        <v>582</v>
      </c>
      <c r="F3" s="182" t="s">
        <v>622</v>
      </c>
      <c r="G3" s="161" t="s">
        <v>628</v>
      </c>
      <c r="H3" s="183" t="s">
        <v>633</v>
      </c>
      <c r="I3" s="161" t="s">
        <v>584</v>
      </c>
      <c r="J3" s="176" t="s">
        <v>3</v>
      </c>
      <c r="K3" s="183" t="s">
        <v>583</v>
      </c>
      <c r="L3" s="184" t="s">
        <v>596</v>
      </c>
      <c r="M3" s="184" t="s">
        <v>773</v>
      </c>
      <c r="N3" s="184" t="s">
        <v>774</v>
      </c>
    </row>
    <row r="4" spans="1:14" s="201" customFormat="1" ht="34.200000000000003">
      <c r="A4" s="158" t="s">
        <v>948</v>
      </c>
      <c r="B4" s="178" t="s">
        <v>949</v>
      </c>
      <c r="C4" s="188" t="s">
        <v>950</v>
      </c>
      <c r="D4" s="189" t="s">
        <v>14</v>
      </c>
      <c r="E4" s="180"/>
      <c r="F4" s="157" t="s">
        <v>625</v>
      </c>
      <c r="G4" s="157" t="s">
        <v>643</v>
      </c>
      <c r="H4" s="186" t="s">
        <v>712</v>
      </c>
      <c r="I4" s="157" t="s">
        <v>635</v>
      </c>
      <c r="J4" s="190">
        <v>10000</v>
      </c>
      <c r="K4" s="232">
        <v>0.2</v>
      </c>
      <c r="L4" s="180"/>
      <c r="M4" s="157" t="s">
        <v>824</v>
      </c>
      <c r="N4" s="186" t="s">
        <v>931</v>
      </c>
    </row>
    <row r="5" spans="1:14" s="202" customFormat="1" ht="34.200000000000003">
      <c r="A5" s="158" t="s">
        <v>951</v>
      </c>
      <c r="B5" s="178" t="s">
        <v>949</v>
      </c>
      <c r="C5" s="188" t="s">
        <v>952</v>
      </c>
      <c r="D5" s="189" t="s">
        <v>16</v>
      </c>
      <c r="E5" s="157"/>
      <c r="F5" s="157" t="s">
        <v>625</v>
      </c>
      <c r="G5" s="157" t="s">
        <v>643</v>
      </c>
      <c r="H5" s="186" t="s">
        <v>712</v>
      </c>
      <c r="I5" s="157"/>
      <c r="J5" s="190">
        <v>15000</v>
      </c>
      <c r="K5" s="232">
        <v>0.15</v>
      </c>
      <c r="L5" s="186"/>
      <c r="M5" s="157" t="s">
        <v>824</v>
      </c>
      <c r="N5" s="186" t="s">
        <v>932</v>
      </c>
    </row>
    <row r="6" spans="1:14" s="202" customFormat="1" ht="45.6">
      <c r="A6" s="158" t="s">
        <v>953</v>
      </c>
      <c r="B6" s="178"/>
      <c r="C6" s="157" t="s">
        <v>954</v>
      </c>
      <c r="D6" s="189" t="s">
        <v>16</v>
      </c>
      <c r="E6" s="157"/>
      <c r="F6" s="157" t="s">
        <v>615</v>
      </c>
      <c r="G6" s="157" t="s">
        <v>645</v>
      </c>
      <c r="H6" s="157" t="s">
        <v>712</v>
      </c>
      <c r="I6" s="157"/>
      <c r="J6" s="190">
        <v>31276.51</v>
      </c>
      <c r="K6" s="232">
        <v>0.1</v>
      </c>
      <c r="L6" s="157" t="s">
        <v>1188</v>
      </c>
      <c r="M6" s="157" t="s">
        <v>824</v>
      </c>
      <c r="N6" s="157" t="s">
        <v>931</v>
      </c>
    </row>
    <row r="7" spans="1:14" s="202" customFormat="1" ht="45.6">
      <c r="A7" s="158" t="s">
        <v>955</v>
      </c>
      <c r="B7" s="178"/>
      <c r="C7" s="188" t="s">
        <v>956</v>
      </c>
      <c r="D7" s="188" t="s">
        <v>957</v>
      </c>
      <c r="E7" s="188"/>
      <c r="F7" s="157" t="s">
        <v>615</v>
      </c>
      <c r="G7" s="157" t="s">
        <v>645</v>
      </c>
      <c r="H7" s="157" t="s">
        <v>712</v>
      </c>
      <c r="I7" s="157"/>
      <c r="J7" s="190">
        <v>153572.10999999999</v>
      </c>
      <c r="K7" s="232">
        <v>0.25</v>
      </c>
      <c r="L7" s="157"/>
      <c r="M7" s="157" t="s">
        <v>880</v>
      </c>
      <c r="N7" s="157" t="s">
        <v>931</v>
      </c>
    </row>
    <row r="8" spans="1:14" s="202" customFormat="1" ht="45.6">
      <c r="A8" s="158" t="s">
        <v>958</v>
      </c>
      <c r="B8" s="178" t="s">
        <v>949</v>
      </c>
      <c r="C8" s="188" t="s">
        <v>959</v>
      </c>
      <c r="D8" s="189" t="s">
        <v>29</v>
      </c>
      <c r="E8" s="157"/>
      <c r="F8" s="157" t="s">
        <v>625</v>
      </c>
      <c r="G8" s="157" t="s">
        <v>643</v>
      </c>
      <c r="H8" s="157" t="s">
        <v>706</v>
      </c>
      <c r="I8" s="157"/>
      <c r="J8" s="190">
        <v>6000</v>
      </c>
      <c r="K8" s="232">
        <v>0.15</v>
      </c>
      <c r="L8" s="157"/>
      <c r="M8" s="157" t="s">
        <v>811</v>
      </c>
      <c r="N8" s="157" t="s">
        <v>932</v>
      </c>
    </row>
    <row r="9" spans="1:14" s="202" customFormat="1" ht="45.6">
      <c r="A9" s="158" t="s">
        <v>960</v>
      </c>
      <c r="B9" s="178"/>
      <c r="C9" s="157" t="s">
        <v>961</v>
      </c>
      <c r="D9" s="189" t="s">
        <v>55</v>
      </c>
      <c r="E9" s="157"/>
      <c r="F9" s="157" t="s">
        <v>615</v>
      </c>
      <c r="G9" s="157" t="s">
        <v>607</v>
      </c>
      <c r="H9" s="157"/>
      <c r="I9" s="157"/>
      <c r="J9" s="190"/>
      <c r="K9" s="232">
        <v>0.25</v>
      </c>
      <c r="L9" s="157"/>
      <c r="M9" s="157" t="s">
        <v>812</v>
      </c>
      <c r="N9" s="157" t="s">
        <v>932</v>
      </c>
    </row>
    <row r="10" spans="1:14" s="202" customFormat="1" ht="22.8">
      <c r="A10" s="158" t="s">
        <v>962</v>
      </c>
      <c r="B10" s="178"/>
      <c r="C10" s="188" t="s">
        <v>963</v>
      </c>
      <c r="D10" s="189" t="s">
        <v>964</v>
      </c>
      <c r="E10" s="157"/>
      <c r="F10" s="157" t="s">
        <v>615</v>
      </c>
      <c r="G10" s="157" t="s">
        <v>607</v>
      </c>
      <c r="H10" s="157"/>
      <c r="I10" s="157"/>
      <c r="J10" s="190"/>
      <c r="K10" s="232">
        <v>0.25</v>
      </c>
      <c r="L10" s="157"/>
      <c r="M10" s="157" t="s">
        <v>812</v>
      </c>
      <c r="N10" s="157" t="s">
        <v>932</v>
      </c>
    </row>
    <row r="11" spans="1:14" s="202" customFormat="1" ht="34.200000000000003">
      <c r="A11" s="158" t="s">
        <v>965</v>
      </c>
      <c r="B11" s="178" t="s">
        <v>949</v>
      </c>
      <c r="C11" s="188" t="s">
        <v>966</v>
      </c>
      <c r="D11" s="189" t="s">
        <v>78</v>
      </c>
      <c r="E11" s="157"/>
      <c r="F11" s="157" t="s">
        <v>615</v>
      </c>
      <c r="G11" s="157" t="s">
        <v>643</v>
      </c>
      <c r="H11" s="157" t="s">
        <v>712</v>
      </c>
      <c r="I11" s="157"/>
      <c r="J11" s="190">
        <v>10000</v>
      </c>
      <c r="K11" s="232">
        <v>0.5</v>
      </c>
      <c r="L11" s="157"/>
      <c r="M11" s="157" t="s">
        <v>812</v>
      </c>
      <c r="N11" s="157" t="s">
        <v>931</v>
      </c>
    </row>
    <row r="12" spans="1:14" s="202" customFormat="1" ht="22.8">
      <c r="A12" s="170" t="s">
        <v>967</v>
      </c>
      <c r="B12" s="233"/>
      <c r="C12" s="204" t="s">
        <v>968</v>
      </c>
      <c r="D12" s="203" t="s">
        <v>103</v>
      </c>
      <c r="E12" s="192"/>
      <c r="F12" s="162" t="s">
        <v>616</v>
      </c>
      <c r="G12" s="193"/>
      <c r="H12" s="192"/>
      <c r="I12" s="193"/>
      <c r="J12" s="205"/>
      <c r="K12" s="234">
        <v>0.1</v>
      </c>
      <c r="L12" s="191"/>
      <c r="M12" s="236" t="s">
        <v>811</v>
      </c>
      <c r="N12" s="236" t="s">
        <v>932</v>
      </c>
    </row>
    <row r="13" spans="1:14" s="202" customFormat="1" ht="22.8">
      <c r="A13" s="170" t="s">
        <v>969</v>
      </c>
      <c r="B13" s="233"/>
      <c r="C13" s="204" t="s">
        <v>970</v>
      </c>
      <c r="D13" s="203" t="s">
        <v>107</v>
      </c>
      <c r="E13" s="192"/>
      <c r="F13" s="162" t="s">
        <v>616</v>
      </c>
      <c r="G13" s="193"/>
      <c r="H13" s="192"/>
      <c r="I13" s="193"/>
      <c r="J13" s="205"/>
      <c r="K13" s="234">
        <v>0.25</v>
      </c>
      <c r="L13" s="191"/>
      <c r="M13" s="236" t="s">
        <v>910</v>
      </c>
      <c r="N13" s="236"/>
    </row>
    <row r="14" spans="1:14" s="202" customFormat="1" ht="34.200000000000003">
      <c r="A14" s="170" t="s">
        <v>971</v>
      </c>
      <c r="B14" s="233" t="s">
        <v>949</v>
      </c>
      <c r="C14" s="204" t="s">
        <v>972</v>
      </c>
      <c r="D14" s="203" t="s">
        <v>105</v>
      </c>
      <c r="E14" s="192"/>
      <c r="F14" s="162" t="s">
        <v>616</v>
      </c>
      <c r="G14" s="235" t="s">
        <v>643</v>
      </c>
      <c r="H14" s="236" t="s">
        <v>712</v>
      </c>
      <c r="I14" s="193"/>
      <c r="J14" s="205">
        <v>18000</v>
      </c>
      <c r="K14" s="234">
        <v>0.5</v>
      </c>
      <c r="L14" s="191"/>
      <c r="M14" s="236" t="s">
        <v>812</v>
      </c>
      <c r="N14" s="236" t="s">
        <v>932</v>
      </c>
    </row>
    <row r="15" spans="1:14" s="202" customFormat="1" ht="79.8">
      <c r="A15" s="170" t="s">
        <v>973</v>
      </c>
      <c r="B15" s="233" t="s">
        <v>949</v>
      </c>
      <c r="C15" s="204" t="s">
        <v>976</v>
      </c>
      <c r="D15" s="203" t="s">
        <v>977</v>
      </c>
      <c r="E15" s="236" t="s">
        <v>123</v>
      </c>
      <c r="F15" s="162" t="s">
        <v>616</v>
      </c>
      <c r="G15" s="235" t="s">
        <v>643</v>
      </c>
      <c r="H15" s="236" t="s">
        <v>664</v>
      </c>
      <c r="I15" s="193"/>
      <c r="J15" s="205">
        <v>500</v>
      </c>
      <c r="K15" s="234">
        <v>0.25</v>
      </c>
      <c r="L15" s="192"/>
      <c r="M15" s="236" t="s">
        <v>811</v>
      </c>
      <c r="N15" s="236" t="s">
        <v>931</v>
      </c>
    </row>
    <row r="16" spans="1:14" s="202" customFormat="1" ht="34.200000000000003">
      <c r="A16" s="170" t="s">
        <v>975</v>
      </c>
      <c r="B16" s="233" t="s">
        <v>949</v>
      </c>
      <c r="C16" s="204" t="s">
        <v>978</v>
      </c>
      <c r="D16" s="203" t="s">
        <v>130</v>
      </c>
      <c r="E16" s="191"/>
      <c r="F16" s="162" t="s">
        <v>616</v>
      </c>
      <c r="G16" s="235" t="s">
        <v>643</v>
      </c>
      <c r="H16" s="162" t="s">
        <v>712</v>
      </c>
      <c r="I16" s="193"/>
      <c r="J16" s="205">
        <v>3000</v>
      </c>
      <c r="K16" s="234">
        <v>0.5</v>
      </c>
      <c r="L16" s="236" t="s">
        <v>1187</v>
      </c>
      <c r="M16" s="236" t="s">
        <v>824</v>
      </c>
      <c r="N16" s="236" t="s">
        <v>931</v>
      </c>
    </row>
    <row r="17" spans="1:14" s="202" customFormat="1" ht="34.200000000000003">
      <c r="A17" s="171" t="s">
        <v>980</v>
      </c>
      <c r="B17" s="237" t="s">
        <v>949</v>
      </c>
      <c r="C17" s="179" t="s">
        <v>981</v>
      </c>
      <c r="D17" s="206" t="s">
        <v>142</v>
      </c>
      <c r="E17" s="194"/>
      <c r="F17" s="163" t="s">
        <v>617</v>
      </c>
      <c r="G17" s="207" t="s">
        <v>643</v>
      </c>
      <c r="H17" s="163" t="s">
        <v>712</v>
      </c>
      <c r="I17" s="207"/>
      <c r="J17" s="238">
        <v>7500</v>
      </c>
      <c r="K17" s="239">
        <v>0.02</v>
      </c>
      <c r="L17" s="194"/>
      <c r="M17" s="163" t="s">
        <v>824</v>
      </c>
      <c r="N17" s="163" t="s">
        <v>931</v>
      </c>
    </row>
    <row r="18" spans="1:14" s="202" customFormat="1" ht="34.200000000000003">
      <c r="A18" s="171" t="s">
        <v>982</v>
      </c>
      <c r="B18" s="237" t="s">
        <v>949</v>
      </c>
      <c r="C18" s="179" t="s">
        <v>983</v>
      </c>
      <c r="D18" s="206" t="s">
        <v>142</v>
      </c>
      <c r="E18" s="194"/>
      <c r="F18" s="163" t="s">
        <v>617</v>
      </c>
      <c r="G18" s="207" t="s">
        <v>643</v>
      </c>
      <c r="H18" s="163" t="s">
        <v>712</v>
      </c>
      <c r="I18" s="207"/>
      <c r="J18" s="238">
        <v>3000</v>
      </c>
      <c r="K18" s="239">
        <v>0.02</v>
      </c>
      <c r="L18" s="163"/>
      <c r="M18" s="163" t="s">
        <v>824</v>
      </c>
      <c r="N18" s="163" t="s">
        <v>931</v>
      </c>
    </row>
    <row r="19" spans="1:14" s="202" customFormat="1" ht="34.200000000000003">
      <c r="A19" s="171" t="s">
        <v>984</v>
      </c>
      <c r="B19" s="237" t="s">
        <v>949</v>
      </c>
      <c r="C19" s="179" t="s">
        <v>985</v>
      </c>
      <c r="D19" s="206" t="s">
        <v>142</v>
      </c>
      <c r="E19" s="194"/>
      <c r="F19" s="163" t="s">
        <v>617</v>
      </c>
      <c r="G19" s="207" t="s">
        <v>643</v>
      </c>
      <c r="H19" s="163" t="s">
        <v>712</v>
      </c>
      <c r="I19" s="207"/>
      <c r="J19" s="238">
        <v>5000</v>
      </c>
      <c r="K19" s="239">
        <v>0.02</v>
      </c>
      <c r="L19" s="163"/>
      <c r="M19" s="163" t="s">
        <v>824</v>
      </c>
      <c r="N19" s="163" t="s">
        <v>931</v>
      </c>
    </row>
    <row r="20" spans="1:14" s="202" customFormat="1" ht="34.200000000000003">
      <c r="A20" s="171" t="s">
        <v>986</v>
      </c>
      <c r="B20" s="237" t="s">
        <v>949</v>
      </c>
      <c r="C20" s="179" t="s">
        <v>987</v>
      </c>
      <c r="D20" s="206" t="s">
        <v>142</v>
      </c>
      <c r="E20" s="163" t="s">
        <v>988</v>
      </c>
      <c r="F20" s="163" t="s">
        <v>617</v>
      </c>
      <c r="G20" s="207" t="s">
        <v>643</v>
      </c>
      <c r="H20" s="163" t="s">
        <v>712</v>
      </c>
      <c r="I20" s="207"/>
      <c r="J20" s="238">
        <v>10000</v>
      </c>
      <c r="K20" s="239">
        <v>0.02</v>
      </c>
      <c r="L20" s="163" t="s">
        <v>1189</v>
      </c>
      <c r="M20" s="163" t="s">
        <v>824</v>
      </c>
      <c r="N20" s="163" t="s">
        <v>932</v>
      </c>
    </row>
    <row r="21" spans="1:14" s="202" customFormat="1" ht="34.200000000000003">
      <c r="A21" s="171" t="s">
        <v>989</v>
      </c>
      <c r="B21" s="237" t="s">
        <v>949</v>
      </c>
      <c r="C21" s="179" t="s">
        <v>990</v>
      </c>
      <c r="D21" s="206" t="s">
        <v>142</v>
      </c>
      <c r="E21" s="163"/>
      <c r="F21" s="163" t="s">
        <v>617</v>
      </c>
      <c r="G21" s="207" t="s">
        <v>643</v>
      </c>
      <c r="H21" s="163" t="s">
        <v>712</v>
      </c>
      <c r="I21" s="207"/>
      <c r="J21" s="238">
        <v>7500</v>
      </c>
      <c r="K21" s="239">
        <v>0.02</v>
      </c>
      <c r="L21" s="194"/>
      <c r="M21" s="163" t="s">
        <v>824</v>
      </c>
      <c r="N21" s="163" t="s">
        <v>931</v>
      </c>
    </row>
    <row r="22" spans="1:14" s="202" customFormat="1" ht="34.200000000000003">
      <c r="A22" s="171" t="s">
        <v>991</v>
      </c>
      <c r="B22" s="237" t="s">
        <v>949</v>
      </c>
      <c r="C22" s="179" t="s">
        <v>992</v>
      </c>
      <c r="D22" s="206" t="s">
        <v>142</v>
      </c>
      <c r="E22" s="163"/>
      <c r="F22" s="163" t="s">
        <v>617</v>
      </c>
      <c r="G22" s="207" t="s">
        <v>643</v>
      </c>
      <c r="H22" s="163" t="s">
        <v>712</v>
      </c>
      <c r="I22" s="207"/>
      <c r="J22" s="238">
        <v>3000</v>
      </c>
      <c r="K22" s="239">
        <v>0.02</v>
      </c>
      <c r="L22" s="194"/>
      <c r="M22" s="163" t="s">
        <v>824</v>
      </c>
      <c r="N22" s="163" t="s">
        <v>931</v>
      </c>
    </row>
    <row r="23" spans="1:14" s="202" customFormat="1" ht="34.200000000000003">
      <c r="A23" s="171" t="s">
        <v>993</v>
      </c>
      <c r="B23" s="237" t="s">
        <v>949</v>
      </c>
      <c r="C23" s="179" t="s">
        <v>994</v>
      </c>
      <c r="D23" s="206" t="s">
        <v>142</v>
      </c>
      <c r="E23" s="163" t="s">
        <v>988</v>
      </c>
      <c r="F23" s="163" t="s">
        <v>617</v>
      </c>
      <c r="G23" s="207" t="s">
        <v>643</v>
      </c>
      <c r="H23" s="163" t="s">
        <v>712</v>
      </c>
      <c r="I23" s="207"/>
      <c r="J23" s="238">
        <v>10000</v>
      </c>
      <c r="K23" s="239">
        <v>0.02</v>
      </c>
      <c r="L23" s="194"/>
      <c r="M23" s="163" t="s">
        <v>824</v>
      </c>
      <c r="N23" s="163" t="s">
        <v>931</v>
      </c>
    </row>
    <row r="24" spans="1:14" s="202" customFormat="1" ht="34.200000000000003">
      <c r="A24" s="171" t="s">
        <v>995</v>
      </c>
      <c r="B24" s="237" t="s">
        <v>949</v>
      </c>
      <c r="C24" s="179" t="s">
        <v>996</v>
      </c>
      <c r="D24" s="206" t="s">
        <v>142</v>
      </c>
      <c r="E24" s="194"/>
      <c r="F24" s="163" t="s">
        <v>617</v>
      </c>
      <c r="G24" s="207" t="s">
        <v>643</v>
      </c>
      <c r="H24" s="163" t="s">
        <v>712</v>
      </c>
      <c r="I24" s="208"/>
      <c r="J24" s="238">
        <v>12000</v>
      </c>
      <c r="K24" s="239">
        <v>0.02</v>
      </c>
      <c r="L24" s="194"/>
      <c r="M24" s="163" t="s">
        <v>824</v>
      </c>
      <c r="N24" s="163" t="s">
        <v>931</v>
      </c>
    </row>
    <row r="25" spans="1:14" s="202" customFormat="1" ht="34.200000000000003">
      <c r="A25" s="171" t="s">
        <v>997</v>
      </c>
      <c r="B25" s="237" t="s">
        <v>949</v>
      </c>
      <c r="C25" s="179" t="s">
        <v>998</v>
      </c>
      <c r="D25" s="206" t="s">
        <v>142</v>
      </c>
      <c r="E25" s="194"/>
      <c r="F25" s="163" t="s">
        <v>617</v>
      </c>
      <c r="G25" s="207" t="s">
        <v>643</v>
      </c>
      <c r="H25" s="163" t="s">
        <v>712</v>
      </c>
      <c r="I25" s="208"/>
      <c r="J25" s="238">
        <v>1500</v>
      </c>
      <c r="K25" s="239">
        <v>0.02</v>
      </c>
      <c r="L25" s="194"/>
      <c r="M25" s="163" t="s">
        <v>824</v>
      </c>
      <c r="N25" s="163" t="s">
        <v>1186</v>
      </c>
    </row>
    <row r="26" spans="1:14" s="202" customFormat="1" ht="34.200000000000003">
      <c r="A26" s="171" t="s">
        <v>999</v>
      </c>
      <c r="B26" s="237" t="s">
        <v>949</v>
      </c>
      <c r="C26" s="179" t="s">
        <v>1000</v>
      </c>
      <c r="D26" s="206" t="s">
        <v>142</v>
      </c>
      <c r="E26" s="194"/>
      <c r="F26" s="163" t="s">
        <v>617</v>
      </c>
      <c r="G26" s="207" t="s">
        <v>643</v>
      </c>
      <c r="H26" s="163" t="s">
        <v>712</v>
      </c>
      <c r="I26" s="208"/>
      <c r="J26" s="238">
        <v>15000</v>
      </c>
      <c r="K26" s="239">
        <v>0.02</v>
      </c>
      <c r="L26" s="194"/>
      <c r="M26" s="163" t="s">
        <v>824</v>
      </c>
      <c r="N26" s="163" t="s">
        <v>1186</v>
      </c>
    </row>
    <row r="27" spans="1:14" s="202" customFormat="1" ht="34.200000000000003">
      <c r="A27" s="171" t="s">
        <v>1001</v>
      </c>
      <c r="B27" s="237" t="s">
        <v>949</v>
      </c>
      <c r="C27" s="179" t="s">
        <v>1002</v>
      </c>
      <c r="D27" s="206" t="s">
        <v>142</v>
      </c>
      <c r="E27" s="194"/>
      <c r="F27" s="163" t="s">
        <v>617</v>
      </c>
      <c r="G27" s="207" t="s">
        <v>643</v>
      </c>
      <c r="H27" s="163" t="s">
        <v>712</v>
      </c>
      <c r="I27" s="208"/>
      <c r="J27" s="238">
        <v>3000</v>
      </c>
      <c r="K27" s="239">
        <v>0.02</v>
      </c>
      <c r="L27" s="163" t="s">
        <v>1190</v>
      </c>
      <c r="M27" s="163" t="s">
        <v>824</v>
      </c>
      <c r="N27" s="163" t="s">
        <v>931</v>
      </c>
    </row>
    <row r="28" spans="1:14" s="202" customFormat="1" ht="34.200000000000003">
      <c r="A28" s="171" t="s">
        <v>1003</v>
      </c>
      <c r="B28" s="237" t="s">
        <v>949</v>
      </c>
      <c r="C28" s="179" t="s">
        <v>1004</v>
      </c>
      <c r="D28" s="206" t="s">
        <v>142</v>
      </c>
      <c r="E28" s="194"/>
      <c r="F28" s="163" t="s">
        <v>617</v>
      </c>
      <c r="G28" s="207" t="s">
        <v>643</v>
      </c>
      <c r="H28" s="163" t="s">
        <v>712</v>
      </c>
      <c r="I28" s="208"/>
      <c r="J28" s="238">
        <v>10000</v>
      </c>
      <c r="K28" s="239">
        <v>0.02</v>
      </c>
      <c r="L28" s="194"/>
      <c r="M28" s="163" t="s">
        <v>824</v>
      </c>
      <c r="N28" s="163" t="s">
        <v>1186</v>
      </c>
    </row>
    <row r="29" spans="1:14" s="202" customFormat="1" ht="22.8">
      <c r="A29" s="171" t="s">
        <v>1005</v>
      </c>
      <c r="B29" s="237"/>
      <c r="C29" s="179" t="s">
        <v>1006</v>
      </c>
      <c r="D29" s="206" t="s">
        <v>142</v>
      </c>
      <c r="E29" s="194"/>
      <c r="F29" s="163" t="s">
        <v>617</v>
      </c>
      <c r="G29" s="207" t="s">
        <v>607</v>
      </c>
      <c r="H29" s="163"/>
      <c r="I29" s="208"/>
      <c r="J29" s="238"/>
      <c r="K29" s="239">
        <v>0.02</v>
      </c>
      <c r="L29" s="194"/>
      <c r="M29" s="163" t="s">
        <v>824</v>
      </c>
      <c r="N29" s="163" t="s">
        <v>931</v>
      </c>
    </row>
    <row r="30" spans="1:14" s="202" customFormat="1" ht="22.8">
      <c r="A30" s="171" t="s">
        <v>1007</v>
      </c>
      <c r="B30" s="237"/>
      <c r="C30" s="179" t="s">
        <v>1008</v>
      </c>
      <c r="D30" s="206" t="s">
        <v>155</v>
      </c>
      <c r="E30" s="194"/>
      <c r="F30" s="163" t="s">
        <v>617</v>
      </c>
      <c r="G30" s="207" t="s">
        <v>607</v>
      </c>
      <c r="H30" s="163"/>
      <c r="I30" s="208"/>
      <c r="J30" s="238"/>
      <c r="K30" s="240">
        <v>0.15</v>
      </c>
      <c r="L30" s="194"/>
      <c r="M30" s="163" t="s">
        <v>824</v>
      </c>
      <c r="N30" s="163" t="s">
        <v>931</v>
      </c>
    </row>
    <row r="31" spans="1:14" s="202" customFormat="1" ht="22.8">
      <c r="A31" s="171" t="s">
        <v>1009</v>
      </c>
      <c r="B31" s="237"/>
      <c r="C31" s="179" t="s">
        <v>1010</v>
      </c>
      <c r="D31" s="206" t="s">
        <v>164</v>
      </c>
      <c r="E31" s="194"/>
      <c r="F31" s="163" t="s">
        <v>617</v>
      </c>
      <c r="G31" s="207"/>
      <c r="H31" s="163"/>
      <c r="I31" s="208"/>
      <c r="J31" s="238"/>
      <c r="K31" s="240">
        <v>0.25</v>
      </c>
      <c r="L31" s="194"/>
      <c r="M31" s="163" t="s">
        <v>910</v>
      </c>
      <c r="N31" s="163" t="s">
        <v>932</v>
      </c>
    </row>
    <row r="32" spans="1:14" s="202" customFormat="1" ht="22.8">
      <c r="A32" s="171" t="s">
        <v>1011</v>
      </c>
      <c r="B32" s="237"/>
      <c r="C32" s="179" t="s">
        <v>1012</v>
      </c>
      <c r="D32" s="206" t="s">
        <v>166</v>
      </c>
      <c r="E32" s="163" t="s">
        <v>168</v>
      </c>
      <c r="F32" s="163" t="s">
        <v>617</v>
      </c>
      <c r="G32" s="207"/>
      <c r="H32" s="163"/>
      <c r="I32" s="208"/>
      <c r="J32" s="238"/>
      <c r="K32" s="240">
        <v>0.25</v>
      </c>
      <c r="L32" s="194"/>
      <c r="M32" s="163" t="s">
        <v>824</v>
      </c>
      <c r="N32" s="163" t="s">
        <v>931</v>
      </c>
    </row>
    <row r="33" spans="1:14" s="202" customFormat="1" ht="22.8">
      <c r="A33" s="171" t="s">
        <v>1013</v>
      </c>
      <c r="B33" s="237"/>
      <c r="C33" s="179" t="s">
        <v>1014</v>
      </c>
      <c r="D33" s="206" t="s">
        <v>172</v>
      </c>
      <c r="E33" s="194"/>
      <c r="F33" s="163" t="s">
        <v>617</v>
      </c>
      <c r="G33" s="207"/>
      <c r="H33" s="163"/>
      <c r="I33" s="208"/>
      <c r="J33" s="238"/>
      <c r="K33" s="240">
        <v>0.25</v>
      </c>
      <c r="L33" s="194"/>
      <c r="M33" s="163" t="s">
        <v>880</v>
      </c>
      <c r="N33" s="163" t="s">
        <v>932</v>
      </c>
    </row>
    <row r="34" spans="1:14" s="202" customFormat="1" ht="22.8">
      <c r="A34" s="171" t="s">
        <v>1015</v>
      </c>
      <c r="B34" s="237"/>
      <c r="C34" s="179" t="s">
        <v>1016</v>
      </c>
      <c r="D34" s="206" t="s">
        <v>179</v>
      </c>
      <c r="E34" s="194"/>
      <c r="F34" s="163" t="s">
        <v>617</v>
      </c>
      <c r="G34" s="207"/>
      <c r="H34" s="163"/>
      <c r="I34" s="208"/>
      <c r="J34" s="238"/>
      <c r="K34" s="240">
        <v>0.3</v>
      </c>
      <c r="L34" s="194"/>
      <c r="M34" s="163" t="s">
        <v>811</v>
      </c>
      <c r="N34" s="163" t="s">
        <v>932</v>
      </c>
    </row>
    <row r="35" spans="1:14" s="202" customFormat="1" ht="12">
      <c r="A35" s="171" t="s">
        <v>1017</v>
      </c>
      <c r="B35" s="237" t="s">
        <v>949</v>
      </c>
      <c r="C35" s="179" t="s">
        <v>1018</v>
      </c>
      <c r="D35" s="206" t="s">
        <v>179</v>
      </c>
      <c r="E35" s="194"/>
      <c r="F35" s="163" t="s">
        <v>617</v>
      </c>
      <c r="G35" s="207" t="s">
        <v>643</v>
      </c>
      <c r="H35" s="163"/>
      <c r="I35" s="208"/>
      <c r="J35" s="238">
        <v>7000</v>
      </c>
      <c r="K35" s="240">
        <v>0.3</v>
      </c>
      <c r="L35" s="194"/>
      <c r="M35" s="163" t="s">
        <v>880</v>
      </c>
      <c r="N35" s="163" t="s">
        <v>931</v>
      </c>
    </row>
    <row r="36" spans="1:14" s="202" customFormat="1" ht="45.6">
      <c r="A36" s="172" t="s">
        <v>1019</v>
      </c>
      <c r="B36" s="241" t="s">
        <v>949</v>
      </c>
      <c r="C36" s="209" t="s">
        <v>1020</v>
      </c>
      <c r="D36" s="209" t="s">
        <v>196</v>
      </c>
      <c r="E36" s="195"/>
      <c r="F36" s="164" t="s">
        <v>618</v>
      </c>
      <c r="G36" s="210" t="s">
        <v>643</v>
      </c>
      <c r="H36" s="164" t="s">
        <v>686</v>
      </c>
      <c r="I36" s="210"/>
      <c r="J36" s="210">
        <v>18000</v>
      </c>
      <c r="K36" s="257">
        <v>0.06</v>
      </c>
      <c r="L36" s="195"/>
      <c r="M36" s="164" t="s">
        <v>812</v>
      </c>
      <c r="N36" s="164" t="s">
        <v>932</v>
      </c>
    </row>
    <row r="37" spans="1:14" s="202" customFormat="1" ht="45.6">
      <c r="A37" s="172" t="s">
        <v>1021</v>
      </c>
      <c r="B37" s="241" t="s">
        <v>949</v>
      </c>
      <c r="C37" s="209" t="s">
        <v>1022</v>
      </c>
      <c r="D37" s="209" t="s">
        <v>196</v>
      </c>
      <c r="E37" s="195"/>
      <c r="F37" s="164" t="s">
        <v>618</v>
      </c>
      <c r="G37" s="210" t="s">
        <v>643</v>
      </c>
      <c r="H37" s="164" t="s">
        <v>686</v>
      </c>
      <c r="I37" s="210"/>
      <c r="J37" s="210">
        <v>10000</v>
      </c>
      <c r="K37" s="258">
        <v>0.06</v>
      </c>
      <c r="L37" s="195"/>
      <c r="M37" s="164" t="s">
        <v>812</v>
      </c>
      <c r="N37" s="164" t="s">
        <v>932</v>
      </c>
    </row>
    <row r="38" spans="1:14" s="202" customFormat="1" ht="57">
      <c r="A38" s="172" t="s">
        <v>1023</v>
      </c>
      <c r="B38" s="241" t="s">
        <v>949</v>
      </c>
      <c r="C38" s="209" t="s">
        <v>1024</v>
      </c>
      <c r="D38" s="209" t="s">
        <v>196</v>
      </c>
      <c r="E38" s="195"/>
      <c r="F38" s="164" t="s">
        <v>618</v>
      </c>
      <c r="G38" s="210" t="s">
        <v>643</v>
      </c>
      <c r="H38" s="164" t="s">
        <v>729</v>
      </c>
      <c r="I38" s="210"/>
      <c r="J38" s="210">
        <v>10000</v>
      </c>
      <c r="K38" s="258">
        <v>0.06</v>
      </c>
      <c r="L38" s="195"/>
      <c r="M38" s="164" t="s">
        <v>812</v>
      </c>
      <c r="N38" s="164" t="s">
        <v>932</v>
      </c>
    </row>
    <row r="39" spans="1:14" s="202" customFormat="1" ht="22.8">
      <c r="A39" s="172" t="s">
        <v>1025</v>
      </c>
      <c r="B39" s="241"/>
      <c r="C39" s="164" t="s">
        <v>1026</v>
      </c>
      <c r="D39" s="209" t="s">
        <v>196</v>
      </c>
      <c r="E39" s="195"/>
      <c r="F39" s="164" t="s">
        <v>618</v>
      </c>
      <c r="G39" s="211"/>
      <c r="H39" s="195"/>
      <c r="I39" s="211"/>
      <c r="J39" s="211"/>
      <c r="K39" s="259">
        <v>7.0000000000000007E-2</v>
      </c>
      <c r="L39" s="195"/>
      <c r="M39" s="164" t="s">
        <v>812</v>
      </c>
      <c r="N39" s="164" t="s">
        <v>932</v>
      </c>
    </row>
    <row r="40" spans="1:14" s="202" customFormat="1" ht="22.8">
      <c r="A40" s="172" t="s">
        <v>1027</v>
      </c>
      <c r="B40" s="241"/>
      <c r="C40" s="164" t="s">
        <v>1028</v>
      </c>
      <c r="D40" s="209" t="s">
        <v>203</v>
      </c>
      <c r="E40" s="195"/>
      <c r="F40" s="164" t="s">
        <v>618</v>
      </c>
      <c r="G40" s="211"/>
      <c r="H40" s="195"/>
      <c r="I40" s="211"/>
      <c r="J40" s="211"/>
      <c r="K40" s="242">
        <v>0.25</v>
      </c>
      <c r="L40" s="195"/>
      <c r="M40" s="164" t="s">
        <v>824</v>
      </c>
      <c r="N40" s="164" t="s">
        <v>931</v>
      </c>
    </row>
    <row r="41" spans="1:14" s="202" customFormat="1" ht="34.200000000000003">
      <c r="A41" s="172" t="s">
        <v>1029</v>
      </c>
      <c r="B41" s="241" t="s">
        <v>949</v>
      </c>
      <c r="C41" s="209" t="s">
        <v>1030</v>
      </c>
      <c r="D41" s="209" t="s">
        <v>227</v>
      </c>
      <c r="E41" s="195"/>
      <c r="F41" s="164" t="s">
        <v>618</v>
      </c>
      <c r="G41" s="210" t="s">
        <v>643</v>
      </c>
      <c r="H41" s="164" t="s">
        <v>712</v>
      </c>
      <c r="I41" s="210"/>
      <c r="J41" s="210">
        <v>18000</v>
      </c>
      <c r="K41" s="242">
        <v>0.25</v>
      </c>
      <c r="L41" s="195"/>
      <c r="M41" s="164" t="s">
        <v>880</v>
      </c>
      <c r="N41" s="164" t="s">
        <v>931</v>
      </c>
    </row>
    <row r="42" spans="1:14" s="202" customFormat="1" ht="22.8">
      <c r="A42" s="172" t="s">
        <v>1031</v>
      </c>
      <c r="B42" s="241"/>
      <c r="C42" s="209" t="s">
        <v>1032</v>
      </c>
      <c r="D42" s="209" t="s">
        <v>227</v>
      </c>
      <c r="E42" s="195"/>
      <c r="F42" s="164" t="s">
        <v>618</v>
      </c>
      <c r="G42" s="210"/>
      <c r="H42" s="164"/>
      <c r="I42" s="210"/>
      <c r="J42" s="210"/>
      <c r="K42" s="242">
        <v>0.25</v>
      </c>
      <c r="L42" s="195"/>
      <c r="M42" s="164" t="s">
        <v>880</v>
      </c>
      <c r="N42" s="164" t="s">
        <v>932</v>
      </c>
    </row>
    <row r="43" spans="1:14" s="202" customFormat="1" ht="22.8">
      <c r="A43" s="173" t="s">
        <v>1033</v>
      </c>
      <c r="B43" s="243"/>
      <c r="C43" s="212" t="s">
        <v>1034</v>
      </c>
      <c r="D43" s="213" t="s">
        <v>243</v>
      </c>
      <c r="E43" s="196"/>
      <c r="F43" s="165" t="s">
        <v>619</v>
      </c>
      <c r="G43" s="214" t="s">
        <v>607</v>
      </c>
      <c r="H43" s="165"/>
      <c r="I43" s="214"/>
      <c r="J43" s="214"/>
      <c r="K43" s="244">
        <v>0.25</v>
      </c>
      <c r="L43" s="196"/>
      <c r="M43" s="165" t="s">
        <v>910</v>
      </c>
      <c r="N43" s="165" t="s">
        <v>932</v>
      </c>
    </row>
    <row r="44" spans="1:14" s="202" customFormat="1" ht="22.8">
      <c r="A44" s="173" t="s">
        <v>1035</v>
      </c>
      <c r="B44" s="243"/>
      <c r="C44" s="212" t="s">
        <v>1036</v>
      </c>
      <c r="D44" s="213" t="s">
        <v>251</v>
      </c>
      <c r="E44" s="196"/>
      <c r="F44" s="165" t="s">
        <v>619</v>
      </c>
      <c r="G44" s="214" t="s">
        <v>607</v>
      </c>
      <c r="H44" s="165"/>
      <c r="I44" s="214"/>
      <c r="J44" s="214"/>
      <c r="K44" s="244">
        <v>0.25</v>
      </c>
      <c r="L44" s="196"/>
      <c r="M44" s="165" t="s">
        <v>910</v>
      </c>
      <c r="N44" s="165" t="s">
        <v>932</v>
      </c>
    </row>
    <row r="45" spans="1:14" s="202" customFormat="1" ht="34.200000000000003">
      <c r="A45" s="173" t="s">
        <v>1037</v>
      </c>
      <c r="B45" s="243" t="s">
        <v>949</v>
      </c>
      <c r="C45" s="245" t="s">
        <v>1038</v>
      </c>
      <c r="D45" s="213" t="s">
        <v>261</v>
      </c>
      <c r="E45" s="196"/>
      <c r="F45" s="165" t="s">
        <v>619</v>
      </c>
      <c r="G45" s="214" t="s">
        <v>643</v>
      </c>
      <c r="H45" s="165" t="s">
        <v>712</v>
      </c>
      <c r="I45" s="214"/>
      <c r="J45" s="214">
        <v>10000</v>
      </c>
      <c r="K45" s="247">
        <v>0.15</v>
      </c>
      <c r="L45" s="196"/>
      <c r="M45" s="165" t="s">
        <v>880</v>
      </c>
      <c r="N45" s="165" t="s">
        <v>932</v>
      </c>
    </row>
    <row r="46" spans="1:14" s="202" customFormat="1" ht="79.8">
      <c r="A46" s="173" t="s">
        <v>1183</v>
      </c>
      <c r="B46" s="243" t="s">
        <v>949</v>
      </c>
      <c r="C46" s="245" t="s">
        <v>1040</v>
      </c>
      <c r="D46" s="213" t="s">
        <v>261</v>
      </c>
      <c r="E46" s="196"/>
      <c r="F46" s="165" t="s">
        <v>619</v>
      </c>
      <c r="G46" s="214" t="s">
        <v>643</v>
      </c>
      <c r="H46" s="165" t="s">
        <v>664</v>
      </c>
      <c r="I46" s="214"/>
      <c r="J46" s="214">
        <v>4000</v>
      </c>
      <c r="K46" s="260">
        <v>0.15</v>
      </c>
      <c r="L46" s="196"/>
      <c r="M46" s="165" t="s">
        <v>880</v>
      </c>
      <c r="N46" s="165" t="s">
        <v>932</v>
      </c>
    </row>
    <row r="47" spans="1:14" s="283" customFormat="1" ht="68.400000000000006">
      <c r="A47" s="273" t="s">
        <v>975</v>
      </c>
      <c r="B47" s="274"/>
      <c r="C47" s="275" t="s">
        <v>974</v>
      </c>
      <c r="D47" s="276" t="s">
        <v>121</v>
      </c>
      <c r="E47" s="277"/>
      <c r="F47" s="165" t="s">
        <v>619</v>
      </c>
      <c r="G47" s="278" t="s">
        <v>648</v>
      </c>
      <c r="H47" s="282" t="s">
        <v>727</v>
      </c>
      <c r="I47" s="279"/>
      <c r="J47" s="285">
        <v>1131613.1599999999</v>
      </c>
      <c r="K47" s="281">
        <v>0.3</v>
      </c>
      <c r="L47" s="284"/>
      <c r="M47" s="282" t="s">
        <v>812</v>
      </c>
      <c r="N47" s="282" t="s">
        <v>932</v>
      </c>
    </row>
    <row r="48" spans="1:14" s="202" customFormat="1" ht="57">
      <c r="A48" s="173" t="s">
        <v>1043</v>
      </c>
      <c r="B48" s="243" t="s">
        <v>949</v>
      </c>
      <c r="C48" s="245" t="s">
        <v>1041</v>
      </c>
      <c r="D48" s="213" t="s">
        <v>268</v>
      </c>
      <c r="E48" s="196"/>
      <c r="F48" s="165" t="s">
        <v>619</v>
      </c>
      <c r="G48" s="214" t="s">
        <v>643</v>
      </c>
      <c r="H48" s="165" t="s">
        <v>729</v>
      </c>
      <c r="I48" s="214"/>
      <c r="J48" s="214">
        <v>18000</v>
      </c>
      <c r="K48" s="247">
        <v>0.05</v>
      </c>
      <c r="L48" s="196"/>
      <c r="M48" s="165" t="s">
        <v>811</v>
      </c>
      <c r="N48" s="165" t="s">
        <v>932</v>
      </c>
    </row>
    <row r="49" spans="1:14" s="202" customFormat="1" ht="79.8">
      <c r="A49" s="173" t="s">
        <v>1045</v>
      </c>
      <c r="B49" s="243" t="s">
        <v>949</v>
      </c>
      <c r="C49" s="245" t="s">
        <v>1042</v>
      </c>
      <c r="D49" s="213" t="s">
        <v>268</v>
      </c>
      <c r="E49" s="196"/>
      <c r="F49" s="165" t="s">
        <v>619</v>
      </c>
      <c r="G49" s="214" t="s">
        <v>643</v>
      </c>
      <c r="H49" s="165" t="s">
        <v>664</v>
      </c>
      <c r="I49" s="215"/>
      <c r="J49" s="214">
        <v>1500</v>
      </c>
      <c r="K49" s="261">
        <v>0.05</v>
      </c>
      <c r="L49" s="196"/>
      <c r="M49" s="165" t="s">
        <v>811</v>
      </c>
      <c r="N49" s="165" t="s">
        <v>932</v>
      </c>
    </row>
    <row r="50" spans="1:14" s="202" customFormat="1" ht="79.8">
      <c r="A50" s="173" t="s">
        <v>1047</v>
      </c>
      <c r="B50" s="243" t="s">
        <v>949</v>
      </c>
      <c r="C50" s="245" t="s">
        <v>1044</v>
      </c>
      <c r="D50" s="213" t="s">
        <v>268</v>
      </c>
      <c r="E50" s="196"/>
      <c r="F50" s="165" t="s">
        <v>619</v>
      </c>
      <c r="G50" s="214" t="s">
        <v>643</v>
      </c>
      <c r="H50" s="165" t="s">
        <v>664</v>
      </c>
      <c r="I50" s="214"/>
      <c r="J50" s="214">
        <v>600</v>
      </c>
      <c r="K50" s="261">
        <v>0.05</v>
      </c>
      <c r="L50" s="196"/>
      <c r="M50" s="165" t="s">
        <v>811</v>
      </c>
      <c r="N50" s="165" t="s">
        <v>932</v>
      </c>
    </row>
    <row r="51" spans="1:14" s="202" customFormat="1" ht="22.8">
      <c r="A51" s="173" t="s">
        <v>1049</v>
      </c>
      <c r="B51" s="243"/>
      <c r="C51" s="212" t="s">
        <v>1046</v>
      </c>
      <c r="D51" s="213" t="s">
        <v>268</v>
      </c>
      <c r="E51" s="196"/>
      <c r="F51" s="165" t="s">
        <v>619</v>
      </c>
      <c r="G51" s="214" t="s">
        <v>607</v>
      </c>
      <c r="H51" s="165"/>
      <c r="I51" s="214"/>
      <c r="J51" s="214"/>
      <c r="K51" s="261">
        <v>0.05</v>
      </c>
      <c r="L51" s="196"/>
      <c r="M51" s="165" t="s">
        <v>811</v>
      </c>
      <c r="N51" s="165" t="s">
        <v>932</v>
      </c>
    </row>
    <row r="52" spans="1:14" s="202" customFormat="1" ht="34.200000000000003">
      <c r="A52" s="173" t="s">
        <v>1039</v>
      </c>
      <c r="B52" s="243"/>
      <c r="C52" s="212" t="s">
        <v>1048</v>
      </c>
      <c r="D52" s="213" t="s">
        <v>270</v>
      </c>
      <c r="E52" s="196"/>
      <c r="F52" s="165" t="s">
        <v>619</v>
      </c>
      <c r="G52" s="214" t="s">
        <v>607</v>
      </c>
      <c r="H52" s="165"/>
      <c r="I52" s="214"/>
      <c r="J52" s="214"/>
      <c r="K52" s="260">
        <v>0.05</v>
      </c>
      <c r="L52" s="196"/>
      <c r="M52" s="165" t="s">
        <v>811</v>
      </c>
      <c r="N52" s="165" t="s">
        <v>932</v>
      </c>
    </row>
    <row r="53" spans="1:14" s="202" customFormat="1" ht="45.6">
      <c r="A53" s="173" t="s">
        <v>1052</v>
      </c>
      <c r="B53" s="243"/>
      <c r="C53" s="212" t="s">
        <v>1050</v>
      </c>
      <c r="D53" s="213" t="s">
        <v>1051</v>
      </c>
      <c r="E53" s="196"/>
      <c r="F53" s="165" t="s">
        <v>619</v>
      </c>
      <c r="G53" s="214" t="s">
        <v>607</v>
      </c>
      <c r="H53" s="165"/>
      <c r="I53" s="214"/>
      <c r="J53" s="214"/>
      <c r="K53" s="244">
        <v>0.25</v>
      </c>
      <c r="L53" s="196"/>
      <c r="M53" s="165" t="s">
        <v>894</v>
      </c>
      <c r="N53" s="165" t="s">
        <v>932</v>
      </c>
    </row>
    <row r="54" spans="1:14" s="202" customFormat="1" ht="22.8">
      <c r="A54" s="173" t="s">
        <v>1054</v>
      </c>
      <c r="B54" s="243"/>
      <c r="C54" s="212" t="s">
        <v>1053</v>
      </c>
      <c r="D54" s="213" t="s">
        <v>284</v>
      </c>
      <c r="E54" s="196"/>
      <c r="F54" s="165" t="s">
        <v>619</v>
      </c>
      <c r="G54" s="214" t="s">
        <v>607</v>
      </c>
      <c r="H54" s="165"/>
      <c r="I54" s="214"/>
      <c r="J54" s="214"/>
      <c r="K54" s="246">
        <v>0.1</v>
      </c>
      <c r="L54" s="196"/>
      <c r="M54" s="165" t="s">
        <v>880</v>
      </c>
      <c r="N54" s="165" t="s">
        <v>932</v>
      </c>
    </row>
    <row r="55" spans="1:14" s="202" customFormat="1" ht="45.6">
      <c r="A55" s="173" t="s">
        <v>1056</v>
      </c>
      <c r="B55" s="243"/>
      <c r="C55" s="212" t="s">
        <v>1055</v>
      </c>
      <c r="D55" s="213" t="s">
        <v>286</v>
      </c>
      <c r="E55" s="196"/>
      <c r="F55" s="165" t="s">
        <v>619</v>
      </c>
      <c r="G55" s="214" t="s">
        <v>645</v>
      </c>
      <c r="H55" s="165" t="s">
        <v>712</v>
      </c>
      <c r="I55" s="214"/>
      <c r="J55" s="214">
        <v>573459.91</v>
      </c>
      <c r="K55" s="247">
        <v>0.25</v>
      </c>
      <c r="L55" s="196"/>
      <c r="M55" s="165" t="s">
        <v>910</v>
      </c>
      <c r="N55" s="165" t="s">
        <v>932</v>
      </c>
    </row>
    <row r="56" spans="1:14" s="202" customFormat="1" ht="34.200000000000003">
      <c r="A56" s="173" t="s">
        <v>1058</v>
      </c>
      <c r="B56" s="243"/>
      <c r="C56" s="212" t="s">
        <v>1057</v>
      </c>
      <c r="D56" s="213" t="s">
        <v>286</v>
      </c>
      <c r="E56" s="196"/>
      <c r="F56" s="165" t="s">
        <v>619</v>
      </c>
      <c r="G56" s="214" t="s">
        <v>645</v>
      </c>
      <c r="H56" s="165" t="s">
        <v>712</v>
      </c>
      <c r="I56" s="214"/>
      <c r="J56" s="214">
        <v>86215.039999999994</v>
      </c>
      <c r="K56" s="246">
        <v>0.25</v>
      </c>
      <c r="L56" s="196"/>
      <c r="M56" s="165" t="s">
        <v>894</v>
      </c>
      <c r="N56" s="165" t="s">
        <v>932</v>
      </c>
    </row>
    <row r="57" spans="1:14" s="202" customFormat="1" ht="22.8">
      <c r="A57" s="173" t="s">
        <v>1061</v>
      </c>
      <c r="B57" s="243"/>
      <c r="C57" s="165" t="s">
        <v>1059</v>
      </c>
      <c r="D57" s="213" t="s">
        <v>1060</v>
      </c>
      <c r="E57" s="196"/>
      <c r="F57" s="165" t="s">
        <v>619</v>
      </c>
      <c r="G57" s="214" t="s">
        <v>648</v>
      </c>
      <c r="H57" s="165"/>
      <c r="I57" s="214"/>
      <c r="J57" s="214">
        <v>510416</v>
      </c>
      <c r="K57" s="244">
        <v>0.25</v>
      </c>
      <c r="L57" s="196"/>
      <c r="M57" s="165" t="s">
        <v>880</v>
      </c>
      <c r="N57" s="165" t="s">
        <v>932</v>
      </c>
    </row>
    <row r="58" spans="1:14" s="202" customFormat="1" ht="57">
      <c r="A58" s="173" t="s">
        <v>1064</v>
      </c>
      <c r="B58" s="243"/>
      <c r="C58" s="165" t="s">
        <v>1062</v>
      </c>
      <c r="D58" s="213" t="s">
        <v>1063</v>
      </c>
      <c r="E58" s="196"/>
      <c r="F58" s="165" t="s">
        <v>619</v>
      </c>
      <c r="G58" s="214" t="s">
        <v>648</v>
      </c>
      <c r="H58" s="165"/>
      <c r="I58" s="214"/>
      <c r="J58" s="214">
        <v>2167205.38</v>
      </c>
      <c r="K58" s="244">
        <v>0.5</v>
      </c>
      <c r="L58" s="196"/>
      <c r="M58" s="165" t="s">
        <v>880</v>
      </c>
      <c r="N58" s="165" t="s">
        <v>932</v>
      </c>
    </row>
    <row r="59" spans="1:14" s="202" customFormat="1" ht="22.8">
      <c r="A59" s="173" t="s">
        <v>1066</v>
      </c>
      <c r="B59" s="243"/>
      <c r="C59" s="165" t="s">
        <v>1065</v>
      </c>
      <c r="D59" s="213" t="s">
        <v>1063</v>
      </c>
      <c r="E59" s="196"/>
      <c r="F59" s="165" t="s">
        <v>619</v>
      </c>
      <c r="G59" s="214"/>
      <c r="H59" s="165"/>
      <c r="I59" s="214"/>
      <c r="J59" s="214"/>
      <c r="K59" s="244">
        <v>0.15</v>
      </c>
      <c r="L59" s="196"/>
      <c r="M59" s="165" t="s">
        <v>811</v>
      </c>
      <c r="N59" s="165" t="s">
        <v>932</v>
      </c>
    </row>
    <row r="60" spans="1:14" s="202" customFormat="1" ht="22.8">
      <c r="A60" s="173" t="s">
        <v>1068</v>
      </c>
      <c r="B60" s="243"/>
      <c r="C60" s="165" t="s">
        <v>1067</v>
      </c>
      <c r="D60" s="213" t="s">
        <v>296</v>
      </c>
      <c r="E60" s="196"/>
      <c r="F60" s="165" t="s">
        <v>619</v>
      </c>
      <c r="G60" s="214"/>
      <c r="H60" s="165"/>
      <c r="I60" s="214"/>
      <c r="J60" s="214"/>
      <c r="K60" s="246">
        <v>0.25</v>
      </c>
      <c r="L60" s="196"/>
      <c r="M60" s="165" t="s">
        <v>812</v>
      </c>
      <c r="N60" s="165" t="s">
        <v>932</v>
      </c>
    </row>
    <row r="61" spans="1:14" s="202" customFormat="1" ht="22.8">
      <c r="A61" s="173" t="s">
        <v>1070</v>
      </c>
      <c r="B61" s="243" t="s">
        <v>949</v>
      </c>
      <c r="C61" s="212" t="s">
        <v>1069</v>
      </c>
      <c r="D61" s="213" t="s">
        <v>296</v>
      </c>
      <c r="E61" s="196"/>
      <c r="F61" s="165" t="s">
        <v>619</v>
      </c>
      <c r="G61" s="214" t="s">
        <v>607</v>
      </c>
      <c r="H61" s="196"/>
      <c r="I61" s="214"/>
      <c r="J61" s="214"/>
      <c r="K61" s="244">
        <v>0.25</v>
      </c>
      <c r="L61" s="196"/>
      <c r="M61" s="165" t="s">
        <v>894</v>
      </c>
      <c r="N61" s="165" t="s">
        <v>932</v>
      </c>
    </row>
    <row r="62" spans="1:14" s="283" customFormat="1" ht="12">
      <c r="A62" s="273" t="s">
        <v>1072</v>
      </c>
      <c r="B62" s="274"/>
      <c r="C62" s="275" t="s">
        <v>979</v>
      </c>
      <c r="D62" s="276" t="s">
        <v>296</v>
      </c>
      <c r="E62" s="282" t="s">
        <v>103</v>
      </c>
      <c r="F62" s="165" t="s">
        <v>619</v>
      </c>
      <c r="G62" s="278" t="s">
        <v>646</v>
      </c>
      <c r="H62" s="277"/>
      <c r="I62" s="279"/>
      <c r="J62" s="280">
        <v>1017176.24</v>
      </c>
      <c r="K62" s="281">
        <v>0.5</v>
      </c>
      <c r="L62" s="277"/>
      <c r="M62" s="282" t="s">
        <v>880</v>
      </c>
      <c r="N62" s="282" t="s">
        <v>932</v>
      </c>
    </row>
    <row r="63" spans="1:14" s="202" customFormat="1" ht="57">
      <c r="A63" s="173" t="s">
        <v>1074</v>
      </c>
      <c r="B63" s="243" t="s">
        <v>949</v>
      </c>
      <c r="C63" s="212" t="s">
        <v>1071</v>
      </c>
      <c r="D63" s="213" t="s">
        <v>301</v>
      </c>
      <c r="E63" s="196"/>
      <c r="F63" s="165" t="s">
        <v>619</v>
      </c>
      <c r="G63" s="214" t="s">
        <v>643</v>
      </c>
      <c r="H63" s="165" t="s">
        <v>672</v>
      </c>
      <c r="I63" s="214"/>
      <c r="J63" s="214">
        <v>2000</v>
      </c>
      <c r="K63" s="244">
        <v>0.1</v>
      </c>
      <c r="L63" s="196"/>
      <c r="M63" s="165" t="s">
        <v>910</v>
      </c>
      <c r="N63" s="165" t="s">
        <v>931</v>
      </c>
    </row>
    <row r="64" spans="1:14" s="202" customFormat="1" ht="22.8">
      <c r="A64" s="173" t="s">
        <v>1076</v>
      </c>
      <c r="B64" s="243" t="s">
        <v>949</v>
      </c>
      <c r="C64" s="212" t="s">
        <v>1073</v>
      </c>
      <c r="D64" s="213" t="s">
        <v>301</v>
      </c>
      <c r="E64" s="196"/>
      <c r="F64" s="165" t="s">
        <v>619</v>
      </c>
      <c r="G64" s="214" t="s">
        <v>643</v>
      </c>
      <c r="H64" s="165" t="s">
        <v>680</v>
      </c>
      <c r="I64" s="214"/>
      <c r="J64" s="214">
        <v>300</v>
      </c>
      <c r="K64" s="247">
        <v>0.1</v>
      </c>
      <c r="L64" s="196"/>
      <c r="M64" s="165" t="s">
        <v>910</v>
      </c>
      <c r="N64" s="165" t="s">
        <v>931</v>
      </c>
    </row>
    <row r="65" spans="1:14" s="202" customFormat="1" ht="22.8">
      <c r="A65" s="173" t="s">
        <v>1078</v>
      </c>
      <c r="B65" s="243" t="s">
        <v>949</v>
      </c>
      <c r="C65" s="212" t="s">
        <v>1075</v>
      </c>
      <c r="D65" s="213" t="s">
        <v>301</v>
      </c>
      <c r="E65" s="196"/>
      <c r="F65" s="165" t="s">
        <v>619</v>
      </c>
      <c r="G65" s="214" t="s">
        <v>643</v>
      </c>
      <c r="H65" s="165" t="s">
        <v>680</v>
      </c>
      <c r="I65" s="214"/>
      <c r="J65" s="214">
        <v>1000</v>
      </c>
      <c r="K65" s="247">
        <v>0.05</v>
      </c>
      <c r="L65" s="196"/>
      <c r="M65" s="165" t="s">
        <v>910</v>
      </c>
      <c r="N65" s="165" t="s">
        <v>931</v>
      </c>
    </row>
    <row r="66" spans="1:14" s="202" customFormat="1" ht="91.2">
      <c r="A66" s="173" t="s">
        <v>1081</v>
      </c>
      <c r="B66" s="243"/>
      <c r="C66" s="165" t="s">
        <v>1077</v>
      </c>
      <c r="D66" s="213" t="s">
        <v>301</v>
      </c>
      <c r="E66" s="196"/>
      <c r="F66" s="165" t="s">
        <v>619</v>
      </c>
      <c r="G66" s="214"/>
      <c r="H66" s="165"/>
      <c r="I66" s="214"/>
      <c r="J66" s="214"/>
      <c r="K66" s="244">
        <v>0.25</v>
      </c>
      <c r="L66" s="196"/>
      <c r="M66" s="165" t="s">
        <v>811</v>
      </c>
      <c r="N66" s="165" t="s">
        <v>932</v>
      </c>
    </row>
    <row r="67" spans="1:14" s="202" customFormat="1" ht="34.200000000000003">
      <c r="A67" s="173" t="s">
        <v>1083</v>
      </c>
      <c r="B67" s="243" t="s">
        <v>949</v>
      </c>
      <c r="C67" s="212" t="s">
        <v>1079</v>
      </c>
      <c r="D67" s="213" t="s">
        <v>1080</v>
      </c>
      <c r="E67" s="196"/>
      <c r="F67" s="165" t="s">
        <v>619</v>
      </c>
      <c r="G67" s="214" t="s">
        <v>643</v>
      </c>
      <c r="H67" s="165" t="s">
        <v>712</v>
      </c>
      <c r="I67" s="214"/>
      <c r="J67" s="214">
        <v>3600</v>
      </c>
      <c r="K67" s="244">
        <v>0.6</v>
      </c>
      <c r="L67" s="196"/>
      <c r="M67" s="165" t="s">
        <v>812</v>
      </c>
      <c r="N67" s="165" t="s">
        <v>932</v>
      </c>
    </row>
    <row r="68" spans="1:14" s="202" customFormat="1" ht="45.6">
      <c r="A68" s="173" t="s">
        <v>1086</v>
      </c>
      <c r="B68" s="243" t="s">
        <v>949</v>
      </c>
      <c r="C68" s="212" t="s">
        <v>1082</v>
      </c>
      <c r="D68" s="213" t="s">
        <v>1080</v>
      </c>
      <c r="E68" s="196"/>
      <c r="F68" s="165" t="s">
        <v>619</v>
      </c>
      <c r="G68" s="214" t="s">
        <v>643</v>
      </c>
      <c r="H68" s="165" t="s">
        <v>686</v>
      </c>
      <c r="I68" s="214"/>
      <c r="J68" s="214">
        <v>350</v>
      </c>
      <c r="K68" s="244">
        <v>0.05</v>
      </c>
      <c r="L68" s="196"/>
      <c r="M68" s="165" t="s">
        <v>811</v>
      </c>
      <c r="N68" s="165" t="s">
        <v>932</v>
      </c>
    </row>
    <row r="69" spans="1:14" s="202" customFormat="1" ht="45.6">
      <c r="A69" s="173" t="s">
        <v>1088</v>
      </c>
      <c r="B69" s="243" t="s">
        <v>949</v>
      </c>
      <c r="C69" s="212" t="s">
        <v>1084</v>
      </c>
      <c r="D69" s="213" t="s">
        <v>1085</v>
      </c>
      <c r="E69" s="196"/>
      <c r="F69" s="165" t="s">
        <v>619</v>
      </c>
      <c r="G69" s="214" t="s">
        <v>643</v>
      </c>
      <c r="H69" s="165" t="s">
        <v>686</v>
      </c>
      <c r="I69" s="214"/>
      <c r="J69" s="214">
        <v>700</v>
      </c>
      <c r="K69" s="247">
        <v>0.03</v>
      </c>
      <c r="L69" s="196"/>
      <c r="M69" s="165" t="s">
        <v>811</v>
      </c>
      <c r="N69" s="165" t="s">
        <v>931</v>
      </c>
    </row>
    <row r="70" spans="1:14" s="202" customFormat="1" ht="102.6">
      <c r="A70" s="173" t="s">
        <v>1090</v>
      </c>
      <c r="B70" s="243" t="s">
        <v>949</v>
      </c>
      <c r="C70" s="212" t="s">
        <v>1087</v>
      </c>
      <c r="D70" s="213" t="s">
        <v>1085</v>
      </c>
      <c r="E70" s="196"/>
      <c r="F70" s="165" t="s">
        <v>619</v>
      </c>
      <c r="G70" s="214" t="s">
        <v>643</v>
      </c>
      <c r="H70" s="165" t="s">
        <v>668</v>
      </c>
      <c r="I70" s="214"/>
      <c r="J70" s="214">
        <v>15000</v>
      </c>
      <c r="K70" s="261">
        <v>0.03</v>
      </c>
      <c r="L70" s="196"/>
      <c r="M70" s="165" t="s">
        <v>811</v>
      </c>
      <c r="N70" s="165" t="s">
        <v>931</v>
      </c>
    </row>
    <row r="71" spans="1:14" s="202" customFormat="1" ht="45.6">
      <c r="A71" s="173" t="s">
        <v>1092</v>
      </c>
      <c r="B71" s="243" t="s">
        <v>949</v>
      </c>
      <c r="C71" s="212" t="s">
        <v>1089</v>
      </c>
      <c r="D71" s="213" t="s">
        <v>1085</v>
      </c>
      <c r="E71" s="196"/>
      <c r="F71" s="165" t="s">
        <v>619</v>
      </c>
      <c r="G71" s="214" t="s">
        <v>643</v>
      </c>
      <c r="H71" s="165" t="s">
        <v>686</v>
      </c>
      <c r="I71" s="214"/>
      <c r="J71" s="214">
        <v>2000</v>
      </c>
      <c r="K71" s="261">
        <v>0.03</v>
      </c>
      <c r="L71" s="196"/>
      <c r="M71" s="165" t="s">
        <v>811</v>
      </c>
      <c r="N71" s="165" t="s">
        <v>932</v>
      </c>
    </row>
    <row r="72" spans="1:14" s="202" customFormat="1" ht="57">
      <c r="A72" s="173" t="s">
        <v>1094</v>
      </c>
      <c r="B72" s="243" t="s">
        <v>949</v>
      </c>
      <c r="C72" s="212" t="s">
        <v>1091</v>
      </c>
      <c r="D72" s="213" t="s">
        <v>1085</v>
      </c>
      <c r="E72" s="196"/>
      <c r="F72" s="165" t="s">
        <v>619</v>
      </c>
      <c r="G72" s="214" t="s">
        <v>643</v>
      </c>
      <c r="H72" s="165" t="s">
        <v>724</v>
      </c>
      <c r="I72" s="214"/>
      <c r="J72" s="214">
        <v>2000</v>
      </c>
      <c r="K72" s="261">
        <v>0.03</v>
      </c>
      <c r="L72" s="196"/>
      <c r="M72" s="165" t="s">
        <v>811</v>
      </c>
      <c r="N72" s="165" t="s">
        <v>932</v>
      </c>
    </row>
    <row r="73" spans="1:14" s="202" customFormat="1" ht="45.6">
      <c r="A73" s="173" t="s">
        <v>1096</v>
      </c>
      <c r="B73" s="243" t="s">
        <v>949</v>
      </c>
      <c r="C73" s="212" t="s">
        <v>1093</v>
      </c>
      <c r="D73" s="213" t="s">
        <v>1085</v>
      </c>
      <c r="E73" s="196"/>
      <c r="F73" s="165" t="s">
        <v>619</v>
      </c>
      <c r="G73" s="214" t="s">
        <v>643</v>
      </c>
      <c r="H73" s="165" t="s">
        <v>706</v>
      </c>
      <c r="I73" s="214"/>
      <c r="J73" s="214">
        <v>700</v>
      </c>
      <c r="K73" s="261">
        <v>0.03</v>
      </c>
      <c r="L73" s="196"/>
      <c r="M73" s="165" t="s">
        <v>811</v>
      </c>
      <c r="N73" s="165" t="s">
        <v>932</v>
      </c>
    </row>
    <row r="74" spans="1:14" s="187" customFormat="1" ht="45.6">
      <c r="A74" s="173" t="s">
        <v>1098</v>
      </c>
      <c r="B74" s="243" t="s">
        <v>949</v>
      </c>
      <c r="C74" s="212" t="s">
        <v>1095</v>
      </c>
      <c r="D74" s="213" t="s">
        <v>1085</v>
      </c>
      <c r="E74" s="196"/>
      <c r="F74" s="165" t="s">
        <v>619</v>
      </c>
      <c r="G74" s="214" t="s">
        <v>643</v>
      </c>
      <c r="H74" s="165" t="s">
        <v>686</v>
      </c>
      <c r="I74" s="214"/>
      <c r="J74" s="214">
        <v>1000</v>
      </c>
      <c r="K74" s="261">
        <v>0.03</v>
      </c>
      <c r="L74" s="196"/>
      <c r="M74" s="165" t="s">
        <v>811</v>
      </c>
      <c r="N74" s="165" t="s">
        <v>932</v>
      </c>
    </row>
    <row r="75" spans="1:14" s="187" customFormat="1" ht="45.6">
      <c r="A75" s="173" t="s">
        <v>1184</v>
      </c>
      <c r="B75" s="243" t="s">
        <v>949</v>
      </c>
      <c r="C75" s="212" t="s">
        <v>1097</v>
      </c>
      <c r="D75" s="213" t="s">
        <v>1085</v>
      </c>
      <c r="E75" s="196"/>
      <c r="F75" s="165" t="s">
        <v>619</v>
      </c>
      <c r="G75" s="214" t="s">
        <v>643</v>
      </c>
      <c r="H75" s="165" t="s">
        <v>706</v>
      </c>
      <c r="I75" s="214"/>
      <c r="J75" s="214">
        <v>18000</v>
      </c>
      <c r="K75" s="261">
        <v>0.03</v>
      </c>
      <c r="L75" s="196"/>
      <c r="M75" s="165" t="s">
        <v>811</v>
      </c>
      <c r="N75" s="165" t="s">
        <v>932</v>
      </c>
    </row>
    <row r="76" spans="1:14" s="187" customFormat="1" ht="45.6">
      <c r="A76" s="173" t="s">
        <v>1185</v>
      </c>
      <c r="B76" s="243"/>
      <c r="C76" s="212" t="s">
        <v>1099</v>
      </c>
      <c r="D76" s="213" t="s">
        <v>1085</v>
      </c>
      <c r="E76" s="196"/>
      <c r="F76" s="165" t="s">
        <v>619</v>
      </c>
      <c r="G76" s="214"/>
      <c r="H76" s="165"/>
      <c r="I76" s="214"/>
      <c r="J76" s="214"/>
      <c r="K76" s="260">
        <v>0.04</v>
      </c>
      <c r="L76" s="196"/>
      <c r="M76" s="165" t="s">
        <v>811</v>
      </c>
      <c r="N76" s="165" t="s">
        <v>932</v>
      </c>
    </row>
    <row r="77" spans="1:14" ht="22.8">
      <c r="A77" s="174" t="s">
        <v>1100</v>
      </c>
      <c r="B77" s="248" t="s">
        <v>949</v>
      </c>
      <c r="C77" s="219" t="s">
        <v>1101</v>
      </c>
      <c r="D77" s="216" t="s">
        <v>323</v>
      </c>
      <c r="E77" s="197"/>
      <c r="F77" s="166" t="s">
        <v>620</v>
      </c>
      <c r="G77" s="217" t="s">
        <v>643</v>
      </c>
      <c r="H77" s="197"/>
      <c r="I77" s="217"/>
      <c r="J77" s="217">
        <v>3000</v>
      </c>
      <c r="K77" s="262">
        <v>0.06</v>
      </c>
      <c r="L77" s="197"/>
      <c r="M77" s="250" t="s">
        <v>910</v>
      </c>
      <c r="N77" s="250" t="s">
        <v>932</v>
      </c>
    </row>
    <row r="78" spans="1:14" ht="22.8">
      <c r="A78" s="174" t="s">
        <v>1102</v>
      </c>
      <c r="B78" s="248" t="s">
        <v>949</v>
      </c>
      <c r="C78" s="219" t="s">
        <v>1103</v>
      </c>
      <c r="D78" s="216" t="s">
        <v>323</v>
      </c>
      <c r="E78" s="197"/>
      <c r="F78" s="166" t="s">
        <v>620</v>
      </c>
      <c r="G78" s="217" t="s">
        <v>643</v>
      </c>
      <c r="H78" s="197"/>
      <c r="I78" s="218"/>
      <c r="J78" s="218">
        <v>800</v>
      </c>
      <c r="K78" s="263">
        <v>0.06</v>
      </c>
      <c r="L78" s="197"/>
      <c r="M78" s="250" t="s">
        <v>910</v>
      </c>
      <c r="N78" s="250" t="s">
        <v>931</v>
      </c>
    </row>
    <row r="79" spans="1:14" ht="22.8">
      <c r="A79" s="174" t="s">
        <v>1104</v>
      </c>
      <c r="B79" s="248" t="s">
        <v>949</v>
      </c>
      <c r="C79" s="219" t="s">
        <v>1105</v>
      </c>
      <c r="D79" s="216" t="s">
        <v>323</v>
      </c>
      <c r="E79" s="197"/>
      <c r="F79" s="166" t="s">
        <v>620</v>
      </c>
      <c r="G79" s="217" t="s">
        <v>643</v>
      </c>
      <c r="H79" s="197"/>
      <c r="I79" s="218"/>
      <c r="J79" s="218">
        <v>475</v>
      </c>
      <c r="K79" s="263">
        <v>0.06</v>
      </c>
      <c r="L79" s="197"/>
      <c r="M79" s="250" t="s">
        <v>910</v>
      </c>
      <c r="N79" s="250" t="s">
        <v>932</v>
      </c>
    </row>
    <row r="80" spans="1:14" ht="22.8">
      <c r="A80" s="174" t="s">
        <v>1106</v>
      </c>
      <c r="B80" s="248" t="s">
        <v>949</v>
      </c>
      <c r="C80" s="219" t="s">
        <v>1107</v>
      </c>
      <c r="D80" s="216" t="s">
        <v>323</v>
      </c>
      <c r="E80" s="197"/>
      <c r="F80" s="166" t="s">
        <v>620</v>
      </c>
      <c r="G80" s="218" t="s">
        <v>607</v>
      </c>
      <c r="H80" s="197"/>
      <c r="I80" s="218"/>
      <c r="J80" s="218"/>
      <c r="K80" s="263">
        <v>0.06</v>
      </c>
      <c r="L80" s="197"/>
      <c r="M80" s="250" t="s">
        <v>910</v>
      </c>
      <c r="N80" s="250" t="s">
        <v>932</v>
      </c>
    </row>
    <row r="81" spans="1:14" ht="22.8">
      <c r="A81" s="174" t="s">
        <v>1108</v>
      </c>
      <c r="B81" s="248" t="s">
        <v>949</v>
      </c>
      <c r="C81" s="219" t="s">
        <v>1109</v>
      </c>
      <c r="D81" s="216" t="s">
        <v>323</v>
      </c>
      <c r="E81" s="197"/>
      <c r="F81" s="166" t="s">
        <v>620</v>
      </c>
      <c r="G81" s="218" t="s">
        <v>607</v>
      </c>
      <c r="H81" s="197"/>
      <c r="I81" s="218"/>
      <c r="J81" s="218"/>
      <c r="K81" s="264">
        <v>7.0000000000000007E-2</v>
      </c>
      <c r="L81" s="197"/>
      <c r="M81" s="250" t="s">
        <v>910</v>
      </c>
      <c r="N81" s="250" t="s">
        <v>932</v>
      </c>
    </row>
    <row r="82" spans="1:14" ht="22.8">
      <c r="A82" s="174" t="s">
        <v>1110</v>
      </c>
      <c r="B82" s="248" t="s">
        <v>949</v>
      </c>
      <c r="C82" s="216" t="s">
        <v>1111</v>
      </c>
      <c r="D82" s="216" t="s">
        <v>327</v>
      </c>
      <c r="E82" s="197"/>
      <c r="F82" s="166" t="s">
        <v>620</v>
      </c>
      <c r="G82" s="217" t="s">
        <v>607</v>
      </c>
      <c r="H82" s="197"/>
      <c r="I82" s="217"/>
      <c r="J82" s="217"/>
      <c r="K82" s="249">
        <v>0.25</v>
      </c>
      <c r="L82" s="197"/>
      <c r="M82" s="250" t="s">
        <v>910</v>
      </c>
      <c r="N82" s="250" t="s">
        <v>932</v>
      </c>
    </row>
    <row r="83" spans="1:14" ht="22.8">
      <c r="A83" s="174" t="s">
        <v>1112</v>
      </c>
      <c r="B83" s="248"/>
      <c r="C83" s="250" t="s">
        <v>1113</v>
      </c>
      <c r="D83" s="216" t="s">
        <v>330</v>
      </c>
      <c r="E83" s="197"/>
      <c r="F83" s="166" t="s">
        <v>620</v>
      </c>
      <c r="G83" s="218"/>
      <c r="H83" s="197"/>
      <c r="I83" s="218"/>
      <c r="J83" s="218"/>
      <c r="K83" s="249">
        <v>0.25</v>
      </c>
      <c r="L83" s="197"/>
      <c r="M83" s="250" t="s">
        <v>910</v>
      </c>
      <c r="N83" s="250" t="s">
        <v>932</v>
      </c>
    </row>
    <row r="84" spans="1:14" ht="22.8">
      <c r="A84" s="174" t="s">
        <v>1114</v>
      </c>
      <c r="B84" s="248"/>
      <c r="C84" s="250" t="s">
        <v>1115</v>
      </c>
      <c r="D84" s="216" t="s">
        <v>334</v>
      </c>
      <c r="E84" s="197"/>
      <c r="F84" s="166" t="s">
        <v>620</v>
      </c>
      <c r="G84" s="218"/>
      <c r="H84" s="197"/>
      <c r="I84" s="218"/>
      <c r="J84" s="218"/>
      <c r="K84" s="249">
        <v>0.25</v>
      </c>
      <c r="L84" s="197"/>
      <c r="M84" s="250" t="s">
        <v>910</v>
      </c>
      <c r="N84" s="250" t="s">
        <v>932</v>
      </c>
    </row>
    <row r="85" spans="1:14" ht="22.8">
      <c r="A85" s="174" t="s">
        <v>1116</v>
      </c>
      <c r="B85" s="248"/>
      <c r="C85" s="250" t="s">
        <v>1117</v>
      </c>
      <c r="D85" s="216" t="s">
        <v>346</v>
      </c>
      <c r="E85" s="197"/>
      <c r="F85" s="166" t="s">
        <v>620</v>
      </c>
      <c r="G85" s="218"/>
      <c r="H85" s="197"/>
      <c r="I85" s="218"/>
      <c r="J85" s="218"/>
      <c r="K85" s="262">
        <v>0.13</v>
      </c>
      <c r="L85" s="197"/>
      <c r="M85" s="250" t="s">
        <v>910</v>
      </c>
      <c r="N85" s="250" t="s">
        <v>932</v>
      </c>
    </row>
    <row r="86" spans="1:14" ht="22.8">
      <c r="A86" s="174" t="s">
        <v>1118</v>
      </c>
      <c r="B86" s="248"/>
      <c r="C86" s="250" t="s">
        <v>1119</v>
      </c>
      <c r="D86" s="216" t="s">
        <v>346</v>
      </c>
      <c r="E86" s="197"/>
      <c r="F86" s="166" t="s">
        <v>620</v>
      </c>
      <c r="G86" s="218"/>
      <c r="H86" s="197"/>
      <c r="I86" s="218"/>
      <c r="J86" s="218"/>
      <c r="K86" s="264">
        <v>0.12</v>
      </c>
      <c r="L86" s="197"/>
      <c r="M86" s="250" t="s">
        <v>910</v>
      </c>
      <c r="N86" s="250" t="s">
        <v>932</v>
      </c>
    </row>
    <row r="87" spans="1:14" ht="34.200000000000003">
      <c r="A87" s="174" t="s">
        <v>1120</v>
      </c>
      <c r="B87" s="248"/>
      <c r="C87" s="250" t="s">
        <v>1121</v>
      </c>
      <c r="D87" s="216" t="s">
        <v>388</v>
      </c>
      <c r="E87" s="197"/>
      <c r="F87" s="166" t="s">
        <v>620</v>
      </c>
      <c r="G87" s="218"/>
      <c r="H87" s="197"/>
      <c r="I87" s="218"/>
      <c r="J87" s="218"/>
      <c r="K87" s="249">
        <v>0.25</v>
      </c>
      <c r="L87" s="197"/>
      <c r="M87" s="250" t="s">
        <v>894</v>
      </c>
      <c r="N87" s="250" t="s">
        <v>932</v>
      </c>
    </row>
    <row r="88" spans="1:14" ht="22.8">
      <c r="A88" s="174" t="s">
        <v>1122</v>
      </c>
      <c r="B88" s="248" t="s">
        <v>949</v>
      </c>
      <c r="C88" s="219" t="s">
        <v>1123</v>
      </c>
      <c r="D88" s="216" t="s">
        <v>390</v>
      </c>
      <c r="E88" s="197"/>
      <c r="F88" s="166" t="s">
        <v>620</v>
      </c>
      <c r="G88" s="217" t="s">
        <v>643</v>
      </c>
      <c r="H88" s="197"/>
      <c r="I88" s="218"/>
      <c r="J88" s="218">
        <v>4000</v>
      </c>
      <c r="K88" s="249">
        <v>0.25</v>
      </c>
      <c r="L88" s="197"/>
      <c r="M88" s="250" t="s">
        <v>880</v>
      </c>
      <c r="N88" s="250" t="s">
        <v>932</v>
      </c>
    </row>
    <row r="89" spans="1:14" ht="22.8">
      <c r="A89" s="174" t="s">
        <v>1124</v>
      </c>
      <c r="B89" s="248" t="s">
        <v>949</v>
      </c>
      <c r="C89" s="219" t="s">
        <v>1125</v>
      </c>
      <c r="D89" s="216" t="s">
        <v>393</v>
      </c>
      <c r="E89" s="197"/>
      <c r="F89" s="166" t="s">
        <v>620</v>
      </c>
      <c r="G89" s="217" t="s">
        <v>643</v>
      </c>
      <c r="H89" s="197"/>
      <c r="I89" s="217"/>
      <c r="J89" s="218">
        <v>2500</v>
      </c>
      <c r="K89" s="262">
        <v>0.03</v>
      </c>
      <c r="L89" s="197"/>
      <c r="M89" s="250" t="s">
        <v>880</v>
      </c>
      <c r="N89" s="250" t="s">
        <v>932</v>
      </c>
    </row>
    <row r="90" spans="1:14" ht="22.8">
      <c r="A90" s="174" t="s">
        <v>1126</v>
      </c>
      <c r="B90" s="248" t="s">
        <v>949</v>
      </c>
      <c r="C90" s="219" t="s">
        <v>1127</v>
      </c>
      <c r="D90" s="216" t="s">
        <v>393</v>
      </c>
      <c r="E90" s="197"/>
      <c r="F90" s="166" t="s">
        <v>620</v>
      </c>
      <c r="G90" s="217" t="s">
        <v>643</v>
      </c>
      <c r="H90" s="197"/>
      <c r="I90" s="218"/>
      <c r="J90" s="218">
        <v>1500</v>
      </c>
      <c r="K90" s="262">
        <v>0.03</v>
      </c>
      <c r="L90" s="197"/>
      <c r="M90" s="250" t="s">
        <v>824</v>
      </c>
      <c r="N90" s="250" t="s">
        <v>931</v>
      </c>
    </row>
    <row r="91" spans="1:14" ht="22.8">
      <c r="A91" s="174" t="s">
        <v>1128</v>
      </c>
      <c r="B91" s="248" t="s">
        <v>949</v>
      </c>
      <c r="C91" s="219" t="s">
        <v>1129</v>
      </c>
      <c r="D91" s="216" t="s">
        <v>393</v>
      </c>
      <c r="E91" s="197"/>
      <c r="F91" s="166" t="s">
        <v>620</v>
      </c>
      <c r="G91" s="217" t="s">
        <v>643</v>
      </c>
      <c r="H91" s="197"/>
      <c r="I91" s="218"/>
      <c r="J91" s="218">
        <v>500</v>
      </c>
      <c r="K91" s="262">
        <v>0.03</v>
      </c>
      <c r="L91" s="197"/>
      <c r="M91" s="250" t="s">
        <v>824</v>
      </c>
      <c r="N91" s="250" t="s">
        <v>931</v>
      </c>
    </row>
    <row r="92" spans="1:14" ht="22.8">
      <c r="A92" s="174" t="s">
        <v>1130</v>
      </c>
      <c r="B92" s="248" t="s">
        <v>949</v>
      </c>
      <c r="C92" s="219" t="s">
        <v>1131</v>
      </c>
      <c r="D92" s="216" t="s">
        <v>393</v>
      </c>
      <c r="E92" s="197"/>
      <c r="F92" s="166" t="s">
        <v>620</v>
      </c>
      <c r="G92" s="217" t="s">
        <v>643</v>
      </c>
      <c r="H92" s="197"/>
      <c r="I92" s="218"/>
      <c r="J92" s="218">
        <v>2000</v>
      </c>
      <c r="K92" s="262">
        <v>0.03</v>
      </c>
      <c r="L92" s="250" t="s">
        <v>1188</v>
      </c>
      <c r="M92" s="250" t="s">
        <v>824</v>
      </c>
      <c r="N92" s="250" t="s">
        <v>931</v>
      </c>
    </row>
    <row r="93" spans="1:14" ht="22.8">
      <c r="A93" s="174" t="s">
        <v>1132</v>
      </c>
      <c r="B93" s="248" t="s">
        <v>949</v>
      </c>
      <c r="C93" s="219" t="s">
        <v>1133</v>
      </c>
      <c r="D93" s="216" t="s">
        <v>393</v>
      </c>
      <c r="E93" s="197"/>
      <c r="F93" s="166" t="s">
        <v>620</v>
      </c>
      <c r="G93" s="217" t="s">
        <v>643</v>
      </c>
      <c r="H93" s="197"/>
      <c r="I93" s="218"/>
      <c r="J93" s="218">
        <v>10000</v>
      </c>
      <c r="K93" s="262">
        <v>0.04</v>
      </c>
      <c r="L93" s="197"/>
      <c r="M93" s="250" t="s">
        <v>824</v>
      </c>
      <c r="N93" s="250" t="s">
        <v>931</v>
      </c>
    </row>
    <row r="94" spans="1:14" ht="22.8">
      <c r="A94" s="174" t="s">
        <v>1134</v>
      </c>
      <c r="B94" s="248" t="s">
        <v>949</v>
      </c>
      <c r="C94" s="219" t="s">
        <v>1135</v>
      </c>
      <c r="D94" s="216" t="s">
        <v>393</v>
      </c>
      <c r="E94" s="197"/>
      <c r="F94" s="166" t="s">
        <v>620</v>
      </c>
      <c r="G94" s="217" t="s">
        <v>643</v>
      </c>
      <c r="H94" s="197"/>
      <c r="I94" s="218"/>
      <c r="J94" s="218">
        <v>900</v>
      </c>
      <c r="K94" s="262">
        <v>0.04</v>
      </c>
      <c r="L94" s="197"/>
      <c r="M94" s="250" t="s">
        <v>894</v>
      </c>
      <c r="N94" s="250" t="s">
        <v>931</v>
      </c>
    </row>
    <row r="95" spans="1:14" ht="22.8">
      <c r="A95" s="174" t="s">
        <v>1136</v>
      </c>
      <c r="B95" s="248" t="s">
        <v>949</v>
      </c>
      <c r="C95" s="219" t="s">
        <v>1137</v>
      </c>
      <c r="D95" s="216" t="s">
        <v>393</v>
      </c>
      <c r="E95" s="197"/>
      <c r="F95" s="166" t="s">
        <v>620</v>
      </c>
      <c r="G95" s="217" t="s">
        <v>643</v>
      </c>
      <c r="H95" s="197"/>
      <c r="I95" s="218"/>
      <c r="J95" s="218">
        <v>18000</v>
      </c>
      <c r="K95" s="262">
        <v>0.05</v>
      </c>
      <c r="L95" s="197"/>
      <c r="M95" s="250" t="s">
        <v>910</v>
      </c>
      <c r="N95" s="250" t="s">
        <v>931</v>
      </c>
    </row>
    <row r="96" spans="1:14" ht="22.8">
      <c r="A96" s="174" t="s">
        <v>1138</v>
      </c>
      <c r="B96" s="248" t="s">
        <v>949</v>
      </c>
      <c r="C96" s="219" t="s">
        <v>1139</v>
      </c>
      <c r="D96" s="216" t="s">
        <v>396</v>
      </c>
      <c r="E96" s="197"/>
      <c r="F96" s="166" t="s">
        <v>620</v>
      </c>
      <c r="G96" s="217" t="s">
        <v>643</v>
      </c>
      <c r="H96" s="197"/>
      <c r="I96" s="217"/>
      <c r="J96" s="218">
        <v>14000</v>
      </c>
      <c r="K96" s="251">
        <v>0.25</v>
      </c>
      <c r="L96" s="197"/>
      <c r="M96" s="250" t="s">
        <v>910</v>
      </c>
      <c r="N96" s="250" t="s">
        <v>931</v>
      </c>
    </row>
    <row r="97" spans="1:14" ht="22.8">
      <c r="A97" s="174" t="s">
        <v>1140</v>
      </c>
      <c r="B97" s="248" t="s">
        <v>949</v>
      </c>
      <c r="C97" s="219" t="s">
        <v>1141</v>
      </c>
      <c r="D97" s="216" t="s">
        <v>396</v>
      </c>
      <c r="E97" s="197"/>
      <c r="F97" s="166" t="s">
        <v>620</v>
      </c>
      <c r="G97" s="217" t="s">
        <v>643</v>
      </c>
      <c r="H97" s="197"/>
      <c r="I97" s="218"/>
      <c r="J97" s="218">
        <v>3600</v>
      </c>
      <c r="K97" s="251">
        <v>0.25</v>
      </c>
      <c r="L97" s="197"/>
      <c r="M97" s="250" t="s">
        <v>910</v>
      </c>
      <c r="N97" s="250" t="s">
        <v>931</v>
      </c>
    </row>
    <row r="98" spans="1:14" ht="34.200000000000003">
      <c r="A98" s="175" t="s">
        <v>1142</v>
      </c>
      <c r="B98" s="252" t="s">
        <v>949</v>
      </c>
      <c r="C98" s="253" t="s">
        <v>1143</v>
      </c>
      <c r="D98" s="220" t="s">
        <v>1144</v>
      </c>
      <c r="E98" s="199"/>
      <c r="F98" s="167" t="s">
        <v>626</v>
      </c>
      <c r="G98" s="221" t="s">
        <v>643</v>
      </c>
      <c r="H98" s="254" t="s">
        <v>692</v>
      </c>
      <c r="I98" s="221"/>
      <c r="J98" s="255">
        <v>600</v>
      </c>
      <c r="K98" s="265">
        <v>0.08</v>
      </c>
      <c r="L98" s="199"/>
      <c r="M98" s="269" t="s">
        <v>893</v>
      </c>
      <c r="N98" s="269" t="s">
        <v>931</v>
      </c>
    </row>
    <row r="99" spans="1:14" ht="57">
      <c r="A99" s="175" t="s">
        <v>1145</v>
      </c>
      <c r="B99" s="252" t="s">
        <v>949</v>
      </c>
      <c r="C99" s="253" t="s">
        <v>1146</v>
      </c>
      <c r="D99" s="220" t="s">
        <v>1144</v>
      </c>
      <c r="E99" s="199"/>
      <c r="F99" s="167" t="s">
        <v>626</v>
      </c>
      <c r="G99" s="221" t="s">
        <v>643</v>
      </c>
      <c r="H99" s="254" t="s">
        <v>702</v>
      </c>
      <c r="I99" s="221"/>
      <c r="J99" s="255">
        <v>100</v>
      </c>
      <c r="K99" s="265">
        <v>0.08</v>
      </c>
      <c r="L99" s="199"/>
      <c r="M99" s="269" t="s">
        <v>893</v>
      </c>
      <c r="N99" s="269" t="s">
        <v>931</v>
      </c>
    </row>
    <row r="100" spans="1:14" ht="45.6">
      <c r="A100" s="175" t="s">
        <v>1147</v>
      </c>
      <c r="B100" s="252" t="s">
        <v>949</v>
      </c>
      <c r="C100" s="198" t="s">
        <v>1148</v>
      </c>
      <c r="D100" s="220" t="s">
        <v>1144</v>
      </c>
      <c r="E100" s="199"/>
      <c r="F100" s="167" t="s">
        <v>626</v>
      </c>
      <c r="G100" s="221" t="s">
        <v>643</v>
      </c>
      <c r="H100" s="254" t="s">
        <v>704</v>
      </c>
      <c r="I100" s="221"/>
      <c r="J100" s="255">
        <v>500</v>
      </c>
      <c r="K100" s="265">
        <v>0.09</v>
      </c>
      <c r="L100" s="199"/>
      <c r="M100" s="269" t="s">
        <v>893</v>
      </c>
      <c r="N100" s="269" t="s">
        <v>931</v>
      </c>
    </row>
    <row r="101" spans="1:14">
      <c r="A101" s="175" t="s">
        <v>1149</v>
      </c>
      <c r="B101" s="252"/>
      <c r="C101" s="253" t="s">
        <v>1150</v>
      </c>
      <c r="D101" s="220" t="s">
        <v>423</v>
      </c>
      <c r="E101" s="199"/>
      <c r="F101" s="167" t="s">
        <v>626</v>
      </c>
      <c r="G101" s="221"/>
      <c r="H101" s="254"/>
      <c r="I101" s="221"/>
      <c r="J101" s="255"/>
      <c r="K101" s="256">
        <v>0.25</v>
      </c>
      <c r="L101" s="199"/>
      <c r="M101" s="269" t="s">
        <v>893</v>
      </c>
      <c r="N101" s="269" t="s">
        <v>932</v>
      </c>
    </row>
    <row r="102" spans="1:14" ht="24">
      <c r="A102" s="175" t="s">
        <v>1151</v>
      </c>
      <c r="B102" s="252"/>
      <c r="C102" s="253" t="s">
        <v>1152</v>
      </c>
      <c r="D102" s="220" t="s">
        <v>427</v>
      </c>
      <c r="E102" s="199"/>
      <c r="F102" s="167" t="s">
        <v>626</v>
      </c>
      <c r="G102" s="221"/>
      <c r="H102" s="254"/>
      <c r="I102" s="221"/>
      <c r="J102" s="255"/>
      <c r="K102" s="256">
        <v>0.5</v>
      </c>
      <c r="L102" s="199"/>
      <c r="M102" s="269" t="s">
        <v>880</v>
      </c>
      <c r="N102" s="269" t="s">
        <v>932</v>
      </c>
    </row>
    <row r="103" spans="1:14" ht="36">
      <c r="A103" s="175" t="s">
        <v>1153</v>
      </c>
      <c r="B103" s="252"/>
      <c r="C103" s="198" t="s">
        <v>1154</v>
      </c>
      <c r="D103" s="220" t="s">
        <v>431</v>
      </c>
      <c r="E103" s="199"/>
      <c r="F103" s="167" t="s">
        <v>626</v>
      </c>
      <c r="G103" s="221" t="s">
        <v>648</v>
      </c>
      <c r="H103" s="254"/>
      <c r="I103" s="221"/>
      <c r="J103" s="255">
        <v>1000000</v>
      </c>
      <c r="K103" s="256">
        <v>0.5</v>
      </c>
      <c r="L103" s="199"/>
      <c r="M103" s="269" t="s">
        <v>880</v>
      </c>
      <c r="N103" s="269" t="s">
        <v>932</v>
      </c>
    </row>
    <row r="104" spans="1:14" ht="36">
      <c r="A104" s="175" t="s">
        <v>1155</v>
      </c>
      <c r="B104" s="252"/>
      <c r="C104" s="198" t="s">
        <v>1156</v>
      </c>
      <c r="D104" s="220" t="s">
        <v>442</v>
      </c>
      <c r="E104" s="199"/>
      <c r="F104" s="167" t="s">
        <v>626</v>
      </c>
      <c r="G104" s="221" t="s">
        <v>645</v>
      </c>
      <c r="H104" s="254"/>
      <c r="I104" s="221"/>
      <c r="J104" s="255">
        <v>103775.8</v>
      </c>
      <c r="K104" s="265">
        <v>0.09</v>
      </c>
      <c r="L104" s="199"/>
      <c r="M104" s="269" t="s">
        <v>811</v>
      </c>
      <c r="N104" s="269" t="s">
        <v>932</v>
      </c>
    </row>
    <row r="105" spans="1:14" ht="22.8">
      <c r="A105" s="175" t="s">
        <v>1157</v>
      </c>
      <c r="B105" s="252"/>
      <c r="C105" s="198" t="s">
        <v>1158</v>
      </c>
      <c r="D105" s="220" t="s">
        <v>442</v>
      </c>
      <c r="E105" s="199"/>
      <c r="F105" s="167" t="s">
        <v>626</v>
      </c>
      <c r="G105" s="221" t="s">
        <v>630</v>
      </c>
      <c r="H105" s="254"/>
      <c r="I105" s="221"/>
      <c r="J105" s="255"/>
      <c r="K105" s="266">
        <v>8</v>
      </c>
      <c r="L105" s="199"/>
      <c r="M105" s="269" t="s">
        <v>811</v>
      </c>
      <c r="N105" s="269" t="s">
        <v>932</v>
      </c>
    </row>
    <row r="106" spans="1:14" ht="91.2">
      <c r="A106" s="175" t="s">
        <v>1159</v>
      </c>
      <c r="B106" s="252" t="s">
        <v>949</v>
      </c>
      <c r="C106" s="198" t="s">
        <v>1160</v>
      </c>
      <c r="D106" s="198" t="s">
        <v>442</v>
      </c>
      <c r="E106" s="199"/>
      <c r="F106" s="167" t="s">
        <v>626</v>
      </c>
      <c r="G106" s="221" t="s">
        <v>643</v>
      </c>
      <c r="H106" s="254" t="s">
        <v>722</v>
      </c>
      <c r="I106" s="200"/>
      <c r="J106" s="255">
        <v>1000</v>
      </c>
      <c r="K106" s="267">
        <v>8</v>
      </c>
      <c r="L106" s="199"/>
      <c r="M106" s="269" t="s">
        <v>811</v>
      </c>
      <c r="N106" s="269" t="s">
        <v>931</v>
      </c>
    </row>
    <row r="107" spans="1:14" ht="68.400000000000006">
      <c r="A107" s="175" t="s">
        <v>1161</v>
      </c>
      <c r="B107" s="252" t="s">
        <v>949</v>
      </c>
      <c r="C107" s="198" t="s">
        <v>1162</v>
      </c>
      <c r="D107" s="220" t="s">
        <v>444</v>
      </c>
      <c r="E107" s="199"/>
      <c r="F107" s="167" t="s">
        <v>626</v>
      </c>
      <c r="G107" s="221" t="s">
        <v>643</v>
      </c>
      <c r="H107" s="254" t="s">
        <v>662</v>
      </c>
      <c r="I107" s="221"/>
      <c r="J107" s="255">
        <v>800</v>
      </c>
      <c r="K107" s="268">
        <v>0.02</v>
      </c>
      <c r="L107" s="199"/>
      <c r="M107" s="269" t="s">
        <v>893</v>
      </c>
      <c r="N107" s="269" t="s">
        <v>932</v>
      </c>
    </row>
    <row r="108" spans="1:14" ht="91.2">
      <c r="A108" s="175" t="s">
        <v>1163</v>
      </c>
      <c r="B108" s="252" t="s">
        <v>949</v>
      </c>
      <c r="C108" s="198" t="s">
        <v>1164</v>
      </c>
      <c r="D108" s="220" t="s">
        <v>444</v>
      </c>
      <c r="E108" s="199"/>
      <c r="F108" s="167" t="s">
        <v>626</v>
      </c>
      <c r="G108" s="221" t="s">
        <v>643</v>
      </c>
      <c r="H108" s="254" t="s">
        <v>666</v>
      </c>
      <c r="I108" s="221"/>
      <c r="J108" s="255">
        <v>8000</v>
      </c>
      <c r="K108" s="268">
        <v>0.02</v>
      </c>
      <c r="L108" s="199"/>
      <c r="M108" s="269" t="s">
        <v>880</v>
      </c>
      <c r="N108" s="269" t="s">
        <v>931</v>
      </c>
    </row>
    <row r="109" spans="1:14" ht="91.2">
      <c r="A109" s="175" t="s">
        <v>1165</v>
      </c>
      <c r="B109" s="252" t="s">
        <v>949</v>
      </c>
      <c r="C109" s="198" t="s">
        <v>1166</v>
      </c>
      <c r="D109" s="220" t="s">
        <v>444</v>
      </c>
      <c r="E109" s="199"/>
      <c r="F109" s="167" t="s">
        <v>626</v>
      </c>
      <c r="G109" s="221" t="s">
        <v>643</v>
      </c>
      <c r="H109" s="254" t="s">
        <v>666</v>
      </c>
      <c r="I109" s="221"/>
      <c r="J109" s="255">
        <v>500</v>
      </c>
      <c r="K109" s="268">
        <v>0.02</v>
      </c>
      <c r="L109" s="199"/>
      <c r="M109" s="269" t="s">
        <v>811</v>
      </c>
      <c r="N109" s="269" t="s">
        <v>931</v>
      </c>
    </row>
    <row r="110" spans="1:14" ht="57">
      <c r="A110" s="175" t="s">
        <v>1167</v>
      </c>
      <c r="B110" s="252" t="s">
        <v>949</v>
      </c>
      <c r="C110" s="198" t="s">
        <v>1168</v>
      </c>
      <c r="D110" s="220" t="s">
        <v>444</v>
      </c>
      <c r="E110" s="199"/>
      <c r="F110" s="167" t="s">
        <v>626</v>
      </c>
      <c r="G110" s="221" t="s">
        <v>643</v>
      </c>
      <c r="H110" s="254" t="s">
        <v>672</v>
      </c>
      <c r="I110" s="221"/>
      <c r="J110" s="255">
        <v>275</v>
      </c>
      <c r="K110" s="268">
        <v>0.02</v>
      </c>
      <c r="L110" s="199"/>
      <c r="M110" s="269" t="s">
        <v>893</v>
      </c>
      <c r="N110" s="269" t="s">
        <v>931</v>
      </c>
    </row>
    <row r="111" spans="1:14" ht="57">
      <c r="A111" s="175" t="s">
        <v>1169</v>
      </c>
      <c r="B111" s="252" t="s">
        <v>949</v>
      </c>
      <c r="C111" s="198" t="s">
        <v>1170</v>
      </c>
      <c r="D111" s="220" t="s">
        <v>444</v>
      </c>
      <c r="E111" s="199"/>
      <c r="F111" s="167" t="s">
        <v>626</v>
      </c>
      <c r="G111" s="221" t="s">
        <v>643</v>
      </c>
      <c r="H111" s="254" t="s">
        <v>678</v>
      </c>
      <c r="I111" s="221"/>
      <c r="J111" s="255">
        <v>6000</v>
      </c>
      <c r="K111" s="268">
        <v>0.02</v>
      </c>
      <c r="L111" s="199"/>
      <c r="M111" s="269" t="s">
        <v>893</v>
      </c>
      <c r="N111" s="269" t="s">
        <v>931</v>
      </c>
    </row>
    <row r="112" spans="1:14" ht="57">
      <c r="A112" s="175" t="s">
        <v>1171</v>
      </c>
      <c r="B112" s="252" t="s">
        <v>949</v>
      </c>
      <c r="C112" s="198" t="s">
        <v>1172</v>
      </c>
      <c r="D112" s="220" t="s">
        <v>444</v>
      </c>
      <c r="E112" s="199"/>
      <c r="F112" s="167" t="s">
        <v>626</v>
      </c>
      <c r="G112" s="221" t="s">
        <v>643</v>
      </c>
      <c r="H112" s="254" t="s">
        <v>678</v>
      </c>
      <c r="I112" s="221"/>
      <c r="J112" s="255">
        <v>400</v>
      </c>
      <c r="K112" s="268">
        <v>0.02</v>
      </c>
      <c r="L112" s="199"/>
      <c r="M112" s="269" t="s">
        <v>811</v>
      </c>
      <c r="N112" s="269" t="s">
        <v>931</v>
      </c>
    </row>
    <row r="113" spans="1:14" ht="34.200000000000003">
      <c r="A113" s="175" t="s">
        <v>1173</v>
      </c>
      <c r="B113" s="252" t="s">
        <v>949</v>
      </c>
      <c r="C113" s="198" t="s">
        <v>1174</v>
      </c>
      <c r="D113" s="220" t="s">
        <v>444</v>
      </c>
      <c r="E113" s="199"/>
      <c r="F113" s="167" t="s">
        <v>626</v>
      </c>
      <c r="G113" s="221" t="s">
        <v>643</v>
      </c>
      <c r="H113" s="254" t="s">
        <v>682</v>
      </c>
      <c r="I113" s="221"/>
      <c r="J113" s="255">
        <v>200</v>
      </c>
      <c r="K113" s="268">
        <v>0.02</v>
      </c>
      <c r="L113" s="199"/>
      <c r="M113" s="269" t="s">
        <v>893</v>
      </c>
      <c r="N113" s="269" t="s">
        <v>931</v>
      </c>
    </row>
    <row r="114" spans="1:14" ht="45.6">
      <c r="A114" s="175" t="s">
        <v>1175</v>
      </c>
      <c r="B114" s="252" t="s">
        <v>949</v>
      </c>
      <c r="C114" s="198" t="s">
        <v>1176</v>
      </c>
      <c r="D114" s="220" t="s">
        <v>444</v>
      </c>
      <c r="E114" s="199"/>
      <c r="F114" s="167" t="s">
        <v>626</v>
      </c>
      <c r="G114" s="221" t="s">
        <v>643</v>
      </c>
      <c r="H114" s="254" t="s">
        <v>686</v>
      </c>
      <c r="I114" s="221"/>
      <c r="J114" s="255">
        <v>150</v>
      </c>
      <c r="K114" s="268">
        <v>0.02</v>
      </c>
      <c r="L114" s="199"/>
      <c r="M114" s="269" t="s">
        <v>893</v>
      </c>
      <c r="N114" s="269" t="s">
        <v>931</v>
      </c>
    </row>
    <row r="115" spans="1:14" ht="22.8">
      <c r="A115" s="175" t="s">
        <v>1177</v>
      </c>
      <c r="B115" s="252" t="s">
        <v>949</v>
      </c>
      <c r="C115" s="198" t="s">
        <v>1178</v>
      </c>
      <c r="D115" s="198" t="s">
        <v>444</v>
      </c>
      <c r="E115" s="199"/>
      <c r="F115" s="167" t="s">
        <v>626</v>
      </c>
      <c r="G115" s="221" t="s">
        <v>643</v>
      </c>
      <c r="H115" s="254" t="s">
        <v>680</v>
      </c>
      <c r="I115" s="200"/>
      <c r="J115" s="255">
        <v>4000</v>
      </c>
      <c r="K115" s="268">
        <v>0.03</v>
      </c>
      <c r="L115" s="199"/>
      <c r="M115" s="269" t="s">
        <v>811</v>
      </c>
      <c r="N115" s="269" t="s">
        <v>932</v>
      </c>
    </row>
    <row r="116" spans="1:14" ht="57">
      <c r="A116" s="175" t="s">
        <v>1179</v>
      </c>
      <c r="B116" s="252" t="s">
        <v>949</v>
      </c>
      <c r="C116" s="198" t="s">
        <v>1180</v>
      </c>
      <c r="D116" s="198" t="s">
        <v>444</v>
      </c>
      <c r="E116" s="199"/>
      <c r="F116" s="167" t="s">
        <v>626</v>
      </c>
      <c r="G116" s="221" t="s">
        <v>643</v>
      </c>
      <c r="H116" s="254" t="s">
        <v>729</v>
      </c>
      <c r="I116" s="200"/>
      <c r="J116" s="255">
        <v>1200</v>
      </c>
      <c r="K116" s="268">
        <v>0.03</v>
      </c>
      <c r="L116" s="199"/>
      <c r="M116" s="269" t="s">
        <v>893</v>
      </c>
      <c r="N116" s="269" t="s">
        <v>931</v>
      </c>
    </row>
    <row r="117" spans="1:14" ht="45.6">
      <c r="A117" s="175" t="s">
        <v>1181</v>
      </c>
      <c r="B117" s="252" t="s">
        <v>949</v>
      </c>
      <c r="C117" s="198" t="s">
        <v>1182</v>
      </c>
      <c r="D117" s="220" t="s">
        <v>444</v>
      </c>
      <c r="E117" s="199"/>
      <c r="F117" s="167" t="s">
        <v>626</v>
      </c>
      <c r="G117" s="221" t="s">
        <v>643</v>
      </c>
      <c r="H117" s="254" t="s">
        <v>686</v>
      </c>
      <c r="I117" s="200"/>
      <c r="J117" s="255">
        <v>600</v>
      </c>
      <c r="K117" s="268">
        <v>0.03</v>
      </c>
      <c r="L117" s="199"/>
      <c r="M117" s="269" t="s">
        <v>811</v>
      </c>
      <c r="N117" s="269" t="s">
        <v>932</v>
      </c>
    </row>
    <row r="118" spans="1:14">
      <c r="J118" s="272">
        <f>SUM(J4:J117)</f>
        <v>7154060.1499999994</v>
      </c>
    </row>
  </sheetData>
  <protectedRanges>
    <protectedRange sqref="C46" name="Interval1"/>
    <protectedRange sqref="C4" name="Interval1_2"/>
    <protectedRange sqref="C5" name="Interval1_3"/>
    <protectedRange sqref="C8" name="Interval1_4"/>
    <protectedRange sqref="C16" name="Interval1_6"/>
    <protectedRange sqref="C14" name="Interval1_7"/>
    <protectedRange sqref="C17" name="Interval1_8"/>
    <protectedRange sqref="C18:C20" name="Interval1_9"/>
    <protectedRange sqref="C21:C25" name="Interval1_10"/>
    <protectedRange sqref="C26 C28 C30:C34" name="Interval1_11"/>
    <protectedRange sqref="C41:C42" name="Interval1_12"/>
    <protectedRange sqref="C11" name="Interval1_13"/>
    <protectedRange sqref="C36:C37" name="Interval1_14"/>
    <protectedRange sqref="C38" name="Interval1_15"/>
    <protectedRange sqref="C63" name="Interval1_16"/>
    <protectedRange sqref="C15 C49:C50" name="Interval1_17"/>
    <protectedRange sqref="C64" name="Interval1_18"/>
    <protectedRange sqref="C29 C35" name="Interval1_19"/>
    <protectedRange sqref="C45" name="Interval1_20"/>
    <protectedRange sqref="C48" name="Interval1_21"/>
    <protectedRange sqref="C77 C89" name="Interval1_29"/>
    <protectedRange sqref="C90 C96" name="Interval1_30"/>
    <protectedRange sqref="C91 C78" name="Interval1_31"/>
    <protectedRange sqref="C88" name="Interval1_32"/>
    <protectedRange sqref="C93:C95" name="Interval1_33"/>
    <protectedRange sqref="C97" name="Interval1_34"/>
    <protectedRange sqref="C92 C79" name="Interval1_35"/>
    <protectedRange sqref="C107" name="Interval1_46"/>
    <protectedRange sqref="C108:C110" name="Interval1_47"/>
    <protectedRange sqref="C111:C112 C65" name="Interval1_48"/>
    <protectedRange sqref="C98 C113:C114" name="Interval1_49"/>
    <protectedRange sqref="C99:C100" name="Interval1_50"/>
    <protectedRange sqref="C115" name="Interval1_51"/>
    <protectedRange sqref="C67 C51" name="Interval1_52"/>
    <protectedRange sqref="C106" name="Interval1_53"/>
    <protectedRange sqref="C116" name="Interval1_55"/>
    <protectedRange sqref="C69" name="Interval1_56"/>
    <protectedRange sqref="C70" name="Interval1_58"/>
    <protectedRange sqref="C71:C73" name="Interval1_59"/>
    <protectedRange sqref="C74" name="Interval1_60"/>
    <protectedRange sqref="C75" name="Interval1_61"/>
  </protectedRanges>
  <autoFilter ref="A3:N118"/>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1">
        <x14:dataValidation type="list" allowBlank="1" showInputMessage="1" showErrorMessage="1">
          <x14:formula1>
            <xm:f>Llistes!$B$2:$B$15</xm:f>
          </x14:formula1>
          <xm:sqref>G1:G3 G118:G1048576</xm:sqref>
        </x14:dataValidation>
        <x14:dataValidation type="list" allowBlank="1" showInputMessage="1" showErrorMessage="1">
          <x14:formula1>
            <xm:f>Llistes!$C$2:$C$19</xm:f>
          </x14:formula1>
          <xm:sqref>I1:I3 I118:I1048576</xm:sqref>
        </x14:dataValidation>
        <x14:dataValidation type="list" allowBlank="1" showInputMessage="1" showErrorMessage="1">
          <x14:formula1>
            <xm:f>Llistes!$G$3:$G$38</xm:f>
          </x14:formula1>
          <xm:sqref>H1:H3 H118:H1048576</xm:sqref>
        </x14:dataValidation>
        <x14:dataValidation type="list" allowBlank="1" showInputMessage="1" showErrorMessage="1">
          <x14:formula1>
            <xm:f>Llistes!$E$2:$E$8</xm:f>
          </x14:formula1>
          <xm:sqref>F1:F3 F118:F1048576</xm:sqref>
        </x14:dataValidation>
        <x14:dataValidation type="list" allowBlank="1" showInputMessage="1" showErrorMessage="1" errorTitle="Seleccioneu un parc del llistat" error="Seleccioneu un parc del llistat per tal de poder veure els possibles gestors responsables">
          <x14:formula1>
            <xm:f>Gestors!$A$2:$A$15</xm:f>
          </x14:formula1>
          <xm:sqref>N1</xm:sqref>
        </x14:dataValidation>
        <x14:dataValidation type="list" allowBlank="1" showInputMessage="1" showErrorMessage="1" errorTitle="Camp obligatori" error="Aquest camp és obligatori i ha de respondre's &quot;Sí&quot; o &quot;No&quot;">
          <x14:formula1>
            <xm:f>Llistes!$K$2:$K$3</xm:f>
          </x14:formula1>
          <xm:sqref>N4:N1048576</xm:sqref>
        </x14:dataValidation>
        <x14:dataValidation type="list" allowBlank="1" showInputMessage="1" showErrorMessage="1">
          <x14:formula1>
            <xm:f>INDIRECT(VLOOKUP($N$1,Gestors!$A$1:$B$15,2,FALSE))</xm:f>
          </x14:formula1>
          <xm:sqref>M118:M1048576</xm:sqref>
        </x14:dataValidation>
        <x14:dataValidation type="list" allowBlank="1" showInputMessage="1" showErrorMessage="1">
          <x14:formula1>
            <xm:f>'PLA ESTRATÈGIC'!$F$5:$F$185</xm:f>
          </x14:formula1>
          <xm:sqref>D118:D1048576</xm:sqref>
        </x14:dataValidation>
        <x14:dataValidation type="list" allowBlank="1" showInputMessage="1" showErrorMessage="1">
          <x14:formula1>
            <xm:f>'X:\04476\PN_CAP DE CREUS\UO4500\Àrea de DIRECCIÓ\PROGRAMES D''ACTUACIÓ\Programa actuació 2026\[Programa actuacions del Pla Estrategic PNCC_2026.xlsx]Llistes'!#REF!</xm:f>
          </x14:formula1>
          <xm:sqref>I4:I13 H46 F63:G117 H39:H42 I63:I117 H77:H97 H101:H105 F4:H14 I48:I61 F48:G61 H61 H63 F15:G46 I17:I46 H16:H35 F47:I47 F62:I62</xm:sqref>
        </x14:dataValidation>
        <x14:dataValidation type="list" allowBlank="1" showInputMessage="1" showErrorMessage="1">
          <x14:formula1>
            <xm:f>'D:\40521698E\Desktop\[EsborranyPressupostPNCC2026.xlsx]Dades'!#REF!</xm:f>
          </x14:formula1>
          <xm:sqref>H36:H38 H15 H48:H50 H55:H60 H64:H67 H98:H100 H106:H116 H45 H69:H76</xm:sqref>
        </x14:dataValidation>
        <x14:dataValidation type="list" allowBlank="1" showInputMessage="1" showErrorMessage="1">
          <x14:formula1>
            <xm:f>Gestors!$G$2:$G$9</xm:f>
          </x14:formula1>
          <xm:sqref>M4:M117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86"/>
  <sheetViews>
    <sheetView showGridLines="0" zoomScaleNormal="100" workbookViewId="0">
      <pane ySplit="4" topLeftCell="A175" activePane="bottomLeft" state="frozen"/>
      <selection pane="bottomLeft" activeCell="F5" sqref="F5"/>
    </sheetView>
  </sheetViews>
  <sheetFormatPr defaultColWidth="8.5546875" defaultRowHeight="14.4"/>
  <cols>
    <col min="1" max="1" width="22.88671875" style="95" customWidth="1"/>
    <col min="2" max="2" width="4" style="16" customWidth="1"/>
    <col min="3" max="3" width="34.109375" style="18" customWidth="1"/>
    <col min="4" max="4" width="7.44140625" style="14" customWidth="1"/>
    <col min="5" max="5" width="50" style="5" customWidth="1"/>
    <col min="6" max="6" width="7.88671875" style="7" customWidth="1"/>
    <col min="7" max="7" width="54.88671875" style="6" customWidth="1"/>
    <col min="8" max="8" width="15.44140625" style="15" customWidth="1"/>
    <col min="9" max="9" width="18.109375" style="15" customWidth="1"/>
    <col min="10" max="10" width="48.5546875" style="6" customWidth="1"/>
    <col min="11" max="11" width="30.88671875" style="15" hidden="1" customWidth="1"/>
    <col min="12" max="12" width="28.109375" style="16" hidden="1" customWidth="1"/>
    <col min="13" max="13" width="10.5546875" style="17" customWidth="1"/>
    <col min="14" max="14" width="56" style="18" customWidth="1"/>
    <col min="15" max="15" width="24.5546875" style="17" hidden="1" customWidth="1"/>
    <col min="16" max="16" width="47.5546875" style="19" hidden="1" customWidth="1"/>
    <col min="17" max="16384" width="8.5546875" style="3"/>
  </cols>
  <sheetData>
    <row r="1" spans="1:16" ht="18">
      <c r="A1" s="152" t="s">
        <v>623</v>
      </c>
      <c r="B1" s="153"/>
      <c r="C1" s="154"/>
      <c r="D1" s="155"/>
      <c r="E1" s="156"/>
    </row>
    <row r="2" spans="1:16" ht="18">
      <c r="A2" s="20"/>
      <c r="B2" s="21" t="s">
        <v>454</v>
      </c>
      <c r="C2" s="22"/>
      <c r="J2" s="96" t="s">
        <v>577</v>
      </c>
      <c r="K2" s="97"/>
      <c r="L2" s="98"/>
      <c r="M2" s="99"/>
      <c r="N2" s="100"/>
    </row>
    <row r="3" spans="1:16" ht="18">
      <c r="A3" s="20"/>
      <c r="B3" s="21"/>
      <c r="C3" s="23"/>
      <c r="J3" s="101"/>
      <c r="K3" s="97"/>
      <c r="L3" s="98"/>
      <c r="M3" s="99"/>
      <c r="N3" s="100"/>
    </row>
    <row r="4" spans="1:16" s="33" customFormat="1" ht="43.2">
      <c r="A4" s="24" t="s">
        <v>0</v>
      </c>
      <c r="B4" s="25"/>
      <c r="C4" s="26" t="s">
        <v>1</v>
      </c>
      <c r="D4" s="27"/>
      <c r="E4" s="26" t="s">
        <v>2</v>
      </c>
      <c r="F4" s="28"/>
      <c r="G4" s="28" t="s">
        <v>578</v>
      </c>
      <c r="H4" s="28" t="s">
        <v>446</v>
      </c>
      <c r="I4" s="29" t="s">
        <v>447</v>
      </c>
      <c r="J4" s="13" t="s">
        <v>579</v>
      </c>
      <c r="K4" s="12" t="s">
        <v>455</v>
      </c>
      <c r="L4" s="12" t="s">
        <v>456</v>
      </c>
      <c r="M4" s="30" t="s">
        <v>448</v>
      </c>
      <c r="N4" s="12" t="s">
        <v>457</v>
      </c>
      <c r="O4" s="31" t="s">
        <v>458</v>
      </c>
      <c r="P4" s="32" t="s">
        <v>459</v>
      </c>
    </row>
    <row r="5" spans="1:16" ht="72">
      <c r="A5" s="34" t="s">
        <v>4</v>
      </c>
      <c r="B5" s="35">
        <v>1</v>
      </c>
      <c r="C5" s="36" t="s">
        <v>5</v>
      </c>
      <c r="D5" s="102" t="s">
        <v>460</v>
      </c>
      <c r="E5" s="50" t="s">
        <v>6</v>
      </c>
      <c r="F5" s="37" t="s">
        <v>7</v>
      </c>
      <c r="G5" s="38" t="s">
        <v>8</v>
      </c>
      <c r="H5" s="39" t="s">
        <v>449</v>
      </c>
      <c r="I5" s="39" t="s">
        <v>461</v>
      </c>
      <c r="J5" s="40"/>
      <c r="K5" s="41"/>
      <c r="L5" s="42"/>
      <c r="M5" s="43"/>
      <c r="N5" s="42"/>
      <c r="O5" s="44" t="s">
        <v>462</v>
      </c>
      <c r="P5" s="45" t="s">
        <v>463</v>
      </c>
    </row>
    <row r="6" spans="1:16" ht="57.6">
      <c r="A6" s="34" t="s">
        <v>4</v>
      </c>
      <c r="B6" s="35">
        <v>1</v>
      </c>
      <c r="C6" s="36" t="s">
        <v>5</v>
      </c>
      <c r="D6" s="102" t="s">
        <v>460</v>
      </c>
      <c r="E6" s="50" t="s">
        <v>6</v>
      </c>
      <c r="F6" s="37" t="s">
        <v>9</v>
      </c>
      <c r="G6" s="38" t="s">
        <v>10</v>
      </c>
      <c r="H6" s="39" t="s">
        <v>449</v>
      </c>
      <c r="I6" s="39" t="s">
        <v>461</v>
      </c>
      <c r="J6" s="40"/>
      <c r="K6" s="41"/>
      <c r="L6" s="46"/>
      <c r="M6" s="43"/>
      <c r="N6" s="42"/>
      <c r="O6" s="44"/>
      <c r="P6" s="47"/>
    </row>
    <row r="7" spans="1:16" ht="57.6">
      <c r="A7" s="34" t="s">
        <v>4</v>
      </c>
      <c r="B7" s="35">
        <v>1</v>
      </c>
      <c r="C7" s="36" t="s">
        <v>5</v>
      </c>
      <c r="D7" s="103" t="s">
        <v>464</v>
      </c>
      <c r="E7" s="104" t="s">
        <v>11</v>
      </c>
      <c r="F7" s="39" t="s">
        <v>12</v>
      </c>
      <c r="G7" s="38" t="s">
        <v>13</v>
      </c>
      <c r="H7" s="39" t="s">
        <v>449</v>
      </c>
      <c r="I7" s="39" t="s">
        <v>450</v>
      </c>
      <c r="J7" s="40"/>
      <c r="K7" s="41"/>
      <c r="L7" s="46"/>
      <c r="M7" s="43"/>
      <c r="N7" s="42"/>
      <c r="O7" s="44" t="s">
        <v>465</v>
      </c>
      <c r="P7" s="45" t="s">
        <v>466</v>
      </c>
    </row>
    <row r="8" spans="1:16" ht="57.6">
      <c r="A8" s="34" t="s">
        <v>4</v>
      </c>
      <c r="B8" s="35">
        <v>1</v>
      </c>
      <c r="C8" s="36" t="s">
        <v>5</v>
      </c>
      <c r="D8" s="103" t="s">
        <v>464</v>
      </c>
      <c r="E8" s="104" t="s">
        <v>11</v>
      </c>
      <c r="F8" s="39" t="s">
        <v>14</v>
      </c>
      <c r="G8" s="38" t="s">
        <v>15</v>
      </c>
      <c r="H8" s="39" t="s">
        <v>449</v>
      </c>
      <c r="I8" s="39" t="s">
        <v>461</v>
      </c>
      <c r="J8" s="40"/>
      <c r="K8" s="41"/>
      <c r="L8" s="42"/>
      <c r="M8" s="43"/>
      <c r="N8" s="42"/>
      <c r="O8" s="48" t="s">
        <v>467</v>
      </c>
      <c r="P8" s="45" t="s">
        <v>468</v>
      </c>
    </row>
    <row r="9" spans="1:16" ht="57.6">
      <c r="A9" s="34" t="s">
        <v>4</v>
      </c>
      <c r="B9" s="35">
        <v>1</v>
      </c>
      <c r="C9" s="36" t="s">
        <v>5</v>
      </c>
      <c r="D9" s="103" t="s">
        <v>464</v>
      </c>
      <c r="E9" s="104" t="s">
        <v>11</v>
      </c>
      <c r="F9" s="39" t="s">
        <v>16</v>
      </c>
      <c r="G9" s="38" t="s">
        <v>17</v>
      </c>
      <c r="H9" s="39" t="s">
        <v>449</v>
      </c>
      <c r="I9" s="39" t="s">
        <v>461</v>
      </c>
      <c r="J9" s="40"/>
      <c r="K9" s="41"/>
      <c r="L9" s="42"/>
      <c r="M9" s="43"/>
      <c r="N9" s="42"/>
      <c r="O9" s="48" t="s">
        <v>469</v>
      </c>
      <c r="P9" s="45" t="s">
        <v>470</v>
      </c>
    </row>
    <row r="10" spans="1:16" ht="57.6">
      <c r="A10" s="34" t="s">
        <v>4</v>
      </c>
      <c r="B10" s="35">
        <v>1</v>
      </c>
      <c r="C10" s="36" t="s">
        <v>5</v>
      </c>
      <c r="D10" s="103" t="s">
        <v>464</v>
      </c>
      <c r="E10" s="104" t="s">
        <v>11</v>
      </c>
      <c r="F10" s="39" t="s">
        <v>18</v>
      </c>
      <c r="G10" s="38" t="s">
        <v>19</v>
      </c>
      <c r="H10" s="39" t="s">
        <v>451</v>
      </c>
      <c r="I10" s="39" t="s">
        <v>471</v>
      </c>
      <c r="J10" s="40"/>
      <c r="K10" s="41"/>
      <c r="L10" s="42"/>
      <c r="M10" s="43"/>
      <c r="N10" s="42"/>
      <c r="O10" s="48"/>
      <c r="P10" s="45"/>
    </row>
    <row r="11" spans="1:16" ht="29.1" customHeight="1">
      <c r="A11" s="34" t="s">
        <v>4</v>
      </c>
      <c r="B11" s="35">
        <v>1</v>
      </c>
      <c r="C11" s="36" t="s">
        <v>5</v>
      </c>
      <c r="D11" s="102" t="s">
        <v>472</v>
      </c>
      <c r="E11" s="50" t="s">
        <v>20</v>
      </c>
      <c r="F11" s="37" t="s">
        <v>21</v>
      </c>
      <c r="G11" s="38" t="s">
        <v>22</v>
      </c>
      <c r="H11" s="39" t="s">
        <v>449</v>
      </c>
      <c r="I11" s="39" t="s">
        <v>461</v>
      </c>
      <c r="J11" s="40"/>
      <c r="K11" s="41"/>
      <c r="L11" s="42"/>
      <c r="M11" s="43"/>
      <c r="N11" s="42"/>
      <c r="O11" s="44" t="s">
        <v>465</v>
      </c>
      <c r="P11" s="45" t="s">
        <v>473</v>
      </c>
    </row>
    <row r="12" spans="1:16" ht="57.6">
      <c r="A12" s="34" t="s">
        <v>4</v>
      </c>
      <c r="B12" s="35">
        <v>1</v>
      </c>
      <c r="C12" s="36" t="s">
        <v>5</v>
      </c>
      <c r="D12" s="102" t="s">
        <v>472</v>
      </c>
      <c r="E12" s="50" t="s">
        <v>20</v>
      </c>
      <c r="F12" s="37" t="s">
        <v>23</v>
      </c>
      <c r="G12" s="38" t="s">
        <v>24</v>
      </c>
      <c r="H12" s="39" t="s">
        <v>451</v>
      </c>
      <c r="I12" s="39" t="s">
        <v>471</v>
      </c>
      <c r="J12" s="40"/>
      <c r="K12" s="41"/>
      <c r="L12" s="42"/>
      <c r="M12" s="43"/>
      <c r="N12" s="42"/>
      <c r="O12" s="44" t="s">
        <v>462</v>
      </c>
      <c r="P12" s="45" t="s">
        <v>473</v>
      </c>
    </row>
    <row r="13" spans="1:16" ht="57.6">
      <c r="A13" s="34" t="s">
        <v>4</v>
      </c>
      <c r="B13" s="35">
        <v>1</v>
      </c>
      <c r="C13" s="36" t="s">
        <v>5</v>
      </c>
      <c r="D13" s="102" t="s">
        <v>472</v>
      </c>
      <c r="E13" s="50" t="s">
        <v>20</v>
      </c>
      <c r="F13" s="37" t="s">
        <v>25</v>
      </c>
      <c r="G13" s="38" t="s">
        <v>26</v>
      </c>
      <c r="H13" s="39" t="s">
        <v>451</v>
      </c>
      <c r="I13" s="39" t="s">
        <v>471</v>
      </c>
      <c r="J13" s="40"/>
      <c r="K13" s="41"/>
      <c r="L13" s="42"/>
      <c r="M13" s="43"/>
      <c r="N13" s="42"/>
      <c r="O13" s="44" t="s">
        <v>462</v>
      </c>
      <c r="P13" s="45" t="s">
        <v>473</v>
      </c>
    </row>
    <row r="14" spans="1:16" ht="57.6">
      <c r="A14" s="34" t="s">
        <v>4</v>
      </c>
      <c r="B14" s="35">
        <v>1</v>
      </c>
      <c r="C14" s="36" t="s">
        <v>5</v>
      </c>
      <c r="D14" s="102" t="s">
        <v>472</v>
      </c>
      <c r="E14" s="50" t="s">
        <v>20</v>
      </c>
      <c r="F14" s="37" t="s">
        <v>27</v>
      </c>
      <c r="G14" s="38" t="s">
        <v>28</v>
      </c>
      <c r="H14" s="39" t="s">
        <v>451</v>
      </c>
      <c r="I14" s="39" t="s">
        <v>471</v>
      </c>
      <c r="J14" s="40"/>
      <c r="K14" s="41"/>
      <c r="L14" s="42"/>
      <c r="M14" s="43"/>
      <c r="N14" s="42"/>
      <c r="O14" s="44" t="s">
        <v>462</v>
      </c>
      <c r="P14" s="45" t="s">
        <v>473</v>
      </c>
    </row>
    <row r="15" spans="1:16" ht="57.6">
      <c r="A15" s="34" t="s">
        <v>4</v>
      </c>
      <c r="B15" s="35">
        <v>1</v>
      </c>
      <c r="C15" s="36" t="s">
        <v>5</v>
      </c>
      <c r="D15" s="102" t="s">
        <v>472</v>
      </c>
      <c r="E15" s="50" t="s">
        <v>20</v>
      </c>
      <c r="F15" s="37" t="s">
        <v>29</v>
      </c>
      <c r="G15" s="38" t="s">
        <v>30</v>
      </c>
      <c r="H15" s="39" t="s">
        <v>451</v>
      </c>
      <c r="I15" s="39" t="s">
        <v>471</v>
      </c>
      <c r="J15" s="40"/>
      <c r="K15" s="41"/>
      <c r="L15" s="42"/>
      <c r="M15" s="43"/>
      <c r="N15" s="42"/>
      <c r="O15" s="44" t="s">
        <v>465</v>
      </c>
      <c r="P15" s="45" t="s">
        <v>473</v>
      </c>
    </row>
    <row r="16" spans="1:16" ht="57.6">
      <c r="A16" s="34" t="s">
        <v>4</v>
      </c>
      <c r="B16" s="35">
        <v>1</v>
      </c>
      <c r="C16" s="36" t="s">
        <v>5</v>
      </c>
      <c r="D16" s="102" t="s">
        <v>472</v>
      </c>
      <c r="E16" s="50" t="s">
        <v>20</v>
      </c>
      <c r="F16" s="37" t="s">
        <v>31</v>
      </c>
      <c r="G16" s="38" t="s">
        <v>32</v>
      </c>
      <c r="H16" s="39" t="s">
        <v>451</v>
      </c>
      <c r="I16" s="39" t="s">
        <v>471</v>
      </c>
      <c r="J16" s="40"/>
      <c r="K16" s="41"/>
      <c r="L16" s="42"/>
      <c r="M16" s="43"/>
      <c r="N16" s="42"/>
      <c r="O16" s="44"/>
      <c r="P16" s="45" t="s">
        <v>473</v>
      </c>
    </row>
    <row r="17" spans="1:16" ht="57.6">
      <c r="A17" s="34" t="s">
        <v>4</v>
      </c>
      <c r="B17" s="35">
        <v>1</v>
      </c>
      <c r="C17" s="36" t="s">
        <v>5</v>
      </c>
      <c r="D17" s="102" t="s">
        <v>474</v>
      </c>
      <c r="E17" s="50" t="s">
        <v>33</v>
      </c>
      <c r="F17" s="37" t="s">
        <v>34</v>
      </c>
      <c r="G17" s="38" t="s">
        <v>35</v>
      </c>
      <c r="H17" s="39" t="s">
        <v>449</v>
      </c>
      <c r="I17" s="39" t="s">
        <v>471</v>
      </c>
      <c r="J17" s="40"/>
      <c r="K17" s="41"/>
      <c r="L17" s="42"/>
      <c r="M17" s="43"/>
      <c r="N17" s="42"/>
      <c r="O17" s="44" t="s">
        <v>462</v>
      </c>
      <c r="P17" s="45" t="s">
        <v>475</v>
      </c>
    </row>
    <row r="18" spans="1:16" ht="57.6">
      <c r="A18" s="34" t="s">
        <v>4</v>
      </c>
      <c r="B18" s="35">
        <v>1</v>
      </c>
      <c r="C18" s="36" t="s">
        <v>5</v>
      </c>
      <c r="D18" s="102" t="s">
        <v>474</v>
      </c>
      <c r="E18" s="50" t="s">
        <v>33</v>
      </c>
      <c r="F18" s="37" t="s">
        <v>36</v>
      </c>
      <c r="G18" s="38" t="s">
        <v>37</v>
      </c>
      <c r="H18" s="39" t="s">
        <v>449</v>
      </c>
      <c r="I18" s="39" t="s">
        <v>471</v>
      </c>
      <c r="J18" s="40"/>
      <c r="K18" s="41"/>
      <c r="L18" s="42"/>
      <c r="M18" s="43"/>
      <c r="N18" s="42"/>
      <c r="O18" s="44"/>
      <c r="P18" s="45"/>
    </row>
    <row r="19" spans="1:16" ht="57.6">
      <c r="A19" s="34" t="s">
        <v>4</v>
      </c>
      <c r="B19" s="35">
        <v>1</v>
      </c>
      <c r="C19" s="36" t="s">
        <v>5</v>
      </c>
      <c r="D19" s="102" t="s">
        <v>474</v>
      </c>
      <c r="E19" s="50" t="s">
        <v>33</v>
      </c>
      <c r="F19" s="37" t="s">
        <v>38</v>
      </c>
      <c r="G19" s="38" t="s">
        <v>39</v>
      </c>
      <c r="H19" s="39" t="s">
        <v>451</v>
      </c>
      <c r="I19" s="39" t="s">
        <v>471</v>
      </c>
      <c r="J19" s="40"/>
      <c r="K19" s="41"/>
      <c r="L19" s="42"/>
      <c r="M19" s="43"/>
      <c r="N19" s="42"/>
      <c r="O19" s="44" t="s">
        <v>465</v>
      </c>
      <c r="P19" s="45"/>
    </row>
    <row r="20" spans="1:16" ht="29.1" customHeight="1">
      <c r="A20" s="34" t="s">
        <v>4</v>
      </c>
      <c r="B20" s="134">
        <v>2</v>
      </c>
      <c r="C20" s="133" t="s">
        <v>40</v>
      </c>
      <c r="D20" s="103" t="s">
        <v>476</v>
      </c>
      <c r="E20" s="104" t="s">
        <v>41</v>
      </c>
      <c r="F20" s="37" t="s">
        <v>42</v>
      </c>
      <c r="G20" s="38" t="s">
        <v>43</v>
      </c>
      <c r="H20" s="39" t="s">
        <v>449</v>
      </c>
      <c r="I20" s="39" t="s">
        <v>461</v>
      </c>
      <c r="J20" s="40"/>
      <c r="K20" s="41"/>
      <c r="L20" s="42"/>
      <c r="M20" s="43"/>
      <c r="N20" s="42"/>
      <c r="O20" s="44"/>
      <c r="P20" s="45" t="s">
        <v>477</v>
      </c>
    </row>
    <row r="21" spans="1:16" ht="43.2">
      <c r="A21" s="34" t="s">
        <v>4</v>
      </c>
      <c r="B21" s="134">
        <v>2</v>
      </c>
      <c r="C21" s="133" t="s">
        <v>40</v>
      </c>
      <c r="D21" s="103" t="s">
        <v>476</v>
      </c>
      <c r="E21" s="104" t="s">
        <v>41</v>
      </c>
      <c r="F21" s="37" t="s">
        <v>44</v>
      </c>
      <c r="G21" s="38" t="s">
        <v>45</v>
      </c>
      <c r="H21" s="39" t="s">
        <v>449</v>
      </c>
      <c r="I21" s="39" t="s">
        <v>450</v>
      </c>
      <c r="J21" s="40"/>
      <c r="K21" s="41"/>
      <c r="L21" s="42"/>
      <c r="M21" s="43"/>
      <c r="N21" s="42"/>
      <c r="O21" s="44"/>
      <c r="P21" s="45"/>
    </row>
    <row r="22" spans="1:16" ht="43.2">
      <c r="A22" s="34" t="s">
        <v>4</v>
      </c>
      <c r="B22" s="134">
        <v>2</v>
      </c>
      <c r="C22" s="133" t="s">
        <v>40</v>
      </c>
      <c r="D22" s="103" t="s">
        <v>476</v>
      </c>
      <c r="E22" s="104" t="s">
        <v>41</v>
      </c>
      <c r="F22" s="37" t="s">
        <v>46</v>
      </c>
      <c r="G22" s="38" t="s">
        <v>47</v>
      </c>
      <c r="H22" s="39" t="s">
        <v>451</v>
      </c>
      <c r="I22" s="39" t="s">
        <v>471</v>
      </c>
      <c r="J22" s="40"/>
      <c r="K22" s="41"/>
      <c r="L22" s="42"/>
      <c r="M22" s="43"/>
      <c r="N22" s="42"/>
      <c r="O22" s="44"/>
      <c r="P22" s="45" t="s">
        <v>478</v>
      </c>
    </row>
    <row r="23" spans="1:16" ht="43.2">
      <c r="A23" s="34" t="s">
        <v>4</v>
      </c>
      <c r="B23" s="134">
        <v>2</v>
      </c>
      <c r="C23" s="133" t="s">
        <v>40</v>
      </c>
      <c r="D23" s="103" t="s">
        <v>476</v>
      </c>
      <c r="E23" s="104" t="s">
        <v>41</v>
      </c>
      <c r="F23" s="37" t="s">
        <v>48</v>
      </c>
      <c r="G23" s="38" t="s">
        <v>49</v>
      </c>
      <c r="H23" s="39" t="s">
        <v>451</v>
      </c>
      <c r="I23" s="39" t="s">
        <v>452</v>
      </c>
      <c r="J23" s="40"/>
      <c r="K23" s="41"/>
      <c r="L23" s="42"/>
      <c r="M23" s="43"/>
      <c r="N23" s="42"/>
      <c r="O23" s="44"/>
      <c r="P23" s="45"/>
    </row>
    <row r="24" spans="1:16" ht="14.4" customHeight="1">
      <c r="A24" s="34" t="s">
        <v>4</v>
      </c>
      <c r="B24" s="134">
        <v>2</v>
      </c>
      <c r="C24" s="133" t="s">
        <v>40</v>
      </c>
      <c r="D24" s="102" t="s">
        <v>479</v>
      </c>
      <c r="E24" s="50" t="s">
        <v>50</v>
      </c>
      <c r="F24" s="37" t="s">
        <v>51</v>
      </c>
      <c r="G24" s="38" t="s">
        <v>52</v>
      </c>
      <c r="H24" s="39" t="s">
        <v>449</v>
      </c>
      <c r="I24" s="39" t="s">
        <v>461</v>
      </c>
      <c r="J24" s="40"/>
      <c r="K24" s="41"/>
      <c r="L24" s="42"/>
      <c r="M24" s="43"/>
      <c r="N24" s="42"/>
      <c r="O24" s="44" t="s">
        <v>465</v>
      </c>
      <c r="P24" s="45" t="s">
        <v>480</v>
      </c>
    </row>
    <row r="25" spans="1:16" ht="43.2">
      <c r="A25" s="34" t="s">
        <v>4</v>
      </c>
      <c r="B25" s="134">
        <v>2</v>
      </c>
      <c r="C25" s="133" t="s">
        <v>40</v>
      </c>
      <c r="D25" s="102" t="s">
        <v>479</v>
      </c>
      <c r="E25" s="50" t="s">
        <v>50</v>
      </c>
      <c r="F25" s="37" t="s">
        <v>53</v>
      </c>
      <c r="G25" s="38" t="s">
        <v>54</v>
      </c>
      <c r="H25" s="39" t="s">
        <v>451</v>
      </c>
      <c r="I25" s="39" t="s">
        <v>471</v>
      </c>
      <c r="J25" s="40"/>
      <c r="K25" s="41"/>
      <c r="L25" s="42"/>
      <c r="M25" s="43"/>
      <c r="N25" s="42"/>
      <c r="O25" s="44"/>
      <c r="P25" s="45" t="s">
        <v>481</v>
      </c>
    </row>
    <row r="26" spans="1:16" ht="43.2">
      <c r="A26" s="34" t="s">
        <v>4</v>
      </c>
      <c r="B26" s="134">
        <v>2</v>
      </c>
      <c r="C26" s="133" t="s">
        <v>40</v>
      </c>
      <c r="D26" s="102" t="s">
        <v>479</v>
      </c>
      <c r="E26" s="50" t="s">
        <v>50</v>
      </c>
      <c r="F26" s="37" t="s">
        <v>55</v>
      </c>
      <c r="G26" s="38" t="s">
        <v>56</v>
      </c>
      <c r="H26" s="39" t="s">
        <v>449</v>
      </c>
      <c r="I26" s="39" t="s">
        <v>461</v>
      </c>
      <c r="J26" s="40"/>
      <c r="K26" s="41"/>
      <c r="L26" s="42"/>
      <c r="M26" s="43"/>
      <c r="N26" s="42"/>
      <c r="O26" s="44"/>
      <c r="P26" s="45"/>
    </row>
    <row r="27" spans="1:16" ht="29.1" customHeight="1">
      <c r="A27" s="34" t="s">
        <v>4</v>
      </c>
      <c r="B27" s="134">
        <v>3</v>
      </c>
      <c r="C27" s="133" t="s">
        <v>57</v>
      </c>
      <c r="D27" s="102" t="s">
        <v>482</v>
      </c>
      <c r="E27" s="50" t="s">
        <v>58</v>
      </c>
      <c r="F27" s="37" t="s">
        <v>59</v>
      </c>
      <c r="G27" s="38" t="s">
        <v>60</v>
      </c>
      <c r="H27" s="39" t="s">
        <v>449</v>
      </c>
      <c r="I27" s="39" t="s">
        <v>450</v>
      </c>
      <c r="J27" s="40"/>
      <c r="K27" s="41"/>
      <c r="L27" s="46"/>
      <c r="M27" s="43"/>
      <c r="N27" s="42"/>
      <c r="O27" s="44"/>
      <c r="P27" s="45"/>
    </row>
    <row r="28" spans="1:16" ht="57.6">
      <c r="A28" s="34" t="s">
        <v>4</v>
      </c>
      <c r="B28" s="134">
        <v>3</v>
      </c>
      <c r="C28" s="133" t="s">
        <v>57</v>
      </c>
      <c r="D28" s="102" t="s">
        <v>482</v>
      </c>
      <c r="E28" s="50" t="s">
        <v>58</v>
      </c>
      <c r="F28" s="37" t="s">
        <v>61</v>
      </c>
      <c r="G28" s="38" t="s">
        <v>62</v>
      </c>
      <c r="H28" s="39" t="s">
        <v>449</v>
      </c>
      <c r="I28" s="39" t="s">
        <v>450</v>
      </c>
      <c r="J28" s="40"/>
      <c r="K28" s="41"/>
      <c r="L28" s="42"/>
      <c r="M28" s="43"/>
      <c r="N28" s="42"/>
      <c r="O28" s="44"/>
      <c r="P28" s="45"/>
    </row>
    <row r="29" spans="1:16" ht="57.6">
      <c r="A29" s="34" t="s">
        <v>4</v>
      </c>
      <c r="B29" s="134">
        <v>3</v>
      </c>
      <c r="C29" s="133" t="s">
        <v>57</v>
      </c>
      <c r="D29" s="102" t="s">
        <v>482</v>
      </c>
      <c r="E29" s="50" t="s">
        <v>58</v>
      </c>
      <c r="F29" s="37" t="s">
        <v>63</v>
      </c>
      <c r="G29" s="38" t="s">
        <v>64</v>
      </c>
      <c r="H29" s="39" t="s">
        <v>449</v>
      </c>
      <c r="I29" s="39" t="s">
        <v>471</v>
      </c>
      <c r="J29" s="40"/>
      <c r="K29" s="41"/>
      <c r="L29" s="42"/>
      <c r="M29" s="43"/>
      <c r="N29" s="42"/>
      <c r="O29" s="44"/>
      <c r="P29" s="45"/>
    </row>
    <row r="30" spans="1:16" ht="57.6">
      <c r="A30" s="34" t="s">
        <v>4</v>
      </c>
      <c r="B30" s="134">
        <v>3</v>
      </c>
      <c r="C30" s="133" t="s">
        <v>57</v>
      </c>
      <c r="D30" s="49" t="s">
        <v>483</v>
      </c>
      <c r="E30" s="50" t="s">
        <v>65</v>
      </c>
      <c r="F30" s="37" t="s">
        <v>66</v>
      </c>
      <c r="G30" s="38" t="s">
        <v>67</v>
      </c>
      <c r="H30" s="39" t="s">
        <v>449</v>
      </c>
      <c r="I30" s="37" t="s">
        <v>450</v>
      </c>
      <c r="J30" s="40"/>
      <c r="K30" s="51"/>
      <c r="L30" s="42"/>
      <c r="M30" s="43"/>
      <c r="N30" s="42"/>
      <c r="O30" s="44"/>
      <c r="P30" s="45" t="s">
        <v>484</v>
      </c>
    </row>
    <row r="31" spans="1:16" ht="29.1" customHeight="1">
      <c r="A31" s="34" t="s">
        <v>4</v>
      </c>
      <c r="B31" s="134">
        <v>3</v>
      </c>
      <c r="C31" s="133" t="s">
        <v>57</v>
      </c>
      <c r="D31" s="102" t="s">
        <v>485</v>
      </c>
      <c r="E31" s="50" t="s">
        <v>68</v>
      </c>
      <c r="F31" s="37" t="s">
        <v>69</v>
      </c>
      <c r="G31" s="38" t="s">
        <v>70</v>
      </c>
      <c r="H31" s="39" t="s">
        <v>451</v>
      </c>
      <c r="I31" s="39" t="s">
        <v>452</v>
      </c>
      <c r="J31" s="40"/>
      <c r="K31" s="41"/>
      <c r="L31" s="42"/>
      <c r="M31" s="43"/>
      <c r="N31" s="42"/>
      <c r="O31" s="44" t="s">
        <v>465</v>
      </c>
      <c r="P31" s="45" t="s">
        <v>486</v>
      </c>
    </row>
    <row r="32" spans="1:16" ht="57.6">
      <c r="A32" s="34" t="s">
        <v>4</v>
      </c>
      <c r="B32" s="134">
        <v>3</v>
      </c>
      <c r="C32" s="133" t="s">
        <v>57</v>
      </c>
      <c r="D32" s="102" t="s">
        <v>485</v>
      </c>
      <c r="E32" s="50" t="s">
        <v>68</v>
      </c>
      <c r="F32" s="37" t="s">
        <v>71</v>
      </c>
      <c r="G32" s="38" t="s">
        <v>72</v>
      </c>
      <c r="H32" s="39" t="s">
        <v>451</v>
      </c>
      <c r="I32" s="39" t="s">
        <v>471</v>
      </c>
      <c r="J32" s="40"/>
      <c r="K32" s="41"/>
      <c r="L32" s="42"/>
      <c r="M32" s="43"/>
      <c r="N32" s="42"/>
      <c r="O32" s="44"/>
      <c r="P32" s="45"/>
    </row>
    <row r="33" spans="1:16" ht="57.6">
      <c r="A33" s="34" t="s">
        <v>4</v>
      </c>
      <c r="B33" s="134">
        <v>3</v>
      </c>
      <c r="C33" s="133" t="s">
        <v>57</v>
      </c>
      <c r="D33" s="102" t="s">
        <v>485</v>
      </c>
      <c r="E33" s="50" t="s">
        <v>68</v>
      </c>
      <c r="F33" s="37" t="s">
        <v>73</v>
      </c>
      <c r="G33" s="38" t="s">
        <v>74</v>
      </c>
      <c r="H33" s="39" t="s">
        <v>451</v>
      </c>
      <c r="I33" s="39" t="s">
        <v>471</v>
      </c>
      <c r="J33" s="40"/>
      <c r="K33" s="41"/>
      <c r="L33" s="42"/>
      <c r="M33" s="43"/>
      <c r="N33" s="42"/>
      <c r="O33" s="44"/>
      <c r="P33" s="45"/>
    </row>
    <row r="34" spans="1:16" ht="57.6">
      <c r="A34" s="34" t="s">
        <v>4</v>
      </c>
      <c r="B34" s="134">
        <v>3</v>
      </c>
      <c r="C34" s="133" t="s">
        <v>57</v>
      </c>
      <c r="D34" s="102" t="s">
        <v>485</v>
      </c>
      <c r="E34" s="50" t="s">
        <v>68</v>
      </c>
      <c r="F34" s="37" t="s">
        <v>75</v>
      </c>
      <c r="G34" s="38" t="s">
        <v>76</v>
      </c>
      <c r="H34" s="39" t="s">
        <v>451</v>
      </c>
      <c r="I34" s="39" t="s">
        <v>471</v>
      </c>
      <c r="J34" s="40"/>
      <c r="K34" s="41"/>
      <c r="L34" s="42"/>
      <c r="M34" s="43"/>
      <c r="N34" s="42"/>
      <c r="O34" s="44"/>
      <c r="P34" s="45"/>
    </row>
    <row r="35" spans="1:16" ht="57.6">
      <c r="A35" s="34" t="s">
        <v>4</v>
      </c>
      <c r="B35" s="134">
        <v>3</v>
      </c>
      <c r="C35" s="133" t="s">
        <v>57</v>
      </c>
      <c r="D35" s="102" t="s">
        <v>487</v>
      </c>
      <c r="E35" s="50" t="s">
        <v>77</v>
      </c>
      <c r="F35" s="37" t="s">
        <v>78</v>
      </c>
      <c r="G35" s="38" t="s">
        <v>79</v>
      </c>
      <c r="H35" s="39" t="s">
        <v>449</v>
      </c>
      <c r="I35" s="39" t="s">
        <v>471</v>
      </c>
      <c r="J35" s="40"/>
      <c r="K35" s="41"/>
      <c r="L35" s="42"/>
      <c r="M35" s="43"/>
      <c r="N35" s="42"/>
      <c r="O35" s="44"/>
      <c r="P35" s="45" t="s">
        <v>488</v>
      </c>
    </row>
    <row r="36" spans="1:16" ht="57.6">
      <c r="A36" s="34" t="s">
        <v>4</v>
      </c>
      <c r="B36" s="134">
        <v>3</v>
      </c>
      <c r="C36" s="133" t="s">
        <v>57</v>
      </c>
      <c r="D36" s="102" t="s">
        <v>487</v>
      </c>
      <c r="E36" s="50" t="s">
        <v>77</v>
      </c>
      <c r="F36" s="37" t="s">
        <v>80</v>
      </c>
      <c r="G36" s="38" t="s">
        <v>81</v>
      </c>
      <c r="H36" s="39" t="s">
        <v>449</v>
      </c>
      <c r="I36" s="39" t="s">
        <v>452</v>
      </c>
      <c r="J36" s="40"/>
      <c r="K36" s="41"/>
      <c r="L36" s="42"/>
      <c r="M36" s="43"/>
      <c r="N36" s="42"/>
      <c r="O36" s="44"/>
      <c r="P36" s="45" t="s">
        <v>488</v>
      </c>
    </row>
    <row r="37" spans="1:16" ht="43.5" customHeight="1">
      <c r="A37" s="52" t="s">
        <v>82</v>
      </c>
      <c r="B37" s="53">
        <v>4</v>
      </c>
      <c r="C37" s="54" t="s">
        <v>83</v>
      </c>
      <c r="D37" s="105" t="s">
        <v>489</v>
      </c>
      <c r="E37" s="106" t="s">
        <v>84</v>
      </c>
      <c r="F37" s="37" t="s">
        <v>85</v>
      </c>
      <c r="G37" s="38" t="s">
        <v>86</v>
      </c>
      <c r="H37" s="39" t="s">
        <v>449</v>
      </c>
      <c r="I37" s="39" t="s">
        <v>452</v>
      </c>
      <c r="J37" s="40"/>
      <c r="K37" s="41"/>
      <c r="L37" s="42"/>
      <c r="M37" s="43"/>
      <c r="N37" s="42"/>
      <c r="O37" s="44"/>
      <c r="P37" s="45"/>
    </row>
    <row r="38" spans="1:16" ht="57.6">
      <c r="A38" s="52" t="s">
        <v>82</v>
      </c>
      <c r="B38" s="53">
        <v>4</v>
      </c>
      <c r="C38" s="54" t="s">
        <v>83</v>
      </c>
      <c r="D38" s="105" t="s">
        <v>489</v>
      </c>
      <c r="E38" s="106" t="s">
        <v>84</v>
      </c>
      <c r="F38" s="37" t="s">
        <v>87</v>
      </c>
      <c r="G38" s="38" t="s">
        <v>88</v>
      </c>
      <c r="H38" s="39" t="s">
        <v>449</v>
      </c>
      <c r="I38" s="39" t="s">
        <v>452</v>
      </c>
      <c r="J38" s="40"/>
      <c r="K38" s="41"/>
      <c r="L38" s="42"/>
      <c r="M38" s="43"/>
      <c r="N38" s="42"/>
      <c r="O38" s="44"/>
      <c r="P38" s="45"/>
    </row>
    <row r="39" spans="1:16" ht="57.6">
      <c r="A39" s="52" t="s">
        <v>82</v>
      </c>
      <c r="B39" s="53">
        <v>4</v>
      </c>
      <c r="C39" s="54" t="s">
        <v>83</v>
      </c>
      <c r="D39" s="105" t="s">
        <v>489</v>
      </c>
      <c r="E39" s="106" t="s">
        <v>84</v>
      </c>
      <c r="F39" s="37" t="s">
        <v>89</v>
      </c>
      <c r="G39" s="38" t="s">
        <v>90</v>
      </c>
      <c r="H39" s="39" t="s">
        <v>449</v>
      </c>
      <c r="I39" s="39" t="s">
        <v>452</v>
      </c>
      <c r="J39" s="40"/>
      <c r="K39" s="41"/>
      <c r="L39" s="42"/>
      <c r="M39" s="43"/>
      <c r="N39" s="42"/>
      <c r="O39" s="44"/>
      <c r="P39" s="45"/>
    </row>
    <row r="40" spans="1:16" ht="29.1" customHeight="1">
      <c r="A40" s="52" t="s">
        <v>82</v>
      </c>
      <c r="B40" s="53">
        <v>4</v>
      </c>
      <c r="C40" s="54" t="s">
        <v>83</v>
      </c>
      <c r="D40" s="108" t="s">
        <v>490</v>
      </c>
      <c r="E40" s="107" t="s">
        <v>91</v>
      </c>
      <c r="F40" s="37" t="s">
        <v>92</v>
      </c>
      <c r="G40" s="38" t="s">
        <v>93</v>
      </c>
      <c r="H40" s="39" t="s">
        <v>449</v>
      </c>
      <c r="I40" s="39" t="s">
        <v>450</v>
      </c>
      <c r="J40" s="40"/>
      <c r="K40" s="41"/>
      <c r="L40" s="42"/>
      <c r="M40" s="43"/>
      <c r="N40" s="42"/>
      <c r="O40" s="44"/>
      <c r="P40" s="45"/>
    </row>
    <row r="41" spans="1:16" ht="43.2">
      <c r="A41" s="52" t="s">
        <v>82</v>
      </c>
      <c r="B41" s="53">
        <v>4</v>
      </c>
      <c r="C41" s="54" t="s">
        <v>83</v>
      </c>
      <c r="D41" s="108" t="s">
        <v>490</v>
      </c>
      <c r="E41" s="107" t="s">
        <v>91</v>
      </c>
      <c r="F41" s="37" t="s">
        <v>94</v>
      </c>
      <c r="G41" s="38" t="s">
        <v>95</v>
      </c>
      <c r="H41" s="39" t="s">
        <v>449</v>
      </c>
      <c r="I41" s="39" t="s">
        <v>452</v>
      </c>
      <c r="J41" s="40"/>
      <c r="K41" s="41"/>
      <c r="L41" s="42"/>
      <c r="M41" s="43"/>
      <c r="N41" s="42"/>
      <c r="O41" s="44"/>
      <c r="P41" s="45"/>
    </row>
    <row r="42" spans="1:16" ht="43.2">
      <c r="A42" s="52" t="s">
        <v>82</v>
      </c>
      <c r="B42" s="53">
        <v>4</v>
      </c>
      <c r="C42" s="54" t="s">
        <v>83</v>
      </c>
      <c r="D42" s="108" t="s">
        <v>490</v>
      </c>
      <c r="E42" s="107" t="s">
        <v>91</v>
      </c>
      <c r="F42" s="37" t="s">
        <v>96</v>
      </c>
      <c r="G42" s="38" t="s">
        <v>97</v>
      </c>
      <c r="H42" s="39" t="s">
        <v>449</v>
      </c>
      <c r="I42" s="39" t="s">
        <v>452</v>
      </c>
      <c r="J42" s="40"/>
      <c r="K42" s="41"/>
      <c r="L42" s="42"/>
      <c r="M42" s="43"/>
      <c r="N42" s="42"/>
      <c r="O42" s="44"/>
      <c r="P42" s="45"/>
    </row>
    <row r="43" spans="1:16" ht="43.2">
      <c r="A43" s="52" t="s">
        <v>82</v>
      </c>
      <c r="B43" s="53">
        <v>4</v>
      </c>
      <c r="C43" s="54" t="s">
        <v>83</v>
      </c>
      <c r="D43" s="108" t="s">
        <v>490</v>
      </c>
      <c r="E43" s="107" t="s">
        <v>91</v>
      </c>
      <c r="F43" s="37" t="s">
        <v>98</v>
      </c>
      <c r="G43" s="38" t="s">
        <v>99</v>
      </c>
      <c r="H43" s="39" t="s">
        <v>449</v>
      </c>
      <c r="I43" s="39" t="s">
        <v>461</v>
      </c>
      <c r="J43" s="40"/>
      <c r="K43" s="41"/>
      <c r="L43" s="42"/>
      <c r="M43" s="43"/>
      <c r="N43" s="42"/>
      <c r="O43" s="44"/>
      <c r="P43" s="45"/>
    </row>
    <row r="44" spans="1:16" ht="43.2">
      <c r="A44" s="52" t="s">
        <v>82</v>
      </c>
      <c r="B44" s="53">
        <v>4</v>
      </c>
      <c r="C44" s="54" t="s">
        <v>83</v>
      </c>
      <c r="D44" s="109" t="s">
        <v>491</v>
      </c>
      <c r="E44" s="8" t="s">
        <v>100</v>
      </c>
      <c r="F44" s="37" t="s">
        <v>101</v>
      </c>
      <c r="G44" s="38" t="s">
        <v>102</v>
      </c>
      <c r="H44" s="39" t="s">
        <v>449</v>
      </c>
      <c r="I44" s="39" t="s">
        <v>461</v>
      </c>
      <c r="J44" s="40"/>
      <c r="K44" s="41"/>
      <c r="L44" s="42"/>
      <c r="M44" s="43"/>
      <c r="N44" s="42"/>
      <c r="O44" s="44" t="s">
        <v>462</v>
      </c>
      <c r="P44" s="45"/>
    </row>
    <row r="45" spans="1:16" ht="43.2">
      <c r="A45" s="52" t="s">
        <v>82</v>
      </c>
      <c r="B45" s="53">
        <v>4</v>
      </c>
      <c r="C45" s="54" t="s">
        <v>83</v>
      </c>
      <c r="D45" s="109" t="s">
        <v>491</v>
      </c>
      <c r="E45" s="8" t="s">
        <v>100</v>
      </c>
      <c r="F45" s="37" t="s">
        <v>103</v>
      </c>
      <c r="G45" s="38" t="s">
        <v>104</v>
      </c>
      <c r="H45" s="39" t="s">
        <v>451</v>
      </c>
      <c r="I45" s="39" t="s">
        <v>461</v>
      </c>
      <c r="J45" s="40"/>
      <c r="K45" s="41"/>
      <c r="L45" s="42"/>
      <c r="M45" s="43"/>
      <c r="N45" s="42"/>
      <c r="O45" s="44" t="s">
        <v>462</v>
      </c>
      <c r="P45" s="45"/>
    </row>
    <row r="46" spans="1:16" ht="43.2">
      <c r="A46" s="52" t="s">
        <v>82</v>
      </c>
      <c r="B46" s="53">
        <v>4</v>
      </c>
      <c r="C46" s="54" t="s">
        <v>83</v>
      </c>
      <c r="D46" s="109" t="s">
        <v>491</v>
      </c>
      <c r="E46" s="8" t="s">
        <v>100</v>
      </c>
      <c r="F46" s="37" t="s">
        <v>105</v>
      </c>
      <c r="G46" s="38" t="s">
        <v>106</v>
      </c>
      <c r="H46" s="39" t="s">
        <v>449</v>
      </c>
      <c r="I46" s="39" t="s">
        <v>471</v>
      </c>
      <c r="J46" s="40"/>
      <c r="K46" s="41"/>
      <c r="L46" s="42"/>
      <c r="M46" s="43"/>
      <c r="N46" s="42"/>
      <c r="O46" s="44"/>
      <c r="P46" s="45"/>
    </row>
    <row r="47" spans="1:16" ht="43.2">
      <c r="A47" s="52" t="s">
        <v>82</v>
      </c>
      <c r="B47" s="53">
        <v>4</v>
      </c>
      <c r="C47" s="54" t="s">
        <v>83</v>
      </c>
      <c r="D47" s="109" t="s">
        <v>491</v>
      </c>
      <c r="E47" s="8" t="s">
        <v>100</v>
      </c>
      <c r="F47" s="37" t="s">
        <v>107</v>
      </c>
      <c r="G47" s="38" t="s">
        <v>108</v>
      </c>
      <c r="H47" s="39" t="s">
        <v>449</v>
      </c>
      <c r="I47" s="39" t="s">
        <v>450</v>
      </c>
      <c r="J47" s="40"/>
      <c r="K47" s="41"/>
      <c r="L47" s="42"/>
      <c r="M47" s="43"/>
      <c r="N47" s="42"/>
      <c r="O47" s="44" t="s">
        <v>465</v>
      </c>
      <c r="P47" s="45"/>
    </row>
    <row r="48" spans="1:16" ht="14.4" customHeight="1">
      <c r="A48" s="52" t="s">
        <v>82</v>
      </c>
      <c r="B48" s="53">
        <v>4</v>
      </c>
      <c r="C48" s="54" t="s">
        <v>83</v>
      </c>
      <c r="D48" s="109" t="s">
        <v>492</v>
      </c>
      <c r="E48" s="8" t="s">
        <v>109</v>
      </c>
      <c r="F48" s="39" t="s">
        <v>110</v>
      </c>
      <c r="G48" s="38" t="s">
        <v>111</v>
      </c>
      <c r="H48" s="39" t="s">
        <v>449</v>
      </c>
      <c r="I48" s="39" t="s">
        <v>461</v>
      </c>
      <c r="J48" s="40"/>
      <c r="K48" s="41"/>
      <c r="L48" s="42"/>
      <c r="M48" s="43"/>
      <c r="N48" s="42"/>
      <c r="O48" s="44"/>
      <c r="P48" s="45"/>
    </row>
    <row r="49" spans="1:16" ht="43.2">
      <c r="A49" s="52" t="s">
        <v>82</v>
      </c>
      <c r="B49" s="53">
        <v>4</v>
      </c>
      <c r="C49" s="54" t="s">
        <v>83</v>
      </c>
      <c r="D49" s="109" t="s">
        <v>492</v>
      </c>
      <c r="E49" s="8" t="s">
        <v>109</v>
      </c>
      <c r="F49" s="39" t="s">
        <v>112</v>
      </c>
      <c r="G49" s="38" t="s">
        <v>113</v>
      </c>
      <c r="H49" s="39" t="s">
        <v>449</v>
      </c>
      <c r="I49" s="39" t="s">
        <v>461</v>
      </c>
      <c r="J49" s="40"/>
      <c r="K49" s="41"/>
      <c r="L49" s="42"/>
      <c r="M49" s="43"/>
      <c r="N49" s="42"/>
      <c r="O49" s="44"/>
      <c r="P49" s="45"/>
    </row>
    <row r="50" spans="1:16" ht="43.2">
      <c r="A50" s="52" t="s">
        <v>82</v>
      </c>
      <c r="B50" s="53">
        <v>4</v>
      </c>
      <c r="C50" s="54" t="s">
        <v>83</v>
      </c>
      <c r="D50" s="109" t="s">
        <v>492</v>
      </c>
      <c r="E50" s="8" t="s">
        <v>109</v>
      </c>
      <c r="F50" s="39" t="s">
        <v>114</v>
      </c>
      <c r="G50" s="38" t="s">
        <v>115</v>
      </c>
      <c r="H50" s="39" t="s">
        <v>449</v>
      </c>
      <c r="I50" s="39" t="s">
        <v>461</v>
      </c>
      <c r="J50" s="40"/>
      <c r="K50" s="41"/>
      <c r="L50" s="42"/>
      <c r="M50" s="43"/>
      <c r="N50" s="42"/>
      <c r="O50" s="44"/>
      <c r="P50" s="45"/>
    </row>
    <row r="51" spans="1:16" ht="28.8">
      <c r="A51" s="52" t="s">
        <v>82</v>
      </c>
      <c r="B51" s="135">
        <v>5</v>
      </c>
      <c r="C51" s="136" t="s">
        <v>116</v>
      </c>
      <c r="D51" s="55" t="s">
        <v>493</v>
      </c>
      <c r="E51" s="8" t="s">
        <v>117</v>
      </c>
      <c r="F51" s="39" t="s">
        <v>118</v>
      </c>
      <c r="G51" s="38" t="s">
        <v>119</v>
      </c>
      <c r="H51" s="39" t="s">
        <v>449</v>
      </c>
      <c r="I51" s="39" t="s">
        <v>452</v>
      </c>
      <c r="J51" s="40"/>
      <c r="K51" s="41"/>
      <c r="L51" s="42"/>
      <c r="M51" s="43"/>
      <c r="N51" s="42"/>
      <c r="O51" s="44"/>
      <c r="P51" s="45"/>
    </row>
    <row r="52" spans="1:16" ht="28.8">
      <c r="A52" s="52" t="s">
        <v>82</v>
      </c>
      <c r="B52" s="135">
        <v>5</v>
      </c>
      <c r="C52" s="136" t="s">
        <v>116</v>
      </c>
      <c r="D52" s="110" t="s">
        <v>494</v>
      </c>
      <c r="E52" s="111" t="s">
        <v>120</v>
      </c>
      <c r="F52" s="37" t="s">
        <v>121</v>
      </c>
      <c r="G52" s="38" t="s">
        <v>122</v>
      </c>
      <c r="H52" s="39" t="s">
        <v>449</v>
      </c>
      <c r="I52" s="39" t="s">
        <v>452</v>
      </c>
      <c r="J52" s="40"/>
      <c r="K52" s="41"/>
      <c r="L52" s="42"/>
      <c r="M52" s="43"/>
      <c r="N52" s="42"/>
      <c r="O52" s="44"/>
      <c r="P52" s="45"/>
    </row>
    <row r="53" spans="1:16" ht="28.8">
      <c r="A53" s="52" t="s">
        <v>82</v>
      </c>
      <c r="B53" s="135">
        <v>5</v>
      </c>
      <c r="C53" s="136" t="s">
        <v>116</v>
      </c>
      <c r="D53" s="110" t="s">
        <v>494</v>
      </c>
      <c r="E53" s="111" t="s">
        <v>120</v>
      </c>
      <c r="F53" s="37" t="s">
        <v>123</v>
      </c>
      <c r="G53" s="38" t="s">
        <v>124</v>
      </c>
      <c r="H53" s="39"/>
      <c r="I53" s="39"/>
      <c r="J53" s="40"/>
      <c r="K53" s="41"/>
      <c r="L53" s="42"/>
      <c r="M53" s="43"/>
      <c r="N53" s="42"/>
      <c r="O53" s="44"/>
      <c r="P53" s="45"/>
    </row>
    <row r="54" spans="1:16" ht="28.8">
      <c r="A54" s="52" t="s">
        <v>82</v>
      </c>
      <c r="B54" s="135">
        <v>5</v>
      </c>
      <c r="C54" s="136" t="s">
        <v>116</v>
      </c>
      <c r="D54" s="110" t="s">
        <v>494</v>
      </c>
      <c r="E54" s="111" t="s">
        <v>120</v>
      </c>
      <c r="F54" s="37" t="s">
        <v>125</v>
      </c>
      <c r="G54" s="38" t="s">
        <v>126</v>
      </c>
      <c r="H54" s="39" t="s">
        <v>449</v>
      </c>
      <c r="I54" s="39" t="s">
        <v>450</v>
      </c>
      <c r="J54" s="40"/>
      <c r="K54" s="41"/>
      <c r="L54" s="42"/>
      <c r="M54" s="43"/>
      <c r="N54" s="42"/>
      <c r="O54" s="44"/>
      <c r="P54" s="45"/>
    </row>
    <row r="55" spans="1:16" ht="28.8">
      <c r="A55" s="52" t="s">
        <v>82</v>
      </c>
      <c r="B55" s="135">
        <v>5</v>
      </c>
      <c r="C55" s="136" t="s">
        <v>116</v>
      </c>
      <c r="D55" s="112" t="s">
        <v>495</v>
      </c>
      <c r="E55" s="111" t="s">
        <v>127</v>
      </c>
      <c r="F55" s="37" t="s">
        <v>128</v>
      </c>
      <c r="G55" s="38" t="s">
        <v>129</v>
      </c>
      <c r="H55" s="39" t="s">
        <v>451</v>
      </c>
      <c r="I55" s="39" t="s">
        <v>452</v>
      </c>
      <c r="J55" s="40"/>
      <c r="K55" s="41"/>
      <c r="L55" s="42"/>
      <c r="M55" s="43"/>
      <c r="N55" s="42"/>
      <c r="O55" s="44" t="s">
        <v>465</v>
      </c>
      <c r="P55" s="45"/>
    </row>
    <row r="56" spans="1:16" ht="28.8">
      <c r="A56" s="52" t="s">
        <v>82</v>
      </c>
      <c r="B56" s="135">
        <v>5</v>
      </c>
      <c r="C56" s="136" t="s">
        <v>116</v>
      </c>
      <c r="D56" s="112" t="s">
        <v>495</v>
      </c>
      <c r="E56" s="111" t="s">
        <v>127</v>
      </c>
      <c r="F56" s="37" t="s">
        <v>130</v>
      </c>
      <c r="G56" s="38" t="s">
        <v>131</v>
      </c>
      <c r="H56" s="39" t="s">
        <v>451</v>
      </c>
      <c r="I56" s="39" t="s">
        <v>452</v>
      </c>
      <c r="J56" s="40"/>
      <c r="K56" s="41"/>
      <c r="L56" s="42"/>
      <c r="M56" s="43"/>
      <c r="N56" s="42"/>
      <c r="O56" s="44" t="s">
        <v>465</v>
      </c>
      <c r="P56" s="45"/>
    </row>
    <row r="57" spans="1:16" ht="57.6">
      <c r="A57" s="56" t="s">
        <v>132</v>
      </c>
      <c r="B57" s="57">
        <v>6</v>
      </c>
      <c r="C57" s="9" t="s">
        <v>133</v>
      </c>
      <c r="D57" s="113" t="s">
        <v>496</v>
      </c>
      <c r="E57" s="11" t="s">
        <v>134</v>
      </c>
      <c r="F57" s="37" t="s">
        <v>135</v>
      </c>
      <c r="G57" s="58" t="s">
        <v>136</v>
      </c>
      <c r="H57" s="39" t="s">
        <v>449</v>
      </c>
      <c r="I57" s="39" t="s">
        <v>450</v>
      </c>
      <c r="J57" s="40"/>
      <c r="K57" s="41"/>
      <c r="L57" s="59"/>
      <c r="M57" s="43"/>
      <c r="N57" s="59"/>
      <c r="O57" s="48" t="s">
        <v>497</v>
      </c>
      <c r="P57" s="45" t="s">
        <v>498</v>
      </c>
    </row>
    <row r="58" spans="1:16" ht="43.2">
      <c r="A58" s="56" t="s">
        <v>132</v>
      </c>
      <c r="B58" s="57">
        <v>6</v>
      </c>
      <c r="C58" s="9" t="s">
        <v>133</v>
      </c>
      <c r="D58" s="113" t="s">
        <v>496</v>
      </c>
      <c r="E58" s="11" t="s">
        <v>134</v>
      </c>
      <c r="F58" s="37" t="s">
        <v>137</v>
      </c>
      <c r="G58" s="38" t="s">
        <v>138</v>
      </c>
      <c r="H58" s="39" t="s">
        <v>449</v>
      </c>
      <c r="I58" s="39" t="s">
        <v>450</v>
      </c>
      <c r="J58" s="40"/>
      <c r="K58" s="41"/>
      <c r="L58" s="42"/>
      <c r="M58" s="43"/>
      <c r="N58" s="42"/>
      <c r="O58" s="44"/>
      <c r="P58" s="45" t="s">
        <v>499</v>
      </c>
    </row>
    <row r="59" spans="1:16" ht="29.1" customHeight="1">
      <c r="A59" s="56" t="s">
        <v>132</v>
      </c>
      <c r="B59" s="57">
        <v>6</v>
      </c>
      <c r="C59" s="9" t="s">
        <v>133</v>
      </c>
      <c r="D59" s="113" t="s">
        <v>500</v>
      </c>
      <c r="E59" s="11" t="s">
        <v>139</v>
      </c>
      <c r="F59" s="37" t="s">
        <v>140</v>
      </c>
      <c r="G59" s="38" t="s">
        <v>141</v>
      </c>
      <c r="H59" s="39" t="s">
        <v>449</v>
      </c>
      <c r="I59" s="39" t="s">
        <v>450</v>
      </c>
      <c r="J59" s="40"/>
      <c r="K59" s="41"/>
      <c r="L59" s="42"/>
      <c r="M59" s="43"/>
      <c r="N59" s="42"/>
      <c r="O59" s="44" t="s">
        <v>465</v>
      </c>
      <c r="P59" s="45" t="s">
        <v>501</v>
      </c>
    </row>
    <row r="60" spans="1:16" ht="43.2">
      <c r="A60" s="56" t="s">
        <v>132</v>
      </c>
      <c r="B60" s="57">
        <v>6</v>
      </c>
      <c r="C60" s="9" t="s">
        <v>133</v>
      </c>
      <c r="D60" s="113" t="s">
        <v>500</v>
      </c>
      <c r="E60" s="11" t="s">
        <v>139</v>
      </c>
      <c r="F60" s="37" t="s">
        <v>142</v>
      </c>
      <c r="G60" s="38" t="s">
        <v>143</v>
      </c>
      <c r="H60" s="39" t="s">
        <v>449</v>
      </c>
      <c r="I60" s="39" t="s">
        <v>450</v>
      </c>
      <c r="J60" s="40"/>
      <c r="K60" s="41"/>
      <c r="L60" s="42"/>
      <c r="M60" s="43"/>
      <c r="N60" s="42"/>
      <c r="O60" s="44"/>
      <c r="P60" s="45"/>
    </row>
    <row r="61" spans="1:16" ht="43.2">
      <c r="A61" s="56" t="s">
        <v>132</v>
      </c>
      <c r="B61" s="57">
        <v>6</v>
      </c>
      <c r="C61" s="9" t="s">
        <v>133</v>
      </c>
      <c r="D61" s="113" t="s">
        <v>500</v>
      </c>
      <c r="E61" s="11" t="s">
        <v>139</v>
      </c>
      <c r="F61" s="37" t="s">
        <v>144</v>
      </c>
      <c r="G61" s="38" t="s">
        <v>145</v>
      </c>
      <c r="H61" s="39" t="s">
        <v>449</v>
      </c>
      <c r="I61" s="39" t="s">
        <v>450</v>
      </c>
      <c r="J61" s="40"/>
      <c r="K61" s="41"/>
      <c r="L61" s="42"/>
      <c r="M61" s="43"/>
      <c r="N61" s="42"/>
      <c r="O61" s="44" t="s">
        <v>465</v>
      </c>
      <c r="P61" s="45" t="s">
        <v>502</v>
      </c>
    </row>
    <row r="62" spans="1:16" ht="43.2">
      <c r="A62" s="56" t="s">
        <v>132</v>
      </c>
      <c r="B62" s="57">
        <v>6</v>
      </c>
      <c r="C62" s="9" t="s">
        <v>133</v>
      </c>
      <c r="D62" s="113" t="s">
        <v>500</v>
      </c>
      <c r="E62" s="11" t="s">
        <v>139</v>
      </c>
      <c r="F62" s="37" t="s">
        <v>146</v>
      </c>
      <c r="G62" s="38" t="s">
        <v>147</v>
      </c>
      <c r="H62" s="39" t="s">
        <v>449</v>
      </c>
      <c r="I62" s="39" t="s">
        <v>452</v>
      </c>
      <c r="J62" s="40"/>
      <c r="K62" s="41"/>
      <c r="L62" s="42"/>
      <c r="M62" s="43"/>
      <c r="N62" s="42"/>
      <c r="O62" s="44"/>
      <c r="P62" s="45"/>
    </row>
    <row r="63" spans="1:16" ht="43.2">
      <c r="A63" s="56" t="s">
        <v>132</v>
      </c>
      <c r="B63" s="57">
        <v>6</v>
      </c>
      <c r="C63" s="9" t="s">
        <v>133</v>
      </c>
      <c r="D63" s="113" t="s">
        <v>500</v>
      </c>
      <c r="E63" s="11" t="s">
        <v>139</v>
      </c>
      <c r="F63" s="37" t="s">
        <v>148</v>
      </c>
      <c r="G63" s="38" t="s">
        <v>149</v>
      </c>
      <c r="H63" s="39" t="s">
        <v>449</v>
      </c>
      <c r="I63" s="39" t="s">
        <v>452</v>
      </c>
      <c r="J63" s="40"/>
      <c r="K63" s="41"/>
      <c r="L63" s="42"/>
      <c r="M63" s="43"/>
      <c r="N63" s="42"/>
      <c r="O63" s="44"/>
      <c r="P63" s="45"/>
    </row>
    <row r="64" spans="1:16" ht="43.2">
      <c r="A64" s="56" t="s">
        <v>132</v>
      </c>
      <c r="B64" s="57">
        <v>6</v>
      </c>
      <c r="C64" s="9" t="s">
        <v>133</v>
      </c>
      <c r="D64" s="113" t="s">
        <v>500</v>
      </c>
      <c r="E64" s="11" t="s">
        <v>139</v>
      </c>
      <c r="F64" s="37" t="s">
        <v>150</v>
      </c>
      <c r="G64" s="38" t="s">
        <v>151</v>
      </c>
      <c r="H64" s="39" t="s">
        <v>449</v>
      </c>
      <c r="I64" s="39" t="s">
        <v>450</v>
      </c>
      <c r="J64" s="40"/>
      <c r="K64" s="41"/>
      <c r="L64" s="42"/>
      <c r="M64" s="43"/>
      <c r="N64" s="42"/>
      <c r="O64" s="44" t="s">
        <v>465</v>
      </c>
      <c r="P64" s="45"/>
    </row>
    <row r="65" spans="1:16" ht="43.2">
      <c r="A65" s="56" t="s">
        <v>132</v>
      </c>
      <c r="B65" s="57">
        <v>6</v>
      </c>
      <c r="C65" s="9" t="s">
        <v>133</v>
      </c>
      <c r="D65" s="113" t="s">
        <v>500</v>
      </c>
      <c r="E65" s="11" t="s">
        <v>139</v>
      </c>
      <c r="F65" s="37" t="s">
        <v>152</v>
      </c>
      <c r="G65" s="38" t="s">
        <v>153</v>
      </c>
      <c r="H65" s="39" t="s">
        <v>449</v>
      </c>
      <c r="I65" s="39" t="s">
        <v>452</v>
      </c>
      <c r="J65" s="40"/>
      <c r="K65" s="41"/>
      <c r="L65" s="42"/>
      <c r="M65" s="43"/>
      <c r="N65" s="42"/>
      <c r="O65" s="44" t="s">
        <v>465</v>
      </c>
      <c r="P65" s="45"/>
    </row>
    <row r="66" spans="1:16" ht="43.2">
      <c r="A66" s="56" t="s">
        <v>132</v>
      </c>
      <c r="B66" s="57">
        <v>6</v>
      </c>
      <c r="C66" s="9" t="s">
        <v>133</v>
      </c>
      <c r="D66" s="113" t="s">
        <v>503</v>
      </c>
      <c r="E66" s="11" t="s">
        <v>154</v>
      </c>
      <c r="F66" s="37" t="s">
        <v>155</v>
      </c>
      <c r="G66" s="38" t="s">
        <v>156</v>
      </c>
      <c r="H66" s="39" t="s">
        <v>449</v>
      </c>
      <c r="I66" s="39" t="s">
        <v>450</v>
      </c>
      <c r="J66" s="40"/>
      <c r="K66" s="41"/>
      <c r="L66" s="42"/>
      <c r="M66" s="43"/>
      <c r="N66" s="42"/>
      <c r="O66" s="44" t="s">
        <v>465</v>
      </c>
      <c r="P66" s="45" t="s">
        <v>504</v>
      </c>
    </row>
    <row r="67" spans="1:16" ht="43.2">
      <c r="A67" s="56" t="s">
        <v>132</v>
      </c>
      <c r="B67" s="57">
        <v>6</v>
      </c>
      <c r="C67" s="9" t="s">
        <v>133</v>
      </c>
      <c r="D67" s="113" t="s">
        <v>503</v>
      </c>
      <c r="E67" s="11" t="s">
        <v>154</v>
      </c>
      <c r="F67" s="37" t="s">
        <v>157</v>
      </c>
      <c r="G67" s="38" t="s">
        <v>158</v>
      </c>
      <c r="H67" s="39" t="s">
        <v>449</v>
      </c>
      <c r="I67" s="39" t="s">
        <v>450</v>
      </c>
      <c r="J67" s="40"/>
      <c r="K67" s="41"/>
      <c r="L67" s="42"/>
      <c r="M67" s="43"/>
      <c r="N67" s="42"/>
      <c r="O67" s="44" t="s">
        <v>465</v>
      </c>
      <c r="P67" s="45" t="s">
        <v>505</v>
      </c>
    </row>
    <row r="68" spans="1:16" ht="43.2">
      <c r="A68" s="56" t="s">
        <v>132</v>
      </c>
      <c r="B68" s="57">
        <v>6</v>
      </c>
      <c r="C68" s="9" t="s">
        <v>133</v>
      </c>
      <c r="D68" s="113" t="s">
        <v>503</v>
      </c>
      <c r="E68" s="11" t="s">
        <v>154</v>
      </c>
      <c r="F68" s="37" t="s">
        <v>159</v>
      </c>
      <c r="G68" s="38" t="s">
        <v>160</v>
      </c>
      <c r="H68" s="39" t="s">
        <v>449</v>
      </c>
      <c r="I68" s="39" t="s">
        <v>450</v>
      </c>
      <c r="J68" s="40"/>
      <c r="K68" s="41"/>
      <c r="L68" s="42"/>
      <c r="M68" s="43"/>
      <c r="N68" s="42"/>
      <c r="O68" s="44"/>
      <c r="P68" s="45"/>
    </row>
    <row r="69" spans="1:16" ht="43.2">
      <c r="A69" s="56" t="s">
        <v>132</v>
      </c>
      <c r="B69" s="57">
        <v>6</v>
      </c>
      <c r="C69" s="9" t="s">
        <v>133</v>
      </c>
      <c r="D69" s="113" t="s">
        <v>503</v>
      </c>
      <c r="E69" s="11" t="s">
        <v>154</v>
      </c>
      <c r="F69" s="37" t="s">
        <v>161</v>
      </c>
      <c r="G69" s="38" t="s">
        <v>162</v>
      </c>
      <c r="H69" s="39" t="s">
        <v>449</v>
      </c>
      <c r="I69" s="39" t="s">
        <v>450</v>
      </c>
      <c r="J69" s="40"/>
      <c r="K69" s="41"/>
      <c r="L69" s="46"/>
      <c r="M69" s="43"/>
      <c r="N69" s="42"/>
      <c r="O69" s="44"/>
      <c r="P69" s="45" t="s">
        <v>506</v>
      </c>
    </row>
    <row r="70" spans="1:16" ht="43.5" customHeight="1">
      <c r="A70" s="56" t="s">
        <v>132</v>
      </c>
      <c r="B70" s="57">
        <v>6</v>
      </c>
      <c r="C70" s="9" t="s">
        <v>133</v>
      </c>
      <c r="D70" s="113" t="s">
        <v>507</v>
      </c>
      <c r="E70" s="11" t="s">
        <v>163</v>
      </c>
      <c r="F70" s="37" t="s">
        <v>164</v>
      </c>
      <c r="G70" s="38" t="s">
        <v>165</v>
      </c>
      <c r="H70" s="39" t="s">
        <v>449</v>
      </c>
      <c r="I70" s="39" t="s">
        <v>452</v>
      </c>
      <c r="J70" s="40"/>
      <c r="K70" s="41"/>
      <c r="L70" s="42"/>
      <c r="M70" s="43"/>
      <c r="N70" s="42"/>
      <c r="O70" s="44"/>
      <c r="P70" s="45" t="s">
        <v>508</v>
      </c>
    </row>
    <row r="71" spans="1:16" ht="72">
      <c r="A71" s="56" t="s">
        <v>132</v>
      </c>
      <c r="B71" s="57">
        <v>6</v>
      </c>
      <c r="C71" s="9" t="s">
        <v>133</v>
      </c>
      <c r="D71" s="113" t="s">
        <v>507</v>
      </c>
      <c r="E71" s="11" t="s">
        <v>163</v>
      </c>
      <c r="F71" s="37" t="s">
        <v>166</v>
      </c>
      <c r="G71" s="38" t="s">
        <v>167</v>
      </c>
      <c r="H71" s="39" t="s">
        <v>449</v>
      </c>
      <c r="I71" s="39" t="s">
        <v>452</v>
      </c>
      <c r="J71" s="40"/>
      <c r="K71" s="41"/>
      <c r="L71" s="42"/>
      <c r="M71" s="43"/>
      <c r="N71" s="42"/>
      <c r="O71" s="44"/>
      <c r="P71" s="45" t="s">
        <v>509</v>
      </c>
    </row>
    <row r="72" spans="1:16" ht="72">
      <c r="A72" s="56" t="s">
        <v>132</v>
      </c>
      <c r="B72" s="57">
        <v>6</v>
      </c>
      <c r="C72" s="9" t="s">
        <v>133</v>
      </c>
      <c r="D72" s="113" t="s">
        <v>507</v>
      </c>
      <c r="E72" s="11" t="s">
        <v>163</v>
      </c>
      <c r="F72" s="37" t="s">
        <v>168</v>
      </c>
      <c r="G72" s="38" t="s">
        <v>169</v>
      </c>
      <c r="H72" s="39" t="s">
        <v>449</v>
      </c>
      <c r="I72" s="39" t="s">
        <v>452</v>
      </c>
      <c r="J72" s="40"/>
      <c r="K72" s="41"/>
      <c r="L72" s="42"/>
      <c r="M72" s="43"/>
      <c r="N72" s="42"/>
      <c r="O72" s="44"/>
      <c r="P72" s="45"/>
    </row>
    <row r="73" spans="1:16" ht="72">
      <c r="A73" s="56" t="s">
        <v>132</v>
      </c>
      <c r="B73" s="57">
        <v>6</v>
      </c>
      <c r="C73" s="9" t="s">
        <v>133</v>
      </c>
      <c r="D73" s="113" t="s">
        <v>507</v>
      </c>
      <c r="E73" s="11" t="s">
        <v>163</v>
      </c>
      <c r="F73" s="37" t="s">
        <v>170</v>
      </c>
      <c r="G73" s="38" t="s">
        <v>171</v>
      </c>
      <c r="H73" s="39" t="s">
        <v>449</v>
      </c>
      <c r="I73" s="39" t="s">
        <v>452</v>
      </c>
      <c r="J73" s="40"/>
      <c r="K73" s="41"/>
      <c r="L73" s="42"/>
      <c r="M73" s="43"/>
      <c r="N73" s="42"/>
      <c r="O73" s="44"/>
      <c r="P73" s="45" t="s">
        <v>510</v>
      </c>
    </row>
    <row r="74" spans="1:16" ht="72">
      <c r="A74" s="56" t="s">
        <v>132</v>
      </c>
      <c r="B74" s="57">
        <v>6</v>
      </c>
      <c r="C74" s="9" t="s">
        <v>133</v>
      </c>
      <c r="D74" s="113" t="s">
        <v>507</v>
      </c>
      <c r="E74" s="11" t="s">
        <v>163</v>
      </c>
      <c r="F74" s="37" t="s">
        <v>172</v>
      </c>
      <c r="G74" s="38" t="s">
        <v>173</v>
      </c>
      <c r="H74" s="39" t="s">
        <v>449</v>
      </c>
      <c r="I74" s="39" t="s">
        <v>452</v>
      </c>
      <c r="J74" s="40"/>
      <c r="K74" s="41"/>
      <c r="L74" s="42"/>
      <c r="M74" s="43"/>
      <c r="N74" s="42"/>
      <c r="O74" s="44" t="s">
        <v>465</v>
      </c>
      <c r="P74" s="45"/>
    </row>
    <row r="75" spans="1:16" ht="72">
      <c r="A75" s="56" t="s">
        <v>132</v>
      </c>
      <c r="B75" s="57">
        <v>6</v>
      </c>
      <c r="C75" s="9" t="s">
        <v>133</v>
      </c>
      <c r="D75" s="113" t="s">
        <v>507</v>
      </c>
      <c r="E75" s="11" t="s">
        <v>163</v>
      </c>
      <c r="F75" s="37" t="s">
        <v>174</v>
      </c>
      <c r="G75" s="38" t="s">
        <v>175</v>
      </c>
      <c r="H75" s="39" t="s">
        <v>449</v>
      </c>
      <c r="I75" s="39" t="s">
        <v>452</v>
      </c>
      <c r="J75" s="40"/>
      <c r="K75" s="41"/>
      <c r="L75" s="42"/>
      <c r="M75" s="43"/>
      <c r="N75" s="42"/>
      <c r="O75" s="44"/>
      <c r="P75" s="45" t="s">
        <v>511</v>
      </c>
    </row>
    <row r="76" spans="1:16" ht="43.2">
      <c r="A76" s="56" t="s">
        <v>132</v>
      </c>
      <c r="B76" s="57">
        <v>6</v>
      </c>
      <c r="C76" s="9" t="s">
        <v>133</v>
      </c>
      <c r="D76" s="113" t="s">
        <v>512</v>
      </c>
      <c r="E76" s="11" t="s">
        <v>176</v>
      </c>
      <c r="F76" s="37" t="s">
        <v>177</v>
      </c>
      <c r="G76" s="38" t="s">
        <v>178</v>
      </c>
      <c r="H76" s="39" t="s">
        <v>449</v>
      </c>
      <c r="I76" s="39" t="s">
        <v>450</v>
      </c>
      <c r="J76" s="40"/>
      <c r="K76" s="41"/>
      <c r="L76" s="42"/>
      <c r="M76" s="43"/>
      <c r="N76" s="42"/>
      <c r="O76" s="44"/>
      <c r="P76" s="45" t="s">
        <v>513</v>
      </c>
    </row>
    <row r="77" spans="1:16" ht="43.2">
      <c r="A77" s="56" t="s">
        <v>132</v>
      </c>
      <c r="B77" s="57">
        <v>6</v>
      </c>
      <c r="C77" s="9" t="s">
        <v>133</v>
      </c>
      <c r="D77" s="113" t="s">
        <v>512</v>
      </c>
      <c r="E77" s="11" t="s">
        <v>176</v>
      </c>
      <c r="F77" s="37" t="s">
        <v>179</v>
      </c>
      <c r="G77" s="38" t="s">
        <v>180</v>
      </c>
      <c r="H77" s="39" t="s">
        <v>449</v>
      </c>
      <c r="I77" s="39" t="s">
        <v>450</v>
      </c>
      <c r="J77" s="40"/>
      <c r="K77" s="41"/>
      <c r="L77" s="42"/>
      <c r="M77" s="43"/>
      <c r="N77" s="42"/>
      <c r="O77" s="44"/>
      <c r="P77" s="45" t="s">
        <v>514</v>
      </c>
    </row>
    <row r="78" spans="1:16" ht="43.2">
      <c r="A78" s="56" t="s">
        <v>132</v>
      </c>
      <c r="B78" s="57">
        <v>6</v>
      </c>
      <c r="C78" s="9" t="s">
        <v>133</v>
      </c>
      <c r="D78" s="113" t="s">
        <v>512</v>
      </c>
      <c r="E78" s="11" t="s">
        <v>176</v>
      </c>
      <c r="F78" s="37" t="s">
        <v>181</v>
      </c>
      <c r="G78" s="38" t="s">
        <v>182</v>
      </c>
      <c r="H78" s="39" t="s">
        <v>449</v>
      </c>
      <c r="I78" s="39" t="s">
        <v>450</v>
      </c>
      <c r="J78" s="40"/>
      <c r="K78" s="41"/>
      <c r="L78" s="42"/>
      <c r="M78" s="43"/>
      <c r="N78" s="42"/>
      <c r="O78" s="44"/>
      <c r="P78" s="45"/>
    </row>
    <row r="79" spans="1:16" ht="43.2">
      <c r="A79" s="56" t="s">
        <v>132</v>
      </c>
      <c r="B79" s="57">
        <v>6</v>
      </c>
      <c r="C79" s="9" t="s">
        <v>133</v>
      </c>
      <c r="D79" s="113" t="s">
        <v>512</v>
      </c>
      <c r="E79" s="11" t="s">
        <v>176</v>
      </c>
      <c r="F79" s="37" t="s">
        <v>183</v>
      </c>
      <c r="G79" s="38" t="s">
        <v>184</v>
      </c>
      <c r="H79" s="39"/>
      <c r="I79" s="39"/>
      <c r="J79" s="40"/>
      <c r="K79" s="41"/>
      <c r="L79" s="42"/>
      <c r="M79" s="43"/>
      <c r="N79" s="42"/>
      <c r="O79" s="44"/>
      <c r="P79" s="45"/>
    </row>
    <row r="80" spans="1:16" ht="43.2">
      <c r="A80" s="56" t="s">
        <v>132</v>
      </c>
      <c r="B80" s="57">
        <v>6</v>
      </c>
      <c r="C80" s="9" t="s">
        <v>133</v>
      </c>
      <c r="D80" s="113" t="s">
        <v>512</v>
      </c>
      <c r="E80" s="11" t="s">
        <v>176</v>
      </c>
      <c r="F80" s="37" t="s">
        <v>185</v>
      </c>
      <c r="G80" s="38" t="s">
        <v>186</v>
      </c>
      <c r="H80" s="39" t="s">
        <v>449</v>
      </c>
      <c r="I80" s="39" t="s">
        <v>450</v>
      </c>
      <c r="J80" s="40"/>
      <c r="K80" s="41"/>
      <c r="L80" s="42"/>
      <c r="M80" s="43"/>
      <c r="N80" s="42"/>
      <c r="O80" s="44"/>
      <c r="P80" s="45" t="s">
        <v>515</v>
      </c>
    </row>
    <row r="81" spans="1:16" ht="43.2">
      <c r="A81" s="56" t="s">
        <v>132</v>
      </c>
      <c r="B81" s="57">
        <v>6</v>
      </c>
      <c r="C81" s="9" t="s">
        <v>133</v>
      </c>
      <c r="D81" s="113" t="s">
        <v>512</v>
      </c>
      <c r="E81" s="11" t="s">
        <v>176</v>
      </c>
      <c r="F81" s="37" t="s">
        <v>187</v>
      </c>
      <c r="G81" s="38" t="s">
        <v>188</v>
      </c>
      <c r="H81" s="39" t="s">
        <v>449</v>
      </c>
      <c r="I81" s="39" t="s">
        <v>450</v>
      </c>
      <c r="J81" s="40"/>
      <c r="K81" s="41"/>
      <c r="L81" s="42"/>
      <c r="M81" s="43"/>
      <c r="N81" s="42"/>
      <c r="O81" s="44" t="s">
        <v>465</v>
      </c>
      <c r="P81" s="45"/>
    </row>
    <row r="82" spans="1:16" ht="43.2">
      <c r="A82" s="60" t="s">
        <v>189</v>
      </c>
      <c r="B82" s="61">
        <v>7</v>
      </c>
      <c r="C82" s="10" t="s">
        <v>190</v>
      </c>
      <c r="D82" s="62" t="s">
        <v>516</v>
      </c>
      <c r="E82" s="63" t="s">
        <v>191</v>
      </c>
      <c r="F82" s="37" t="s">
        <v>192</v>
      </c>
      <c r="G82" s="38" t="s">
        <v>193</v>
      </c>
      <c r="H82" s="39" t="s">
        <v>449</v>
      </c>
      <c r="I82" s="39" t="s">
        <v>461</v>
      </c>
      <c r="J82" s="40"/>
      <c r="K82" s="41"/>
      <c r="L82" s="42"/>
      <c r="M82" s="43"/>
      <c r="N82" s="42"/>
      <c r="O82" s="44"/>
      <c r="P82" s="45"/>
    </row>
    <row r="83" spans="1:16" ht="43.5" customHeight="1">
      <c r="A83" s="60" t="s">
        <v>189</v>
      </c>
      <c r="B83" s="64">
        <v>8</v>
      </c>
      <c r="C83" s="65" t="s">
        <v>194</v>
      </c>
      <c r="D83" s="114" t="s">
        <v>517</v>
      </c>
      <c r="E83" s="115" t="s">
        <v>195</v>
      </c>
      <c r="F83" s="37" t="s">
        <v>196</v>
      </c>
      <c r="G83" s="38" t="s">
        <v>197</v>
      </c>
      <c r="H83" s="39" t="s">
        <v>449</v>
      </c>
      <c r="I83" s="39" t="s">
        <v>461</v>
      </c>
      <c r="J83" s="40"/>
      <c r="K83" s="41"/>
      <c r="L83" s="42"/>
      <c r="M83" s="43"/>
      <c r="N83" s="42"/>
      <c r="O83" s="44"/>
      <c r="P83" s="45"/>
    </row>
    <row r="84" spans="1:16" ht="72">
      <c r="A84" s="60" t="s">
        <v>189</v>
      </c>
      <c r="B84" s="64">
        <v>8</v>
      </c>
      <c r="C84" s="65" t="s">
        <v>194</v>
      </c>
      <c r="D84" s="114" t="s">
        <v>517</v>
      </c>
      <c r="E84" s="115" t="s">
        <v>195</v>
      </c>
      <c r="F84" s="37" t="s">
        <v>198</v>
      </c>
      <c r="G84" s="38" t="s">
        <v>199</v>
      </c>
      <c r="H84" s="39" t="s">
        <v>449</v>
      </c>
      <c r="I84" s="39" t="s">
        <v>461</v>
      </c>
      <c r="J84" s="40"/>
      <c r="K84" s="41"/>
      <c r="L84" s="42"/>
      <c r="M84" s="43"/>
      <c r="N84" s="42"/>
      <c r="O84" s="44"/>
      <c r="P84" s="45"/>
    </row>
    <row r="85" spans="1:16" ht="72">
      <c r="A85" s="60" t="s">
        <v>189</v>
      </c>
      <c r="B85" s="64">
        <v>8</v>
      </c>
      <c r="C85" s="65" t="s">
        <v>194</v>
      </c>
      <c r="D85" s="114" t="s">
        <v>517</v>
      </c>
      <c r="E85" s="115" t="s">
        <v>195</v>
      </c>
      <c r="F85" s="37" t="s">
        <v>200</v>
      </c>
      <c r="G85" s="38" t="s">
        <v>201</v>
      </c>
      <c r="H85" s="39" t="s">
        <v>451</v>
      </c>
      <c r="I85" s="39" t="s">
        <v>452</v>
      </c>
      <c r="J85" s="40"/>
      <c r="K85" s="41"/>
      <c r="L85" s="42"/>
      <c r="M85" s="43"/>
      <c r="N85" s="42"/>
      <c r="O85" s="44"/>
      <c r="P85" s="45"/>
    </row>
    <row r="86" spans="1:16" ht="72">
      <c r="A86" s="60" t="s">
        <v>189</v>
      </c>
      <c r="B86" s="64">
        <v>8</v>
      </c>
      <c r="C86" s="65" t="s">
        <v>194</v>
      </c>
      <c r="D86" s="62" t="s">
        <v>518</v>
      </c>
      <c r="E86" s="63" t="s">
        <v>202</v>
      </c>
      <c r="F86" s="39" t="s">
        <v>203</v>
      </c>
      <c r="G86" s="38" t="s">
        <v>204</v>
      </c>
      <c r="H86" s="44"/>
      <c r="I86" s="44"/>
      <c r="J86" s="40"/>
      <c r="K86" s="43"/>
      <c r="L86" s="42"/>
      <c r="M86" s="43"/>
      <c r="N86" s="42"/>
      <c r="O86" s="44" t="s">
        <v>465</v>
      </c>
      <c r="P86" s="45"/>
    </row>
    <row r="87" spans="1:16" ht="72">
      <c r="A87" s="60" t="s">
        <v>189</v>
      </c>
      <c r="B87" s="64">
        <v>8</v>
      </c>
      <c r="C87" s="65" t="s">
        <v>194</v>
      </c>
      <c r="D87" s="116" t="s">
        <v>519</v>
      </c>
      <c r="E87" s="63" t="s">
        <v>205</v>
      </c>
      <c r="F87" s="37" t="s">
        <v>206</v>
      </c>
      <c r="G87" s="38" t="s">
        <v>207</v>
      </c>
      <c r="H87" s="39" t="s">
        <v>449</v>
      </c>
      <c r="I87" s="39" t="s">
        <v>452</v>
      </c>
      <c r="J87" s="40"/>
      <c r="K87" s="41"/>
      <c r="L87" s="42"/>
      <c r="M87" s="43"/>
      <c r="N87" s="42"/>
      <c r="O87" s="44" t="s">
        <v>465</v>
      </c>
      <c r="P87" s="45" t="s">
        <v>520</v>
      </c>
    </row>
    <row r="88" spans="1:16" ht="72">
      <c r="A88" s="60" t="s">
        <v>189</v>
      </c>
      <c r="B88" s="64">
        <v>8</v>
      </c>
      <c r="C88" s="65" t="s">
        <v>194</v>
      </c>
      <c r="D88" s="116" t="s">
        <v>519</v>
      </c>
      <c r="E88" s="63" t="s">
        <v>205</v>
      </c>
      <c r="F88" s="37" t="s">
        <v>208</v>
      </c>
      <c r="G88" s="38" t="s">
        <v>209</v>
      </c>
      <c r="H88" s="39" t="s">
        <v>449</v>
      </c>
      <c r="I88" s="39" t="s">
        <v>450</v>
      </c>
      <c r="J88" s="40"/>
      <c r="K88" s="41"/>
      <c r="L88" s="42"/>
      <c r="M88" s="43"/>
      <c r="N88" s="42"/>
      <c r="O88" s="48" t="s">
        <v>521</v>
      </c>
      <c r="P88" s="45"/>
    </row>
    <row r="89" spans="1:16" ht="72">
      <c r="A89" s="60" t="s">
        <v>189</v>
      </c>
      <c r="B89" s="64">
        <v>8</v>
      </c>
      <c r="C89" s="65" t="s">
        <v>194</v>
      </c>
      <c r="D89" s="116" t="s">
        <v>519</v>
      </c>
      <c r="E89" s="63" t="s">
        <v>205</v>
      </c>
      <c r="F89" s="37" t="s">
        <v>210</v>
      </c>
      <c r="G89" s="38" t="s">
        <v>211</v>
      </c>
      <c r="H89" s="39" t="s">
        <v>449</v>
      </c>
      <c r="I89" s="39" t="s">
        <v>452</v>
      </c>
      <c r="J89" s="40"/>
      <c r="K89" s="41"/>
      <c r="L89" s="46"/>
      <c r="M89" s="43"/>
      <c r="N89" s="42"/>
      <c r="O89" s="44"/>
      <c r="P89" s="45"/>
    </row>
    <row r="90" spans="1:16" ht="72">
      <c r="A90" s="60" t="s">
        <v>189</v>
      </c>
      <c r="B90" s="64">
        <v>8</v>
      </c>
      <c r="C90" s="65" t="s">
        <v>194</v>
      </c>
      <c r="D90" s="116" t="s">
        <v>519</v>
      </c>
      <c r="E90" s="63" t="s">
        <v>205</v>
      </c>
      <c r="F90" s="37" t="s">
        <v>212</v>
      </c>
      <c r="G90" s="38" t="s">
        <v>213</v>
      </c>
      <c r="H90" s="39" t="s">
        <v>449</v>
      </c>
      <c r="I90" s="39" t="s">
        <v>452</v>
      </c>
      <c r="J90" s="40"/>
      <c r="K90" s="41"/>
      <c r="L90" s="42"/>
      <c r="M90" s="43"/>
      <c r="N90" s="42"/>
      <c r="O90" s="48" t="s">
        <v>521</v>
      </c>
      <c r="P90" s="45"/>
    </row>
    <row r="91" spans="1:16" ht="72">
      <c r="A91" s="60" t="s">
        <v>189</v>
      </c>
      <c r="B91" s="64">
        <v>8</v>
      </c>
      <c r="C91" s="65" t="s">
        <v>194</v>
      </c>
      <c r="D91" s="116" t="s">
        <v>519</v>
      </c>
      <c r="E91" s="63" t="s">
        <v>205</v>
      </c>
      <c r="F91" s="37" t="s">
        <v>214</v>
      </c>
      <c r="G91" s="38" t="s">
        <v>215</v>
      </c>
      <c r="H91" s="39" t="s">
        <v>449</v>
      </c>
      <c r="I91" s="39" t="s">
        <v>452</v>
      </c>
      <c r="J91" s="40"/>
      <c r="K91" s="41"/>
      <c r="L91" s="42"/>
      <c r="M91" s="43"/>
      <c r="N91" s="42"/>
      <c r="O91" s="48" t="s">
        <v>465</v>
      </c>
      <c r="P91" s="45"/>
    </row>
    <row r="92" spans="1:16" ht="72">
      <c r="A92" s="60" t="s">
        <v>189</v>
      </c>
      <c r="B92" s="64">
        <v>8</v>
      </c>
      <c r="C92" s="65" t="s">
        <v>194</v>
      </c>
      <c r="D92" s="116" t="s">
        <v>519</v>
      </c>
      <c r="E92" s="63" t="s">
        <v>205</v>
      </c>
      <c r="F92" s="37" t="s">
        <v>216</v>
      </c>
      <c r="G92" s="38" t="s">
        <v>217</v>
      </c>
      <c r="H92" s="39" t="s">
        <v>449</v>
      </c>
      <c r="I92" s="39" t="s">
        <v>452</v>
      </c>
      <c r="J92" s="40"/>
      <c r="K92" s="41"/>
      <c r="L92" s="46"/>
      <c r="M92" s="43"/>
      <c r="N92" s="42"/>
      <c r="O92" s="44"/>
      <c r="P92" s="45"/>
    </row>
    <row r="93" spans="1:16" ht="72">
      <c r="A93" s="60" t="s">
        <v>189</v>
      </c>
      <c r="B93" s="64">
        <v>8</v>
      </c>
      <c r="C93" s="65" t="s">
        <v>194</v>
      </c>
      <c r="D93" s="116" t="s">
        <v>522</v>
      </c>
      <c r="E93" s="63" t="s">
        <v>218</v>
      </c>
      <c r="F93" s="37" t="s">
        <v>219</v>
      </c>
      <c r="G93" s="38" t="s">
        <v>220</v>
      </c>
      <c r="H93" s="39" t="s">
        <v>449</v>
      </c>
      <c r="I93" s="39" t="s">
        <v>450</v>
      </c>
      <c r="J93" s="40"/>
      <c r="K93" s="41"/>
      <c r="L93" s="42"/>
      <c r="M93" s="43"/>
      <c r="N93" s="42"/>
      <c r="O93" s="44" t="s">
        <v>462</v>
      </c>
      <c r="P93" s="45"/>
    </row>
    <row r="94" spans="1:16" ht="72">
      <c r="A94" s="60" t="s">
        <v>189</v>
      </c>
      <c r="B94" s="64">
        <v>8</v>
      </c>
      <c r="C94" s="65" t="s">
        <v>194</v>
      </c>
      <c r="D94" s="116" t="s">
        <v>522</v>
      </c>
      <c r="E94" s="63" t="s">
        <v>218</v>
      </c>
      <c r="F94" s="37" t="s">
        <v>221</v>
      </c>
      <c r="G94" s="38" t="s">
        <v>222</v>
      </c>
      <c r="H94" s="39" t="s">
        <v>449</v>
      </c>
      <c r="I94" s="39" t="s">
        <v>450</v>
      </c>
      <c r="J94" s="40"/>
      <c r="K94" s="41"/>
      <c r="L94" s="42"/>
      <c r="M94" s="43"/>
      <c r="N94" s="42"/>
      <c r="O94" s="44" t="s">
        <v>462</v>
      </c>
      <c r="P94" s="45"/>
    </row>
    <row r="95" spans="1:16" ht="72">
      <c r="A95" s="60" t="s">
        <v>189</v>
      </c>
      <c r="B95" s="64">
        <v>8</v>
      </c>
      <c r="C95" s="65" t="s">
        <v>194</v>
      </c>
      <c r="D95" s="116" t="s">
        <v>522</v>
      </c>
      <c r="E95" s="63" t="s">
        <v>218</v>
      </c>
      <c r="F95" s="37" t="s">
        <v>223</v>
      </c>
      <c r="G95" s="38" t="s">
        <v>224</v>
      </c>
      <c r="H95" s="39" t="s">
        <v>449</v>
      </c>
      <c r="I95" s="39" t="s">
        <v>450</v>
      </c>
      <c r="J95" s="40"/>
      <c r="K95" s="41"/>
      <c r="L95" s="42"/>
      <c r="M95" s="43"/>
      <c r="N95" s="42"/>
      <c r="O95" s="44"/>
      <c r="P95" s="45"/>
    </row>
    <row r="96" spans="1:16" ht="43.2">
      <c r="A96" s="60" t="s">
        <v>189</v>
      </c>
      <c r="B96" s="64">
        <v>9</v>
      </c>
      <c r="C96" s="65" t="s">
        <v>225</v>
      </c>
      <c r="D96" s="114" t="s">
        <v>523</v>
      </c>
      <c r="E96" s="115" t="s">
        <v>226</v>
      </c>
      <c r="F96" s="37" t="s">
        <v>227</v>
      </c>
      <c r="G96" s="38" t="s">
        <v>228</v>
      </c>
      <c r="H96" s="39" t="s">
        <v>449</v>
      </c>
      <c r="I96" s="39" t="s">
        <v>452</v>
      </c>
      <c r="J96" s="40"/>
      <c r="K96" s="41"/>
      <c r="L96" s="46"/>
      <c r="M96" s="43"/>
      <c r="N96" s="42"/>
      <c r="O96" s="44" t="s">
        <v>465</v>
      </c>
      <c r="P96" s="45"/>
    </row>
    <row r="97" spans="1:16" ht="43.2">
      <c r="A97" s="60" t="s">
        <v>189</v>
      </c>
      <c r="B97" s="64">
        <v>9</v>
      </c>
      <c r="C97" s="65" t="s">
        <v>225</v>
      </c>
      <c r="D97" s="114" t="s">
        <v>523</v>
      </c>
      <c r="E97" s="115" t="s">
        <v>226</v>
      </c>
      <c r="F97" s="37" t="s">
        <v>229</v>
      </c>
      <c r="G97" s="38" t="s">
        <v>230</v>
      </c>
      <c r="H97" s="39" t="s">
        <v>449</v>
      </c>
      <c r="I97" s="39" t="s">
        <v>452</v>
      </c>
      <c r="J97" s="40"/>
      <c r="K97" s="41"/>
      <c r="L97" s="46"/>
      <c r="M97" s="43"/>
      <c r="N97" s="42"/>
      <c r="O97" s="44"/>
      <c r="P97" s="45"/>
    </row>
    <row r="98" spans="1:16" ht="43.2">
      <c r="A98" s="60" t="s">
        <v>189</v>
      </c>
      <c r="B98" s="64">
        <v>9</v>
      </c>
      <c r="C98" s="65" t="s">
        <v>225</v>
      </c>
      <c r="D98" s="114" t="s">
        <v>524</v>
      </c>
      <c r="E98" s="115" t="s">
        <v>231</v>
      </c>
      <c r="F98" s="37" t="s">
        <v>232</v>
      </c>
      <c r="G98" s="38" t="s">
        <v>233</v>
      </c>
      <c r="H98" s="39" t="s">
        <v>449</v>
      </c>
      <c r="I98" s="39" t="s">
        <v>452</v>
      </c>
      <c r="J98" s="40"/>
      <c r="K98" s="41"/>
      <c r="L98" s="46"/>
      <c r="M98" s="43"/>
      <c r="N98" s="42"/>
      <c r="O98" s="44" t="s">
        <v>465</v>
      </c>
      <c r="P98" s="45"/>
    </row>
    <row r="99" spans="1:16" ht="43.2">
      <c r="A99" s="60" t="s">
        <v>189</v>
      </c>
      <c r="B99" s="64">
        <v>9</v>
      </c>
      <c r="C99" s="65" t="s">
        <v>225</v>
      </c>
      <c r="D99" s="114" t="s">
        <v>524</v>
      </c>
      <c r="E99" s="115" t="s">
        <v>231</v>
      </c>
      <c r="F99" s="37" t="s">
        <v>234</v>
      </c>
      <c r="G99" s="38" t="s">
        <v>235</v>
      </c>
      <c r="H99" s="39" t="s">
        <v>449</v>
      </c>
      <c r="I99" s="39" t="s">
        <v>452</v>
      </c>
      <c r="J99" s="40"/>
      <c r="K99" s="41"/>
      <c r="L99" s="42"/>
      <c r="M99" s="43"/>
      <c r="N99" s="42"/>
      <c r="O99" s="44" t="s">
        <v>465</v>
      </c>
      <c r="P99" s="45"/>
    </row>
    <row r="100" spans="1:16" ht="57.6">
      <c r="A100" s="66" t="s">
        <v>236</v>
      </c>
      <c r="B100" s="67">
        <v>10</v>
      </c>
      <c r="C100" s="68" t="s">
        <v>237</v>
      </c>
      <c r="D100" s="69" t="s">
        <v>525</v>
      </c>
      <c r="E100" s="70" t="s">
        <v>238</v>
      </c>
      <c r="F100" s="37" t="s">
        <v>239</v>
      </c>
      <c r="G100" s="38" t="s">
        <v>240</v>
      </c>
      <c r="H100" s="39" t="s">
        <v>449</v>
      </c>
      <c r="I100" s="39" t="s">
        <v>450</v>
      </c>
      <c r="J100" s="40"/>
      <c r="K100" s="41"/>
      <c r="L100" s="71"/>
      <c r="M100" s="43"/>
      <c r="N100" s="71"/>
      <c r="O100" s="44"/>
      <c r="P100" s="45" t="s">
        <v>526</v>
      </c>
    </row>
    <row r="101" spans="1:16" ht="29.1" customHeight="1">
      <c r="A101" s="66" t="s">
        <v>236</v>
      </c>
      <c r="B101" s="72">
        <v>11</v>
      </c>
      <c r="C101" s="137" t="s">
        <v>241</v>
      </c>
      <c r="D101" s="117" t="s">
        <v>527</v>
      </c>
      <c r="E101" s="118" t="s">
        <v>242</v>
      </c>
      <c r="F101" s="37" t="s">
        <v>243</v>
      </c>
      <c r="G101" s="38" t="s">
        <v>244</v>
      </c>
      <c r="H101" s="39" t="s">
        <v>449</v>
      </c>
      <c r="I101" s="39" t="s">
        <v>450</v>
      </c>
      <c r="J101" s="40"/>
      <c r="K101" s="41"/>
      <c r="L101" s="40"/>
      <c r="M101" s="43"/>
      <c r="N101" s="40"/>
      <c r="O101" s="44"/>
      <c r="P101" s="45" t="s">
        <v>526</v>
      </c>
    </row>
    <row r="102" spans="1:16" ht="43.2">
      <c r="A102" s="66" t="s">
        <v>236</v>
      </c>
      <c r="B102" s="72">
        <v>11</v>
      </c>
      <c r="C102" s="137" t="s">
        <v>241</v>
      </c>
      <c r="D102" s="117" t="s">
        <v>527</v>
      </c>
      <c r="E102" s="118" t="s">
        <v>242</v>
      </c>
      <c r="F102" s="37" t="s">
        <v>245</v>
      </c>
      <c r="G102" s="38" t="s">
        <v>246</v>
      </c>
      <c r="H102" s="39" t="s">
        <v>449</v>
      </c>
      <c r="I102" s="39" t="s">
        <v>450</v>
      </c>
      <c r="J102" s="40"/>
      <c r="K102" s="41"/>
      <c r="L102" s="40"/>
      <c r="M102" s="43"/>
      <c r="N102" s="40"/>
      <c r="O102" s="44"/>
      <c r="P102" s="45" t="s">
        <v>526</v>
      </c>
    </row>
    <row r="103" spans="1:16" ht="43.2">
      <c r="A103" s="66" t="s">
        <v>236</v>
      </c>
      <c r="B103" s="72">
        <v>11</v>
      </c>
      <c r="C103" s="137" t="s">
        <v>241</v>
      </c>
      <c r="D103" s="117" t="s">
        <v>527</v>
      </c>
      <c r="E103" s="118" t="s">
        <v>242</v>
      </c>
      <c r="F103" s="37" t="s">
        <v>247</v>
      </c>
      <c r="G103" s="38" t="s">
        <v>248</v>
      </c>
      <c r="H103" s="39" t="s">
        <v>451</v>
      </c>
      <c r="I103" s="39" t="s">
        <v>450</v>
      </c>
      <c r="J103" s="40"/>
      <c r="K103" s="41"/>
      <c r="L103" s="40"/>
      <c r="M103" s="43"/>
      <c r="N103" s="40"/>
      <c r="O103" s="44"/>
      <c r="P103" s="45" t="s">
        <v>526</v>
      </c>
    </row>
    <row r="104" spans="1:16" ht="43.2">
      <c r="A104" s="66" t="s">
        <v>236</v>
      </c>
      <c r="B104" s="72">
        <v>11</v>
      </c>
      <c r="C104" s="137" t="s">
        <v>241</v>
      </c>
      <c r="D104" s="117" t="s">
        <v>527</v>
      </c>
      <c r="E104" s="118" t="s">
        <v>242</v>
      </c>
      <c r="F104" s="37" t="s">
        <v>249</v>
      </c>
      <c r="G104" s="38" t="s">
        <v>250</v>
      </c>
      <c r="H104" s="39" t="s">
        <v>449</v>
      </c>
      <c r="I104" s="39" t="s">
        <v>450</v>
      </c>
      <c r="J104" s="40"/>
      <c r="K104" s="41"/>
      <c r="L104" s="40"/>
      <c r="M104" s="43"/>
      <c r="N104" s="40"/>
      <c r="O104" s="44"/>
      <c r="P104" s="45" t="s">
        <v>526</v>
      </c>
    </row>
    <row r="105" spans="1:16" ht="43.2">
      <c r="A105" s="66" t="s">
        <v>236</v>
      </c>
      <c r="B105" s="72">
        <v>11</v>
      </c>
      <c r="C105" s="137" t="s">
        <v>241</v>
      </c>
      <c r="D105" s="117" t="s">
        <v>527</v>
      </c>
      <c r="E105" s="118" t="s">
        <v>242</v>
      </c>
      <c r="F105" s="37" t="s">
        <v>251</v>
      </c>
      <c r="G105" s="38" t="s">
        <v>252</v>
      </c>
      <c r="H105" s="39" t="s">
        <v>449</v>
      </c>
      <c r="I105" s="39" t="s">
        <v>450</v>
      </c>
      <c r="J105" s="40"/>
      <c r="K105" s="41"/>
      <c r="L105" s="40"/>
      <c r="M105" s="43"/>
      <c r="N105" s="40"/>
      <c r="O105" s="44"/>
      <c r="P105" s="45" t="s">
        <v>526</v>
      </c>
    </row>
    <row r="106" spans="1:16" ht="43.2">
      <c r="A106" s="66" t="s">
        <v>236</v>
      </c>
      <c r="B106" s="72">
        <v>11</v>
      </c>
      <c r="C106" s="137" t="s">
        <v>241</v>
      </c>
      <c r="D106" s="117" t="s">
        <v>527</v>
      </c>
      <c r="E106" s="118" t="s">
        <v>242</v>
      </c>
      <c r="F106" s="37" t="s">
        <v>253</v>
      </c>
      <c r="G106" s="38" t="s">
        <v>254</v>
      </c>
      <c r="H106" s="39" t="s">
        <v>449</v>
      </c>
      <c r="I106" s="39" t="s">
        <v>450</v>
      </c>
      <c r="J106" s="40"/>
      <c r="K106" s="41"/>
      <c r="L106" s="40"/>
      <c r="M106" s="43"/>
      <c r="N106" s="40"/>
      <c r="O106" s="44"/>
      <c r="P106" s="45" t="s">
        <v>526</v>
      </c>
    </row>
    <row r="107" spans="1:16" ht="43.2">
      <c r="A107" s="66" t="s">
        <v>236</v>
      </c>
      <c r="B107" s="72">
        <v>11</v>
      </c>
      <c r="C107" s="137" t="s">
        <v>241</v>
      </c>
      <c r="D107" s="117" t="s">
        <v>527</v>
      </c>
      <c r="E107" s="118" t="s">
        <v>242</v>
      </c>
      <c r="F107" s="37" t="s">
        <v>255</v>
      </c>
      <c r="G107" s="38" t="s">
        <v>256</v>
      </c>
      <c r="H107" s="39" t="s">
        <v>451</v>
      </c>
      <c r="I107" s="39" t="s">
        <v>450</v>
      </c>
      <c r="J107" s="40"/>
      <c r="K107" s="41"/>
      <c r="L107" s="40"/>
      <c r="M107" s="43"/>
      <c r="N107" s="40"/>
      <c r="O107" s="44"/>
      <c r="P107" s="45" t="s">
        <v>526</v>
      </c>
    </row>
    <row r="108" spans="1:16" ht="43.2">
      <c r="A108" s="66" t="s">
        <v>236</v>
      </c>
      <c r="B108" s="72">
        <v>11</v>
      </c>
      <c r="C108" s="137" t="s">
        <v>241</v>
      </c>
      <c r="D108" s="117" t="s">
        <v>527</v>
      </c>
      <c r="E108" s="118" t="s">
        <v>242</v>
      </c>
      <c r="F108" s="37" t="s">
        <v>257</v>
      </c>
      <c r="G108" s="38" t="s">
        <v>258</v>
      </c>
      <c r="H108" s="39" t="s">
        <v>451</v>
      </c>
      <c r="I108" s="39" t="s">
        <v>450</v>
      </c>
      <c r="J108" s="40"/>
      <c r="K108" s="41"/>
      <c r="L108" s="40"/>
      <c r="M108" s="43"/>
      <c r="N108" s="40"/>
      <c r="O108" s="44"/>
      <c r="P108" s="45" t="s">
        <v>526</v>
      </c>
    </row>
    <row r="109" spans="1:16" ht="43.2">
      <c r="A109" s="66" t="s">
        <v>236</v>
      </c>
      <c r="B109" s="72">
        <v>11</v>
      </c>
      <c r="C109" s="137" t="s">
        <v>241</v>
      </c>
      <c r="D109" s="117" t="s">
        <v>527</v>
      </c>
      <c r="E109" s="118" t="s">
        <v>242</v>
      </c>
      <c r="F109" s="37" t="s">
        <v>259</v>
      </c>
      <c r="G109" s="38" t="s">
        <v>260</v>
      </c>
      <c r="H109" s="39" t="s">
        <v>451</v>
      </c>
      <c r="I109" s="39" t="s">
        <v>450</v>
      </c>
      <c r="J109" s="40"/>
      <c r="K109" s="41"/>
      <c r="L109" s="40"/>
      <c r="M109" s="43"/>
      <c r="N109" s="40"/>
      <c r="O109" s="44"/>
      <c r="P109" s="45" t="s">
        <v>526</v>
      </c>
    </row>
    <row r="110" spans="1:16" ht="43.2">
      <c r="A110" s="66" t="s">
        <v>236</v>
      </c>
      <c r="B110" s="72">
        <v>11</v>
      </c>
      <c r="C110" s="137" t="s">
        <v>241</v>
      </c>
      <c r="D110" s="117" t="s">
        <v>527</v>
      </c>
      <c r="E110" s="118" t="s">
        <v>242</v>
      </c>
      <c r="F110" s="37" t="s">
        <v>261</v>
      </c>
      <c r="G110" s="38" t="s">
        <v>262</v>
      </c>
      <c r="H110" s="39" t="s">
        <v>451</v>
      </c>
      <c r="I110" s="39" t="s">
        <v>450</v>
      </c>
      <c r="J110" s="40"/>
      <c r="K110" s="41"/>
      <c r="L110" s="40"/>
      <c r="M110" s="43"/>
      <c r="N110" s="40"/>
      <c r="O110" s="44"/>
      <c r="P110" s="45" t="s">
        <v>526</v>
      </c>
    </row>
    <row r="111" spans="1:16" ht="43.2">
      <c r="A111" s="66" t="s">
        <v>236</v>
      </c>
      <c r="B111" s="72">
        <v>11</v>
      </c>
      <c r="C111" s="137" t="s">
        <v>241</v>
      </c>
      <c r="D111" s="117" t="s">
        <v>527</v>
      </c>
      <c r="E111" s="118" t="s">
        <v>242</v>
      </c>
      <c r="F111" s="37" t="s">
        <v>263</v>
      </c>
      <c r="G111" s="38" t="s">
        <v>264</v>
      </c>
      <c r="H111" s="39" t="s">
        <v>449</v>
      </c>
      <c r="I111" s="39" t="s">
        <v>450</v>
      </c>
      <c r="J111" s="40"/>
      <c r="K111" s="41"/>
      <c r="L111" s="40"/>
      <c r="M111" s="43"/>
      <c r="N111" s="40"/>
      <c r="O111" s="44"/>
      <c r="P111" s="45" t="s">
        <v>526</v>
      </c>
    </row>
    <row r="112" spans="1:16" ht="43.2">
      <c r="A112" s="66" t="s">
        <v>236</v>
      </c>
      <c r="B112" s="72">
        <v>11</v>
      </c>
      <c r="C112" s="137" t="s">
        <v>241</v>
      </c>
      <c r="D112" s="117" t="s">
        <v>527</v>
      </c>
      <c r="E112" s="118" t="s">
        <v>242</v>
      </c>
      <c r="F112" s="37" t="s">
        <v>265</v>
      </c>
      <c r="G112" s="38" t="s">
        <v>266</v>
      </c>
      <c r="H112" s="39" t="s">
        <v>449</v>
      </c>
      <c r="I112" s="39" t="s">
        <v>450</v>
      </c>
      <c r="J112" s="40"/>
      <c r="K112" s="41"/>
      <c r="L112" s="40"/>
      <c r="M112" s="43"/>
      <c r="N112" s="40"/>
      <c r="O112" s="44"/>
      <c r="P112" s="45" t="s">
        <v>526</v>
      </c>
    </row>
    <row r="113" spans="1:16" ht="43.2">
      <c r="A113" s="66" t="s">
        <v>236</v>
      </c>
      <c r="B113" s="72">
        <v>11</v>
      </c>
      <c r="C113" s="137" t="s">
        <v>241</v>
      </c>
      <c r="D113" s="117" t="s">
        <v>528</v>
      </c>
      <c r="E113" s="119" t="s">
        <v>267</v>
      </c>
      <c r="F113" s="39" t="s">
        <v>268</v>
      </c>
      <c r="G113" s="38" t="s">
        <v>269</v>
      </c>
      <c r="H113" s="39" t="s">
        <v>449</v>
      </c>
      <c r="I113" s="39" t="s">
        <v>450</v>
      </c>
      <c r="J113" s="40"/>
      <c r="K113" s="41"/>
      <c r="L113" s="42"/>
      <c r="M113" s="43"/>
      <c r="N113" s="42"/>
      <c r="O113" s="44"/>
      <c r="P113" s="38" t="s">
        <v>529</v>
      </c>
    </row>
    <row r="114" spans="1:16" ht="43.2">
      <c r="A114" s="66" t="s">
        <v>236</v>
      </c>
      <c r="B114" s="72">
        <v>11</v>
      </c>
      <c r="C114" s="137" t="s">
        <v>241</v>
      </c>
      <c r="D114" s="117" t="s">
        <v>528</v>
      </c>
      <c r="E114" s="119" t="s">
        <v>267</v>
      </c>
      <c r="F114" s="39" t="s">
        <v>270</v>
      </c>
      <c r="G114" s="38" t="s">
        <v>271</v>
      </c>
      <c r="H114" s="39" t="s">
        <v>449</v>
      </c>
      <c r="I114" s="39" t="s">
        <v>450</v>
      </c>
      <c r="J114" s="40"/>
      <c r="K114" s="41"/>
      <c r="L114" s="42"/>
      <c r="M114" s="43"/>
      <c r="N114" s="42"/>
      <c r="O114" s="44"/>
      <c r="P114" s="38" t="s">
        <v>530</v>
      </c>
    </row>
    <row r="115" spans="1:16" ht="14.4" customHeight="1">
      <c r="A115" s="66" t="s">
        <v>236</v>
      </c>
      <c r="B115" s="72">
        <v>11</v>
      </c>
      <c r="C115" s="137" t="s">
        <v>241</v>
      </c>
      <c r="D115" s="117" t="s">
        <v>531</v>
      </c>
      <c r="E115" s="118" t="s">
        <v>272</v>
      </c>
      <c r="F115" s="37" t="s">
        <v>273</v>
      </c>
      <c r="G115" s="38" t="s">
        <v>274</v>
      </c>
      <c r="H115" s="39" t="s">
        <v>449</v>
      </c>
      <c r="I115" s="39" t="s">
        <v>450</v>
      </c>
      <c r="J115" s="40"/>
      <c r="K115" s="41"/>
      <c r="L115" s="40"/>
      <c r="M115" s="43"/>
      <c r="N115" s="40"/>
      <c r="O115" s="44"/>
      <c r="P115" s="45" t="s">
        <v>526</v>
      </c>
    </row>
    <row r="116" spans="1:16" ht="43.2">
      <c r="A116" s="66" t="s">
        <v>236</v>
      </c>
      <c r="B116" s="72">
        <v>11</v>
      </c>
      <c r="C116" s="137" t="s">
        <v>241</v>
      </c>
      <c r="D116" s="117" t="s">
        <v>531</v>
      </c>
      <c r="E116" s="118" t="s">
        <v>272</v>
      </c>
      <c r="F116" s="37" t="s">
        <v>275</v>
      </c>
      <c r="G116" s="38" t="s">
        <v>276</v>
      </c>
      <c r="H116" s="39" t="s">
        <v>449</v>
      </c>
      <c r="I116" s="39" t="s">
        <v>450</v>
      </c>
      <c r="J116" s="40"/>
      <c r="K116" s="41"/>
      <c r="L116" s="40"/>
      <c r="M116" s="43"/>
      <c r="N116" s="40"/>
      <c r="O116" s="44"/>
      <c r="P116" s="45" t="s">
        <v>526</v>
      </c>
    </row>
    <row r="117" spans="1:16" ht="43.2">
      <c r="A117" s="66" t="s">
        <v>236</v>
      </c>
      <c r="B117" s="72">
        <v>11</v>
      </c>
      <c r="C117" s="137" t="s">
        <v>241</v>
      </c>
      <c r="D117" s="117" t="s">
        <v>531</v>
      </c>
      <c r="E117" s="118" t="s">
        <v>272</v>
      </c>
      <c r="F117" s="37" t="s">
        <v>277</v>
      </c>
      <c r="G117" s="38" t="s">
        <v>278</v>
      </c>
      <c r="H117" s="39" t="s">
        <v>451</v>
      </c>
      <c r="I117" s="39" t="s">
        <v>450</v>
      </c>
      <c r="J117" s="40"/>
      <c r="K117" s="41"/>
      <c r="L117" s="40"/>
      <c r="M117" s="43"/>
      <c r="N117" s="40"/>
      <c r="O117" s="44"/>
      <c r="P117" s="45" t="s">
        <v>526</v>
      </c>
    </row>
    <row r="118" spans="1:16" ht="43.2">
      <c r="A118" s="66" t="s">
        <v>236</v>
      </c>
      <c r="B118" s="72">
        <v>11</v>
      </c>
      <c r="C118" s="137" t="s">
        <v>241</v>
      </c>
      <c r="D118" s="117" t="s">
        <v>531</v>
      </c>
      <c r="E118" s="118" t="s">
        <v>272</v>
      </c>
      <c r="F118" s="37" t="s">
        <v>279</v>
      </c>
      <c r="G118" s="38" t="s">
        <v>280</v>
      </c>
      <c r="H118" s="39" t="s">
        <v>449</v>
      </c>
      <c r="I118" s="39" t="s">
        <v>450</v>
      </c>
      <c r="J118" s="40"/>
      <c r="K118" s="41"/>
      <c r="L118" s="40"/>
      <c r="M118" s="43"/>
      <c r="N118" s="40"/>
      <c r="O118" s="44"/>
      <c r="P118" s="45" t="s">
        <v>526</v>
      </c>
    </row>
    <row r="119" spans="1:16" ht="43.2">
      <c r="A119" s="66" t="s">
        <v>236</v>
      </c>
      <c r="B119" s="72">
        <v>11</v>
      </c>
      <c r="C119" s="137" t="s">
        <v>241</v>
      </c>
      <c r="D119" s="117" t="s">
        <v>531</v>
      </c>
      <c r="E119" s="118" t="s">
        <v>272</v>
      </c>
      <c r="F119" s="37" t="s">
        <v>281</v>
      </c>
      <c r="G119" s="38" t="s">
        <v>282</v>
      </c>
      <c r="H119" s="39" t="s">
        <v>449</v>
      </c>
      <c r="I119" s="39" t="s">
        <v>450</v>
      </c>
      <c r="J119" s="40"/>
      <c r="K119" s="41"/>
      <c r="L119" s="40"/>
      <c r="M119" s="43"/>
      <c r="N119" s="40"/>
      <c r="O119" s="44"/>
      <c r="P119" s="45" t="s">
        <v>526</v>
      </c>
    </row>
    <row r="120" spans="1:16" ht="43.2">
      <c r="A120" s="66" t="s">
        <v>236</v>
      </c>
      <c r="B120" s="72">
        <v>11</v>
      </c>
      <c r="C120" s="137" t="s">
        <v>241</v>
      </c>
      <c r="D120" s="117" t="s">
        <v>532</v>
      </c>
      <c r="E120" s="118" t="s">
        <v>283</v>
      </c>
      <c r="F120" s="37" t="s">
        <v>284</v>
      </c>
      <c r="G120" s="38" t="s">
        <v>285</v>
      </c>
      <c r="H120" s="39" t="s">
        <v>449</v>
      </c>
      <c r="I120" s="39" t="s">
        <v>450</v>
      </c>
      <c r="J120" s="40"/>
      <c r="K120" s="41"/>
      <c r="L120" s="42"/>
      <c r="M120" s="43"/>
      <c r="N120" s="42"/>
      <c r="O120" s="44"/>
      <c r="P120" s="45"/>
    </row>
    <row r="121" spans="1:16" ht="43.2">
      <c r="A121" s="66" t="s">
        <v>236</v>
      </c>
      <c r="B121" s="72">
        <v>11</v>
      </c>
      <c r="C121" s="137" t="s">
        <v>241</v>
      </c>
      <c r="D121" s="117" t="s">
        <v>532</v>
      </c>
      <c r="E121" s="118" t="s">
        <v>283</v>
      </c>
      <c r="F121" s="37" t="s">
        <v>286</v>
      </c>
      <c r="G121" s="38" t="s">
        <v>287</v>
      </c>
      <c r="H121" s="39" t="s">
        <v>449</v>
      </c>
      <c r="I121" s="39" t="s">
        <v>450</v>
      </c>
      <c r="J121" s="40"/>
      <c r="K121" s="41"/>
      <c r="L121" s="73"/>
      <c r="M121" s="43"/>
      <c r="N121" s="74"/>
      <c r="O121" s="44"/>
      <c r="P121" s="45"/>
    </row>
    <row r="122" spans="1:16" ht="43.2">
      <c r="A122" s="66" t="s">
        <v>236</v>
      </c>
      <c r="B122" s="72">
        <v>11</v>
      </c>
      <c r="C122" s="137" t="s">
        <v>241</v>
      </c>
      <c r="D122" s="117" t="s">
        <v>533</v>
      </c>
      <c r="E122" s="118" t="s">
        <v>288</v>
      </c>
      <c r="F122" s="37" t="s">
        <v>289</v>
      </c>
      <c r="G122" s="38" t="s">
        <v>290</v>
      </c>
      <c r="H122" s="39" t="s">
        <v>449</v>
      </c>
      <c r="I122" s="39" t="s">
        <v>450</v>
      </c>
      <c r="J122" s="40"/>
      <c r="K122" s="41"/>
      <c r="L122" s="46"/>
      <c r="M122" s="43"/>
      <c r="N122" s="42"/>
      <c r="O122" s="44"/>
      <c r="P122" s="45"/>
    </row>
    <row r="123" spans="1:16" ht="43.2">
      <c r="A123" s="66" t="s">
        <v>236</v>
      </c>
      <c r="B123" s="72">
        <v>11</v>
      </c>
      <c r="C123" s="137" t="s">
        <v>241</v>
      </c>
      <c r="D123" s="117" t="s">
        <v>533</v>
      </c>
      <c r="E123" s="118" t="s">
        <v>288</v>
      </c>
      <c r="F123" s="37" t="s">
        <v>291</v>
      </c>
      <c r="G123" s="38" t="s">
        <v>292</v>
      </c>
      <c r="H123" s="39" t="s">
        <v>449</v>
      </c>
      <c r="I123" s="39" t="s">
        <v>450</v>
      </c>
      <c r="J123" s="40"/>
      <c r="K123" s="41"/>
      <c r="L123" s="42"/>
      <c r="M123" s="43"/>
      <c r="N123" s="42"/>
      <c r="O123" s="48" t="s">
        <v>469</v>
      </c>
      <c r="P123" s="38" t="s">
        <v>534</v>
      </c>
    </row>
    <row r="124" spans="1:16" ht="43.2">
      <c r="A124" s="66" t="s">
        <v>236</v>
      </c>
      <c r="B124" s="72">
        <v>11</v>
      </c>
      <c r="C124" s="137" t="s">
        <v>241</v>
      </c>
      <c r="D124" s="117" t="s">
        <v>535</v>
      </c>
      <c r="E124" s="118" t="s">
        <v>293</v>
      </c>
      <c r="F124" s="37" t="s">
        <v>294</v>
      </c>
      <c r="G124" s="38" t="s">
        <v>295</v>
      </c>
      <c r="H124" s="39" t="s">
        <v>449</v>
      </c>
      <c r="I124" s="39" t="s">
        <v>452</v>
      </c>
      <c r="J124" s="40"/>
      <c r="K124" s="41"/>
      <c r="L124" s="42"/>
      <c r="M124" s="43"/>
      <c r="N124" s="42"/>
      <c r="O124" s="44"/>
      <c r="P124" s="45"/>
    </row>
    <row r="125" spans="1:16" ht="43.2">
      <c r="A125" s="66" t="s">
        <v>236</v>
      </c>
      <c r="B125" s="72">
        <v>11</v>
      </c>
      <c r="C125" s="137" t="s">
        <v>241</v>
      </c>
      <c r="D125" s="117" t="s">
        <v>535</v>
      </c>
      <c r="E125" s="118" t="s">
        <v>293</v>
      </c>
      <c r="F125" s="37" t="s">
        <v>296</v>
      </c>
      <c r="G125" s="58" t="s">
        <v>297</v>
      </c>
      <c r="H125" s="39" t="s">
        <v>449</v>
      </c>
      <c r="I125" s="39" t="s">
        <v>452</v>
      </c>
      <c r="J125" s="40"/>
      <c r="K125" s="41"/>
      <c r="L125" s="42"/>
      <c r="M125" s="43"/>
      <c r="N125" s="42"/>
      <c r="O125" s="44"/>
      <c r="P125" s="45"/>
    </row>
    <row r="126" spans="1:16" ht="29.1" customHeight="1">
      <c r="A126" s="66" t="s">
        <v>236</v>
      </c>
      <c r="B126" s="72">
        <v>11</v>
      </c>
      <c r="C126" s="137" t="s">
        <v>241</v>
      </c>
      <c r="D126" s="117" t="s">
        <v>536</v>
      </c>
      <c r="E126" s="118" t="s">
        <v>298</v>
      </c>
      <c r="F126" s="37" t="s">
        <v>299</v>
      </c>
      <c r="G126" s="38" t="s">
        <v>300</v>
      </c>
      <c r="H126" s="39" t="s">
        <v>449</v>
      </c>
      <c r="I126" s="39" t="s">
        <v>450</v>
      </c>
      <c r="J126" s="40"/>
      <c r="K126" s="41"/>
      <c r="L126" s="42"/>
      <c r="M126" s="43"/>
      <c r="N126" s="42"/>
      <c r="O126" s="44"/>
      <c r="P126" s="45"/>
    </row>
    <row r="127" spans="1:16" ht="43.2">
      <c r="A127" s="66" t="s">
        <v>236</v>
      </c>
      <c r="B127" s="72">
        <v>11</v>
      </c>
      <c r="C127" s="137" t="s">
        <v>241</v>
      </c>
      <c r="D127" s="117" t="s">
        <v>536</v>
      </c>
      <c r="E127" s="118" t="s">
        <v>298</v>
      </c>
      <c r="F127" s="37" t="s">
        <v>301</v>
      </c>
      <c r="G127" s="58" t="s">
        <v>302</v>
      </c>
      <c r="H127" s="39" t="s">
        <v>449</v>
      </c>
      <c r="I127" s="39" t="s">
        <v>450</v>
      </c>
      <c r="J127" s="40"/>
      <c r="K127" s="41"/>
      <c r="L127" s="42"/>
      <c r="M127" s="43"/>
      <c r="N127" s="42"/>
      <c r="O127" s="44"/>
      <c r="P127" s="45"/>
    </row>
    <row r="128" spans="1:16" ht="43.2">
      <c r="A128" s="66" t="s">
        <v>236</v>
      </c>
      <c r="B128" s="72">
        <v>11</v>
      </c>
      <c r="C128" s="137" t="s">
        <v>241</v>
      </c>
      <c r="D128" s="117" t="s">
        <v>536</v>
      </c>
      <c r="E128" s="118" t="s">
        <v>298</v>
      </c>
      <c r="F128" s="37" t="s">
        <v>303</v>
      </c>
      <c r="G128" s="58" t="s">
        <v>304</v>
      </c>
      <c r="H128" s="39" t="s">
        <v>449</v>
      </c>
      <c r="I128" s="39" t="s">
        <v>450</v>
      </c>
      <c r="J128" s="40"/>
      <c r="K128" s="41"/>
      <c r="L128" s="75"/>
      <c r="M128" s="43"/>
      <c r="N128" s="75"/>
      <c r="O128" s="44"/>
      <c r="P128" s="38" t="s">
        <v>537</v>
      </c>
    </row>
    <row r="129" spans="1:16" ht="43.2">
      <c r="A129" s="66" t="s">
        <v>236</v>
      </c>
      <c r="B129" s="72">
        <v>11</v>
      </c>
      <c r="C129" s="137" t="s">
        <v>241</v>
      </c>
      <c r="D129" s="117" t="s">
        <v>536</v>
      </c>
      <c r="E129" s="118" t="s">
        <v>298</v>
      </c>
      <c r="F129" s="37" t="s">
        <v>305</v>
      </c>
      <c r="G129" s="58" t="s">
        <v>306</v>
      </c>
      <c r="H129" s="39" t="s">
        <v>449</v>
      </c>
      <c r="I129" s="39" t="s">
        <v>450</v>
      </c>
      <c r="J129" s="40"/>
      <c r="K129" s="41"/>
      <c r="L129" s="42"/>
      <c r="M129" s="43"/>
      <c r="N129" s="42"/>
      <c r="O129" s="44" t="s">
        <v>462</v>
      </c>
      <c r="P129" s="38" t="s">
        <v>538</v>
      </c>
    </row>
    <row r="130" spans="1:16" ht="29.1" customHeight="1">
      <c r="A130" s="66" t="s">
        <v>236</v>
      </c>
      <c r="B130" s="72">
        <v>11</v>
      </c>
      <c r="C130" s="137" t="s">
        <v>241</v>
      </c>
      <c r="D130" s="117" t="s">
        <v>539</v>
      </c>
      <c r="E130" s="118" t="s">
        <v>307</v>
      </c>
      <c r="F130" s="37" t="s">
        <v>308</v>
      </c>
      <c r="G130" s="38" t="s">
        <v>309</v>
      </c>
      <c r="H130" s="39" t="s">
        <v>449</v>
      </c>
      <c r="I130" s="39" t="s">
        <v>452</v>
      </c>
      <c r="J130" s="40"/>
      <c r="K130" s="41"/>
      <c r="L130" s="42"/>
      <c r="M130" s="43"/>
      <c r="N130" s="42"/>
      <c r="O130" s="44"/>
      <c r="P130" s="45"/>
    </row>
    <row r="131" spans="1:16" ht="43.2">
      <c r="A131" s="66" t="s">
        <v>236</v>
      </c>
      <c r="B131" s="72">
        <v>11</v>
      </c>
      <c r="C131" s="137" t="s">
        <v>241</v>
      </c>
      <c r="D131" s="117" t="s">
        <v>539</v>
      </c>
      <c r="E131" s="118" t="s">
        <v>307</v>
      </c>
      <c r="F131" s="37" t="s">
        <v>310</v>
      </c>
      <c r="G131" s="38" t="s">
        <v>311</v>
      </c>
      <c r="H131" s="39" t="s">
        <v>449</v>
      </c>
      <c r="I131" s="39" t="s">
        <v>450</v>
      </c>
      <c r="J131" s="40"/>
      <c r="K131" s="41"/>
      <c r="L131" s="42"/>
      <c r="M131" s="43"/>
      <c r="N131" s="42"/>
      <c r="O131" s="44"/>
      <c r="P131" s="45"/>
    </row>
    <row r="132" spans="1:16" ht="43.2">
      <c r="A132" s="66" t="s">
        <v>236</v>
      </c>
      <c r="B132" s="72">
        <v>11</v>
      </c>
      <c r="C132" s="137" t="s">
        <v>241</v>
      </c>
      <c r="D132" s="117" t="s">
        <v>539</v>
      </c>
      <c r="E132" s="118" t="s">
        <v>307</v>
      </c>
      <c r="F132" s="37" t="s">
        <v>312</v>
      </c>
      <c r="G132" s="38" t="s">
        <v>313</v>
      </c>
      <c r="H132" s="39" t="s">
        <v>449</v>
      </c>
      <c r="I132" s="39" t="s">
        <v>450</v>
      </c>
      <c r="J132" s="40"/>
      <c r="K132" s="41"/>
      <c r="L132" s="42"/>
      <c r="M132" s="43"/>
      <c r="N132" s="42"/>
      <c r="O132" s="44"/>
      <c r="P132" s="45"/>
    </row>
    <row r="133" spans="1:16" ht="28.8">
      <c r="A133" s="66" t="s">
        <v>236</v>
      </c>
      <c r="B133" s="76">
        <v>12</v>
      </c>
      <c r="C133" s="77" t="s">
        <v>314</v>
      </c>
      <c r="D133" s="117" t="s">
        <v>540</v>
      </c>
      <c r="E133" s="118" t="s">
        <v>315</v>
      </c>
      <c r="F133" s="37" t="s">
        <v>316</v>
      </c>
      <c r="G133" s="38" t="s">
        <v>317</v>
      </c>
      <c r="H133" s="39" t="s">
        <v>449</v>
      </c>
      <c r="I133" s="39" t="s">
        <v>450</v>
      </c>
      <c r="J133" s="40"/>
      <c r="K133" s="41"/>
      <c r="L133" s="42"/>
      <c r="M133" s="43"/>
      <c r="N133" s="42"/>
      <c r="O133" s="44"/>
      <c r="P133" s="45"/>
    </row>
    <row r="134" spans="1:16" ht="28.8">
      <c r="A134" s="66" t="s">
        <v>236</v>
      </c>
      <c r="B134" s="76">
        <v>12</v>
      </c>
      <c r="C134" s="77" t="s">
        <v>314</v>
      </c>
      <c r="D134" s="117" t="s">
        <v>540</v>
      </c>
      <c r="E134" s="118" t="s">
        <v>315</v>
      </c>
      <c r="F134" s="37" t="s">
        <v>318</v>
      </c>
      <c r="G134" s="38" t="s">
        <v>319</v>
      </c>
      <c r="H134" s="39" t="s">
        <v>449</v>
      </c>
      <c r="I134" s="39" t="s">
        <v>450</v>
      </c>
      <c r="J134" s="40"/>
      <c r="K134" s="41"/>
      <c r="L134" s="42"/>
      <c r="M134" s="43"/>
      <c r="N134" s="42"/>
      <c r="O134" s="44"/>
      <c r="P134" s="45"/>
    </row>
    <row r="135" spans="1:16" ht="29.1" customHeight="1">
      <c r="A135" s="78" t="s">
        <v>320</v>
      </c>
      <c r="B135" s="138">
        <v>13</v>
      </c>
      <c r="C135" s="139" t="s">
        <v>321</v>
      </c>
      <c r="D135" s="120" t="s">
        <v>541</v>
      </c>
      <c r="E135" s="121" t="s">
        <v>322</v>
      </c>
      <c r="F135" s="79" t="s">
        <v>323</v>
      </c>
      <c r="G135" s="38" t="s">
        <v>324</v>
      </c>
      <c r="H135" s="39" t="s">
        <v>449</v>
      </c>
      <c r="I135" s="39" t="s">
        <v>450</v>
      </c>
      <c r="J135" s="40"/>
      <c r="K135" s="41"/>
      <c r="L135" s="42"/>
      <c r="M135" s="43"/>
      <c r="N135" s="42"/>
      <c r="O135" s="79" t="s">
        <v>542</v>
      </c>
      <c r="P135" s="45"/>
    </row>
    <row r="136" spans="1:16" ht="43.2">
      <c r="A136" s="78" t="s">
        <v>320</v>
      </c>
      <c r="B136" s="138">
        <v>13</v>
      </c>
      <c r="C136" s="139" t="s">
        <v>321</v>
      </c>
      <c r="D136" s="120" t="s">
        <v>541</v>
      </c>
      <c r="E136" s="121" t="s">
        <v>322</v>
      </c>
      <c r="F136" s="79" t="s">
        <v>325</v>
      </c>
      <c r="G136" s="58" t="s">
        <v>326</v>
      </c>
      <c r="H136" s="39" t="s">
        <v>449</v>
      </c>
      <c r="I136" s="39" t="s">
        <v>450</v>
      </c>
      <c r="J136" s="40"/>
      <c r="K136" s="41"/>
      <c r="L136" s="80"/>
      <c r="M136" s="43"/>
      <c r="N136" s="80"/>
      <c r="O136" s="79" t="s">
        <v>542</v>
      </c>
      <c r="P136" s="38" t="s">
        <v>543</v>
      </c>
    </row>
    <row r="137" spans="1:16" ht="43.2">
      <c r="A137" s="78" t="s">
        <v>320</v>
      </c>
      <c r="B137" s="138">
        <v>13</v>
      </c>
      <c r="C137" s="139" t="s">
        <v>321</v>
      </c>
      <c r="D137" s="120" t="s">
        <v>541</v>
      </c>
      <c r="E137" s="121" t="s">
        <v>322</v>
      </c>
      <c r="F137" s="79" t="s">
        <v>327</v>
      </c>
      <c r="G137" s="38" t="s">
        <v>328</v>
      </c>
      <c r="H137" s="39" t="s">
        <v>449</v>
      </c>
      <c r="I137" s="39" t="s">
        <v>450</v>
      </c>
      <c r="J137" s="40"/>
      <c r="K137" s="41"/>
      <c r="L137" s="80"/>
      <c r="M137" s="43"/>
      <c r="N137" s="80"/>
      <c r="O137" s="79" t="s">
        <v>542</v>
      </c>
      <c r="P137" s="38"/>
    </row>
    <row r="138" spans="1:16" ht="29.1" customHeight="1">
      <c r="A138" s="78" t="s">
        <v>320</v>
      </c>
      <c r="B138" s="138">
        <v>13</v>
      </c>
      <c r="C138" s="139" t="s">
        <v>321</v>
      </c>
      <c r="D138" s="122" t="s">
        <v>544</v>
      </c>
      <c r="E138" s="123" t="s">
        <v>329</v>
      </c>
      <c r="F138" s="37" t="s">
        <v>330</v>
      </c>
      <c r="G138" s="38" t="s">
        <v>331</v>
      </c>
      <c r="H138" s="39" t="s">
        <v>449</v>
      </c>
      <c r="I138" s="39" t="s">
        <v>450</v>
      </c>
      <c r="J138" s="40"/>
      <c r="K138" s="41"/>
      <c r="L138" s="42"/>
      <c r="M138" s="43"/>
      <c r="N138" s="42"/>
      <c r="O138" s="79" t="s">
        <v>542</v>
      </c>
      <c r="P138" s="38" t="s">
        <v>545</v>
      </c>
    </row>
    <row r="139" spans="1:16" ht="43.2">
      <c r="A139" s="78" t="s">
        <v>320</v>
      </c>
      <c r="B139" s="138">
        <v>13</v>
      </c>
      <c r="C139" s="139" t="s">
        <v>321</v>
      </c>
      <c r="D139" s="122" t="s">
        <v>544</v>
      </c>
      <c r="E139" s="123" t="s">
        <v>329</v>
      </c>
      <c r="F139" s="37" t="s">
        <v>332</v>
      </c>
      <c r="G139" s="38" t="s">
        <v>333</v>
      </c>
      <c r="H139" s="39" t="s">
        <v>449</v>
      </c>
      <c r="I139" s="39" t="s">
        <v>452</v>
      </c>
      <c r="J139" s="40"/>
      <c r="K139" s="41"/>
      <c r="L139" s="42"/>
      <c r="M139" s="43"/>
      <c r="N139" s="42"/>
      <c r="O139" s="79" t="s">
        <v>542</v>
      </c>
      <c r="P139" s="45"/>
    </row>
    <row r="140" spans="1:16" ht="43.2">
      <c r="A140" s="78" t="s">
        <v>320</v>
      </c>
      <c r="B140" s="138">
        <v>13</v>
      </c>
      <c r="C140" s="139" t="s">
        <v>321</v>
      </c>
      <c r="D140" s="122" t="s">
        <v>544</v>
      </c>
      <c r="E140" s="123" t="s">
        <v>329</v>
      </c>
      <c r="F140" s="37" t="s">
        <v>334</v>
      </c>
      <c r="G140" s="38" t="s">
        <v>335</v>
      </c>
      <c r="H140" s="39" t="s">
        <v>449</v>
      </c>
      <c r="I140" s="39" t="s">
        <v>452</v>
      </c>
      <c r="J140" s="40"/>
      <c r="K140" s="41"/>
      <c r="L140" s="42"/>
      <c r="M140" s="43"/>
      <c r="N140" s="42"/>
      <c r="O140" s="79" t="s">
        <v>542</v>
      </c>
      <c r="P140" s="45"/>
    </row>
    <row r="141" spans="1:16" ht="43.2">
      <c r="A141" s="78" t="s">
        <v>320</v>
      </c>
      <c r="B141" s="138">
        <v>13</v>
      </c>
      <c r="C141" s="139" t="s">
        <v>321</v>
      </c>
      <c r="D141" s="122" t="s">
        <v>544</v>
      </c>
      <c r="E141" s="123" t="s">
        <v>329</v>
      </c>
      <c r="F141" s="37" t="s">
        <v>336</v>
      </c>
      <c r="G141" s="38" t="s">
        <v>337</v>
      </c>
      <c r="H141" s="39" t="s">
        <v>449</v>
      </c>
      <c r="I141" s="39" t="s">
        <v>452</v>
      </c>
      <c r="J141" s="40"/>
      <c r="K141" s="41"/>
      <c r="L141" s="42"/>
      <c r="M141" s="43"/>
      <c r="N141" s="42"/>
      <c r="O141" s="79" t="s">
        <v>542</v>
      </c>
      <c r="P141" s="45"/>
    </row>
    <row r="142" spans="1:16" ht="29.1" customHeight="1">
      <c r="A142" s="78" t="s">
        <v>320</v>
      </c>
      <c r="B142" s="138">
        <v>13</v>
      </c>
      <c r="C142" s="139" t="s">
        <v>321</v>
      </c>
      <c r="D142" s="122" t="s">
        <v>546</v>
      </c>
      <c r="E142" s="123" t="s">
        <v>338</v>
      </c>
      <c r="F142" s="37" t="s">
        <v>339</v>
      </c>
      <c r="G142" s="38" t="s">
        <v>340</v>
      </c>
      <c r="H142" s="39" t="s">
        <v>449</v>
      </c>
      <c r="I142" s="39" t="s">
        <v>450</v>
      </c>
      <c r="J142" s="40"/>
      <c r="K142" s="41"/>
      <c r="L142" s="42"/>
      <c r="M142" s="43"/>
      <c r="N142" s="42"/>
      <c r="O142" s="79" t="s">
        <v>542</v>
      </c>
      <c r="P142" s="45"/>
    </row>
    <row r="143" spans="1:16" ht="43.2">
      <c r="A143" s="78" t="s">
        <v>320</v>
      </c>
      <c r="B143" s="138">
        <v>13</v>
      </c>
      <c r="C143" s="139" t="s">
        <v>321</v>
      </c>
      <c r="D143" s="122" t="s">
        <v>546</v>
      </c>
      <c r="E143" s="123" t="s">
        <v>338</v>
      </c>
      <c r="F143" s="37" t="s">
        <v>341</v>
      </c>
      <c r="G143" s="38" t="s">
        <v>342</v>
      </c>
      <c r="H143" s="39" t="s">
        <v>449</v>
      </c>
      <c r="I143" s="39" t="s">
        <v>450</v>
      </c>
      <c r="J143" s="40"/>
      <c r="K143" s="41"/>
      <c r="L143" s="42"/>
      <c r="M143" s="43"/>
      <c r="N143" s="42"/>
      <c r="O143" s="79" t="s">
        <v>542</v>
      </c>
      <c r="P143" s="45"/>
    </row>
    <row r="144" spans="1:16" ht="43.2">
      <c r="A144" s="78" t="s">
        <v>320</v>
      </c>
      <c r="B144" s="138">
        <v>13</v>
      </c>
      <c r="C144" s="139" t="s">
        <v>321</v>
      </c>
      <c r="D144" s="122" t="s">
        <v>546</v>
      </c>
      <c r="E144" s="123" t="s">
        <v>338</v>
      </c>
      <c r="F144" s="37" t="s">
        <v>343</v>
      </c>
      <c r="G144" s="38" t="s">
        <v>344</v>
      </c>
      <c r="H144" s="39" t="s">
        <v>449</v>
      </c>
      <c r="I144" s="39" t="s">
        <v>450</v>
      </c>
      <c r="J144" s="40"/>
      <c r="K144" s="41"/>
      <c r="L144" s="42"/>
      <c r="M144" s="43"/>
      <c r="N144" s="42"/>
      <c r="O144" s="79" t="s">
        <v>542</v>
      </c>
      <c r="P144" s="38" t="s">
        <v>547</v>
      </c>
    </row>
    <row r="145" spans="1:16" ht="43.2">
      <c r="A145" s="78" t="s">
        <v>320</v>
      </c>
      <c r="B145" s="138">
        <v>13</v>
      </c>
      <c r="C145" s="139" t="s">
        <v>321</v>
      </c>
      <c r="D145" s="122" t="s">
        <v>548</v>
      </c>
      <c r="E145" s="124" t="s">
        <v>345</v>
      </c>
      <c r="F145" s="37" t="s">
        <v>346</v>
      </c>
      <c r="G145" s="38" t="s">
        <v>347</v>
      </c>
      <c r="H145" s="39" t="s">
        <v>449</v>
      </c>
      <c r="I145" s="39" t="s">
        <v>450</v>
      </c>
      <c r="J145" s="40"/>
      <c r="K145" s="41"/>
      <c r="L145" s="42"/>
      <c r="M145" s="43"/>
      <c r="N145" s="42"/>
      <c r="O145" s="79" t="s">
        <v>542</v>
      </c>
      <c r="P145" s="38" t="s">
        <v>549</v>
      </c>
    </row>
    <row r="146" spans="1:16" ht="43.2">
      <c r="A146" s="78" t="s">
        <v>320</v>
      </c>
      <c r="B146" s="138">
        <v>13</v>
      </c>
      <c r="C146" s="139" t="s">
        <v>321</v>
      </c>
      <c r="D146" s="122" t="s">
        <v>548</v>
      </c>
      <c r="E146" s="124" t="s">
        <v>345</v>
      </c>
      <c r="F146" s="37" t="s">
        <v>348</v>
      </c>
      <c r="G146" s="38" t="s">
        <v>349</v>
      </c>
      <c r="H146" s="39" t="s">
        <v>449</v>
      </c>
      <c r="I146" s="39" t="s">
        <v>452</v>
      </c>
      <c r="J146" s="40"/>
      <c r="K146" s="41"/>
      <c r="L146" s="42"/>
      <c r="M146" s="43"/>
      <c r="N146" s="42"/>
      <c r="O146" s="79" t="s">
        <v>542</v>
      </c>
      <c r="P146" s="81"/>
    </row>
    <row r="147" spans="1:16" ht="43.2">
      <c r="A147" s="78" t="s">
        <v>320</v>
      </c>
      <c r="B147" s="138">
        <v>13</v>
      </c>
      <c r="C147" s="139" t="s">
        <v>321</v>
      </c>
      <c r="D147" s="122" t="s">
        <v>548</v>
      </c>
      <c r="E147" s="124" t="s">
        <v>345</v>
      </c>
      <c r="F147" s="37" t="s">
        <v>350</v>
      </c>
      <c r="G147" s="58" t="s">
        <v>351</v>
      </c>
      <c r="H147" s="39" t="s">
        <v>449</v>
      </c>
      <c r="I147" s="39" t="s">
        <v>452</v>
      </c>
      <c r="J147" s="40"/>
      <c r="K147" s="41"/>
      <c r="L147" s="42"/>
      <c r="M147" s="43"/>
      <c r="N147" s="42"/>
      <c r="O147" s="79" t="s">
        <v>542</v>
      </c>
      <c r="P147" s="81"/>
    </row>
    <row r="148" spans="1:16" ht="43.2">
      <c r="A148" s="78" t="s">
        <v>320</v>
      </c>
      <c r="B148" s="138">
        <v>13</v>
      </c>
      <c r="C148" s="139" t="s">
        <v>321</v>
      </c>
      <c r="D148" s="122" t="s">
        <v>548</v>
      </c>
      <c r="E148" s="124" t="s">
        <v>345</v>
      </c>
      <c r="F148" s="37" t="s">
        <v>352</v>
      </c>
      <c r="G148" s="38" t="s">
        <v>353</v>
      </c>
      <c r="H148" s="39" t="s">
        <v>449</v>
      </c>
      <c r="I148" s="39" t="s">
        <v>452</v>
      </c>
      <c r="J148" s="40"/>
      <c r="K148" s="41"/>
      <c r="L148" s="42"/>
      <c r="M148" s="43"/>
      <c r="N148" s="42"/>
      <c r="O148" s="79" t="s">
        <v>542</v>
      </c>
      <c r="P148" s="81"/>
    </row>
    <row r="149" spans="1:16" ht="29.1" customHeight="1">
      <c r="A149" s="78" t="s">
        <v>320</v>
      </c>
      <c r="B149" s="138">
        <v>13</v>
      </c>
      <c r="C149" s="139" t="s">
        <v>321</v>
      </c>
      <c r="D149" s="122" t="s">
        <v>550</v>
      </c>
      <c r="E149" s="123" t="s">
        <v>354</v>
      </c>
      <c r="F149" s="37" t="s">
        <v>355</v>
      </c>
      <c r="G149" s="58" t="s">
        <v>356</v>
      </c>
      <c r="H149" s="39" t="s">
        <v>449</v>
      </c>
      <c r="I149" s="39" t="s">
        <v>450</v>
      </c>
      <c r="J149" s="40"/>
      <c r="K149" s="41"/>
      <c r="L149" s="82"/>
      <c r="M149" s="43"/>
      <c r="N149" s="82"/>
      <c r="O149" s="79" t="s">
        <v>542</v>
      </c>
      <c r="P149" s="45"/>
    </row>
    <row r="150" spans="1:16" ht="43.2">
      <c r="A150" s="78" t="s">
        <v>320</v>
      </c>
      <c r="B150" s="138">
        <v>13</v>
      </c>
      <c r="C150" s="139" t="s">
        <v>321</v>
      </c>
      <c r="D150" s="122" t="s">
        <v>550</v>
      </c>
      <c r="E150" s="123" t="s">
        <v>354</v>
      </c>
      <c r="F150" s="37" t="s">
        <v>357</v>
      </c>
      <c r="G150" s="38" t="s">
        <v>358</v>
      </c>
      <c r="H150" s="39" t="s">
        <v>449</v>
      </c>
      <c r="I150" s="39" t="s">
        <v>452</v>
      </c>
      <c r="J150" s="40"/>
      <c r="K150" s="41"/>
      <c r="L150" s="42"/>
      <c r="M150" s="43"/>
      <c r="N150" s="42"/>
      <c r="O150" s="79" t="s">
        <v>542</v>
      </c>
      <c r="P150" s="81"/>
    </row>
    <row r="151" spans="1:16" ht="43.2">
      <c r="A151" s="78" t="s">
        <v>320</v>
      </c>
      <c r="B151" s="138">
        <v>13</v>
      </c>
      <c r="C151" s="139" t="s">
        <v>321</v>
      </c>
      <c r="D151" s="122" t="s">
        <v>550</v>
      </c>
      <c r="E151" s="123" t="s">
        <v>354</v>
      </c>
      <c r="F151" s="37" t="s">
        <v>359</v>
      </c>
      <c r="G151" s="38" t="s">
        <v>360</v>
      </c>
      <c r="H151" s="39" t="s">
        <v>449</v>
      </c>
      <c r="I151" s="39" t="s">
        <v>452</v>
      </c>
      <c r="J151" s="40"/>
      <c r="K151" s="41"/>
      <c r="L151" s="42"/>
      <c r="M151" s="43"/>
      <c r="N151" s="42"/>
      <c r="O151" s="79" t="s">
        <v>542</v>
      </c>
      <c r="P151" s="81"/>
    </row>
    <row r="152" spans="1:16" ht="43.2">
      <c r="A152" s="78" t="s">
        <v>320</v>
      </c>
      <c r="B152" s="138">
        <v>13</v>
      </c>
      <c r="C152" s="139" t="s">
        <v>321</v>
      </c>
      <c r="D152" s="122" t="s">
        <v>550</v>
      </c>
      <c r="E152" s="123" t="s">
        <v>354</v>
      </c>
      <c r="F152" s="37" t="s">
        <v>361</v>
      </c>
      <c r="G152" s="38" t="s">
        <v>362</v>
      </c>
      <c r="H152" s="39" t="s">
        <v>449</v>
      </c>
      <c r="I152" s="39" t="s">
        <v>452</v>
      </c>
      <c r="J152" s="40"/>
      <c r="K152" s="41"/>
      <c r="L152" s="46"/>
      <c r="M152" s="43"/>
      <c r="N152" s="42"/>
      <c r="O152" s="79" t="s">
        <v>542</v>
      </c>
      <c r="P152" s="81"/>
    </row>
    <row r="153" spans="1:16" ht="57.6">
      <c r="A153" s="78" t="s">
        <v>320</v>
      </c>
      <c r="B153" s="138">
        <v>13</v>
      </c>
      <c r="C153" s="139" t="s">
        <v>321</v>
      </c>
      <c r="D153" s="122" t="s">
        <v>550</v>
      </c>
      <c r="E153" s="123" t="s">
        <v>354</v>
      </c>
      <c r="F153" s="37" t="s">
        <v>363</v>
      </c>
      <c r="G153" s="58" t="s">
        <v>364</v>
      </c>
      <c r="H153" s="39" t="s">
        <v>449</v>
      </c>
      <c r="I153" s="39" t="s">
        <v>450</v>
      </c>
      <c r="J153" s="40"/>
      <c r="K153" s="41"/>
      <c r="L153" s="42"/>
      <c r="M153" s="43"/>
      <c r="N153" s="42"/>
      <c r="O153" s="79" t="s">
        <v>542</v>
      </c>
      <c r="P153" s="45"/>
    </row>
    <row r="154" spans="1:16" ht="43.2">
      <c r="A154" s="78" t="s">
        <v>320</v>
      </c>
      <c r="B154" s="138">
        <v>13</v>
      </c>
      <c r="C154" s="139" t="s">
        <v>321</v>
      </c>
      <c r="D154" s="122" t="s">
        <v>551</v>
      </c>
      <c r="E154" s="125" t="s">
        <v>365</v>
      </c>
      <c r="F154" s="37" t="s">
        <v>366</v>
      </c>
      <c r="G154" s="38" t="s">
        <v>367</v>
      </c>
      <c r="H154" s="39" t="s">
        <v>449</v>
      </c>
      <c r="I154" s="39" t="s">
        <v>450</v>
      </c>
      <c r="J154" s="40"/>
      <c r="K154" s="41"/>
      <c r="L154" s="42"/>
      <c r="M154" s="43"/>
      <c r="N154" s="42"/>
      <c r="O154" s="79" t="s">
        <v>542</v>
      </c>
      <c r="P154" s="45"/>
    </row>
    <row r="155" spans="1:16" ht="43.2">
      <c r="A155" s="78" t="s">
        <v>320</v>
      </c>
      <c r="B155" s="138">
        <v>13</v>
      </c>
      <c r="C155" s="139" t="s">
        <v>321</v>
      </c>
      <c r="D155" s="122" t="s">
        <v>551</v>
      </c>
      <c r="E155" s="125" t="s">
        <v>365</v>
      </c>
      <c r="F155" s="37" t="s">
        <v>368</v>
      </c>
      <c r="G155" s="38" t="s">
        <v>369</v>
      </c>
      <c r="H155" s="39" t="s">
        <v>449</v>
      </c>
      <c r="I155" s="39" t="s">
        <v>450</v>
      </c>
      <c r="J155" s="40"/>
      <c r="K155" s="41"/>
      <c r="L155" s="42"/>
      <c r="M155" s="43"/>
      <c r="N155" s="42"/>
      <c r="O155" s="48" t="s">
        <v>552</v>
      </c>
      <c r="P155" s="45" t="s">
        <v>553</v>
      </c>
    </row>
    <row r="156" spans="1:16" ht="43.2">
      <c r="A156" s="78" t="s">
        <v>320</v>
      </c>
      <c r="B156" s="138">
        <v>13</v>
      </c>
      <c r="C156" s="139" t="s">
        <v>321</v>
      </c>
      <c r="D156" s="126" t="s">
        <v>554</v>
      </c>
      <c r="E156" s="125" t="s">
        <v>370</v>
      </c>
      <c r="F156" s="83" t="s">
        <v>371</v>
      </c>
      <c r="G156" s="38" t="s">
        <v>372</v>
      </c>
      <c r="H156" s="39" t="s">
        <v>449</v>
      </c>
      <c r="I156" s="39" t="s">
        <v>450</v>
      </c>
      <c r="J156" s="40"/>
      <c r="K156" s="41"/>
      <c r="L156" s="42"/>
      <c r="M156" s="43"/>
      <c r="N156" s="42"/>
      <c r="O156" s="79" t="s">
        <v>542</v>
      </c>
      <c r="P156" s="81"/>
    </row>
    <row r="157" spans="1:16" ht="43.2">
      <c r="A157" s="78" t="s">
        <v>320</v>
      </c>
      <c r="B157" s="138">
        <v>13</v>
      </c>
      <c r="C157" s="139" t="s">
        <v>321</v>
      </c>
      <c r="D157" s="126" t="s">
        <v>554</v>
      </c>
      <c r="E157" s="125" t="s">
        <v>370</v>
      </c>
      <c r="F157" s="83" t="s">
        <v>373</v>
      </c>
      <c r="G157" s="38" t="s">
        <v>374</v>
      </c>
      <c r="H157" s="39" t="s">
        <v>449</v>
      </c>
      <c r="I157" s="39" t="s">
        <v>452</v>
      </c>
      <c r="J157" s="40"/>
      <c r="K157" s="41"/>
      <c r="L157" s="42"/>
      <c r="M157" s="43"/>
      <c r="N157" s="42"/>
      <c r="O157" s="79" t="s">
        <v>542</v>
      </c>
      <c r="P157" s="45"/>
    </row>
    <row r="158" spans="1:16" ht="43.2">
      <c r="A158" s="78" t="s">
        <v>320</v>
      </c>
      <c r="B158" s="138">
        <v>13</v>
      </c>
      <c r="C158" s="139" t="s">
        <v>321</v>
      </c>
      <c r="D158" s="126" t="s">
        <v>554</v>
      </c>
      <c r="E158" s="125" t="s">
        <v>370</v>
      </c>
      <c r="F158" s="83" t="s">
        <v>375</v>
      </c>
      <c r="G158" s="38" t="s">
        <v>376</v>
      </c>
      <c r="H158" s="39" t="s">
        <v>449</v>
      </c>
      <c r="I158" s="39" t="s">
        <v>450</v>
      </c>
      <c r="J158" s="40"/>
      <c r="K158" s="41"/>
      <c r="L158" s="42"/>
      <c r="M158" s="43"/>
      <c r="N158" s="42"/>
      <c r="O158" s="79" t="s">
        <v>542</v>
      </c>
      <c r="P158" s="45"/>
    </row>
    <row r="159" spans="1:16" ht="43.2">
      <c r="A159" s="78" t="s">
        <v>320</v>
      </c>
      <c r="B159" s="138">
        <v>13</v>
      </c>
      <c r="C159" s="139" t="s">
        <v>321</v>
      </c>
      <c r="D159" s="126" t="s">
        <v>555</v>
      </c>
      <c r="E159" s="127" t="s">
        <v>377</v>
      </c>
      <c r="F159" s="83" t="s">
        <v>378</v>
      </c>
      <c r="G159" s="38" t="s">
        <v>379</v>
      </c>
      <c r="H159" s="39" t="s">
        <v>449</v>
      </c>
      <c r="I159" s="39" t="s">
        <v>452</v>
      </c>
      <c r="J159" s="40"/>
      <c r="K159" s="41"/>
      <c r="L159" s="42"/>
      <c r="M159" s="43"/>
      <c r="N159" s="42"/>
      <c r="O159" s="79" t="s">
        <v>542</v>
      </c>
      <c r="P159" s="45"/>
    </row>
    <row r="160" spans="1:16" ht="43.2">
      <c r="A160" s="78" t="s">
        <v>320</v>
      </c>
      <c r="B160" s="138">
        <v>13</v>
      </c>
      <c r="C160" s="139" t="s">
        <v>321</v>
      </c>
      <c r="D160" s="126" t="s">
        <v>555</v>
      </c>
      <c r="E160" s="127" t="s">
        <v>377</v>
      </c>
      <c r="F160" s="83" t="s">
        <v>380</v>
      </c>
      <c r="G160" s="58" t="s">
        <v>381</v>
      </c>
      <c r="H160" s="39" t="s">
        <v>449</v>
      </c>
      <c r="I160" s="39" t="s">
        <v>452</v>
      </c>
      <c r="J160" s="40"/>
      <c r="K160" s="41"/>
      <c r="L160" s="80"/>
      <c r="M160" s="43"/>
      <c r="N160" s="80"/>
      <c r="O160" s="79" t="s">
        <v>542</v>
      </c>
      <c r="P160" s="45"/>
    </row>
    <row r="161" spans="1:16" ht="43.2">
      <c r="A161" s="78" t="s">
        <v>320</v>
      </c>
      <c r="B161" s="138">
        <v>13</v>
      </c>
      <c r="C161" s="139" t="s">
        <v>321</v>
      </c>
      <c r="D161" s="126" t="s">
        <v>555</v>
      </c>
      <c r="E161" s="127" t="s">
        <v>377</v>
      </c>
      <c r="F161" s="83" t="s">
        <v>382</v>
      </c>
      <c r="G161" s="38" t="s">
        <v>383</v>
      </c>
      <c r="H161" s="39" t="s">
        <v>449</v>
      </c>
      <c r="I161" s="39" t="s">
        <v>452</v>
      </c>
      <c r="J161" s="40"/>
      <c r="K161" s="41"/>
      <c r="L161" s="42"/>
      <c r="M161" s="43"/>
      <c r="N161" s="42"/>
      <c r="O161" s="79" t="s">
        <v>542</v>
      </c>
      <c r="P161" s="45"/>
    </row>
    <row r="162" spans="1:16" ht="43.2">
      <c r="A162" s="78" t="s">
        <v>320</v>
      </c>
      <c r="B162" s="138">
        <v>13</v>
      </c>
      <c r="C162" s="139" t="s">
        <v>321</v>
      </c>
      <c r="D162" s="126" t="s">
        <v>555</v>
      </c>
      <c r="E162" s="127" t="s">
        <v>377</v>
      </c>
      <c r="F162" s="83" t="s">
        <v>384</v>
      </c>
      <c r="G162" s="58" t="s">
        <v>385</v>
      </c>
      <c r="H162" s="39" t="s">
        <v>449</v>
      </c>
      <c r="I162" s="39" t="s">
        <v>452</v>
      </c>
      <c r="J162" s="40"/>
      <c r="K162" s="41"/>
      <c r="L162" s="42"/>
      <c r="M162" s="43"/>
      <c r="N162" s="42"/>
      <c r="O162" s="79" t="s">
        <v>542</v>
      </c>
      <c r="P162" s="45"/>
    </row>
    <row r="163" spans="1:16" ht="29.1" customHeight="1">
      <c r="A163" s="78" t="s">
        <v>320</v>
      </c>
      <c r="B163" s="140">
        <v>14</v>
      </c>
      <c r="C163" s="141" t="s">
        <v>386</v>
      </c>
      <c r="D163" s="128" t="s">
        <v>556</v>
      </c>
      <c r="E163" s="123" t="s">
        <v>387</v>
      </c>
      <c r="F163" s="37" t="s">
        <v>388</v>
      </c>
      <c r="G163" s="38" t="s">
        <v>389</v>
      </c>
      <c r="H163" s="39" t="s">
        <v>449</v>
      </c>
      <c r="I163" s="39" t="s">
        <v>450</v>
      </c>
      <c r="J163" s="40"/>
      <c r="K163" s="41"/>
      <c r="L163" s="59"/>
      <c r="M163" s="43"/>
      <c r="N163" s="59"/>
      <c r="O163" s="44" t="s">
        <v>557</v>
      </c>
      <c r="P163" s="45" t="s">
        <v>558</v>
      </c>
    </row>
    <row r="164" spans="1:16" ht="43.2">
      <c r="A164" s="78" t="s">
        <v>320</v>
      </c>
      <c r="B164" s="140">
        <v>14</v>
      </c>
      <c r="C164" s="141" t="s">
        <v>386</v>
      </c>
      <c r="D164" s="128" t="s">
        <v>556</v>
      </c>
      <c r="E164" s="123" t="s">
        <v>387</v>
      </c>
      <c r="F164" s="37" t="s">
        <v>390</v>
      </c>
      <c r="G164" s="38" t="s">
        <v>391</v>
      </c>
      <c r="H164" s="39" t="s">
        <v>449</v>
      </c>
      <c r="I164" s="39" t="s">
        <v>450</v>
      </c>
      <c r="J164" s="40"/>
      <c r="K164" s="41"/>
      <c r="L164" s="59"/>
      <c r="M164" s="43"/>
      <c r="N164" s="59"/>
      <c r="O164" s="44"/>
      <c r="P164" s="45"/>
    </row>
    <row r="165" spans="1:16" ht="43.2">
      <c r="A165" s="78" t="s">
        <v>320</v>
      </c>
      <c r="B165" s="140">
        <v>14</v>
      </c>
      <c r="C165" s="141" t="s">
        <v>386</v>
      </c>
      <c r="D165" s="84" t="s">
        <v>559</v>
      </c>
      <c r="E165" s="85" t="s">
        <v>392</v>
      </c>
      <c r="F165" s="37" t="s">
        <v>393</v>
      </c>
      <c r="G165" s="38" t="s">
        <v>394</v>
      </c>
      <c r="H165" s="39" t="s">
        <v>449</v>
      </c>
      <c r="I165" s="39" t="s">
        <v>450</v>
      </c>
      <c r="J165" s="40"/>
      <c r="K165" s="41"/>
      <c r="L165" s="59"/>
      <c r="M165" s="43"/>
      <c r="N165" s="59"/>
      <c r="O165" s="44"/>
      <c r="P165" s="45" t="s">
        <v>560</v>
      </c>
    </row>
    <row r="166" spans="1:16" ht="51.9" customHeight="1">
      <c r="A166" s="78" t="s">
        <v>320</v>
      </c>
      <c r="B166" s="140">
        <v>14</v>
      </c>
      <c r="C166" s="141" t="s">
        <v>386</v>
      </c>
      <c r="D166" s="128" t="s">
        <v>561</v>
      </c>
      <c r="E166" s="129" t="s">
        <v>395</v>
      </c>
      <c r="F166" s="37" t="s">
        <v>396</v>
      </c>
      <c r="G166" s="38" t="s">
        <v>397</v>
      </c>
      <c r="H166" s="39" t="s">
        <v>449</v>
      </c>
      <c r="I166" s="39" t="s">
        <v>450</v>
      </c>
      <c r="J166" s="40"/>
      <c r="K166" s="41"/>
      <c r="L166" s="59"/>
      <c r="M166" s="43"/>
      <c r="N166" s="59"/>
      <c r="O166" s="44" t="s">
        <v>557</v>
      </c>
      <c r="P166" s="45"/>
    </row>
    <row r="167" spans="1:16" ht="43.2">
      <c r="A167" s="78" t="s">
        <v>320</v>
      </c>
      <c r="B167" s="140">
        <v>14</v>
      </c>
      <c r="C167" s="141" t="s">
        <v>386</v>
      </c>
      <c r="D167" s="128" t="s">
        <v>561</v>
      </c>
      <c r="E167" s="129" t="s">
        <v>395</v>
      </c>
      <c r="F167" s="37" t="s">
        <v>398</v>
      </c>
      <c r="G167" s="38" t="s">
        <v>399</v>
      </c>
      <c r="H167" s="39" t="s">
        <v>449</v>
      </c>
      <c r="I167" s="39" t="s">
        <v>450</v>
      </c>
      <c r="J167" s="40"/>
      <c r="K167" s="41"/>
      <c r="L167" s="59"/>
      <c r="M167" s="43"/>
      <c r="N167" s="59"/>
      <c r="O167" s="44" t="s">
        <v>557</v>
      </c>
      <c r="P167" s="45"/>
    </row>
    <row r="168" spans="1:16" ht="29.1" customHeight="1">
      <c r="A168" s="86" t="s">
        <v>400</v>
      </c>
      <c r="B168" s="87">
        <v>15</v>
      </c>
      <c r="C168" s="142" t="s">
        <v>401</v>
      </c>
      <c r="D168" s="130" t="s">
        <v>562</v>
      </c>
      <c r="E168" s="131" t="s">
        <v>402</v>
      </c>
      <c r="F168" s="37" t="s">
        <v>403</v>
      </c>
      <c r="G168" s="38" t="s">
        <v>404</v>
      </c>
      <c r="H168" s="39" t="s">
        <v>449</v>
      </c>
      <c r="I168" s="39" t="s">
        <v>452</v>
      </c>
      <c r="J168" s="40"/>
      <c r="K168" s="41"/>
      <c r="L168" s="59"/>
      <c r="M168" s="43"/>
      <c r="N168" s="59"/>
      <c r="O168" s="44"/>
      <c r="P168" s="47"/>
    </row>
    <row r="169" spans="1:16" ht="43.2">
      <c r="A169" s="86" t="s">
        <v>400</v>
      </c>
      <c r="B169" s="87">
        <v>15</v>
      </c>
      <c r="C169" s="142" t="s">
        <v>401</v>
      </c>
      <c r="D169" s="130" t="s">
        <v>562</v>
      </c>
      <c r="E169" s="131" t="s">
        <v>402</v>
      </c>
      <c r="F169" s="37" t="s">
        <v>405</v>
      </c>
      <c r="G169" s="38" t="s">
        <v>406</v>
      </c>
      <c r="H169" s="39" t="s">
        <v>449</v>
      </c>
      <c r="I169" s="39" t="s">
        <v>452</v>
      </c>
      <c r="J169" s="40"/>
      <c r="K169" s="41"/>
      <c r="L169" s="59"/>
      <c r="M169" s="43"/>
      <c r="N169" s="59"/>
      <c r="O169" s="44"/>
      <c r="P169" s="47"/>
    </row>
    <row r="170" spans="1:16" ht="43.2">
      <c r="A170" s="86" t="s">
        <v>400</v>
      </c>
      <c r="B170" s="87">
        <v>15</v>
      </c>
      <c r="C170" s="142" t="s">
        <v>401</v>
      </c>
      <c r="D170" s="130" t="s">
        <v>562</v>
      </c>
      <c r="E170" s="131" t="s">
        <v>402</v>
      </c>
      <c r="F170" s="37" t="s">
        <v>407</v>
      </c>
      <c r="G170" s="38" t="s">
        <v>408</v>
      </c>
      <c r="H170" s="39" t="s">
        <v>449</v>
      </c>
      <c r="I170" s="39" t="s">
        <v>452</v>
      </c>
      <c r="J170" s="40"/>
      <c r="K170" s="41"/>
      <c r="L170" s="59"/>
      <c r="M170" s="43"/>
      <c r="N170" s="59"/>
      <c r="O170" s="44"/>
      <c r="P170" s="47"/>
    </row>
    <row r="171" spans="1:16" ht="43.2">
      <c r="A171" s="86" t="s">
        <v>400</v>
      </c>
      <c r="B171" s="87">
        <v>15</v>
      </c>
      <c r="C171" s="142" t="s">
        <v>401</v>
      </c>
      <c r="D171" s="130" t="s">
        <v>562</v>
      </c>
      <c r="E171" s="131" t="s">
        <v>402</v>
      </c>
      <c r="F171" s="37" t="s">
        <v>409</v>
      </c>
      <c r="G171" s="38" t="s">
        <v>410</v>
      </c>
      <c r="H171" s="39" t="s">
        <v>449</v>
      </c>
      <c r="I171" s="39" t="s">
        <v>450</v>
      </c>
      <c r="J171" s="40"/>
      <c r="K171" s="41"/>
      <c r="L171" s="59"/>
      <c r="M171" s="43"/>
      <c r="N171" s="59"/>
      <c r="O171" s="44"/>
      <c r="P171" s="38" t="s">
        <v>563</v>
      </c>
    </row>
    <row r="172" spans="1:16" ht="57.6">
      <c r="A172" s="86" t="s">
        <v>400</v>
      </c>
      <c r="B172" s="87">
        <v>16</v>
      </c>
      <c r="C172" s="88" t="s">
        <v>411</v>
      </c>
      <c r="D172" s="89" t="s">
        <v>564</v>
      </c>
      <c r="E172" s="132" t="s">
        <v>412</v>
      </c>
      <c r="F172" s="37" t="s">
        <v>413</v>
      </c>
      <c r="G172" s="38" t="s">
        <v>414</v>
      </c>
      <c r="H172" s="39" t="s">
        <v>449</v>
      </c>
      <c r="I172" s="39" t="s">
        <v>450</v>
      </c>
      <c r="J172" s="40"/>
      <c r="K172" s="41"/>
      <c r="L172" s="59"/>
      <c r="M172" s="43"/>
      <c r="N172" s="59"/>
      <c r="O172" s="44"/>
      <c r="P172" s="47" t="s">
        <v>565</v>
      </c>
    </row>
    <row r="173" spans="1:16" ht="29.1" customHeight="1">
      <c r="A173" s="86" t="s">
        <v>400</v>
      </c>
      <c r="B173" s="87">
        <v>16</v>
      </c>
      <c r="C173" s="88" t="s">
        <v>411</v>
      </c>
      <c r="D173" s="91" t="s">
        <v>566</v>
      </c>
      <c r="E173" s="92" t="s">
        <v>415</v>
      </c>
      <c r="F173" s="37" t="s">
        <v>416</v>
      </c>
      <c r="G173" s="38" t="s">
        <v>417</v>
      </c>
      <c r="H173" s="39" t="s">
        <v>449</v>
      </c>
      <c r="I173" s="39" t="s">
        <v>450</v>
      </c>
      <c r="J173" s="40"/>
      <c r="K173" s="41"/>
      <c r="L173" s="59"/>
      <c r="M173" s="43"/>
      <c r="N173" s="59"/>
      <c r="O173" s="44"/>
      <c r="P173" s="45" t="s">
        <v>567</v>
      </c>
    </row>
    <row r="174" spans="1:16" ht="43.2">
      <c r="A174" s="86" t="s">
        <v>400</v>
      </c>
      <c r="B174" s="87">
        <v>16</v>
      </c>
      <c r="C174" s="88" t="s">
        <v>411</v>
      </c>
      <c r="D174" s="91" t="s">
        <v>566</v>
      </c>
      <c r="E174" s="92" t="s">
        <v>415</v>
      </c>
      <c r="F174" s="37" t="s">
        <v>418</v>
      </c>
      <c r="G174" s="90" t="s">
        <v>419</v>
      </c>
      <c r="H174" s="39" t="s">
        <v>449</v>
      </c>
      <c r="I174" s="39" t="s">
        <v>450</v>
      </c>
      <c r="J174" s="40"/>
      <c r="K174" s="41"/>
      <c r="L174" s="40"/>
      <c r="M174" s="43"/>
      <c r="N174" s="40"/>
      <c r="O174" s="44"/>
      <c r="P174" s="45"/>
    </row>
    <row r="175" spans="1:16" ht="43.2">
      <c r="A175" s="86" t="s">
        <v>400</v>
      </c>
      <c r="B175" s="87">
        <v>16</v>
      </c>
      <c r="C175" s="88" t="s">
        <v>411</v>
      </c>
      <c r="D175" s="91" t="s">
        <v>566</v>
      </c>
      <c r="E175" s="92" t="s">
        <v>415</v>
      </c>
      <c r="F175" s="37" t="s">
        <v>420</v>
      </c>
      <c r="G175" s="90" t="s">
        <v>421</v>
      </c>
      <c r="H175" s="39" t="s">
        <v>449</v>
      </c>
      <c r="I175" s="39" t="s">
        <v>450</v>
      </c>
      <c r="J175" s="40"/>
      <c r="K175" s="41"/>
      <c r="L175" s="40"/>
      <c r="M175" s="43"/>
      <c r="N175" s="40"/>
      <c r="O175" s="44"/>
      <c r="P175" s="47" t="s">
        <v>568</v>
      </c>
    </row>
    <row r="176" spans="1:16" ht="28.8">
      <c r="A176" s="86" t="s">
        <v>400</v>
      </c>
      <c r="B176" s="87">
        <v>16</v>
      </c>
      <c r="C176" s="88" t="s">
        <v>411</v>
      </c>
      <c r="D176" s="91" t="s">
        <v>569</v>
      </c>
      <c r="E176" s="92" t="s">
        <v>422</v>
      </c>
      <c r="F176" s="37" t="s">
        <v>423</v>
      </c>
      <c r="G176" s="90" t="s">
        <v>424</v>
      </c>
      <c r="H176" s="39" t="s">
        <v>449</v>
      </c>
      <c r="I176" s="39" t="s">
        <v>450</v>
      </c>
      <c r="J176" s="40"/>
      <c r="K176" s="41"/>
      <c r="L176" s="40"/>
      <c r="M176" s="43"/>
      <c r="N176" s="40"/>
      <c r="O176" s="44"/>
      <c r="P176" s="45"/>
    </row>
    <row r="177" spans="1:16" ht="43.2">
      <c r="A177" s="86" t="s">
        <v>400</v>
      </c>
      <c r="B177" s="87">
        <v>16</v>
      </c>
      <c r="C177" s="88" t="s">
        <v>411</v>
      </c>
      <c r="D177" s="91" t="s">
        <v>569</v>
      </c>
      <c r="E177" s="92" t="s">
        <v>422</v>
      </c>
      <c r="F177" s="37" t="s">
        <v>425</v>
      </c>
      <c r="G177" s="38" t="s">
        <v>426</v>
      </c>
      <c r="H177" s="39" t="s">
        <v>449</v>
      </c>
      <c r="I177" s="39" t="s">
        <v>450</v>
      </c>
      <c r="J177" s="40"/>
      <c r="K177" s="41"/>
      <c r="L177" s="59"/>
      <c r="M177" s="43"/>
      <c r="N177" s="59"/>
      <c r="O177" s="44"/>
      <c r="P177" s="47" t="s">
        <v>570</v>
      </c>
    </row>
    <row r="178" spans="1:16" ht="28.8">
      <c r="A178" s="86" t="s">
        <v>400</v>
      </c>
      <c r="B178" s="87">
        <v>16</v>
      </c>
      <c r="C178" s="88" t="s">
        <v>411</v>
      </c>
      <c r="D178" s="91" t="s">
        <v>569</v>
      </c>
      <c r="E178" s="92" t="s">
        <v>422</v>
      </c>
      <c r="F178" s="37" t="s">
        <v>427</v>
      </c>
      <c r="G178" s="90" t="s">
        <v>428</v>
      </c>
      <c r="H178" s="39" t="s">
        <v>449</v>
      </c>
      <c r="I178" s="39" t="s">
        <v>450</v>
      </c>
      <c r="J178" s="40"/>
      <c r="K178" s="41"/>
      <c r="L178" s="59"/>
      <c r="M178" s="43"/>
      <c r="N178" s="59"/>
      <c r="O178" s="44"/>
      <c r="P178" s="45"/>
    </row>
    <row r="179" spans="1:16" ht="28.8">
      <c r="A179" s="86" t="s">
        <v>400</v>
      </c>
      <c r="B179" s="87">
        <v>16</v>
      </c>
      <c r="C179" s="88" t="s">
        <v>411</v>
      </c>
      <c r="D179" s="91" t="s">
        <v>569</v>
      </c>
      <c r="E179" s="92" t="s">
        <v>422</v>
      </c>
      <c r="F179" s="37" t="s">
        <v>429</v>
      </c>
      <c r="G179" s="38" t="s">
        <v>430</v>
      </c>
      <c r="H179" s="39" t="s">
        <v>451</v>
      </c>
      <c r="I179" s="39" t="s">
        <v>450</v>
      </c>
      <c r="J179" s="40"/>
      <c r="K179" s="41"/>
      <c r="L179" s="59"/>
      <c r="M179" s="43"/>
      <c r="N179" s="59"/>
      <c r="O179" s="44"/>
      <c r="P179" s="45"/>
    </row>
    <row r="180" spans="1:16" ht="28.8">
      <c r="A180" s="86" t="s">
        <v>400</v>
      </c>
      <c r="B180" s="87">
        <v>16</v>
      </c>
      <c r="C180" s="88" t="s">
        <v>411</v>
      </c>
      <c r="D180" s="91" t="s">
        <v>569</v>
      </c>
      <c r="E180" s="92" t="s">
        <v>422</v>
      </c>
      <c r="F180" s="37" t="s">
        <v>431</v>
      </c>
      <c r="G180" s="38" t="s">
        <v>432</v>
      </c>
      <c r="H180" s="39" t="s">
        <v>449</v>
      </c>
      <c r="I180" s="39" t="s">
        <v>452</v>
      </c>
      <c r="J180" s="40"/>
      <c r="K180" s="41"/>
      <c r="L180" s="59"/>
      <c r="M180" s="43"/>
      <c r="N180" s="59"/>
      <c r="O180" s="44"/>
      <c r="P180" s="38"/>
    </row>
    <row r="181" spans="1:16" s="1" customFormat="1" ht="28.8">
      <c r="A181" s="86" t="s">
        <v>400</v>
      </c>
      <c r="B181" s="87">
        <v>16</v>
      </c>
      <c r="C181" s="88" t="s">
        <v>411</v>
      </c>
      <c r="D181" s="130" t="s">
        <v>571</v>
      </c>
      <c r="E181" s="131" t="s">
        <v>433</v>
      </c>
      <c r="F181" s="37" t="s">
        <v>434</v>
      </c>
      <c r="G181" s="38" t="s">
        <v>435</v>
      </c>
      <c r="H181" s="39" t="s">
        <v>449</v>
      </c>
      <c r="I181" s="39" t="s">
        <v>450</v>
      </c>
      <c r="J181" s="40"/>
      <c r="K181" s="41"/>
      <c r="L181" s="59"/>
      <c r="M181" s="43"/>
      <c r="N181" s="59"/>
      <c r="O181" s="44"/>
      <c r="P181" s="47" t="s">
        <v>572</v>
      </c>
    </row>
    <row r="182" spans="1:16" ht="57.6">
      <c r="A182" s="86" t="s">
        <v>400</v>
      </c>
      <c r="B182" s="87">
        <v>16</v>
      </c>
      <c r="C182" s="88" t="s">
        <v>411</v>
      </c>
      <c r="D182" s="130" t="s">
        <v>571</v>
      </c>
      <c r="E182" s="131" t="s">
        <v>433</v>
      </c>
      <c r="F182" s="37" t="s">
        <v>436</v>
      </c>
      <c r="G182" s="38" t="s">
        <v>437</v>
      </c>
      <c r="H182" s="39" t="s">
        <v>449</v>
      </c>
      <c r="I182" s="39" t="s">
        <v>450</v>
      </c>
      <c r="J182" s="40"/>
      <c r="K182" s="41"/>
      <c r="L182" s="59"/>
      <c r="M182" s="43"/>
      <c r="N182" s="59"/>
      <c r="O182" s="44"/>
      <c r="P182" s="47" t="s">
        <v>573</v>
      </c>
    </row>
    <row r="183" spans="1:16" ht="28.8">
      <c r="A183" s="86" t="s">
        <v>400</v>
      </c>
      <c r="B183" s="87">
        <v>16</v>
      </c>
      <c r="C183" s="88" t="s">
        <v>411</v>
      </c>
      <c r="D183" s="93" t="s">
        <v>574</v>
      </c>
      <c r="E183" s="94" t="s">
        <v>438</v>
      </c>
      <c r="F183" s="37" t="s">
        <v>439</v>
      </c>
      <c r="G183" s="38" t="s">
        <v>440</v>
      </c>
      <c r="H183" s="39" t="s">
        <v>449</v>
      </c>
      <c r="I183" s="39" t="s">
        <v>450</v>
      </c>
      <c r="J183" s="40"/>
      <c r="K183" s="41"/>
      <c r="L183" s="42"/>
      <c r="M183" s="43"/>
      <c r="N183" s="42"/>
      <c r="O183" s="44"/>
      <c r="P183" s="45" t="s">
        <v>575</v>
      </c>
    </row>
    <row r="184" spans="1:16" ht="28.8">
      <c r="A184" s="86" t="s">
        <v>400</v>
      </c>
      <c r="B184" s="87">
        <v>16</v>
      </c>
      <c r="C184" s="88" t="s">
        <v>411</v>
      </c>
      <c r="D184" s="91" t="s">
        <v>576</v>
      </c>
      <c r="E184" s="92" t="s">
        <v>441</v>
      </c>
      <c r="F184" s="37" t="s">
        <v>442</v>
      </c>
      <c r="G184" s="38" t="s">
        <v>443</v>
      </c>
      <c r="H184" s="39" t="s">
        <v>451</v>
      </c>
      <c r="I184" s="39" t="s">
        <v>450</v>
      </c>
      <c r="J184" s="40"/>
      <c r="K184" s="41"/>
      <c r="L184" s="42"/>
      <c r="M184" s="43"/>
      <c r="N184" s="42"/>
      <c r="O184" s="44"/>
      <c r="P184" s="45"/>
    </row>
    <row r="185" spans="1:16" ht="28.8">
      <c r="A185" s="86" t="s">
        <v>400</v>
      </c>
      <c r="B185" s="87">
        <v>16</v>
      </c>
      <c r="C185" s="88" t="s">
        <v>411</v>
      </c>
      <c r="D185" s="91" t="s">
        <v>576</v>
      </c>
      <c r="E185" s="92" t="s">
        <v>441</v>
      </c>
      <c r="F185" s="37" t="s">
        <v>444</v>
      </c>
      <c r="G185" s="38" t="s">
        <v>445</v>
      </c>
      <c r="H185" s="39" t="s">
        <v>451</v>
      </c>
      <c r="I185" s="39" t="s">
        <v>450</v>
      </c>
      <c r="J185" s="40"/>
      <c r="K185" s="41"/>
      <c r="L185" s="42"/>
      <c r="M185" s="43"/>
      <c r="N185" s="42"/>
      <c r="O185" s="44"/>
      <c r="P185" s="45"/>
    </row>
    <row r="186" spans="1:16">
      <c r="F186" s="5"/>
    </row>
  </sheetData>
  <autoFilter ref="A4:P185"/>
  <dataConsolidate/>
  <conditionalFormatting sqref="H155:I155 K155">
    <cfRule type="duplicateValues" dxfId="32"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'D:\36981662P\OneDrive - Generalitat de Catalunya\Plans estratègics\0Models\[Model Pla Estrategic ENP_2024.xlsx]Full1'!#REF!</xm:f>
          </x14:formula1>
          <xm:sqref>L5:L185</xm:sqref>
        </x14:dataValidation>
        <x14:dataValidation type="list" allowBlank="1" showInputMessage="1" showErrorMessage="1">
          <x14:formula1>
            <xm:f>'D:\36981662P\OneDrive - Generalitat de Catalunya\Plans estratègics\0Models\[Model Pla Estrategic ENP_2024.xlsx]Full1'!#REF!</xm:f>
          </x14:formula1>
          <xm:sqref>M5:M185 H5:I185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5"/>
  <sheetViews>
    <sheetView topLeftCell="D1" workbookViewId="0">
      <selection activeCell="K4" sqref="K4"/>
    </sheetView>
  </sheetViews>
  <sheetFormatPr defaultColWidth="8.88671875" defaultRowHeight="14.4"/>
  <cols>
    <col min="1" max="1" width="14.44140625" customWidth="1"/>
    <col min="2" max="2" width="33" customWidth="1"/>
    <col min="3" max="3" width="53.109375" customWidth="1"/>
    <col min="5" max="5" width="30" customWidth="1"/>
    <col min="7" max="7" width="45" customWidth="1"/>
    <col min="9" max="9" width="53.88671875" customWidth="1"/>
  </cols>
  <sheetData>
    <row r="1" spans="1:11">
      <c r="B1" s="4" t="s">
        <v>629</v>
      </c>
      <c r="C1" s="4" t="s">
        <v>634</v>
      </c>
      <c r="D1" s="2"/>
      <c r="E1" s="150" t="s">
        <v>614</v>
      </c>
      <c r="G1" s="224" t="s">
        <v>658</v>
      </c>
      <c r="I1" t="s">
        <v>659</v>
      </c>
      <c r="K1" t="s">
        <v>774</v>
      </c>
    </row>
    <row r="2" spans="1:11">
      <c r="A2" t="s">
        <v>653</v>
      </c>
      <c r="B2" s="222" t="s">
        <v>643</v>
      </c>
      <c r="C2" s="151" t="s">
        <v>585</v>
      </c>
      <c r="E2" s="145" t="s">
        <v>615</v>
      </c>
      <c r="G2" s="225"/>
      <c r="K2" t="s">
        <v>931</v>
      </c>
    </row>
    <row r="3" spans="1:11" ht="28.8">
      <c r="A3" t="s">
        <v>653</v>
      </c>
      <c r="B3" s="222" t="s">
        <v>644</v>
      </c>
      <c r="C3" s="151" t="s">
        <v>586</v>
      </c>
      <c r="E3" s="145" t="s">
        <v>616</v>
      </c>
      <c r="G3" s="225" t="s">
        <v>660</v>
      </c>
      <c r="I3" s="226" t="s">
        <v>661</v>
      </c>
      <c r="K3" t="s">
        <v>932</v>
      </c>
    </row>
    <row r="4" spans="1:11">
      <c r="A4" t="s">
        <v>653</v>
      </c>
      <c r="B4" s="222" t="s">
        <v>645</v>
      </c>
      <c r="C4" s="151" t="s">
        <v>636</v>
      </c>
      <c r="E4" s="145" t="s">
        <v>617</v>
      </c>
      <c r="G4" s="225" t="s">
        <v>662</v>
      </c>
      <c r="I4" s="227" t="s">
        <v>663</v>
      </c>
    </row>
    <row r="5" spans="1:11">
      <c r="A5" t="s">
        <v>654</v>
      </c>
      <c r="B5" s="223" t="s">
        <v>646</v>
      </c>
      <c r="C5" s="151" t="s">
        <v>587</v>
      </c>
      <c r="E5" s="145" t="s">
        <v>618</v>
      </c>
      <c r="G5" s="225" t="s">
        <v>664</v>
      </c>
      <c r="I5" s="226" t="s">
        <v>665</v>
      </c>
    </row>
    <row r="6" spans="1:11" ht="28.8">
      <c r="A6" t="s">
        <v>654</v>
      </c>
      <c r="B6" s="223" t="s">
        <v>647</v>
      </c>
      <c r="C6" s="151" t="s">
        <v>588</v>
      </c>
      <c r="E6" s="145" t="s">
        <v>619</v>
      </c>
      <c r="G6" s="225" t="s">
        <v>666</v>
      </c>
      <c r="I6" s="227" t="s">
        <v>667</v>
      </c>
    </row>
    <row r="7" spans="1:11" ht="28.8">
      <c r="A7" t="s">
        <v>655</v>
      </c>
      <c r="B7" s="222" t="s">
        <v>630</v>
      </c>
      <c r="C7" s="151" t="s">
        <v>595</v>
      </c>
      <c r="E7" s="145" t="s">
        <v>620</v>
      </c>
      <c r="G7" s="225" t="s">
        <v>668</v>
      </c>
      <c r="I7" s="226" t="s">
        <v>669</v>
      </c>
    </row>
    <row r="8" spans="1:11">
      <c r="A8" t="s">
        <v>656</v>
      </c>
      <c r="B8" s="223" t="s">
        <v>648</v>
      </c>
      <c r="C8" s="151" t="s">
        <v>589</v>
      </c>
      <c r="E8" s="145" t="s">
        <v>621</v>
      </c>
      <c r="G8" s="225" t="s">
        <v>670</v>
      </c>
      <c r="I8" s="227" t="s">
        <v>671</v>
      </c>
    </row>
    <row r="9" spans="1:11">
      <c r="A9" t="s">
        <v>656</v>
      </c>
      <c r="B9" s="223" t="s">
        <v>649</v>
      </c>
      <c r="C9" s="151" t="s">
        <v>637</v>
      </c>
      <c r="G9" s="225" t="s">
        <v>672</v>
      </c>
      <c r="I9" s="226" t="s">
        <v>673</v>
      </c>
    </row>
    <row r="10" spans="1:11">
      <c r="A10" t="s">
        <v>656</v>
      </c>
      <c r="B10" s="223" t="s">
        <v>650</v>
      </c>
      <c r="C10" s="151" t="s">
        <v>590</v>
      </c>
      <c r="G10" s="225" t="s">
        <v>674</v>
      </c>
      <c r="I10" s="227" t="s">
        <v>675</v>
      </c>
    </row>
    <row r="11" spans="1:11" ht="28.8">
      <c r="A11" t="s">
        <v>656</v>
      </c>
      <c r="B11" s="223" t="s">
        <v>651</v>
      </c>
      <c r="C11" s="151" t="s">
        <v>641</v>
      </c>
      <c r="G11" s="225" t="s">
        <v>676</v>
      </c>
      <c r="I11" s="226" t="s">
        <v>677</v>
      </c>
    </row>
    <row r="12" spans="1:11" ht="28.8">
      <c r="A12" t="s">
        <v>656</v>
      </c>
      <c r="B12" s="223" t="s">
        <v>652</v>
      </c>
      <c r="C12" s="151" t="s">
        <v>591</v>
      </c>
      <c r="G12" s="225" t="s">
        <v>678</v>
      </c>
      <c r="I12" s="227" t="s">
        <v>679</v>
      </c>
    </row>
    <row r="13" spans="1:11" ht="28.8">
      <c r="A13" t="s">
        <v>657</v>
      </c>
      <c r="B13" s="223" t="s">
        <v>632</v>
      </c>
      <c r="C13" s="151" t="s">
        <v>638</v>
      </c>
      <c r="G13" s="225" t="s">
        <v>680</v>
      </c>
      <c r="I13" s="226" t="s">
        <v>681</v>
      </c>
    </row>
    <row r="14" spans="1:11" ht="28.8">
      <c r="A14" t="s">
        <v>657</v>
      </c>
      <c r="B14" s="223" t="s">
        <v>631</v>
      </c>
      <c r="C14" s="151" t="s">
        <v>639</v>
      </c>
      <c r="G14" s="225" t="s">
        <v>682</v>
      </c>
      <c r="I14" s="227" t="s">
        <v>683</v>
      </c>
    </row>
    <row r="15" spans="1:11" ht="28.8">
      <c r="A15" t="s">
        <v>607</v>
      </c>
      <c r="B15" s="223" t="s">
        <v>607</v>
      </c>
      <c r="C15" s="151" t="s">
        <v>592</v>
      </c>
      <c r="G15" s="225" t="s">
        <v>684</v>
      </c>
      <c r="I15" s="226" t="s">
        <v>685</v>
      </c>
    </row>
    <row r="16" spans="1:11" ht="28.8">
      <c r="C16" s="151" t="s">
        <v>593</v>
      </c>
      <c r="G16" s="225" t="s">
        <v>686</v>
      </c>
      <c r="I16" s="227" t="s">
        <v>687</v>
      </c>
    </row>
    <row r="17" spans="3:9" ht="28.8">
      <c r="C17" s="151" t="s">
        <v>594</v>
      </c>
      <c r="G17" s="225" t="s">
        <v>688</v>
      </c>
      <c r="I17" s="226" t="s">
        <v>689</v>
      </c>
    </row>
    <row r="18" spans="3:9" ht="28.8">
      <c r="C18" s="151" t="s">
        <v>640</v>
      </c>
      <c r="G18" s="225" t="s">
        <v>690</v>
      </c>
      <c r="I18" s="227" t="s">
        <v>691</v>
      </c>
    </row>
    <row r="19" spans="3:9">
      <c r="C19" s="151" t="s">
        <v>607</v>
      </c>
      <c r="G19" s="225" t="s">
        <v>692</v>
      </c>
      <c r="I19" s="226" t="s">
        <v>693</v>
      </c>
    </row>
    <row r="20" spans="3:9">
      <c r="G20" s="225" t="s">
        <v>694</v>
      </c>
      <c r="I20" s="227" t="s">
        <v>695</v>
      </c>
    </row>
    <row r="21" spans="3:9">
      <c r="G21" s="225" t="s">
        <v>696</v>
      </c>
      <c r="I21" s="226" t="s">
        <v>697</v>
      </c>
    </row>
    <row r="22" spans="3:9">
      <c r="G22" s="225" t="s">
        <v>698</v>
      </c>
      <c r="I22" s="227" t="s">
        <v>699</v>
      </c>
    </row>
    <row r="23" spans="3:9">
      <c r="G23" s="225" t="s">
        <v>700</v>
      </c>
      <c r="I23" s="226" t="s">
        <v>701</v>
      </c>
    </row>
    <row r="24" spans="3:9">
      <c r="G24" s="225" t="s">
        <v>702</v>
      </c>
      <c r="I24" s="227" t="s">
        <v>703</v>
      </c>
    </row>
    <row r="25" spans="3:9">
      <c r="G25" s="225" t="s">
        <v>704</v>
      </c>
      <c r="I25" s="226" t="s">
        <v>705</v>
      </c>
    </row>
    <row r="26" spans="3:9">
      <c r="G26" s="225" t="s">
        <v>706</v>
      </c>
      <c r="I26" s="227" t="s">
        <v>707</v>
      </c>
    </row>
    <row r="27" spans="3:9">
      <c r="G27" s="225" t="s">
        <v>708</v>
      </c>
      <c r="I27" s="226" t="s">
        <v>709</v>
      </c>
    </row>
    <row r="28" spans="3:9">
      <c r="G28" s="225" t="s">
        <v>710</v>
      </c>
      <c r="I28" s="227" t="s">
        <v>711</v>
      </c>
    </row>
    <row r="29" spans="3:9">
      <c r="G29" s="225" t="s">
        <v>712</v>
      </c>
      <c r="I29" s="226" t="s">
        <v>713</v>
      </c>
    </row>
    <row r="30" spans="3:9">
      <c r="G30" s="225" t="s">
        <v>714</v>
      </c>
      <c r="I30" s="227" t="s">
        <v>715</v>
      </c>
    </row>
    <row r="31" spans="3:9">
      <c r="G31" s="225" t="s">
        <v>716</v>
      </c>
      <c r="I31" s="226" t="s">
        <v>717</v>
      </c>
    </row>
    <row r="32" spans="3:9">
      <c r="G32" s="225" t="s">
        <v>718</v>
      </c>
      <c r="I32" s="227" t="s">
        <v>719</v>
      </c>
    </row>
    <row r="33" spans="7:9">
      <c r="G33" s="225" t="s">
        <v>720</v>
      </c>
      <c r="I33" s="226" t="s">
        <v>721</v>
      </c>
    </row>
    <row r="34" spans="7:9">
      <c r="G34" s="225" t="s">
        <v>722</v>
      </c>
      <c r="I34" s="227" t="s">
        <v>723</v>
      </c>
    </row>
    <row r="35" spans="7:9">
      <c r="G35" s="225" t="s">
        <v>724</v>
      </c>
      <c r="I35" s="226" t="s">
        <v>725</v>
      </c>
    </row>
    <row r="36" spans="7:9">
      <c r="G36" s="225" t="s">
        <v>726</v>
      </c>
      <c r="I36" s="227" t="s">
        <v>713</v>
      </c>
    </row>
    <row r="37" spans="7:9">
      <c r="G37" s="225" t="s">
        <v>727</v>
      </c>
      <c r="I37" s="226" t="s">
        <v>728</v>
      </c>
    </row>
    <row r="38" spans="7:9">
      <c r="G38" s="225" t="s">
        <v>729</v>
      </c>
      <c r="I38" s="227" t="s">
        <v>730</v>
      </c>
    </row>
    <row r="39" spans="7:9">
      <c r="G39" s="225"/>
      <c r="I39" s="226" t="s">
        <v>731</v>
      </c>
    </row>
    <row r="40" spans="7:9">
      <c r="I40" s="227" t="s">
        <v>732</v>
      </c>
    </row>
    <row r="41" spans="7:9">
      <c r="I41" s="226" t="s">
        <v>733</v>
      </c>
    </row>
    <row r="42" spans="7:9">
      <c r="I42" s="227" t="s">
        <v>734</v>
      </c>
    </row>
    <row r="43" spans="7:9">
      <c r="I43" s="226" t="s">
        <v>735</v>
      </c>
    </row>
    <row r="44" spans="7:9">
      <c r="I44" s="227" t="s">
        <v>736</v>
      </c>
    </row>
    <row r="45" spans="7:9">
      <c r="I45" s="226" t="s">
        <v>737</v>
      </c>
    </row>
    <row r="46" spans="7:9">
      <c r="I46" s="227" t="s">
        <v>738</v>
      </c>
    </row>
    <row r="47" spans="7:9">
      <c r="I47" s="226" t="s">
        <v>739</v>
      </c>
    </row>
    <row r="48" spans="7:9">
      <c r="I48" s="227" t="s">
        <v>740</v>
      </c>
    </row>
    <row r="49" spans="9:9">
      <c r="I49" s="226" t="s">
        <v>741</v>
      </c>
    </row>
    <row r="50" spans="9:9">
      <c r="I50" s="227" t="s">
        <v>742</v>
      </c>
    </row>
    <row r="51" spans="9:9">
      <c r="I51" s="226" t="s">
        <v>743</v>
      </c>
    </row>
    <row r="52" spans="9:9">
      <c r="I52" s="227" t="s">
        <v>744</v>
      </c>
    </row>
    <row r="53" spans="9:9">
      <c r="I53" s="226" t="s">
        <v>745</v>
      </c>
    </row>
    <row r="54" spans="9:9">
      <c r="I54" s="227" t="s">
        <v>746</v>
      </c>
    </row>
    <row r="55" spans="9:9">
      <c r="I55" s="226" t="s">
        <v>747</v>
      </c>
    </row>
    <row r="56" spans="9:9">
      <c r="I56" s="227" t="s">
        <v>748</v>
      </c>
    </row>
    <row r="57" spans="9:9">
      <c r="I57" s="226" t="s">
        <v>749</v>
      </c>
    </row>
    <row r="58" spans="9:9">
      <c r="I58" s="227" t="s">
        <v>750</v>
      </c>
    </row>
    <row r="59" spans="9:9">
      <c r="I59" s="226" t="s">
        <v>751</v>
      </c>
    </row>
    <row r="60" spans="9:9">
      <c r="I60" s="227" t="s">
        <v>752</v>
      </c>
    </row>
    <row r="61" spans="9:9">
      <c r="I61" s="226" t="s">
        <v>753</v>
      </c>
    </row>
    <row r="62" spans="9:9">
      <c r="I62" s="227" t="s">
        <v>754</v>
      </c>
    </row>
    <row r="63" spans="9:9">
      <c r="I63" s="226" t="s">
        <v>755</v>
      </c>
    </row>
    <row r="64" spans="9:9">
      <c r="I64" s="227" t="s">
        <v>756</v>
      </c>
    </row>
    <row r="65" spans="9:9">
      <c r="I65" s="226" t="s">
        <v>757</v>
      </c>
    </row>
    <row r="66" spans="9:9">
      <c r="I66" s="227" t="s">
        <v>758</v>
      </c>
    </row>
    <row r="67" spans="9:9">
      <c r="I67" s="226" t="s">
        <v>759</v>
      </c>
    </row>
    <row r="68" spans="9:9">
      <c r="I68" s="227" t="s">
        <v>760</v>
      </c>
    </row>
    <row r="69" spans="9:9">
      <c r="I69" s="226" t="s">
        <v>761</v>
      </c>
    </row>
    <row r="70" spans="9:9">
      <c r="I70" s="227" t="s">
        <v>762</v>
      </c>
    </row>
    <row r="71" spans="9:9">
      <c r="I71" s="226" t="s">
        <v>763</v>
      </c>
    </row>
    <row r="72" spans="9:9">
      <c r="I72" s="227" t="s">
        <v>764</v>
      </c>
    </row>
    <row r="73" spans="9:9">
      <c r="I73" s="226" t="s">
        <v>765</v>
      </c>
    </row>
    <row r="74" spans="9:9">
      <c r="I74" s="227" t="s">
        <v>766</v>
      </c>
    </row>
    <row r="75" spans="9:9">
      <c r="I75" s="226" t="s">
        <v>767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workbookViewId="0">
      <selection activeCell="G5" sqref="G5"/>
    </sheetView>
  </sheetViews>
  <sheetFormatPr defaultRowHeight="14.4"/>
  <cols>
    <col min="1" max="1" width="44.88671875" bestFit="1" customWidth="1"/>
    <col min="2" max="2" width="16.88671875" customWidth="1"/>
    <col min="4" max="4" width="11.44140625" customWidth="1"/>
    <col min="5" max="5" width="22.44140625" customWidth="1"/>
    <col min="6" max="6" width="24.109375" customWidth="1"/>
    <col min="7" max="7" width="14.109375" customWidth="1"/>
    <col min="8" max="8" width="15.88671875" customWidth="1"/>
    <col min="9" max="9" width="18" customWidth="1"/>
    <col min="10" max="10" width="12.88671875" customWidth="1"/>
    <col min="11" max="11" width="18.88671875" customWidth="1"/>
    <col min="12" max="12" width="15.44140625" customWidth="1"/>
    <col min="13" max="13" width="28.5546875" customWidth="1"/>
    <col min="14" max="14" width="46.109375" customWidth="1"/>
    <col min="15" max="15" width="38.109375" customWidth="1"/>
    <col min="16" max="16" width="21.88671875" customWidth="1"/>
    <col min="17" max="17" width="16.5546875" customWidth="1"/>
  </cols>
  <sheetData>
    <row r="1" spans="1:17">
      <c r="A1" s="229" t="s">
        <v>930</v>
      </c>
      <c r="B1" s="230" t="s">
        <v>933</v>
      </c>
      <c r="D1" s="228" t="s">
        <v>929</v>
      </c>
      <c r="E1" s="228" t="s">
        <v>927</v>
      </c>
      <c r="F1" s="228" t="s">
        <v>918</v>
      </c>
      <c r="G1" s="228" t="s">
        <v>926</v>
      </c>
      <c r="H1" s="228" t="s">
        <v>920</v>
      </c>
      <c r="I1" s="228" t="s">
        <v>923</v>
      </c>
      <c r="J1" s="228" t="s">
        <v>928</v>
      </c>
      <c r="K1" s="228" t="s">
        <v>924</v>
      </c>
      <c r="L1" s="228" t="s">
        <v>925</v>
      </c>
      <c r="M1" s="228" t="s">
        <v>921</v>
      </c>
      <c r="N1" s="228" t="s">
        <v>922</v>
      </c>
      <c r="O1" s="228" t="s">
        <v>919</v>
      </c>
      <c r="P1" s="228" t="s">
        <v>916</v>
      </c>
      <c r="Q1" s="228" t="s">
        <v>917</v>
      </c>
    </row>
    <row r="2" spans="1:17">
      <c r="A2" s="228" t="s">
        <v>929</v>
      </c>
      <c r="B2" t="s">
        <v>934</v>
      </c>
      <c r="D2" s="228" t="s">
        <v>814</v>
      </c>
      <c r="E2" s="228" t="s">
        <v>798</v>
      </c>
      <c r="F2" s="228" t="s">
        <v>776</v>
      </c>
      <c r="G2" s="228" t="s">
        <v>796</v>
      </c>
      <c r="H2" s="228" t="s">
        <v>779</v>
      </c>
      <c r="I2" s="228" t="s">
        <v>784</v>
      </c>
      <c r="J2" s="228" t="s">
        <v>802</v>
      </c>
      <c r="K2" s="228" t="s">
        <v>785</v>
      </c>
      <c r="L2" s="228" t="s">
        <v>792</v>
      </c>
      <c r="M2" s="228" t="s">
        <v>780</v>
      </c>
      <c r="N2" s="228" t="s">
        <v>782</v>
      </c>
      <c r="O2" s="228" t="s">
        <v>777</v>
      </c>
      <c r="P2" s="228" t="s">
        <v>781</v>
      </c>
      <c r="Q2" s="228" t="s">
        <v>775</v>
      </c>
    </row>
    <row r="3" spans="1:17">
      <c r="A3" s="228" t="s">
        <v>927</v>
      </c>
      <c r="B3" t="s">
        <v>935</v>
      </c>
      <c r="D3" s="228" t="s">
        <v>853</v>
      </c>
      <c r="E3" s="228" t="s">
        <v>803</v>
      </c>
      <c r="F3" s="228" t="s">
        <v>778</v>
      </c>
      <c r="G3" s="228" t="s">
        <v>811</v>
      </c>
      <c r="H3" s="228" t="s">
        <v>790</v>
      </c>
      <c r="I3" s="228" t="s">
        <v>788</v>
      </c>
      <c r="J3" s="228" t="s">
        <v>808</v>
      </c>
      <c r="K3" s="228" t="s">
        <v>801</v>
      </c>
      <c r="L3" s="228" t="s">
        <v>817</v>
      </c>
      <c r="M3" s="228" t="s">
        <v>794</v>
      </c>
      <c r="N3" s="228" t="s">
        <v>787</v>
      </c>
      <c r="O3" s="228" t="s">
        <v>793</v>
      </c>
      <c r="P3" s="228" t="s">
        <v>786</v>
      </c>
      <c r="Q3" s="228" t="s">
        <v>832</v>
      </c>
    </row>
    <row r="4" spans="1:17">
      <c r="A4" s="228" t="s">
        <v>918</v>
      </c>
      <c r="B4" t="s">
        <v>946</v>
      </c>
      <c r="D4" s="228" t="s">
        <v>907</v>
      </c>
      <c r="E4" s="228" t="s">
        <v>806</v>
      </c>
      <c r="F4" s="228" t="s">
        <v>783</v>
      </c>
      <c r="G4" s="228" t="s">
        <v>812</v>
      </c>
      <c r="H4" s="228" t="s">
        <v>799</v>
      </c>
      <c r="I4" s="228" t="s">
        <v>789</v>
      </c>
      <c r="J4" s="228" t="s">
        <v>834</v>
      </c>
      <c r="K4" s="228" t="s">
        <v>809</v>
      </c>
      <c r="L4" s="228" t="s">
        <v>825</v>
      </c>
      <c r="M4" s="228" t="s">
        <v>810</v>
      </c>
      <c r="N4" s="228" t="s">
        <v>797</v>
      </c>
      <c r="O4" s="228" t="s">
        <v>818</v>
      </c>
      <c r="P4" s="228" t="s">
        <v>795</v>
      </c>
      <c r="Q4" s="228" t="s">
        <v>835</v>
      </c>
    </row>
    <row r="5" spans="1:17">
      <c r="A5" s="228" t="s">
        <v>926</v>
      </c>
      <c r="B5" t="s">
        <v>937</v>
      </c>
      <c r="E5" s="228" t="s">
        <v>882</v>
      </c>
      <c r="F5" s="228" t="s">
        <v>791</v>
      </c>
      <c r="G5" s="228" t="s">
        <v>824</v>
      </c>
      <c r="H5" s="228" t="s">
        <v>800</v>
      </c>
      <c r="I5" s="228" t="s">
        <v>804</v>
      </c>
      <c r="J5" s="228" t="s">
        <v>843</v>
      </c>
      <c r="K5" s="228" t="s">
        <v>822</v>
      </c>
      <c r="L5" s="228" t="s">
        <v>830</v>
      </c>
      <c r="M5" s="228" t="s">
        <v>819</v>
      </c>
      <c r="N5" s="228" t="s">
        <v>831</v>
      </c>
      <c r="O5" s="228" t="s">
        <v>821</v>
      </c>
      <c r="P5" s="228" t="s">
        <v>805</v>
      </c>
      <c r="Q5" s="228" t="s">
        <v>836</v>
      </c>
    </row>
    <row r="6" spans="1:17">
      <c r="A6" s="228" t="s">
        <v>920</v>
      </c>
      <c r="B6" t="s">
        <v>939</v>
      </c>
      <c r="E6" s="228" t="s">
        <v>899</v>
      </c>
      <c r="F6" s="228" t="s">
        <v>813</v>
      </c>
      <c r="G6" s="228" t="s">
        <v>880</v>
      </c>
      <c r="H6" s="228" t="s">
        <v>878</v>
      </c>
      <c r="I6" s="228" t="s">
        <v>807</v>
      </c>
      <c r="J6" s="228" t="s">
        <v>847</v>
      </c>
      <c r="K6" s="228" t="s">
        <v>914</v>
      </c>
      <c r="L6" s="228" t="s">
        <v>851</v>
      </c>
      <c r="M6" s="228" t="s">
        <v>820</v>
      </c>
      <c r="N6" s="228" t="s">
        <v>865</v>
      </c>
      <c r="O6" s="228" t="s">
        <v>838</v>
      </c>
      <c r="P6" s="228" t="s">
        <v>827</v>
      </c>
      <c r="Q6" s="228" t="s">
        <v>849</v>
      </c>
    </row>
    <row r="7" spans="1:17">
      <c r="A7" s="228" t="s">
        <v>923</v>
      </c>
      <c r="B7" t="s">
        <v>940</v>
      </c>
      <c r="E7" s="228" t="s">
        <v>903</v>
      </c>
      <c r="F7" s="228" t="s">
        <v>815</v>
      </c>
      <c r="G7" s="228" t="s">
        <v>893</v>
      </c>
      <c r="H7" s="228" t="s">
        <v>883</v>
      </c>
      <c r="I7" s="228" t="s">
        <v>816</v>
      </c>
      <c r="J7" s="228" t="s">
        <v>855</v>
      </c>
      <c r="L7" s="228" t="s">
        <v>859</v>
      </c>
      <c r="M7" s="228" t="s">
        <v>826</v>
      </c>
      <c r="N7" s="228" t="s">
        <v>877</v>
      </c>
      <c r="O7" s="228" t="s">
        <v>858</v>
      </c>
      <c r="P7" s="228" t="s">
        <v>842</v>
      </c>
      <c r="Q7" s="228" t="s">
        <v>890</v>
      </c>
    </row>
    <row r="8" spans="1:17">
      <c r="A8" s="228" t="s">
        <v>928</v>
      </c>
      <c r="B8" t="s">
        <v>941</v>
      </c>
      <c r="F8" s="228" t="s">
        <v>837</v>
      </c>
      <c r="G8" s="228" t="s">
        <v>894</v>
      </c>
      <c r="H8" s="228" t="s">
        <v>886</v>
      </c>
      <c r="I8" s="228" t="s">
        <v>823</v>
      </c>
      <c r="J8" s="228" t="s">
        <v>860</v>
      </c>
      <c r="L8" s="228" t="s">
        <v>868</v>
      </c>
      <c r="M8" s="228" t="s">
        <v>840</v>
      </c>
      <c r="N8" s="228" t="s">
        <v>897</v>
      </c>
      <c r="O8" s="228" t="s">
        <v>871</v>
      </c>
      <c r="P8" s="228" t="s">
        <v>845</v>
      </c>
      <c r="Q8" s="228" t="s">
        <v>906</v>
      </c>
    </row>
    <row r="9" spans="1:17">
      <c r="A9" s="228" t="s">
        <v>924</v>
      </c>
      <c r="B9" t="s">
        <v>943</v>
      </c>
      <c r="F9" s="228" t="s">
        <v>839</v>
      </c>
      <c r="G9" s="228" t="s">
        <v>910</v>
      </c>
      <c r="H9" s="228" t="s">
        <v>896</v>
      </c>
      <c r="I9" s="228" t="s">
        <v>828</v>
      </c>
      <c r="J9" s="228" t="s">
        <v>867</v>
      </c>
      <c r="L9" s="228" t="s">
        <v>881</v>
      </c>
      <c r="M9" s="228" t="s">
        <v>846</v>
      </c>
      <c r="N9" s="228" t="s">
        <v>905</v>
      </c>
      <c r="O9" s="228" t="s">
        <v>873</v>
      </c>
      <c r="P9" s="228" t="s">
        <v>854</v>
      </c>
    </row>
    <row r="10" spans="1:17">
      <c r="A10" s="228" t="s">
        <v>925</v>
      </c>
      <c r="B10" t="s">
        <v>942</v>
      </c>
      <c r="F10" s="228" t="s">
        <v>841</v>
      </c>
      <c r="I10" s="228" t="s">
        <v>829</v>
      </c>
      <c r="J10" s="228" t="s">
        <v>876</v>
      </c>
      <c r="L10" s="228" t="s">
        <v>895</v>
      </c>
      <c r="M10" s="228" t="s">
        <v>848</v>
      </c>
      <c r="O10" s="228" t="s">
        <v>892</v>
      </c>
      <c r="P10" s="228" t="s">
        <v>864</v>
      </c>
    </row>
    <row r="11" spans="1:17">
      <c r="A11" s="228" t="s">
        <v>921</v>
      </c>
      <c r="B11" t="s">
        <v>944</v>
      </c>
      <c r="F11" s="228" t="s">
        <v>850</v>
      </c>
      <c r="I11" s="228" t="s">
        <v>833</v>
      </c>
      <c r="J11" s="228" t="s">
        <v>884</v>
      </c>
      <c r="M11" s="228" t="s">
        <v>862</v>
      </c>
      <c r="O11" s="228" t="s">
        <v>900</v>
      </c>
      <c r="P11" s="228" t="s">
        <v>875</v>
      </c>
    </row>
    <row r="12" spans="1:17">
      <c r="A12" s="228" t="s">
        <v>922</v>
      </c>
      <c r="B12" t="s">
        <v>945</v>
      </c>
      <c r="F12" s="228" t="s">
        <v>852</v>
      </c>
      <c r="I12" s="228" t="s">
        <v>844</v>
      </c>
      <c r="J12" s="228" t="s">
        <v>887</v>
      </c>
      <c r="M12" s="228" t="s">
        <v>863</v>
      </c>
      <c r="O12" s="228" t="s">
        <v>904</v>
      </c>
      <c r="P12" s="228" t="s">
        <v>902</v>
      </c>
    </row>
    <row r="13" spans="1:17">
      <c r="A13" s="228" t="s">
        <v>919</v>
      </c>
      <c r="B13" t="s">
        <v>936</v>
      </c>
      <c r="F13" s="228" t="s">
        <v>856</v>
      </c>
      <c r="I13" s="228" t="s">
        <v>870</v>
      </c>
      <c r="J13" s="228" t="s">
        <v>889</v>
      </c>
      <c r="M13" s="228" t="s">
        <v>872</v>
      </c>
      <c r="O13" s="228" t="s">
        <v>909</v>
      </c>
      <c r="P13" s="228" t="s">
        <v>911</v>
      </c>
    </row>
    <row r="14" spans="1:17">
      <c r="A14" s="228" t="s">
        <v>916</v>
      </c>
      <c r="B14" t="s">
        <v>938</v>
      </c>
      <c r="F14" s="228" t="s">
        <v>857</v>
      </c>
      <c r="I14" s="228" t="s">
        <v>879</v>
      </c>
      <c r="J14" s="228" t="s">
        <v>891</v>
      </c>
      <c r="M14" s="228" t="s">
        <v>885</v>
      </c>
      <c r="P14" s="228"/>
    </row>
    <row r="15" spans="1:17">
      <c r="A15" s="228" t="s">
        <v>917</v>
      </c>
      <c r="B15" t="s">
        <v>947</v>
      </c>
      <c r="F15" s="228" t="s">
        <v>861</v>
      </c>
      <c r="I15" s="228" t="s">
        <v>888</v>
      </c>
      <c r="J15" s="228" t="s">
        <v>898</v>
      </c>
      <c r="M15" s="228" t="s">
        <v>912</v>
      </c>
      <c r="P15" s="228"/>
    </row>
    <row r="16" spans="1:17">
      <c r="F16" s="228" t="s">
        <v>866</v>
      </c>
      <c r="J16" s="228" t="s">
        <v>913</v>
      </c>
      <c r="P16" s="228"/>
    </row>
    <row r="17" spans="6:6">
      <c r="F17" s="228" t="s">
        <v>869</v>
      </c>
    </row>
    <row r="18" spans="6:6">
      <c r="F18" s="228" t="s">
        <v>874</v>
      </c>
    </row>
    <row r="19" spans="6:6">
      <c r="F19" s="228" t="s">
        <v>901</v>
      </c>
    </row>
    <row r="20" spans="6:6">
      <c r="F20" s="228" t="s">
        <v>908</v>
      </c>
    </row>
    <row r="21" spans="6:6">
      <c r="F21" s="228" t="s">
        <v>915</v>
      </c>
    </row>
  </sheetData>
  <sheetProtection algorithmName="SHA-512" hashValue="QbZHwe9dBgL6d0Po5KBx1a0aPbS4kno0QYFrteH2H+38Mi233BSKFVfrr/WmY820KDCGQLU3dWwGjvq1EA7IZQ==" saltValue="vsM57Is3kktw9eybBU9l3Q==" spinCount="100000" sheet="1" objects="1" scenarios="1"/>
  <dataValidations xWindow="1446" yWindow="699" count="2">
    <dataValidation type="textLength" operator="lessThanOrEqual" allowBlank="1" showInputMessage="1" showErrorMessage="1" errorTitle="S'ha superat la longitud" error="Aquest valor ha de ser menor o igual que 200 caràcters de longitud." promptTitle="Text" prompt="Longitud màxima: 200 caràcters." sqref="Q2:Q8 E2:E7 F2:F21 G2:H9 I2:I15 J2:J16 K2:K6 L2:L10 M2:M15 N2:N9 O2:P13 D2:D4 P14:P15">
      <formula1>200</formula1>
    </dataValidation>
    <dataValidation showInputMessage="1" showErrorMessage="1" error=" " promptTitle="Cerca (obligatori)" prompt="Aquest registre de tipus Unitat responsable ja ha d'existir al Microsoft Dynamics 365 o en aquest fitxer d'origen." sqref="A2:A15 D1:Q1"/>
  </dataValidation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B851E5-A62A-4863-9685-D6DD73D0851C}"/>
</file>

<file path=customXml/itemProps2.xml><?xml version="1.0" encoding="utf-8"?>
<ds:datastoreItem xmlns:ds="http://schemas.openxmlformats.org/officeDocument/2006/customXml" ds:itemID="{9C3BBD1B-D8EB-4F55-AA85-1B39798B5B8A}">
  <ds:schemaRefs>
    <ds:schemaRef ds:uri="http://schemas.microsoft.com/office/2006/metadata/properties"/>
    <ds:schemaRef ds:uri="http://purl.org/dc/terms/"/>
    <ds:schemaRef ds:uri="da98c164-a57d-40d4-8901-16c51c9545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9a081172-b0b2-43c5-ad2b-9c1cb8f67e01"/>
    <ds:schemaRef ds:uri="http://www.w3.org/XML/1998/namespace"/>
    <ds:schemaRef ds:uri="http://purl.org/dc/dcmitype/"/>
  </ds:schemaRefs>
</ds:datastoreItem>
</file>

<file path=customXml/itemProps3.xml><?xml version="1.0" encoding="utf-8"?>
<ds:datastoreItem xmlns:ds="http://schemas.openxmlformats.org/officeDocument/2006/customXml" ds:itemID="{F0687FF4-492A-4708-A78D-9596ABEEFD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5</vt:i4>
      </vt:variant>
    </vt:vector>
  </HeadingPairs>
  <TitlesOfParts>
    <vt:vector size="5" baseType="lpstr">
      <vt:lpstr>Instruccions</vt:lpstr>
      <vt:lpstr>PROGRAMA ANUAL</vt:lpstr>
      <vt:lpstr>PLA ESTRATÈGIC</vt:lpstr>
      <vt:lpstr>Llistes</vt:lpstr>
      <vt:lpstr>Gestors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Pascual Manich, Montserrat</cp:lastModifiedBy>
  <cp:revision/>
  <dcterms:created xsi:type="dcterms:W3CDTF">2015-06-05T18:17:20Z</dcterms:created>
  <dcterms:modified xsi:type="dcterms:W3CDTF">2026-03-06T09:08:04Z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