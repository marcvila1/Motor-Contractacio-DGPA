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mc:AlternateContent xmlns:mc="http://schemas.openxmlformats.org/markup-compatibility/2006">
    <mc:Choice Requires="x15">
      <x15ac:absPath xmlns:x15ac="http://schemas.microsoft.com/office/spreadsheetml/2010/11/ac" url="X:\04476\PNIN_ALBERA\UO4500\13-Memòries\Programa d'actuacions\PAC 2026\"/>
    </mc:Choice>
  </mc:AlternateContent>
  <xr:revisionPtr revIDLastSave="0" documentId="13_ncr:1_{9EA0C9BD-59AC-487C-B35B-6C5590C80557}" xr6:coauthVersionLast="47" xr6:coauthVersionMax="47" xr10:uidLastSave="{00000000-0000-0000-0000-000000000000}"/>
  <bookViews>
    <workbookView xWindow="28680" yWindow="-120" windowWidth="29040" windowHeight="15840" tabRatio="713" activeTab="1" xr2:uid="{00000000-000D-0000-FFFF-FFFF00000000}"/>
  </bookViews>
  <sheets>
    <sheet name="Instruccions" sheetId="18" r:id="rId1"/>
    <sheet name="PROGRAMA ANUAL" sheetId="14" r:id="rId2"/>
    <sheet name="PLA ESTRATÈGIC" sheetId="16" r:id="rId3"/>
    <sheet name="Llistes" sheetId="5" r:id="rId4"/>
  </sheets>
  <definedNames>
    <definedName name="_xlnm._FilterDatabase" localSheetId="2" hidden="1">'PLA ESTRATÈGIC'!$A$3:$P$184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7" i="14" l="1"/>
  <c r="E83" i="14"/>
  <c r="E162" i="14"/>
  <c r="E80" i="14"/>
  <c r="E121" i="14"/>
  <c r="E111" i="14"/>
  <c r="E64" i="14"/>
  <c r="E33" i="14"/>
  <c r="E112" i="14"/>
  <c r="E185" i="14"/>
  <c r="E122" i="14"/>
  <c r="E184" i="14"/>
  <c r="E182" i="14"/>
  <c r="E183" i="14"/>
  <c r="E181" i="14"/>
  <c r="E79" i="14" l="1"/>
  <c r="E10" i="14"/>
  <c r="E63" i="14" l="1"/>
  <c r="E2" i="14"/>
  <c r="E52" i="14"/>
  <c r="E7" i="14"/>
  <c r="J52" i="14"/>
  <c r="J266" i="16" l="1"/>
  <c r="J265" i="16"/>
  <c r="J264" i="16"/>
  <c r="J262" i="16"/>
  <c r="J261" i="16"/>
  <c r="J260" i="16"/>
  <c r="J259" i="16"/>
  <c r="J258" i="16"/>
  <c r="J250" i="16"/>
  <c r="J249" i="16"/>
  <c r="J247" i="16"/>
  <c r="J246" i="16"/>
  <c r="J245" i="16"/>
  <c r="J244" i="16"/>
  <c r="J243" i="16"/>
  <c r="J236" i="16"/>
  <c r="J235" i="16"/>
  <c r="J234" i="16"/>
  <c r="J233" i="16"/>
  <c r="J232" i="16"/>
  <c r="J231" i="16"/>
  <c r="J230" i="16"/>
  <c r="J229" i="16"/>
  <c r="J228" i="16"/>
  <c r="J225" i="16"/>
  <c r="J224" i="16"/>
  <c r="J223" i="16"/>
  <c r="J222" i="16"/>
  <c r="J221" i="16"/>
  <c r="J220" i="16"/>
  <c r="J219" i="16"/>
  <c r="J218" i="16"/>
  <c r="J213" i="16"/>
  <c r="J212" i="16"/>
  <c r="J208" i="16"/>
  <c r="J207" i="16"/>
  <c r="J204" i="16"/>
  <c r="J203" i="16"/>
  <c r="J202" i="16"/>
  <c r="J201" i="16"/>
  <c r="J200" i="16"/>
  <c r="J199" i="16"/>
  <c r="J198" i="16"/>
  <c r="J197" i="16"/>
  <c r="J192" i="16"/>
  <c r="J189" i="16"/>
  <c r="J188" i="16"/>
  <c r="J187" i="16"/>
  <c r="J186" i="16"/>
  <c r="J185" i="16"/>
  <c r="J182" i="16"/>
  <c r="J181" i="16"/>
  <c r="J180" i="16"/>
  <c r="J177" i="16"/>
  <c r="J176" i="16"/>
  <c r="J175" i="16"/>
  <c r="J174" i="16"/>
  <c r="J173" i="16"/>
  <c r="J172" i="16"/>
  <c r="J171" i="16"/>
  <c r="J168" i="16"/>
  <c r="J167" i="16"/>
  <c r="J166" i="16"/>
  <c r="J162" i="16"/>
  <c r="J161" i="16"/>
  <c r="J157" i="16"/>
  <c r="J156" i="16"/>
  <c r="J155" i="16"/>
  <c r="J154" i="16"/>
  <c r="J150" i="16"/>
  <c r="J148" i="16"/>
  <c r="J147" i="16"/>
  <c r="J146" i="16"/>
  <c r="J136" i="16"/>
  <c r="J131" i="16"/>
  <c r="J126" i="16"/>
  <c r="J125" i="16"/>
  <c r="J124" i="16"/>
  <c r="J122" i="16"/>
  <c r="J118" i="16"/>
  <c r="J117" i="16"/>
  <c r="J116" i="16"/>
  <c r="J114" i="16"/>
  <c r="J113" i="16"/>
  <c r="J112" i="16"/>
  <c r="J108" i="16"/>
  <c r="J106" i="16"/>
  <c r="J105" i="16"/>
  <c r="J104" i="16"/>
  <c r="J103" i="16"/>
  <c r="J102" i="16"/>
  <c r="J100" i="16"/>
  <c r="J99" i="16"/>
  <c r="J98" i="16"/>
  <c r="J96" i="16"/>
  <c r="J95" i="16"/>
  <c r="J94" i="16"/>
  <c r="J93" i="16"/>
  <c r="J92" i="16"/>
  <c r="J91" i="16"/>
  <c r="J90" i="16"/>
  <c r="J89" i="16"/>
  <c r="J88" i="16"/>
  <c r="J87" i="16"/>
  <c r="J86" i="16"/>
  <c r="J83" i="16"/>
  <c r="J80" i="16"/>
  <c r="J79" i="16"/>
  <c r="J78" i="16"/>
  <c r="J77" i="16"/>
  <c r="J75" i="16"/>
  <c r="J74" i="16"/>
  <c r="J73" i="16"/>
  <c r="J72" i="16"/>
  <c r="J70" i="16"/>
  <c r="J69" i="16"/>
  <c r="J68" i="16"/>
  <c r="J67" i="16"/>
  <c r="J66" i="16"/>
  <c r="J64" i="16"/>
  <c r="J63" i="16"/>
  <c r="J62" i="16" s="1"/>
  <c r="J59" i="16"/>
  <c r="J54" i="16"/>
  <c r="J53" i="16"/>
  <c r="J52" i="16"/>
  <c r="J51" i="16"/>
  <c r="J50" i="16"/>
  <c r="J49" i="16"/>
  <c r="J40" i="16"/>
  <c r="J39" i="16"/>
  <c r="J38" i="16"/>
  <c r="J32" i="16"/>
  <c r="J31" i="16"/>
  <c r="J30" i="16"/>
  <c r="J27" i="16"/>
  <c r="J25" i="16"/>
  <c r="J24" i="16"/>
  <c r="J23" i="16"/>
  <c r="J21" i="16"/>
  <c r="J20" i="16"/>
  <c r="J19" i="16"/>
  <c r="J18" i="16"/>
  <c r="J17" i="16"/>
  <c r="J16" i="16"/>
  <c r="J15" i="16"/>
  <c r="J14" i="16"/>
  <c r="J13" i="16"/>
  <c r="J11" i="16"/>
  <c r="J10" i="16"/>
  <c r="J9" i="16"/>
  <c r="J8" i="16"/>
  <c r="J7" i="16"/>
  <c r="J6" i="16"/>
  <c r="J5" i="16"/>
  <c r="J4" i="16"/>
</calcChain>
</file>

<file path=xl/sharedStrings.xml><?xml version="1.0" encoding="utf-8"?>
<sst xmlns="http://schemas.openxmlformats.org/spreadsheetml/2006/main" count="4017" uniqueCount="1380">
  <si>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</si>
  <si>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</si>
  <si>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</si>
  <si>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</si>
  <si>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</si>
  <si>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</si>
  <si>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</si>
  <si>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</si>
  <si>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</si>
  <si>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</si>
  <si>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</si>
  <si>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</si>
  <si>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</si>
  <si>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</si>
  <si>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</si>
  <si>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</si>
  <si>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</si>
  <si>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</si>
  <si>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</si>
  <si>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</si>
  <si>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</si>
  <si>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</si>
  <si>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</si>
  <si>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</si>
  <si>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</si>
  <si>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</si>
  <si>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</si>
  <si>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</si>
  <si>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</si>
  <si>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</si>
  <si>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</si>
  <si>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</si>
  <si>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</si>
  <si>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</si>
  <si>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</si>
  <si>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</si>
  <si>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</si>
  <si>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</si>
  <si>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</si>
  <si>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</si>
  <si>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</si>
  <si>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</si>
  <si>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</si>
  <si>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</si>
  <si>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</si>
  <si>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</si>
  <si>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</si>
  <si>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</si>
  <si>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</si>
  <si>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</si>
  <si>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</si>
  <si>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</si>
  <si>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</si>
  <si>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</si>
  <si>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</si>
  <si>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</si>
  <si>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</si>
  <si>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</si>
  <si>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</si>
  <si>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</si>
  <si>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</si>
  <si>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</si>
  <si>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</si>
  <si>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</si>
  <si>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</si>
  <si>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</si>
  <si>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</si>
  <si>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</si>
  <si>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</si>
  <si>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</si>
  <si>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</si>
  <si>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</si>
  <si>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</si>
  <si>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</si>
  <si>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</si>
  <si>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</si>
  <si>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</si>
  <si>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</si>
  <si>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</si>
  <si>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</si>
  <si>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</si>
  <si>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</si>
  <si>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</si>
  <si>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</si>
  <si>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</si>
  <si>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</si>
  <si>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</si>
  <si>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</si>
  <si>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</si>
  <si>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</si>
  <si>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</si>
  <si>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</si>
  <si>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</si>
  <si>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</si>
  <si>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</si>
  <si>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</si>
  <si>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04.2.4</t>
  </si>
  <si>
    <t>Disposar de personal especialitzat en patrimoni cultural</t>
  </si>
  <si>
    <t>Potenciar la conservació i recuperació del patrimoni cultural material i immaterial de l'ENP</t>
  </si>
  <si>
    <t>04.3.1</t>
  </si>
  <si>
    <t>04.3.2</t>
  </si>
  <si>
    <t>Recuperar i conservar el patrimoni cultural rural vinculat específicament a construccions de pedra en sec</t>
  </si>
  <si>
    <t>04.3.3</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</si>
  <si>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</si>
  <si>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</si>
  <si>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</si>
  <si>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</si>
  <si>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</si>
  <si>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</si>
  <si>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</si>
  <si>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</si>
  <si>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</si>
  <si>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</si>
  <si>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</si>
  <si>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</si>
  <si>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</si>
  <si>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</si>
  <si>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</si>
  <si>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Minimitzar la brutícia, deixalles, vandalisme i males praxis dins l'ENP</t>
  </si>
  <si>
    <t>Protegir la qualitat acústica i lumínica de l'ENP</t>
  </si>
  <si>
    <t>05.3.1</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</si>
  <si>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</si>
  <si>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</si>
  <si>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</si>
  <si>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</si>
  <si>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</si>
  <si>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</si>
  <si>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</si>
  <si>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</si>
  <si>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</si>
  <si>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</si>
  <si>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</si>
  <si>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</si>
  <si>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</si>
  <si>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</si>
  <si>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</si>
  <si>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</si>
  <si>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</si>
  <si>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</si>
  <si>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</si>
  <si>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</si>
  <si>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</si>
  <si>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</si>
  <si>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</si>
  <si>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</si>
  <si>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</si>
  <si>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</si>
  <si>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</si>
  <si>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</si>
  <si>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</si>
  <si>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</si>
  <si>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</si>
  <si>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</si>
  <si>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</si>
  <si>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</si>
  <si>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</si>
  <si>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</si>
  <si>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</si>
  <si>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</si>
  <si>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</si>
  <si>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</si>
  <si>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</si>
  <si>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</si>
  <si>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</si>
  <si>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06.5.2</t>
  </si>
  <si>
    <t xml:space="preserve">Disposar de dades de freqüentació i perfil d'usuari en l'ENP i en especial en equipaments i en zones d'alta freqüentació segons el model de DG </t>
  </si>
  <si>
    <t>06.5.3</t>
  </si>
  <si>
    <t>06.5.4</t>
  </si>
  <si>
    <t>Identificar en cartografia les males praxis i punts de massificació</t>
  </si>
  <si>
    <t>06.5.5</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</si>
  <si>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</si>
  <si>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</si>
  <si>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</si>
  <si>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</si>
  <si>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</si>
  <si>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</si>
  <si>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</si>
  <si>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</si>
  <si>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</si>
  <si>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</si>
  <si>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</si>
  <si>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</si>
  <si>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</si>
  <si>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</si>
  <si>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</si>
  <si>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</si>
  <si>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</si>
  <si>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</si>
  <si>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</si>
  <si>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</si>
  <si>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</si>
  <si>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</si>
  <si>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</si>
  <si>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</si>
  <si>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</si>
  <si>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</si>
  <si>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</si>
  <si>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</si>
  <si>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</si>
  <si>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</si>
  <si>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</si>
  <si>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</si>
  <si>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</si>
  <si>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</si>
  <si>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</si>
  <si>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</si>
  <si>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</si>
  <si>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</si>
  <si>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</si>
  <si>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</si>
  <si>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</si>
  <si>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</si>
  <si>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</si>
  <si>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</si>
  <si>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</si>
  <si>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</si>
  <si>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10.1.1</t>
  </si>
  <si>
    <t>ORDENAR L'ÚS PÚBLIC I SOCIAL per a la protecció dels hàbitats, espècies i elements geològics</t>
  </si>
  <si>
    <t>11.1.1</t>
  </si>
  <si>
    <t>11.1.2</t>
  </si>
  <si>
    <t>11.1.3</t>
  </si>
  <si>
    <t>11.1.4</t>
  </si>
  <si>
    <t>11.1.5</t>
  </si>
  <si>
    <t>11.1.6</t>
  </si>
  <si>
    <t>11.1.7</t>
  </si>
  <si>
    <t>11.1.8</t>
  </si>
  <si>
    <t>11.1.9</t>
  </si>
  <si>
    <t>11.1.10</t>
  </si>
  <si>
    <t>11.1.11</t>
  </si>
  <si>
    <t>11.1.12</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</si>
  <si>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</si>
  <si>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</si>
  <si>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</si>
  <si>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</si>
  <si>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</si>
  <si>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</si>
  <si>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</si>
  <si>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11.3.2</t>
  </si>
  <si>
    <t>11.3.3</t>
  </si>
  <si>
    <t>11.3.4</t>
  </si>
  <si>
    <t>Aplicar limitacions temporals d'accés o circulació</t>
  </si>
  <si>
    <t>11.3.5</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</si>
  <si>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</si>
  <si>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</si>
  <si>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</si>
  <si>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</si>
  <si>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</si>
  <si>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</si>
  <si>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</si>
  <si>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</si>
  <si>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</si>
  <si>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</si>
  <si>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</si>
  <si>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</si>
  <si>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</si>
  <si>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</si>
  <si>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</si>
  <si>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</si>
  <si>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</si>
  <si>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</si>
  <si>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</si>
  <si>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</si>
  <si>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</si>
  <si>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</si>
  <si>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</si>
  <si>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</si>
  <si>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</si>
  <si>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</si>
  <si>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</si>
  <si>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</si>
  <si>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</si>
  <si>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</si>
  <si>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</si>
  <si>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</si>
  <si>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</si>
  <si>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</si>
  <si>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</si>
  <si>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</si>
  <si>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</si>
  <si>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</si>
  <si>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</si>
  <si>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</si>
  <si>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</si>
  <si>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</si>
  <si>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</si>
  <si>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</si>
  <si>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</si>
  <si>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</si>
  <si>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</si>
  <si>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</si>
  <si>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</si>
  <si>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</si>
  <si>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</si>
  <si>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</si>
  <si>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</si>
  <si>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</si>
  <si>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</si>
  <si>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</si>
  <si>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</si>
  <si>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</si>
  <si>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</si>
  <si>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</si>
  <si>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</si>
  <si>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</si>
  <si>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</si>
  <si>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</si>
  <si>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</si>
  <si>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</si>
  <si>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</si>
  <si>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</si>
  <si>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</si>
  <si>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</si>
  <si>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</si>
  <si>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</si>
  <si>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</si>
  <si>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</si>
  <si>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</si>
  <si>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</si>
  <si>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</si>
  <si>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</si>
  <si>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</si>
  <si>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</si>
  <si>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</si>
  <si>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</si>
  <si>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</si>
  <si>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</si>
  <si>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</si>
  <si>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</si>
  <si>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</si>
  <si>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</si>
  <si>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</si>
  <si>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</si>
  <si>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</si>
  <si>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</si>
  <si>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</si>
  <si>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</si>
  <si>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</si>
  <si>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</si>
  <si>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</si>
  <si>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</si>
  <si>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</si>
  <si>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</si>
  <si>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</si>
  <si>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</si>
  <si>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</si>
  <si>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</si>
  <si>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</si>
  <si>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</si>
  <si>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</si>
  <si>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</si>
  <si>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</si>
  <si>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</si>
  <si>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</si>
  <si>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</si>
  <si>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</si>
  <si>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</si>
  <si>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</si>
  <si>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</si>
  <si>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</si>
  <si>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</si>
  <si>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</si>
  <si>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</si>
  <si>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</si>
  <si>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Planificar i optimitzar els processos de contractació, concessió d'ajuts, i les col·laboracions amb ens públics i privats</t>
  </si>
  <si>
    <t>16.2.1</t>
  </si>
  <si>
    <t>16.2.2</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</si>
  <si>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</si>
  <si>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</si>
  <si>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</si>
  <si>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</si>
  <si>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</si>
  <si>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</si>
  <si>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</si>
  <si>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</si>
  <si>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</si>
  <si>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</si>
  <si>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</si>
  <si>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</si>
  <si>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</si>
  <si>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</si>
  <si>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</si>
  <si>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</si>
  <si>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</si>
  <si>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</si>
  <si>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</si>
  <si>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Gestionar recursos humans</t>
  </si>
  <si>
    <t>16.6.1</t>
  </si>
  <si>
    <t>Gestió de la brigada de manteniment</t>
  </si>
  <si>
    <t>16.6.2</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</si>
  <si>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</si>
  <si>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</si>
  <si>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</si>
  <si>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</si>
  <si>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</si>
  <si>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</si>
  <si>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</si>
  <si>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</si>
  <si>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</si>
  <si>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</si>
  <si>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</si>
  <si>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</si>
  <si>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</si>
  <si>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</si>
  <si>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</si>
  <si>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</si>
  <si>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</si>
  <si>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</si>
  <si>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</si>
  <si>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</si>
  <si>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</si>
  <si>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</si>
  <si>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</si>
  <si>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</si>
  <si>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</si>
  <si>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</si>
  <si>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</si>
  <si>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</si>
  <si>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</si>
  <si>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</si>
  <si>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</si>
  <si>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</si>
  <si>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02.2</t>
  </si>
  <si>
    <t>Equip de PPI: Disseny del protocol de treball</t>
  </si>
  <si>
    <t>SPEN: Elaboració d'un model de pla de gestió</t>
  </si>
  <si>
    <t>03.1</t>
  </si>
  <si>
    <t>03.2</t>
  </si>
  <si>
    <t>SPEN: Elaboració del Pla rector d'usos i gestió.
SPEN: Elaboració del Pla rector d'usos i gestió</t>
  </si>
  <si>
    <t>03.3</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</si>
  <si>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</si>
  <si>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</si>
  <si>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</si>
  <si>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</si>
  <si>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</si>
  <si>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</si>
  <si>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</si>
  <si>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</si>
  <si>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</si>
  <si>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</si>
  <si>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</si>
  <si>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</si>
  <si>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</si>
  <si>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</si>
  <si>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</si>
  <si>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</si>
  <si>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</si>
  <si>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</si>
  <si>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</si>
  <si>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06.4</t>
  </si>
  <si>
    <t>SENP: Elaborar un mapa d'agents de referència</t>
  </si>
  <si>
    <t>SENP: Elaborar un mapa d'agents de referècia</t>
  </si>
  <si>
    <t>SENP: Suport en l'organització de les jornades</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</si>
  <si>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</si>
  <si>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</si>
  <si>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</si>
  <si>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</si>
  <si>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</si>
  <si>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</si>
  <si>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</si>
  <si>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</si>
  <si>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</si>
  <si>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</si>
  <si>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</si>
  <si>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</si>
  <si>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</si>
  <si>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</si>
  <si>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</si>
  <si>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</si>
  <si>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</si>
  <si>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</si>
  <si>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</si>
  <si>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</si>
  <si>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</si>
  <si>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</si>
  <si>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</si>
  <si>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</si>
  <si>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</si>
  <si>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</si>
  <si>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</si>
  <si>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</si>
  <si>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</si>
  <si>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</si>
  <si>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</si>
  <si>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</si>
  <si>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</si>
  <si>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</si>
  <si>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</si>
  <si>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</si>
  <si>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</si>
  <si>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</si>
  <si>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</si>
  <si>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</si>
  <si>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</si>
  <si>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</si>
  <si>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</si>
  <si>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</si>
  <si>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</si>
  <si>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</si>
  <si>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</si>
  <si>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</si>
  <si>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</si>
  <si>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</si>
  <si>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</si>
  <si>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</si>
  <si>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</si>
  <si>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</si>
  <si>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</si>
  <si>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</si>
  <si>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</si>
  <si>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</si>
  <si>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</si>
  <si>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</si>
  <si>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</si>
  <si>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</si>
  <si>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</si>
  <si>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OBJECTIUS operatius ESTÀNDARDS</t>
  </si>
  <si>
    <t>Objectiu operatiu concretat a l'espai</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</si>
  <si>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</si>
  <si>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</si>
  <si>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</si>
  <si>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</si>
  <si>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</si>
  <si>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</si>
  <si>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</si>
  <si>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</si>
  <si>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</si>
  <si>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</si>
  <si>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</si>
  <si>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</si>
  <si>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</si>
  <si>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</si>
  <si>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</si>
  <si>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</si>
  <si>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</si>
  <si>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</si>
  <si>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</si>
  <si>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</si>
  <si>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</si>
  <si>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</si>
  <si>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</si>
  <si>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</si>
  <si>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</si>
  <si>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</si>
  <si>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</si>
  <si>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</si>
  <si>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</si>
  <si>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</si>
  <si>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</si>
  <si>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</si>
  <si>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</si>
  <si>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</si>
  <si>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</si>
  <si>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</si>
  <si>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</si>
  <si>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</si>
  <si>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</si>
  <si>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</si>
  <si>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</si>
  <si>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</si>
  <si>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</si>
  <si>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1.Natura</t>
  </si>
  <si>
    <t>7. Gestió i Administració</t>
  </si>
  <si>
    <t>Codi RAE, si s'escau</t>
  </si>
  <si>
    <t>Tipus d'actuació segons model de despesa</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</si>
  <si>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</si>
  <si>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</si>
  <si>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</si>
  <si>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</si>
  <si>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</si>
  <si>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</si>
  <si>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</si>
  <si>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</si>
  <si>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</si>
  <si>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</si>
  <si>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</si>
  <si>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</si>
  <si>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</si>
  <si>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</si>
  <si>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</si>
  <si>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</si>
  <si>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</si>
  <si>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</si>
  <si>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</si>
  <si>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</si>
  <si>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</si>
  <si>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</si>
  <si>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</si>
  <si>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</si>
  <si>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</si>
  <si>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</si>
  <si>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</si>
  <si>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</si>
  <si>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</si>
  <si>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</si>
  <si>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</si>
  <si>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</si>
  <si>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</si>
  <si>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</si>
  <si>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</si>
  <si>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</si>
  <si>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</si>
  <si>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</si>
  <si>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</si>
  <si>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</si>
  <si>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</si>
  <si>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</si>
  <si>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</si>
  <si>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</si>
  <si>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</si>
  <si>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</si>
  <si>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</si>
  <si>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</si>
  <si>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</si>
  <si>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</si>
  <si>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</si>
  <si>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</si>
  <si>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</si>
  <si>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</si>
  <si>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</si>
  <si>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</si>
  <si>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</si>
  <si>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</si>
  <si>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</si>
  <si>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</si>
  <si>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</si>
  <si>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</si>
  <si>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</si>
  <si>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</si>
  <si>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</si>
  <si>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</si>
  <si>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</si>
  <si>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</si>
  <si>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</si>
  <si>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</si>
  <si>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</si>
  <si>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</si>
  <si>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</si>
  <si>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</si>
  <si>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</si>
  <si>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</si>
  <si>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</si>
  <si>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</si>
  <si>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</si>
  <si>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</si>
  <si>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</si>
  <si>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</si>
  <si>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</si>
  <si>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</si>
  <si>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</si>
  <si>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</si>
  <si>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</si>
  <si>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</si>
  <si>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</si>
  <si>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</si>
  <si>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</si>
  <si>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</si>
  <si>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</si>
  <si>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</si>
  <si>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</si>
  <si>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</si>
  <si>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</si>
  <si>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</si>
  <si>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</si>
  <si>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</si>
  <si>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</si>
  <si>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</si>
  <si>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</si>
  <si>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</si>
  <si>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</si>
  <si>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</si>
  <si>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</si>
  <si>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</si>
  <si>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</si>
  <si>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</si>
  <si>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</si>
  <si>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</si>
  <si>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</si>
  <si>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</si>
  <si>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</si>
  <si>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</si>
  <si>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</si>
  <si>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</si>
  <si>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</si>
  <si>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</si>
  <si>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</si>
  <si>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</si>
  <si>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</si>
  <si>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</si>
  <si>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</si>
  <si>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</si>
  <si>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</si>
  <si>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</si>
  <si>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</si>
  <si>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</si>
  <si>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</si>
  <si>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</si>
  <si>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</si>
  <si>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</si>
  <si>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</si>
  <si>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</si>
  <si>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</si>
  <si>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</si>
  <si>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</si>
  <si>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</si>
  <si>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</si>
  <si>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</si>
  <si>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</si>
  <si>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MÀXIMA</t>
  </si>
  <si>
    <t xml:space="preserve">Millora del coneixement de la distribució i població (o superfície) dels elements priorizats.
</t>
  </si>
  <si>
    <t>Desplegament del MAP a l'espai XN2000 Basses Albera</t>
  </si>
  <si>
    <t>Redacció del projecte de restauració de depressions.</t>
  </si>
  <si>
    <t>Execució del projecte de restauració de depressions</t>
  </si>
  <si>
    <t xml:space="preserve">Redacció del projecte executiu de restauració de Garbet </t>
  </si>
  <si>
    <t xml:space="preserve"> Execució del projecte de restauració de Garbet </t>
  </si>
  <si>
    <t>Realització d'accions per a la millora dels elements prioritzats a l'espai</t>
  </si>
  <si>
    <t>ALTA</t>
  </si>
  <si>
    <t>Seguiment rompudes i efectes dels treballs forestals sobre tortuga mediterrània en XN2000</t>
  </si>
  <si>
    <t>Aplicació de la metodologia dels Estàndards Oberts pels processos més rellevants per a la conservació a l'espai</t>
  </si>
  <si>
    <t>Aplicació de la metodologia dels Estàndards Oberts pels processos més rellevants per a la conservació a l'espai de XN2000 Basses de l'Albera</t>
  </si>
  <si>
    <t>Implicació i participació en la redacció dels plans de conservació /recuperació d'espècies amenaçades</t>
  </si>
  <si>
    <t>Execució de les accions dins els plans que pertoquin a cada espai (incorporar totes les mesures que surten als plans ja aprovats que tenen incidència a l'espai)</t>
  </si>
  <si>
    <t xml:space="preserve">Col·laboració en l'obtenció de la informació necessària dins els espais per al desenvolupament dels Plans </t>
  </si>
  <si>
    <t xml:space="preserve">Col·laboració amb el Servei de Fauna i Flora en les actuacions de gestió de les espècies exòtiques invasores dins de l'ENP. (Opuntia, bambú, estramoni, Solanum sisymbriifolium, coipú, visó americà, ailant, cortaderia i robínia) (XN2000)
</t>
  </si>
  <si>
    <t xml:space="preserve">
Coordinació i realització d'accions de gestió d'espècies exòtiques invasores dins de l'ENP (Opuntia, bambú, estramoni, Solanum sisymbriifolium, coipú) (XN2000).</t>
  </si>
  <si>
    <t>MITJANA</t>
  </si>
  <si>
    <t>Col·laboració amb altres unitats per a l'assoliment d'objectius i compromisos internacionals, quan aquestes ho demanin.</t>
  </si>
  <si>
    <t>Seguiment dels ajuts d’espais naturals i d’actuacions en espais de la XN2000.</t>
  </si>
  <si>
    <t>Afavorir la creació d'hàbitats per a la conservació d'espècies</t>
  </si>
  <si>
    <t>Participació en la identificació d'espais pel foment de la dinàmica natural i l'aprofitament no extractiu dins l'ENP en base a uns criteris metodològics predefinits</t>
  </si>
  <si>
    <t>Execució d'accions d'acceleració de la maduresa forestal en zones boscoses dins l'ENP en base als criteris metodològics predefinits</t>
  </si>
  <si>
    <t>No hi ha zones compatibles amb cremes controlades dins del PNIN, ara mateix. Sí que es fan en zones de XN2000</t>
  </si>
  <si>
    <t>Col·laboració amb Bombers i GEPIF per a la realització de cremes controlades en àmbits compatibles</t>
  </si>
  <si>
    <t>Col·laboració amb el sector ramader per mantenir i millorar les pastures, especialment en zones culminals d'interès per a la prevenció d'incendis.</t>
  </si>
  <si>
    <t>01.3.7</t>
  </si>
  <si>
    <t>Afavorir la connectivitat ecològica del territori</t>
  </si>
  <si>
    <t xml:space="preserve">Exploració de la via dels acords de custòdia en espais d'alt valor dins l'ENP.
</t>
  </si>
  <si>
    <t xml:space="preserve">
Redacció dels plans de gestió de les 3 finques privades incloses al PNIN, de forma consensuada amb la propietat.</t>
  </si>
  <si>
    <t>Realització d'actuacions demostratives que permetin millorar la gestió d'hàbitats i espècies en altres llocs de l'espai, o zones semblants.</t>
  </si>
  <si>
    <t>Redactar i implementar el Pla d'adaptació de l'ENP al canvi climàtic</t>
  </si>
  <si>
    <t>No disposem de cap Pla d'adaptació de l'ENP al canvi climàtic, de manera que primer caldrà redactar-lo.</t>
  </si>
  <si>
    <t>Redacció del Pla d'adaptació del PNIN al canvi climàtic.</t>
  </si>
  <si>
    <t xml:space="preserve">
Donar a conèixer el Pla entre els propietaris perquè puguin integrar les mesures proposades a la gestió de les seves finques.
</t>
  </si>
  <si>
    <t>Implementació de les mesures d'adaptació del PNIN al canvi climàtic</t>
  </si>
  <si>
    <t>Gestió i manteniment de les fonts i punts d'aigua del PNIN perquè els recursos hídrics estiguin disponibles tant per als hàbitats i les espècies, com per als usos humans (ramaderia, aigua de boca...).</t>
  </si>
  <si>
    <t xml:space="preserve">Revisió de les fonts i punts d'aigua per assegurar el seu manteniment (XN2000)
</t>
  </si>
  <si>
    <t>Manteniment de GR, itineraris, camins d’accés a dòlmens i menhirs (XN2000)</t>
  </si>
  <si>
    <t>Manteniment de la captació de la font de la Verna per compatibilitzar els usos agroramaders i els cabals naturals.</t>
  </si>
  <si>
    <t xml:space="preserve">Col·laborar en la implementació del Pla de Prevenció d'Incendis </t>
  </si>
  <si>
    <t>El Pla de Prevenció d'Incendis ja està redactat i vigent des de fa anys per a tot el massís de l'Albera</t>
  </si>
  <si>
    <t xml:space="preserve">Coordinació de les accions incloses en el Pla de prevenció d'incendis al PNIN.
</t>
  </si>
  <si>
    <t xml:space="preserve">
Col·laboració en l'execució d'actuacions de prevenció d'incendis com el manteniment de franges a la carretera d'accés al monestir de Sant Quirze de Colera.</t>
  </si>
  <si>
    <t>Participar en la definició i planificació de la gestió del foc per a la millora de l'ENP</t>
  </si>
  <si>
    <t>La Taula de Foc, coordinada per Bombers i a la qual participem, és el marc on es prenen aquestes decisions.</t>
  </si>
  <si>
    <t>Participació a la Taula de Foc de l'Albera i Cap de Creus</t>
  </si>
  <si>
    <t>Treballar per a la prevenció d'incendis juntament amb el CAR, propietaris, ajuntaments, protecció civil, ADF, DARPA i bombers.</t>
  </si>
  <si>
    <t>petita modificació del redactat, afegint el CAR i el DARPA (per petició d'aquest Departament)</t>
  </si>
  <si>
    <t>Organització de reunions de coordinació del dispositiu de prevenció d'incendis en cas de tancament del massís, conjuntament amb el CAR.</t>
  </si>
  <si>
    <t>Participar en les consultes dels processos d'Avaluació Ambiental que afectin directament o indirectament l’ENP</t>
  </si>
  <si>
    <t>petita modificació del redactat</t>
  </si>
  <si>
    <t>Redacció dels informes preceptius sobre avaluació ambiental de projectes o plans que puguin afectar l'ENP.</t>
  </si>
  <si>
    <t>Exercir un seguiment efectiu dels treballs informats a l'ENP per assegurar l'acompliment de les condicions establertes.</t>
  </si>
  <si>
    <t>modificació del redactat</t>
  </si>
  <si>
    <t>Fer visites als treballs informats per l'òrgan de gestió, en coordinació amb l'OTAAA.</t>
  </si>
  <si>
    <t>Identificació de possibles actuacions que es poguessin incloure en el marc de mesures compensatòries derivades de l'avaluació ambiental de projectes.</t>
  </si>
  <si>
    <t>Estaríem parlant concretament del pla de protecció, en el nostre cas.</t>
  </si>
  <si>
    <t>Participació en l'elaboració del Pla de Protecció (PP) juntament amb el SPEN.</t>
  </si>
  <si>
    <t xml:space="preserve">Col·laboració amb servei de planificació amb els nous estudis a l'espai XN2000 Basses de l’Albera </t>
  </si>
  <si>
    <t>Participació en l’òrgan de governança de XN2000 Basses de l’Albera</t>
  </si>
  <si>
    <t>Execució del projecte d’ordenació de Cap Ras (XN2000)</t>
  </si>
  <si>
    <t>Participació, de forma coordinada amb l'administració competent, en l'avaluació i control d'actuacions dins els límits de l'ENP.</t>
  </si>
  <si>
    <t>03.3.5</t>
  </si>
  <si>
    <t>Colaborar amb l'òrgan competent per la conservació del domini públic d'acord amb les delimitacions i la normativa d'usos vigent</t>
  </si>
  <si>
    <t>Participació en la identificació de finques prioritàries de compra en base als criteris indicats</t>
  </si>
  <si>
    <t>Recopilació de la informació dels catàlegs d'altres admnistracions, buidat bibliogràfic, i fer diagnosi</t>
  </si>
  <si>
    <t>Redacció de l'inventari de patrimoni cultural material</t>
  </si>
  <si>
    <t xml:space="preserve">
Redacció de l'inventari de patrimoni cultural immaterial (metodologia de l'inventari de la UNESCO)</t>
  </si>
  <si>
    <t>Redacció de l'inventari de patrimoni lingüístic</t>
  </si>
  <si>
    <t>Elaborar l'inventari i cartografia de la xarxa de camins ramaders i altres vies públiques de l'ENP</t>
  </si>
  <si>
    <t>Recollir la informació en forma d'inventari. Fixar-nos en la propietat pública, i no tant en si és tradicional o no, molt més difícil de saber de forma objectiva i històrica.</t>
  </si>
  <si>
    <t>Redacció de l'inventari de camins ramaders o públics</t>
  </si>
  <si>
    <t>Diria que ja està fet, però s'hauria de revisar.</t>
  </si>
  <si>
    <t>Elaboració d'un mapa d'entitats, associacions, museus, ecomuseus, OPEI (Observatori del Patrimoni Etnològic i Immaterial), etc.</t>
  </si>
  <si>
    <t>Impuls de col·laboració amb la xarxa de museus i altres equipaments i entitats de referència</t>
  </si>
  <si>
    <t>Els convenis són una forma jurídica difícil de portar a la pràctica. Val més parlar de col·laboració o acords.</t>
  </si>
  <si>
    <t xml:space="preserve">
Foment de la cooperació tècnica dels gestors de l'ENP amb els representants o custodis del patrimoni cultural, per a un ús compartit dels recursos</t>
  </si>
  <si>
    <t>Coordinació de l'equip tècnic (propi) amb els responsables dels treballs de restauració arquitectònica i del patrimoni cultural</t>
  </si>
  <si>
    <t>Impulsar i/o participar dels treballs de restauració arquitectònica, arqueològica i del patrimoni cultural</t>
  </si>
  <si>
    <t xml:space="preserve">
Participació en els treballs de restauració arquitectònica i del patrimoni cultural quan estan vinculats a l’àrea d’ús públic de l’ENP</t>
  </si>
  <si>
    <t>Recuperar i conservar el patrimoni cultural immaterial (associat a les activitats i aprofitaments rurals tradicionals) i els valors espirituals</t>
  </si>
  <si>
    <t>Col·laborar en mantenir el patrimoni cultural immaterial.</t>
  </si>
  <si>
    <t>Conservació de construccions de pedra seca</t>
  </si>
  <si>
    <t xml:space="preserve">Fomentar la recuperació i conservació de l'arquitectura tradicional d'interès de les edificacions i construccions </t>
  </si>
  <si>
    <t xml:space="preserve">Foment de la recuperació i conservació de l'arquitectura tradicional d'interès de les edificacions i construccions </t>
  </si>
  <si>
    <t>Ja s'està fent per a la vaca de l'Albera sense la nostra participació, i és que tampoc hi arribem</t>
  </si>
  <si>
    <t>BAIXA</t>
  </si>
  <si>
    <t xml:space="preserve">
Conservar les varietats locals en planters (de llavor o esqueix).</t>
  </si>
  <si>
    <t>Col·laborar en mantenir arbres fruiters de varietats locals situats al costat dels masos del massís.</t>
  </si>
  <si>
    <t>Ja es té en compte, però així es visualitza.</t>
  </si>
  <si>
    <t>Integració del patrimoni cultural als itineraris i cartelleria de l'ENP.</t>
  </si>
  <si>
    <t xml:space="preserve">Incorporació del patrimoni cultural en els plans d’ús públic i educació ambiental </t>
  </si>
  <si>
    <t>Formació del personal dels punts d'informació (propi o aliè) en els valors culturals de l'ENP.</t>
  </si>
  <si>
    <t>Redacció de l'inventari d'elements d'interès paisatgístic de l'ENP d'acord amb el Catàleg de paisatge de la zona</t>
  </si>
  <si>
    <t>Identificació dels punts on s'acumulen més deixalles.</t>
  </si>
  <si>
    <t>Reforç de la vigilància en els punts on s'acumulen més deixalles.</t>
  </si>
  <si>
    <t xml:space="preserve">
Reforç de la senyalització, si es considera oportú.</t>
  </si>
  <si>
    <t>Promoure la declaració de zones d'especial protecció de la qualitat acústica, d'acord amb els ajuntaments</t>
  </si>
  <si>
    <t>Els ajuntaments hi han d'estar interessats (ho han d'incloure al seu mapa de capacitat acústica en 6 mesos), i la declaració és de la DGQA</t>
  </si>
  <si>
    <t>Coordinació per a la declaració de l'ENP com a ZEPQA, d'acord amb els ajuntaments.</t>
  </si>
  <si>
    <t>Identificar i prioritzar els elements clau i d'interès per a la gestió de la biodiversitat i geodiversitat de Catalunya que es troben dins l'ENP (espècies amenaçades, espècies exòtiques invasores,.. )</t>
  </si>
  <si>
    <t>Participació en la definició dels objectes de conservació clau (hàbitats, espècies, processos i elements d’interès geològic) comuns a nivell de Xarxa d'ENP o clúster territorial</t>
  </si>
  <si>
    <t xml:space="preserve">
S'ha participat en la realització o actualització de l'inventari de ZH, espais interès geològic, etc.</t>
  </si>
  <si>
    <t>Redacció del treball tècnic sobre els hàbitats presents a les basses</t>
  </si>
  <si>
    <t>Participació en la programació de la realització de la cartografia d'hàbitats en el contracte pluriennal que existeix amb GeoVeg-UB</t>
  </si>
  <si>
    <t>Foment i coordinació dels estudis d'ecologia del foc, el règim hidrològic, la pol·linització, la tipificació i funcionament de les cadenes tròfiques pròpies de l’espai, la dinàmica geomorfològica i morfodinàmica de les roques, etc.</t>
  </si>
  <si>
    <t>Millora del coneixement de la geoconservació (escala més detallada de 1:50.000)</t>
  </si>
  <si>
    <t xml:space="preserve">
Implementació del protocol de fluxos d'informació i coneixement de biodiversitat</t>
  </si>
  <si>
    <t>Foment de l'estudi de l'afectació de determinats processos naturals o activitats antròpiques en l’ENP (amenaces i impacte ambiental).</t>
  </si>
  <si>
    <t>Avaluació de l'impacte del canvi climàtic en l'ENP i la seva capacitat d'adaptació i resiliència.</t>
  </si>
  <si>
    <t>Avaluació dels resultats de les estratègies de gestió aplicades en l'ENP.</t>
  </si>
  <si>
    <t xml:space="preserve">
Col.laboració amb l'Observatori per aportar els coneixements generats a l'ENP.</t>
  </si>
  <si>
    <t>Conèixer l'impacte de les gestió de l'aigua, sobre la biodiversitat</t>
  </si>
  <si>
    <t>Programa de seguiment de l’estat hidrològic dels cursos d'aigua</t>
  </si>
  <si>
    <t>Participació en els estudis d'espècies plaga amb afectacions sobre ecosistemes o activitats econòmiques dins l'ENP de les autoritats competents.</t>
  </si>
  <si>
    <t>Realització i foment d'estudis de forma coordinada amb el SFF.</t>
  </si>
  <si>
    <t xml:space="preserve">Estandarditzar els seguiments periòdics dels grups clau </t>
  </si>
  <si>
    <t xml:space="preserve">Suport a la UIC en la definició dels sistemes de seguiment </t>
  </si>
  <si>
    <t>SOCC: 4 itineraris
SEGRE: 2 parcel·les
SEMICE: 2 parcel·les
Quirorefugis: 2 refugis de cria
Quirohàbitats: 4 estacions
Liró gris: 2 estacions
Musaranya d'aigua: 1 transsecte
Pla seguiment gat fer :1 parcel·la
CBMS 1 itinerari
Cens de perdiu roja
Cens de conill
Seguiment Pallavicinia lyllelii
Seguiment Hydrocotyle vulgaris       
Seguiment cranc de riu autòcton
Seguiment tortuga mediterrània</t>
  </si>
  <si>
    <t xml:space="preserve">Manteniment de la base de dades de seguiment de patrimoni natural de l'ENP actualitzada i ordenada </t>
  </si>
  <si>
    <t>Participar en la definició, organització i bolcatge de dades del SINATCAT</t>
  </si>
  <si>
    <t>Actualització del SINATCAT</t>
  </si>
  <si>
    <t>Establiment de col·laboració amb el Monument de Sant Pere de Rodes, pel que fa al romànic, i amb el Museu Memorial de l'Exili, pel que fa a la dimensió fronterera.</t>
  </si>
  <si>
    <t>Facilitar que institucions de recerca i naturalistes facin estudis i inventaris dins l'ENP en el marc de les seves línies de recerca</t>
  </si>
  <si>
    <t>No podem fer acords, però sí que podem donar facilitats en la mesura del possible.</t>
  </si>
  <si>
    <t>Facilitació a institucions de recerca i naturalistes perquè facin estudis i inventaris dins l'ENP en el marc de les seves línies de recerca.</t>
  </si>
  <si>
    <t>Vinculació amb projectes de ciència ciutana existents per generar dades en l'ENP</t>
  </si>
  <si>
    <t xml:space="preserve">Crear i desenvolupar jornades de recerca de l'ENP de forma anual on els diferents centres mostrin els estudis realitzats  en l'ENP </t>
  </si>
  <si>
    <t>Organitzar una trobada d'estudiosos de forma anual on els diferents organismes mostrin els estudis realitzats  a l'ENP, i els donin a conèixer a la societat.</t>
  </si>
  <si>
    <t>La jornada que fa temps que fem en diem ""Trobada d'estudiosos de l'Albera"</t>
  </si>
  <si>
    <t>Organització d'una trobada d'estudiosos de forma anual on els diferents organismes comparteixin els estudis realitzats  a l'ENP.</t>
  </si>
  <si>
    <t>Participar en la definició del sistema estàndard de seguiment de l'ús públic amb el SENP</t>
  </si>
  <si>
    <t>Participació en la definició del sistema estàndard de seguiment de l'ús públic amb el SENP.</t>
  </si>
  <si>
    <t>Implementació del sistema estandarditzat de presa de dades i seguiment de la freqüentació en ENP del SENP</t>
  </si>
  <si>
    <t xml:space="preserve">
Establiment de models de freqüentació que serveixin per gestionar l'ús públic en l'ENP conjuntament amb la UIC</t>
  </si>
  <si>
    <t>Adaptar i mantenir un registre d'activitats, actors i incidències en ús públic (curses, conflictes, queixes, etc)</t>
  </si>
  <si>
    <t>Establiment i actualització d'un registre d'activitats, actors i inciències en ús públic (curses, conflictes, queixes, etc)</t>
  </si>
  <si>
    <t>Identificació dels impactes (positius i negatius) que generen les activitats d'ús públic dins l'ENP</t>
  </si>
  <si>
    <t>Promoure i/o col·laborar en l'aplicació de Plans de Desenvolupament Local Sostenible</t>
  </si>
  <si>
    <t>Col·laboració en la definició i aplicació del Plans de Desenvolupament Local Sostenible que vulguin establir els ajuntaments de l'àmbit de l'ENP.</t>
  </si>
  <si>
    <t>07.2</t>
  </si>
  <si>
    <t>Promoure la gestió del bestiar amb sistemes sense tanques físiques</t>
  </si>
  <si>
    <t>07.2.1</t>
  </si>
  <si>
    <t>Millorar la cobertura en l'àmbit de l'espai natural</t>
  </si>
  <si>
    <t>No hi ha cap objectiu que pugui donar resposta a aquesta actuació.</t>
  </si>
  <si>
    <t>Si</t>
  </si>
  <si>
    <t xml:space="preserve">Col·laboració amb les propietats ramaderes per millorar la cobertura de telefonia i així fomentar el control del bestiar sense tanques físiques, en el marc de les competències de l'òrgan de gestió.
</t>
  </si>
  <si>
    <t>APROFITAR ELS RECURSOS NATURALS DE FORMA SOSTENIBLE mitjançant desenvolupament dels aprofitaments tradicionals de forma compatible amb la conservació de l'espai</t>
  </si>
  <si>
    <t>Compartir informació amb els productors agraris i forestals sobre formació per millorar el seu coneixement sobre tècniques eficients i respectuoses amb la conservació del patrimoni natural i cultural .</t>
  </si>
  <si>
    <t>No podem oferir formació, però sí que podem compartir les ofertes de formació que ens arribin i que puguin ser del seu interès.</t>
  </si>
  <si>
    <t>Promoure la recuperació i conservació de marges i punts d'aigua associats a la ramaderia i l'agricultura i d'interès per a la biodiversitat</t>
  </si>
  <si>
    <t>Recuperació i conservació de marges i punts d'aigua associats a la ramaderia i l'agricultura i d'interès per la biodiversitat.</t>
  </si>
  <si>
    <t>En el marc dels ENPE de l'Empordà</t>
  </si>
  <si>
    <t>Establiment de criteris propis de l'ENP per poder facilitar identificació de productes de qualitat i respectuosos.</t>
  </si>
  <si>
    <t xml:space="preserve">Elaboració d'un catàleg de productors i artesans de l'ENP 
</t>
  </si>
  <si>
    <t>Inclusió de visites a productors o artesans en el catàleg d'activitats de l'ENP</t>
  </si>
  <si>
    <t>Participar en fires d'artesania i productes locals de l'ENP</t>
  </si>
  <si>
    <t>Es fa des de l'Ajuntament d'Espolla</t>
  </si>
  <si>
    <t>Participació a la Fira de l'Oli d'Espolla amb algun taller o activitat per a la mainada</t>
  </si>
  <si>
    <t xml:space="preserve">Participar en la generació aliances entre el sector primari, el turisme, la restauració i altres per fomentar la gastronomia local </t>
  </si>
  <si>
    <t>No ho podem liderar</t>
  </si>
  <si>
    <t>Creació d'espais de treball comú a través de l'Associació Empordà Turisme.</t>
  </si>
  <si>
    <t>Promoure els agents del territori que potencien i difonen els productes locals i de qualitat (artesanies, allotjaments, restaurants, cellers, establiments, elaboradors i productors) que afavoreixin la conservació</t>
  </si>
  <si>
    <t>Incorporació d'objectius de conservació d’espècies i hàbitats en la revisió dels Plans de Gestió Cinegètica</t>
  </si>
  <si>
    <t>Fomentar la implicació dels caçadors del territori en la conservació dels valors de l'espai</t>
  </si>
  <si>
    <t>Col·laboració amb els caçadors del territori per fomentar la seva implicació en la conservació dels valors de l'espai</t>
  </si>
  <si>
    <t>Participació en la gestió de poblacions que generen danys a les activitats econòmiques de l'ENP</t>
  </si>
  <si>
    <t>FOMENTAR EL TURISME SOSTENIBLE compatible amb la conservació de l'espai</t>
  </si>
  <si>
    <t>09.1.3</t>
  </si>
  <si>
    <t>Fomentar la creació d'allotjaments i altres recursos turístics d'acord amb les necessitats i els agents turístics del territori que es vinculin als valors naturals de l'espai</t>
  </si>
  <si>
    <t>Foment d'allotjaments i altres recursos turístics, especialment fora de les reserves naturals i dins o a prop de l'àmbit de PNIN.</t>
  </si>
  <si>
    <t>09.3</t>
  </si>
  <si>
    <t>Promoure activitats de turisme sostenible per conèixer els valors de l'espai</t>
  </si>
  <si>
    <t>09.3.1</t>
  </si>
  <si>
    <t>Organitzar activitats per conèixer els valors de l'espai natural</t>
  </si>
  <si>
    <t>No hi havia previst cap objectiu on incloure aquest tipus d'activitats.</t>
  </si>
  <si>
    <t>Organització d'activitats per conèixer els valors de l'espai natural</t>
  </si>
  <si>
    <t>Estandarditzar de regulació d'usos i aprofitaments  en base a un model estàndard de Pla de protecció</t>
  </si>
  <si>
    <t>Establir un model de construcció a l'ENP en base a un model estàndard de Pla de protecció</t>
  </si>
  <si>
    <t>10.1.2</t>
  </si>
  <si>
    <t>Ordenar els aprofitaments i extraccions dins l'espai</t>
  </si>
  <si>
    <t>Estandarditzar regulació de l’ús públic i social en base al model acordat per govern</t>
  </si>
  <si>
    <t>Ordenar l'acampada i pernoctació  en base a un model estandarditzat de Pla de protecció</t>
  </si>
  <si>
    <t>Regular la pernoctació en vehicles a partir de normativa municipal d'estacionaments.</t>
  </si>
  <si>
    <t>No tenim pla de protecció, però s'hi pot treballar amb els ajuntaments</t>
  </si>
  <si>
    <t>Foment de l'aprovació d'ordenances municipals que regulen l'estacionament de vehicles en horari nocturn per evitar la pernocta en vehicles.</t>
  </si>
  <si>
    <t>Ordenar la circulació rodada no motoritzada en base a un model estàndard de Pla de protecció</t>
  </si>
  <si>
    <t>Regular la circulació rodada no motoritzada a partir de normativa municipal.</t>
  </si>
  <si>
    <t>No tenim pla de protecció, però s'hi pot treballar amb els ajuntaments i propietaris.</t>
  </si>
  <si>
    <t xml:space="preserve">Foment de l'aprovació de regulació de l'accés no motoritzat per part dels ajuntaments.
</t>
  </si>
  <si>
    <t>Establiment d'acords amb propietaris per regular l'accés no motoritzat en camins que no siguin d'ús públic.</t>
  </si>
  <si>
    <t>Ordenar l'escalada i alpinisme, barranquisme, i espeleologia  en base a un model estàndard de Pla de protecció</t>
  </si>
  <si>
    <t>Ordenar les curses i altres activitats esportives organitzades en base a un model estàndard de Pla de protecció</t>
  </si>
  <si>
    <t>No tenim pla de protecció, però s'hi pot treballar en les autoritzacions</t>
  </si>
  <si>
    <t>Adaptació i implementació del protocol de regulació de curses i altres activitats esportives organitzades en base al model de Pla de protecció</t>
  </si>
  <si>
    <t>Ordenar els enregistraments i l'observació de fauna i natura en base a un model estàndard de Pla de protecció</t>
  </si>
  <si>
    <t>Adaptació i implementació del protocol de regulació d'enregistraments i observació de fauna i natura  en base al model de Pla de protecció</t>
  </si>
  <si>
    <t>Ordenar les activitats científiques en base a un model estàndard de Pla de protecció</t>
  </si>
  <si>
    <t>Adaptació i implementació del protocol de regulació d'activitats científiques en base al model de Pla de protecció</t>
  </si>
  <si>
    <t>Ordenar les zones de bany</t>
  </si>
  <si>
    <t>Ordenar l'enlairament i aterratge sense motor</t>
  </si>
  <si>
    <t>Adaptació i implementació del protocol de regulació d'enlairament i aterratge sense motor</t>
  </si>
  <si>
    <t>Ordenar el submarinisme i l'snorkel</t>
  </si>
  <si>
    <t>Ordenar les activitats aquàtiques i nàutiques i zones de fondeig</t>
  </si>
  <si>
    <t>Ordenar la presència d'animals de companyia</t>
  </si>
  <si>
    <t>Canviar hàbits perquè la gent porti el gos lligat en ENP.</t>
  </si>
  <si>
    <t>La regulació ja hi és, però falta que es compleixi.</t>
  </si>
  <si>
    <t>Reforçament de la vigilància i la senyalització perquè els gossos vagin lligats</t>
  </si>
  <si>
    <t>Ordenar lels activitats d'educació ambiental i el lleure educatiu</t>
  </si>
  <si>
    <t>Adaptació i implementació del protocol de regulació d'educació ambiental i lleure educatiu</t>
  </si>
  <si>
    <t>Redacció d'un inventari de camins (amb cartografia associada) on s'estableixi la propietat, usos compatibles, regulació actual i necessària, senyalització actual i necessària…</t>
  </si>
  <si>
    <t xml:space="preserve"> Definició d'una xarxa d'itineraris oficial i categoritzada per tipus d'ús per on es poden realitzar activitats (curses a peu, en bicicleta, etc.).</t>
  </si>
  <si>
    <t>Incorporació dels itineraris i punts d'interès a Wikiloc i Google Maps</t>
  </si>
  <si>
    <t>Ordenar l'accés i la circulació</t>
  </si>
  <si>
    <t>Regular l'accés i la circulació, d'acord amb els ajuntaments</t>
  </si>
  <si>
    <t>Només es pot fer amb normativa municipal, ja que no tenim pla de protecció.</t>
  </si>
  <si>
    <t xml:space="preserve">Foment de l'aprovació de regulació de l'accés motoritzat per part dels ajuntaments.
</t>
  </si>
  <si>
    <t xml:space="preserve">
Establiment d'acords amb propietaris per regular l'accés motoritzat en camins que no siguin d'ús públic.</t>
  </si>
  <si>
    <t>Ordenar la xarxa viària principal, secundària i restringida</t>
  </si>
  <si>
    <t>Regular la xarxa viària principal, secundària i restringida, d'acord amb els ajuntaments</t>
  </si>
  <si>
    <t>Només es pot fer amb normativa municipal, ja que no tenim pla de protecció</t>
  </si>
  <si>
    <t>Senyalització de la xarxa viària restringida.</t>
  </si>
  <si>
    <t>Ordenar l'ús de drons, l'enlairament i l'aterratge</t>
  </si>
  <si>
    <t>Adaptació i implementació del protocol de regulació de drons, d'enlairament i aterratge</t>
  </si>
  <si>
    <t>Adaptació i implementació del protocol de limitacions temporals d'accés o circulació</t>
  </si>
  <si>
    <t>Ordenar l'aparcament de vehicles</t>
  </si>
  <si>
    <t>Regular l'aparcament de vehicles, d'acord amb els ajuntaments</t>
  </si>
  <si>
    <t xml:space="preserve">Foment de l'aprovació d'ordenances municipals que regulen l'estacionament de vehicles.
</t>
  </si>
  <si>
    <t xml:space="preserve">Redacció de l'inventari de senyalètica de l'ENP
</t>
  </si>
  <si>
    <t>Redacció del programa de senyalització</t>
  </si>
  <si>
    <t>Aplicació del programa de senyalització</t>
  </si>
  <si>
    <t>Ordenar i estandarditzar els espais d'acollida de visitants i equipaments d'ús públic, i garantir un correcte servei d'atenció i acollida dels visitants</t>
  </si>
  <si>
    <t>Adequar els principals accessos, aparcaments i centres d'interès amb un ús elevat, d'acord amb la propietat dels terrenys.</t>
  </si>
  <si>
    <t>Cal aclarir que la propietat és privada i que de vegades no es pot fer tot el que seria necessari o ens agradaria de fer-hi.</t>
  </si>
  <si>
    <t xml:space="preserve">Redacció del Pla d'ordenació de l'acollida dels visitants.
</t>
  </si>
  <si>
    <t>Redacció del Pla d'informació dels espais freqüentats (que pot unificar-se amb l'anterior).</t>
  </si>
  <si>
    <t>Disposar i mantenir els serveis, equipaments i infraestructures necessàries i accessibles per acollir, informar, facilitar la visita i garantir la seguretat dels visitants i la protecció de l'entorn</t>
  </si>
  <si>
    <t xml:space="preserve">Revisió i actualització els equipaments al SIEQ
</t>
  </si>
  <si>
    <t>Manteniment dels espais i infraestructures existents</t>
  </si>
  <si>
    <t>Revisió i identificació de necessitats d'inversió</t>
  </si>
  <si>
    <t>Trobades amb titulars d'espais emblemàtics</t>
  </si>
  <si>
    <t xml:space="preserve">Establiment dels acords necessaris amb la propietat </t>
  </si>
  <si>
    <t>Adaptació dels equipaments i infraestructures a persones amb diversitat funcional</t>
  </si>
  <si>
    <t>Aplicació del Pla d'ordenació d'acollida als visitants en base al model de la DG</t>
  </si>
  <si>
    <t>Redactar un manual de l'informador/a per poder facilitar  a les oficines d'informació.</t>
  </si>
  <si>
    <t>Tota la informació pot estar en un sol document: el manual de l'informador.</t>
  </si>
  <si>
    <t>Redacció del Manual de l'informador/a.</t>
  </si>
  <si>
    <t>Garantir el compliment de la normativa dins els ENP, especialment en l'accés motoritzat, zones amb hiperfreqüentació i elements amb aprofitament comercial</t>
  </si>
  <si>
    <t>Col·laborar en la vigilància de l’espai d'acord amb els cossos d’inspecció i seguretat</t>
  </si>
  <si>
    <t>Modificació proposada a la junta rectora pel director de SSTT d'Interior</t>
  </si>
  <si>
    <t xml:space="preserve">Identificació dels punts clau de vigilància, el calendari i els recursos necessaris
</t>
  </si>
  <si>
    <t>Realització de reunions periòdiques amb els cossos de control i vigilància.</t>
  </si>
  <si>
    <t xml:space="preserve">Avís als cossos de vigilància de qualsevol irregularitat detectada durant la realització d'altres feines a l'espai.
</t>
  </si>
  <si>
    <t>Guarderia pròpia amb el servei de guardes rurals contractat</t>
  </si>
  <si>
    <t>No tenim inclosa la creació de la Xarxa d'Escoles dins el contracte d'Infomació, Voluntariat i Educació ambiental, que no es preveu renovar fins el 2028.
Haurem de valorar la possibilitat d'integrar l'Albera amb la del Cap de Creus</t>
  </si>
  <si>
    <t>Anàlisi d'integració a xarxa d'escoles per veure si es pot fer, a quin ritme, i amb quins participants.</t>
  </si>
  <si>
    <t>Implementar les tasques llistades a la columna  anterior</t>
  </si>
  <si>
    <t>Coordinació amb els Centres de Recursos Pedagògics (CRP) perquè les formacions estiguin reconegudes  pel Departament d'Educació</t>
  </si>
  <si>
    <t xml:space="preserve">Implicació i capacitació del professorat per implicar-los en el disseny del projecte educatiu
</t>
  </si>
  <si>
    <t>Incorporació d'alguna nova situació d'aprenentatge</t>
  </si>
  <si>
    <t>Dissenyar projectes de Ciència ciutadana i projectes compartits amb entitats del territori que s'incloguin dins de l'oferta pedagògica.</t>
  </si>
  <si>
    <t xml:space="preserve">Cerca d'entitats del territori i centres de recerca amb qui elaborar projectes de ciència ciutadana que donin resposta a les necessitats de l'EN. 
</t>
  </si>
  <si>
    <t>Dinamització de la realització d'aquests projectes de ciència ciutadana</t>
  </si>
  <si>
    <t>Elaboració de recursos educatius adaptats a l'espai per a les activitats de l'oferta pedagògica, mitjançant el contracte extern corresponent.</t>
  </si>
  <si>
    <t>13.2.5</t>
  </si>
  <si>
    <t>Desplegar el Pla estratègic 2021-2030 d’educació i voluntariat ambiental del Parc Natural dels Ports (PEEVA): Educació ambiental</t>
  </si>
  <si>
    <t>Participar i dinamitzar a la Taula de Voluntariat de l'Empordà, de forma conjunta entre tots els ENPE empordanesos</t>
  </si>
  <si>
    <t>A l'Empordà ja tenim la Taula de Voluntariat que un paper semblant al de recollir els agents clau de l'educació ambiental.</t>
  </si>
  <si>
    <t>Participació a la Taula de Voluntariat de l'Empordà de forma conjunta entre tots els ENPE de l'Empordà.</t>
  </si>
  <si>
    <t>Participar en projectes conjunts d'agents clau del territori</t>
  </si>
  <si>
    <t>No podem cercar activament aquestes col·laboracions, però sí que ens hi podem sumar.</t>
  </si>
  <si>
    <t>Participació en projectes conjunts d'agents clau del territori, com el projecte LIFE ecoAdapt.</t>
  </si>
  <si>
    <t xml:space="preserve">Realització d'una edició del curs de bons coneixedors de l'ENP.
</t>
  </si>
  <si>
    <t>Formacions continuades en el marc del contracte del servei d'informació i educació ambiental.</t>
  </si>
  <si>
    <t>Organització de les trobades d'estudiosos (ja posat més amunt)</t>
  </si>
  <si>
    <t xml:space="preserve">Participació en la concreció dels missatges i peces creatives de la campanya de la DG.  
</t>
  </si>
  <si>
    <t xml:space="preserve">Difusió de la campanya aprofitant les eines i equipaments de l'ENP. </t>
  </si>
  <si>
    <t xml:space="preserve">Disseny d'una oferta d’activitats d’educació ambiental de caire lúdic adreçada a famílies.
</t>
  </si>
  <si>
    <t>Participació a les sortides en espais naturals del consell comarcal.</t>
  </si>
  <si>
    <t xml:space="preserve">Disseny d'una oferta d’activitats que tingui en compte temes de salut i natura </t>
  </si>
  <si>
    <t>Identificació de col·lectius estratègics implicats en la gestió i l'ús del territori</t>
  </si>
  <si>
    <t>Renovació del programa educatiu de forma adaptativa</t>
  </si>
  <si>
    <t>Hi participaria ús públic i patrimoni natural</t>
  </si>
  <si>
    <t xml:space="preserve">Fer difusió d'accions en marxa organitzades pels membres de la Taula de Voluntariat.
</t>
  </si>
  <si>
    <t>Fer difusió de programes, projectes i accions en marxa que poden rebre el suport de voluntariat.</t>
  </si>
  <si>
    <t>Mantenir un model de coordinació territorial amb agents clau del voluntariat ambiental</t>
  </si>
  <si>
    <t>Ja disposem del model de coordinació, de manera que no cal establir-lo, sinó mantenir-lo: la Taula de Voluntariat dels ENPE de l'Empordà.</t>
  </si>
  <si>
    <t>Enfortiment i promoció de la participació de noves entitats a la Taula de Voluntariat dels ENPE de l'Empordà.</t>
  </si>
  <si>
    <t>13.6.3</t>
  </si>
  <si>
    <t>Desplegar el Pla estratègic 2021-2030 d’educació i voluntariat ambiental del Parc Natural dels Ports (PEEVA): Voluntariat</t>
  </si>
  <si>
    <t>Actuació molt transversal i que difícilment en recollirem indicadors.</t>
  </si>
  <si>
    <t>Incorporació de la perspectiva de gènere als continguts i activitats de l'ENP</t>
  </si>
  <si>
    <t xml:space="preserve">Promoure itineraris saludables
</t>
  </si>
  <si>
    <t xml:space="preserve">Incorporació i promoció de guiatges terapèutics en aquests itineraris </t>
  </si>
  <si>
    <t xml:space="preserve">Col·laboració en projectes pilot de recerca sobre els beneficis del contacte amb la natura per a la salut, per a la població en general o perfils específics.
</t>
  </si>
  <si>
    <t>Col·laboració en activitats i programes adreçats a col·lectius diana dins l'ENP, com la prescripció de natura (recepta verda i blava).</t>
  </si>
  <si>
    <t xml:space="preserve">Inclusió del concepte de Salut i Natura en els missatges comunicatius de conservació i sensibilització
</t>
  </si>
  <si>
    <t xml:space="preserve">Inclusió en els cursos i formacions de l'ENP elements de la interdependència salut i natura. </t>
  </si>
  <si>
    <t>Oferir i donar a conèixer els recursos que es generin en relació aquesta temàtica a la Xarxa d'Escoles del parc, entitats i altres agents del territori</t>
  </si>
  <si>
    <t>Desplegar i/o participar a les Taules territorials de Salut i Natura</t>
  </si>
  <si>
    <t>Informar a la població sobre les tasques, projectes i actuacions que duu a terme l'ENP</t>
  </si>
  <si>
    <t>Algunes coses s'informaran periòdicament, i altres no.</t>
  </si>
  <si>
    <t>Elaboració dels productes comunicatius que es determinin conjuntament amb Serveis Centrals : ex.un telegrama mensual, butlletí , agenda activitats trimestral, fulletó informatiu vinculats amb ús públic. Etc</t>
  </si>
  <si>
    <t xml:space="preserve">Posar a disposició de la societat els estudis i informes que s'han fet o encarregat des del Parc mitjançant la Jornada d'estudiosos (ja inclòs més amunt) i la publicació al repositori que Serveis Centrals determinin.
</t>
  </si>
  <si>
    <t>Vetllar pel correcte tractament i emmagatzematge dels estudis i informes encarregats.</t>
  </si>
  <si>
    <t xml:space="preserve">Difusió de material divulgatiu específic a partir de les campanyes de comunicació elaborades conjuntament amb Serveis Centrals (comunicació externa)
</t>
  </si>
  <si>
    <t>Creació, reedició i reimpressió de material divulgatiu específic dels valors i itineraris de l'ENP.</t>
  </si>
  <si>
    <t>Foment de la formació de l'equip del Parc i augmentar el coneixement d'aquests valors (comunicació interna)</t>
  </si>
  <si>
    <t>Potenciació d'un centre de documentació unificat per als espais de l'Empordà</t>
  </si>
  <si>
    <t xml:space="preserve">Actualització del web segons el format i estàndards establerts des de Serveis Centrals.
</t>
  </si>
  <si>
    <t>Reunions d'equip periòdiques amb una freqüència no superior a 15 dies.</t>
  </si>
  <si>
    <t>Participació en les reunions dels grups de treball de la direcció general: conservació; ús públic i turisme; RAE; educació ambiental; millora rural; i direcció.</t>
  </si>
  <si>
    <t>Participar en l'harmonització de la comunicació com a Parc, Xarxa d'ENP i Generalitat.</t>
  </si>
  <si>
    <t>Des de l'ENP només podem complir el que ens demanen que fem des del SENP i òrgans superiors.</t>
  </si>
  <si>
    <t xml:space="preserve">Implementació dels protocols vigents d'informació i comunicació.
</t>
  </si>
  <si>
    <t>Aplicació dels manuals existents i vigents en quan a comunicació corporativa.</t>
  </si>
  <si>
    <t>Participació en els espais d'intercanvi d'informació entre ENP</t>
  </si>
  <si>
    <t>Aplicació del protocol comunicatiu específic per a Juntes Rectores d'ENP</t>
  </si>
  <si>
    <t>Disposar d'assessorament científic a l'ENP</t>
  </si>
  <si>
    <t>*Demanda d'assessorament a investigadors que treballen a l'àmbit de l'ENP o experts en la matèria per a la qual cal l'assessorament.</t>
  </si>
  <si>
    <t>No depèn de l'òrgan de gestió, sinó de la normativa que regula els òrgans rectors de l'espai.</t>
  </si>
  <si>
    <t>*Aplicació del model de governança dels ENPE.</t>
  </si>
  <si>
    <t>Mantenir i millorar la governança transfronterera</t>
  </si>
  <si>
    <t>Objectiu nou</t>
  </si>
  <si>
    <t>Participació en les reunions i trobades d'àmbit transfronterer a nivell tècnic.</t>
  </si>
  <si>
    <t xml:space="preserve">Gestionar i millorar administrativament els pressupostos anuals d'entrades i despeses </t>
  </si>
  <si>
    <t xml:space="preserve">*Aplicació del nou sistema de seguiment pressupostari conjunt per a tots els ENP per al control de les despeses (quan entri en funcionament).
</t>
  </si>
  <si>
    <t>*Aplicació del manual per al règim de gestió econòmica als ENP per traspassar dades al RAE.</t>
  </si>
  <si>
    <t>*Participació dels espais de coordinació entre ENP per identificar les despeses comunes tramitables a càrrec del pressupost de la DG.</t>
  </si>
  <si>
    <t>16.1.2</t>
  </si>
  <si>
    <t xml:space="preserve">Revisar la gestió econòmica del RAE </t>
  </si>
  <si>
    <t>Revisar la gestió econòmica del RAE</t>
  </si>
  <si>
    <t>NOU OBJECTIU</t>
  </si>
  <si>
    <t xml:space="preserve">Revisió i autorització de les despeses i ingressos.
</t>
  </si>
  <si>
    <t>Disposició dels mitjans econòmics necessaris per poder realitzar les accions necessàries per a la gestió de l'ENP.</t>
  </si>
  <si>
    <t>Planificar, detectar les necessitats de contractació del l'ENP per a l'optimització dels contractes a nivell de Xarxa i gestionar els contractes</t>
  </si>
  <si>
    <t>Posem direcció com a responsable, tot i que serà compartida.</t>
  </si>
  <si>
    <t xml:space="preserve">En els espais de coordinació entre ENP, detecció de les necessitats conjuntes que es puguin agrupar en contractes únics (amb o sense lots) o en convocatòries amb concurrència.
</t>
  </si>
  <si>
    <t xml:space="preserve">Gestionar la part administrativa dels recursos del règim d'autonomia econòmica </t>
  </si>
  <si>
    <t>Gestió administrativa del RAE</t>
  </si>
  <si>
    <t>Gestionar els contractes que es tramitin des dels serveis centrals</t>
  </si>
  <si>
    <t>Participació en la gestió administrativa dels contractes que tramitin els serveis centrals</t>
  </si>
  <si>
    <t>16.2.4</t>
  </si>
  <si>
    <t>Planificar i gestionar els ajuts</t>
  </si>
  <si>
    <t>Treballar per a l'adaptació de les convocatòries de subvencions a les necessitats de l'ENP</t>
  </si>
  <si>
    <t>El redactat original correpondria més a serveis centrals que als ENP</t>
  </si>
  <si>
    <t>Treballar amb SSCC per adaptar les convocatòries d'ajuts a les necessitats de l'ENP</t>
  </si>
  <si>
    <t>16.2.5</t>
  </si>
  <si>
    <t>16.2.6</t>
  </si>
  <si>
    <t>Acollir alumnat en pràctiques</t>
  </si>
  <si>
    <t>Acolliment d'alumnat de formació professional i universitats que vulguin fer les seves pràctiques al PNIN</t>
  </si>
  <si>
    <t>Donar a resposta a les sol·licituds d'informe i autoritzacions.</t>
  </si>
  <si>
    <t>El procediment és correcte, però la funció bàsica s'ha d'incloure.</t>
  </si>
  <si>
    <t xml:space="preserve">Redacció dels informes que se sol·liciten a la unitat.
</t>
  </si>
  <si>
    <t>Redacció de les autoritzacions que se sol·liciten a la unitat.</t>
  </si>
  <si>
    <t>Implementació de gestor d'expedients</t>
  </si>
  <si>
    <t xml:space="preserve">Participació de les formacions ofertades des del Centre de formació i estudis agrorurals per al personal administratiu.
</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</si>
  <si>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</si>
  <si>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Atendre les sol·licituds d'informació pública</t>
  </si>
  <si>
    <t>Millorar i mantenir el material, infraestructures i equipaments de gestió de l'espai</t>
  </si>
  <si>
    <t>Disposició del material necessari per poder fer les tasques de la brigada.</t>
  </si>
  <si>
    <t>16.3.6</t>
  </si>
  <si>
    <t>Vetllar per disposar dels mitjans materials necessaris per a la realització de les tasques de l'equip</t>
  </si>
  <si>
    <t>Treball amb els serveis centrals per poder disposar dels mitjans materials necessaris: material informàtic, connexió d'internet i telefonia, EPIs, vehicles, servei de neteja, revisió d'extintors...</t>
  </si>
  <si>
    <t xml:space="preserve">Traspàs de tota la informació del béns patrimonials i col·laborar amb el Servei de Contractació i Patrimoni per tramitar els expedients de cessió de titularitat, declaracions d'obra nova, compra, lloguer...       </t>
  </si>
  <si>
    <t>Col·laboració amb el Servei de Contractació i Patrimoni per tramitar les assegurances dels béns patrimonials dins la pòlissa d'assegurança de danys materials (número 86-5034332) de la Generalitat</t>
  </si>
  <si>
    <t>Millorar l'accessibilitat i de la gestió documental i digital de l'ENP</t>
  </si>
  <si>
    <t>Ús de les eines facilitades per posar la documentació a disposició del públic.</t>
  </si>
  <si>
    <t xml:space="preserve"> Gestionar la brigada de manteniment assignada al PNIN</t>
  </si>
  <si>
    <t>donar redacció d'objectiu</t>
  </si>
  <si>
    <t xml:space="preserve">Coordinació de les brigades de manteniment.
</t>
  </si>
  <si>
    <t>Previsió de feines per a les brigades de manteniment.</t>
  </si>
  <si>
    <t>Previsió del material necessari per a la realització de les tasques de les brigades de manteniment</t>
  </si>
  <si>
    <t>Gestionar, enfortir i consolidar l'equip de gestió del parc</t>
  </si>
  <si>
    <t>Gestionar el personal assignat al PNIN</t>
  </si>
  <si>
    <t xml:space="preserve">Vetlla perquè el PNIN disposi del personal necessari, amb la categoria adequada, per portar a terme les seves funcions.
</t>
  </si>
  <si>
    <t>16.6.3</t>
  </si>
  <si>
    <t>Organització del personal</t>
  </si>
  <si>
    <t>Substitució del personal que es pugui modificar per la causa que sigui.</t>
  </si>
  <si>
    <t>Benvinguda i formació del nou personal que s'assigni al PNIN.</t>
  </si>
  <si>
    <t>Organització de les funcions entre els membres de l'equip</t>
  </si>
  <si>
    <t>16.6.4</t>
  </si>
  <si>
    <t>Complir altres normatives, com prevenció de riscos laborals.</t>
  </si>
  <si>
    <t>Compliment de normatives de prevenció de riscos laborals i recursos humans.</t>
  </si>
  <si>
    <t>16.6.5</t>
  </si>
  <si>
    <t>Gestió ordinària i imprevistos no contemplats en cap dels Objectius opertatius anteriors</t>
  </si>
  <si>
    <t>PNIN L'Albera</t>
  </si>
  <si>
    <t>26_NA_01</t>
  </si>
  <si>
    <t>PDR 13/2026</t>
  </si>
  <si>
    <t>CBMS</t>
  </si>
  <si>
    <t>26_NA_02</t>
  </si>
  <si>
    <t>26_NA_03</t>
  </si>
  <si>
    <t>26_NA_04</t>
  </si>
  <si>
    <t>26_NA_05</t>
  </si>
  <si>
    <t>26_NA_06</t>
  </si>
  <si>
    <t>26_NA_07</t>
  </si>
  <si>
    <t>26_NA_08</t>
  </si>
  <si>
    <t>26_NA_09</t>
  </si>
  <si>
    <t>26_NA_10</t>
  </si>
  <si>
    <t>26_NA_11</t>
  </si>
  <si>
    <t>PDR 21/2026</t>
  </si>
  <si>
    <t>Població i gestió del cranc de riu autòcton</t>
  </si>
  <si>
    <t>PDR 23/2026</t>
  </si>
  <si>
    <t>Cens de tortuga mediterrània</t>
  </si>
  <si>
    <t>Redacció del projecte de restauració de depressions</t>
  </si>
  <si>
    <t>PC. ENP-23242</t>
  </si>
  <si>
    <t>Estat de conservació dels hàbitats a les basses de l'Albera</t>
  </si>
  <si>
    <t>26_NA_12</t>
  </si>
  <si>
    <t>PDR 15/2026</t>
  </si>
  <si>
    <t>Assesorament tècnic per a actuacions forestals en zona de tortuga</t>
  </si>
  <si>
    <t>Coordinació i realització d'accions de gestió d'espècies exòtiques invasores dins de l'ENP (Opuntia, bambú, estramoni, Solanum sisymbriifolium, coipú) (XN2000).</t>
  </si>
  <si>
    <t>Actuació realitzada amb mitjans propis i la brigada.</t>
  </si>
  <si>
    <t>Actuació realitzada amb mitjans propis, en el cas que es convoquin els Ajuts.</t>
  </si>
  <si>
    <t>Actuació realitzada amb mitjans propis.</t>
  </si>
  <si>
    <t>26_NA_13</t>
  </si>
  <si>
    <t>26_NA_14</t>
  </si>
  <si>
    <t>26_NA_15</t>
  </si>
  <si>
    <t>26_NA_16</t>
  </si>
  <si>
    <t>26_NA_17</t>
  </si>
  <si>
    <t>26_NA_19</t>
  </si>
  <si>
    <t>26_NA_20</t>
  </si>
  <si>
    <t>Xarxa de custòdia</t>
  </si>
  <si>
    <t>PDR 24/2026</t>
  </si>
  <si>
    <t>Pla de gestió del sector de Requesens</t>
  </si>
  <si>
    <t>Actuació pendent d'una amplicació de pressupost</t>
  </si>
  <si>
    <t>Revisió de les fonts i punts d'aigua per assegurar el seu manteniment</t>
  </si>
  <si>
    <t>Manteniment de GR, itineraris, camins d’accés a dòlmens i menhirs</t>
  </si>
  <si>
    <t>26_NA_21</t>
  </si>
  <si>
    <t>26_NA_22</t>
  </si>
  <si>
    <t>26_NA_23</t>
  </si>
  <si>
    <t>26_NA_24</t>
  </si>
  <si>
    <t>26_NA_25</t>
  </si>
  <si>
    <t>26_NA_26</t>
  </si>
  <si>
    <t>26_NA_27</t>
  </si>
  <si>
    <t>Coordinació de les accions incloses en el Pla de prevenció d'incendis al PNIN.</t>
  </si>
  <si>
    <t>Col·laboració en l'execució d'actuacions de prevenció d'incendis com el manteniment de franges a la carretera d'accés al monestir de Sant Quirze de Colera.</t>
  </si>
  <si>
    <t>26_NA_28</t>
  </si>
  <si>
    <t>26_NA_29</t>
  </si>
  <si>
    <t>26_NA_30</t>
  </si>
  <si>
    <t>26_NA_31</t>
  </si>
  <si>
    <t>26_NA_32</t>
  </si>
  <si>
    <t>Participació en la identificació de finques prioritàries de compra en base als criteris indicats.</t>
  </si>
  <si>
    <t>Foment de la cooperació tècnica dels gestors de l'ENP amb els representants o custodis del patrimoni cultural, per a un ús compartit dels recursos</t>
  </si>
  <si>
    <t>Participació en els treballs de restauració arquitectònica i del patrimoni cultural quan estan vinculats a l’àrea d’ús públic de l’ENP</t>
  </si>
  <si>
    <t>Actuació realitzada amb mitjans propis, i la brigada.</t>
  </si>
  <si>
    <t>Col·laboració amb l'Observatori per aportar els coneixements generats a l'ENP.</t>
  </si>
  <si>
    <t>Programa de seguiment de l’estat hidrològic dels cursos d'aigua.</t>
  </si>
  <si>
    <t>Realització i foment d'estudis de forma coordinada amb el Servei de Fauna i Flora.</t>
  </si>
  <si>
    <t>Actuació realitzada amb mitjans propis, en la seva major part. Els encàrrecs externs consten a l'objectiu operatiu 01.1.1</t>
  </si>
  <si>
    <t>AG-2024-66</t>
  </si>
  <si>
    <t>AG-2024-17</t>
  </si>
  <si>
    <t>PDR22/2026</t>
  </si>
  <si>
    <t>Anàlisi d'integració a la Xarxa d'Escoles de l'Espai Natural (XEEN) a l'ENP  per veure si es pot fer, a quin ritme, i amb quins participants.</t>
  </si>
  <si>
    <t>Participació en la concreció dels missatges i peces creatives de les campanyes de sensibilització i bones pràctiques que s'impulsin des de la DG</t>
  </si>
  <si>
    <t>Demanda d'assessorament a investigadors que treballen a l'àmbit de l'ENP o experts en la matèria per a la qual cal l'assessorament.</t>
  </si>
  <si>
    <t>Aplicació del model de governança dels ENPE.</t>
  </si>
  <si>
    <t>Aplicació del manual per al règim de gestió econòmica als ENP per traspassar dades al RAE.</t>
  </si>
  <si>
    <t>Participació dels espais de coordinació entre ENP per identificar les despeses comunes tramitables a càrrec del pressupost de la DG.</t>
  </si>
  <si>
    <t>AG-2024-17. Actuació realitzada amb mitjans propis.</t>
  </si>
  <si>
    <t>Oferir i donar a conèixer els recursos que es generin en relació al concepte de salut i natura a la Xarxa d'Escoles del parc, entitats i altres agents del territori</t>
  </si>
  <si>
    <t>Aplicació del nou sistema de seguiment pressupostari conjunt per a tots els ENP per al control de les despeses (quan entri en funcionament).</t>
  </si>
  <si>
    <t>Revisió i autorització de les despeses i ingressos.</t>
  </si>
  <si>
    <t>En els espais de coordinació entre ENP, detecció de les necessitats conjuntes que es puguin agrupar en contractes únics (amb o sense lots) o en convocatòries amb concurrència.</t>
  </si>
  <si>
    <t>Gestió administrativa del RAE.</t>
  </si>
  <si>
    <t>Redacció dels informes que se sol·liciten a la unitat.</t>
  </si>
  <si>
    <t>Participació de les formacions ofertades des del Centre de formació i estudis agrorurals per al personal administratiu.</t>
  </si>
  <si>
    <t>Coordinació de les brigades de manteniment.</t>
  </si>
  <si>
    <t>Vetlla perquè el PNIN disposi del personal necessari, amb la categoria adequada, per portar a terme les seves funcions.</t>
  </si>
  <si>
    <t>Treballar amb els serveis centrals per adaptar les convocatòries d'ajuts a les necessitats de l'ENP</t>
  </si>
  <si>
    <t>PDR 01/2026
PDR 02/2026
PDR 03/2026
PDR 04/2026
PDR 05/2026
PDR 06/2026
PDR 07/2026</t>
  </si>
  <si>
    <t>1500
3000
1500
1500
3000
1000
200</t>
  </si>
  <si>
    <t>Gestió dels impostos del PNIN L'Albera</t>
  </si>
  <si>
    <t>PDR 08/2026</t>
  </si>
  <si>
    <t>PDR 09/2026</t>
  </si>
  <si>
    <t>Despeses bancàries</t>
  </si>
  <si>
    <t>PDR 10/2026</t>
  </si>
  <si>
    <t>Organització de reunions, conferències i cursos</t>
  </si>
  <si>
    <t>Manteniment de vehicles de propietat</t>
  </si>
  <si>
    <t>Manteniment de seus</t>
  </si>
  <si>
    <t>PDR 19/2026</t>
  </si>
  <si>
    <t>PDR 12/2026</t>
  </si>
  <si>
    <t>Compra de llibres</t>
  </si>
  <si>
    <t>PDR 16/2026</t>
  </si>
  <si>
    <t>En part, actuació realitzada amb mitjans propis i la brigada.</t>
  </si>
  <si>
    <t>26_CU_01</t>
  </si>
  <si>
    <t>26_CU_02</t>
  </si>
  <si>
    <t>26_CU_03</t>
  </si>
  <si>
    <t>26_CU_04</t>
  </si>
  <si>
    <t>26_CU_05</t>
  </si>
  <si>
    <t>26_CU_06</t>
  </si>
  <si>
    <t>26_CU_07</t>
  </si>
  <si>
    <t>26_CU_08</t>
  </si>
  <si>
    <t>26_CU_09</t>
  </si>
  <si>
    <t>26_CU_10</t>
  </si>
  <si>
    <t>26_CU_11</t>
  </si>
  <si>
    <t>26_CU_12</t>
  </si>
  <si>
    <t>26_CU_13</t>
  </si>
  <si>
    <t>26_CU_14</t>
  </si>
  <si>
    <t>26_CU_15</t>
  </si>
  <si>
    <t>26_CO_01</t>
  </si>
  <si>
    <t>26_CO_02</t>
  </si>
  <si>
    <t>26_CO_03</t>
  </si>
  <si>
    <t>26_CO_04</t>
  </si>
  <si>
    <t>26_CO_05</t>
  </si>
  <si>
    <t>26_CO_06</t>
  </si>
  <si>
    <t>26_CO_07</t>
  </si>
  <si>
    <t>26_CO_08</t>
  </si>
  <si>
    <t>26_CO_09</t>
  </si>
  <si>
    <t>26_CO_10</t>
  </si>
  <si>
    <t>26_CO_11</t>
  </si>
  <si>
    <t>26_CO_12</t>
  </si>
  <si>
    <t>26_CO_13</t>
  </si>
  <si>
    <t>26_CO_14</t>
  </si>
  <si>
    <t>26_CO_15</t>
  </si>
  <si>
    <t>26_CO_16</t>
  </si>
  <si>
    <t>26_CO_17</t>
  </si>
  <si>
    <t>26_CO_18</t>
  </si>
  <si>
    <t>26_CO_19</t>
  </si>
  <si>
    <t>26_CO_20</t>
  </si>
  <si>
    <t>26_CO_21</t>
  </si>
  <si>
    <t>26_CO_22</t>
  </si>
  <si>
    <t>26_CO_23</t>
  </si>
  <si>
    <t>26_CO_24</t>
  </si>
  <si>
    <t>26_CO_25</t>
  </si>
  <si>
    <t>26_DE_01</t>
  </si>
  <si>
    <t>26_DE_02</t>
  </si>
  <si>
    <t>26_DE_03</t>
  </si>
  <si>
    <t>26_DE_04</t>
  </si>
  <si>
    <t>26_DE_05</t>
  </si>
  <si>
    <t>26_DE_06</t>
  </si>
  <si>
    <t>26_DE_07</t>
  </si>
  <si>
    <t>26_DE_08</t>
  </si>
  <si>
    <t>26_DE_09</t>
  </si>
  <si>
    <t>26_DE_10</t>
  </si>
  <si>
    <t>26_DE_11</t>
  </si>
  <si>
    <t>26_DE_12</t>
  </si>
  <si>
    <t>26_US_01</t>
  </si>
  <si>
    <t>26_US_02</t>
  </si>
  <si>
    <t>26_US_03</t>
  </si>
  <si>
    <t>26_US_04</t>
  </si>
  <si>
    <t>26_US_05</t>
  </si>
  <si>
    <t>26_US_06</t>
  </si>
  <si>
    <t>26_US_07</t>
  </si>
  <si>
    <t>26_US_08</t>
  </si>
  <si>
    <t>26_US_09</t>
  </si>
  <si>
    <t>26_US_10</t>
  </si>
  <si>
    <t>26_US_11</t>
  </si>
  <si>
    <t>26_US_12</t>
  </si>
  <si>
    <t>26_US_13</t>
  </si>
  <si>
    <t>26_US_14</t>
  </si>
  <si>
    <t>26_US_15</t>
  </si>
  <si>
    <t>26_US_16</t>
  </si>
  <si>
    <t>26_US_17</t>
  </si>
  <si>
    <t>26_US_18</t>
  </si>
  <si>
    <t>26_US_19</t>
  </si>
  <si>
    <t>26_US_20</t>
  </si>
  <si>
    <t>26_US_21</t>
  </si>
  <si>
    <t>26_US_22</t>
  </si>
  <si>
    <t>26_US_23</t>
  </si>
  <si>
    <t>26_US_24</t>
  </si>
  <si>
    <t>26_ED_01</t>
  </si>
  <si>
    <t>26_ED_02</t>
  </si>
  <si>
    <t>26_ED_03</t>
  </si>
  <si>
    <t>26_ED_04</t>
  </si>
  <si>
    <t>26_ED_05</t>
  </si>
  <si>
    <t>26_ED_06</t>
  </si>
  <si>
    <t>26_ED_07</t>
  </si>
  <si>
    <t>26_ED_08</t>
  </si>
  <si>
    <t>26_ED_09</t>
  </si>
  <si>
    <t>26_ED_10</t>
  </si>
  <si>
    <t>26_ED_11</t>
  </si>
  <si>
    <t>26_ED_12</t>
  </si>
  <si>
    <t>26_ED_13</t>
  </si>
  <si>
    <t>26_ED_14</t>
  </si>
  <si>
    <t>26_ED_15</t>
  </si>
  <si>
    <t>26_ED_16</t>
  </si>
  <si>
    <t>26_ED_17</t>
  </si>
  <si>
    <t>26_ED_18</t>
  </si>
  <si>
    <t>26_ED_19</t>
  </si>
  <si>
    <t>26_ED_20</t>
  </si>
  <si>
    <t>26_ED_21</t>
  </si>
  <si>
    <t>26_ED_22</t>
  </si>
  <si>
    <t>26_ED_23</t>
  </si>
  <si>
    <t>26_ED_24</t>
  </si>
  <si>
    <t>26_ED_25</t>
  </si>
  <si>
    <t>26_ED_26</t>
  </si>
  <si>
    <t>26_ED_27</t>
  </si>
  <si>
    <t>26_ED_28</t>
  </si>
  <si>
    <t>26_ED_29</t>
  </si>
  <si>
    <t>26_ED_30</t>
  </si>
  <si>
    <t>26_ED_31</t>
  </si>
  <si>
    <t>26_ED_32</t>
  </si>
  <si>
    <t>26_ED_33</t>
  </si>
  <si>
    <t>26_ED_34</t>
  </si>
  <si>
    <t>26_ED_35</t>
  </si>
  <si>
    <t>26_ED_36</t>
  </si>
  <si>
    <t>26_GE_01</t>
  </si>
  <si>
    <t>26_GE_02</t>
  </si>
  <si>
    <t>26_GE_03</t>
  </si>
  <si>
    <t>26_GE_04</t>
  </si>
  <si>
    <t>26_GE_05</t>
  </si>
  <si>
    <t>26_GE_06</t>
  </si>
  <si>
    <t>26_GE_07</t>
  </si>
  <si>
    <t>26_GE_08</t>
  </si>
  <si>
    <t>26_GE_09</t>
  </si>
  <si>
    <t>26_GE_10</t>
  </si>
  <si>
    <t>26_GE_11</t>
  </si>
  <si>
    <t>26_GE_12</t>
  </si>
  <si>
    <t>26_GE_13</t>
  </si>
  <si>
    <t>26_GE_14</t>
  </si>
  <si>
    <t>26_GE_15</t>
  </si>
  <si>
    <t>26_GE_16</t>
  </si>
  <si>
    <t>26_GE_17</t>
  </si>
  <si>
    <t>26_GE_18</t>
  </si>
  <si>
    <t>26_GE_19</t>
  </si>
  <si>
    <t>26_GE_20</t>
  </si>
  <si>
    <t>26_GE_21</t>
  </si>
  <si>
    <t>26_GE_22</t>
  </si>
  <si>
    <t>26_GE_23</t>
  </si>
  <si>
    <t>26_GE_24</t>
  </si>
  <si>
    <t>26_GE_25</t>
  </si>
  <si>
    <t>26_GE_26</t>
  </si>
  <si>
    <t>26_GE_27</t>
  </si>
  <si>
    <t>26_GE_28</t>
  </si>
  <si>
    <t>26_GE_29</t>
  </si>
  <si>
    <t>26_GE_30</t>
  </si>
  <si>
    <t>26_GE_31</t>
  </si>
  <si>
    <t>26_GE_32</t>
  </si>
  <si>
    <t>26_GE_33</t>
  </si>
  <si>
    <t>26_GE_34</t>
  </si>
  <si>
    <t>26_GE_35</t>
  </si>
  <si>
    <t>26_GE_36</t>
  </si>
  <si>
    <t>26_GE_37</t>
  </si>
  <si>
    <t>26_GE_38</t>
  </si>
  <si>
    <t>AG-2023-77. Actuació realitzada amb mitjans propis i la brigada. L'eix i l'objectiu operatiu que consten al pla estratègic són erronis.</t>
  </si>
  <si>
    <t>Manteniment de nucli zoològic</t>
  </si>
  <si>
    <t>PDR 14/2026</t>
  </si>
  <si>
    <t>26_CO_26</t>
  </si>
  <si>
    <t>PDR 20/2026</t>
  </si>
  <si>
    <t>Material per a seguiments</t>
  </si>
  <si>
    <t>PDR 18/2026</t>
  </si>
  <si>
    <t>Difusió de material divulgatiu específic a partir de les campanyes de comunicació elaborades conjuntament amb Serveis Centrals (comunicació externa).</t>
  </si>
  <si>
    <t>Disseny d'una oferta d’activitats d’educació ambiental de caire lúdic adreçada a famílies.</t>
  </si>
  <si>
    <t>Reforç de la senyalització per minimitzar la brutícia, deixalles, vandalisme i males praxis dins l'ENP, si es considera oportú.</t>
  </si>
  <si>
    <t>S'ha participat en la realització o actualització de l'inventari de zones humides, espais interès geològic, etc.</t>
  </si>
  <si>
    <t>26_US_25</t>
  </si>
  <si>
    <t>PDR 17/2026</t>
  </si>
  <si>
    <t>Manteniment de plafons i senyals</t>
  </si>
  <si>
    <t>26_NA_18</t>
  </si>
  <si>
    <t xml:space="preserve">Col·laboració amb el servei de planificació amb els nous estudis a l'espai XN2000 Basses de l’Albera </t>
  </si>
  <si>
    <t>Conservar les varietats locals en planters (de llavor o esqueix).</t>
  </si>
  <si>
    <t>Implementació del protocol de fluxos d'informació i coneixement de biodiversitat</t>
  </si>
  <si>
    <t>Vinculació amb projectes de ciència ciutadana existents per generar dades en l'ENP</t>
  </si>
  <si>
    <t>Establiment de models de freqüentació que serveixin per gestionar l'ús públic en l'ENP conjuntament amb la UIC</t>
  </si>
  <si>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t>
  </si>
  <si>
    <t>Adaptació i implementació del protocol de regulació d'enregistraments i observació de fauna i natura en base al model de Pla de protecció</t>
  </si>
  <si>
    <t>Redacció de l'inventari de senyalètica de l'ENP</t>
  </si>
  <si>
    <t>Avís als cossos de vigilància de qualsevol irregularitat detectada durant la realització d'altres feines a l'espai.</t>
  </si>
  <si>
    <t>Contractació d'un espectacle infantil en relació a la tortuga mediterrània</t>
  </si>
  <si>
    <t>Fer difusió d'accions en marxa organitzades pels membres de la Taula de Voluntariat.</t>
  </si>
  <si>
    <t>Inclusió del concepte de Salut i Natura en els missatges comunicatius de conservació i sensibilització</t>
  </si>
  <si>
    <t>Implementació dels protocols vigents d'informació i comunicació.</t>
  </si>
  <si>
    <t>Gestor responsable</t>
  </si>
  <si>
    <t>Actuació recurrent</t>
  </si>
  <si>
    <t>Gerard Carrion</t>
  </si>
  <si>
    <t>Sí</t>
  </si>
  <si>
    <t>No</t>
  </si>
  <si>
    <t>Col·laboració en projectes pilot de recerca sobre els beneficis del contacte amb la natura per a la salut, per a la població en general o perfils específics.</t>
  </si>
  <si>
    <t>Posar a disposició de la societat els estudis i informes que s'han fet o encarregat des del Parc mitjançant la Jornada d'estudiosos (ja inclòs més amunt) i la publicació al repositori que Serveis Centrals determinin.</t>
  </si>
  <si>
    <t>Actualització del web segons el format i estàndards establerts des de Serveis Centrals.</t>
  </si>
  <si>
    <t xml:space="preserve">Cerca d'entitats del territori i centres de recerca amb qui elaborar projectes de ciència ciutadana que donin resposta a les necessitats de l'EN. </t>
  </si>
  <si>
    <t>26_NA_33</t>
  </si>
  <si>
    <t>Participar en la tramitació del nou Parc Natural de l'Albera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</si>
</sst>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29">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
      <sz val="9"/>
      <color rgb="FF000000"/>
      <name val="Arial"/>
      <family val="2"/>
    </font>
    <font>
      <sz val="9"/>
      <color rgb="FF071D49"/>
      <name val="Arial"/>
      <family val="2"/>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sz val="8"/>
      <name val="Calibri"/>
      <family val="2"/>
      <scheme val="minor"/>
    </font>
    <font>
      <sz val="9"/>
      <name val="Calibri"/>
      <family val="2"/>
    </font>
    <font>
      <sz val="9"/>
      <name val="Calibri"/>
      <family val="2"/>
      <scheme val="minor"/>
    </font>
  </fonts>
  <fills count="34">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rgb="FFFDE4A6"/>
        <bgColor indexed="64"/>
      </patternFill>
    </fill>
    <fill>
      <patternFill patternType="solid">
        <fgColor rgb="FFFCBC20"/>
        <bgColor rgb="FF000000"/>
      </patternFill>
    </fill>
  </fills>
  <borders count="100">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top style="thin">
        <color theme="3" tint="0.39994506668294322"/>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style="thin">
        <color theme="5"/>
      </top>
      <bottom/>
      <diagonal/>
    </border>
    <border>
      <left style="thin">
        <color theme="5"/>
      </left>
      <right/>
      <top/>
      <bottom/>
      <diagonal/>
    </border>
    <border>
      <left/>
      <right style="thin">
        <color theme="5"/>
      </right>
      <top/>
      <bottom/>
      <diagonal/>
    </border>
    <border>
      <left/>
      <right style="thin">
        <color indexed="64"/>
      </right>
      <top/>
      <bottom/>
      <diagonal/>
    </border>
    <border>
      <left style="thin">
        <color theme="5"/>
      </left>
      <right/>
      <top/>
      <bottom style="thin">
        <color theme="5"/>
      </bottom>
      <diagonal/>
    </border>
    <border>
      <left/>
      <right style="thin">
        <color indexed="64"/>
      </right>
      <top/>
      <bottom style="thin">
        <color theme="5"/>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5"/>
      </right>
      <top/>
      <bottom style="thin">
        <color theme="5"/>
      </bottom>
      <diagonal/>
    </border>
    <border>
      <left/>
      <right style="thin">
        <color theme="4"/>
      </right>
      <top/>
      <bottom/>
      <diagonal/>
    </border>
    <border>
      <left/>
      <right/>
      <top/>
      <bottom style="thin">
        <color indexed="64"/>
      </bottom>
      <diagonal/>
    </border>
    <border>
      <left style="thin">
        <color theme="4"/>
      </left>
      <right/>
      <top/>
      <bottom style="thin">
        <color indexed="64"/>
      </bottom>
      <diagonal/>
    </border>
    <border>
      <left/>
      <right style="thin">
        <color indexed="64"/>
      </right>
      <top/>
      <bottom style="thin">
        <color indexed="64"/>
      </bottom>
      <diagonal/>
    </border>
    <border>
      <left style="thin">
        <color theme="4"/>
      </left>
      <right/>
      <top/>
      <bottom style="thin">
        <color theme="4"/>
      </bottom>
      <diagonal/>
    </border>
    <border>
      <left/>
      <right style="thin">
        <color indexed="64"/>
      </right>
      <top/>
      <bottom style="thin">
        <color theme="4"/>
      </bottom>
      <diagonal/>
    </border>
    <border>
      <left style="thin">
        <color theme="4"/>
      </left>
      <right/>
      <top style="thin">
        <color theme="4"/>
      </top>
      <bottom/>
      <diagonal/>
    </border>
    <border>
      <left/>
      <right style="thin">
        <color indexed="64"/>
      </right>
      <top style="thin">
        <color theme="4"/>
      </top>
      <bottom/>
      <diagonal/>
    </border>
    <border>
      <left/>
      <right style="thin">
        <color theme="4"/>
      </right>
      <top/>
      <bottom style="thin">
        <color theme="4"/>
      </bottom>
      <diagonal/>
    </border>
    <border>
      <left/>
      <right style="thin">
        <color theme="6"/>
      </right>
      <top style="thin">
        <color theme="4"/>
      </top>
      <bottom/>
      <diagonal/>
    </border>
    <border>
      <left/>
      <right/>
      <top/>
      <bottom style="thin">
        <color theme="6"/>
      </bottom>
      <diagonal/>
    </border>
    <border>
      <left/>
      <right style="thin">
        <color indexed="64"/>
      </right>
      <top style="thin">
        <color theme="6"/>
      </top>
      <bottom/>
      <diagonal/>
    </border>
    <border>
      <left style="thin">
        <color theme="6"/>
      </left>
      <right/>
      <top/>
      <bottom/>
      <diagonal/>
    </border>
    <border>
      <left style="thin">
        <color theme="6"/>
      </left>
      <right/>
      <top/>
      <bottom style="thin">
        <color theme="6"/>
      </bottom>
      <diagonal/>
    </border>
    <border>
      <left/>
      <right style="thin">
        <color indexed="64"/>
      </right>
      <top/>
      <bottom style="thin">
        <color theme="6"/>
      </bottom>
      <diagonal/>
    </border>
    <border>
      <left style="thin">
        <color theme="6"/>
      </left>
      <right/>
      <top/>
      <bottom style="thin">
        <color rgb="FF00B0F0"/>
      </bottom>
      <diagonal/>
    </border>
    <border>
      <left/>
      <right style="thin">
        <color theme="6"/>
      </right>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style="thin">
        <color rgb="FF00B0F0"/>
      </bottom>
      <diagonal/>
    </border>
    <border>
      <left style="thin">
        <color rgb="FF00B0F0"/>
      </left>
      <right/>
      <top/>
      <bottom/>
      <diagonal/>
    </border>
    <border>
      <left style="thin">
        <color rgb="FF00B0F0"/>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style="thin">
        <color indexed="64"/>
      </right>
      <top style="thin">
        <color rgb="FF00B0F0"/>
      </top>
      <bottom/>
      <diagonal/>
    </border>
    <border>
      <left/>
      <right style="thin">
        <color indexed="64"/>
      </right>
      <top/>
      <bottom style="thin">
        <color rgb="FF00B0F0"/>
      </bottom>
      <diagonal/>
    </border>
    <border>
      <left/>
      <right style="thin">
        <color rgb="FF00B0F0"/>
      </right>
      <top/>
      <bottom/>
      <diagonal/>
    </border>
    <border>
      <left/>
      <right style="thin">
        <color rgb="FF00B0F0"/>
      </right>
      <top/>
      <bottom style="thin">
        <color rgb="FF00B0F0"/>
      </bottom>
      <diagonal/>
    </border>
    <border>
      <left/>
      <right style="thin">
        <color theme="8"/>
      </right>
      <top/>
      <bottom/>
      <diagonal/>
    </border>
    <border>
      <left/>
      <right style="thin">
        <color indexed="64"/>
      </right>
      <top/>
      <bottom style="thin">
        <color theme="8"/>
      </bottom>
      <diagonal/>
    </border>
    <border>
      <left/>
      <right style="thin">
        <color indexed="64"/>
      </right>
      <top style="thin">
        <color theme="8"/>
      </top>
      <bottom/>
      <diagonal/>
    </border>
    <border>
      <left style="thin">
        <color theme="8"/>
      </left>
      <right/>
      <top/>
      <bottom/>
      <diagonal/>
    </border>
    <border>
      <left/>
      <right/>
      <top/>
      <bottom style="thin">
        <color theme="8"/>
      </bottom>
      <diagonal/>
    </border>
    <border>
      <left style="thin">
        <color theme="9"/>
      </left>
      <right/>
      <top/>
      <bottom style="thin">
        <color theme="9"/>
      </bottom>
      <diagonal/>
    </border>
    <border>
      <left/>
      <right/>
      <top/>
      <bottom style="thin">
        <color theme="9"/>
      </bottom>
      <diagonal/>
    </border>
    <border>
      <left/>
      <right style="thin">
        <color indexed="64"/>
      </right>
      <top style="thin">
        <color theme="9"/>
      </top>
      <bottom/>
      <diagonal/>
    </border>
    <border>
      <left/>
      <right style="thin">
        <color indexed="64"/>
      </right>
      <top/>
      <bottom style="thin">
        <color theme="9"/>
      </bottom>
      <diagonal/>
    </border>
    <border>
      <left/>
      <right/>
      <top/>
      <bottom style="thin">
        <color theme="3" tint="0.39994506668294322"/>
      </bottom>
      <diagonal/>
    </border>
    <border>
      <left/>
      <right style="thin">
        <color indexed="64"/>
      </right>
      <top/>
      <bottom style="thin">
        <color theme="3" tint="0.39994506668294322"/>
      </bottom>
      <diagonal/>
    </border>
    <border>
      <left/>
      <right style="thin">
        <color rgb="FF8497B0"/>
      </right>
      <top/>
      <bottom/>
      <diagonal/>
    </border>
    <border>
      <left style="thin">
        <color rgb="FF8497B0"/>
      </left>
      <right/>
      <top/>
      <bottom/>
      <diagonal/>
    </border>
    <border>
      <left/>
      <right style="thin">
        <color rgb="FF8497B0"/>
      </right>
      <top/>
      <bottom style="thin">
        <color theme="3" tint="0.39994506668294322"/>
      </bottom>
      <diagonal/>
    </border>
    <border>
      <left style="thin">
        <color rgb="FF8497B0"/>
      </left>
      <right/>
      <top/>
      <bottom style="thin">
        <color theme="3" tint="0.39994506668294322"/>
      </bottom>
      <diagonal/>
    </border>
    <border>
      <left/>
      <right style="thin">
        <color indexed="64"/>
      </right>
      <top style="thin">
        <color theme="3" tint="0.39994506668294322"/>
      </top>
      <bottom/>
      <diagonal/>
    </border>
    <border>
      <left style="thin">
        <color rgb="FF8497B0"/>
      </left>
      <right/>
      <top/>
      <bottom style="thin">
        <color rgb="FF8497B0"/>
      </bottom>
      <diagonal/>
    </border>
    <border>
      <left/>
      <right style="thin">
        <color indexed="64"/>
      </right>
      <top/>
      <bottom style="thin">
        <color rgb="FF8497B0"/>
      </bottom>
      <diagonal/>
    </border>
    <border>
      <left/>
      <right style="thin">
        <color indexed="64"/>
      </right>
      <top style="thin">
        <color rgb="FF8497B0"/>
      </top>
      <bottom/>
      <diagonal/>
    </border>
  </borders>
  <cellStyleXfs count="1">
    <xf numFmtId="0" fontId="0" fillId="0" borderId="0"/>
  </cellStyleXfs>
  <cellXfs count="379">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8" xfId="0" applyFont="1" applyFill="1" applyBorder="1" applyAlignment="1">
      <alignment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0" fillId="18" borderId="11" xfId="0" applyFont="1" applyFill="1" applyBorder="1" applyAlignment="1">
      <alignment vertical="top" wrapText="1"/>
    </xf>
    <xf numFmtId="0" fontId="10" fillId="0" borderId="0"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1" xfId="0" applyFont="1" applyFill="1" applyBorder="1" applyAlignment="1">
      <alignment horizontal="center" vertical="center" wrapText="1"/>
    </xf>
    <xf numFmtId="0" fontId="3" fillId="18" borderId="11" xfId="0" applyFont="1" applyFill="1" applyBorder="1" applyAlignment="1">
      <alignment horizontal="center" vertical="center"/>
    </xf>
    <xf numFmtId="0" fontId="2" fillId="0" borderId="11" xfId="0" applyFont="1" applyBorder="1" applyAlignment="1">
      <alignment horizontal="center" vertical="center"/>
    </xf>
    <xf numFmtId="0" fontId="2" fillId="18" borderId="11" xfId="0" applyFont="1" applyFill="1" applyBorder="1" applyAlignment="1">
      <alignment horizontal="center" vertical="center"/>
    </xf>
    <xf numFmtId="0" fontId="2" fillId="18" borderId="11"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18" borderId="11" xfId="0" applyFont="1" applyFill="1" applyBorder="1" applyAlignment="1">
      <alignment horizontal="center" vertical="center" wrapText="1"/>
    </xf>
    <xf numFmtId="0" fontId="1" fillId="18" borderId="11" xfId="0" applyFont="1" applyFill="1" applyBorder="1" applyAlignment="1">
      <alignment horizontal="left" vertical="center" wrapText="1"/>
    </xf>
    <xf numFmtId="0" fontId="1" fillId="18" borderId="11" xfId="0" applyFont="1" applyFill="1" applyBorder="1" applyAlignment="1">
      <alignment horizontal="center" vertical="center"/>
    </xf>
    <xf numFmtId="0" fontId="1" fillId="0" borderId="11" xfId="0" applyFont="1" applyBorder="1" applyAlignment="1">
      <alignment horizontal="left" vertical="center" wrapText="1"/>
    </xf>
    <xf numFmtId="0" fontId="1" fillId="0" borderId="11" xfId="0" applyFont="1" applyBorder="1" applyAlignment="1">
      <alignment horizontal="center" vertical="center"/>
    </xf>
    <xf numFmtId="0" fontId="1" fillId="0" borderId="11" xfId="0" applyFont="1" applyBorder="1" applyAlignment="1">
      <alignment vertical="top" wrapText="1"/>
    </xf>
    <xf numFmtId="0" fontId="0" fillId="0" borderId="11" xfId="0" applyBorder="1" applyAlignment="1">
      <alignment horizontal="center" vertical="center"/>
    </xf>
    <xf numFmtId="0" fontId="0" fillId="18" borderId="11" xfId="0" applyFill="1" applyBorder="1" applyAlignment="1">
      <alignment horizontal="center" vertical="center"/>
    </xf>
    <xf numFmtId="0" fontId="0" fillId="18" borderId="11" xfId="0" applyFill="1" applyBorder="1" applyAlignment="1">
      <alignment horizontal="left" vertical="center" wrapText="1"/>
    </xf>
    <xf numFmtId="0" fontId="1" fillId="0" borderId="11" xfId="0" applyFont="1" applyBorder="1" applyAlignment="1">
      <alignment vertical="top"/>
    </xf>
    <xf numFmtId="0" fontId="8" fillId="18" borderId="11" xfId="0" applyFont="1" applyFill="1" applyBorder="1" applyAlignment="1">
      <alignment horizontal="left" vertical="center" wrapText="1"/>
    </xf>
    <xf numFmtId="0" fontId="0" fillId="18" borderId="11" xfId="0" applyFill="1" applyBorder="1" applyAlignment="1">
      <alignment horizontal="center" vertical="center" wrapText="1"/>
    </xf>
    <xf numFmtId="49" fontId="2" fillId="7" borderId="0" xfId="0" applyNumberFormat="1" applyFont="1" applyFill="1" applyAlignment="1">
      <alignment horizontal="center" vertical="top" wrapText="1"/>
    </xf>
    <xf numFmtId="49" fontId="1" fillId="21" borderId="8"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0" borderId="11" xfId="0" applyFont="1" applyBorder="1" applyAlignment="1">
      <alignment horizontal="left" vertical="top" wrapText="1"/>
    </xf>
    <xf numFmtId="49" fontId="2" fillId="4" borderId="0" xfId="0" applyNumberFormat="1" applyFont="1" applyFill="1" applyAlignment="1">
      <alignment horizontal="center" vertical="top" wrapText="1"/>
    </xf>
    <xf numFmtId="49" fontId="1" fillId="13" borderId="22" xfId="0" applyNumberFormat="1" applyFont="1" applyFill="1" applyBorder="1" applyAlignment="1">
      <alignment horizontal="center" vertical="center" wrapText="1"/>
    </xf>
    <xf numFmtId="0" fontId="1" fillId="13" borderId="23" xfId="0" applyFont="1" applyFill="1" applyBorder="1" applyAlignment="1">
      <alignment vertical="center" wrapText="1"/>
    </xf>
    <xf numFmtId="49" fontId="2" fillId="5" borderId="0" xfId="0" applyNumberFormat="1" applyFont="1" applyFill="1" applyAlignment="1">
      <alignment horizontal="center" vertical="top" wrapText="1"/>
    </xf>
    <xf numFmtId="0" fontId="11" fillId="0" borderId="11" xfId="0" applyFont="1" applyBorder="1" applyAlignment="1">
      <alignment vertical="top" wrapText="1"/>
    </xf>
    <xf numFmtId="49" fontId="2" fillId="6" borderId="0" xfId="0" applyNumberFormat="1" applyFont="1" applyFill="1" applyAlignment="1">
      <alignment horizontal="center" vertical="top" wrapText="1"/>
    </xf>
    <xf numFmtId="0" fontId="6" fillId="18" borderId="11" xfId="0" applyFont="1" applyFill="1" applyBorder="1" applyAlignment="1">
      <alignment horizontal="center" vertical="center" wrapText="1"/>
    </xf>
    <xf numFmtId="0" fontId="6" fillId="0" borderId="11" xfId="0" applyFont="1" applyBorder="1" applyAlignment="1">
      <alignment vertical="top" wrapText="1"/>
    </xf>
    <xf numFmtId="0" fontId="12" fillId="18" borderId="11" xfId="0" applyFont="1" applyFill="1" applyBorder="1" applyAlignment="1">
      <alignment horizontal="left" vertical="center" wrapText="1"/>
    </xf>
    <xf numFmtId="0" fontId="13" fillId="0" borderId="11" xfId="0" applyFont="1" applyBorder="1" applyAlignment="1">
      <alignment vertical="top" wrapText="1"/>
    </xf>
    <xf numFmtId="0" fontId="5" fillId="8" borderId="0" xfId="0" applyFont="1" applyFill="1" applyAlignment="1">
      <alignment horizontal="center" vertical="top" wrapText="1"/>
    </xf>
    <xf numFmtId="0" fontId="1" fillId="19" borderId="9" xfId="0" applyFont="1" applyFill="1" applyBorder="1" applyAlignment="1">
      <alignment vertical="top"/>
    </xf>
    <xf numFmtId="0" fontId="1" fillId="23" borderId="36" xfId="0" applyFont="1" applyFill="1" applyBorder="1" applyAlignment="1">
      <alignment horizontal="center" vertical="center" wrapText="1"/>
    </xf>
    <xf numFmtId="0" fontId="1" fillId="23" borderId="37" xfId="0" applyFont="1" applyFill="1" applyBorder="1" applyAlignment="1">
      <alignment vertical="center" wrapText="1"/>
    </xf>
    <xf numFmtId="49" fontId="2" fillId="0" borderId="0" xfId="0" applyNumberFormat="1" applyFont="1" applyAlignment="1">
      <alignment horizontal="center" vertical="top" wrapText="1"/>
    </xf>
    <xf numFmtId="0" fontId="1" fillId="18" borderId="29" xfId="0" applyFont="1" applyFill="1" applyBorder="1" applyAlignment="1">
      <alignment vertical="top"/>
    </xf>
    <xf numFmtId="0" fontId="1" fillId="18" borderId="6" xfId="0" applyFont="1" applyFill="1" applyBorder="1" applyAlignment="1">
      <alignment vertical="top" wrapText="1"/>
    </xf>
    <xf numFmtId="0" fontId="1" fillId="18" borderId="32" xfId="0" applyFont="1" applyFill="1" applyBorder="1" applyAlignment="1">
      <alignment vertical="top"/>
    </xf>
    <xf numFmtId="0" fontId="1" fillId="18" borderId="7" xfId="0" applyFont="1" applyFill="1" applyBorder="1" applyAlignment="1">
      <alignment vertical="top" wrapText="1"/>
    </xf>
    <xf numFmtId="0" fontId="0" fillId="0" borderId="0" xfId="0" applyAlignment="1">
      <alignment horizontal="left"/>
    </xf>
    <xf numFmtId="0" fontId="0" fillId="0" borderId="0" xfId="0" applyAlignment="1">
      <alignment wrapText="1"/>
    </xf>
    <xf numFmtId="0" fontId="2" fillId="17" borderId="11" xfId="0" applyFont="1" applyFill="1" applyBorder="1" applyAlignment="1">
      <alignment wrapText="1"/>
    </xf>
    <xf numFmtId="0" fontId="0" fillId="0" borderId="11" xfId="0" applyBorder="1" applyAlignment="1">
      <alignment wrapText="1"/>
    </xf>
    <xf numFmtId="0" fontId="2" fillId="10" borderId="11" xfId="0" applyFont="1" applyFill="1" applyBorder="1" applyAlignment="1">
      <alignment wrapText="1"/>
    </xf>
    <xf numFmtId="0" fontId="2" fillId="0" borderId="0" xfId="0" applyFont="1"/>
    <xf numFmtId="0" fontId="0" fillId="0" borderId="0" xfId="0" applyAlignment="1">
      <alignment horizontal="left" wrapText="1"/>
    </xf>
    <xf numFmtId="0" fontId="14" fillId="24" borderId="11" xfId="0" applyFont="1" applyFill="1" applyBorder="1" applyAlignment="1">
      <alignment vertical="center" wrapText="1"/>
    </xf>
    <xf numFmtId="0" fontId="14" fillId="24" borderId="41" xfId="0" applyFont="1" applyFill="1" applyBorder="1" applyAlignment="1">
      <alignment horizontal="center" vertical="center" wrapText="1"/>
    </xf>
    <xf numFmtId="0" fontId="15" fillId="18" borderId="38" xfId="0" applyFont="1" applyFill="1" applyBorder="1" applyAlignment="1">
      <alignment horizontal="center" vertical="center" wrapText="1"/>
    </xf>
    <xf numFmtId="0" fontId="15" fillId="18" borderId="39" xfId="0" applyFont="1" applyFill="1" applyBorder="1" applyAlignment="1">
      <alignment horizontal="center" vertical="center" wrapText="1"/>
    </xf>
    <xf numFmtId="0" fontId="15" fillId="18" borderId="39" xfId="0" applyFont="1" applyFill="1" applyBorder="1" applyAlignment="1">
      <alignment horizontal="left" vertical="center" wrapText="1"/>
    </xf>
    <xf numFmtId="0" fontId="14" fillId="25" borderId="11" xfId="0" applyFont="1" applyFill="1" applyBorder="1" applyAlignment="1">
      <alignment vertical="center" wrapText="1"/>
    </xf>
    <xf numFmtId="0" fontId="14" fillId="3" borderId="11" xfId="0" applyFont="1" applyFill="1" applyBorder="1" applyAlignment="1">
      <alignment vertical="center" wrapText="1"/>
    </xf>
    <xf numFmtId="0" fontId="14" fillId="26" borderId="11" xfId="0" applyFont="1" applyFill="1" applyBorder="1" applyAlignment="1">
      <alignment vertical="center" wrapText="1"/>
    </xf>
    <xf numFmtId="0" fontId="14" fillId="27" borderId="11" xfId="0" applyFont="1" applyFill="1" applyBorder="1" applyAlignment="1">
      <alignment vertical="center" wrapText="1"/>
    </xf>
    <xf numFmtId="0" fontId="17" fillId="0" borderId="0" xfId="0" applyFont="1" applyAlignment="1"/>
    <xf numFmtId="0" fontId="14" fillId="25" borderId="41" xfId="0" applyFont="1" applyFill="1" applyBorder="1" applyAlignment="1">
      <alignment vertical="center" wrapText="1"/>
    </xf>
    <xf numFmtId="0" fontId="14" fillId="3" borderId="41" xfId="0" applyFont="1" applyFill="1" applyBorder="1" applyAlignment="1">
      <alignment vertical="center" wrapText="1"/>
    </xf>
    <xf numFmtId="0" fontId="14" fillId="26" borderId="41" xfId="0" applyFont="1" applyFill="1" applyBorder="1" applyAlignment="1">
      <alignment vertical="center" wrapText="1"/>
    </xf>
    <xf numFmtId="0" fontId="14" fillId="27" borderId="41" xfId="0" applyFont="1" applyFill="1" applyBorder="1" applyAlignment="1">
      <alignment vertical="center" wrapText="1"/>
    </xf>
    <xf numFmtId="0" fontId="14" fillId="28" borderId="41" xfId="0" applyFont="1" applyFill="1" applyBorder="1" applyAlignment="1">
      <alignment vertical="center" wrapText="1"/>
    </xf>
    <xf numFmtId="0" fontId="14" fillId="29" borderId="41" xfId="0" applyFont="1" applyFill="1" applyBorder="1" applyAlignment="1">
      <alignment vertical="center" wrapText="1"/>
    </xf>
    <xf numFmtId="0" fontId="16" fillId="18" borderId="39" xfId="0" applyFont="1" applyFill="1" applyBorder="1" applyAlignment="1">
      <alignment vertical="top"/>
    </xf>
    <xf numFmtId="0" fontId="15" fillId="18" borderId="42" xfId="0" applyFont="1" applyFill="1" applyBorder="1" applyAlignment="1">
      <alignment horizontal="center" vertical="center" wrapText="1"/>
    </xf>
    <xf numFmtId="0" fontId="14" fillId="24" borderId="43" xfId="0" applyFont="1" applyFill="1" applyBorder="1" applyAlignment="1">
      <alignment horizontal="center" vertical="center" wrapText="1"/>
    </xf>
    <xf numFmtId="0" fontId="14" fillId="25" borderId="43" xfId="0" applyFont="1" applyFill="1" applyBorder="1" applyAlignment="1">
      <alignment vertical="center" wrapText="1"/>
    </xf>
    <xf numFmtId="0" fontId="14" fillId="3" borderId="43" xfId="0" applyFont="1" applyFill="1" applyBorder="1" applyAlignment="1">
      <alignment vertical="center" wrapText="1"/>
    </xf>
    <xf numFmtId="0" fontId="14" fillId="26" borderId="43" xfId="0" applyFont="1" applyFill="1" applyBorder="1" applyAlignment="1">
      <alignment vertical="center" wrapText="1"/>
    </xf>
    <xf numFmtId="0" fontId="14" fillId="27" borderId="43" xfId="0" applyFont="1" applyFill="1" applyBorder="1" applyAlignment="1">
      <alignment vertical="center" wrapText="1"/>
    </xf>
    <xf numFmtId="0" fontId="14" fillId="28" borderId="43" xfId="0" applyFont="1" applyFill="1" applyBorder="1" applyAlignment="1">
      <alignment vertical="center" wrapText="1"/>
    </xf>
    <xf numFmtId="0" fontId="14" fillId="29" borderId="43" xfId="0" applyFont="1" applyFill="1" applyBorder="1" applyAlignment="1">
      <alignment vertical="center" wrapText="1"/>
    </xf>
    <xf numFmtId="0" fontId="15" fillId="18" borderId="39" xfId="0" applyFont="1" applyFill="1" applyBorder="1" applyAlignment="1">
      <alignment vertical="center" wrapText="1"/>
    </xf>
    <xf numFmtId="0" fontId="16" fillId="18" borderId="39" xfId="0" applyFont="1" applyFill="1" applyBorder="1" applyAlignment="1">
      <alignment vertical="top" wrapText="1"/>
    </xf>
    <xf numFmtId="0" fontId="16" fillId="18" borderId="40" xfId="0" applyFont="1" applyFill="1" applyBorder="1" applyAlignment="1">
      <alignment vertical="top" wrapText="1"/>
    </xf>
    <xf numFmtId="0" fontId="18" fillId="0" borderId="0" xfId="0" applyFont="1"/>
    <xf numFmtId="0" fontId="19" fillId="24" borderId="11" xfId="0" applyFont="1" applyFill="1" applyBorder="1" applyAlignment="1">
      <alignment horizontal="left" vertical="center" wrapText="1"/>
    </xf>
    <xf numFmtId="0" fontId="20" fillId="24" borderId="11" xfId="0" applyFont="1" applyFill="1" applyBorder="1" applyAlignment="1">
      <alignment horizontal="left" vertical="center" wrapText="1"/>
    </xf>
    <xf numFmtId="0" fontId="14" fillId="24" borderId="11" xfId="0" applyFont="1" applyFill="1" applyBorder="1" applyAlignment="1">
      <alignment horizontal="left" vertical="center" wrapText="1"/>
    </xf>
    <xf numFmtId="8" fontId="19" fillId="24" borderId="11" xfId="0" applyNumberFormat="1" applyFont="1" applyFill="1" applyBorder="1" applyAlignment="1">
      <alignment horizontal="left" vertical="center" wrapText="1"/>
    </xf>
    <xf numFmtId="0" fontId="17" fillId="0" borderId="0" xfId="0" applyFont="1"/>
    <xf numFmtId="0" fontId="19" fillId="24" borderId="11" xfId="0" applyFont="1" applyFill="1" applyBorder="1" applyAlignment="1">
      <alignment vertical="center" wrapText="1"/>
    </xf>
    <xf numFmtId="0" fontId="20" fillId="24" borderId="11" xfId="0" applyFont="1" applyFill="1" applyBorder="1" applyAlignment="1">
      <alignment vertical="center" wrapText="1"/>
    </xf>
    <xf numFmtId="0" fontId="21" fillId="25" borderId="11" xfId="0" applyFont="1" applyFill="1" applyBorder="1" applyAlignment="1">
      <alignment vertical="center" wrapText="1"/>
    </xf>
    <xf numFmtId="0" fontId="21" fillId="25" borderId="11" xfId="0" applyFont="1" applyFill="1" applyBorder="1" applyAlignment="1">
      <alignment horizontal="left" vertical="center" wrapText="1"/>
    </xf>
    <xf numFmtId="0" fontId="21" fillId="3" borderId="11" xfId="0" applyFont="1" applyFill="1" applyBorder="1" applyAlignment="1">
      <alignment vertical="center" wrapText="1"/>
    </xf>
    <xf numFmtId="0" fontId="21" fillId="26" borderId="11" xfId="0" applyFont="1" applyFill="1" applyBorder="1" applyAlignment="1">
      <alignment vertical="center" wrapText="1"/>
    </xf>
    <xf numFmtId="0" fontId="21" fillId="27" borderId="11" xfId="0" applyFont="1" applyFill="1" applyBorder="1" applyAlignment="1">
      <alignment vertical="center" wrapText="1"/>
    </xf>
    <xf numFmtId="0" fontId="21" fillId="28" borderId="11" xfId="0" applyFont="1" applyFill="1" applyBorder="1" applyAlignment="1">
      <alignment vertical="center" wrapText="1"/>
    </xf>
    <xf numFmtId="0" fontId="21" fillId="29" borderId="11" xfId="0" applyFont="1" applyFill="1" applyBorder="1" applyAlignment="1">
      <alignment vertical="center" wrapText="1"/>
    </xf>
    <xf numFmtId="0" fontId="22" fillId="0" borderId="0" xfId="0" applyFont="1"/>
    <xf numFmtId="0" fontId="20" fillId="25" borderId="11" xfId="0" applyFont="1" applyFill="1" applyBorder="1" applyAlignment="1">
      <alignment vertical="center" wrapText="1"/>
    </xf>
    <xf numFmtId="8" fontId="20" fillId="25" borderId="11" xfId="0" applyNumberFormat="1" applyFont="1" applyFill="1" applyBorder="1" applyAlignment="1">
      <alignment vertical="center"/>
    </xf>
    <xf numFmtId="0" fontId="20" fillId="25" borderId="11" xfId="0" applyFont="1" applyFill="1" applyBorder="1" applyAlignment="1">
      <alignment horizontal="left" vertical="center" wrapText="1"/>
    </xf>
    <xf numFmtId="0" fontId="19" fillId="25" borderId="11" xfId="0" applyFont="1" applyFill="1" applyBorder="1" applyAlignment="1">
      <alignment vertical="center" wrapText="1"/>
    </xf>
    <xf numFmtId="0" fontId="19" fillId="3" borderId="11" xfId="0" applyFont="1" applyFill="1" applyBorder="1" applyAlignment="1">
      <alignment vertical="center" wrapText="1"/>
    </xf>
    <xf numFmtId="0" fontId="20" fillId="3" borderId="11" xfId="0" applyFont="1" applyFill="1" applyBorder="1" applyAlignment="1">
      <alignment vertical="center" wrapText="1"/>
    </xf>
    <xf numFmtId="8" fontId="19" fillId="3" borderId="11" xfId="0" applyNumberFormat="1" applyFont="1" applyFill="1" applyBorder="1" applyAlignment="1">
      <alignment vertical="center"/>
    </xf>
    <xf numFmtId="0" fontId="20" fillId="26" borderId="11" xfId="0" applyFont="1" applyFill="1" applyBorder="1" applyAlignment="1">
      <alignment vertical="center" wrapText="1"/>
    </xf>
    <xf numFmtId="8" fontId="20" fillId="26" borderId="11" xfId="0" applyNumberFormat="1" applyFont="1" applyFill="1" applyBorder="1" applyAlignment="1">
      <alignment vertical="center"/>
    </xf>
    <xf numFmtId="0" fontId="19" fillId="26" borderId="11" xfId="0" applyFont="1" applyFill="1" applyBorder="1" applyAlignment="1">
      <alignment vertical="center" wrapText="1"/>
    </xf>
    <xf numFmtId="0" fontId="19" fillId="27" borderId="11" xfId="0" applyFont="1" applyFill="1" applyBorder="1" applyAlignment="1">
      <alignment vertical="center" wrapText="1"/>
    </xf>
    <xf numFmtId="0" fontId="20" fillId="27" borderId="11" xfId="0" applyFont="1" applyFill="1" applyBorder="1" applyAlignment="1">
      <alignment vertical="center" wrapText="1"/>
    </xf>
    <xf numFmtId="8" fontId="19" fillId="27" borderId="11" xfId="0" applyNumberFormat="1" applyFont="1" applyFill="1" applyBorder="1" applyAlignment="1">
      <alignment vertical="center"/>
    </xf>
    <xf numFmtId="8" fontId="20" fillId="27" borderId="11" xfId="0" applyNumberFormat="1" applyFont="1" applyFill="1" applyBorder="1" applyAlignment="1">
      <alignment vertical="center"/>
    </xf>
    <xf numFmtId="8" fontId="19" fillId="27" borderId="11" xfId="0" applyNumberFormat="1" applyFont="1" applyFill="1" applyBorder="1" applyAlignment="1">
      <alignment horizontal="center" vertical="center"/>
    </xf>
    <xf numFmtId="0" fontId="0" fillId="21" borderId="11" xfId="0" applyFill="1" applyBorder="1" applyAlignment="1">
      <alignment vertical="center"/>
    </xf>
    <xf numFmtId="0" fontId="0" fillId="21" borderId="11" xfId="0" applyFill="1" applyBorder="1"/>
    <xf numFmtId="0" fontId="23" fillId="30" borderId="0" xfId="0" applyFont="1" applyFill="1" applyAlignment="1">
      <alignment horizontal="center"/>
    </xf>
    <xf numFmtId="0" fontId="24" fillId="30" borderId="0" xfId="0" applyFont="1" applyFill="1"/>
    <xf numFmtId="0" fontId="25" fillId="31" borderId="44" xfId="0" applyFont="1" applyFill="1" applyBorder="1" applyAlignment="1">
      <alignment horizontal="left" vertical="center"/>
    </xf>
    <xf numFmtId="0" fontId="25" fillId="0" borderId="44" xfId="0" applyFont="1" applyBorder="1" applyAlignment="1">
      <alignment horizontal="left" vertical="center"/>
    </xf>
    <xf numFmtId="0" fontId="1" fillId="32" borderId="11" xfId="0" applyFont="1" applyFill="1" applyBorder="1" applyAlignment="1">
      <alignment horizontal="center" vertical="center" wrapText="1"/>
    </xf>
    <xf numFmtId="0" fontId="1" fillId="32" borderId="11" xfId="0" applyFont="1" applyFill="1" applyBorder="1" applyAlignment="1">
      <alignment horizontal="left" vertical="center" wrapText="1"/>
    </xf>
    <xf numFmtId="0" fontId="1" fillId="32" borderId="11" xfId="0" applyFont="1" applyFill="1" applyBorder="1" applyAlignment="1">
      <alignment horizontal="center" vertical="center"/>
    </xf>
    <xf numFmtId="49" fontId="2" fillId="2" borderId="0" xfId="0" applyNumberFormat="1" applyFont="1" applyFill="1" applyAlignment="1">
      <alignment horizontal="center" vertical="top" wrapText="1"/>
    </xf>
    <xf numFmtId="49" fontId="2" fillId="7" borderId="55" xfId="0" applyNumberFormat="1" applyFont="1" applyFill="1" applyBorder="1" applyAlignment="1">
      <alignment horizontal="center" vertical="top" wrapText="1"/>
    </xf>
    <xf numFmtId="0" fontId="6" fillId="32" borderId="11" xfId="0" applyFont="1" applyFill="1" applyBorder="1" applyAlignment="1">
      <alignment horizontal="left" vertical="center" wrapText="1"/>
    </xf>
    <xf numFmtId="49" fontId="1" fillId="13" borderId="21" xfId="0" applyNumberFormat="1" applyFont="1" applyFill="1" applyBorder="1" applyAlignment="1">
      <alignment horizontal="center" vertical="center" wrapText="1"/>
    </xf>
    <xf numFmtId="49" fontId="1" fillId="14" borderId="21" xfId="0" applyNumberFormat="1" applyFont="1" applyFill="1" applyBorder="1" applyAlignment="1">
      <alignment vertical="top" wrapText="1"/>
    </xf>
    <xf numFmtId="0" fontId="0" fillId="32" borderId="11" xfId="0" applyFill="1" applyBorder="1" applyAlignment="1">
      <alignment horizontal="center" vertical="center"/>
    </xf>
    <xf numFmtId="0" fontId="1" fillId="14" borderId="0" xfId="0" applyFont="1" applyFill="1" applyAlignment="1">
      <alignment horizontal="center" vertical="top"/>
    </xf>
    <xf numFmtId="49" fontId="1" fillId="13" borderId="0" xfId="0" applyNumberFormat="1" applyFont="1" applyFill="1" applyAlignment="1">
      <alignment horizontal="center" vertical="center" wrapText="1"/>
    </xf>
    <xf numFmtId="0" fontId="1" fillId="13" borderId="0" xfId="0" applyFont="1" applyFill="1" applyAlignment="1">
      <alignment horizontal="left" vertical="center" wrapText="1"/>
    </xf>
    <xf numFmtId="0" fontId="1" fillId="15" borderId="0" xfId="0" applyFont="1" applyFill="1" applyAlignment="1">
      <alignment vertical="top"/>
    </xf>
    <xf numFmtId="0" fontId="1" fillId="15" borderId="81" xfId="0" applyFont="1" applyFill="1" applyBorder="1" applyAlignment="1">
      <alignment vertical="top" wrapText="1"/>
    </xf>
    <xf numFmtId="0" fontId="6" fillId="32" borderId="11" xfId="0" applyFont="1" applyFill="1" applyBorder="1" applyAlignment="1">
      <alignment horizontal="center" vertical="center" wrapText="1"/>
    </xf>
    <xf numFmtId="0" fontId="8" fillId="0" borderId="11" xfId="0" applyFont="1" applyBorder="1" applyAlignment="1">
      <alignment horizontal="left" vertical="center" wrapText="1"/>
    </xf>
    <xf numFmtId="0" fontId="6" fillId="32" borderId="11" xfId="0" applyFont="1" applyFill="1" applyBorder="1" applyAlignment="1">
      <alignment horizontal="center" vertical="center"/>
    </xf>
    <xf numFmtId="0" fontId="1" fillId="18" borderId="29" xfId="0" applyFont="1" applyFill="1" applyBorder="1" applyAlignment="1">
      <alignment horizontal="center" vertical="top"/>
    </xf>
    <xf numFmtId="0" fontId="1" fillId="18" borderId="6" xfId="0" applyFont="1" applyFill="1" applyBorder="1" applyAlignment="1">
      <alignment horizontal="left" vertical="top" wrapText="1"/>
    </xf>
    <xf numFmtId="0" fontId="1" fillId="18" borderId="0" xfId="0" applyFont="1" applyFill="1" applyAlignment="1">
      <alignment horizontal="center" vertical="top"/>
    </xf>
    <xf numFmtId="0" fontId="1" fillId="18" borderId="0" xfId="0" applyFont="1" applyFill="1" applyAlignment="1">
      <alignment horizontal="left" vertical="top" wrapText="1"/>
    </xf>
    <xf numFmtId="0" fontId="1" fillId="19" borderId="0" xfId="0" applyFont="1" applyFill="1" applyAlignment="1">
      <alignment vertical="top"/>
    </xf>
    <xf numFmtId="0" fontId="1" fillId="19" borderId="0" xfId="0" applyFont="1" applyFill="1" applyAlignment="1">
      <alignment horizontal="center" vertical="top"/>
    </xf>
    <xf numFmtId="0" fontId="0" fillId="0" borderId="11" xfId="0" applyBorder="1" applyAlignment="1">
      <alignment horizontal="left" vertical="center" wrapText="1"/>
    </xf>
    <xf numFmtId="0" fontId="4" fillId="32" borderId="11" xfId="0" applyFont="1" applyFill="1" applyBorder="1" applyAlignment="1">
      <alignment horizontal="left" vertical="center" wrapText="1"/>
    </xf>
    <xf numFmtId="0" fontId="1"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pplyFill="1" applyAlignment="1">
      <alignment vertical="top"/>
    </xf>
    <xf numFmtId="0" fontId="0" fillId="0" borderId="0" xfId="0" applyFill="1" applyAlignment="1">
      <alignment horizontal="center" vertical="center"/>
    </xf>
    <xf numFmtId="0" fontId="1" fillId="0" borderId="0" xfId="0" applyFont="1" applyFill="1" applyAlignment="1">
      <alignment vertical="top" wrapText="1"/>
    </xf>
    <xf numFmtId="0" fontId="0" fillId="0" borderId="0" xfId="0" applyFill="1" applyAlignment="1">
      <alignment horizontal="left" vertical="center" wrapText="1"/>
    </xf>
    <xf numFmtId="0" fontId="1" fillId="0" borderId="0" xfId="0" applyFont="1" applyFill="1" applyAlignment="1">
      <alignment horizontal="left" vertical="center" wrapText="1"/>
    </xf>
    <xf numFmtId="10" fontId="14" fillId="24" borderId="11" xfId="0" applyNumberFormat="1" applyFont="1" applyFill="1" applyBorder="1" applyAlignment="1">
      <alignment horizontal="left" vertical="center" wrapText="1"/>
    </xf>
    <xf numFmtId="10" fontId="14" fillId="24" borderId="11" xfId="0" applyNumberFormat="1" applyFont="1" applyFill="1" applyBorder="1" applyAlignment="1">
      <alignment vertical="center" wrapText="1"/>
    </xf>
    <xf numFmtId="10" fontId="21" fillId="28" borderId="11" xfId="0" applyNumberFormat="1" applyFont="1" applyFill="1" applyBorder="1" applyAlignment="1">
      <alignment vertical="center" wrapText="1"/>
    </xf>
    <xf numFmtId="10" fontId="14" fillId="25" borderId="11" xfId="0" applyNumberFormat="1" applyFont="1" applyFill="1" applyBorder="1" applyAlignment="1">
      <alignment vertical="center" wrapText="1"/>
    </xf>
    <xf numFmtId="0" fontId="17" fillId="0" borderId="0" xfId="0" applyFont="1" applyAlignment="1">
      <alignment vertical="center"/>
    </xf>
    <xf numFmtId="0" fontId="0" fillId="0" borderId="0" xfId="0" applyAlignment="1">
      <alignment vertical="center"/>
    </xf>
    <xf numFmtId="10" fontId="14" fillId="3" borderId="11" xfId="0" applyNumberFormat="1" applyFont="1" applyFill="1" applyBorder="1" applyAlignment="1">
      <alignment vertical="center" wrapText="1"/>
    </xf>
    <xf numFmtId="10" fontId="14" fillId="26" borderId="11" xfId="0" applyNumberFormat="1" applyFont="1" applyFill="1" applyBorder="1" applyAlignment="1">
      <alignment vertical="center" wrapText="1"/>
    </xf>
    <xf numFmtId="10" fontId="14" fillId="27" borderId="11" xfId="0" applyNumberFormat="1" applyFont="1" applyFill="1" applyBorder="1" applyAlignment="1">
      <alignment vertical="center" wrapText="1"/>
    </xf>
    <xf numFmtId="0" fontId="14" fillId="29" borderId="11" xfId="0" applyFont="1" applyFill="1" applyBorder="1" applyAlignment="1">
      <alignment vertical="center" wrapText="1"/>
    </xf>
    <xf numFmtId="0" fontId="14" fillId="28" borderId="11" xfId="0" applyFont="1" applyFill="1" applyBorder="1" applyAlignment="1">
      <alignment vertical="center" wrapText="1"/>
    </xf>
    <xf numFmtId="10" fontId="14" fillId="28" borderId="11" xfId="0" applyNumberFormat="1" applyFont="1" applyFill="1" applyBorder="1" applyAlignment="1">
      <alignment vertical="center" wrapText="1"/>
    </xf>
    <xf numFmtId="8" fontId="14" fillId="28" borderId="11" xfId="0" applyNumberFormat="1" applyFont="1" applyFill="1" applyBorder="1" applyAlignment="1">
      <alignment vertical="center"/>
    </xf>
    <xf numFmtId="0" fontId="14" fillId="0" borderId="0" xfId="0" applyFont="1"/>
    <xf numFmtId="8" fontId="14" fillId="29" borderId="11" xfId="0" applyNumberFormat="1" applyFont="1" applyFill="1" applyBorder="1" applyAlignment="1">
      <alignment vertical="center"/>
    </xf>
    <xf numFmtId="0" fontId="27" fillId="29" borderId="11" xfId="0" applyFont="1" applyFill="1" applyBorder="1" applyAlignment="1">
      <alignment vertical="center" wrapText="1"/>
    </xf>
    <xf numFmtId="8" fontId="27" fillId="29" borderId="11" xfId="0" applyNumberFormat="1" applyFont="1" applyFill="1" applyBorder="1" applyAlignment="1">
      <alignment vertical="center"/>
    </xf>
    <xf numFmtId="0" fontId="28" fillId="0" borderId="0" xfId="0" applyFont="1"/>
    <xf numFmtId="10" fontId="14" fillId="29" borderId="11" xfId="0" applyNumberFormat="1" applyFont="1" applyFill="1" applyBorder="1" applyAlignment="1">
      <alignment vertical="center" wrapText="1"/>
    </xf>
    <xf numFmtId="8" fontId="14" fillId="29" borderId="11" xfId="0" applyNumberFormat="1" applyFont="1" applyFill="1" applyBorder="1" applyAlignment="1">
      <alignment vertical="center" wrapText="1"/>
    </xf>
    <xf numFmtId="0" fontId="14" fillId="33" borderId="11" xfId="0" applyFont="1" applyFill="1" applyBorder="1" applyAlignment="1">
      <alignment vertical="center" wrapText="1"/>
    </xf>
    <xf numFmtId="0" fontId="1" fillId="23" borderId="99" xfId="0" applyFont="1" applyFill="1" applyBorder="1" applyAlignment="1">
      <alignment horizontal="center" vertical="center" wrapText="1"/>
    </xf>
    <xf numFmtId="0" fontId="1" fillId="23" borderId="48" xfId="0" applyFont="1" applyFill="1" applyBorder="1" applyAlignment="1">
      <alignment horizontal="center" vertical="center" wrapText="1"/>
    </xf>
    <xf numFmtId="0" fontId="1" fillId="22" borderId="9" xfId="0" applyFont="1" applyFill="1" applyBorder="1" applyAlignment="1">
      <alignment vertical="top" wrapText="1"/>
    </xf>
    <xf numFmtId="0" fontId="0" fillId="0" borderId="0" xfId="0" applyAlignment="1">
      <alignment vertical="top" wrapText="1"/>
    </xf>
    <xf numFmtId="0" fontId="1" fillId="23" borderId="33" xfId="0" applyFont="1" applyFill="1" applyBorder="1" applyAlignment="1">
      <alignment horizontal="center" vertical="center" wrapText="1"/>
    </xf>
    <xf numFmtId="0" fontId="1" fillId="23" borderId="93" xfId="0" applyFont="1" applyFill="1" applyBorder="1" applyAlignment="1">
      <alignment horizontal="center" vertical="center" wrapText="1"/>
    </xf>
    <xf numFmtId="0" fontId="1" fillId="23" borderId="97" xfId="0" applyFont="1" applyFill="1" applyBorder="1" applyAlignment="1">
      <alignment horizontal="center" vertical="center" wrapText="1"/>
    </xf>
    <xf numFmtId="0" fontId="1" fillId="23" borderId="96" xfId="0" applyFont="1" applyFill="1" applyBorder="1" applyAlignment="1">
      <alignment horizontal="center" vertical="center" wrapText="1"/>
    </xf>
    <xf numFmtId="0" fontId="1" fillId="23" borderId="98" xfId="0" applyFont="1" applyFill="1" applyBorder="1" applyAlignment="1">
      <alignment horizontal="center" vertical="center" wrapText="1"/>
    </xf>
    <xf numFmtId="0" fontId="1" fillId="23" borderId="34" xfId="0" applyFont="1" applyFill="1" applyBorder="1" applyAlignment="1">
      <alignment horizontal="center" vertical="center" wrapText="1"/>
    </xf>
    <xf numFmtId="0" fontId="1" fillId="23" borderId="95" xfId="0" applyFont="1" applyFill="1" applyBorder="1" applyAlignment="1">
      <alignment horizontal="center" vertical="center" wrapText="1"/>
    </xf>
    <xf numFmtId="0" fontId="1" fillId="23" borderId="91" xfId="0" applyFont="1" applyFill="1" applyBorder="1" applyAlignment="1">
      <alignment horizontal="center" vertical="center" wrapText="1"/>
    </xf>
    <xf numFmtId="0" fontId="1" fillId="23" borderId="9" xfId="0" applyFont="1" applyFill="1" applyBorder="1" applyAlignment="1">
      <alignment horizontal="left" vertical="center" wrapText="1"/>
    </xf>
    <xf numFmtId="0" fontId="1" fillId="23" borderId="0" xfId="0" applyFont="1" applyFill="1" applyAlignment="1">
      <alignment horizontal="left" vertical="center" wrapText="1"/>
    </xf>
    <xf numFmtId="0" fontId="1" fillId="23" borderId="35" xfId="0" applyFont="1" applyFill="1" applyBorder="1" applyAlignment="1">
      <alignment horizontal="center" vertical="center" wrapText="1"/>
    </xf>
    <xf numFmtId="0" fontId="1" fillId="23" borderId="0" xfId="0" applyFont="1" applyFill="1" applyAlignment="1">
      <alignment horizontal="center" vertical="center" wrapText="1"/>
    </xf>
    <xf numFmtId="49" fontId="1" fillId="17" borderId="30" xfId="0" applyNumberFormat="1" applyFont="1" applyFill="1" applyBorder="1" applyAlignment="1">
      <alignment horizontal="center" vertical="center" wrapText="1"/>
    </xf>
    <xf numFmtId="0" fontId="0" fillId="0" borderId="29" xfId="0" applyBorder="1" applyAlignment="1">
      <alignment horizontal="center" vertical="center" wrapText="1"/>
    </xf>
    <xf numFmtId="0" fontId="0" fillId="0" borderId="86" xfId="0" applyBorder="1" applyAlignment="1">
      <alignment horizontal="center" vertical="center" wrapText="1"/>
    </xf>
    <xf numFmtId="0" fontId="1" fillId="17" borderId="88" xfId="0" applyFont="1" applyFill="1" applyBorder="1" applyAlignment="1">
      <alignment horizontal="left" vertical="center" wrapText="1"/>
    </xf>
    <xf numFmtId="0" fontId="0" fillId="0" borderId="48" xfId="0" applyBorder="1" applyAlignment="1">
      <alignment horizontal="left" vertical="center" wrapText="1"/>
    </xf>
    <xf numFmtId="0" fontId="0" fillId="0" borderId="89" xfId="0" applyBorder="1" applyAlignment="1">
      <alignment horizontal="left" vertical="center" wrapText="1"/>
    </xf>
    <xf numFmtId="49" fontId="1" fillId="17" borderId="31" xfId="0" applyNumberFormat="1" applyFont="1" applyFill="1" applyBorder="1" applyAlignment="1">
      <alignment horizontal="center" vertical="center" wrapText="1"/>
    </xf>
    <xf numFmtId="49" fontId="1" fillId="17" borderId="0" xfId="0" applyNumberFormat="1" applyFont="1" applyFill="1" applyAlignment="1">
      <alignment horizontal="center" vertical="center" wrapText="1"/>
    </xf>
    <xf numFmtId="0" fontId="0" fillId="0" borderId="0" xfId="0" applyAlignment="1">
      <alignment horizontal="center" vertical="center" wrapText="1"/>
    </xf>
    <xf numFmtId="0" fontId="0" fillId="0" borderId="90" xfId="0" applyBorder="1" applyAlignment="1">
      <alignment horizontal="center" vertical="center" wrapText="1"/>
    </xf>
    <xf numFmtId="0" fontId="1" fillId="17" borderId="48" xfId="0" applyFont="1" applyFill="1" applyBorder="1" applyAlignment="1">
      <alignment horizontal="left" vertical="center" wrapText="1"/>
    </xf>
    <xf numFmtId="0" fontId="0" fillId="0" borderId="91" xfId="0" applyBorder="1" applyAlignment="1">
      <alignment horizontal="left" vertical="center" wrapText="1"/>
    </xf>
    <xf numFmtId="0" fontId="1" fillId="19" borderId="92" xfId="0" applyFont="1" applyFill="1" applyBorder="1" applyAlignment="1">
      <alignment horizontal="left" vertical="top" wrapText="1"/>
    </xf>
    <xf numFmtId="0" fontId="0" fillId="0" borderId="92" xfId="0" applyBorder="1" applyAlignment="1">
      <alignment horizontal="left" vertical="top" wrapText="1"/>
    </xf>
    <xf numFmtId="0" fontId="0" fillId="0" borderId="94" xfId="0" applyBorder="1" applyAlignment="1">
      <alignment horizontal="left" vertical="top" wrapText="1"/>
    </xf>
    <xf numFmtId="0" fontId="1" fillId="23" borderId="90" xfId="0" applyFont="1" applyFill="1" applyBorder="1" applyAlignment="1">
      <alignment horizontal="left" vertical="center" wrapText="1"/>
    </xf>
    <xf numFmtId="49" fontId="1" fillId="17" borderId="29" xfId="0" applyNumberFormat="1" applyFont="1" applyFill="1" applyBorder="1" applyAlignment="1">
      <alignment horizontal="center" vertical="center" wrapText="1"/>
    </xf>
    <xf numFmtId="49" fontId="1" fillId="17" borderId="86" xfId="0" applyNumberFormat="1" applyFont="1" applyFill="1" applyBorder="1" applyAlignment="1">
      <alignment horizontal="center" vertical="center" wrapText="1"/>
    </xf>
    <xf numFmtId="0" fontId="6" fillId="17" borderId="31" xfId="0" applyFont="1" applyFill="1" applyBorder="1" applyAlignment="1">
      <alignment horizontal="left" vertical="center" wrapText="1"/>
    </xf>
    <xf numFmtId="0" fontId="1" fillId="17" borderId="0" xfId="0" applyFont="1" applyFill="1" applyAlignment="1">
      <alignment horizontal="left" vertical="center" wrapText="1"/>
    </xf>
    <xf numFmtId="0" fontId="1" fillId="17" borderId="87" xfId="0" applyFont="1" applyFill="1" applyBorder="1" applyAlignment="1">
      <alignment horizontal="left" vertical="center" wrapText="1"/>
    </xf>
    <xf numFmtId="0" fontId="1" fillId="17" borderId="30" xfId="0" applyFont="1" applyFill="1" applyBorder="1" applyAlignment="1">
      <alignment horizontal="center" vertical="center"/>
    </xf>
    <xf numFmtId="0" fontId="1" fillId="17" borderId="29" xfId="0" applyFont="1" applyFill="1" applyBorder="1" applyAlignment="1">
      <alignment horizontal="center" vertical="center"/>
    </xf>
    <xf numFmtId="0" fontId="1" fillId="17" borderId="86" xfId="0" applyFont="1" applyFill="1" applyBorder="1" applyAlignment="1">
      <alignment horizontal="center" vertical="center"/>
    </xf>
    <xf numFmtId="0" fontId="7" fillId="17" borderId="88" xfId="0" applyFont="1" applyFill="1" applyBorder="1" applyAlignment="1">
      <alignment horizontal="left" vertical="center" wrapText="1"/>
    </xf>
    <xf numFmtId="0" fontId="7" fillId="17" borderId="48" xfId="0" applyFont="1" applyFill="1" applyBorder="1" applyAlignment="1">
      <alignment horizontal="left" vertical="center" wrapText="1"/>
    </xf>
    <xf numFmtId="0" fontId="7" fillId="17" borderId="89" xfId="0" applyFont="1" applyFill="1" applyBorder="1" applyAlignment="1">
      <alignment horizontal="left" vertical="center" wrapText="1"/>
    </xf>
    <xf numFmtId="0" fontId="4" fillId="17" borderId="88" xfId="0" applyFont="1" applyFill="1" applyBorder="1" applyAlignment="1">
      <alignment horizontal="center" vertical="center" wrapText="1"/>
    </xf>
    <xf numFmtId="0" fontId="4" fillId="17" borderId="48" xfId="0" applyFont="1" applyFill="1" applyBorder="1" applyAlignment="1">
      <alignment horizontal="center" vertical="center" wrapText="1"/>
    </xf>
    <xf numFmtId="0" fontId="4" fillId="17" borderId="89" xfId="0" applyFont="1" applyFill="1" applyBorder="1" applyAlignment="1">
      <alignment horizontal="center" vertical="center" wrapText="1"/>
    </xf>
    <xf numFmtId="0" fontId="1" fillId="17" borderId="88" xfId="0" applyFont="1" applyFill="1" applyBorder="1" applyAlignment="1">
      <alignment horizontal="center" vertical="center" wrapText="1"/>
    </xf>
    <xf numFmtId="0" fontId="1" fillId="17" borderId="48" xfId="0" applyFont="1" applyFill="1" applyBorder="1" applyAlignment="1">
      <alignment horizontal="center" vertical="center" wrapText="1"/>
    </xf>
    <xf numFmtId="0" fontId="1" fillId="17" borderId="89" xfId="0" applyFont="1" applyFill="1" applyBorder="1" applyAlignment="1">
      <alignment horizontal="center" vertical="center" wrapText="1"/>
    </xf>
    <xf numFmtId="0" fontId="6" fillId="17" borderId="88" xfId="0" applyFont="1" applyFill="1" applyBorder="1" applyAlignment="1">
      <alignment horizontal="center" vertical="center" wrapText="1"/>
    </xf>
    <xf numFmtId="0" fontId="6" fillId="17" borderId="48" xfId="0" applyFont="1" applyFill="1" applyBorder="1" applyAlignment="1">
      <alignment horizontal="center" vertical="center" wrapText="1"/>
    </xf>
    <xf numFmtId="0" fontId="6" fillId="17" borderId="89" xfId="0" applyFont="1" applyFill="1" applyBorder="1" applyAlignment="1">
      <alignment horizontal="center" vertical="center" wrapText="1"/>
    </xf>
    <xf numFmtId="0" fontId="1" fillId="17" borderId="89" xfId="0" applyFont="1" applyFill="1" applyBorder="1" applyAlignment="1">
      <alignment horizontal="left" vertical="center" wrapText="1"/>
    </xf>
    <xf numFmtId="0" fontId="1" fillId="15" borderId="0" xfId="0" applyFont="1" applyFill="1" applyAlignment="1">
      <alignment horizontal="center" vertical="top"/>
    </xf>
    <xf numFmtId="0" fontId="1" fillId="15" borderId="81" xfId="0" applyFont="1" applyFill="1" applyBorder="1" applyAlignment="1">
      <alignment horizontal="center" vertical="top" wrapText="1"/>
    </xf>
    <xf numFmtId="49" fontId="1" fillId="16" borderId="27" xfId="0" applyNumberFormat="1" applyFont="1" applyFill="1" applyBorder="1" applyAlignment="1">
      <alignment horizontal="center" vertical="center" wrapText="1"/>
    </xf>
    <xf numFmtId="49" fontId="1" fillId="16" borderId="25" xfId="0" applyNumberFormat="1" applyFont="1" applyFill="1" applyBorder="1" applyAlignment="1">
      <alignment horizontal="center" vertical="center" wrapText="1"/>
    </xf>
    <xf numFmtId="0" fontId="1" fillId="16" borderId="28" xfId="0" applyFont="1" applyFill="1" applyBorder="1" applyAlignment="1">
      <alignment horizontal="left" vertical="center" wrapText="1"/>
    </xf>
    <xf numFmtId="0" fontId="1" fillId="16" borderId="85" xfId="0" applyFont="1" applyFill="1" applyBorder="1" applyAlignment="1">
      <alignment horizontal="left" vertical="center" wrapText="1"/>
    </xf>
    <xf numFmtId="0" fontId="1" fillId="16" borderId="83" xfId="0" applyFont="1" applyFill="1" applyBorder="1" applyAlignment="1">
      <alignment horizontal="center" vertical="center" wrapText="1"/>
    </xf>
    <xf numFmtId="0" fontId="1" fillId="16" borderId="48" xfId="0" applyFont="1" applyFill="1" applyBorder="1" applyAlignment="1">
      <alignment horizontal="center" vertical="center" wrapText="1"/>
    </xf>
    <xf numFmtId="0" fontId="1" fillId="16" borderId="82" xfId="0" applyFont="1" applyFill="1" applyBorder="1" applyAlignment="1">
      <alignment horizontal="center" vertical="center" wrapText="1"/>
    </xf>
    <xf numFmtId="49" fontId="1" fillId="16" borderId="84" xfId="0" applyNumberFormat="1" applyFont="1" applyFill="1" applyBorder="1" applyAlignment="1">
      <alignment horizontal="center" vertical="center" wrapText="1"/>
    </xf>
    <xf numFmtId="0" fontId="1" fillId="16" borderId="0" xfId="0" applyFont="1" applyFill="1" applyAlignment="1">
      <alignment horizontal="left" vertical="center" wrapText="1"/>
    </xf>
    <xf numFmtId="49" fontId="2" fillId="5" borderId="0" xfId="0" applyNumberFormat="1" applyFont="1" applyFill="1" applyAlignment="1">
      <alignment horizontal="center" vertical="top" wrapText="1"/>
    </xf>
    <xf numFmtId="49" fontId="1" fillId="16" borderId="26" xfId="0" applyNumberFormat="1" applyFont="1" applyFill="1" applyBorder="1" applyAlignment="1">
      <alignment horizontal="center" vertical="center" wrapText="1"/>
    </xf>
    <xf numFmtId="0" fontId="4" fillId="16" borderId="77" xfId="0" applyFont="1" applyFill="1" applyBorder="1" applyAlignment="1">
      <alignment horizontal="center" vertical="center" wrapText="1"/>
    </xf>
    <xf numFmtId="0" fontId="4" fillId="16" borderId="82" xfId="0" applyFont="1" applyFill="1" applyBorder="1" applyAlignment="1">
      <alignment horizontal="center" vertical="center" wrapText="1"/>
    </xf>
    <xf numFmtId="0" fontId="1" fillId="15" borderId="81" xfId="0" applyFont="1" applyFill="1" applyBorder="1" applyAlignment="1">
      <alignment vertical="top" wrapText="1"/>
    </xf>
    <xf numFmtId="0" fontId="1" fillId="16" borderId="28" xfId="0" applyFont="1" applyFill="1" applyBorder="1" applyAlignment="1">
      <alignment horizontal="center" vertical="center"/>
    </xf>
    <xf numFmtId="0" fontId="1" fillId="16" borderId="0" xfId="0" applyFont="1" applyFill="1" applyAlignment="1">
      <alignment horizontal="center" vertical="center"/>
    </xf>
    <xf numFmtId="0" fontId="1" fillId="16" borderId="85" xfId="0" applyFont="1" applyFill="1" applyBorder="1" applyAlignment="1">
      <alignment horizontal="center" vertical="center"/>
    </xf>
    <xf numFmtId="0" fontId="1" fillId="16" borderId="83" xfId="0" applyFont="1" applyFill="1" applyBorder="1" applyAlignment="1">
      <alignment vertical="center" wrapText="1"/>
    </xf>
    <xf numFmtId="0" fontId="1" fillId="16" borderId="48" xfId="0" applyFont="1" applyFill="1" applyBorder="1" applyAlignment="1">
      <alignment vertical="center" wrapText="1"/>
    </xf>
    <xf numFmtId="0" fontId="1" fillId="16" borderId="82" xfId="0" applyFont="1" applyFill="1" applyBorder="1" applyAlignment="1">
      <alignment vertical="center" wrapText="1"/>
    </xf>
    <xf numFmtId="49" fontId="1" fillId="13" borderId="21" xfId="0" applyNumberFormat="1" applyFont="1" applyFill="1" applyBorder="1" applyAlignment="1">
      <alignment horizontal="center" vertical="center" wrapText="1"/>
    </xf>
    <xf numFmtId="49" fontId="1" fillId="13" borderId="73" xfId="0" applyNumberFormat="1" applyFont="1" applyFill="1" applyBorder="1" applyAlignment="1">
      <alignment horizontal="center" vertical="center" wrapText="1"/>
    </xf>
    <xf numFmtId="49" fontId="1" fillId="13" borderId="75" xfId="0" applyNumberFormat="1" applyFont="1" applyFill="1" applyBorder="1" applyAlignment="1">
      <alignment horizontal="center" vertical="center" wrapText="1"/>
    </xf>
    <xf numFmtId="0" fontId="1" fillId="13" borderId="77" xfId="0" applyFont="1" applyFill="1" applyBorder="1" applyAlignment="1">
      <alignment horizontal="center" vertical="center" wrapText="1"/>
    </xf>
    <xf numFmtId="0" fontId="1" fillId="13" borderId="48" xfId="0" applyFont="1" applyFill="1" applyBorder="1" applyAlignment="1">
      <alignment horizontal="center" vertical="center" wrapText="1"/>
    </xf>
    <xf numFmtId="0" fontId="1" fillId="13" borderId="78" xfId="0" applyFont="1" applyFill="1" applyBorder="1" applyAlignment="1">
      <alignment horizontal="center" vertical="center" wrapText="1"/>
    </xf>
    <xf numFmtId="49" fontId="1" fillId="14" borderId="71" xfId="0" applyNumberFormat="1" applyFont="1" applyFill="1" applyBorder="1" applyAlignment="1">
      <alignment horizontal="center" vertical="center" wrapText="1"/>
    </xf>
    <xf numFmtId="49" fontId="1" fillId="14" borderId="74" xfId="0" applyNumberFormat="1" applyFont="1" applyFill="1" applyBorder="1" applyAlignment="1">
      <alignment horizontal="center" vertical="center" wrapText="1"/>
    </xf>
    <xf numFmtId="49" fontId="1" fillId="14" borderId="72" xfId="0" applyNumberFormat="1" applyFont="1" applyFill="1" applyBorder="1" applyAlignment="1">
      <alignment horizontal="center" vertical="center" wrapText="1"/>
    </xf>
    <xf numFmtId="49" fontId="1" fillId="14" borderId="5" xfId="0" applyNumberFormat="1" applyFont="1" applyFill="1" applyBorder="1" applyAlignment="1">
      <alignment horizontal="center" vertical="center" wrapText="1"/>
    </xf>
    <xf numFmtId="49" fontId="1" fillId="14" borderId="79" xfId="0" applyNumberFormat="1" applyFont="1" applyFill="1" applyBorder="1" applyAlignment="1">
      <alignment horizontal="center" vertical="center" wrapText="1"/>
    </xf>
    <xf numFmtId="49" fontId="1" fillId="14" borderId="80" xfId="0" applyNumberFormat="1" applyFont="1" applyFill="1" applyBorder="1" applyAlignment="1">
      <alignment horizontal="center" vertical="center" wrapText="1"/>
    </xf>
    <xf numFmtId="49" fontId="1" fillId="13" borderId="24" xfId="0" applyNumberFormat="1" applyFont="1" applyFill="1" applyBorder="1" applyAlignment="1">
      <alignment horizontal="center" vertical="center" wrapText="1"/>
    </xf>
    <xf numFmtId="49" fontId="1" fillId="13" borderId="0" xfId="0" applyNumberFormat="1" applyFont="1" applyFill="1" applyAlignment="1">
      <alignment horizontal="center" vertical="center" wrapText="1"/>
    </xf>
    <xf numFmtId="49" fontId="1" fillId="13" borderId="76" xfId="0" applyNumberFormat="1" applyFont="1" applyFill="1" applyBorder="1" applyAlignment="1">
      <alignment horizontal="center" vertical="center" wrapText="1"/>
    </xf>
    <xf numFmtId="0" fontId="1" fillId="13" borderId="24" xfId="0" applyFont="1" applyFill="1" applyBorder="1" applyAlignment="1">
      <alignment horizontal="left" vertical="center" wrapText="1"/>
    </xf>
    <xf numFmtId="0" fontId="1" fillId="13" borderId="76" xfId="0" applyFont="1" applyFill="1" applyBorder="1" applyAlignment="1">
      <alignment horizontal="left" vertical="center" wrapText="1"/>
    </xf>
    <xf numFmtId="49" fontId="1" fillId="12" borderId="20" xfId="0" applyNumberFormat="1" applyFont="1" applyFill="1" applyBorder="1" applyAlignment="1">
      <alignment horizontal="center" vertical="center" wrapText="1"/>
    </xf>
    <xf numFmtId="0" fontId="1" fillId="12" borderId="4" xfId="0" applyFont="1" applyFill="1" applyBorder="1" applyAlignment="1">
      <alignment vertical="center" wrapText="1"/>
    </xf>
    <xf numFmtId="49" fontId="1" fillId="14" borderId="71" xfId="0" applyNumberFormat="1" applyFont="1" applyFill="1" applyBorder="1" applyAlignment="1">
      <alignment vertical="top" wrapText="1"/>
    </xf>
    <xf numFmtId="49" fontId="1" fillId="14" borderId="72" xfId="0" applyNumberFormat="1" applyFont="1" applyFill="1" applyBorder="1" applyAlignment="1">
      <alignment vertical="top" wrapText="1"/>
    </xf>
    <xf numFmtId="49" fontId="1" fillId="14" borderId="74" xfId="0" applyNumberFormat="1" applyFont="1" applyFill="1" applyBorder="1" applyAlignment="1">
      <alignment vertical="top" wrapText="1"/>
    </xf>
    <xf numFmtId="0" fontId="1" fillId="13" borderId="0" xfId="0" applyFont="1" applyFill="1" applyAlignment="1">
      <alignment horizontal="left" vertical="center" wrapText="1"/>
    </xf>
    <xf numFmtId="0" fontId="1" fillId="14" borderId="73" xfId="0" applyFont="1" applyFill="1" applyBorder="1" applyAlignment="1">
      <alignment horizontal="center" vertical="top"/>
    </xf>
    <xf numFmtId="0" fontId="1" fillId="11" borderId="19" xfId="0" applyFont="1" applyFill="1" applyBorder="1" applyAlignment="1">
      <alignment horizontal="center" vertical="top"/>
    </xf>
    <xf numFmtId="0" fontId="0" fillId="0" borderId="66" xfId="0" applyBorder="1" applyAlignment="1">
      <alignment vertical="top"/>
    </xf>
    <xf numFmtId="0" fontId="0" fillId="0" borderId="69" xfId="0" applyBorder="1" applyAlignment="1">
      <alignment vertical="top"/>
    </xf>
    <xf numFmtId="0" fontId="1" fillId="11" borderId="3" xfId="0" applyFont="1" applyFill="1" applyBorder="1" applyAlignment="1">
      <alignment horizontal="left" vertical="top" wrapText="1"/>
    </xf>
    <xf numFmtId="0" fontId="0" fillId="0" borderId="3" xfId="0" applyBorder="1" applyAlignment="1">
      <alignment vertical="top" wrapText="1"/>
    </xf>
    <xf numFmtId="0" fontId="0" fillId="0" borderId="70" xfId="0" applyBorder="1" applyAlignment="1">
      <alignment vertical="top" wrapText="1"/>
    </xf>
    <xf numFmtId="49" fontId="1" fillId="12" borderId="19" xfId="0" applyNumberFormat="1" applyFont="1" applyFill="1" applyBorder="1" applyAlignment="1">
      <alignment horizontal="center" vertical="center" wrapText="1"/>
    </xf>
    <xf numFmtId="49" fontId="1" fillId="12" borderId="66" xfId="0" applyNumberFormat="1" applyFont="1" applyFill="1" applyBorder="1" applyAlignment="1">
      <alignment horizontal="center" vertical="center" wrapText="1"/>
    </xf>
    <xf numFmtId="49" fontId="1" fillId="12" borderId="67" xfId="0" applyNumberFormat="1" applyFont="1" applyFill="1" applyBorder="1" applyAlignment="1">
      <alignment horizontal="center" vertical="center" wrapText="1"/>
    </xf>
    <xf numFmtId="0" fontId="1" fillId="12" borderId="65" xfId="0" applyFont="1" applyFill="1" applyBorder="1" applyAlignment="1">
      <alignment horizontal="center" vertical="center" wrapText="1"/>
    </xf>
    <xf numFmtId="0" fontId="1" fillId="12" borderId="48" xfId="0" applyFont="1" applyFill="1" applyBorder="1" applyAlignment="1">
      <alignment horizontal="center" vertical="center" wrapText="1"/>
    </xf>
    <xf numFmtId="0" fontId="1" fillId="12" borderId="68" xfId="0" applyFont="1" applyFill="1" applyBorder="1" applyAlignment="1">
      <alignment horizontal="center" vertical="center" wrapText="1"/>
    </xf>
    <xf numFmtId="0" fontId="1" fillId="12" borderId="65" xfId="0" applyFont="1" applyFill="1" applyBorder="1" applyAlignment="1">
      <alignment vertical="center" wrapText="1"/>
    </xf>
    <xf numFmtId="0" fontId="1" fillId="12" borderId="48" xfId="0" applyFont="1" applyFill="1" applyBorder="1" applyAlignment="1">
      <alignment vertical="center" wrapText="1"/>
    </xf>
    <xf numFmtId="0" fontId="1" fillId="12" borderId="68" xfId="0" applyFont="1" applyFill="1" applyBorder="1" applyAlignment="1">
      <alignment vertical="center" wrapText="1"/>
    </xf>
    <xf numFmtId="0" fontId="1" fillId="20" borderId="17" xfId="0" applyFont="1" applyFill="1" applyBorder="1" applyAlignment="1">
      <alignment horizontal="center" vertical="top"/>
    </xf>
    <xf numFmtId="0" fontId="1" fillId="20" borderId="0" xfId="0" applyFont="1" applyFill="1" applyAlignment="1">
      <alignment horizontal="center" vertical="top"/>
    </xf>
    <xf numFmtId="0" fontId="0" fillId="0" borderId="64" xfId="0" applyBorder="1" applyAlignment="1">
      <alignment horizontal="center" vertical="top"/>
    </xf>
    <xf numFmtId="0" fontId="1" fillId="20" borderId="63" xfId="0" applyFont="1" applyFill="1" applyBorder="1" applyAlignment="1">
      <alignment horizontal="left" vertical="top" wrapText="1"/>
    </xf>
    <xf numFmtId="0" fontId="1" fillId="20" borderId="3" xfId="0" applyFont="1" applyFill="1" applyBorder="1" applyAlignment="1">
      <alignment horizontal="left" vertical="top" wrapText="1"/>
    </xf>
    <xf numFmtId="0" fontId="0" fillId="0" borderId="3" xfId="0" applyBorder="1" applyAlignment="1">
      <alignment horizontal="left" vertical="top" wrapText="1"/>
    </xf>
    <xf numFmtId="49" fontId="1" fillId="21" borderId="0" xfId="0" applyNumberFormat="1" applyFont="1" applyFill="1" applyAlignment="1">
      <alignment horizontal="center" vertical="center" wrapText="1"/>
    </xf>
    <xf numFmtId="49" fontId="1" fillId="21" borderId="64" xfId="0" applyNumberFormat="1" applyFont="1" applyFill="1" applyBorder="1" applyAlignment="1">
      <alignment horizontal="center" vertical="center" wrapText="1"/>
    </xf>
    <xf numFmtId="0" fontId="1" fillId="21" borderId="17" xfId="0" applyFont="1" applyFill="1" applyBorder="1" applyAlignment="1">
      <alignment horizontal="left" vertical="center" wrapText="1"/>
    </xf>
    <xf numFmtId="0" fontId="1" fillId="21" borderId="0" xfId="0" applyFont="1" applyFill="1" applyAlignment="1">
      <alignment horizontal="left" vertical="center" wrapText="1"/>
    </xf>
    <xf numFmtId="0" fontId="1" fillId="21" borderId="64" xfId="0" applyFont="1" applyFill="1" applyBorder="1" applyAlignment="1">
      <alignment horizontal="left" vertical="center" wrapText="1"/>
    </xf>
    <xf numFmtId="49" fontId="1" fillId="21" borderId="18" xfId="0" applyNumberFormat="1" applyFont="1" applyFill="1" applyBorder="1" applyAlignment="1">
      <alignment horizontal="center" vertical="center" wrapText="1"/>
    </xf>
    <xf numFmtId="0" fontId="1" fillId="32" borderId="51" xfId="0" applyFont="1" applyFill="1" applyBorder="1" applyAlignment="1">
      <alignment horizontal="center" vertical="center" wrapText="1"/>
    </xf>
    <xf numFmtId="0" fontId="1" fillId="32" borderId="52" xfId="0" applyFont="1" applyFill="1" applyBorder="1" applyAlignment="1">
      <alignment horizontal="center" vertical="center" wrapText="1"/>
    </xf>
    <xf numFmtId="0" fontId="1" fillId="32" borderId="51" xfId="0" applyFont="1" applyFill="1" applyBorder="1" applyAlignment="1">
      <alignment horizontal="left" vertical="center" wrapText="1"/>
    </xf>
    <xf numFmtId="0" fontId="1" fillId="32" borderId="52" xfId="0" applyFont="1" applyFill="1" applyBorder="1" applyAlignment="1">
      <alignment horizontal="left" vertical="center" wrapText="1"/>
    </xf>
    <xf numFmtId="0" fontId="1" fillId="32" borderId="51" xfId="0" applyFont="1" applyFill="1" applyBorder="1" applyAlignment="1">
      <alignment horizontal="center" vertical="center"/>
    </xf>
    <xf numFmtId="0" fontId="1" fillId="32" borderId="52" xfId="0" applyFont="1" applyFill="1" applyBorder="1" applyAlignment="1">
      <alignment horizontal="center" vertical="center"/>
    </xf>
    <xf numFmtId="0" fontId="1" fillId="21" borderId="8" xfId="0" applyFont="1" applyFill="1" applyBorder="1" applyAlignment="1">
      <alignment horizontal="center" vertical="center"/>
    </xf>
    <xf numFmtId="0" fontId="1" fillId="21" borderId="8" xfId="0" applyFont="1" applyFill="1" applyBorder="1" applyAlignment="1">
      <alignment vertical="center" wrapText="1"/>
    </xf>
    <xf numFmtId="0" fontId="1" fillId="10" borderId="45"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20" borderId="16" xfId="0" applyFont="1" applyFill="1" applyBorder="1" applyAlignment="1">
      <alignment vertical="top"/>
    </xf>
    <xf numFmtId="0" fontId="0" fillId="0" borderId="16" xfId="0" applyBorder="1" applyAlignment="1">
      <alignment vertical="top"/>
    </xf>
    <xf numFmtId="0" fontId="0" fillId="0" borderId="58" xfId="0" applyBorder="1" applyAlignment="1">
      <alignment vertical="top"/>
    </xf>
    <xf numFmtId="0" fontId="1" fillId="20" borderId="54" xfId="0" applyFont="1" applyFill="1" applyBorder="1" applyAlignment="1">
      <alignment vertical="top" wrapText="1"/>
    </xf>
    <xf numFmtId="0" fontId="0" fillId="0" borderId="54" xfId="0" applyBorder="1" applyAlignment="1">
      <alignment vertical="top" wrapText="1"/>
    </xf>
    <xf numFmtId="0" fontId="0" fillId="0" borderId="62" xfId="0" applyBorder="1" applyAlignment="1">
      <alignment vertical="top" wrapText="1"/>
    </xf>
    <xf numFmtId="49" fontId="1" fillId="21" borderId="15" xfId="0" applyNumberFormat="1" applyFont="1" applyFill="1" applyBorder="1" applyAlignment="1">
      <alignment horizontal="center" vertical="center" wrapText="1"/>
    </xf>
    <xf numFmtId="49" fontId="1" fillId="21" borderId="16" xfId="0" applyNumberFormat="1" applyFont="1" applyFill="1" applyBorder="1" applyAlignment="1">
      <alignment horizontal="center" vertical="center" wrapText="1"/>
    </xf>
    <xf numFmtId="49" fontId="1" fillId="21" borderId="56" xfId="0" applyNumberFormat="1" applyFont="1" applyFill="1" applyBorder="1" applyAlignment="1">
      <alignment horizontal="center" vertical="center" wrapText="1"/>
    </xf>
    <xf numFmtId="0" fontId="1" fillId="21" borderId="45" xfId="0" applyFont="1" applyFill="1" applyBorder="1" applyAlignment="1">
      <alignment horizontal="center" vertical="center" wrapText="1"/>
    </xf>
    <xf numFmtId="0" fontId="1" fillId="21" borderId="48" xfId="0" applyFont="1" applyFill="1" applyBorder="1" applyAlignment="1">
      <alignment horizontal="center" vertical="center" wrapText="1"/>
    </xf>
    <xf numFmtId="0" fontId="1" fillId="21" borderId="57" xfId="0" applyFont="1" applyFill="1" applyBorder="1" applyAlignment="1">
      <alignment horizontal="center" vertical="center" wrapText="1"/>
    </xf>
    <xf numFmtId="49" fontId="1" fillId="21" borderId="58" xfId="0" applyNumberFormat="1" applyFont="1" applyFill="1" applyBorder="1" applyAlignment="1">
      <alignment horizontal="center" vertical="center" wrapText="1"/>
    </xf>
    <xf numFmtId="0" fontId="1" fillId="21" borderId="59" xfId="0" applyFont="1" applyFill="1" applyBorder="1" applyAlignment="1">
      <alignment horizontal="center" vertical="center" wrapText="1"/>
    </xf>
    <xf numFmtId="0" fontId="1" fillId="21" borderId="60" xfId="0" applyFont="1" applyFill="1" applyBorder="1" applyAlignment="1">
      <alignment horizontal="center" vertical="center"/>
    </xf>
    <xf numFmtId="0" fontId="1" fillId="21" borderId="16" xfId="0" applyFont="1" applyFill="1" applyBorder="1" applyAlignment="1">
      <alignment horizontal="center" vertical="center"/>
    </xf>
    <xf numFmtId="0" fontId="1" fillId="21" borderId="58" xfId="0" applyFont="1" applyFill="1" applyBorder="1" applyAlignment="1">
      <alignment horizontal="center" vertical="center"/>
    </xf>
    <xf numFmtId="0" fontId="1" fillId="21" borderId="61" xfId="0" applyFont="1" applyFill="1" applyBorder="1" applyAlignment="1">
      <alignment vertical="center" wrapText="1"/>
    </xf>
    <xf numFmtId="0" fontId="1" fillId="21" borderId="48" xfId="0" applyFont="1" applyFill="1" applyBorder="1" applyAlignment="1">
      <alignment vertical="center" wrapText="1"/>
    </xf>
    <xf numFmtId="0" fontId="1" fillId="21" borderId="59" xfId="0" applyFont="1" applyFill="1" applyBorder="1" applyAlignment="1">
      <alignment vertical="center" wrapText="1"/>
    </xf>
    <xf numFmtId="0" fontId="1" fillId="10" borderId="45" xfId="0" applyFont="1" applyFill="1" applyBorder="1" applyAlignment="1">
      <alignment vertical="center" wrapText="1"/>
    </xf>
    <xf numFmtId="0" fontId="0" fillId="0" borderId="48" xfId="0" applyBorder="1" applyAlignment="1">
      <alignment vertical="center" wrapText="1"/>
    </xf>
    <xf numFmtId="0" fontId="1" fillId="9" borderId="10" xfId="0" applyFont="1" applyFill="1" applyBorder="1" applyAlignment="1">
      <alignment horizontal="center" vertical="top"/>
    </xf>
    <xf numFmtId="0" fontId="1" fillId="9" borderId="0" xfId="0" applyFont="1" applyFill="1" applyAlignment="1">
      <alignment horizontal="center" vertical="top"/>
    </xf>
    <xf numFmtId="0" fontId="0" fillId="0" borderId="0" xfId="0" applyAlignment="1">
      <alignment horizontal="center" vertical="top"/>
    </xf>
    <xf numFmtId="0" fontId="1" fillId="9" borderId="10" xfId="0" applyFont="1" applyFill="1" applyBorder="1" applyAlignment="1">
      <alignment horizontal="left" vertical="top" wrapText="1"/>
    </xf>
    <xf numFmtId="0" fontId="1" fillId="9" borderId="0" xfId="0" applyFont="1" applyFill="1" applyAlignment="1">
      <alignment horizontal="left" vertical="top" wrapText="1"/>
    </xf>
    <xf numFmtId="0" fontId="0" fillId="0" borderId="0" xfId="0" applyAlignment="1">
      <alignment horizontal="left" vertical="top" wrapText="1"/>
    </xf>
    <xf numFmtId="49" fontId="1" fillId="10" borderId="13" xfId="0" applyNumberFormat="1" applyFont="1" applyFill="1" applyBorder="1" applyAlignment="1">
      <alignment horizontal="center" vertical="center" wrapText="1"/>
    </xf>
    <xf numFmtId="0" fontId="1" fillId="10" borderId="14" xfId="0" applyFont="1" applyFill="1" applyBorder="1" applyAlignment="1">
      <alignment horizontal="left" vertical="center" wrapText="1"/>
    </xf>
    <xf numFmtId="49" fontId="1" fillId="10" borderId="12" xfId="0" applyNumberFormat="1" applyFont="1" applyFill="1" applyBorder="1" applyAlignment="1">
      <alignment horizontal="center" vertical="center" wrapText="1"/>
    </xf>
    <xf numFmtId="49" fontId="1" fillId="10" borderId="46" xfId="0" applyNumberFormat="1" applyFont="1" applyFill="1" applyBorder="1" applyAlignment="1">
      <alignment horizontal="center" vertical="center" wrapText="1"/>
    </xf>
    <xf numFmtId="49" fontId="1" fillId="10" borderId="49" xfId="0" applyNumberFormat="1" applyFont="1" applyFill="1" applyBorder="1" applyAlignment="1">
      <alignment horizontal="center" vertical="center" wrapText="1"/>
    </xf>
    <xf numFmtId="0" fontId="1" fillId="10" borderId="48" xfId="0" applyFont="1" applyFill="1" applyBorder="1" applyAlignment="1">
      <alignment horizontal="center" vertical="center" wrapText="1"/>
    </xf>
    <xf numFmtId="0" fontId="1" fillId="9" borderId="12" xfId="0" applyFont="1" applyFill="1" applyBorder="1" applyAlignment="1">
      <alignment horizontal="center" vertical="top"/>
    </xf>
    <xf numFmtId="0" fontId="0" fillId="0" borderId="46" xfId="0" applyBorder="1" applyAlignment="1">
      <alignment horizontal="center" vertical="top"/>
    </xf>
    <xf numFmtId="0" fontId="0" fillId="0" borderId="49" xfId="0" applyBorder="1" applyAlignment="1">
      <alignment horizontal="center" vertical="top"/>
    </xf>
    <xf numFmtId="0" fontId="6" fillId="9" borderId="2" xfId="0" applyFont="1" applyFill="1" applyBorder="1" applyAlignment="1">
      <alignment vertical="top" wrapText="1"/>
    </xf>
    <xf numFmtId="0" fontId="0" fillId="0" borderId="47" xfId="0" applyBorder="1" applyAlignment="1">
      <alignment vertical="top" wrapText="1"/>
    </xf>
    <xf numFmtId="0" fontId="0" fillId="0" borderId="53" xfId="0" applyBorder="1" applyAlignment="1">
      <alignment vertical="top" wrapText="1"/>
    </xf>
    <xf numFmtId="0" fontId="0" fillId="0" borderId="46" xfId="0" applyBorder="1" applyAlignment="1">
      <alignment horizontal="center" vertical="center" wrapText="1"/>
    </xf>
    <xf numFmtId="0" fontId="1" fillId="0" borderId="51" xfId="0" applyFont="1" applyBorder="1" applyAlignment="1">
      <alignment horizontal="center" vertical="top" wrapText="1"/>
    </xf>
    <xf numFmtId="0" fontId="1" fillId="0" borderId="52" xfId="0" applyFont="1" applyBorder="1" applyAlignment="1">
      <alignment horizontal="center" vertical="top" wrapText="1"/>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18" borderId="51" xfId="0" applyFont="1" applyFill="1" applyBorder="1" applyAlignment="1">
      <alignment horizontal="left" vertical="center" wrapText="1"/>
    </xf>
    <xf numFmtId="0" fontId="1" fillId="18" borderId="52" xfId="0" applyFont="1" applyFill="1" applyBorder="1" applyAlignment="1">
      <alignment horizontal="left" vertical="center" wrapText="1"/>
    </xf>
    <xf numFmtId="0" fontId="1" fillId="0" borderId="51" xfId="0" applyFont="1" applyBorder="1" applyAlignment="1">
      <alignment horizontal="left"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workbookViewId="0">
      <selection activeCell="D14" sqref="D14"/>
    </sheetView>
  </sheetViews>
  <sheetFormatPr defaultRowHeight="14.5"/>
  <cols>
    <col min="1" max="1" width="19.453125" style="68" customWidth="1"/>
    <col min="2" max="2" width="95.7265625" style="68" customWidth="1"/>
  </cols>
  <sheetData>
    <row r="2" spans="1:2" ht="29">
      <c r="A2" s="69" t="s">
        <v>533</v>
      </c>
      <c r="B2" s="70" t="s">
        <v>575</v>
      </c>
    </row>
    <row r="3" spans="1:2">
      <c r="A3" s="69" t="s">
        <v>704</v>
      </c>
      <c r="B3" s="70" t="s">
        <v>703</v>
      </c>
    </row>
    <row r="4" spans="1:2" ht="29">
      <c r="A4" s="69" t="s">
        <v>534</v>
      </c>
      <c r="B4" s="70" t="s">
        <v>539</v>
      </c>
    </row>
    <row r="5" spans="1:2">
      <c r="A5" s="69" t="s">
        <v>535</v>
      </c>
      <c r="B5" s="70" t="s">
        <v>540</v>
      </c>
    </row>
    <row r="6" spans="1:2">
      <c r="A6" s="69" t="s">
        <v>536</v>
      </c>
      <c r="B6" s="70" t="s">
        <v>541</v>
      </c>
    </row>
    <row r="7" spans="1:2">
      <c r="A7" s="69" t="s">
        <v>548</v>
      </c>
      <c r="B7" s="70" t="s">
        <v>549</v>
      </c>
    </row>
    <row r="8" spans="1:2" ht="29">
      <c r="A8" s="69" t="s">
        <v>701</v>
      </c>
      <c r="B8" s="70" t="s">
        <v>702</v>
      </c>
    </row>
    <row r="9" spans="1:2" ht="29">
      <c r="A9" s="69" t="s">
        <v>537</v>
      </c>
      <c r="B9" s="70" t="s">
        <v>542</v>
      </c>
    </row>
    <row r="10" spans="1:2">
      <c r="A10" s="69" t="s">
        <v>546</v>
      </c>
      <c r="B10" s="70" t="s">
        <v>547</v>
      </c>
    </row>
    <row r="11" spans="1:2" ht="58">
      <c r="A11" s="69" t="s">
        <v>538</v>
      </c>
      <c r="B11" s="70" t="s">
        <v>544</v>
      </c>
    </row>
    <row r="14" spans="1:2" ht="87">
      <c r="A14" s="71" t="s">
        <v>545</v>
      </c>
      <c r="B14" s="70" t="s">
        <v>705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N188"/>
  <sheetViews>
    <sheetView tabSelected="1" workbookViewId="0">
      <pane ySplit="1" topLeftCell="A26" activePane="bottomLeft" state="frozen"/>
      <selection activeCell="E1" sqref="E1"/>
      <selection pane="bottomLeft" activeCell="C34" sqref="C34"/>
    </sheetView>
  </sheetViews>
  <sheetFormatPr defaultRowHeight="14.5"/>
  <cols>
    <col min="1" max="1" width="10.453125" customWidth="1"/>
    <col min="2" max="2" width="11.453125" customWidth="1"/>
    <col min="3" max="3" width="38.1796875" style="176" customWidth="1"/>
    <col min="4" max="4" width="27.453125" customWidth="1"/>
    <col min="5" max="5" width="31.1796875" customWidth="1"/>
    <col min="6" max="6" width="20.453125" style="83" customWidth="1"/>
    <col min="7" max="7" width="26.54296875" customWidth="1"/>
    <col min="9" max="9" width="38.453125" customWidth="1"/>
    <col min="10" max="10" width="12.1796875" customWidth="1"/>
    <col min="11" max="11" width="23" customWidth="1"/>
    <col min="12" max="12" width="26.54296875" customWidth="1"/>
    <col min="13" max="13" width="12.1796875" bestFit="1" customWidth="1"/>
  </cols>
  <sheetData>
    <row r="1" spans="1:14" s="102" customFormat="1" ht="39">
      <c r="A1" s="76" t="s">
        <v>396</v>
      </c>
      <c r="B1" s="91" t="s">
        <v>561</v>
      </c>
      <c r="C1" s="77" t="s">
        <v>516</v>
      </c>
      <c r="D1" s="78" t="s">
        <v>517</v>
      </c>
      <c r="E1" s="78" t="s">
        <v>518</v>
      </c>
      <c r="F1" s="99" t="s">
        <v>558</v>
      </c>
      <c r="G1" s="78" t="s">
        <v>562</v>
      </c>
      <c r="H1" s="100" t="s">
        <v>567</v>
      </c>
      <c r="I1" s="78" t="s">
        <v>520</v>
      </c>
      <c r="J1" s="90" t="s">
        <v>3</v>
      </c>
      <c r="K1" s="100" t="s">
        <v>519</v>
      </c>
      <c r="L1" s="101" t="s">
        <v>532</v>
      </c>
      <c r="M1" s="101" t="s">
        <v>1369</v>
      </c>
      <c r="N1" s="101" t="s">
        <v>1370</v>
      </c>
    </row>
    <row r="2" spans="1:14" s="117" customFormat="1" ht="34.5">
      <c r="A2" s="75" t="s">
        <v>1094</v>
      </c>
      <c r="B2" s="92" t="s">
        <v>1095</v>
      </c>
      <c r="C2" s="103" t="s">
        <v>1096</v>
      </c>
      <c r="D2" s="104" t="s">
        <v>7</v>
      </c>
      <c r="E2" s="105" t="str">
        <f>D63</f>
        <v>06.3.2</v>
      </c>
      <c r="F2" s="74" t="s">
        <v>559</v>
      </c>
      <c r="G2" s="105" t="s">
        <v>576</v>
      </c>
      <c r="H2" s="74" t="s">
        <v>645</v>
      </c>
      <c r="I2" s="105" t="s">
        <v>523</v>
      </c>
      <c r="J2" s="106">
        <v>3000</v>
      </c>
      <c r="K2" s="171">
        <v>0.02</v>
      </c>
      <c r="L2" s="105"/>
      <c r="M2" s="105" t="s">
        <v>1371</v>
      </c>
      <c r="N2" s="74" t="s">
        <v>1372</v>
      </c>
    </row>
    <row r="3" spans="1:14" s="117" customFormat="1" ht="34.5">
      <c r="A3" s="75" t="s">
        <v>1097</v>
      </c>
      <c r="B3" s="92" t="s">
        <v>1107</v>
      </c>
      <c r="C3" s="103" t="s">
        <v>1108</v>
      </c>
      <c r="D3" s="104" t="s">
        <v>7</v>
      </c>
      <c r="E3" s="105"/>
      <c r="F3" s="74" t="s">
        <v>559</v>
      </c>
      <c r="G3" s="105" t="s">
        <v>576</v>
      </c>
      <c r="H3" s="74" t="s">
        <v>645</v>
      </c>
      <c r="I3" s="105" t="s">
        <v>523</v>
      </c>
      <c r="J3" s="106">
        <v>5500</v>
      </c>
      <c r="K3" s="171">
        <v>0.02</v>
      </c>
      <c r="L3" s="105"/>
      <c r="M3" s="105" t="s">
        <v>1371</v>
      </c>
      <c r="N3" s="74" t="s">
        <v>1372</v>
      </c>
    </row>
    <row r="4" spans="1:14" s="117" customFormat="1" ht="34.5">
      <c r="A4" s="75" t="s">
        <v>1098</v>
      </c>
      <c r="B4" s="92" t="s">
        <v>1109</v>
      </c>
      <c r="C4" s="108" t="s">
        <v>1110</v>
      </c>
      <c r="D4" s="104" t="s">
        <v>7</v>
      </c>
      <c r="E4" s="74"/>
      <c r="F4" s="74" t="s">
        <v>559</v>
      </c>
      <c r="G4" s="105" t="s">
        <v>576</v>
      </c>
      <c r="H4" s="74" t="s">
        <v>645</v>
      </c>
      <c r="I4" s="105" t="s">
        <v>523</v>
      </c>
      <c r="J4" s="106">
        <v>17000</v>
      </c>
      <c r="K4" s="172">
        <v>0.02</v>
      </c>
      <c r="L4" s="74"/>
      <c r="M4" s="105" t="s">
        <v>1371</v>
      </c>
      <c r="N4" s="74" t="s">
        <v>1372</v>
      </c>
    </row>
    <row r="5" spans="1:14" s="117" customFormat="1" ht="34.5">
      <c r="A5" s="75" t="s">
        <v>1099</v>
      </c>
      <c r="B5" s="92" t="s">
        <v>1115</v>
      </c>
      <c r="C5" s="108" t="s">
        <v>1116</v>
      </c>
      <c r="D5" s="104" t="s">
        <v>7</v>
      </c>
      <c r="E5" s="74"/>
      <c r="F5" s="74" t="s">
        <v>559</v>
      </c>
      <c r="G5" s="105" t="s">
        <v>576</v>
      </c>
      <c r="H5" s="74" t="s">
        <v>645</v>
      </c>
      <c r="I5" s="105" t="s">
        <v>530</v>
      </c>
      <c r="J5" s="106">
        <v>8500</v>
      </c>
      <c r="K5" s="172">
        <v>0.25</v>
      </c>
      <c r="L5" s="74"/>
      <c r="M5" s="105" t="s">
        <v>1371</v>
      </c>
      <c r="N5" s="74" t="s">
        <v>1372</v>
      </c>
    </row>
    <row r="6" spans="1:14" s="117" customFormat="1" ht="34.5">
      <c r="A6" s="75" t="s">
        <v>1100</v>
      </c>
      <c r="B6" s="92"/>
      <c r="C6" s="108" t="s">
        <v>1111</v>
      </c>
      <c r="D6" s="104" t="s">
        <v>7</v>
      </c>
      <c r="E6" s="74"/>
      <c r="F6" s="74" t="s">
        <v>559</v>
      </c>
      <c r="G6" s="74" t="s">
        <v>579</v>
      </c>
      <c r="H6" s="74"/>
      <c r="I6" s="74" t="s">
        <v>572</v>
      </c>
      <c r="J6" s="106">
        <v>68734.48</v>
      </c>
      <c r="K6" s="172">
        <v>0.02</v>
      </c>
      <c r="L6" s="74" t="s">
        <v>1112</v>
      </c>
      <c r="M6" s="105" t="s">
        <v>1371</v>
      </c>
      <c r="N6" s="74" t="s">
        <v>1373</v>
      </c>
    </row>
    <row r="7" spans="1:14" s="117" customFormat="1" ht="34.5">
      <c r="A7" s="75" t="s">
        <v>1101</v>
      </c>
      <c r="B7" s="92"/>
      <c r="C7" s="108" t="s">
        <v>1113</v>
      </c>
      <c r="D7" s="104" t="s">
        <v>7</v>
      </c>
      <c r="E7" s="74" t="str">
        <f>D52</f>
        <v>06.1.2</v>
      </c>
      <c r="F7" s="74" t="s">
        <v>559</v>
      </c>
      <c r="G7" s="74" t="s">
        <v>577</v>
      </c>
      <c r="H7" s="74"/>
      <c r="I7" s="74" t="s">
        <v>572</v>
      </c>
      <c r="J7" s="106">
        <v>17938.25</v>
      </c>
      <c r="K7" s="172">
        <v>0.02</v>
      </c>
      <c r="L7" s="74"/>
      <c r="M7" s="105" t="s">
        <v>1371</v>
      </c>
      <c r="N7" s="74" t="s">
        <v>1373</v>
      </c>
    </row>
    <row r="8" spans="1:14" s="117" customFormat="1" ht="46">
      <c r="A8" s="75" t="s">
        <v>1102</v>
      </c>
      <c r="B8" s="92"/>
      <c r="C8" s="108" t="s">
        <v>1117</v>
      </c>
      <c r="D8" s="109" t="s">
        <v>16</v>
      </c>
      <c r="E8" s="74"/>
      <c r="F8" s="74" t="s">
        <v>559</v>
      </c>
      <c r="G8" s="74" t="s">
        <v>543</v>
      </c>
      <c r="H8" s="74"/>
      <c r="I8" s="74" t="s">
        <v>530</v>
      </c>
      <c r="J8" s="106"/>
      <c r="K8" s="172">
        <v>0.25</v>
      </c>
      <c r="L8" s="74" t="s">
        <v>1118</v>
      </c>
      <c r="M8" s="105" t="s">
        <v>1371</v>
      </c>
      <c r="N8" s="74" t="s">
        <v>1372</v>
      </c>
    </row>
    <row r="9" spans="1:14" s="117" customFormat="1" ht="34.5">
      <c r="A9" s="75" t="s">
        <v>1103</v>
      </c>
      <c r="B9" s="92"/>
      <c r="C9" s="108" t="s">
        <v>725</v>
      </c>
      <c r="D9" s="109" t="s">
        <v>18</v>
      </c>
      <c r="E9" s="74"/>
      <c r="F9" s="74" t="s">
        <v>559</v>
      </c>
      <c r="G9" s="74" t="s">
        <v>543</v>
      </c>
      <c r="H9" s="74"/>
      <c r="I9" s="74" t="s">
        <v>543</v>
      </c>
      <c r="J9" s="106"/>
      <c r="K9" s="172">
        <v>0.25</v>
      </c>
      <c r="L9" s="74" t="s">
        <v>1119</v>
      </c>
      <c r="M9" s="105" t="s">
        <v>1371</v>
      </c>
      <c r="N9" s="74" t="s">
        <v>1372</v>
      </c>
    </row>
    <row r="10" spans="1:14" s="117" customFormat="1" ht="23">
      <c r="A10" s="75" t="s">
        <v>1104</v>
      </c>
      <c r="B10" s="92"/>
      <c r="C10" s="108" t="s">
        <v>726</v>
      </c>
      <c r="D10" s="109" t="s">
        <v>21</v>
      </c>
      <c r="E10" s="74" t="str">
        <f>D79</f>
        <v>08.1.3</v>
      </c>
      <c r="F10" s="74" t="s">
        <v>559</v>
      </c>
      <c r="G10" s="74" t="s">
        <v>543</v>
      </c>
      <c r="H10" s="74"/>
      <c r="I10" s="74" t="s">
        <v>526</v>
      </c>
      <c r="J10" s="106"/>
      <c r="K10" s="172">
        <v>0.25</v>
      </c>
      <c r="L10" s="74" t="s">
        <v>1118</v>
      </c>
      <c r="M10" s="105" t="s">
        <v>1371</v>
      </c>
      <c r="N10" s="74" t="s">
        <v>1372</v>
      </c>
    </row>
    <row r="11" spans="1:14" s="117" customFormat="1" ht="46">
      <c r="A11" s="75" t="s">
        <v>1105</v>
      </c>
      <c r="B11" s="92"/>
      <c r="C11" s="108" t="s">
        <v>727</v>
      </c>
      <c r="D11" s="109" t="s">
        <v>21</v>
      </c>
      <c r="E11" s="74"/>
      <c r="F11" s="74" t="s">
        <v>559</v>
      </c>
      <c r="G11" s="74" t="s">
        <v>543</v>
      </c>
      <c r="H11" s="74"/>
      <c r="I11" s="74" t="s">
        <v>527</v>
      </c>
      <c r="J11" s="106"/>
      <c r="K11" s="172">
        <v>0.25</v>
      </c>
      <c r="L11" s="74" t="s">
        <v>1120</v>
      </c>
      <c r="M11" s="105" t="s">
        <v>1371</v>
      </c>
      <c r="N11" s="74" t="s">
        <v>1372</v>
      </c>
    </row>
    <row r="12" spans="1:14" s="117" customFormat="1" ht="34.5">
      <c r="A12" s="75" t="s">
        <v>1106</v>
      </c>
      <c r="B12" s="92"/>
      <c r="C12" s="108" t="s">
        <v>728</v>
      </c>
      <c r="D12" s="109" t="s">
        <v>23</v>
      </c>
      <c r="E12" s="74"/>
      <c r="F12" s="74" t="s">
        <v>559</v>
      </c>
      <c r="G12" s="74" t="s">
        <v>543</v>
      </c>
      <c r="H12" s="74"/>
      <c r="I12" s="74" t="s">
        <v>527</v>
      </c>
      <c r="J12" s="106"/>
      <c r="K12" s="172">
        <v>0.25</v>
      </c>
      <c r="L12" s="74" t="s">
        <v>1120</v>
      </c>
      <c r="M12" s="105" t="s">
        <v>1371</v>
      </c>
      <c r="N12" s="74" t="s">
        <v>1372</v>
      </c>
    </row>
    <row r="13" spans="1:14" s="117" customFormat="1" ht="34.5">
      <c r="A13" s="75" t="s">
        <v>1114</v>
      </c>
      <c r="B13" s="92"/>
      <c r="C13" s="108" t="s">
        <v>730</v>
      </c>
      <c r="D13" s="109" t="s">
        <v>25</v>
      </c>
      <c r="E13" s="74"/>
      <c r="F13" s="74" t="s">
        <v>559</v>
      </c>
      <c r="G13" s="74" t="s">
        <v>543</v>
      </c>
      <c r="H13" s="74"/>
      <c r="I13" s="74" t="s">
        <v>526</v>
      </c>
      <c r="J13" s="106"/>
      <c r="K13" s="172">
        <v>0.25</v>
      </c>
      <c r="L13" s="74" t="s">
        <v>1120</v>
      </c>
      <c r="M13" s="105" t="s">
        <v>1371</v>
      </c>
      <c r="N13" s="74" t="s">
        <v>1372</v>
      </c>
    </row>
    <row r="14" spans="1:14" s="117" customFormat="1" ht="46.5" customHeight="1">
      <c r="A14" s="75" t="s">
        <v>1121</v>
      </c>
      <c r="B14" s="92"/>
      <c r="C14" s="108" t="s">
        <v>731</v>
      </c>
      <c r="D14" s="109" t="s">
        <v>29</v>
      </c>
      <c r="E14" s="74"/>
      <c r="F14" s="74" t="s">
        <v>559</v>
      </c>
      <c r="G14" s="74" t="s">
        <v>543</v>
      </c>
      <c r="H14" s="74"/>
      <c r="I14" s="74" t="s">
        <v>526</v>
      </c>
      <c r="J14" s="106"/>
      <c r="K14" s="172">
        <v>0.25</v>
      </c>
      <c r="L14" s="74" t="s">
        <v>1120</v>
      </c>
      <c r="M14" s="105" t="s">
        <v>1371</v>
      </c>
      <c r="N14" s="74" t="s">
        <v>1372</v>
      </c>
    </row>
    <row r="15" spans="1:14" s="117" customFormat="1" ht="23">
      <c r="A15" s="75" t="s">
        <v>1122</v>
      </c>
      <c r="B15" s="92" t="s">
        <v>1129</v>
      </c>
      <c r="C15" s="108" t="s">
        <v>1128</v>
      </c>
      <c r="D15" s="109" t="s">
        <v>34</v>
      </c>
      <c r="E15" s="74"/>
      <c r="F15" s="74" t="s">
        <v>559</v>
      </c>
      <c r="G15" s="74" t="s">
        <v>576</v>
      </c>
      <c r="H15" s="74"/>
      <c r="I15" s="74" t="s">
        <v>522</v>
      </c>
      <c r="J15" s="106">
        <v>15000</v>
      </c>
      <c r="K15" s="172">
        <v>0.25</v>
      </c>
      <c r="L15" s="74"/>
      <c r="M15" s="105" t="s">
        <v>1371</v>
      </c>
      <c r="N15" s="74" t="s">
        <v>1372</v>
      </c>
    </row>
    <row r="16" spans="1:14" s="117" customFormat="1" ht="23">
      <c r="A16" s="75" t="s">
        <v>1123</v>
      </c>
      <c r="B16" s="92"/>
      <c r="C16" s="108" t="s">
        <v>1130</v>
      </c>
      <c r="D16" s="109" t="s">
        <v>34</v>
      </c>
      <c r="E16" s="74"/>
      <c r="F16" s="74" t="s">
        <v>559</v>
      </c>
      <c r="G16" s="74" t="s">
        <v>576</v>
      </c>
      <c r="H16" s="74"/>
      <c r="I16" s="74" t="s">
        <v>522</v>
      </c>
      <c r="J16" s="106">
        <v>15000</v>
      </c>
      <c r="K16" s="172">
        <v>0.33</v>
      </c>
      <c r="L16" s="74" t="s">
        <v>1131</v>
      </c>
      <c r="M16" s="105" t="s">
        <v>1371</v>
      </c>
      <c r="N16" s="74" t="s">
        <v>1373</v>
      </c>
    </row>
    <row r="17" spans="1:14" s="117" customFormat="1" ht="34.5">
      <c r="A17" s="75" t="s">
        <v>1124</v>
      </c>
      <c r="B17" s="92"/>
      <c r="C17" s="108" t="s">
        <v>736</v>
      </c>
      <c r="D17" s="109" t="s">
        <v>36</v>
      </c>
      <c r="E17" s="74"/>
      <c r="F17" s="74" t="s">
        <v>559</v>
      </c>
      <c r="G17" s="74" t="s">
        <v>543</v>
      </c>
      <c r="H17" s="74"/>
      <c r="I17" s="74" t="s">
        <v>543</v>
      </c>
      <c r="J17" s="106"/>
      <c r="K17" s="172">
        <v>0.25</v>
      </c>
      <c r="L17" s="74" t="s">
        <v>1118</v>
      </c>
      <c r="M17" s="105" t="s">
        <v>1371</v>
      </c>
      <c r="N17" s="74" t="s">
        <v>1372</v>
      </c>
    </row>
    <row r="18" spans="1:14" s="117" customFormat="1" ht="34.5">
      <c r="A18" s="75" t="s">
        <v>1125</v>
      </c>
      <c r="B18" s="92"/>
      <c r="C18" s="108" t="s">
        <v>1132</v>
      </c>
      <c r="D18" s="109" t="s">
        <v>44</v>
      </c>
      <c r="E18" s="74"/>
      <c r="F18" s="74" t="s">
        <v>559</v>
      </c>
      <c r="G18" s="74" t="s">
        <v>543</v>
      </c>
      <c r="H18" s="74"/>
      <c r="I18" s="74" t="s">
        <v>572</v>
      </c>
      <c r="J18" s="106"/>
      <c r="K18" s="172">
        <v>0.25</v>
      </c>
      <c r="L18" s="74" t="s">
        <v>1118</v>
      </c>
      <c r="M18" s="105" t="s">
        <v>1371</v>
      </c>
      <c r="N18" s="74" t="s">
        <v>1372</v>
      </c>
    </row>
    <row r="19" spans="1:14" s="117" customFormat="1" ht="34.5">
      <c r="A19" s="75" t="s">
        <v>1355</v>
      </c>
      <c r="B19" s="92"/>
      <c r="C19" s="108" t="s">
        <v>745</v>
      </c>
      <c r="D19" s="109" t="s">
        <v>44</v>
      </c>
      <c r="E19" s="74"/>
      <c r="F19" s="74" t="s">
        <v>559</v>
      </c>
      <c r="G19" s="74" t="s">
        <v>543</v>
      </c>
      <c r="H19" s="74"/>
      <c r="I19" s="74" t="s">
        <v>572</v>
      </c>
      <c r="J19" s="106"/>
      <c r="K19" s="172">
        <v>0.25</v>
      </c>
      <c r="L19" s="74" t="s">
        <v>1118</v>
      </c>
      <c r="M19" s="105" t="s">
        <v>1371</v>
      </c>
      <c r="N19" s="74" t="s">
        <v>1372</v>
      </c>
    </row>
    <row r="20" spans="1:14" s="117" customFormat="1" ht="23">
      <c r="A20" s="75" t="s">
        <v>1126</v>
      </c>
      <c r="B20" s="92"/>
      <c r="C20" s="108" t="s">
        <v>1141</v>
      </c>
      <c r="D20" s="109" t="s">
        <v>51</v>
      </c>
      <c r="E20" s="74"/>
      <c r="F20" s="74" t="s">
        <v>559</v>
      </c>
      <c r="G20" s="74" t="s">
        <v>543</v>
      </c>
      <c r="H20" s="74"/>
      <c r="I20" s="74" t="s">
        <v>522</v>
      </c>
      <c r="J20" s="106"/>
      <c r="K20" s="172">
        <v>0.25</v>
      </c>
      <c r="L20" s="74" t="s">
        <v>1120</v>
      </c>
      <c r="M20" s="105" t="s">
        <v>1371</v>
      </c>
      <c r="N20" s="74" t="s">
        <v>1372</v>
      </c>
    </row>
    <row r="21" spans="1:14" s="117" customFormat="1" ht="46">
      <c r="A21" s="75" t="s">
        <v>1127</v>
      </c>
      <c r="B21" s="92"/>
      <c r="C21" s="108" t="s">
        <v>1142</v>
      </c>
      <c r="D21" s="109" t="s">
        <v>51</v>
      </c>
      <c r="E21" s="74"/>
      <c r="F21" s="74" t="s">
        <v>559</v>
      </c>
      <c r="G21" s="74" t="s">
        <v>543</v>
      </c>
      <c r="H21" s="74"/>
      <c r="I21" s="74" t="s">
        <v>543</v>
      </c>
      <c r="J21" s="106"/>
      <c r="K21" s="172">
        <v>0.25</v>
      </c>
      <c r="L21" s="74" t="s">
        <v>1118</v>
      </c>
      <c r="M21" s="105" t="s">
        <v>1371</v>
      </c>
      <c r="N21" s="74" t="s">
        <v>1372</v>
      </c>
    </row>
    <row r="22" spans="1:14" s="117" customFormat="1" ht="23">
      <c r="A22" s="75" t="s">
        <v>1134</v>
      </c>
      <c r="B22" s="92"/>
      <c r="C22" s="108" t="s">
        <v>752</v>
      </c>
      <c r="D22" s="109" t="s">
        <v>53</v>
      </c>
      <c r="E22" s="74"/>
      <c r="F22" s="74" t="s">
        <v>559</v>
      </c>
      <c r="G22" s="74" t="s">
        <v>543</v>
      </c>
      <c r="H22" s="74"/>
      <c r="I22" s="74" t="s">
        <v>543</v>
      </c>
      <c r="J22" s="106"/>
      <c r="K22" s="172">
        <v>0.25</v>
      </c>
      <c r="L22" s="74" t="s">
        <v>1120</v>
      </c>
      <c r="M22" s="105" t="s">
        <v>1371</v>
      </c>
      <c r="N22" s="74" t="s">
        <v>1372</v>
      </c>
    </row>
    <row r="23" spans="1:14" s="117" customFormat="1" ht="50.15" customHeight="1">
      <c r="A23" s="75" t="s">
        <v>1135</v>
      </c>
      <c r="B23" s="92"/>
      <c r="C23" s="108" t="s">
        <v>755</v>
      </c>
      <c r="D23" s="109" t="s">
        <v>55</v>
      </c>
      <c r="E23" s="74"/>
      <c r="F23" s="74" t="s">
        <v>559</v>
      </c>
      <c r="G23" s="74" t="s">
        <v>543</v>
      </c>
      <c r="H23" s="74"/>
      <c r="I23" s="74" t="s">
        <v>543</v>
      </c>
      <c r="J23" s="106"/>
      <c r="K23" s="172">
        <v>0.25</v>
      </c>
      <c r="L23" s="74" t="s">
        <v>1120</v>
      </c>
      <c r="M23" s="105" t="s">
        <v>1371</v>
      </c>
      <c r="N23" s="74" t="s">
        <v>1372</v>
      </c>
    </row>
    <row r="24" spans="1:14" s="117" customFormat="1" ht="34.5">
      <c r="A24" s="75" t="s">
        <v>1136</v>
      </c>
      <c r="B24" s="92"/>
      <c r="C24" s="108" t="s">
        <v>758</v>
      </c>
      <c r="D24" s="109" t="s">
        <v>59</v>
      </c>
      <c r="E24" s="74"/>
      <c r="F24" s="74" t="s">
        <v>559</v>
      </c>
      <c r="G24" s="74" t="s">
        <v>543</v>
      </c>
      <c r="H24" s="74"/>
      <c r="I24" s="74" t="s">
        <v>543</v>
      </c>
      <c r="J24" s="106"/>
      <c r="K24" s="172">
        <v>0.25</v>
      </c>
      <c r="L24" s="74" t="s">
        <v>1120</v>
      </c>
      <c r="M24" s="105" t="s">
        <v>1371</v>
      </c>
      <c r="N24" s="74" t="s">
        <v>1372</v>
      </c>
    </row>
    <row r="25" spans="1:14" s="117" customFormat="1" ht="23">
      <c r="A25" s="75" t="s">
        <v>1137</v>
      </c>
      <c r="B25" s="92"/>
      <c r="C25" s="108" t="s">
        <v>761</v>
      </c>
      <c r="D25" s="109" t="s">
        <v>61</v>
      </c>
      <c r="E25" s="74"/>
      <c r="F25" s="74" t="s">
        <v>559</v>
      </c>
      <c r="G25" s="74" t="s">
        <v>543</v>
      </c>
      <c r="H25" s="74"/>
      <c r="I25" s="74" t="s">
        <v>543</v>
      </c>
      <c r="J25" s="106"/>
      <c r="K25" s="172">
        <v>0.25</v>
      </c>
      <c r="L25" s="74" t="s">
        <v>1120</v>
      </c>
      <c r="M25" s="105" t="s">
        <v>1371</v>
      </c>
      <c r="N25" s="74" t="s">
        <v>1372</v>
      </c>
    </row>
    <row r="26" spans="1:14" s="117" customFormat="1" ht="46">
      <c r="A26" s="75" t="s">
        <v>1138</v>
      </c>
      <c r="B26" s="92"/>
      <c r="C26" s="108" t="s">
        <v>762</v>
      </c>
      <c r="D26" s="109" t="s">
        <v>63</v>
      </c>
      <c r="E26" s="74"/>
      <c r="F26" s="74" t="s">
        <v>559</v>
      </c>
      <c r="G26" s="74" t="s">
        <v>543</v>
      </c>
      <c r="H26" s="74"/>
      <c r="I26" s="74" t="s">
        <v>543</v>
      </c>
      <c r="J26" s="106"/>
      <c r="K26" s="172">
        <v>0.25</v>
      </c>
      <c r="L26" s="74" t="s">
        <v>1120</v>
      </c>
      <c r="M26" s="105" t="s">
        <v>1371</v>
      </c>
      <c r="N26" s="74" t="s">
        <v>1372</v>
      </c>
    </row>
    <row r="27" spans="1:14" s="117" customFormat="1" ht="23">
      <c r="A27" s="75" t="s">
        <v>1139</v>
      </c>
      <c r="B27" s="92"/>
      <c r="C27" s="108" t="s">
        <v>764</v>
      </c>
      <c r="D27" s="109" t="s">
        <v>66</v>
      </c>
      <c r="E27" s="74"/>
      <c r="F27" s="74" t="s">
        <v>559</v>
      </c>
      <c r="G27" s="74" t="s">
        <v>543</v>
      </c>
      <c r="H27" s="74"/>
      <c r="I27" s="74" t="s">
        <v>543</v>
      </c>
      <c r="J27" s="106"/>
      <c r="K27" s="172">
        <v>0.25</v>
      </c>
      <c r="L27" s="74" t="s">
        <v>1120</v>
      </c>
      <c r="M27" s="105" t="s">
        <v>1371</v>
      </c>
      <c r="N27" s="74" t="s">
        <v>1372</v>
      </c>
    </row>
    <row r="28" spans="1:14" s="117" customFormat="1" ht="37.5" customHeight="1">
      <c r="A28" s="75" t="s">
        <v>1140</v>
      </c>
      <c r="B28" s="92"/>
      <c r="C28" s="108" t="s">
        <v>1356</v>
      </c>
      <c r="D28" s="109" t="s">
        <v>66</v>
      </c>
      <c r="E28" s="74"/>
      <c r="F28" s="74" t="s">
        <v>559</v>
      </c>
      <c r="G28" s="74" t="s">
        <v>543</v>
      </c>
      <c r="H28" s="74"/>
      <c r="I28" s="74" t="s">
        <v>543</v>
      </c>
      <c r="J28" s="106"/>
      <c r="K28" s="172">
        <v>0.25</v>
      </c>
      <c r="L28" s="74" t="s">
        <v>1120</v>
      </c>
      <c r="M28" s="105" t="s">
        <v>1371</v>
      </c>
      <c r="N28" s="74" t="s">
        <v>1372</v>
      </c>
    </row>
    <row r="29" spans="1:14" s="117" customFormat="1" ht="23">
      <c r="A29" s="75" t="s">
        <v>1143</v>
      </c>
      <c r="B29" s="92"/>
      <c r="C29" s="108" t="s">
        <v>766</v>
      </c>
      <c r="D29" s="109" t="s">
        <v>66</v>
      </c>
      <c r="E29" s="74"/>
      <c r="F29" s="74" t="s">
        <v>559</v>
      </c>
      <c r="G29" s="74" t="s">
        <v>543</v>
      </c>
      <c r="H29" s="74"/>
      <c r="I29" s="74" t="s">
        <v>543</v>
      </c>
      <c r="J29" s="106"/>
      <c r="K29" s="172">
        <v>0.25</v>
      </c>
      <c r="L29" s="74" t="s">
        <v>1120</v>
      </c>
      <c r="M29" s="105" t="s">
        <v>1371</v>
      </c>
      <c r="N29" s="74" t="s">
        <v>1372</v>
      </c>
    </row>
    <row r="30" spans="1:14" s="117" customFormat="1" ht="23">
      <c r="A30" s="75" t="s">
        <v>1144</v>
      </c>
      <c r="B30" s="92"/>
      <c r="C30" s="108" t="s">
        <v>767</v>
      </c>
      <c r="D30" s="109" t="s">
        <v>66</v>
      </c>
      <c r="E30" s="74"/>
      <c r="F30" s="74" t="s">
        <v>559</v>
      </c>
      <c r="G30" s="74" t="s">
        <v>543</v>
      </c>
      <c r="H30" s="74"/>
      <c r="I30" s="74" t="s">
        <v>543</v>
      </c>
      <c r="J30" s="106"/>
      <c r="K30" s="172">
        <v>0.25</v>
      </c>
      <c r="L30" s="74" t="s">
        <v>1118</v>
      </c>
      <c r="M30" s="105" t="s">
        <v>1371</v>
      </c>
      <c r="N30" s="74" t="s">
        <v>1372</v>
      </c>
    </row>
    <row r="31" spans="1:14" s="117" customFormat="1" ht="34.5">
      <c r="A31" s="75" t="s">
        <v>1145</v>
      </c>
      <c r="B31" s="92"/>
      <c r="C31" s="108" t="s">
        <v>768</v>
      </c>
      <c r="D31" s="109" t="s">
        <v>69</v>
      </c>
      <c r="E31" s="74"/>
      <c r="F31" s="74" t="s">
        <v>559</v>
      </c>
      <c r="G31" s="74" t="s">
        <v>543</v>
      </c>
      <c r="H31" s="74"/>
      <c r="I31" s="74" t="s">
        <v>543</v>
      </c>
      <c r="J31" s="106"/>
      <c r="K31" s="172">
        <v>0.25</v>
      </c>
      <c r="L31" s="74" t="s">
        <v>1120</v>
      </c>
      <c r="M31" s="105" t="s">
        <v>1371</v>
      </c>
      <c r="N31" s="74" t="s">
        <v>1372</v>
      </c>
    </row>
    <row r="32" spans="1:14" s="117" customFormat="1" ht="33.65" customHeight="1">
      <c r="A32" s="75" t="s">
        <v>1146</v>
      </c>
      <c r="B32" s="92"/>
      <c r="C32" s="108" t="s">
        <v>1148</v>
      </c>
      <c r="D32" s="109" t="s">
        <v>77</v>
      </c>
      <c r="E32" s="74"/>
      <c r="F32" s="74" t="s">
        <v>559</v>
      </c>
      <c r="G32" s="74" t="s">
        <v>543</v>
      </c>
      <c r="H32" s="74"/>
      <c r="I32" s="74" t="s">
        <v>543</v>
      </c>
      <c r="J32" s="106"/>
      <c r="K32" s="172">
        <v>0.25</v>
      </c>
      <c r="L32" s="74" t="s">
        <v>1120</v>
      </c>
      <c r="M32" s="105" t="s">
        <v>1371</v>
      </c>
      <c r="N32" s="74" t="s">
        <v>1372</v>
      </c>
    </row>
    <row r="33" spans="1:14" s="117" customFormat="1" ht="33.65" customHeight="1">
      <c r="A33" s="75" t="s">
        <v>1147</v>
      </c>
      <c r="B33" s="92" t="s">
        <v>1343</v>
      </c>
      <c r="C33" s="108" t="s">
        <v>1342</v>
      </c>
      <c r="D33" s="109"/>
      <c r="E33" s="74" t="str">
        <f>D103</f>
        <v>11.7.2</v>
      </c>
      <c r="F33" s="74" t="s">
        <v>559</v>
      </c>
      <c r="G33" s="74" t="s">
        <v>576</v>
      </c>
      <c r="H33" s="74" t="s">
        <v>645</v>
      </c>
      <c r="I33" s="74" t="s">
        <v>543</v>
      </c>
      <c r="J33" s="106">
        <v>2100</v>
      </c>
      <c r="K33" s="172">
        <v>0.25</v>
      </c>
      <c r="L33" s="74"/>
      <c r="M33" s="105" t="s">
        <v>1371</v>
      </c>
      <c r="N33" s="74" t="s">
        <v>1372</v>
      </c>
    </row>
    <row r="34" spans="1:14" s="117" customFormat="1" ht="33.65" customHeight="1">
      <c r="A34" s="75" t="s">
        <v>1378</v>
      </c>
      <c r="B34" s="92"/>
      <c r="C34" s="108" t="s">
        <v>1379</v>
      </c>
      <c r="D34" s="109" t="s">
        <v>66</v>
      </c>
      <c r="E34" s="74"/>
      <c r="F34" s="74" t="s">
        <v>559</v>
      </c>
      <c r="G34" s="74" t="s">
        <v>543</v>
      </c>
      <c r="H34" s="74"/>
      <c r="I34" s="74" t="s">
        <v>543</v>
      </c>
      <c r="J34" s="106"/>
      <c r="K34" s="172">
        <v>0.33</v>
      </c>
      <c r="L34" s="74" t="s">
        <v>1120</v>
      </c>
      <c r="M34" s="105" t="s">
        <v>1371</v>
      </c>
      <c r="N34" s="74" t="s">
        <v>1372</v>
      </c>
    </row>
    <row r="35" spans="1:14" s="117" customFormat="1" ht="34.5">
      <c r="A35" s="84" t="s">
        <v>1191</v>
      </c>
      <c r="B35" s="93"/>
      <c r="C35" s="118" t="s">
        <v>780</v>
      </c>
      <c r="D35" s="118" t="s">
        <v>91</v>
      </c>
      <c r="E35" s="110"/>
      <c r="F35" s="79" t="s">
        <v>552</v>
      </c>
      <c r="G35" s="121" t="s">
        <v>543</v>
      </c>
      <c r="H35" s="79"/>
      <c r="I35" s="121" t="s">
        <v>543</v>
      </c>
      <c r="J35" s="119"/>
      <c r="K35" s="174">
        <v>0.25</v>
      </c>
      <c r="L35" s="79" t="s">
        <v>1120</v>
      </c>
      <c r="M35" s="79" t="s">
        <v>1371</v>
      </c>
      <c r="N35" s="79" t="s">
        <v>1373</v>
      </c>
    </row>
    <row r="36" spans="1:14" s="117" customFormat="1" ht="23">
      <c r="A36" s="84" t="s">
        <v>1192</v>
      </c>
      <c r="B36" s="93"/>
      <c r="C36" s="120" t="s">
        <v>781</v>
      </c>
      <c r="D36" s="118" t="s">
        <v>91</v>
      </c>
      <c r="E36" s="111"/>
      <c r="F36" s="79" t="s">
        <v>552</v>
      </c>
      <c r="G36" s="121" t="s">
        <v>543</v>
      </c>
      <c r="H36" s="79"/>
      <c r="I36" s="121" t="s">
        <v>543</v>
      </c>
      <c r="J36" s="119"/>
      <c r="K36" s="174">
        <v>0.25</v>
      </c>
      <c r="L36" s="79" t="s">
        <v>1120</v>
      </c>
      <c r="M36" s="79" t="s">
        <v>1371</v>
      </c>
      <c r="N36" s="79" t="s">
        <v>1372</v>
      </c>
    </row>
    <row r="37" spans="1:14" s="117" customFormat="1" ht="46">
      <c r="A37" s="84" t="s">
        <v>1193</v>
      </c>
      <c r="B37" s="93"/>
      <c r="C37" s="120" t="s">
        <v>1149</v>
      </c>
      <c r="D37" s="118" t="s">
        <v>93</v>
      </c>
      <c r="E37" s="111"/>
      <c r="F37" s="79" t="s">
        <v>552</v>
      </c>
      <c r="G37" s="121" t="s">
        <v>543</v>
      </c>
      <c r="H37" s="79"/>
      <c r="I37" s="121" t="s">
        <v>543</v>
      </c>
      <c r="J37" s="119"/>
      <c r="K37" s="174">
        <v>0.25</v>
      </c>
      <c r="L37" s="79" t="s">
        <v>1120</v>
      </c>
      <c r="M37" s="79" t="s">
        <v>1371</v>
      </c>
      <c r="N37" s="79" t="s">
        <v>1372</v>
      </c>
    </row>
    <row r="38" spans="1:14" s="117" customFormat="1" ht="34.5">
      <c r="A38" s="84" t="s">
        <v>1194</v>
      </c>
      <c r="B38" s="93"/>
      <c r="C38" s="120" t="s">
        <v>1150</v>
      </c>
      <c r="D38" s="118" t="s">
        <v>95</v>
      </c>
      <c r="E38" s="111"/>
      <c r="F38" s="79" t="s">
        <v>552</v>
      </c>
      <c r="G38" s="121" t="s">
        <v>543</v>
      </c>
      <c r="H38" s="79"/>
      <c r="I38" s="121" t="s">
        <v>543</v>
      </c>
      <c r="J38" s="119"/>
      <c r="K38" s="174">
        <v>0.25</v>
      </c>
      <c r="L38" s="79" t="s">
        <v>1151</v>
      </c>
      <c r="M38" s="79" t="s">
        <v>1371</v>
      </c>
      <c r="N38" s="79" t="s">
        <v>1372</v>
      </c>
    </row>
    <row r="39" spans="1:14" s="117" customFormat="1" ht="23">
      <c r="A39" s="84" t="s">
        <v>1195</v>
      </c>
      <c r="B39" s="93"/>
      <c r="C39" s="120" t="s">
        <v>788</v>
      </c>
      <c r="D39" s="118" t="s">
        <v>99</v>
      </c>
      <c r="E39" s="111"/>
      <c r="F39" s="79" t="s">
        <v>552</v>
      </c>
      <c r="G39" s="121" t="s">
        <v>543</v>
      </c>
      <c r="H39" s="79"/>
      <c r="I39" s="121" t="s">
        <v>543</v>
      </c>
      <c r="J39" s="119"/>
      <c r="K39" s="174">
        <v>0.25</v>
      </c>
      <c r="L39" s="79" t="s">
        <v>1120</v>
      </c>
      <c r="M39" s="79" t="s">
        <v>1371</v>
      </c>
      <c r="N39" s="79" t="s">
        <v>1372</v>
      </c>
    </row>
    <row r="40" spans="1:14" s="117" customFormat="1" ht="23">
      <c r="A40" s="84" t="s">
        <v>1196</v>
      </c>
      <c r="B40" s="93"/>
      <c r="C40" s="120" t="s">
        <v>789</v>
      </c>
      <c r="D40" s="118" t="s">
        <v>100</v>
      </c>
      <c r="E40" s="111"/>
      <c r="F40" s="79" t="s">
        <v>552</v>
      </c>
      <c r="G40" s="121" t="s">
        <v>543</v>
      </c>
      <c r="H40" s="79"/>
      <c r="I40" s="121" t="s">
        <v>543</v>
      </c>
      <c r="J40" s="119"/>
      <c r="K40" s="174">
        <v>0.25</v>
      </c>
      <c r="L40" s="79" t="s">
        <v>1151</v>
      </c>
      <c r="M40" s="79" t="s">
        <v>1371</v>
      </c>
      <c r="N40" s="79" t="s">
        <v>1372</v>
      </c>
    </row>
    <row r="41" spans="1:14" s="117" customFormat="1" ht="34.5">
      <c r="A41" s="84" t="s">
        <v>1197</v>
      </c>
      <c r="B41" s="93"/>
      <c r="C41" s="120" t="s">
        <v>791</v>
      </c>
      <c r="D41" s="118" t="s">
        <v>102</v>
      </c>
      <c r="E41" s="111"/>
      <c r="F41" s="79" t="s">
        <v>552</v>
      </c>
      <c r="G41" s="121" t="s">
        <v>543</v>
      </c>
      <c r="H41" s="79"/>
      <c r="I41" s="121" t="s">
        <v>543</v>
      </c>
      <c r="J41" s="119"/>
      <c r="K41" s="174">
        <v>0.25</v>
      </c>
      <c r="L41" s="79" t="s">
        <v>1151</v>
      </c>
      <c r="M41" s="79" t="s">
        <v>1371</v>
      </c>
      <c r="N41" s="79" t="s">
        <v>1372</v>
      </c>
    </row>
    <row r="42" spans="1:14" s="117" customFormat="1" ht="23">
      <c r="A42" s="84" t="s">
        <v>1198</v>
      </c>
      <c r="B42" s="93"/>
      <c r="C42" s="120" t="s">
        <v>1357</v>
      </c>
      <c r="D42" s="118" t="s">
        <v>103</v>
      </c>
      <c r="E42" s="111"/>
      <c r="F42" s="79" t="s">
        <v>552</v>
      </c>
      <c r="G42" s="121" t="s">
        <v>543</v>
      </c>
      <c r="H42" s="79"/>
      <c r="I42" s="121" t="s">
        <v>543</v>
      </c>
      <c r="J42" s="119"/>
      <c r="K42" s="174">
        <v>0.25</v>
      </c>
      <c r="L42" s="79" t="s">
        <v>1151</v>
      </c>
      <c r="M42" s="79" t="s">
        <v>1371</v>
      </c>
      <c r="N42" s="79" t="s">
        <v>1372</v>
      </c>
    </row>
    <row r="43" spans="1:14" s="117" customFormat="1" ht="23">
      <c r="A43" s="84" t="s">
        <v>1199</v>
      </c>
      <c r="B43" s="93"/>
      <c r="C43" s="120" t="s">
        <v>795</v>
      </c>
      <c r="D43" s="118" t="s">
        <v>103</v>
      </c>
      <c r="E43" s="111"/>
      <c r="F43" s="79" t="s">
        <v>552</v>
      </c>
      <c r="G43" s="121" t="s">
        <v>543</v>
      </c>
      <c r="H43" s="79"/>
      <c r="I43" s="121" t="s">
        <v>543</v>
      </c>
      <c r="J43" s="119"/>
      <c r="K43" s="174">
        <v>0.25</v>
      </c>
      <c r="L43" s="79" t="s">
        <v>1151</v>
      </c>
      <c r="M43" s="79" t="s">
        <v>1371</v>
      </c>
      <c r="N43" s="79" t="s">
        <v>1372</v>
      </c>
    </row>
    <row r="44" spans="1:14" s="117" customFormat="1" ht="23">
      <c r="A44" s="84" t="s">
        <v>1200</v>
      </c>
      <c r="B44" s="93"/>
      <c r="C44" s="120" t="s">
        <v>797</v>
      </c>
      <c r="D44" s="120" t="s">
        <v>106</v>
      </c>
      <c r="E44" s="111"/>
      <c r="F44" s="79" t="s">
        <v>552</v>
      </c>
      <c r="G44" s="121" t="s">
        <v>543</v>
      </c>
      <c r="H44" s="79"/>
      <c r="I44" s="121" t="s">
        <v>543</v>
      </c>
      <c r="J44" s="119"/>
      <c r="K44" s="174">
        <v>0.25</v>
      </c>
      <c r="L44" s="79" t="s">
        <v>1120</v>
      </c>
      <c r="M44" s="79" t="s">
        <v>1371</v>
      </c>
      <c r="N44" s="79" t="s">
        <v>1372</v>
      </c>
    </row>
    <row r="45" spans="1:14" s="117" customFormat="1" ht="23">
      <c r="A45" s="84" t="s">
        <v>1201</v>
      </c>
      <c r="B45" s="93"/>
      <c r="C45" s="120" t="s">
        <v>798</v>
      </c>
      <c r="D45" s="120" t="s">
        <v>108</v>
      </c>
      <c r="E45" s="111"/>
      <c r="F45" s="79" t="s">
        <v>552</v>
      </c>
      <c r="G45" s="121" t="s">
        <v>543</v>
      </c>
      <c r="H45" s="79"/>
      <c r="I45" s="121" t="s">
        <v>543</v>
      </c>
      <c r="J45" s="119"/>
      <c r="K45" s="174">
        <v>0.25</v>
      </c>
      <c r="L45" s="79" t="s">
        <v>1120</v>
      </c>
      <c r="M45" s="79" t="s">
        <v>1371</v>
      </c>
      <c r="N45" s="79" t="s">
        <v>1372</v>
      </c>
    </row>
    <row r="46" spans="1:14" s="117" customFormat="1" ht="23">
      <c r="A46" s="84" t="s">
        <v>1202</v>
      </c>
      <c r="B46" s="93"/>
      <c r="C46" s="120" t="s">
        <v>799</v>
      </c>
      <c r="D46" s="120" t="s">
        <v>110</v>
      </c>
      <c r="E46" s="111"/>
      <c r="F46" s="79" t="s">
        <v>552</v>
      </c>
      <c r="G46" s="121" t="s">
        <v>543</v>
      </c>
      <c r="H46" s="79"/>
      <c r="I46" s="121" t="s">
        <v>543</v>
      </c>
      <c r="J46" s="119"/>
      <c r="K46" s="174">
        <v>0.25</v>
      </c>
      <c r="L46" s="79" t="s">
        <v>1120</v>
      </c>
      <c r="M46" s="79" t="s">
        <v>1371</v>
      </c>
      <c r="N46" s="79" t="s">
        <v>1372</v>
      </c>
    </row>
    <row r="47" spans="1:14" s="117" customFormat="1" ht="23">
      <c r="A47" s="84" t="s">
        <v>1203</v>
      </c>
      <c r="B47" s="93"/>
      <c r="C47" s="120" t="s">
        <v>801</v>
      </c>
      <c r="D47" s="120" t="s">
        <v>117</v>
      </c>
      <c r="E47" s="111"/>
      <c r="F47" s="79" t="s">
        <v>552</v>
      </c>
      <c r="G47" s="121" t="s">
        <v>543</v>
      </c>
      <c r="H47" s="79"/>
      <c r="I47" s="121" t="s">
        <v>543</v>
      </c>
      <c r="J47" s="119"/>
      <c r="K47" s="174">
        <v>0.25</v>
      </c>
      <c r="L47" s="79" t="s">
        <v>1151</v>
      </c>
      <c r="M47" s="79" t="s">
        <v>1371</v>
      </c>
      <c r="N47" s="79" t="s">
        <v>1372</v>
      </c>
    </row>
    <row r="48" spans="1:14" s="117" customFormat="1" ht="23">
      <c r="A48" s="84" t="s">
        <v>1204</v>
      </c>
      <c r="B48" s="93"/>
      <c r="C48" s="120" t="s">
        <v>802</v>
      </c>
      <c r="D48" s="120" t="s">
        <v>117</v>
      </c>
      <c r="E48" s="111"/>
      <c r="F48" s="79" t="s">
        <v>552</v>
      </c>
      <c r="G48" s="121" t="s">
        <v>543</v>
      </c>
      <c r="H48" s="79"/>
      <c r="I48" s="121" t="s">
        <v>543</v>
      </c>
      <c r="J48" s="119"/>
      <c r="K48" s="174">
        <v>0.25</v>
      </c>
      <c r="L48" s="79" t="s">
        <v>1120</v>
      </c>
      <c r="M48" s="79" t="s">
        <v>1371</v>
      </c>
      <c r="N48" s="79" t="s">
        <v>1372</v>
      </c>
    </row>
    <row r="49" spans="1:14" s="117" customFormat="1" ht="34.5">
      <c r="A49" s="84" t="s">
        <v>1205</v>
      </c>
      <c r="B49" s="93"/>
      <c r="C49" s="120" t="s">
        <v>1350</v>
      </c>
      <c r="D49" s="120" t="s">
        <v>117</v>
      </c>
      <c r="E49" s="111"/>
      <c r="F49" s="79" t="s">
        <v>552</v>
      </c>
      <c r="G49" s="121" t="s">
        <v>543</v>
      </c>
      <c r="H49" s="79"/>
      <c r="I49" s="121" t="s">
        <v>543</v>
      </c>
      <c r="J49" s="119"/>
      <c r="K49" s="174">
        <v>0.25</v>
      </c>
      <c r="L49" s="79" t="s">
        <v>1120</v>
      </c>
      <c r="M49" s="79" t="s">
        <v>1371</v>
      </c>
      <c r="N49" s="79" t="s">
        <v>1372</v>
      </c>
    </row>
    <row r="50" spans="1:14" s="117" customFormat="1" ht="46">
      <c r="A50" s="85" t="s">
        <v>1206</v>
      </c>
      <c r="B50" s="94"/>
      <c r="C50" s="122" t="s">
        <v>808</v>
      </c>
      <c r="D50" s="123" t="s">
        <v>126</v>
      </c>
      <c r="E50" s="112"/>
      <c r="F50" s="80" t="s">
        <v>553</v>
      </c>
      <c r="G50" s="124" t="s">
        <v>543</v>
      </c>
      <c r="H50" s="80"/>
      <c r="I50" s="124" t="s">
        <v>521</v>
      </c>
      <c r="J50" s="124"/>
      <c r="K50" s="177">
        <v>0.25</v>
      </c>
      <c r="L50" s="80" t="s">
        <v>1120</v>
      </c>
      <c r="M50" s="80" t="s">
        <v>1371</v>
      </c>
      <c r="N50" s="80" t="s">
        <v>1372</v>
      </c>
    </row>
    <row r="51" spans="1:14" s="117" customFormat="1" ht="34.5">
      <c r="A51" s="85" t="s">
        <v>1207</v>
      </c>
      <c r="B51" s="94"/>
      <c r="C51" s="122" t="s">
        <v>1351</v>
      </c>
      <c r="D51" s="123" t="s">
        <v>127</v>
      </c>
      <c r="E51" s="112"/>
      <c r="F51" s="80" t="s">
        <v>553</v>
      </c>
      <c r="G51" s="124" t="s">
        <v>543</v>
      </c>
      <c r="H51" s="80"/>
      <c r="I51" s="122" t="s">
        <v>522</v>
      </c>
      <c r="J51" s="124"/>
      <c r="K51" s="177">
        <v>0.25</v>
      </c>
      <c r="L51" s="80" t="s">
        <v>1120</v>
      </c>
      <c r="M51" s="80" t="s">
        <v>1371</v>
      </c>
      <c r="N51" s="80" t="s">
        <v>1372</v>
      </c>
    </row>
    <row r="52" spans="1:14" s="117" customFormat="1" ht="23">
      <c r="A52" s="85" t="s">
        <v>1208</v>
      </c>
      <c r="B52" s="94"/>
      <c r="C52" s="122" t="s">
        <v>810</v>
      </c>
      <c r="D52" s="123" t="s">
        <v>127</v>
      </c>
      <c r="E52" s="80" t="str">
        <f>D7</f>
        <v>01.1.1</v>
      </c>
      <c r="F52" s="80" t="s">
        <v>553</v>
      </c>
      <c r="G52" s="124" t="s">
        <v>577</v>
      </c>
      <c r="H52" s="80"/>
      <c r="I52" s="124" t="s">
        <v>523</v>
      </c>
      <c r="J52" s="124">
        <f>J7</f>
        <v>17938.25</v>
      </c>
      <c r="K52" s="177">
        <v>0.25</v>
      </c>
      <c r="L52" s="80"/>
      <c r="M52" s="80" t="s">
        <v>1371</v>
      </c>
      <c r="N52" s="80" t="s">
        <v>1373</v>
      </c>
    </row>
    <row r="53" spans="1:14" s="117" customFormat="1" ht="34.5">
      <c r="A53" s="85" t="s">
        <v>1209</v>
      </c>
      <c r="B53" s="94"/>
      <c r="C53" s="122" t="s">
        <v>811</v>
      </c>
      <c r="D53" s="123" t="s">
        <v>130</v>
      </c>
      <c r="E53" s="112"/>
      <c r="F53" s="80" t="s">
        <v>553</v>
      </c>
      <c r="G53" s="124" t="s">
        <v>543</v>
      </c>
      <c r="H53" s="80"/>
      <c r="I53" s="124" t="s">
        <v>543</v>
      </c>
      <c r="J53" s="124"/>
      <c r="K53" s="177">
        <v>0.25</v>
      </c>
      <c r="L53" s="80" t="s">
        <v>1120</v>
      </c>
      <c r="M53" s="80" t="s">
        <v>1371</v>
      </c>
      <c r="N53" s="80" t="s">
        <v>1372</v>
      </c>
    </row>
    <row r="54" spans="1:14" s="117" customFormat="1" ht="57.5">
      <c r="A54" s="85" t="s">
        <v>1210</v>
      </c>
      <c r="B54" s="94"/>
      <c r="C54" s="122" t="s">
        <v>812</v>
      </c>
      <c r="D54" s="123" t="s">
        <v>132</v>
      </c>
      <c r="E54" s="112"/>
      <c r="F54" s="80" t="s">
        <v>553</v>
      </c>
      <c r="G54" s="124" t="s">
        <v>543</v>
      </c>
      <c r="H54" s="80"/>
      <c r="I54" s="124" t="s">
        <v>543</v>
      </c>
      <c r="J54" s="124"/>
      <c r="K54" s="177">
        <v>0.25</v>
      </c>
      <c r="L54" s="80" t="s">
        <v>1120</v>
      </c>
      <c r="M54" s="80" t="s">
        <v>1371</v>
      </c>
      <c r="N54" s="80" t="s">
        <v>1372</v>
      </c>
    </row>
    <row r="55" spans="1:14" s="117" customFormat="1" ht="23">
      <c r="A55" s="85" t="s">
        <v>1211</v>
      </c>
      <c r="B55" s="94"/>
      <c r="C55" s="122" t="s">
        <v>813</v>
      </c>
      <c r="D55" s="123" t="s">
        <v>132</v>
      </c>
      <c r="E55" s="112"/>
      <c r="F55" s="80" t="s">
        <v>553</v>
      </c>
      <c r="G55" s="124" t="s">
        <v>543</v>
      </c>
      <c r="H55" s="80"/>
      <c r="I55" s="124" t="s">
        <v>543</v>
      </c>
      <c r="J55" s="124"/>
      <c r="K55" s="177">
        <v>0.25</v>
      </c>
      <c r="L55" s="80" t="s">
        <v>1120</v>
      </c>
      <c r="M55" s="80" t="s">
        <v>1371</v>
      </c>
      <c r="N55" s="80" t="s">
        <v>1372</v>
      </c>
    </row>
    <row r="56" spans="1:14" s="117" customFormat="1" ht="23">
      <c r="A56" s="85" t="s">
        <v>1212</v>
      </c>
      <c r="B56" s="94"/>
      <c r="C56" s="122" t="s">
        <v>1358</v>
      </c>
      <c r="D56" s="123" t="s">
        <v>132</v>
      </c>
      <c r="E56" s="112"/>
      <c r="F56" s="80" t="s">
        <v>553</v>
      </c>
      <c r="G56" s="124" t="s">
        <v>543</v>
      </c>
      <c r="H56" s="80"/>
      <c r="I56" s="124" t="s">
        <v>543</v>
      </c>
      <c r="J56" s="124"/>
      <c r="K56" s="177">
        <v>0.25</v>
      </c>
      <c r="L56" s="80" t="s">
        <v>1120</v>
      </c>
      <c r="M56" s="80" t="s">
        <v>1371</v>
      </c>
      <c r="N56" s="80" t="s">
        <v>1372</v>
      </c>
    </row>
    <row r="57" spans="1:14" s="117" customFormat="1" ht="34.5">
      <c r="A57" s="85" t="s">
        <v>1213</v>
      </c>
      <c r="B57" s="94"/>
      <c r="C57" s="122" t="s">
        <v>815</v>
      </c>
      <c r="D57" s="123" t="s">
        <v>132</v>
      </c>
      <c r="E57" s="112"/>
      <c r="F57" s="80" t="s">
        <v>553</v>
      </c>
      <c r="G57" s="124" t="s">
        <v>543</v>
      </c>
      <c r="H57" s="112"/>
      <c r="I57" s="122" t="s">
        <v>522</v>
      </c>
      <c r="J57" s="124"/>
      <c r="K57" s="177">
        <v>0.25</v>
      </c>
      <c r="L57" s="80" t="s">
        <v>1120</v>
      </c>
      <c r="M57" s="80" t="s">
        <v>1371</v>
      </c>
      <c r="N57" s="80" t="s">
        <v>1372</v>
      </c>
    </row>
    <row r="58" spans="1:14" s="117" customFormat="1" ht="23">
      <c r="A58" s="85" t="s">
        <v>1214</v>
      </c>
      <c r="B58" s="94"/>
      <c r="C58" s="122" t="s">
        <v>1152</v>
      </c>
      <c r="D58" s="123" t="s">
        <v>132</v>
      </c>
      <c r="E58" s="112"/>
      <c r="F58" s="80" t="s">
        <v>553</v>
      </c>
      <c r="G58" s="124" t="s">
        <v>543</v>
      </c>
      <c r="H58" s="112"/>
      <c r="I58" s="122" t="s">
        <v>523</v>
      </c>
      <c r="J58" s="124"/>
      <c r="K58" s="177">
        <v>0.25</v>
      </c>
      <c r="L58" s="80" t="s">
        <v>1120</v>
      </c>
      <c r="M58" s="80" t="s">
        <v>1371</v>
      </c>
      <c r="N58" s="80" t="s">
        <v>1372</v>
      </c>
    </row>
    <row r="59" spans="1:14" s="117" customFormat="1" ht="23">
      <c r="A59" s="85" t="s">
        <v>1215</v>
      </c>
      <c r="B59" s="94"/>
      <c r="C59" s="122" t="s">
        <v>1153</v>
      </c>
      <c r="D59" s="123" t="s">
        <v>136</v>
      </c>
      <c r="E59" s="112"/>
      <c r="F59" s="80" t="s">
        <v>553</v>
      </c>
      <c r="G59" s="124" t="s">
        <v>543</v>
      </c>
      <c r="H59" s="112"/>
      <c r="I59" s="122" t="s">
        <v>569</v>
      </c>
      <c r="J59" s="124"/>
      <c r="K59" s="177">
        <v>0.25</v>
      </c>
      <c r="L59" s="80" t="s">
        <v>1120</v>
      </c>
      <c r="M59" s="80" t="s">
        <v>1371</v>
      </c>
      <c r="N59" s="80" t="s">
        <v>1372</v>
      </c>
    </row>
    <row r="60" spans="1:14" s="117" customFormat="1" ht="46">
      <c r="A60" s="85" t="s">
        <v>1216</v>
      </c>
      <c r="B60" s="94"/>
      <c r="C60" s="122" t="s">
        <v>821</v>
      </c>
      <c r="D60" s="123" t="s">
        <v>137</v>
      </c>
      <c r="E60" s="112"/>
      <c r="F60" s="80" t="s">
        <v>553</v>
      </c>
      <c r="G60" s="124" t="s">
        <v>543</v>
      </c>
      <c r="H60" s="112"/>
      <c r="I60" s="122" t="s">
        <v>530</v>
      </c>
      <c r="J60" s="124"/>
      <c r="K60" s="177">
        <v>0.25</v>
      </c>
      <c r="L60" s="80" t="s">
        <v>1120</v>
      </c>
      <c r="M60" s="80" t="s">
        <v>1371</v>
      </c>
      <c r="N60" s="80" t="s">
        <v>1372</v>
      </c>
    </row>
    <row r="61" spans="1:14" s="117" customFormat="1" ht="34.5">
      <c r="A61" s="85" t="s">
        <v>1217</v>
      </c>
      <c r="B61" s="94"/>
      <c r="C61" s="122" t="s">
        <v>1154</v>
      </c>
      <c r="D61" s="123" t="s">
        <v>139</v>
      </c>
      <c r="E61" s="112"/>
      <c r="F61" s="80" t="s">
        <v>553</v>
      </c>
      <c r="G61" s="124" t="s">
        <v>543</v>
      </c>
      <c r="H61" s="112"/>
      <c r="I61" s="122" t="s">
        <v>530</v>
      </c>
      <c r="J61" s="124"/>
      <c r="K61" s="177">
        <v>0.25</v>
      </c>
      <c r="L61" s="80" t="s">
        <v>1120</v>
      </c>
      <c r="M61" s="80" t="s">
        <v>1371</v>
      </c>
      <c r="N61" s="80" t="s">
        <v>1372</v>
      </c>
    </row>
    <row r="62" spans="1:14" s="117" customFormat="1" ht="34.5">
      <c r="A62" s="85" t="s">
        <v>1218</v>
      </c>
      <c r="B62" s="94"/>
      <c r="C62" s="122" t="s">
        <v>824</v>
      </c>
      <c r="D62" s="123" t="s">
        <v>143</v>
      </c>
      <c r="E62" s="112"/>
      <c r="F62" s="80" t="s">
        <v>553</v>
      </c>
      <c r="G62" s="124" t="s">
        <v>543</v>
      </c>
      <c r="H62" s="112"/>
      <c r="I62" s="122" t="s">
        <v>530</v>
      </c>
      <c r="J62" s="124"/>
      <c r="K62" s="177">
        <v>0.25</v>
      </c>
      <c r="L62" s="80" t="s">
        <v>1120</v>
      </c>
      <c r="M62" s="80" t="s">
        <v>1371</v>
      </c>
      <c r="N62" s="80" t="s">
        <v>1372</v>
      </c>
    </row>
    <row r="63" spans="1:14" s="117" customFormat="1" ht="172.5">
      <c r="A63" s="85" t="s">
        <v>1219</v>
      </c>
      <c r="B63" s="94"/>
      <c r="C63" s="122" t="s">
        <v>825</v>
      </c>
      <c r="D63" s="123" t="s">
        <v>145</v>
      </c>
      <c r="E63" s="80" t="str">
        <f>D2</f>
        <v>01.1.1</v>
      </c>
      <c r="F63" s="80" t="s">
        <v>553</v>
      </c>
      <c r="G63" s="124" t="s">
        <v>543</v>
      </c>
      <c r="H63" s="112"/>
      <c r="I63" s="122" t="s">
        <v>530</v>
      </c>
      <c r="J63" s="124"/>
      <c r="K63" s="177">
        <v>0.25</v>
      </c>
      <c r="L63" s="80" t="s">
        <v>1155</v>
      </c>
      <c r="M63" s="80" t="s">
        <v>1371</v>
      </c>
      <c r="N63" s="80" t="s">
        <v>1372</v>
      </c>
    </row>
    <row r="64" spans="1:14" s="117" customFormat="1" ht="46">
      <c r="A64" s="85" t="s">
        <v>1220</v>
      </c>
      <c r="B64" s="94" t="s">
        <v>1345</v>
      </c>
      <c r="C64" s="122" t="s">
        <v>1346</v>
      </c>
      <c r="D64" s="123"/>
      <c r="E64" s="80" t="str">
        <f>D63</f>
        <v>06.3.2</v>
      </c>
      <c r="F64" s="80" t="s">
        <v>553</v>
      </c>
      <c r="G64" s="124" t="s">
        <v>576</v>
      </c>
      <c r="H64" s="80" t="s">
        <v>619</v>
      </c>
      <c r="I64" s="122" t="s">
        <v>530</v>
      </c>
      <c r="J64" s="124">
        <v>100</v>
      </c>
      <c r="K64" s="177">
        <v>0.25</v>
      </c>
      <c r="L64" s="80" t="s">
        <v>1120</v>
      </c>
      <c r="M64" s="80" t="s">
        <v>1371</v>
      </c>
      <c r="N64" s="80" t="s">
        <v>1372</v>
      </c>
    </row>
    <row r="65" spans="1:14" s="117" customFormat="1" ht="34.5">
      <c r="A65" s="85" t="s">
        <v>1221</v>
      </c>
      <c r="B65" s="94"/>
      <c r="C65" s="122" t="s">
        <v>826</v>
      </c>
      <c r="D65" s="123" t="s">
        <v>147</v>
      </c>
      <c r="E65" s="112"/>
      <c r="F65" s="80" t="s">
        <v>553</v>
      </c>
      <c r="G65" s="124" t="s">
        <v>543</v>
      </c>
      <c r="H65" s="112"/>
      <c r="I65" s="122" t="s">
        <v>569</v>
      </c>
      <c r="J65" s="124"/>
      <c r="K65" s="177">
        <v>0.25</v>
      </c>
      <c r="L65" s="80" t="s">
        <v>1120</v>
      </c>
      <c r="M65" s="80" t="s">
        <v>1371</v>
      </c>
      <c r="N65" s="80" t="s">
        <v>1372</v>
      </c>
    </row>
    <row r="66" spans="1:14" s="117" customFormat="1" ht="23">
      <c r="A66" s="85" t="s">
        <v>1222</v>
      </c>
      <c r="B66" s="94"/>
      <c r="C66" s="122" t="s">
        <v>828</v>
      </c>
      <c r="D66" s="123" t="s">
        <v>149</v>
      </c>
      <c r="E66" s="112"/>
      <c r="F66" s="80" t="s">
        <v>553</v>
      </c>
      <c r="G66" s="124" t="s">
        <v>543</v>
      </c>
      <c r="H66" s="112"/>
      <c r="I66" s="122" t="s">
        <v>569</v>
      </c>
      <c r="J66" s="124"/>
      <c r="K66" s="177">
        <v>0.25</v>
      </c>
      <c r="L66" s="80" t="s">
        <v>1120</v>
      </c>
      <c r="M66" s="80" t="s">
        <v>1371</v>
      </c>
      <c r="N66" s="80" t="s">
        <v>1372</v>
      </c>
    </row>
    <row r="67" spans="1:14" s="117" customFormat="1" ht="46">
      <c r="A67" s="85" t="s">
        <v>1223</v>
      </c>
      <c r="B67" s="94"/>
      <c r="C67" s="122" t="s">
        <v>829</v>
      </c>
      <c r="D67" s="123" t="s">
        <v>151</v>
      </c>
      <c r="E67" s="112"/>
      <c r="F67" s="80" t="s">
        <v>553</v>
      </c>
      <c r="G67" s="124" t="s">
        <v>543</v>
      </c>
      <c r="H67" s="112"/>
      <c r="I67" s="122" t="s">
        <v>543</v>
      </c>
      <c r="J67" s="124"/>
      <c r="K67" s="177">
        <v>0.25</v>
      </c>
      <c r="L67" s="80" t="s">
        <v>1120</v>
      </c>
      <c r="M67" s="80" t="s">
        <v>1371</v>
      </c>
      <c r="N67" s="80" t="s">
        <v>1372</v>
      </c>
    </row>
    <row r="68" spans="1:14" s="117" customFormat="1" ht="34.5">
      <c r="A68" s="85" t="s">
        <v>1224</v>
      </c>
      <c r="B68" s="94"/>
      <c r="C68" s="122" t="s">
        <v>832</v>
      </c>
      <c r="D68" s="123" t="s">
        <v>153</v>
      </c>
      <c r="E68" s="112"/>
      <c r="F68" s="80" t="s">
        <v>553</v>
      </c>
      <c r="G68" s="124" t="s">
        <v>543</v>
      </c>
      <c r="H68" s="112"/>
      <c r="I68" s="122" t="s">
        <v>522</v>
      </c>
      <c r="J68" s="124"/>
      <c r="K68" s="177">
        <v>0.25</v>
      </c>
      <c r="L68" s="80" t="s">
        <v>1120</v>
      </c>
      <c r="M68" s="80" t="s">
        <v>1371</v>
      </c>
      <c r="N68" s="80" t="s">
        <v>1372</v>
      </c>
    </row>
    <row r="69" spans="1:14" s="117" customFormat="1" ht="23">
      <c r="A69" s="85" t="s">
        <v>1225</v>
      </c>
      <c r="B69" s="94"/>
      <c r="C69" s="122" t="s">
        <v>1359</v>
      </c>
      <c r="D69" s="123" t="s">
        <v>155</v>
      </c>
      <c r="E69" s="112"/>
      <c r="F69" s="80" t="s">
        <v>553</v>
      </c>
      <c r="G69" s="124" t="s">
        <v>543</v>
      </c>
      <c r="H69" s="112"/>
      <c r="I69" s="122" t="s">
        <v>523</v>
      </c>
      <c r="J69" s="124"/>
      <c r="K69" s="177">
        <v>0.25</v>
      </c>
      <c r="L69" s="80" t="s">
        <v>1120</v>
      </c>
      <c r="M69" s="80" t="s">
        <v>1371</v>
      </c>
      <c r="N69" s="80" t="s">
        <v>1372</v>
      </c>
    </row>
    <row r="70" spans="1:14" s="117" customFormat="1" ht="34.5">
      <c r="A70" s="85" t="s">
        <v>1226</v>
      </c>
      <c r="B70" s="94"/>
      <c r="C70" s="122" t="s">
        <v>837</v>
      </c>
      <c r="D70" s="123" t="s">
        <v>157</v>
      </c>
      <c r="E70" s="112"/>
      <c r="F70" s="80" t="s">
        <v>553</v>
      </c>
      <c r="G70" s="124" t="s">
        <v>543</v>
      </c>
      <c r="H70" s="112"/>
      <c r="I70" s="122" t="s">
        <v>522</v>
      </c>
      <c r="J70" s="124"/>
      <c r="K70" s="177">
        <v>0.25</v>
      </c>
      <c r="L70" s="80" t="s">
        <v>1120</v>
      </c>
      <c r="M70" s="80" t="s">
        <v>1371</v>
      </c>
      <c r="N70" s="80" t="s">
        <v>1372</v>
      </c>
    </row>
    <row r="71" spans="1:14" s="117" customFormat="1" ht="23">
      <c r="A71" s="85" t="s">
        <v>1227</v>
      </c>
      <c r="B71" s="94"/>
      <c r="C71" s="122" t="s">
        <v>839</v>
      </c>
      <c r="D71" s="123" t="s">
        <v>163</v>
      </c>
      <c r="E71" s="112"/>
      <c r="F71" s="80" t="s">
        <v>553</v>
      </c>
      <c r="G71" s="124" t="s">
        <v>543</v>
      </c>
      <c r="H71" s="112"/>
      <c r="I71" s="122" t="s">
        <v>521</v>
      </c>
      <c r="J71" s="124"/>
      <c r="K71" s="177">
        <v>0.25</v>
      </c>
      <c r="L71" s="80" t="s">
        <v>1120</v>
      </c>
      <c r="M71" s="80" t="s">
        <v>1371</v>
      </c>
      <c r="N71" s="80" t="s">
        <v>1372</v>
      </c>
    </row>
    <row r="72" spans="1:14" s="117" customFormat="1" ht="34.5">
      <c r="A72" s="85" t="s">
        <v>1228</v>
      </c>
      <c r="B72" s="94"/>
      <c r="C72" s="122" t="s">
        <v>840</v>
      </c>
      <c r="D72" s="123" t="s">
        <v>164</v>
      </c>
      <c r="E72" s="112"/>
      <c r="F72" s="80" t="s">
        <v>553</v>
      </c>
      <c r="G72" s="124" t="s">
        <v>543</v>
      </c>
      <c r="H72" s="112"/>
      <c r="I72" s="122" t="s">
        <v>569</v>
      </c>
      <c r="J72" s="124"/>
      <c r="K72" s="177">
        <v>0.25</v>
      </c>
      <c r="L72" s="80" t="s">
        <v>1120</v>
      </c>
      <c r="M72" s="80" t="s">
        <v>1371</v>
      </c>
      <c r="N72" s="80" t="s">
        <v>1372</v>
      </c>
    </row>
    <row r="73" spans="1:14" s="117" customFormat="1" ht="34.5">
      <c r="A73" s="85" t="s">
        <v>1229</v>
      </c>
      <c r="B73" s="94"/>
      <c r="C73" s="122" t="s">
        <v>1360</v>
      </c>
      <c r="D73" s="123" t="s">
        <v>166</v>
      </c>
      <c r="E73" s="112"/>
      <c r="F73" s="80" t="s">
        <v>553</v>
      </c>
      <c r="G73" s="124" t="s">
        <v>543</v>
      </c>
      <c r="H73" s="112"/>
      <c r="I73" s="122" t="s">
        <v>569</v>
      </c>
      <c r="J73" s="124"/>
      <c r="K73" s="177">
        <v>0.25</v>
      </c>
      <c r="L73" s="80" t="s">
        <v>1120</v>
      </c>
      <c r="M73" s="80" t="s">
        <v>1371</v>
      </c>
      <c r="N73" s="80" t="s">
        <v>1372</v>
      </c>
    </row>
    <row r="74" spans="1:14" s="117" customFormat="1" ht="34.5">
      <c r="A74" s="85" t="s">
        <v>1230</v>
      </c>
      <c r="B74" s="94"/>
      <c r="C74" s="122" t="s">
        <v>843</v>
      </c>
      <c r="D74" s="123" t="s">
        <v>169</v>
      </c>
      <c r="E74" s="112"/>
      <c r="F74" s="80" t="s">
        <v>553</v>
      </c>
      <c r="G74" s="124" t="s">
        <v>543</v>
      </c>
      <c r="H74" s="112"/>
      <c r="I74" s="122" t="s">
        <v>569</v>
      </c>
      <c r="J74" s="124"/>
      <c r="K74" s="177">
        <v>0.25</v>
      </c>
      <c r="L74" s="80" t="s">
        <v>1120</v>
      </c>
      <c r="M74" s="80" t="s">
        <v>1371</v>
      </c>
      <c r="N74" s="80" t="s">
        <v>1372</v>
      </c>
    </row>
    <row r="75" spans="1:14" s="117" customFormat="1" ht="23">
      <c r="A75" s="85" t="s">
        <v>1344</v>
      </c>
      <c r="B75" s="94"/>
      <c r="C75" s="122" t="s">
        <v>844</v>
      </c>
      <c r="D75" s="123" t="s">
        <v>170</v>
      </c>
      <c r="E75" s="112"/>
      <c r="F75" s="80" t="s">
        <v>553</v>
      </c>
      <c r="G75" s="124" t="s">
        <v>543</v>
      </c>
      <c r="H75" s="112"/>
      <c r="I75" s="122" t="s">
        <v>569</v>
      </c>
      <c r="J75" s="124"/>
      <c r="K75" s="177">
        <v>0.25</v>
      </c>
      <c r="L75" s="80" t="s">
        <v>1120</v>
      </c>
      <c r="M75" s="80" t="s">
        <v>1371</v>
      </c>
      <c r="N75" s="80" t="s">
        <v>1372</v>
      </c>
    </row>
    <row r="76" spans="1:14" s="117" customFormat="1" ht="46.5" customHeight="1">
      <c r="A76" s="86" t="s">
        <v>1231</v>
      </c>
      <c r="B76" s="95"/>
      <c r="C76" s="125" t="s">
        <v>846</v>
      </c>
      <c r="D76" s="125" t="s">
        <v>175</v>
      </c>
      <c r="E76" s="113"/>
      <c r="F76" s="81" t="s">
        <v>554</v>
      </c>
      <c r="G76" s="126" t="s">
        <v>543</v>
      </c>
      <c r="H76" s="113"/>
      <c r="I76" s="126" t="s">
        <v>543</v>
      </c>
      <c r="J76" s="126"/>
      <c r="K76" s="178">
        <v>0.25</v>
      </c>
      <c r="L76" s="81" t="s">
        <v>1120</v>
      </c>
      <c r="M76" s="81" t="s">
        <v>1371</v>
      </c>
      <c r="N76" s="81" t="s">
        <v>1372</v>
      </c>
    </row>
    <row r="77" spans="1:14" s="117" customFormat="1" ht="57.5">
      <c r="A77" s="86" t="s">
        <v>1232</v>
      </c>
      <c r="B77" s="95"/>
      <c r="C77" s="125" t="s">
        <v>853</v>
      </c>
      <c r="D77" s="125" t="s">
        <v>849</v>
      </c>
      <c r="E77" s="113"/>
      <c r="F77" s="81" t="s">
        <v>554</v>
      </c>
      <c r="G77" s="126" t="s">
        <v>543</v>
      </c>
      <c r="H77" s="113"/>
      <c r="I77" s="81" t="s">
        <v>522</v>
      </c>
      <c r="J77" s="126"/>
      <c r="K77" s="178">
        <v>0.25</v>
      </c>
      <c r="L77" s="81" t="s">
        <v>1120</v>
      </c>
      <c r="M77" s="81" t="s">
        <v>1371</v>
      </c>
      <c r="N77" s="81" t="s">
        <v>1372</v>
      </c>
    </row>
    <row r="78" spans="1:14" s="117" customFormat="1" ht="57.5">
      <c r="A78" s="86" t="s">
        <v>1233</v>
      </c>
      <c r="B78" s="95"/>
      <c r="C78" s="127" t="s">
        <v>855</v>
      </c>
      <c r="D78" s="125" t="s">
        <v>179</v>
      </c>
      <c r="E78" s="113"/>
      <c r="F78" s="81" t="s">
        <v>554</v>
      </c>
      <c r="G78" s="126" t="s">
        <v>543</v>
      </c>
      <c r="H78" s="113"/>
      <c r="I78" s="81" t="s">
        <v>522</v>
      </c>
      <c r="J78" s="126"/>
      <c r="K78" s="178">
        <v>0.25</v>
      </c>
      <c r="L78" s="81" t="s">
        <v>1120</v>
      </c>
      <c r="M78" s="81" t="s">
        <v>1371</v>
      </c>
      <c r="N78" s="81" t="s">
        <v>1372</v>
      </c>
    </row>
    <row r="79" spans="1:14" s="117" customFormat="1" ht="34.5">
      <c r="A79" s="86" t="s">
        <v>1234</v>
      </c>
      <c r="B79" s="95"/>
      <c r="C79" s="125" t="s">
        <v>858</v>
      </c>
      <c r="D79" s="125" t="s">
        <v>181</v>
      </c>
      <c r="E79" s="81" t="str">
        <f>D10</f>
        <v>01.3.1</v>
      </c>
      <c r="F79" s="81" t="s">
        <v>554</v>
      </c>
      <c r="G79" s="126" t="s">
        <v>543</v>
      </c>
      <c r="H79" s="113"/>
      <c r="I79" s="81" t="s">
        <v>543</v>
      </c>
      <c r="J79" s="126"/>
      <c r="K79" s="178">
        <v>0.25</v>
      </c>
      <c r="L79" s="81" t="s">
        <v>1118</v>
      </c>
      <c r="M79" s="81" t="s">
        <v>1371</v>
      </c>
      <c r="N79" s="81" t="s">
        <v>1372</v>
      </c>
    </row>
    <row r="80" spans="1:14" s="117" customFormat="1" ht="23">
      <c r="A80" s="86" t="s">
        <v>1235</v>
      </c>
      <c r="B80" s="95"/>
      <c r="C80" s="125" t="s">
        <v>862</v>
      </c>
      <c r="D80" s="125" t="s">
        <v>188</v>
      </c>
      <c r="E80" s="81" t="str">
        <f>D121</f>
        <v>13.4.2</v>
      </c>
      <c r="F80" s="81" t="s">
        <v>554</v>
      </c>
      <c r="G80" s="126" t="s">
        <v>543</v>
      </c>
      <c r="H80" s="113"/>
      <c r="I80" s="81" t="s">
        <v>522</v>
      </c>
      <c r="J80" s="126"/>
      <c r="K80" s="178">
        <v>0.25</v>
      </c>
      <c r="L80" s="81" t="s">
        <v>1120</v>
      </c>
      <c r="M80" s="81" t="s">
        <v>1371</v>
      </c>
      <c r="N80" s="81" t="s">
        <v>1372</v>
      </c>
    </row>
    <row r="81" spans="1:14" s="117" customFormat="1" ht="23">
      <c r="A81" s="86" t="s">
        <v>1236</v>
      </c>
      <c r="B81" s="95"/>
      <c r="C81" s="125" t="s">
        <v>865</v>
      </c>
      <c r="D81" s="125" t="s">
        <v>190</v>
      </c>
      <c r="E81" s="113"/>
      <c r="F81" s="81" t="s">
        <v>554</v>
      </c>
      <c r="G81" s="126" t="s">
        <v>543</v>
      </c>
      <c r="H81" s="113"/>
      <c r="I81" s="81" t="s">
        <v>522</v>
      </c>
      <c r="J81" s="126"/>
      <c r="K81" s="178">
        <v>0.25</v>
      </c>
      <c r="L81" s="81" t="s">
        <v>1120</v>
      </c>
      <c r="M81" s="81" t="s">
        <v>1371</v>
      </c>
      <c r="N81" s="81" t="s">
        <v>1372</v>
      </c>
    </row>
    <row r="82" spans="1:14" s="117" customFormat="1" ht="23">
      <c r="A82" s="86" t="s">
        <v>1237</v>
      </c>
      <c r="B82" s="95"/>
      <c r="C82" s="125" t="s">
        <v>868</v>
      </c>
      <c r="D82" s="125" t="s">
        <v>192</v>
      </c>
      <c r="E82" s="113"/>
      <c r="F82" s="81" t="s">
        <v>554</v>
      </c>
      <c r="G82" s="126" t="s">
        <v>543</v>
      </c>
      <c r="H82" s="113"/>
      <c r="I82" s="81" t="s">
        <v>522</v>
      </c>
      <c r="J82" s="126"/>
      <c r="K82" s="178">
        <v>0.25</v>
      </c>
      <c r="L82" s="81" t="s">
        <v>1120</v>
      </c>
      <c r="M82" s="81" t="s">
        <v>1371</v>
      </c>
      <c r="N82" s="81" t="s">
        <v>1372</v>
      </c>
    </row>
    <row r="83" spans="1:14" s="117" customFormat="1" ht="34.5">
      <c r="A83" s="86" t="s">
        <v>1238</v>
      </c>
      <c r="B83" s="95"/>
      <c r="C83" s="125" t="s">
        <v>870</v>
      </c>
      <c r="D83" s="125" t="s">
        <v>198</v>
      </c>
      <c r="E83" s="81" t="str">
        <f>D162</f>
        <v>16.3.1</v>
      </c>
      <c r="F83" s="81" t="s">
        <v>554</v>
      </c>
      <c r="G83" s="126" t="s">
        <v>543</v>
      </c>
      <c r="H83" s="113"/>
      <c r="I83" s="81" t="s">
        <v>543</v>
      </c>
      <c r="J83" s="126"/>
      <c r="K83" s="178">
        <v>0.25</v>
      </c>
      <c r="L83" s="81" t="s">
        <v>1120</v>
      </c>
      <c r="M83" s="81" t="s">
        <v>1371</v>
      </c>
      <c r="N83" s="81" t="s">
        <v>1372</v>
      </c>
    </row>
    <row r="84" spans="1:14" s="117" customFormat="1" ht="34.5">
      <c r="A84" s="86" t="s">
        <v>1239</v>
      </c>
      <c r="B84" s="95"/>
      <c r="C84" s="125" t="s">
        <v>872</v>
      </c>
      <c r="D84" s="125" t="s">
        <v>200</v>
      </c>
      <c r="E84" s="113"/>
      <c r="F84" s="81" t="s">
        <v>554</v>
      </c>
      <c r="G84" s="126" t="s">
        <v>543</v>
      </c>
      <c r="H84" s="113"/>
      <c r="I84" s="81" t="s">
        <v>522</v>
      </c>
      <c r="J84" s="126"/>
      <c r="K84" s="178">
        <v>0.25</v>
      </c>
      <c r="L84" s="81" t="s">
        <v>1120</v>
      </c>
      <c r="M84" s="81" t="s">
        <v>1371</v>
      </c>
      <c r="N84" s="81" t="s">
        <v>1372</v>
      </c>
    </row>
    <row r="85" spans="1:14" s="117" customFormat="1" ht="34.5">
      <c r="A85" s="86" t="s">
        <v>1240</v>
      </c>
      <c r="B85" s="95"/>
      <c r="C85" s="125" t="s">
        <v>873</v>
      </c>
      <c r="D85" s="125" t="s">
        <v>202</v>
      </c>
      <c r="E85" s="113"/>
      <c r="F85" s="81" t="s">
        <v>554</v>
      </c>
      <c r="G85" s="126" t="s">
        <v>543</v>
      </c>
      <c r="H85" s="113"/>
      <c r="I85" s="81" t="s">
        <v>543</v>
      </c>
      <c r="J85" s="126"/>
      <c r="K85" s="178">
        <v>0.25</v>
      </c>
      <c r="L85" s="81" t="s">
        <v>1120</v>
      </c>
      <c r="M85" s="81" t="s">
        <v>1371</v>
      </c>
      <c r="N85" s="81" t="s">
        <v>1372</v>
      </c>
    </row>
    <row r="86" spans="1:14" s="117" customFormat="1" ht="34.5">
      <c r="A86" s="86" t="s">
        <v>1241</v>
      </c>
      <c r="B86" s="95"/>
      <c r="C86" s="125" t="s">
        <v>877</v>
      </c>
      <c r="D86" s="125" t="s">
        <v>875</v>
      </c>
      <c r="E86" s="113"/>
      <c r="F86" s="81" t="s">
        <v>554</v>
      </c>
      <c r="G86" s="126" t="s">
        <v>543</v>
      </c>
      <c r="H86" s="113"/>
      <c r="I86" s="81" t="s">
        <v>522</v>
      </c>
      <c r="J86" s="126"/>
      <c r="K86" s="178">
        <v>0.25</v>
      </c>
      <c r="L86" s="81" t="s">
        <v>1120</v>
      </c>
      <c r="M86" s="81" t="s">
        <v>1371</v>
      </c>
      <c r="N86" s="81" t="s">
        <v>1372</v>
      </c>
    </row>
    <row r="87" spans="1:14" s="117" customFormat="1" ht="23">
      <c r="A87" s="86" t="s">
        <v>1242</v>
      </c>
      <c r="B87" s="95"/>
      <c r="C87" s="125" t="s">
        <v>883</v>
      </c>
      <c r="D87" s="125" t="s">
        <v>880</v>
      </c>
      <c r="E87" s="81" t="str">
        <f>D121</f>
        <v>13.4.2</v>
      </c>
      <c r="F87" s="81" t="s">
        <v>554</v>
      </c>
      <c r="G87" s="126" t="s">
        <v>543</v>
      </c>
      <c r="H87" s="113"/>
      <c r="I87" s="81" t="s">
        <v>543</v>
      </c>
      <c r="J87" s="126"/>
      <c r="K87" s="178">
        <v>0.25</v>
      </c>
      <c r="L87" s="81" t="s">
        <v>1120</v>
      </c>
      <c r="M87" s="81" t="s">
        <v>1371</v>
      </c>
      <c r="N87" s="81" t="s">
        <v>1372</v>
      </c>
    </row>
    <row r="88" spans="1:14" s="117" customFormat="1" ht="34.5">
      <c r="A88" s="87" t="s">
        <v>1243</v>
      </c>
      <c r="B88" s="96"/>
      <c r="C88" s="128" t="s">
        <v>892</v>
      </c>
      <c r="D88" s="129" t="s">
        <v>218</v>
      </c>
      <c r="E88" s="114"/>
      <c r="F88" s="82" t="s">
        <v>555</v>
      </c>
      <c r="G88" s="130" t="s">
        <v>543</v>
      </c>
      <c r="H88" s="114"/>
      <c r="I88" s="130" t="s">
        <v>543</v>
      </c>
      <c r="J88" s="130"/>
      <c r="K88" s="179">
        <v>0.25</v>
      </c>
      <c r="L88" s="82" t="s">
        <v>1120</v>
      </c>
      <c r="M88" s="128" t="s">
        <v>1371</v>
      </c>
      <c r="N88" s="128" t="s">
        <v>1372</v>
      </c>
    </row>
    <row r="89" spans="1:14" s="117" customFormat="1" ht="34.5">
      <c r="A89" s="87" t="s">
        <v>1244</v>
      </c>
      <c r="B89" s="96"/>
      <c r="C89" s="82" t="s">
        <v>897</v>
      </c>
      <c r="D89" s="129" t="s">
        <v>219</v>
      </c>
      <c r="E89" s="82" t="s">
        <v>236</v>
      </c>
      <c r="F89" s="82" t="s">
        <v>555</v>
      </c>
      <c r="G89" s="130" t="s">
        <v>543</v>
      </c>
      <c r="H89" s="114"/>
      <c r="I89" s="130" t="s">
        <v>543</v>
      </c>
      <c r="J89" s="131"/>
      <c r="K89" s="179">
        <v>0.25</v>
      </c>
      <c r="L89" s="82" t="s">
        <v>1120</v>
      </c>
      <c r="M89" s="128" t="s">
        <v>1371</v>
      </c>
      <c r="N89" s="128" t="s">
        <v>1372</v>
      </c>
    </row>
    <row r="90" spans="1:14" s="117" customFormat="1" ht="34.5">
      <c r="A90" s="87" t="s">
        <v>1245</v>
      </c>
      <c r="B90" s="96"/>
      <c r="C90" s="128" t="s">
        <v>1362</v>
      </c>
      <c r="D90" s="129" t="s">
        <v>222</v>
      </c>
      <c r="E90" s="114"/>
      <c r="F90" s="82" t="s">
        <v>555</v>
      </c>
      <c r="G90" s="130" t="s">
        <v>543</v>
      </c>
      <c r="H90" s="114"/>
      <c r="I90" s="130" t="s">
        <v>543</v>
      </c>
      <c r="J90" s="130"/>
      <c r="K90" s="179">
        <v>0.25</v>
      </c>
      <c r="L90" s="82" t="s">
        <v>1120</v>
      </c>
      <c r="M90" s="128" t="s">
        <v>1371</v>
      </c>
      <c r="N90" s="128" t="s">
        <v>1372</v>
      </c>
    </row>
    <row r="91" spans="1:14" s="117" customFormat="1" ht="34.5">
      <c r="A91" s="87" t="s">
        <v>1246</v>
      </c>
      <c r="B91" s="96"/>
      <c r="C91" s="128" t="s">
        <v>905</v>
      </c>
      <c r="D91" s="129" t="s">
        <v>223</v>
      </c>
      <c r="E91" s="114"/>
      <c r="F91" s="82" t="s">
        <v>555</v>
      </c>
      <c r="G91" s="130" t="s">
        <v>543</v>
      </c>
      <c r="H91" s="114"/>
      <c r="I91" s="130" t="s">
        <v>543</v>
      </c>
      <c r="J91" s="130"/>
      <c r="K91" s="179">
        <v>0.25</v>
      </c>
      <c r="L91" s="82" t="s">
        <v>1120</v>
      </c>
      <c r="M91" s="128" t="s">
        <v>1371</v>
      </c>
      <c r="N91" s="128" t="s">
        <v>1372</v>
      </c>
    </row>
    <row r="92" spans="1:14" s="117" customFormat="1" ht="23">
      <c r="A92" s="87" t="s">
        <v>1247</v>
      </c>
      <c r="B92" s="96"/>
      <c r="C92" s="128" t="s">
        <v>908</v>
      </c>
      <c r="D92" s="129" t="s">
        <v>225</v>
      </c>
      <c r="E92" s="114"/>
      <c r="F92" s="82" t="s">
        <v>555</v>
      </c>
      <c r="G92" s="130" t="s">
        <v>543</v>
      </c>
      <c r="H92" s="114"/>
      <c r="I92" s="130" t="s">
        <v>543</v>
      </c>
      <c r="J92" s="130"/>
      <c r="K92" s="179">
        <v>0.25</v>
      </c>
      <c r="L92" s="82" t="s">
        <v>1120</v>
      </c>
      <c r="M92" s="128" t="s">
        <v>1371</v>
      </c>
      <c r="N92" s="128" t="s">
        <v>1372</v>
      </c>
    </row>
    <row r="93" spans="1:14" s="117" customFormat="1" ht="92">
      <c r="A93" s="87" t="s">
        <v>1248</v>
      </c>
      <c r="B93" s="96" t="s">
        <v>1158</v>
      </c>
      <c r="C93" s="128" t="s">
        <v>914</v>
      </c>
      <c r="D93" s="129" t="s">
        <v>228</v>
      </c>
      <c r="E93" s="114"/>
      <c r="F93" s="82" t="s">
        <v>555</v>
      </c>
      <c r="G93" s="130" t="s">
        <v>576</v>
      </c>
      <c r="H93" s="82" t="s">
        <v>647</v>
      </c>
      <c r="I93" s="130" t="s">
        <v>543</v>
      </c>
      <c r="J93" s="130">
        <v>18000</v>
      </c>
      <c r="K93" s="179">
        <v>0.25</v>
      </c>
      <c r="L93" s="82"/>
      <c r="M93" s="128" t="s">
        <v>1371</v>
      </c>
      <c r="N93" s="128" t="s">
        <v>1372</v>
      </c>
    </row>
    <row r="94" spans="1:14" s="117" customFormat="1" ht="23">
      <c r="A94" s="87" t="s">
        <v>1249</v>
      </c>
      <c r="B94" s="96"/>
      <c r="C94" s="128" t="s">
        <v>916</v>
      </c>
      <c r="D94" s="129" t="s">
        <v>229</v>
      </c>
      <c r="E94" s="114"/>
      <c r="F94" s="82" t="s">
        <v>555</v>
      </c>
      <c r="G94" s="130" t="s">
        <v>543</v>
      </c>
      <c r="H94" s="114"/>
      <c r="I94" s="130" t="s">
        <v>543</v>
      </c>
      <c r="J94" s="130"/>
      <c r="K94" s="179">
        <v>0.25</v>
      </c>
      <c r="L94" s="82" t="s">
        <v>1120</v>
      </c>
      <c r="M94" s="128" t="s">
        <v>1371</v>
      </c>
      <c r="N94" s="128" t="s">
        <v>1372</v>
      </c>
    </row>
    <row r="95" spans="1:14" s="117" customFormat="1" ht="23">
      <c r="A95" s="87" t="s">
        <v>1250</v>
      </c>
      <c r="B95" s="96"/>
      <c r="C95" s="128" t="s">
        <v>919</v>
      </c>
      <c r="D95" s="129" t="s">
        <v>233</v>
      </c>
      <c r="E95" s="114"/>
      <c r="F95" s="82" t="s">
        <v>555</v>
      </c>
      <c r="G95" s="130" t="s">
        <v>543</v>
      </c>
      <c r="H95" s="114"/>
      <c r="I95" s="130" t="s">
        <v>543</v>
      </c>
      <c r="J95" s="130"/>
      <c r="K95" s="179">
        <v>0.25</v>
      </c>
      <c r="L95" s="82" t="s">
        <v>1120</v>
      </c>
      <c r="M95" s="128" t="s">
        <v>1371</v>
      </c>
      <c r="N95" s="128" t="s">
        <v>1372</v>
      </c>
    </row>
    <row r="96" spans="1:14" s="117" customFormat="1" ht="23">
      <c r="A96" s="87" t="s">
        <v>1251</v>
      </c>
      <c r="B96" s="96"/>
      <c r="C96" s="128" t="s">
        <v>928</v>
      </c>
      <c r="D96" s="129" t="s">
        <v>237</v>
      </c>
      <c r="E96" s="114"/>
      <c r="F96" s="82" t="s">
        <v>555</v>
      </c>
      <c r="G96" s="130" t="s">
        <v>543</v>
      </c>
      <c r="H96" s="114"/>
      <c r="I96" s="130" t="s">
        <v>569</v>
      </c>
      <c r="J96" s="130"/>
      <c r="K96" s="179">
        <v>0.25</v>
      </c>
      <c r="L96" s="82" t="s">
        <v>1118</v>
      </c>
      <c r="M96" s="128" t="s">
        <v>1371</v>
      </c>
      <c r="N96" s="128" t="s">
        <v>1372</v>
      </c>
    </row>
    <row r="97" spans="1:14" s="117" customFormat="1" ht="23">
      <c r="A97" s="87" t="s">
        <v>1252</v>
      </c>
      <c r="B97" s="96"/>
      <c r="C97" s="128" t="s">
        <v>930</v>
      </c>
      <c r="D97" s="129" t="s">
        <v>238</v>
      </c>
      <c r="E97" s="114"/>
      <c r="F97" s="82" t="s">
        <v>555</v>
      </c>
      <c r="G97" s="130" t="s">
        <v>543</v>
      </c>
      <c r="H97" s="114"/>
      <c r="I97" s="130" t="s">
        <v>569</v>
      </c>
      <c r="J97" s="130"/>
      <c r="K97" s="179">
        <v>0.25</v>
      </c>
      <c r="L97" s="82" t="s">
        <v>1120</v>
      </c>
      <c r="M97" s="128" t="s">
        <v>1371</v>
      </c>
      <c r="N97" s="128" t="s">
        <v>1372</v>
      </c>
    </row>
    <row r="98" spans="1:14" s="117" customFormat="1" ht="23">
      <c r="A98" s="87" t="s">
        <v>1253</v>
      </c>
      <c r="B98" s="96"/>
      <c r="C98" s="128" t="s">
        <v>931</v>
      </c>
      <c r="D98" s="129" t="s">
        <v>239</v>
      </c>
      <c r="E98" s="114"/>
      <c r="F98" s="82" t="s">
        <v>555</v>
      </c>
      <c r="G98" s="130" t="s">
        <v>543</v>
      </c>
      <c r="H98" s="114"/>
      <c r="I98" s="130" t="s">
        <v>569</v>
      </c>
      <c r="J98" s="130"/>
      <c r="K98" s="179">
        <v>0.25</v>
      </c>
      <c r="L98" s="82" t="s">
        <v>1120</v>
      </c>
      <c r="M98" s="128" t="s">
        <v>1371</v>
      </c>
      <c r="N98" s="128" t="s">
        <v>1372</v>
      </c>
    </row>
    <row r="99" spans="1:14" s="117" customFormat="1" ht="34.5">
      <c r="A99" s="87" t="s">
        <v>1254</v>
      </c>
      <c r="B99" s="96"/>
      <c r="C99" s="128" t="s">
        <v>934</v>
      </c>
      <c r="D99" s="129" t="s">
        <v>241</v>
      </c>
      <c r="E99" s="114"/>
      <c r="F99" s="82" t="s">
        <v>555</v>
      </c>
      <c r="G99" s="130" t="s">
        <v>543</v>
      </c>
      <c r="H99" s="114"/>
      <c r="I99" s="130" t="s">
        <v>543</v>
      </c>
      <c r="J99" s="130"/>
      <c r="K99" s="179">
        <v>0.25</v>
      </c>
      <c r="L99" s="82" t="s">
        <v>1120</v>
      </c>
      <c r="M99" s="128" t="s">
        <v>1371</v>
      </c>
      <c r="N99" s="128" t="s">
        <v>1372</v>
      </c>
    </row>
    <row r="100" spans="1:14" s="117" customFormat="1" ht="23">
      <c r="A100" s="87" t="s">
        <v>1255</v>
      </c>
      <c r="B100" s="96"/>
      <c r="C100" s="128" t="s">
        <v>1363</v>
      </c>
      <c r="D100" s="129" t="s">
        <v>248</v>
      </c>
      <c r="E100" s="114"/>
      <c r="F100" s="82" t="s">
        <v>555</v>
      </c>
      <c r="G100" s="130" t="s">
        <v>543</v>
      </c>
      <c r="H100" s="114"/>
      <c r="I100" s="130" t="s">
        <v>543</v>
      </c>
      <c r="J100" s="130"/>
      <c r="K100" s="179">
        <v>0.25</v>
      </c>
      <c r="L100" s="82" t="s">
        <v>1120</v>
      </c>
      <c r="M100" s="128" t="s">
        <v>1371</v>
      </c>
      <c r="N100" s="128" t="s">
        <v>1372</v>
      </c>
    </row>
    <row r="101" spans="1:14" s="117" customFormat="1" ht="23">
      <c r="A101" s="87" t="s">
        <v>1256</v>
      </c>
      <c r="B101" s="96"/>
      <c r="C101" s="128" t="s">
        <v>936</v>
      </c>
      <c r="D101" s="129" t="s">
        <v>248</v>
      </c>
      <c r="E101" s="114"/>
      <c r="F101" s="82" t="s">
        <v>555</v>
      </c>
      <c r="G101" s="130" t="s">
        <v>543</v>
      </c>
      <c r="H101" s="114"/>
      <c r="I101" s="130" t="s">
        <v>543</v>
      </c>
      <c r="J101" s="130"/>
      <c r="K101" s="179">
        <v>0.25</v>
      </c>
      <c r="L101" s="82" t="s">
        <v>1120</v>
      </c>
      <c r="M101" s="128" t="s">
        <v>1371</v>
      </c>
      <c r="N101" s="128" t="s">
        <v>1372</v>
      </c>
    </row>
    <row r="102" spans="1:14" s="117" customFormat="1" ht="46">
      <c r="A102" s="87" t="s">
        <v>1257</v>
      </c>
      <c r="B102" s="96"/>
      <c r="C102" s="128" t="s">
        <v>944</v>
      </c>
      <c r="D102" s="129" t="s">
        <v>254</v>
      </c>
      <c r="E102" s="114"/>
      <c r="F102" s="82" t="s">
        <v>555</v>
      </c>
      <c r="G102" s="130" t="s">
        <v>543</v>
      </c>
      <c r="H102" s="114"/>
      <c r="I102" s="130" t="s">
        <v>543</v>
      </c>
      <c r="J102" s="130"/>
      <c r="K102" s="179">
        <v>0.25</v>
      </c>
      <c r="L102" s="82" t="s">
        <v>1120</v>
      </c>
      <c r="M102" s="128" t="s">
        <v>1371</v>
      </c>
      <c r="N102" s="128" t="s">
        <v>1372</v>
      </c>
    </row>
    <row r="103" spans="1:14" s="117" customFormat="1" ht="23">
      <c r="A103" s="87" t="s">
        <v>1258</v>
      </c>
      <c r="B103" s="96"/>
      <c r="C103" s="128" t="s">
        <v>945</v>
      </c>
      <c r="D103" s="129" t="s">
        <v>254</v>
      </c>
      <c r="E103" s="114"/>
      <c r="F103" s="82" t="s">
        <v>555</v>
      </c>
      <c r="G103" s="130" t="s">
        <v>564</v>
      </c>
      <c r="H103" s="114"/>
      <c r="I103" s="130" t="s">
        <v>543</v>
      </c>
      <c r="J103" s="130"/>
      <c r="K103" s="179">
        <v>0.25</v>
      </c>
      <c r="L103" s="82" t="s">
        <v>1118</v>
      </c>
      <c r="M103" s="128" t="s">
        <v>1371</v>
      </c>
      <c r="N103" s="128" t="s">
        <v>1372</v>
      </c>
    </row>
    <row r="104" spans="1:14" s="117" customFormat="1" ht="23">
      <c r="A104" s="87" t="s">
        <v>1259</v>
      </c>
      <c r="B104" s="96"/>
      <c r="C104" s="128" t="s">
        <v>946</v>
      </c>
      <c r="D104" s="129" t="s">
        <v>254</v>
      </c>
      <c r="E104" s="114"/>
      <c r="F104" s="82" t="s">
        <v>555</v>
      </c>
      <c r="G104" s="130" t="s">
        <v>543</v>
      </c>
      <c r="H104" s="114"/>
      <c r="I104" s="130" t="s">
        <v>543</v>
      </c>
      <c r="J104" s="130"/>
      <c r="K104" s="179">
        <v>0.25</v>
      </c>
      <c r="L104" s="82" t="s">
        <v>1120</v>
      </c>
      <c r="M104" s="128" t="s">
        <v>1371</v>
      </c>
      <c r="N104" s="128" t="s">
        <v>1372</v>
      </c>
    </row>
    <row r="105" spans="1:14" s="117" customFormat="1" ht="23">
      <c r="A105" s="87" t="s">
        <v>1260</v>
      </c>
      <c r="B105" s="96"/>
      <c r="C105" s="128" t="s">
        <v>947</v>
      </c>
      <c r="D105" s="129" t="s">
        <v>254</v>
      </c>
      <c r="E105" s="114"/>
      <c r="F105" s="82" t="s">
        <v>555</v>
      </c>
      <c r="G105" s="130" t="s">
        <v>543</v>
      </c>
      <c r="H105" s="114"/>
      <c r="I105" s="130" t="s">
        <v>543</v>
      </c>
      <c r="J105" s="130"/>
      <c r="K105" s="179">
        <v>0.25</v>
      </c>
      <c r="L105" s="82" t="s">
        <v>1120</v>
      </c>
      <c r="M105" s="128" t="s">
        <v>1371</v>
      </c>
      <c r="N105" s="128" t="s">
        <v>1372</v>
      </c>
    </row>
    <row r="106" spans="1:14" s="117" customFormat="1" ht="23">
      <c r="A106" s="87" t="s">
        <v>1261</v>
      </c>
      <c r="B106" s="96"/>
      <c r="C106" s="128" t="s">
        <v>953</v>
      </c>
      <c r="D106" s="129" t="s">
        <v>258</v>
      </c>
      <c r="E106" s="114"/>
      <c r="F106" s="82" t="s">
        <v>555</v>
      </c>
      <c r="G106" s="82" t="s">
        <v>578</v>
      </c>
      <c r="H106" s="114"/>
      <c r="I106" s="130" t="s">
        <v>543</v>
      </c>
      <c r="J106" s="130">
        <v>296903.03999999998</v>
      </c>
      <c r="K106" s="179">
        <v>0.25</v>
      </c>
      <c r="L106" s="82" t="s">
        <v>1157</v>
      </c>
      <c r="M106" s="128" t="s">
        <v>1371</v>
      </c>
      <c r="N106" s="128" t="s">
        <v>1372</v>
      </c>
    </row>
    <row r="107" spans="1:14" s="117" customFormat="1" ht="34.5">
      <c r="A107" s="87" t="s">
        <v>1262</v>
      </c>
      <c r="B107" s="96"/>
      <c r="C107" s="128" t="s">
        <v>957</v>
      </c>
      <c r="D107" s="129" t="s">
        <v>260</v>
      </c>
      <c r="E107" s="114"/>
      <c r="F107" s="82" t="s">
        <v>555</v>
      </c>
      <c r="G107" s="130" t="s">
        <v>543</v>
      </c>
      <c r="H107" s="114"/>
      <c r="I107" s="130" t="s">
        <v>543</v>
      </c>
      <c r="J107" s="130"/>
      <c r="K107" s="179">
        <v>0.25</v>
      </c>
      <c r="L107" s="82" t="s">
        <v>1120</v>
      </c>
      <c r="M107" s="128" t="s">
        <v>1371</v>
      </c>
      <c r="N107" s="128" t="s">
        <v>1372</v>
      </c>
    </row>
    <row r="108" spans="1:14" s="117" customFormat="1" ht="23">
      <c r="A108" s="87" t="s">
        <v>1263</v>
      </c>
      <c r="B108" s="96"/>
      <c r="C108" s="128" t="s">
        <v>958</v>
      </c>
      <c r="D108" s="129" t="s">
        <v>262</v>
      </c>
      <c r="E108" s="114"/>
      <c r="F108" s="82" t="s">
        <v>555</v>
      </c>
      <c r="G108" s="130" t="s">
        <v>543</v>
      </c>
      <c r="H108" s="114"/>
      <c r="I108" s="130" t="s">
        <v>543</v>
      </c>
      <c r="J108" s="130"/>
      <c r="K108" s="179">
        <v>0.25</v>
      </c>
      <c r="L108" s="82" t="s">
        <v>1120</v>
      </c>
      <c r="M108" s="128" t="s">
        <v>1371</v>
      </c>
      <c r="N108" s="128" t="s">
        <v>1372</v>
      </c>
    </row>
    <row r="109" spans="1:14" s="117" customFormat="1" ht="34.5">
      <c r="A109" s="87" t="s">
        <v>1264</v>
      </c>
      <c r="B109" s="96"/>
      <c r="C109" s="128" t="s">
        <v>1364</v>
      </c>
      <c r="D109" s="129" t="s">
        <v>264</v>
      </c>
      <c r="E109" s="114"/>
      <c r="F109" s="82" t="s">
        <v>555</v>
      </c>
      <c r="G109" s="130" t="s">
        <v>543</v>
      </c>
      <c r="H109" s="114"/>
      <c r="I109" s="130" t="s">
        <v>543</v>
      </c>
      <c r="J109" s="130"/>
      <c r="K109" s="179">
        <v>0.25</v>
      </c>
      <c r="L109" s="82" t="s">
        <v>1120</v>
      </c>
      <c r="M109" s="128" t="s">
        <v>1371</v>
      </c>
      <c r="N109" s="128" t="s">
        <v>1372</v>
      </c>
    </row>
    <row r="110" spans="1:14" s="117" customFormat="1" ht="23">
      <c r="A110" s="87" t="s">
        <v>1265</v>
      </c>
      <c r="B110" s="96"/>
      <c r="C110" s="128" t="s">
        <v>960</v>
      </c>
      <c r="D110" s="129" t="s">
        <v>264</v>
      </c>
      <c r="E110" s="114"/>
      <c r="F110" s="82" t="s">
        <v>555</v>
      </c>
      <c r="G110" s="82" t="s">
        <v>578</v>
      </c>
      <c r="H110" s="114"/>
      <c r="I110" s="130" t="s">
        <v>569</v>
      </c>
      <c r="J110" s="132">
        <v>6534</v>
      </c>
      <c r="K110" s="179">
        <v>0.25</v>
      </c>
      <c r="L110" s="82" t="s">
        <v>1156</v>
      </c>
      <c r="M110" s="128" t="s">
        <v>1371</v>
      </c>
      <c r="N110" s="128" t="s">
        <v>1372</v>
      </c>
    </row>
    <row r="111" spans="1:14" s="117" customFormat="1" ht="57.5">
      <c r="A111" s="87" t="s">
        <v>1266</v>
      </c>
      <c r="B111" s="128"/>
      <c r="C111" s="128" t="s">
        <v>1133</v>
      </c>
      <c r="D111" s="128" t="s">
        <v>44</v>
      </c>
      <c r="E111" s="128" t="str">
        <f>D102</f>
        <v>11.7.2</v>
      </c>
      <c r="F111" s="128" t="s">
        <v>559</v>
      </c>
      <c r="G111" s="128" t="s">
        <v>578</v>
      </c>
      <c r="H111" s="128"/>
      <c r="I111" s="128" t="s">
        <v>543</v>
      </c>
      <c r="J111" s="132">
        <v>94003.82</v>
      </c>
      <c r="K111" s="179">
        <v>0.25</v>
      </c>
      <c r="L111" s="128" t="s">
        <v>1341</v>
      </c>
      <c r="M111" s="128" t="s">
        <v>1371</v>
      </c>
      <c r="N111" s="128" t="s">
        <v>1372</v>
      </c>
    </row>
    <row r="112" spans="1:14" s="117" customFormat="1" ht="92">
      <c r="A112" s="87" t="s">
        <v>1352</v>
      </c>
      <c r="B112" s="128" t="s">
        <v>1353</v>
      </c>
      <c r="C112" s="128" t="s">
        <v>1354</v>
      </c>
      <c r="D112" s="128"/>
      <c r="E112" s="128" t="str">
        <f>D103</f>
        <v>11.7.2</v>
      </c>
      <c r="F112" s="82" t="s">
        <v>555</v>
      </c>
      <c r="G112" s="128" t="s">
        <v>576</v>
      </c>
      <c r="H112" s="128" t="s">
        <v>599</v>
      </c>
      <c r="I112" s="128" t="s">
        <v>543</v>
      </c>
      <c r="J112" s="132">
        <v>1300</v>
      </c>
      <c r="K112" s="179">
        <v>0.25</v>
      </c>
      <c r="L112" s="128"/>
      <c r="M112" s="128" t="s">
        <v>1371</v>
      </c>
      <c r="N112" s="128" t="s">
        <v>1372</v>
      </c>
    </row>
    <row r="113" spans="1:14" s="184" customFormat="1" ht="34.5">
      <c r="A113" s="88" t="s">
        <v>1267</v>
      </c>
      <c r="B113" s="97"/>
      <c r="C113" s="181" t="s">
        <v>1159</v>
      </c>
      <c r="D113" s="181" t="s">
        <v>275</v>
      </c>
      <c r="E113" s="115"/>
      <c r="F113" s="181" t="s">
        <v>556</v>
      </c>
      <c r="G113" s="183" t="s">
        <v>543</v>
      </c>
      <c r="H113" s="115"/>
      <c r="I113" s="183" t="s">
        <v>543</v>
      </c>
      <c r="J113" s="183"/>
      <c r="K113" s="182">
        <v>0.25</v>
      </c>
      <c r="L113" s="181" t="s">
        <v>1120</v>
      </c>
      <c r="M113" s="181" t="s">
        <v>1371</v>
      </c>
      <c r="N113" s="181" t="s">
        <v>1373</v>
      </c>
    </row>
    <row r="114" spans="1:14" s="184" customFormat="1" ht="34.5">
      <c r="A114" s="88" t="s">
        <v>1268</v>
      </c>
      <c r="B114" s="97"/>
      <c r="C114" s="181" t="s">
        <v>965</v>
      </c>
      <c r="D114" s="181" t="s">
        <v>282</v>
      </c>
      <c r="E114" s="115"/>
      <c r="F114" s="181" t="s">
        <v>556</v>
      </c>
      <c r="G114" s="181" t="s">
        <v>578</v>
      </c>
      <c r="H114" s="115"/>
      <c r="I114" s="183" t="s">
        <v>543</v>
      </c>
      <c r="J114" s="183">
        <v>296903.03999999998</v>
      </c>
      <c r="K114" s="182">
        <v>0.25</v>
      </c>
      <c r="L114" s="181" t="s">
        <v>1165</v>
      </c>
      <c r="M114" s="181" t="s">
        <v>1371</v>
      </c>
      <c r="N114" s="181" t="s">
        <v>1372</v>
      </c>
    </row>
    <row r="115" spans="1:14" s="184" customFormat="1" ht="23">
      <c r="A115" s="88" t="s">
        <v>1269</v>
      </c>
      <c r="B115" s="97"/>
      <c r="C115" s="181" t="s">
        <v>966</v>
      </c>
      <c r="D115" s="181" t="s">
        <v>282</v>
      </c>
      <c r="E115" s="115"/>
      <c r="F115" s="181" t="s">
        <v>556</v>
      </c>
      <c r="G115" s="181" t="s">
        <v>578</v>
      </c>
      <c r="H115" s="115"/>
      <c r="I115" s="183" t="s">
        <v>543</v>
      </c>
      <c r="J115" s="183">
        <v>296903.03999999998</v>
      </c>
      <c r="K115" s="182">
        <v>0.25</v>
      </c>
      <c r="L115" s="181" t="s">
        <v>1157</v>
      </c>
      <c r="M115" s="181" t="s">
        <v>1371</v>
      </c>
      <c r="N115" s="181" t="s">
        <v>1372</v>
      </c>
    </row>
    <row r="116" spans="1:14" s="184" customFormat="1" ht="34.5">
      <c r="A116" s="88" t="s">
        <v>1270</v>
      </c>
      <c r="B116" s="97"/>
      <c r="C116" s="181" t="s">
        <v>1377</v>
      </c>
      <c r="D116" s="181" t="s">
        <v>284</v>
      </c>
      <c r="E116" s="115"/>
      <c r="F116" s="181" t="s">
        <v>556</v>
      </c>
      <c r="G116" s="183" t="s">
        <v>543</v>
      </c>
      <c r="H116" s="115"/>
      <c r="I116" s="183" t="s">
        <v>543</v>
      </c>
      <c r="J116" s="183"/>
      <c r="K116" s="173"/>
      <c r="L116" s="181" t="s">
        <v>1165</v>
      </c>
      <c r="M116" s="181" t="s">
        <v>1371</v>
      </c>
      <c r="N116" s="181" t="s">
        <v>1372</v>
      </c>
    </row>
    <row r="117" spans="1:14" s="184" customFormat="1" ht="34.5">
      <c r="A117" s="88" t="s">
        <v>1271</v>
      </c>
      <c r="B117" s="97"/>
      <c r="C117" s="181" t="s">
        <v>975</v>
      </c>
      <c r="D117" s="181" t="s">
        <v>291</v>
      </c>
      <c r="E117" s="115"/>
      <c r="F117" s="181" t="s">
        <v>556</v>
      </c>
      <c r="G117" s="181" t="s">
        <v>578</v>
      </c>
      <c r="H117" s="115"/>
      <c r="I117" s="183" t="s">
        <v>543</v>
      </c>
      <c r="J117" s="183">
        <v>296903.03999999998</v>
      </c>
      <c r="K117" s="182">
        <v>0.25</v>
      </c>
      <c r="L117" s="181" t="s">
        <v>1165</v>
      </c>
      <c r="M117" s="181" t="s">
        <v>1371</v>
      </c>
      <c r="N117" s="181" t="s">
        <v>1372</v>
      </c>
    </row>
    <row r="118" spans="1:14" s="184" customFormat="1" ht="23">
      <c r="A118" s="88" t="s">
        <v>1272</v>
      </c>
      <c r="B118" s="97"/>
      <c r="C118" s="181" t="s">
        <v>978</v>
      </c>
      <c r="D118" s="181" t="s">
        <v>293</v>
      </c>
      <c r="E118" s="115"/>
      <c r="F118" s="181" t="s">
        <v>556</v>
      </c>
      <c r="G118" s="183" t="s">
        <v>543</v>
      </c>
      <c r="H118" s="115"/>
      <c r="I118" s="183" t="s">
        <v>543</v>
      </c>
      <c r="J118" s="183"/>
      <c r="K118" s="173"/>
      <c r="L118" s="181" t="s">
        <v>1120</v>
      </c>
      <c r="M118" s="181" t="s">
        <v>1371</v>
      </c>
      <c r="N118" s="181" t="s">
        <v>1372</v>
      </c>
    </row>
    <row r="119" spans="1:14" s="184" customFormat="1" ht="23">
      <c r="A119" s="88" t="s">
        <v>1273</v>
      </c>
      <c r="B119" s="97"/>
      <c r="C119" s="181" t="s">
        <v>980</v>
      </c>
      <c r="D119" s="181" t="s">
        <v>295</v>
      </c>
      <c r="E119" s="115"/>
      <c r="F119" s="181" t="s">
        <v>556</v>
      </c>
      <c r="G119" s="183" t="s">
        <v>543</v>
      </c>
      <c r="H119" s="115"/>
      <c r="I119" s="183" t="s">
        <v>543</v>
      </c>
      <c r="J119" s="183"/>
      <c r="K119" s="173"/>
      <c r="L119" s="181" t="s">
        <v>1120</v>
      </c>
      <c r="M119" s="181" t="s">
        <v>1371</v>
      </c>
      <c r="N119" s="181" t="s">
        <v>1372</v>
      </c>
    </row>
    <row r="120" spans="1:14" s="184" customFormat="1" ht="34.5">
      <c r="A120" s="88" t="s">
        <v>1274</v>
      </c>
      <c r="B120" s="97"/>
      <c r="C120" s="181" t="s">
        <v>1160</v>
      </c>
      <c r="D120" s="181" t="s">
        <v>298</v>
      </c>
      <c r="E120" s="115"/>
      <c r="F120" s="181" t="s">
        <v>556</v>
      </c>
      <c r="G120" s="183" t="s">
        <v>543</v>
      </c>
      <c r="H120" s="115"/>
      <c r="I120" s="183" t="s">
        <v>543</v>
      </c>
      <c r="J120" s="183"/>
      <c r="K120" s="173"/>
      <c r="L120" s="181" t="s">
        <v>1120</v>
      </c>
      <c r="M120" s="181" t="s">
        <v>1371</v>
      </c>
      <c r="N120" s="181" t="s">
        <v>1372</v>
      </c>
    </row>
    <row r="121" spans="1:14" s="184" customFormat="1" ht="23">
      <c r="A121" s="88" t="s">
        <v>1275</v>
      </c>
      <c r="B121" s="97"/>
      <c r="C121" s="181" t="s">
        <v>1349</v>
      </c>
      <c r="D121" s="181" t="s">
        <v>300</v>
      </c>
      <c r="E121" s="181" t="str">
        <f>D80</f>
        <v>08.3.2</v>
      </c>
      <c r="F121" s="181" t="s">
        <v>556</v>
      </c>
      <c r="G121" s="181" t="s">
        <v>578</v>
      </c>
      <c r="H121" s="115"/>
      <c r="I121" s="183" t="s">
        <v>543</v>
      </c>
      <c r="J121" s="183">
        <v>296903.03999999998</v>
      </c>
      <c r="K121" s="182">
        <v>0.25</v>
      </c>
      <c r="L121" s="181" t="s">
        <v>1157</v>
      </c>
      <c r="M121" s="181" t="s">
        <v>1371</v>
      </c>
      <c r="N121" s="181" t="s">
        <v>1372</v>
      </c>
    </row>
    <row r="122" spans="1:14" s="184" customFormat="1" ht="23">
      <c r="A122" s="88" t="s">
        <v>1276</v>
      </c>
      <c r="B122" s="97" t="s">
        <v>1187</v>
      </c>
      <c r="C122" s="181" t="s">
        <v>1365</v>
      </c>
      <c r="D122" s="181"/>
      <c r="E122" s="181" t="str">
        <f>D121</f>
        <v>13.4.2</v>
      </c>
      <c r="F122" s="181" t="s">
        <v>556</v>
      </c>
      <c r="G122" s="181" t="s">
        <v>576</v>
      </c>
      <c r="H122" s="115"/>
      <c r="I122" s="183" t="s">
        <v>543</v>
      </c>
      <c r="J122" s="183">
        <v>800</v>
      </c>
      <c r="K122" s="182">
        <v>0.25</v>
      </c>
      <c r="L122" s="181"/>
      <c r="M122" s="181" t="s">
        <v>1371</v>
      </c>
      <c r="N122" s="181" t="s">
        <v>1372</v>
      </c>
    </row>
    <row r="123" spans="1:14" s="184" customFormat="1" ht="23">
      <c r="A123" s="88" t="s">
        <v>1277</v>
      </c>
      <c r="B123" s="97"/>
      <c r="C123" s="181" t="s">
        <v>985</v>
      </c>
      <c r="D123" s="181" t="s">
        <v>300</v>
      </c>
      <c r="E123" s="115"/>
      <c r="F123" s="181" t="s">
        <v>556</v>
      </c>
      <c r="G123" s="181" t="s">
        <v>578</v>
      </c>
      <c r="H123" s="115"/>
      <c r="I123" s="183" t="s">
        <v>543</v>
      </c>
      <c r="J123" s="183">
        <v>296903.03999999998</v>
      </c>
      <c r="K123" s="182">
        <v>0.25</v>
      </c>
      <c r="L123" s="181" t="s">
        <v>1157</v>
      </c>
      <c r="M123" s="181" t="s">
        <v>1371</v>
      </c>
      <c r="N123" s="181" t="s">
        <v>1372</v>
      </c>
    </row>
    <row r="124" spans="1:14" s="184" customFormat="1" ht="23">
      <c r="A124" s="88" t="s">
        <v>1278</v>
      </c>
      <c r="B124" s="97"/>
      <c r="C124" s="181" t="s">
        <v>986</v>
      </c>
      <c r="D124" s="181" t="s">
        <v>300</v>
      </c>
      <c r="E124" s="115"/>
      <c r="F124" s="181" t="s">
        <v>556</v>
      </c>
      <c r="G124" s="181" t="s">
        <v>578</v>
      </c>
      <c r="H124" s="115"/>
      <c r="I124" s="183" t="s">
        <v>543</v>
      </c>
      <c r="J124" s="183">
        <v>296903.03999999998</v>
      </c>
      <c r="K124" s="182">
        <v>0.25</v>
      </c>
      <c r="L124" s="181" t="s">
        <v>1157</v>
      </c>
      <c r="M124" s="181" t="s">
        <v>1371</v>
      </c>
      <c r="N124" s="181" t="s">
        <v>1372</v>
      </c>
    </row>
    <row r="125" spans="1:14" s="184" customFormat="1" ht="23">
      <c r="A125" s="88" t="s">
        <v>1279</v>
      </c>
      <c r="B125" s="97"/>
      <c r="C125" s="181" t="s">
        <v>987</v>
      </c>
      <c r="D125" s="181" t="s">
        <v>307</v>
      </c>
      <c r="E125" s="115"/>
      <c r="F125" s="181" t="s">
        <v>556</v>
      </c>
      <c r="G125" s="183" t="s">
        <v>543</v>
      </c>
      <c r="H125" s="115"/>
      <c r="I125" s="183" t="s">
        <v>543</v>
      </c>
      <c r="J125" s="183"/>
      <c r="K125" s="182">
        <v>0.25</v>
      </c>
      <c r="L125" s="181" t="s">
        <v>1120</v>
      </c>
      <c r="M125" s="181" t="s">
        <v>1371</v>
      </c>
      <c r="N125" s="181" t="s">
        <v>1372</v>
      </c>
    </row>
    <row r="126" spans="1:14" s="184" customFormat="1" ht="23">
      <c r="A126" s="88" t="s">
        <v>1280</v>
      </c>
      <c r="B126" s="97"/>
      <c r="C126" s="181" t="s">
        <v>988</v>
      </c>
      <c r="D126" s="181" t="s">
        <v>309</v>
      </c>
      <c r="E126" s="115"/>
      <c r="F126" s="181" t="s">
        <v>556</v>
      </c>
      <c r="G126" s="181" t="s">
        <v>578</v>
      </c>
      <c r="H126" s="115"/>
      <c r="I126" s="183" t="s">
        <v>543</v>
      </c>
      <c r="J126" s="183">
        <v>296903.03999999998</v>
      </c>
      <c r="K126" s="182">
        <v>0.25</v>
      </c>
      <c r="L126" s="181" t="s">
        <v>1157</v>
      </c>
      <c r="M126" s="181" t="s">
        <v>1371</v>
      </c>
      <c r="N126" s="181" t="s">
        <v>1372</v>
      </c>
    </row>
    <row r="127" spans="1:14" s="184" customFormat="1" ht="23">
      <c r="A127" s="88" t="s">
        <v>1281</v>
      </c>
      <c r="B127" s="97"/>
      <c r="C127" s="181" t="s">
        <v>1366</v>
      </c>
      <c r="D127" s="181" t="s">
        <v>317</v>
      </c>
      <c r="E127" s="115"/>
      <c r="F127" s="181" t="s">
        <v>556</v>
      </c>
      <c r="G127" s="183" t="s">
        <v>543</v>
      </c>
      <c r="H127" s="115"/>
      <c r="I127" s="183" t="s">
        <v>543</v>
      </c>
      <c r="J127" s="183"/>
      <c r="K127" s="182">
        <v>0.25</v>
      </c>
      <c r="L127" s="191" t="s">
        <v>1165</v>
      </c>
      <c r="M127" s="181" t="s">
        <v>1371</v>
      </c>
      <c r="N127" s="181" t="s">
        <v>1372</v>
      </c>
    </row>
    <row r="128" spans="1:14" s="184" customFormat="1" ht="23">
      <c r="A128" s="88" t="s">
        <v>1282</v>
      </c>
      <c r="B128" s="97"/>
      <c r="C128" s="181" t="s">
        <v>991</v>
      </c>
      <c r="D128" s="181" t="s">
        <v>317</v>
      </c>
      <c r="E128" s="115"/>
      <c r="F128" s="181" t="s">
        <v>556</v>
      </c>
      <c r="G128" s="183" t="s">
        <v>543</v>
      </c>
      <c r="H128" s="115"/>
      <c r="I128" s="183" t="s">
        <v>543</v>
      </c>
      <c r="J128" s="183"/>
      <c r="K128" s="182">
        <v>0.25</v>
      </c>
      <c r="L128" s="191" t="s">
        <v>1165</v>
      </c>
      <c r="M128" s="181" t="s">
        <v>1371</v>
      </c>
      <c r="N128" s="181" t="s">
        <v>1372</v>
      </c>
    </row>
    <row r="129" spans="1:14" s="184" customFormat="1" ht="34.5">
      <c r="A129" s="88" t="s">
        <v>1283</v>
      </c>
      <c r="B129" s="97"/>
      <c r="C129" s="181" t="s">
        <v>994</v>
      </c>
      <c r="D129" s="181" t="s">
        <v>319</v>
      </c>
      <c r="E129" s="115"/>
      <c r="F129" s="181" t="s">
        <v>556</v>
      </c>
      <c r="G129" s="183" t="s">
        <v>543</v>
      </c>
      <c r="H129" s="115"/>
      <c r="I129" s="183" t="s">
        <v>543</v>
      </c>
      <c r="J129" s="183"/>
      <c r="K129" s="182">
        <v>0.25</v>
      </c>
      <c r="L129" s="191" t="s">
        <v>1165</v>
      </c>
      <c r="M129" s="181" t="s">
        <v>1371</v>
      </c>
      <c r="N129" s="181" t="s">
        <v>1372</v>
      </c>
    </row>
    <row r="130" spans="1:14" s="184" customFormat="1" ht="23">
      <c r="A130" s="88" t="s">
        <v>1284</v>
      </c>
      <c r="B130" s="97"/>
      <c r="C130" s="181" t="s">
        <v>998</v>
      </c>
      <c r="D130" s="181" t="s">
        <v>326</v>
      </c>
      <c r="E130" s="115"/>
      <c r="F130" s="181" t="s">
        <v>556</v>
      </c>
      <c r="G130" s="181" t="s">
        <v>578</v>
      </c>
      <c r="H130" s="115"/>
      <c r="I130" s="183" t="s">
        <v>543</v>
      </c>
      <c r="J130" s="183">
        <v>296903.03999999998</v>
      </c>
      <c r="K130" s="182">
        <v>0.25</v>
      </c>
      <c r="L130" s="181" t="s">
        <v>1120</v>
      </c>
      <c r="M130" s="181" t="s">
        <v>1371</v>
      </c>
      <c r="N130" s="181" t="s">
        <v>1372</v>
      </c>
    </row>
    <row r="131" spans="1:14" s="184" customFormat="1" ht="46">
      <c r="A131" s="88" t="s">
        <v>1285</v>
      </c>
      <c r="B131" s="97"/>
      <c r="C131" s="181" t="s">
        <v>1374</v>
      </c>
      <c r="D131" s="181" t="s">
        <v>331</v>
      </c>
      <c r="E131" s="115"/>
      <c r="F131" s="181" t="s">
        <v>556</v>
      </c>
      <c r="G131" s="183" t="s">
        <v>543</v>
      </c>
      <c r="H131" s="115"/>
      <c r="I131" s="183" t="s">
        <v>543</v>
      </c>
      <c r="J131" s="183"/>
      <c r="K131" s="182">
        <v>0.25</v>
      </c>
      <c r="L131" s="181" t="s">
        <v>1120</v>
      </c>
      <c r="M131" s="181" t="s">
        <v>1371</v>
      </c>
      <c r="N131" s="181" t="s">
        <v>1372</v>
      </c>
    </row>
    <row r="132" spans="1:14" s="184" customFormat="1" ht="34.5">
      <c r="A132" s="88" t="s">
        <v>1286</v>
      </c>
      <c r="B132" s="97"/>
      <c r="C132" s="181" t="s">
        <v>1002</v>
      </c>
      <c r="D132" s="181" t="s">
        <v>331</v>
      </c>
      <c r="E132" s="115"/>
      <c r="F132" s="181" t="s">
        <v>556</v>
      </c>
      <c r="G132" s="183" t="s">
        <v>543</v>
      </c>
      <c r="H132" s="115"/>
      <c r="I132" s="183" t="s">
        <v>543</v>
      </c>
      <c r="J132" s="183"/>
      <c r="K132" s="182">
        <v>0.25</v>
      </c>
      <c r="L132" s="181" t="s">
        <v>1120</v>
      </c>
      <c r="M132" s="181" t="s">
        <v>1371</v>
      </c>
      <c r="N132" s="181" t="s">
        <v>1372</v>
      </c>
    </row>
    <row r="133" spans="1:14" s="184" customFormat="1" ht="34.5">
      <c r="A133" s="88" t="s">
        <v>1287</v>
      </c>
      <c r="B133" s="97"/>
      <c r="C133" s="181" t="s">
        <v>1367</v>
      </c>
      <c r="D133" s="181" t="s">
        <v>333</v>
      </c>
      <c r="E133" s="115"/>
      <c r="F133" s="181" t="s">
        <v>556</v>
      </c>
      <c r="G133" s="183" t="s">
        <v>543</v>
      </c>
      <c r="H133" s="115"/>
      <c r="I133" s="183" t="s">
        <v>543</v>
      </c>
      <c r="J133" s="183"/>
      <c r="K133" s="182">
        <v>0.25</v>
      </c>
      <c r="L133" s="181" t="s">
        <v>1120</v>
      </c>
      <c r="M133" s="181" t="s">
        <v>1371</v>
      </c>
      <c r="N133" s="181" t="s">
        <v>1372</v>
      </c>
    </row>
    <row r="134" spans="1:14" s="184" customFormat="1" ht="23">
      <c r="A134" s="88" t="s">
        <v>1288</v>
      </c>
      <c r="B134" s="97"/>
      <c r="C134" s="181" t="s">
        <v>1004</v>
      </c>
      <c r="D134" s="181" t="s">
        <v>333</v>
      </c>
      <c r="E134" s="115"/>
      <c r="F134" s="181" t="s">
        <v>556</v>
      </c>
      <c r="G134" s="183" t="s">
        <v>543</v>
      </c>
      <c r="H134" s="115"/>
      <c r="I134" s="183" t="s">
        <v>543</v>
      </c>
      <c r="J134" s="183"/>
      <c r="K134" s="182">
        <v>0.25</v>
      </c>
      <c r="L134" s="181" t="s">
        <v>1120</v>
      </c>
      <c r="M134" s="181" t="s">
        <v>1371</v>
      </c>
      <c r="N134" s="181" t="s">
        <v>1372</v>
      </c>
    </row>
    <row r="135" spans="1:14" s="184" customFormat="1" ht="46">
      <c r="A135" s="88" t="s">
        <v>1289</v>
      </c>
      <c r="B135" s="97"/>
      <c r="C135" s="181" t="s">
        <v>1166</v>
      </c>
      <c r="D135" s="181" t="s">
        <v>333</v>
      </c>
      <c r="E135" s="115"/>
      <c r="F135" s="181" t="s">
        <v>556</v>
      </c>
      <c r="G135" s="183" t="s">
        <v>543</v>
      </c>
      <c r="H135" s="115"/>
      <c r="I135" s="183" t="s">
        <v>543</v>
      </c>
      <c r="J135" s="183"/>
      <c r="K135" s="182">
        <v>0.25</v>
      </c>
      <c r="L135" s="181" t="s">
        <v>1120</v>
      </c>
      <c r="M135" s="181" t="s">
        <v>1371</v>
      </c>
      <c r="N135" s="181" t="s">
        <v>1372</v>
      </c>
    </row>
    <row r="136" spans="1:14" s="184" customFormat="1" ht="57.5">
      <c r="A136" s="88" t="s">
        <v>1290</v>
      </c>
      <c r="B136" s="97"/>
      <c r="C136" s="181" t="s">
        <v>1375</v>
      </c>
      <c r="D136" s="181" t="s">
        <v>340</v>
      </c>
      <c r="E136" s="115"/>
      <c r="F136" s="181" t="s">
        <v>556</v>
      </c>
      <c r="G136" s="183" t="s">
        <v>543</v>
      </c>
      <c r="H136" s="115"/>
      <c r="I136" s="183" t="s">
        <v>543</v>
      </c>
      <c r="J136" s="183"/>
      <c r="K136" s="182">
        <v>0.25</v>
      </c>
      <c r="L136" s="181" t="s">
        <v>1120</v>
      </c>
      <c r="M136" s="181" t="s">
        <v>1371</v>
      </c>
      <c r="N136" s="181" t="s">
        <v>1372</v>
      </c>
    </row>
    <row r="137" spans="1:14" s="184" customFormat="1" ht="23">
      <c r="A137" s="88" t="s">
        <v>1291</v>
      </c>
      <c r="B137" s="97"/>
      <c r="C137" s="181" t="s">
        <v>1011</v>
      </c>
      <c r="D137" s="181" t="s">
        <v>340</v>
      </c>
      <c r="E137" s="115"/>
      <c r="F137" s="181" t="s">
        <v>556</v>
      </c>
      <c r="G137" s="183" t="s">
        <v>543</v>
      </c>
      <c r="H137" s="115"/>
      <c r="I137" s="183" t="s">
        <v>543</v>
      </c>
      <c r="J137" s="183"/>
      <c r="K137" s="182">
        <v>0.25</v>
      </c>
      <c r="L137" s="181" t="s">
        <v>1120</v>
      </c>
      <c r="M137" s="181" t="s">
        <v>1371</v>
      </c>
      <c r="N137" s="181" t="s">
        <v>1372</v>
      </c>
    </row>
    <row r="138" spans="1:14" s="184" customFormat="1" ht="49" customHeight="1">
      <c r="A138" s="88" t="s">
        <v>1292</v>
      </c>
      <c r="B138" s="97"/>
      <c r="C138" s="181" t="s">
        <v>1348</v>
      </c>
      <c r="D138" s="181" t="s">
        <v>343</v>
      </c>
      <c r="E138" s="115"/>
      <c r="F138" s="181" t="s">
        <v>556</v>
      </c>
      <c r="G138" s="183" t="s">
        <v>543</v>
      </c>
      <c r="H138" s="115"/>
      <c r="I138" s="183" t="s">
        <v>543</v>
      </c>
      <c r="J138" s="183"/>
      <c r="K138" s="182">
        <v>0.25</v>
      </c>
      <c r="L138" s="181" t="s">
        <v>1120</v>
      </c>
      <c r="M138" s="181" t="s">
        <v>1371</v>
      </c>
      <c r="N138" s="181" t="s">
        <v>1372</v>
      </c>
    </row>
    <row r="139" spans="1:14" s="184" customFormat="1" ht="57.5">
      <c r="A139" s="88" t="s">
        <v>1293</v>
      </c>
      <c r="B139" s="97" t="s">
        <v>1347</v>
      </c>
      <c r="C139" s="181" t="s">
        <v>1013</v>
      </c>
      <c r="D139" s="181" t="s">
        <v>343</v>
      </c>
      <c r="E139" s="115"/>
      <c r="F139" s="181" t="s">
        <v>556</v>
      </c>
      <c r="G139" s="183" t="s">
        <v>576</v>
      </c>
      <c r="H139" s="181" t="s">
        <v>651</v>
      </c>
      <c r="I139" s="183" t="s">
        <v>543</v>
      </c>
      <c r="J139" s="183">
        <v>1000</v>
      </c>
      <c r="K139" s="182">
        <v>0.25</v>
      </c>
      <c r="L139" s="181"/>
      <c r="M139" s="181" t="s">
        <v>1371</v>
      </c>
      <c r="N139" s="181" t="s">
        <v>1372</v>
      </c>
    </row>
    <row r="140" spans="1:14" s="184" customFormat="1" ht="34.5">
      <c r="A140" s="88" t="s">
        <v>1294</v>
      </c>
      <c r="B140" s="97"/>
      <c r="C140" s="181" t="s">
        <v>1014</v>
      </c>
      <c r="D140" s="181" t="s">
        <v>343</v>
      </c>
      <c r="E140" s="115"/>
      <c r="F140" s="181" t="s">
        <v>556</v>
      </c>
      <c r="G140" s="183" t="s">
        <v>543</v>
      </c>
      <c r="H140" s="115"/>
      <c r="I140" s="183" t="s">
        <v>543</v>
      </c>
      <c r="J140" s="183"/>
      <c r="K140" s="182">
        <v>0.25</v>
      </c>
      <c r="L140" s="181" t="s">
        <v>1120</v>
      </c>
      <c r="M140" s="181" t="s">
        <v>1371</v>
      </c>
      <c r="N140" s="181" t="s">
        <v>1372</v>
      </c>
    </row>
    <row r="141" spans="1:14" s="184" customFormat="1" ht="23">
      <c r="A141" s="88" t="s">
        <v>1295</v>
      </c>
      <c r="B141" s="97"/>
      <c r="C141" s="181" t="s">
        <v>1015</v>
      </c>
      <c r="D141" s="181" t="s">
        <v>343</v>
      </c>
      <c r="E141" s="115"/>
      <c r="F141" s="181" t="s">
        <v>556</v>
      </c>
      <c r="G141" s="183" t="s">
        <v>543</v>
      </c>
      <c r="H141" s="115"/>
      <c r="I141" s="183" t="s">
        <v>543</v>
      </c>
      <c r="J141" s="183"/>
      <c r="K141" s="182">
        <v>0.25</v>
      </c>
      <c r="L141" s="181" t="s">
        <v>1120</v>
      </c>
      <c r="M141" s="181" t="s">
        <v>1371</v>
      </c>
      <c r="N141" s="181" t="s">
        <v>1373</v>
      </c>
    </row>
    <row r="142" spans="1:14" s="184" customFormat="1" ht="23">
      <c r="A142" s="88" t="s">
        <v>1296</v>
      </c>
      <c r="B142" s="97"/>
      <c r="C142" s="181" t="s">
        <v>1376</v>
      </c>
      <c r="D142" s="181" t="s">
        <v>346</v>
      </c>
      <c r="E142" s="115"/>
      <c r="F142" s="181" t="s">
        <v>556</v>
      </c>
      <c r="G142" s="183" t="s">
        <v>543</v>
      </c>
      <c r="H142" s="115"/>
      <c r="I142" s="183" t="s">
        <v>543</v>
      </c>
      <c r="J142" s="183"/>
      <c r="K142" s="182">
        <v>0.25</v>
      </c>
      <c r="L142" s="181" t="s">
        <v>1120</v>
      </c>
      <c r="M142" s="181" t="s">
        <v>1371</v>
      </c>
      <c r="N142" s="181" t="s">
        <v>1372</v>
      </c>
    </row>
    <row r="143" spans="1:14" s="184" customFormat="1" ht="23">
      <c r="A143" s="88" t="s">
        <v>1297</v>
      </c>
      <c r="B143" s="97"/>
      <c r="C143" s="181" t="s">
        <v>1017</v>
      </c>
      <c r="D143" s="181" t="s">
        <v>346</v>
      </c>
      <c r="E143" s="115"/>
      <c r="F143" s="181" t="s">
        <v>556</v>
      </c>
      <c r="G143" s="183" t="s">
        <v>543</v>
      </c>
      <c r="H143" s="115"/>
      <c r="I143" s="183" t="s">
        <v>543</v>
      </c>
      <c r="J143" s="183"/>
      <c r="K143" s="182">
        <v>0.25</v>
      </c>
      <c r="L143" s="181" t="s">
        <v>1120</v>
      </c>
      <c r="M143" s="181" t="s">
        <v>1371</v>
      </c>
      <c r="N143" s="181" t="s">
        <v>1372</v>
      </c>
    </row>
    <row r="144" spans="1:14" s="184" customFormat="1" ht="46">
      <c r="A144" s="88" t="s">
        <v>1298</v>
      </c>
      <c r="B144" s="97"/>
      <c r="C144" s="181" t="s">
        <v>1018</v>
      </c>
      <c r="D144" s="181" t="s">
        <v>346</v>
      </c>
      <c r="E144" s="115"/>
      <c r="F144" s="181" t="s">
        <v>556</v>
      </c>
      <c r="G144" s="183" t="s">
        <v>543</v>
      </c>
      <c r="H144" s="115"/>
      <c r="I144" s="183" t="s">
        <v>543</v>
      </c>
      <c r="J144" s="183"/>
      <c r="K144" s="182">
        <v>0.25</v>
      </c>
      <c r="L144" s="181" t="s">
        <v>1120</v>
      </c>
      <c r="M144" s="181" t="s">
        <v>1371</v>
      </c>
      <c r="N144" s="181" t="s">
        <v>1372</v>
      </c>
    </row>
    <row r="145" spans="1:14" s="184" customFormat="1" ht="23">
      <c r="A145" s="88" t="s">
        <v>1299</v>
      </c>
      <c r="B145" s="97"/>
      <c r="C145" s="181" t="s">
        <v>1368</v>
      </c>
      <c r="D145" s="181" t="s">
        <v>348</v>
      </c>
      <c r="E145" s="115"/>
      <c r="F145" s="181" t="s">
        <v>556</v>
      </c>
      <c r="G145" s="183" t="s">
        <v>543</v>
      </c>
      <c r="H145" s="115"/>
      <c r="I145" s="183" t="s">
        <v>543</v>
      </c>
      <c r="J145" s="183"/>
      <c r="K145" s="182">
        <v>0.25</v>
      </c>
      <c r="L145" s="181" t="s">
        <v>1120</v>
      </c>
      <c r="M145" s="181" t="s">
        <v>1371</v>
      </c>
      <c r="N145" s="181" t="s">
        <v>1372</v>
      </c>
    </row>
    <row r="146" spans="1:14" s="184" customFormat="1" ht="23">
      <c r="A146" s="88" t="s">
        <v>1300</v>
      </c>
      <c r="B146" s="97"/>
      <c r="C146" s="181" t="s">
        <v>1022</v>
      </c>
      <c r="D146" s="181" t="s">
        <v>348</v>
      </c>
      <c r="E146" s="115"/>
      <c r="F146" s="181" t="s">
        <v>556</v>
      </c>
      <c r="G146" s="183" t="s">
        <v>543</v>
      </c>
      <c r="H146" s="115"/>
      <c r="I146" s="183" t="s">
        <v>543</v>
      </c>
      <c r="J146" s="183"/>
      <c r="K146" s="182">
        <v>0.25</v>
      </c>
      <c r="L146" s="181" t="s">
        <v>1120</v>
      </c>
      <c r="M146" s="181" t="s">
        <v>1371</v>
      </c>
      <c r="N146" s="181" t="s">
        <v>1372</v>
      </c>
    </row>
    <row r="147" spans="1:14" s="184" customFormat="1" ht="23">
      <c r="A147" s="88" t="s">
        <v>1301</v>
      </c>
      <c r="B147" s="97"/>
      <c r="C147" s="181" t="s">
        <v>1023</v>
      </c>
      <c r="D147" s="181" t="s">
        <v>348</v>
      </c>
      <c r="E147" s="115"/>
      <c r="F147" s="181" t="s">
        <v>556</v>
      </c>
      <c r="G147" s="183" t="s">
        <v>543</v>
      </c>
      <c r="H147" s="115"/>
      <c r="I147" s="183" t="s">
        <v>543</v>
      </c>
      <c r="J147" s="183"/>
      <c r="K147" s="182">
        <v>0.25</v>
      </c>
      <c r="L147" s="181" t="s">
        <v>1120</v>
      </c>
      <c r="M147" s="181" t="s">
        <v>1371</v>
      </c>
      <c r="N147" s="181" t="s">
        <v>1372</v>
      </c>
    </row>
    <row r="148" spans="1:14" s="184" customFormat="1" ht="23">
      <c r="A148" s="88" t="s">
        <v>1302</v>
      </c>
      <c r="B148" s="97"/>
      <c r="C148" s="181" t="s">
        <v>1024</v>
      </c>
      <c r="D148" s="181" t="s">
        <v>348</v>
      </c>
      <c r="E148" s="115"/>
      <c r="F148" s="181" t="s">
        <v>556</v>
      </c>
      <c r="G148" s="183" t="s">
        <v>543</v>
      </c>
      <c r="H148" s="115"/>
      <c r="I148" s="183" t="s">
        <v>543</v>
      </c>
      <c r="J148" s="183"/>
      <c r="K148" s="182">
        <v>0.25</v>
      </c>
      <c r="L148" s="181" t="s">
        <v>1120</v>
      </c>
      <c r="M148" s="181" t="s">
        <v>1371</v>
      </c>
      <c r="N148" s="181" t="s">
        <v>1372</v>
      </c>
    </row>
    <row r="149" spans="1:14" s="184" customFormat="1" ht="34.5">
      <c r="A149" s="89" t="s">
        <v>1303</v>
      </c>
      <c r="B149" s="98"/>
      <c r="C149" s="180" t="s">
        <v>1161</v>
      </c>
      <c r="D149" s="180" t="s">
        <v>353</v>
      </c>
      <c r="E149" s="116"/>
      <c r="F149" s="180" t="s">
        <v>560</v>
      </c>
      <c r="G149" s="185" t="s">
        <v>543</v>
      </c>
      <c r="H149" s="116"/>
      <c r="I149" s="185" t="s">
        <v>543</v>
      </c>
      <c r="J149" s="185"/>
      <c r="K149" s="189">
        <v>0.25</v>
      </c>
      <c r="L149" s="180" t="s">
        <v>1120</v>
      </c>
      <c r="M149" s="180" t="s">
        <v>1371</v>
      </c>
      <c r="N149" s="180" t="s">
        <v>1372</v>
      </c>
    </row>
    <row r="150" spans="1:14" s="184" customFormat="1" ht="23">
      <c r="A150" s="89" t="s">
        <v>1304</v>
      </c>
      <c r="B150" s="98"/>
      <c r="C150" s="180" t="s">
        <v>1162</v>
      </c>
      <c r="D150" s="180" t="s">
        <v>356</v>
      </c>
      <c r="E150" s="116"/>
      <c r="F150" s="180" t="s">
        <v>560</v>
      </c>
      <c r="G150" s="185" t="s">
        <v>543</v>
      </c>
      <c r="H150" s="116"/>
      <c r="I150" s="185" t="s">
        <v>543</v>
      </c>
      <c r="J150" s="185"/>
      <c r="K150" s="189">
        <v>0.25</v>
      </c>
      <c r="L150" s="180" t="s">
        <v>1120</v>
      </c>
      <c r="M150" s="180" t="s">
        <v>1371</v>
      </c>
      <c r="N150" s="180" t="s">
        <v>1372</v>
      </c>
    </row>
    <row r="151" spans="1:14" s="184" customFormat="1" ht="23">
      <c r="A151" s="89" t="s">
        <v>1305</v>
      </c>
      <c r="B151" s="98"/>
      <c r="C151" s="180" t="s">
        <v>1031</v>
      </c>
      <c r="D151" s="180" t="s">
        <v>358</v>
      </c>
      <c r="E151" s="116"/>
      <c r="F151" s="180" t="s">
        <v>560</v>
      </c>
      <c r="G151" s="185" t="s">
        <v>543</v>
      </c>
      <c r="H151" s="116"/>
      <c r="I151" s="185" t="s">
        <v>543</v>
      </c>
      <c r="J151" s="185"/>
      <c r="K151" s="189">
        <v>0.25</v>
      </c>
      <c r="L151" s="180" t="s">
        <v>1120</v>
      </c>
      <c r="M151" s="180" t="s">
        <v>1371</v>
      </c>
      <c r="N151" s="180" t="s">
        <v>1372</v>
      </c>
    </row>
    <row r="152" spans="1:14" s="184" customFormat="1" ht="46">
      <c r="A152" s="89" t="s">
        <v>1306</v>
      </c>
      <c r="B152" s="98"/>
      <c r="C152" s="180" t="s">
        <v>1167</v>
      </c>
      <c r="D152" s="180" t="s">
        <v>362</v>
      </c>
      <c r="E152" s="116"/>
      <c r="F152" s="180" t="s">
        <v>560</v>
      </c>
      <c r="G152" s="185" t="s">
        <v>543</v>
      </c>
      <c r="H152" s="116"/>
      <c r="I152" s="185" t="s">
        <v>543</v>
      </c>
      <c r="J152" s="185"/>
      <c r="K152" s="189">
        <v>0.25</v>
      </c>
      <c r="L152" s="180" t="s">
        <v>1120</v>
      </c>
      <c r="M152" s="180" t="s">
        <v>1371</v>
      </c>
      <c r="N152" s="180" t="s">
        <v>1372</v>
      </c>
    </row>
    <row r="153" spans="1:14" s="184" customFormat="1" ht="23">
      <c r="A153" s="89" t="s">
        <v>1307</v>
      </c>
      <c r="B153" s="98"/>
      <c r="C153" s="180" t="s">
        <v>1163</v>
      </c>
      <c r="D153" s="180" t="s">
        <v>362</v>
      </c>
      <c r="E153" s="116"/>
      <c r="F153" s="180" t="s">
        <v>560</v>
      </c>
      <c r="G153" s="185" t="s">
        <v>543</v>
      </c>
      <c r="H153" s="116"/>
      <c r="I153" s="185" t="s">
        <v>543</v>
      </c>
      <c r="J153" s="185"/>
      <c r="K153" s="189">
        <v>0.25</v>
      </c>
      <c r="L153" s="180" t="s">
        <v>1120</v>
      </c>
      <c r="M153" s="180" t="s">
        <v>1371</v>
      </c>
      <c r="N153" s="180" t="s">
        <v>1372</v>
      </c>
    </row>
    <row r="154" spans="1:14" s="184" customFormat="1" ht="34.5">
      <c r="A154" s="89" t="s">
        <v>1308</v>
      </c>
      <c r="B154" s="98"/>
      <c r="C154" s="180" t="s">
        <v>1164</v>
      </c>
      <c r="D154" s="180" t="s">
        <v>362</v>
      </c>
      <c r="E154" s="116"/>
      <c r="F154" s="180" t="s">
        <v>560</v>
      </c>
      <c r="G154" s="185" t="s">
        <v>543</v>
      </c>
      <c r="H154" s="116"/>
      <c r="I154" s="185" t="s">
        <v>543</v>
      </c>
      <c r="J154" s="185"/>
      <c r="K154" s="189">
        <v>0.25</v>
      </c>
      <c r="L154" s="180" t="s">
        <v>1120</v>
      </c>
      <c r="M154" s="180" t="s">
        <v>1371</v>
      </c>
      <c r="N154" s="180" t="s">
        <v>1372</v>
      </c>
    </row>
    <row r="155" spans="1:14" s="184" customFormat="1" ht="23">
      <c r="A155" s="89" t="s">
        <v>1309</v>
      </c>
      <c r="B155" s="98"/>
      <c r="C155" s="180" t="s">
        <v>1168</v>
      </c>
      <c r="D155" s="180" t="s">
        <v>1036</v>
      </c>
      <c r="E155" s="116"/>
      <c r="F155" s="180" t="s">
        <v>560</v>
      </c>
      <c r="G155" s="185" t="s">
        <v>543</v>
      </c>
      <c r="H155" s="116"/>
      <c r="I155" s="185" t="s">
        <v>543</v>
      </c>
      <c r="J155" s="185"/>
      <c r="K155" s="189">
        <v>0.25</v>
      </c>
      <c r="L155" s="180" t="s">
        <v>1120</v>
      </c>
      <c r="M155" s="180" t="s">
        <v>1371</v>
      </c>
      <c r="N155" s="180" t="s">
        <v>1372</v>
      </c>
    </row>
    <row r="156" spans="1:14" s="184" customFormat="1" ht="34.5">
      <c r="A156" s="89" t="s">
        <v>1310</v>
      </c>
      <c r="B156" s="98"/>
      <c r="C156" s="180" t="s">
        <v>1041</v>
      </c>
      <c r="D156" s="180" t="s">
        <v>1036</v>
      </c>
      <c r="E156" s="116"/>
      <c r="F156" s="180" t="s">
        <v>560</v>
      </c>
      <c r="G156" s="185" t="s">
        <v>543</v>
      </c>
      <c r="H156" s="116"/>
      <c r="I156" s="185" t="s">
        <v>543</v>
      </c>
      <c r="J156" s="185"/>
      <c r="K156" s="189">
        <v>0.25</v>
      </c>
      <c r="L156" s="180" t="s">
        <v>1120</v>
      </c>
      <c r="M156" s="180" t="s">
        <v>1371</v>
      </c>
      <c r="N156" s="180" t="s">
        <v>1372</v>
      </c>
    </row>
    <row r="157" spans="1:14" s="184" customFormat="1" ht="46">
      <c r="A157" s="89" t="s">
        <v>1311</v>
      </c>
      <c r="B157" s="98"/>
      <c r="C157" s="180" t="s">
        <v>1169</v>
      </c>
      <c r="D157" s="180" t="s">
        <v>364</v>
      </c>
      <c r="E157" s="116"/>
      <c r="F157" s="180" t="s">
        <v>560</v>
      </c>
      <c r="G157" s="185" t="s">
        <v>543</v>
      </c>
      <c r="H157" s="116"/>
      <c r="I157" s="185" t="s">
        <v>543</v>
      </c>
      <c r="J157" s="185"/>
      <c r="K157" s="189">
        <v>0.25</v>
      </c>
      <c r="L157" s="180" t="s">
        <v>1120</v>
      </c>
      <c r="M157" s="180" t="s">
        <v>1371</v>
      </c>
      <c r="N157" s="180" t="s">
        <v>1372</v>
      </c>
    </row>
    <row r="158" spans="1:14" s="184" customFormat="1" ht="23">
      <c r="A158" s="89" t="s">
        <v>1312</v>
      </c>
      <c r="B158" s="98"/>
      <c r="C158" s="180" t="s">
        <v>1170</v>
      </c>
      <c r="D158" s="180" t="s">
        <v>365</v>
      </c>
      <c r="E158" s="116"/>
      <c r="F158" s="180" t="s">
        <v>560</v>
      </c>
      <c r="G158" s="185" t="s">
        <v>543</v>
      </c>
      <c r="H158" s="116"/>
      <c r="I158" s="185" t="s">
        <v>543</v>
      </c>
      <c r="J158" s="185"/>
      <c r="K158" s="189">
        <v>0.25</v>
      </c>
      <c r="L158" s="180" t="s">
        <v>1120</v>
      </c>
      <c r="M158" s="180" t="s">
        <v>1371</v>
      </c>
      <c r="N158" s="180" t="s">
        <v>1372</v>
      </c>
    </row>
    <row r="159" spans="1:14" s="184" customFormat="1" ht="23">
      <c r="A159" s="89" t="s">
        <v>1313</v>
      </c>
      <c r="B159" s="98"/>
      <c r="C159" s="180" t="s">
        <v>1048</v>
      </c>
      <c r="D159" s="180" t="s">
        <v>366</v>
      </c>
      <c r="E159" s="116"/>
      <c r="F159" s="180" t="s">
        <v>560</v>
      </c>
      <c r="G159" s="185" t="s">
        <v>543</v>
      </c>
      <c r="H159" s="116"/>
      <c r="I159" s="185" t="s">
        <v>543</v>
      </c>
      <c r="J159" s="185"/>
      <c r="K159" s="189">
        <v>0.25</v>
      </c>
      <c r="L159" s="180" t="s">
        <v>1120</v>
      </c>
      <c r="M159" s="180" t="s">
        <v>1371</v>
      </c>
      <c r="N159" s="180" t="s">
        <v>1372</v>
      </c>
    </row>
    <row r="160" spans="1:14" s="184" customFormat="1" ht="23">
      <c r="A160" s="89" t="s">
        <v>1314</v>
      </c>
      <c r="B160" s="98"/>
      <c r="C160" s="180" t="s">
        <v>1175</v>
      </c>
      <c r="D160" s="180" t="s">
        <v>1049</v>
      </c>
      <c r="E160" s="116"/>
      <c r="F160" s="180" t="s">
        <v>560</v>
      </c>
      <c r="G160" s="185" t="s">
        <v>543</v>
      </c>
      <c r="H160" s="116"/>
      <c r="I160" s="185" t="s">
        <v>543</v>
      </c>
      <c r="J160" s="185"/>
      <c r="K160" s="189">
        <v>0.25</v>
      </c>
      <c r="L160" s="180" t="s">
        <v>1120</v>
      </c>
      <c r="M160" s="180" t="s">
        <v>1371</v>
      </c>
      <c r="N160" s="180" t="s">
        <v>1372</v>
      </c>
    </row>
    <row r="161" spans="1:14" s="184" customFormat="1" ht="34.5">
      <c r="A161" s="89" t="s">
        <v>1315</v>
      </c>
      <c r="B161" s="98"/>
      <c r="C161" s="180" t="s">
        <v>1057</v>
      </c>
      <c r="D161" s="180" t="s">
        <v>1055</v>
      </c>
      <c r="E161" s="116"/>
      <c r="F161" s="180" t="s">
        <v>560</v>
      </c>
      <c r="G161" s="185" t="s">
        <v>543</v>
      </c>
      <c r="H161" s="116"/>
      <c r="I161" s="185" t="s">
        <v>543</v>
      </c>
      <c r="J161" s="185"/>
      <c r="K161" s="189">
        <v>0.25</v>
      </c>
      <c r="L161" s="180" t="s">
        <v>1120</v>
      </c>
      <c r="M161" s="180" t="s">
        <v>1371</v>
      </c>
      <c r="N161" s="180" t="s">
        <v>1372</v>
      </c>
    </row>
    <row r="162" spans="1:14" s="184" customFormat="1" ht="23">
      <c r="A162" s="89" t="s">
        <v>1316</v>
      </c>
      <c r="B162" s="98"/>
      <c r="C162" s="180" t="s">
        <v>1171</v>
      </c>
      <c r="D162" s="180" t="s">
        <v>369</v>
      </c>
      <c r="E162" s="180" t="str">
        <f>D83</f>
        <v>08.4.1</v>
      </c>
      <c r="F162" s="180" t="s">
        <v>560</v>
      </c>
      <c r="G162" s="185" t="s">
        <v>543</v>
      </c>
      <c r="H162" s="116"/>
      <c r="I162" s="185" t="s">
        <v>543</v>
      </c>
      <c r="J162" s="185"/>
      <c r="K162" s="189">
        <v>0.25</v>
      </c>
      <c r="L162" s="180" t="s">
        <v>1120</v>
      </c>
      <c r="M162" s="180" t="s">
        <v>1371</v>
      </c>
      <c r="N162" s="180" t="s">
        <v>1372</v>
      </c>
    </row>
    <row r="163" spans="1:14" s="184" customFormat="1" ht="23">
      <c r="A163" s="89" t="s">
        <v>1317</v>
      </c>
      <c r="B163" s="98"/>
      <c r="C163" s="180" t="s">
        <v>1061</v>
      </c>
      <c r="D163" s="180" t="s">
        <v>369</v>
      </c>
      <c r="E163" s="116"/>
      <c r="F163" s="180" t="s">
        <v>560</v>
      </c>
      <c r="G163" s="185" t="s">
        <v>543</v>
      </c>
      <c r="H163" s="116"/>
      <c r="I163" s="185" t="s">
        <v>543</v>
      </c>
      <c r="J163" s="185"/>
      <c r="K163" s="189">
        <v>0.25</v>
      </c>
      <c r="L163" s="180" t="s">
        <v>1120</v>
      </c>
      <c r="M163" s="180" t="s">
        <v>1371</v>
      </c>
      <c r="N163" s="180" t="s">
        <v>1372</v>
      </c>
    </row>
    <row r="164" spans="1:14" s="184" customFormat="1" ht="23">
      <c r="A164" s="89" t="s">
        <v>1318</v>
      </c>
      <c r="B164" s="98"/>
      <c r="C164" s="180" t="s">
        <v>1062</v>
      </c>
      <c r="D164" s="180" t="s">
        <v>371</v>
      </c>
      <c r="E164" s="116"/>
      <c r="F164" s="180" t="s">
        <v>560</v>
      </c>
      <c r="G164" s="185" t="s">
        <v>543</v>
      </c>
      <c r="H164" s="116"/>
      <c r="I164" s="185" t="s">
        <v>543</v>
      </c>
      <c r="J164" s="185"/>
      <c r="K164" s="189">
        <v>0.25</v>
      </c>
      <c r="L164" s="180" t="s">
        <v>1120</v>
      </c>
      <c r="M164" s="180" t="s">
        <v>1371</v>
      </c>
      <c r="N164" s="180" t="s">
        <v>1372</v>
      </c>
    </row>
    <row r="165" spans="1:14" s="184" customFormat="1" ht="34.5">
      <c r="A165" s="89" t="s">
        <v>1319</v>
      </c>
      <c r="B165" s="98"/>
      <c r="C165" s="180" t="s">
        <v>1172</v>
      </c>
      <c r="D165" s="180" t="s">
        <v>373</v>
      </c>
      <c r="E165" s="116"/>
      <c r="F165" s="180" t="s">
        <v>560</v>
      </c>
      <c r="G165" s="185" t="s">
        <v>543</v>
      </c>
      <c r="H165" s="116"/>
      <c r="I165" s="185" t="s">
        <v>543</v>
      </c>
      <c r="J165" s="185"/>
      <c r="K165" s="189">
        <v>0.25</v>
      </c>
      <c r="L165" s="180" t="s">
        <v>1120</v>
      </c>
      <c r="M165" s="180" t="s">
        <v>1371</v>
      </c>
      <c r="N165" s="180" t="s">
        <v>1372</v>
      </c>
    </row>
    <row r="166" spans="1:14" s="184" customFormat="1" ht="80.5">
      <c r="A166" s="89" t="s">
        <v>1320</v>
      </c>
      <c r="B166" s="98"/>
      <c r="C166" s="180" t="s">
        <v>1361</v>
      </c>
      <c r="D166" s="180" t="s">
        <v>373</v>
      </c>
      <c r="E166" s="116"/>
      <c r="F166" s="180" t="s">
        <v>560</v>
      </c>
      <c r="G166" s="185" t="s">
        <v>543</v>
      </c>
      <c r="H166" s="116"/>
      <c r="I166" s="185" t="s">
        <v>543</v>
      </c>
      <c r="J166" s="185"/>
      <c r="K166" s="189">
        <v>0.25</v>
      </c>
      <c r="L166" s="180" t="s">
        <v>1120</v>
      </c>
      <c r="M166" s="180" t="s">
        <v>1371</v>
      </c>
      <c r="N166" s="180" t="s">
        <v>1372</v>
      </c>
    </row>
    <row r="167" spans="1:14" s="184" customFormat="1" ht="23">
      <c r="A167" s="89" t="s">
        <v>1321</v>
      </c>
      <c r="B167" s="98"/>
      <c r="C167" s="180" t="s">
        <v>1065</v>
      </c>
      <c r="D167" s="180" t="s">
        <v>375</v>
      </c>
      <c r="E167" s="116"/>
      <c r="F167" s="180" t="s">
        <v>560</v>
      </c>
      <c r="G167" s="185" t="s">
        <v>543</v>
      </c>
      <c r="H167" s="116"/>
      <c r="I167" s="185" t="s">
        <v>543</v>
      </c>
      <c r="J167" s="185"/>
      <c r="K167" s="189">
        <v>0.25</v>
      </c>
      <c r="L167" s="180" t="s">
        <v>1120</v>
      </c>
      <c r="M167" s="180" t="s">
        <v>1371</v>
      </c>
      <c r="N167" s="180" t="s">
        <v>1372</v>
      </c>
    </row>
    <row r="168" spans="1:14" s="184" customFormat="1" ht="80.5">
      <c r="A168" s="89" t="s">
        <v>1322</v>
      </c>
      <c r="B168" s="98" t="s">
        <v>1176</v>
      </c>
      <c r="C168" s="180" t="s">
        <v>1067</v>
      </c>
      <c r="D168" s="180" t="s">
        <v>377</v>
      </c>
      <c r="E168" s="116"/>
      <c r="F168" s="180" t="s">
        <v>560</v>
      </c>
      <c r="G168" s="185" t="s">
        <v>576</v>
      </c>
      <c r="H168" s="180" t="s">
        <v>619</v>
      </c>
      <c r="I168" s="185" t="s">
        <v>543</v>
      </c>
      <c r="J168" s="190" t="s">
        <v>1177</v>
      </c>
      <c r="K168" s="189">
        <v>0.25</v>
      </c>
      <c r="L168" s="180" t="s">
        <v>1120</v>
      </c>
      <c r="M168" s="180" t="s">
        <v>1371</v>
      </c>
      <c r="N168" s="180" t="s">
        <v>1372</v>
      </c>
    </row>
    <row r="169" spans="1:14" s="184" customFormat="1" ht="57.5">
      <c r="A169" s="89" t="s">
        <v>1323</v>
      </c>
      <c r="B169" s="98"/>
      <c r="C169" s="180" t="s">
        <v>1070</v>
      </c>
      <c r="D169" s="180" t="s">
        <v>1068</v>
      </c>
      <c r="E169" s="116"/>
      <c r="F169" s="180" t="s">
        <v>560</v>
      </c>
      <c r="G169" s="185" t="s">
        <v>543</v>
      </c>
      <c r="H169" s="116"/>
      <c r="I169" s="185" t="s">
        <v>543</v>
      </c>
      <c r="J169" s="185"/>
      <c r="K169" s="189">
        <v>0.25</v>
      </c>
      <c r="L169" s="180" t="s">
        <v>1120</v>
      </c>
      <c r="M169" s="180" t="s">
        <v>1371</v>
      </c>
      <c r="N169" s="180" t="s">
        <v>1372</v>
      </c>
    </row>
    <row r="170" spans="1:14" s="184" customFormat="1" ht="57.5">
      <c r="A170" s="89" t="s">
        <v>1324</v>
      </c>
      <c r="B170" s="98"/>
      <c r="C170" s="180" t="s">
        <v>1071</v>
      </c>
      <c r="D170" s="180" t="s">
        <v>379</v>
      </c>
      <c r="E170" s="116"/>
      <c r="F170" s="180" t="s">
        <v>560</v>
      </c>
      <c r="G170" s="185" t="s">
        <v>543</v>
      </c>
      <c r="H170" s="116"/>
      <c r="I170" s="185" t="s">
        <v>543</v>
      </c>
      <c r="J170" s="185"/>
      <c r="K170" s="189">
        <v>0.25</v>
      </c>
      <c r="L170" s="180" t="s">
        <v>1120</v>
      </c>
      <c r="M170" s="180" t="s">
        <v>1371</v>
      </c>
      <c r="N170" s="180" t="s">
        <v>1372</v>
      </c>
    </row>
    <row r="171" spans="1:14" s="184" customFormat="1" ht="57.5">
      <c r="A171" s="89" t="s">
        <v>1325</v>
      </c>
      <c r="B171" s="98"/>
      <c r="C171" s="180" t="s">
        <v>1072</v>
      </c>
      <c r="D171" s="180" t="s">
        <v>381</v>
      </c>
      <c r="E171" s="116"/>
      <c r="F171" s="180" t="s">
        <v>560</v>
      </c>
      <c r="G171" s="185" t="s">
        <v>543</v>
      </c>
      <c r="H171" s="116"/>
      <c r="I171" s="185" t="s">
        <v>543</v>
      </c>
      <c r="J171" s="185"/>
      <c r="K171" s="189">
        <v>0.25</v>
      </c>
      <c r="L171" s="180" t="s">
        <v>1120</v>
      </c>
      <c r="M171" s="180" t="s">
        <v>1371</v>
      </c>
      <c r="N171" s="180" t="s">
        <v>1372</v>
      </c>
    </row>
    <row r="172" spans="1:14" s="184" customFormat="1" ht="23">
      <c r="A172" s="89" t="s">
        <v>1326</v>
      </c>
      <c r="B172" s="98"/>
      <c r="C172" s="180" t="s">
        <v>1074</v>
      </c>
      <c r="D172" s="180" t="s">
        <v>384</v>
      </c>
      <c r="E172" s="116"/>
      <c r="F172" s="180" t="s">
        <v>560</v>
      </c>
      <c r="G172" s="185" t="s">
        <v>543</v>
      </c>
      <c r="H172" s="116"/>
      <c r="I172" s="185" t="s">
        <v>543</v>
      </c>
      <c r="J172" s="185"/>
      <c r="K172" s="189">
        <v>0.25</v>
      </c>
      <c r="L172" s="180" t="s">
        <v>1120</v>
      </c>
      <c r="M172" s="180" t="s">
        <v>1371</v>
      </c>
      <c r="N172" s="180" t="s">
        <v>1372</v>
      </c>
    </row>
    <row r="173" spans="1:14" s="184" customFormat="1" ht="23">
      <c r="A173" s="89" t="s">
        <v>1327</v>
      </c>
      <c r="B173" s="98"/>
      <c r="C173" s="180" t="s">
        <v>1173</v>
      </c>
      <c r="D173" s="180" t="s">
        <v>386</v>
      </c>
      <c r="E173" s="116"/>
      <c r="F173" s="180" t="s">
        <v>560</v>
      </c>
      <c r="G173" s="185" t="s">
        <v>543</v>
      </c>
      <c r="H173" s="116"/>
      <c r="I173" s="185" t="s">
        <v>543</v>
      </c>
      <c r="J173" s="185"/>
      <c r="K173" s="189">
        <v>0.25</v>
      </c>
      <c r="L173" s="180" t="s">
        <v>1120</v>
      </c>
      <c r="M173" s="180" t="s">
        <v>1371</v>
      </c>
      <c r="N173" s="180" t="s">
        <v>1372</v>
      </c>
    </row>
    <row r="174" spans="1:14" s="184" customFormat="1" ht="23">
      <c r="A174" s="89" t="s">
        <v>1328</v>
      </c>
      <c r="B174" s="98"/>
      <c r="C174" s="180" t="s">
        <v>1078</v>
      </c>
      <c r="D174" s="180" t="s">
        <v>386</v>
      </c>
      <c r="E174" s="116"/>
      <c r="F174" s="180" t="s">
        <v>560</v>
      </c>
      <c r="G174" s="185" t="s">
        <v>543</v>
      </c>
      <c r="H174" s="116"/>
      <c r="I174" s="185" t="s">
        <v>543</v>
      </c>
      <c r="J174" s="185"/>
      <c r="K174" s="189">
        <v>0.25</v>
      </c>
      <c r="L174" s="180" t="s">
        <v>1120</v>
      </c>
      <c r="M174" s="180" t="s">
        <v>1371</v>
      </c>
      <c r="N174" s="180" t="s">
        <v>1372</v>
      </c>
    </row>
    <row r="175" spans="1:14" s="184" customFormat="1" ht="23">
      <c r="A175" s="89" t="s">
        <v>1329</v>
      </c>
      <c r="B175" s="98"/>
      <c r="C175" s="180" t="s">
        <v>1079</v>
      </c>
      <c r="D175" s="180" t="s">
        <v>386</v>
      </c>
      <c r="E175" s="116"/>
      <c r="F175" s="180" t="s">
        <v>560</v>
      </c>
      <c r="G175" s="185" t="s">
        <v>543</v>
      </c>
      <c r="H175" s="116"/>
      <c r="I175" s="185" t="s">
        <v>543</v>
      </c>
      <c r="J175" s="185"/>
      <c r="K175" s="189">
        <v>0.25</v>
      </c>
      <c r="L175" s="180" t="s">
        <v>1120</v>
      </c>
      <c r="M175" s="180" t="s">
        <v>1371</v>
      </c>
      <c r="N175" s="180" t="s">
        <v>1372</v>
      </c>
    </row>
    <row r="176" spans="1:14" s="184" customFormat="1" ht="34.5">
      <c r="A176" s="89" t="s">
        <v>1330</v>
      </c>
      <c r="B176" s="98"/>
      <c r="C176" s="180" t="s">
        <v>1174</v>
      </c>
      <c r="D176" s="180" t="s">
        <v>388</v>
      </c>
      <c r="E176" s="116"/>
      <c r="F176" s="180" t="s">
        <v>560</v>
      </c>
      <c r="G176" s="185" t="s">
        <v>543</v>
      </c>
      <c r="H176" s="116"/>
      <c r="I176" s="185" t="s">
        <v>543</v>
      </c>
      <c r="J176" s="185"/>
      <c r="K176" s="189">
        <v>0.25</v>
      </c>
      <c r="L176" s="180" t="s">
        <v>1120</v>
      </c>
      <c r="M176" s="180" t="s">
        <v>1371</v>
      </c>
      <c r="N176" s="180" t="s">
        <v>1372</v>
      </c>
    </row>
    <row r="177" spans="1:14" s="184" customFormat="1" ht="23">
      <c r="A177" s="89" t="s">
        <v>1331</v>
      </c>
      <c r="B177" s="98"/>
      <c r="C177" s="180" t="s">
        <v>1085</v>
      </c>
      <c r="D177" s="180" t="s">
        <v>1083</v>
      </c>
      <c r="E177" s="116"/>
      <c r="F177" s="180" t="s">
        <v>560</v>
      </c>
      <c r="G177" s="185" t="s">
        <v>543</v>
      </c>
      <c r="H177" s="116"/>
      <c r="I177" s="185" t="s">
        <v>543</v>
      </c>
      <c r="J177" s="185"/>
      <c r="K177" s="189">
        <v>0.25</v>
      </c>
      <c r="L177" s="180" t="s">
        <v>1120</v>
      </c>
      <c r="M177" s="180" t="s">
        <v>1371</v>
      </c>
      <c r="N177" s="180" t="s">
        <v>1372</v>
      </c>
    </row>
    <row r="178" spans="1:14" s="184" customFormat="1" ht="23">
      <c r="A178" s="89" t="s">
        <v>1332</v>
      </c>
      <c r="B178" s="98"/>
      <c r="C178" s="180" t="s">
        <v>1086</v>
      </c>
      <c r="D178" s="180" t="s">
        <v>1083</v>
      </c>
      <c r="E178" s="116"/>
      <c r="F178" s="180" t="s">
        <v>560</v>
      </c>
      <c r="G178" s="185" t="s">
        <v>543</v>
      </c>
      <c r="H178" s="116"/>
      <c r="I178" s="185" t="s">
        <v>543</v>
      </c>
      <c r="J178" s="185"/>
      <c r="K178" s="189">
        <v>0.25</v>
      </c>
      <c r="L178" s="180" t="s">
        <v>1120</v>
      </c>
      <c r="M178" s="180" t="s">
        <v>1371</v>
      </c>
      <c r="N178" s="180" t="s">
        <v>1372</v>
      </c>
    </row>
    <row r="179" spans="1:14" s="184" customFormat="1" ht="23">
      <c r="A179" s="89" t="s">
        <v>1333</v>
      </c>
      <c r="B179" s="98"/>
      <c r="C179" s="180" t="s">
        <v>1087</v>
      </c>
      <c r="D179" s="180" t="s">
        <v>1083</v>
      </c>
      <c r="E179" s="116"/>
      <c r="F179" s="180" t="s">
        <v>560</v>
      </c>
      <c r="G179" s="185" t="s">
        <v>543</v>
      </c>
      <c r="H179" s="116"/>
      <c r="I179" s="185" t="s">
        <v>543</v>
      </c>
      <c r="J179" s="185"/>
      <c r="K179" s="189">
        <v>0.25</v>
      </c>
      <c r="L179" s="180" t="s">
        <v>1120</v>
      </c>
      <c r="M179" s="180" t="s">
        <v>1371</v>
      </c>
      <c r="N179" s="180" t="s">
        <v>1372</v>
      </c>
    </row>
    <row r="180" spans="1:14" s="188" customFormat="1" ht="23">
      <c r="A180" s="89" t="s">
        <v>1334</v>
      </c>
      <c r="B180" s="98"/>
      <c r="C180" s="180" t="s">
        <v>1090</v>
      </c>
      <c r="D180" s="186" t="s">
        <v>1088</v>
      </c>
      <c r="E180" s="116"/>
      <c r="F180" s="180" t="s">
        <v>560</v>
      </c>
      <c r="G180" s="185" t="s">
        <v>543</v>
      </c>
      <c r="H180" s="116"/>
      <c r="I180" s="185" t="s">
        <v>543</v>
      </c>
      <c r="J180" s="187"/>
      <c r="K180" s="189">
        <v>0.25</v>
      </c>
      <c r="L180" s="180" t="s">
        <v>1120</v>
      </c>
      <c r="M180" s="180" t="s">
        <v>1371</v>
      </c>
      <c r="N180" s="180" t="s">
        <v>1372</v>
      </c>
    </row>
    <row r="181" spans="1:14" s="188" customFormat="1" ht="46">
      <c r="A181" s="89" t="s">
        <v>1335</v>
      </c>
      <c r="B181" s="98" t="s">
        <v>1179</v>
      </c>
      <c r="C181" s="180" t="s">
        <v>1178</v>
      </c>
      <c r="D181" s="186"/>
      <c r="E181" s="180" t="str">
        <f>D158</f>
        <v>16.2.2</v>
      </c>
      <c r="F181" s="180" t="s">
        <v>560</v>
      </c>
      <c r="G181" s="185" t="s">
        <v>576</v>
      </c>
      <c r="H181" s="180" t="s">
        <v>619</v>
      </c>
      <c r="I181" s="185" t="s">
        <v>543</v>
      </c>
      <c r="J181" s="187">
        <v>600</v>
      </c>
      <c r="K181" s="189"/>
      <c r="L181" s="180"/>
      <c r="M181" s="180" t="s">
        <v>1371</v>
      </c>
      <c r="N181" s="180" t="s">
        <v>1372</v>
      </c>
    </row>
    <row r="182" spans="1:14" s="188" customFormat="1" ht="57.5">
      <c r="A182" s="89" t="s">
        <v>1336</v>
      </c>
      <c r="B182" s="98" t="s">
        <v>1180</v>
      </c>
      <c r="C182" s="180" t="s">
        <v>1181</v>
      </c>
      <c r="D182" s="186"/>
      <c r="E182" s="180" t="str">
        <f>D158</f>
        <v>16.2.2</v>
      </c>
      <c r="F182" s="180" t="s">
        <v>560</v>
      </c>
      <c r="G182" s="185" t="s">
        <v>576</v>
      </c>
      <c r="H182" s="180" t="s">
        <v>635</v>
      </c>
      <c r="I182" s="185" t="s">
        <v>543</v>
      </c>
      <c r="J182" s="187">
        <v>300</v>
      </c>
      <c r="K182" s="189"/>
      <c r="L182" s="180"/>
      <c r="M182" s="180" t="s">
        <v>1371</v>
      </c>
      <c r="N182" s="180" t="s">
        <v>1372</v>
      </c>
    </row>
    <row r="183" spans="1:14" s="188" customFormat="1" ht="69">
      <c r="A183" s="89" t="s">
        <v>1337</v>
      </c>
      <c r="B183" s="98" t="s">
        <v>1182</v>
      </c>
      <c r="C183" s="180" t="s">
        <v>1183</v>
      </c>
      <c r="D183" s="186"/>
      <c r="E183" s="180" t="str">
        <f>D70</f>
        <v>06.4.4</v>
      </c>
      <c r="F183" s="180" t="s">
        <v>560</v>
      </c>
      <c r="G183" s="185" t="s">
        <v>576</v>
      </c>
      <c r="H183" s="180" t="s">
        <v>629</v>
      </c>
      <c r="I183" s="185" t="s">
        <v>543</v>
      </c>
      <c r="J183" s="187">
        <v>1000</v>
      </c>
      <c r="K183" s="189"/>
      <c r="L183" s="180"/>
      <c r="M183" s="180" t="s">
        <v>1371</v>
      </c>
      <c r="N183" s="180" t="s">
        <v>1372</v>
      </c>
    </row>
    <row r="184" spans="1:14" s="188" customFormat="1" ht="103.5">
      <c r="A184" s="89" t="s">
        <v>1338</v>
      </c>
      <c r="B184" s="98" t="s">
        <v>1180</v>
      </c>
      <c r="C184" s="180" t="s">
        <v>1184</v>
      </c>
      <c r="D184" s="186"/>
      <c r="E184" s="180" t="str">
        <f>D156</f>
        <v>16.1.2</v>
      </c>
      <c r="F184" s="180" t="s">
        <v>560</v>
      </c>
      <c r="G184" s="185" t="s">
        <v>576</v>
      </c>
      <c r="H184" s="180" t="s">
        <v>601</v>
      </c>
      <c r="I184" s="185" t="s">
        <v>543</v>
      </c>
      <c r="J184" s="187">
        <v>1000</v>
      </c>
      <c r="K184" s="189"/>
      <c r="L184" s="180" t="s">
        <v>1190</v>
      </c>
      <c r="M184" s="180" t="s">
        <v>1371</v>
      </c>
      <c r="N184" s="180" t="s">
        <v>1372</v>
      </c>
    </row>
    <row r="185" spans="1:14" s="188" customFormat="1" ht="80.5">
      <c r="A185" s="89" t="s">
        <v>1339</v>
      </c>
      <c r="B185" s="98" t="s">
        <v>1189</v>
      </c>
      <c r="C185" s="180" t="s">
        <v>1188</v>
      </c>
      <c r="D185" s="186"/>
      <c r="E185" s="180" t="str">
        <f>D141</f>
        <v>14.2.1</v>
      </c>
      <c r="F185" s="180" t="s">
        <v>560</v>
      </c>
      <c r="G185" s="185" t="s">
        <v>576</v>
      </c>
      <c r="H185" s="180" t="s">
        <v>607</v>
      </c>
      <c r="I185" s="185"/>
      <c r="J185" s="187">
        <v>100</v>
      </c>
      <c r="K185" s="189"/>
      <c r="L185" s="180"/>
      <c r="M185" s="180" t="s">
        <v>1371</v>
      </c>
      <c r="N185" s="180" t="s">
        <v>1372</v>
      </c>
    </row>
    <row r="186" spans="1:14" s="188" customFormat="1" ht="46">
      <c r="A186" s="89" t="s">
        <v>1340</v>
      </c>
      <c r="B186" s="98" t="s">
        <v>1186</v>
      </c>
      <c r="C186" s="180" t="s">
        <v>1185</v>
      </c>
      <c r="D186" s="186"/>
      <c r="E186" s="116"/>
      <c r="F186" s="180" t="s">
        <v>560</v>
      </c>
      <c r="G186" s="185" t="s">
        <v>576</v>
      </c>
      <c r="H186" s="180" t="s">
        <v>619</v>
      </c>
      <c r="I186" s="185" t="s">
        <v>543</v>
      </c>
      <c r="J186" s="187">
        <v>1000</v>
      </c>
      <c r="K186" s="189"/>
      <c r="L186" s="180" t="s">
        <v>1190</v>
      </c>
      <c r="M186" s="180" t="s">
        <v>1371</v>
      </c>
      <c r="N186" s="180" t="s">
        <v>1372</v>
      </c>
    </row>
    <row r="187" spans="1:14" s="107" customFormat="1" ht="12">
      <c r="C187" s="175"/>
      <c r="F187" s="83"/>
    </row>
    <row r="188" spans="1:14" s="107" customFormat="1" ht="12">
      <c r="C188" s="175"/>
      <c r="F188" s="83"/>
    </row>
  </sheetData>
  <phoneticPr fontId="26"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0000000}">
          <x14:formula1>
            <xm:f>Llistes!$B$2:$B$15</xm:f>
          </x14:formula1>
          <xm:sqref>G1:G1048576</xm:sqref>
        </x14:dataValidation>
        <x14:dataValidation type="list" allowBlank="1" showInputMessage="1" showErrorMessage="1" xr:uid="{00000000-0002-0000-0100-000001000000}">
          <x14:formula1>
            <xm:f>Llistes!$C$2:$C$19</xm:f>
          </x14:formula1>
          <xm:sqref>I1:I1048576</xm:sqref>
        </x14:dataValidation>
        <x14:dataValidation type="list" allowBlank="1" showInputMessage="1" showErrorMessage="1" xr:uid="{00000000-0002-0000-0100-000002000000}">
          <x14:formula1>
            <xm:f>Llistes!$G$3:$G$38</xm:f>
          </x14:formula1>
          <xm:sqref>H1:H1048576</xm:sqref>
        </x14:dataValidation>
        <x14:dataValidation type="list" allowBlank="1" showInputMessage="1" showErrorMessage="1" xr:uid="{00000000-0002-0000-0100-000003000000}">
          <x14:formula1>
            <xm:f>Llistes!$E$2:$E$8</xm:f>
          </x14:formula1>
          <xm:sqref>F1:F1048576</xm:sqref>
        </x14:dataValidation>
        <x14:dataValidation type="list" showInputMessage="1" showErrorMessage="1" xr:uid="{09B70449-F4A8-48D7-B38F-97950287BB47}">
          <x14:formula1>
            <xm:f>Llistes!$K$2:$K$3</xm:f>
          </x14:formula1>
          <xm:sqref>N2:N186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275"/>
  <sheetViews>
    <sheetView showGridLines="0" zoomScaleNormal="100" workbookViewId="0">
      <pane ySplit="3" topLeftCell="A4" activePane="bottomLeft" state="frozen"/>
      <selection pane="bottomLeft" activeCell="P1" sqref="P1:P1048576"/>
    </sheetView>
  </sheetViews>
  <sheetFormatPr defaultColWidth="8.54296875" defaultRowHeight="14.5"/>
  <cols>
    <col min="1" max="1" width="22.81640625" style="62" customWidth="1"/>
    <col min="2" max="2" width="4" style="13" customWidth="1"/>
    <col min="3" max="3" width="34.1796875" style="15" customWidth="1"/>
    <col min="4" max="4" width="7.453125" style="11" customWidth="1"/>
    <col min="5" max="5" width="50" style="5" customWidth="1"/>
    <col min="6" max="6" width="7.81640625" style="7" customWidth="1"/>
    <col min="7" max="7" width="54.81640625" style="6" customWidth="1"/>
    <col min="8" max="8" width="15.453125" style="12" customWidth="1"/>
    <col min="9" max="9" width="18.1796875" style="12" customWidth="1"/>
    <col min="10" max="10" width="48.54296875" style="6" customWidth="1"/>
    <col min="11" max="11" width="30.81640625" style="12" hidden="1" customWidth="1"/>
    <col min="12" max="12" width="28.1796875" style="13" hidden="1" customWidth="1"/>
    <col min="13" max="13" width="10.54296875" style="14" customWidth="1"/>
    <col min="14" max="14" width="56" style="15" customWidth="1"/>
    <col min="15" max="15" width="24.54296875" style="14" hidden="1" customWidth="1"/>
    <col min="16" max="16" width="47.54296875" style="16" hidden="1" customWidth="1"/>
    <col min="17" max="16384" width="8.54296875" style="3"/>
  </cols>
  <sheetData>
    <row r="1" spans="1:16" ht="18.5">
      <c r="A1" s="17"/>
      <c r="B1" s="18" t="s">
        <v>397</v>
      </c>
      <c r="C1" s="19" t="s">
        <v>1093</v>
      </c>
      <c r="I1" s="164"/>
      <c r="J1" s="165"/>
      <c r="K1" s="164"/>
      <c r="L1" s="166"/>
      <c r="M1" s="167"/>
      <c r="N1" s="168"/>
      <c r="O1" s="167"/>
      <c r="P1" s="169"/>
    </row>
    <row r="2" spans="1:16" ht="18.5">
      <c r="A2" s="17"/>
      <c r="B2" s="18"/>
      <c r="C2" s="20"/>
      <c r="I2" s="164"/>
      <c r="J2" s="170"/>
      <c r="K2" s="164"/>
      <c r="L2" s="166"/>
      <c r="M2" s="167"/>
      <c r="N2" s="168"/>
      <c r="O2" s="167"/>
      <c r="P2" s="169"/>
    </row>
    <row r="3" spans="1:16" s="30" customFormat="1" ht="43.5">
      <c r="A3" s="21" t="s">
        <v>0</v>
      </c>
      <c r="B3" s="22"/>
      <c r="C3" s="23" t="s">
        <v>1</v>
      </c>
      <c r="D3" s="24"/>
      <c r="E3" s="23" t="s">
        <v>2</v>
      </c>
      <c r="F3" s="25"/>
      <c r="G3" s="25" t="s">
        <v>514</v>
      </c>
      <c r="H3" s="25" t="s">
        <v>389</v>
      </c>
      <c r="I3" s="26" t="s">
        <v>390</v>
      </c>
      <c r="J3" s="10" t="s">
        <v>515</v>
      </c>
      <c r="K3" s="9" t="s">
        <v>398</v>
      </c>
      <c r="L3" s="9" t="s">
        <v>399</v>
      </c>
      <c r="M3" s="27" t="s">
        <v>391</v>
      </c>
      <c r="N3" s="9" t="s">
        <v>400</v>
      </c>
      <c r="O3" s="28" t="s">
        <v>401</v>
      </c>
      <c r="P3" s="29" t="s">
        <v>402</v>
      </c>
    </row>
    <row r="4" spans="1:16" ht="391.5" customHeight="1">
      <c r="A4" s="31" t="s">
        <v>4</v>
      </c>
      <c r="B4" s="362">
        <v>1</v>
      </c>
      <c r="C4" s="365" t="s">
        <v>5</v>
      </c>
      <c r="D4" s="358" t="s">
        <v>403</v>
      </c>
      <c r="E4" s="326" t="s">
        <v>6</v>
      </c>
      <c r="F4" s="32" t="s">
        <v>7</v>
      </c>
      <c r="G4" s="33" t="s">
        <v>8</v>
      </c>
      <c r="H4" s="34" t="s">
        <v>392</v>
      </c>
      <c r="I4" s="34" t="s">
        <v>404</v>
      </c>
      <c r="J4" s="35" t="str">
        <f t="shared" ref="J4:J11" si="0">G4</f>
        <v>Implementar i executar plans de gestió específics per a hàbitats i espècies de conservació prioritària dins l'ENP</v>
      </c>
      <c r="K4" s="35"/>
      <c r="L4" s="37"/>
      <c r="M4" s="36" t="s">
        <v>706</v>
      </c>
      <c r="N4" s="33" t="s">
        <v>707</v>
      </c>
      <c r="O4" s="34" t="s">
        <v>405</v>
      </c>
      <c r="P4" s="33" t="s">
        <v>406</v>
      </c>
    </row>
    <row r="5" spans="1:16" ht="29">
      <c r="A5" s="31" t="s">
        <v>4</v>
      </c>
      <c r="B5" s="363"/>
      <c r="C5" s="366"/>
      <c r="D5" s="359"/>
      <c r="E5" s="361"/>
      <c r="F5" s="32" t="s">
        <v>7</v>
      </c>
      <c r="G5" s="33" t="s">
        <v>8</v>
      </c>
      <c r="H5" s="34" t="s">
        <v>392</v>
      </c>
      <c r="I5" s="34" t="s">
        <v>404</v>
      </c>
      <c r="J5" s="35" t="str">
        <f t="shared" si="0"/>
        <v>Implementar i executar plans de gestió específics per a hàbitats i espècies de conservació prioritària dins l'ENP</v>
      </c>
      <c r="K5" s="35"/>
      <c r="L5" s="37"/>
      <c r="M5" s="36" t="s">
        <v>706</v>
      </c>
      <c r="N5" s="33" t="s">
        <v>708</v>
      </c>
      <c r="O5" s="34"/>
      <c r="P5" s="33"/>
    </row>
    <row r="6" spans="1:16" ht="29">
      <c r="A6" s="31" t="s">
        <v>4</v>
      </c>
      <c r="B6" s="363"/>
      <c r="C6" s="366"/>
      <c r="D6" s="359"/>
      <c r="E6" s="361"/>
      <c r="F6" s="32" t="s">
        <v>7</v>
      </c>
      <c r="G6" s="33" t="s">
        <v>8</v>
      </c>
      <c r="H6" s="34" t="s">
        <v>392</v>
      </c>
      <c r="I6" s="34" t="s">
        <v>404</v>
      </c>
      <c r="J6" s="35" t="str">
        <f t="shared" si="0"/>
        <v>Implementar i executar plans de gestió específics per a hàbitats i espècies de conservació prioritària dins l'ENP</v>
      </c>
      <c r="K6" s="35"/>
      <c r="L6" s="37"/>
      <c r="M6" s="36" t="s">
        <v>706</v>
      </c>
      <c r="N6" s="33" t="s">
        <v>709</v>
      </c>
      <c r="O6" s="34"/>
      <c r="P6" s="33"/>
    </row>
    <row r="7" spans="1:16" ht="29">
      <c r="A7" s="31" t="s">
        <v>4</v>
      </c>
      <c r="B7" s="363"/>
      <c r="C7" s="366"/>
      <c r="D7" s="359"/>
      <c r="E7" s="361"/>
      <c r="F7" s="32" t="s">
        <v>7</v>
      </c>
      <c r="G7" s="33" t="s">
        <v>8</v>
      </c>
      <c r="H7" s="34" t="s">
        <v>392</v>
      </c>
      <c r="I7" s="34" t="s">
        <v>404</v>
      </c>
      <c r="J7" s="35" t="str">
        <f t="shared" si="0"/>
        <v>Implementar i executar plans de gestió específics per a hàbitats i espècies de conservació prioritària dins l'ENP</v>
      </c>
      <c r="K7" s="35"/>
      <c r="L7" s="37"/>
      <c r="M7" s="36" t="s">
        <v>706</v>
      </c>
      <c r="N7" s="33" t="s">
        <v>710</v>
      </c>
      <c r="O7" s="34"/>
      <c r="P7" s="33"/>
    </row>
    <row r="8" spans="1:16" ht="29">
      <c r="A8" s="31" t="s">
        <v>4</v>
      </c>
      <c r="B8" s="363"/>
      <c r="C8" s="366"/>
      <c r="D8" s="359"/>
      <c r="E8" s="361"/>
      <c r="F8" s="32" t="s">
        <v>7</v>
      </c>
      <c r="G8" s="33" t="s">
        <v>8</v>
      </c>
      <c r="H8" s="34" t="s">
        <v>392</v>
      </c>
      <c r="I8" s="34" t="s">
        <v>404</v>
      </c>
      <c r="J8" s="35" t="str">
        <f t="shared" si="0"/>
        <v>Implementar i executar plans de gestió específics per a hàbitats i espècies de conservació prioritària dins l'ENP</v>
      </c>
      <c r="K8" s="35"/>
      <c r="L8" s="37"/>
      <c r="M8" s="36" t="s">
        <v>706</v>
      </c>
      <c r="N8" s="33" t="s">
        <v>711</v>
      </c>
      <c r="O8" s="34"/>
      <c r="P8" s="33"/>
    </row>
    <row r="9" spans="1:16" ht="29">
      <c r="A9" s="31" t="s">
        <v>4</v>
      </c>
      <c r="B9" s="363"/>
      <c r="C9" s="366"/>
      <c r="D9" s="359"/>
      <c r="E9" s="361"/>
      <c r="F9" s="32" t="s">
        <v>7</v>
      </c>
      <c r="G9" s="33" t="s">
        <v>8</v>
      </c>
      <c r="H9" s="34" t="s">
        <v>392</v>
      </c>
      <c r="I9" s="34" t="s">
        <v>404</v>
      </c>
      <c r="J9" s="35" t="str">
        <f t="shared" si="0"/>
        <v>Implementar i executar plans de gestió específics per a hàbitats i espècies de conservació prioritària dins l'ENP</v>
      </c>
      <c r="K9" s="35"/>
      <c r="L9" s="37"/>
      <c r="M9" s="36" t="s">
        <v>706</v>
      </c>
      <c r="N9" s="33" t="s">
        <v>712</v>
      </c>
      <c r="O9" s="34"/>
      <c r="P9" s="33"/>
    </row>
    <row r="10" spans="1:16" ht="29.15" customHeight="1">
      <c r="A10" s="31" t="s">
        <v>4</v>
      </c>
      <c r="B10" s="363"/>
      <c r="C10" s="366"/>
      <c r="D10" s="359"/>
      <c r="E10" s="361"/>
      <c r="F10" s="32" t="s">
        <v>7</v>
      </c>
      <c r="G10" s="33" t="s">
        <v>8</v>
      </c>
      <c r="H10" s="34" t="s">
        <v>392</v>
      </c>
      <c r="I10" s="34" t="s">
        <v>404</v>
      </c>
      <c r="J10" s="35" t="str">
        <f t="shared" si="0"/>
        <v>Implementar i executar plans de gestió específics per a hàbitats i espècies de conservació prioritària dins l'ENP</v>
      </c>
      <c r="K10" s="35"/>
      <c r="L10" s="37"/>
      <c r="M10" s="36" t="s">
        <v>706</v>
      </c>
      <c r="N10" s="33" t="s">
        <v>713</v>
      </c>
      <c r="O10" s="34"/>
      <c r="P10" s="33"/>
    </row>
    <row r="11" spans="1:16" ht="87" customHeight="1">
      <c r="A11" s="31" t="s">
        <v>4</v>
      </c>
      <c r="B11" s="363"/>
      <c r="C11" s="366"/>
      <c r="D11" s="359"/>
      <c r="E11" s="361"/>
      <c r="F11" s="32" t="s">
        <v>7</v>
      </c>
      <c r="G11" s="33" t="s">
        <v>8</v>
      </c>
      <c r="H11" s="34" t="s">
        <v>392</v>
      </c>
      <c r="I11" s="34" t="s">
        <v>404</v>
      </c>
      <c r="J11" s="35" t="str">
        <f t="shared" si="0"/>
        <v>Implementar i executar plans de gestió específics per a hàbitats i espècies de conservació prioritària dins l'ENP</v>
      </c>
      <c r="K11" s="35"/>
      <c r="L11" s="37"/>
      <c r="M11" s="36" t="s">
        <v>714</v>
      </c>
      <c r="N11" s="33" t="s">
        <v>715</v>
      </c>
      <c r="O11" s="34"/>
      <c r="P11" s="33"/>
    </row>
    <row r="12" spans="1:16" ht="29">
      <c r="A12" s="31" t="s">
        <v>4</v>
      </c>
      <c r="B12" s="363"/>
      <c r="C12" s="366"/>
      <c r="D12" s="360"/>
      <c r="E12" s="327"/>
      <c r="F12" s="139" t="s">
        <v>9</v>
      </c>
      <c r="G12" s="140" t="s">
        <v>10</v>
      </c>
      <c r="H12" s="141" t="s">
        <v>392</v>
      </c>
      <c r="I12" s="141" t="s">
        <v>404</v>
      </c>
      <c r="J12" s="35"/>
      <c r="K12" s="35"/>
      <c r="L12" s="37"/>
      <c r="M12" s="36"/>
      <c r="N12" s="33"/>
      <c r="O12" s="34"/>
      <c r="P12" s="33"/>
    </row>
    <row r="13" spans="1:16" ht="43.5">
      <c r="A13" s="31" t="s">
        <v>4</v>
      </c>
      <c r="B13" s="363"/>
      <c r="C13" s="366"/>
      <c r="D13" s="358" t="s">
        <v>407</v>
      </c>
      <c r="E13" s="326" t="s">
        <v>11</v>
      </c>
      <c r="F13" s="34" t="s">
        <v>12</v>
      </c>
      <c r="G13" s="33" t="s">
        <v>13</v>
      </c>
      <c r="H13" s="34" t="s">
        <v>392</v>
      </c>
      <c r="I13" s="34" t="s">
        <v>393</v>
      </c>
      <c r="J13" s="35" t="str">
        <f t="shared" ref="J13:J104" si="1">G13</f>
        <v>Implementar la metodologia de gestió adaptativa (Estàndards Oberts de Gestió Adaptativa a Catalunya) en tots els processos de l'ENP</v>
      </c>
      <c r="K13" s="35"/>
      <c r="L13" s="41"/>
      <c r="M13" s="36" t="s">
        <v>714</v>
      </c>
      <c r="N13" s="33" t="s">
        <v>716</v>
      </c>
      <c r="O13" s="34" t="s">
        <v>408</v>
      </c>
      <c r="P13" s="33" t="s">
        <v>409</v>
      </c>
    </row>
    <row r="14" spans="1:16" ht="43.5">
      <c r="A14" s="31" t="s">
        <v>4</v>
      </c>
      <c r="B14" s="363"/>
      <c r="C14" s="366"/>
      <c r="D14" s="359"/>
      <c r="E14" s="361"/>
      <c r="F14" s="34" t="s">
        <v>12</v>
      </c>
      <c r="G14" s="33" t="s">
        <v>13</v>
      </c>
      <c r="H14" s="34" t="s">
        <v>392</v>
      </c>
      <c r="I14" s="34" t="s">
        <v>393</v>
      </c>
      <c r="J14" s="35" t="str">
        <f t="shared" si="1"/>
        <v>Implementar la metodologia de gestió adaptativa (Estàndards Oberts de Gestió Adaptativa a Catalunya) en tots els processos de l'ENP</v>
      </c>
      <c r="K14" s="35"/>
      <c r="L14" s="41"/>
      <c r="M14" s="36" t="s">
        <v>714</v>
      </c>
      <c r="N14" s="33" t="s">
        <v>717</v>
      </c>
      <c r="O14" s="34"/>
      <c r="P14" s="33"/>
    </row>
    <row r="15" spans="1:16" ht="58">
      <c r="A15" s="31" t="s">
        <v>4</v>
      </c>
      <c r="B15" s="363"/>
      <c r="C15" s="366"/>
      <c r="D15" s="359"/>
      <c r="E15" s="361"/>
      <c r="F15" s="34" t="s">
        <v>14</v>
      </c>
      <c r="G15" s="33" t="s">
        <v>15</v>
      </c>
      <c r="H15" s="34" t="s">
        <v>392</v>
      </c>
      <c r="I15" s="34" t="s">
        <v>404</v>
      </c>
      <c r="J15" s="35" t="str">
        <f t="shared" si="1"/>
        <v>Executar les mesures previstes en els plans de conservació o recuperació d'espècies amenaçades de forma coordinada amb el Servei de Flora i Fauna en l'àmbit de l'ENP</v>
      </c>
      <c r="K15" s="35"/>
      <c r="L15" s="41"/>
      <c r="M15" s="36" t="s">
        <v>706</v>
      </c>
      <c r="N15" s="33" t="s">
        <v>718</v>
      </c>
      <c r="O15" s="34"/>
      <c r="P15" s="33"/>
    </row>
    <row r="16" spans="1:16" ht="58">
      <c r="A16" s="31" t="s">
        <v>4</v>
      </c>
      <c r="B16" s="363"/>
      <c r="C16" s="366"/>
      <c r="D16" s="359"/>
      <c r="E16" s="361"/>
      <c r="F16" s="34" t="s">
        <v>14</v>
      </c>
      <c r="G16" s="33" t="s">
        <v>15</v>
      </c>
      <c r="H16" s="34" t="s">
        <v>392</v>
      </c>
      <c r="I16" s="34" t="s">
        <v>404</v>
      </c>
      <c r="J16" s="35" t="str">
        <f t="shared" si="1"/>
        <v>Executar les mesures previstes en els plans de conservació o recuperació d'espècies amenaçades de forma coordinada amb el Servei de Flora i Fauna en l'àmbit de l'ENP</v>
      </c>
      <c r="K16" s="35"/>
      <c r="L16" s="41"/>
      <c r="M16" s="36" t="s">
        <v>706</v>
      </c>
      <c r="N16" s="33" t="s">
        <v>719</v>
      </c>
      <c r="O16" s="34"/>
      <c r="P16" s="33"/>
    </row>
    <row r="17" spans="1:16" ht="58">
      <c r="A17" s="31" t="s">
        <v>4</v>
      </c>
      <c r="B17" s="363"/>
      <c r="C17" s="366"/>
      <c r="D17" s="359"/>
      <c r="E17" s="361"/>
      <c r="F17" s="34" t="s">
        <v>14</v>
      </c>
      <c r="G17" s="33" t="s">
        <v>15</v>
      </c>
      <c r="H17" s="34" t="s">
        <v>392</v>
      </c>
      <c r="I17" s="34" t="s">
        <v>404</v>
      </c>
      <c r="J17" s="35" t="str">
        <f t="shared" si="1"/>
        <v>Executar les mesures previstes en els plans de conservació o recuperació d'espècies amenaçades de forma coordinada amb el Servei de Flora i Fauna en l'àmbit de l'ENP</v>
      </c>
      <c r="K17" s="35"/>
      <c r="L17" s="37"/>
      <c r="M17" s="36" t="s">
        <v>706</v>
      </c>
      <c r="N17" s="33" t="s">
        <v>720</v>
      </c>
      <c r="O17" s="32" t="s">
        <v>410</v>
      </c>
      <c r="P17" s="33" t="s">
        <v>411</v>
      </c>
    </row>
    <row r="18" spans="1:16" ht="72.5">
      <c r="A18" s="31" t="s">
        <v>4</v>
      </c>
      <c r="B18" s="363"/>
      <c r="C18" s="366"/>
      <c r="D18" s="359"/>
      <c r="E18" s="361"/>
      <c r="F18" s="34" t="s">
        <v>16</v>
      </c>
      <c r="G18" s="33" t="s">
        <v>17</v>
      </c>
      <c r="H18" s="34" t="s">
        <v>392</v>
      </c>
      <c r="I18" s="34" t="s">
        <v>404</v>
      </c>
      <c r="J18" s="35" t="str">
        <f t="shared" si="1"/>
        <v>Executar les mesures de gestió previstes en els plans de control i erradicació d'espècies exòtiques de forma coordinada amb el Servei de Flora i Fauna en l'àmbit de l'ENP</v>
      </c>
      <c r="K18" s="35"/>
      <c r="L18" s="37"/>
      <c r="M18" s="36" t="s">
        <v>706</v>
      </c>
      <c r="N18" s="33" t="s">
        <v>721</v>
      </c>
      <c r="O18" s="32"/>
      <c r="P18" s="33"/>
    </row>
    <row r="19" spans="1:16" ht="29.15" customHeight="1">
      <c r="A19" s="31" t="s">
        <v>4</v>
      </c>
      <c r="B19" s="363"/>
      <c r="C19" s="366"/>
      <c r="D19" s="359"/>
      <c r="E19" s="361"/>
      <c r="F19" s="34" t="s">
        <v>16</v>
      </c>
      <c r="G19" s="33" t="s">
        <v>17</v>
      </c>
      <c r="H19" s="34" t="s">
        <v>392</v>
      </c>
      <c r="I19" s="34" t="s">
        <v>404</v>
      </c>
      <c r="J19" s="35" t="str">
        <f t="shared" si="1"/>
        <v>Executar les mesures de gestió previstes en els plans de control i erradicació d'espècies exòtiques de forma coordinada amb el Servei de Flora i Fauna en l'àmbit de l'ENP</v>
      </c>
      <c r="K19" s="35"/>
      <c r="L19" s="37"/>
      <c r="M19" s="36" t="s">
        <v>706</v>
      </c>
      <c r="N19" s="33" t="s">
        <v>722</v>
      </c>
      <c r="O19" s="32" t="s">
        <v>412</v>
      </c>
      <c r="P19" s="33" t="s">
        <v>413</v>
      </c>
    </row>
    <row r="20" spans="1:16" ht="43.5" customHeight="1">
      <c r="A20" s="31" t="s">
        <v>4</v>
      </c>
      <c r="B20" s="363"/>
      <c r="C20" s="366"/>
      <c r="D20" s="359"/>
      <c r="E20" s="361"/>
      <c r="F20" s="34" t="s">
        <v>18</v>
      </c>
      <c r="G20" s="33" t="s">
        <v>19</v>
      </c>
      <c r="H20" s="34" t="s">
        <v>394</v>
      </c>
      <c r="I20" s="34" t="s">
        <v>414</v>
      </c>
      <c r="J20" s="35" t="str">
        <f>G20</f>
        <v xml:space="preserve">Desplegar els objectius i tasques recollits en els instruments de referència i compromisos internacionals  </v>
      </c>
      <c r="K20" s="35"/>
      <c r="L20" s="37"/>
      <c r="M20" s="36" t="s">
        <v>723</v>
      </c>
      <c r="N20" s="33" t="s">
        <v>724</v>
      </c>
      <c r="O20" s="32"/>
      <c r="P20" s="33"/>
    </row>
    <row r="21" spans="1:16" ht="43.5">
      <c r="A21" s="31" t="s">
        <v>4</v>
      </c>
      <c r="B21" s="363"/>
      <c r="C21" s="366"/>
      <c r="D21" s="360"/>
      <c r="E21" s="327"/>
      <c r="F21" s="34" t="s">
        <v>18</v>
      </c>
      <c r="G21" s="33" t="s">
        <v>19</v>
      </c>
      <c r="H21" s="34" t="s">
        <v>394</v>
      </c>
      <c r="I21" s="34" t="s">
        <v>414</v>
      </c>
      <c r="J21" s="35" t="str">
        <f t="shared" ref="J21" si="2">G21</f>
        <v xml:space="preserve">Desplegar els objectius i tasques recollits en els instruments de referència i compromisos internacionals  </v>
      </c>
      <c r="K21" s="35"/>
      <c r="L21" s="37"/>
      <c r="M21" s="36" t="s">
        <v>723</v>
      </c>
      <c r="N21" s="33" t="s">
        <v>725</v>
      </c>
      <c r="O21" s="32"/>
      <c r="P21" s="33"/>
    </row>
    <row r="22" spans="1:16" ht="29.15" customHeight="1">
      <c r="A22" s="31"/>
      <c r="B22" s="363"/>
      <c r="C22" s="366"/>
      <c r="D22" s="358" t="s">
        <v>415</v>
      </c>
      <c r="E22" s="326" t="s">
        <v>20</v>
      </c>
      <c r="F22" s="32" t="s">
        <v>21</v>
      </c>
      <c r="G22" s="33" t="s">
        <v>22</v>
      </c>
      <c r="H22" s="34" t="s">
        <v>392</v>
      </c>
      <c r="I22" s="34" t="s">
        <v>404</v>
      </c>
      <c r="J22" s="35" t="s">
        <v>22</v>
      </c>
      <c r="K22" s="35"/>
      <c r="L22" s="37"/>
      <c r="M22" s="36" t="s">
        <v>714</v>
      </c>
      <c r="N22" s="33" t="s">
        <v>726</v>
      </c>
      <c r="O22" s="32"/>
      <c r="P22" s="33"/>
    </row>
    <row r="23" spans="1:16" ht="14.5" customHeight="1">
      <c r="A23" s="31" t="s">
        <v>4</v>
      </c>
      <c r="B23" s="363"/>
      <c r="C23" s="366"/>
      <c r="D23" s="359"/>
      <c r="E23" s="361"/>
      <c r="F23" s="139" t="s">
        <v>21</v>
      </c>
      <c r="G23" s="140" t="s">
        <v>22</v>
      </c>
      <c r="H23" s="141" t="s">
        <v>392</v>
      </c>
      <c r="I23" s="141" t="s">
        <v>404</v>
      </c>
      <c r="J23" s="35" t="str">
        <f>G22</f>
        <v>Identificar espais pel foment de la dinàmica natural i l'aprofitament no extractiu</v>
      </c>
      <c r="K23" s="35"/>
      <c r="L23" s="37"/>
      <c r="M23" s="36" t="s">
        <v>714</v>
      </c>
      <c r="N23" s="33" t="s">
        <v>727</v>
      </c>
      <c r="O23" s="34" t="s">
        <v>408</v>
      </c>
      <c r="P23" s="33" t="s">
        <v>416</v>
      </c>
    </row>
    <row r="24" spans="1:16" ht="43.5">
      <c r="A24" s="31" t="s">
        <v>4</v>
      </c>
      <c r="B24" s="363"/>
      <c r="C24" s="366"/>
      <c r="D24" s="359"/>
      <c r="E24" s="361"/>
      <c r="F24" s="139" t="s">
        <v>23</v>
      </c>
      <c r="G24" s="140" t="s">
        <v>24</v>
      </c>
      <c r="H24" s="141" t="s">
        <v>394</v>
      </c>
      <c r="I24" s="141" t="s">
        <v>393</v>
      </c>
      <c r="J24" s="35" t="str">
        <f t="shared" si="1"/>
        <v>Afavorir la maduresa dels sistemes forestals</v>
      </c>
      <c r="K24" s="35"/>
      <c r="L24" s="37"/>
      <c r="M24" s="36" t="s">
        <v>714</v>
      </c>
      <c r="N24" s="33" t="s">
        <v>728</v>
      </c>
      <c r="O24" s="34" t="s">
        <v>405</v>
      </c>
      <c r="P24" s="33" t="s">
        <v>416</v>
      </c>
    </row>
    <row r="25" spans="1:16" ht="58">
      <c r="A25" s="31" t="s">
        <v>4</v>
      </c>
      <c r="B25" s="363"/>
      <c r="C25" s="366"/>
      <c r="D25" s="359"/>
      <c r="E25" s="361"/>
      <c r="F25" s="139" t="s">
        <v>25</v>
      </c>
      <c r="G25" s="140" t="s">
        <v>26</v>
      </c>
      <c r="H25" s="141" t="s">
        <v>394</v>
      </c>
      <c r="I25" s="141" t="s">
        <v>395</v>
      </c>
      <c r="J25" s="35" t="str">
        <f t="shared" si="1"/>
        <v>Generar pertorbacions controlades</v>
      </c>
      <c r="K25" s="35" t="s">
        <v>729</v>
      </c>
      <c r="L25" s="37"/>
      <c r="M25" s="36" t="s">
        <v>723</v>
      </c>
      <c r="N25" s="33" t="s">
        <v>730</v>
      </c>
      <c r="O25" s="34" t="s">
        <v>405</v>
      </c>
      <c r="P25" s="33" t="s">
        <v>416</v>
      </c>
    </row>
    <row r="26" spans="1:16" ht="29.15" customHeight="1">
      <c r="A26" s="31" t="s">
        <v>4</v>
      </c>
      <c r="B26" s="363"/>
      <c r="C26" s="366"/>
      <c r="D26" s="359"/>
      <c r="E26" s="361"/>
      <c r="F26" s="139" t="s">
        <v>27</v>
      </c>
      <c r="G26" s="140" t="s">
        <v>28</v>
      </c>
      <c r="H26" s="141" t="s">
        <v>394</v>
      </c>
      <c r="I26" s="141" t="s">
        <v>414</v>
      </c>
      <c r="J26" s="35"/>
      <c r="K26" s="35"/>
      <c r="L26" s="37"/>
      <c r="M26" s="36"/>
      <c r="N26" s="33"/>
      <c r="O26" s="34"/>
      <c r="P26" s="33"/>
    </row>
    <row r="27" spans="1:16" ht="43.5">
      <c r="A27" s="31" t="s">
        <v>4</v>
      </c>
      <c r="B27" s="363"/>
      <c r="C27" s="366"/>
      <c r="D27" s="359"/>
      <c r="E27" s="361"/>
      <c r="F27" s="139" t="s">
        <v>29</v>
      </c>
      <c r="G27" s="140" t="s">
        <v>30</v>
      </c>
      <c r="H27" s="141" t="s">
        <v>394</v>
      </c>
      <c r="I27" s="141" t="s">
        <v>393</v>
      </c>
      <c r="J27" s="35" t="str">
        <f t="shared" si="1"/>
        <v>Fomentar el paisatge en mosaïc</v>
      </c>
      <c r="K27" s="35"/>
      <c r="L27" s="37"/>
      <c r="M27" s="36" t="s">
        <v>714</v>
      </c>
      <c r="N27" s="33" t="s">
        <v>731</v>
      </c>
      <c r="O27" s="34" t="s">
        <v>408</v>
      </c>
      <c r="P27" s="33" t="s">
        <v>416</v>
      </c>
    </row>
    <row r="28" spans="1:16" ht="29">
      <c r="A28" s="31" t="s">
        <v>4</v>
      </c>
      <c r="B28" s="363"/>
      <c r="C28" s="366"/>
      <c r="D28" s="359"/>
      <c r="E28" s="361"/>
      <c r="F28" s="139" t="s">
        <v>31</v>
      </c>
      <c r="G28" s="140" t="s">
        <v>32</v>
      </c>
      <c r="H28" s="141" t="s">
        <v>394</v>
      </c>
      <c r="I28" s="141" t="s">
        <v>414</v>
      </c>
      <c r="J28" s="35"/>
      <c r="K28" s="35"/>
      <c r="L28" s="37"/>
      <c r="M28" s="36"/>
      <c r="N28" s="33"/>
      <c r="O28" s="34"/>
      <c r="P28" s="33"/>
    </row>
    <row r="29" spans="1:16">
      <c r="A29" s="31" t="s">
        <v>4</v>
      </c>
      <c r="B29" s="363"/>
      <c r="C29" s="366"/>
      <c r="D29" s="360"/>
      <c r="E29" s="327"/>
      <c r="F29" s="139" t="s">
        <v>732</v>
      </c>
      <c r="G29" s="140" t="s">
        <v>733</v>
      </c>
      <c r="H29" s="141" t="s">
        <v>392</v>
      </c>
      <c r="I29" s="141" t="s">
        <v>393</v>
      </c>
      <c r="J29" s="35"/>
      <c r="K29" s="35"/>
      <c r="L29" s="37"/>
      <c r="M29" s="36"/>
      <c r="N29" s="33"/>
      <c r="O29" s="34"/>
      <c r="P29" s="33"/>
    </row>
    <row r="30" spans="1:16" ht="29.15" customHeight="1">
      <c r="A30" s="31" t="s">
        <v>4</v>
      </c>
      <c r="B30" s="363"/>
      <c r="C30" s="366"/>
      <c r="D30" s="358" t="s">
        <v>417</v>
      </c>
      <c r="E30" s="326" t="s">
        <v>33</v>
      </c>
      <c r="F30" s="139" t="s">
        <v>34</v>
      </c>
      <c r="G30" s="140" t="s">
        <v>35</v>
      </c>
      <c r="H30" s="141" t="s">
        <v>392</v>
      </c>
      <c r="I30" s="141" t="s">
        <v>393</v>
      </c>
      <c r="J30" s="35" t="str">
        <f t="shared" ref="J30" si="3">G30</f>
        <v>Fomentar acords de custòdia en espais d'alt valor dins l'ENP per a la gestió dels elements prioritaris</v>
      </c>
      <c r="K30" s="35"/>
      <c r="L30" s="37"/>
      <c r="M30" s="36" t="s">
        <v>706</v>
      </c>
      <c r="N30" s="33" t="s">
        <v>734</v>
      </c>
      <c r="O30" s="34" t="s">
        <v>405</v>
      </c>
      <c r="P30" s="33" t="s">
        <v>418</v>
      </c>
    </row>
    <row r="31" spans="1:16" ht="43.5">
      <c r="A31" s="31" t="s">
        <v>4</v>
      </c>
      <c r="B31" s="363"/>
      <c r="C31" s="366"/>
      <c r="D31" s="359"/>
      <c r="E31" s="361"/>
      <c r="F31" s="139" t="s">
        <v>34</v>
      </c>
      <c r="G31" s="140" t="s">
        <v>35</v>
      </c>
      <c r="H31" s="141" t="s">
        <v>392</v>
      </c>
      <c r="I31" s="141" t="s">
        <v>393</v>
      </c>
      <c r="J31" s="35" t="str">
        <f t="shared" si="1"/>
        <v>Fomentar acords de custòdia en espais d'alt valor dins l'ENP per a la gestió dels elements prioritaris</v>
      </c>
      <c r="K31" s="35"/>
      <c r="L31" s="37"/>
      <c r="M31" s="36" t="s">
        <v>706</v>
      </c>
      <c r="N31" s="33" t="s">
        <v>735</v>
      </c>
      <c r="O31" s="34" t="s">
        <v>405</v>
      </c>
      <c r="P31" s="33" t="s">
        <v>418</v>
      </c>
    </row>
    <row r="32" spans="1:16" ht="14.5" customHeight="1">
      <c r="A32" s="31" t="s">
        <v>4</v>
      </c>
      <c r="B32" s="363"/>
      <c r="C32" s="366"/>
      <c r="D32" s="359"/>
      <c r="E32" s="361"/>
      <c r="F32" s="318" t="s">
        <v>36</v>
      </c>
      <c r="G32" s="320" t="s">
        <v>37</v>
      </c>
      <c r="H32" s="322" t="s">
        <v>392</v>
      </c>
      <c r="I32" s="322" t="s">
        <v>393</v>
      </c>
      <c r="J32" s="375" t="str">
        <f t="shared" si="1"/>
        <v>Fomentar bones pràctiques entre els col·lectius de propietaris i gestors del territori</v>
      </c>
      <c r="K32" s="377"/>
      <c r="L32" s="369"/>
      <c r="M32" s="371" t="s">
        <v>714</v>
      </c>
      <c r="N32" s="373" t="s">
        <v>736</v>
      </c>
      <c r="O32" s="34"/>
      <c r="P32" s="33"/>
    </row>
    <row r="33" spans="1:16">
      <c r="A33" s="31" t="s">
        <v>4</v>
      </c>
      <c r="B33" s="363"/>
      <c r="C33" s="366"/>
      <c r="D33" s="359"/>
      <c r="E33" s="361"/>
      <c r="F33" s="319"/>
      <c r="G33" s="321"/>
      <c r="H33" s="323"/>
      <c r="I33" s="323"/>
      <c r="J33" s="376"/>
      <c r="K33" s="378"/>
      <c r="L33" s="370"/>
      <c r="M33" s="372"/>
      <c r="N33" s="374"/>
      <c r="O33" s="34"/>
      <c r="P33" s="33"/>
    </row>
    <row r="34" spans="1:16" ht="29">
      <c r="A34" s="31"/>
      <c r="B34" s="364"/>
      <c r="C34" s="367"/>
      <c r="D34" s="360"/>
      <c r="E34" s="327"/>
      <c r="F34" s="139" t="s">
        <v>38</v>
      </c>
      <c r="G34" s="140" t="s">
        <v>39</v>
      </c>
      <c r="H34" s="141" t="s">
        <v>394</v>
      </c>
      <c r="I34" s="141" t="s">
        <v>414</v>
      </c>
      <c r="J34" s="35"/>
      <c r="K34" s="35"/>
      <c r="L34" s="37"/>
      <c r="M34" s="36"/>
      <c r="N34" s="33"/>
      <c r="O34" s="34"/>
      <c r="P34" s="33"/>
    </row>
    <row r="35" spans="1:16" ht="58">
      <c r="A35" s="31" t="s">
        <v>4</v>
      </c>
      <c r="B35" s="362">
        <v>2</v>
      </c>
      <c r="C35" s="365" t="s">
        <v>40</v>
      </c>
      <c r="D35" s="358" t="s">
        <v>419</v>
      </c>
      <c r="E35" s="326" t="s">
        <v>41</v>
      </c>
      <c r="F35" s="139" t="s">
        <v>42</v>
      </c>
      <c r="G35" s="140" t="s">
        <v>43</v>
      </c>
      <c r="H35" s="141" t="s">
        <v>392</v>
      </c>
      <c r="I35" s="141" t="s">
        <v>404</v>
      </c>
      <c r="J35" s="35" t="s">
        <v>737</v>
      </c>
      <c r="K35" s="35" t="s">
        <v>738</v>
      </c>
      <c r="L35" s="37"/>
      <c r="M35" s="36" t="s">
        <v>714</v>
      </c>
      <c r="N35" s="33" t="s">
        <v>739</v>
      </c>
      <c r="O35" s="34"/>
      <c r="P35" s="33"/>
    </row>
    <row r="36" spans="1:16" ht="43.5" customHeight="1">
      <c r="A36" s="31" t="s">
        <v>4</v>
      </c>
      <c r="B36" s="363"/>
      <c r="C36" s="366"/>
      <c r="D36" s="359"/>
      <c r="E36" s="361"/>
      <c r="F36" s="139" t="s">
        <v>42</v>
      </c>
      <c r="G36" s="140" t="s">
        <v>43</v>
      </c>
      <c r="H36" s="141" t="s">
        <v>392</v>
      </c>
      <c r="I36" s="141" t="s">
        <v>404</v>
      </c>
      <c r="J36" s="35" t="s">
        <v>737</v>
      </c>
      <c r="K36" s="35" t="s">
        <v>738</v>
      </c>
      <c r="L36" s="37"/>
      <c r="M36" s="36" t="s">
        <v>714</v>
      </c>
      <c r="N36" s="33" t="s">
        <v>740</v>
      </c>
      <c r="O36" s="34"/>
      <c r="P36" s="33"/>
    </row>
    <row r="37" spans="1:16" ht="58">
      <c r="A37" s="31" t="s">
        <v>4</v>
      </c>
      <c r="B37" s="363"/>
      <c r="C37" s="366"/>
      <c r="D37" s="359"/>
      <c r="E37" s="361"/>
      <c r="F37" s="139" t="s">
        <v>42</v>
      </c>
      <c r="G37" s="140" t="s">
        <v>43</v>
      </c>
      <c r="H37" s="141" t="s">
        <v>392</v>
      </c>
      <c r="I37" s="141" t="s">
        <v>404</v>
      </c>
      <c r="J37" s="35" t="s">
        <v>737</v>
      </c>
      <c r="K37" s="35" t="s">
        <v>738</v>
      </c>
      <c r="L37" s="37"/>
      <c r="M37" s="36" t="s">
        <v>714</v>
      </c>
      <c r="N37" s="33" t="s">
        <v>741</v>
      </c>
      <c r="O37" s="34"/>
      <c r="P37" s="33" t="s">
        <v>420</v>
      </c>
    </row>
    <row r="38" spans="1:16" ht="101.5">
      <c r="A38" s="31" t="s">
        <v>4</v>
      </c>
      <c r="B38" s="363"/>
      <c r="C38" s="366"/>
      <c r="D38" s="359"/>
      <c r="E38" s="361"/>
      <c r="F38" s="139" t="s">
        <v>44</v>
      </c>
      <c r="G38" s="140" t="s">
        <v>45</v>
      </c>
      <c r="H38" s="141" t="s">
        <v>392</v>
      </c>
      <c r="I38" s="141" t="s">
        <v>393</v>
      </c>
      <c r="J38" s="35" t="str">
        <f t="shared" ref="J38:J39" si="4">G38</f>
        <v>Gestionar i planificar els recursos hídrics de l'ENP</v>
      </c>
      <c r="K38" s="35" t="s">
        <v>742</v>
      </c>
      <c r="L38" s="37"/>
      <c r="M38" s="36" t="s">
        <v>706</v>
      </c>
      <c r="N38" s="33" t="s">
        <v>743</v>
      </c>
      <c r="O38" s="34"/>
      <c r="P38" s="33"/>
    </row>
    <row r="39" spans="1:16" ht="29.15" customHeight="1">
      <c r="A39" s="31" t="s">
        <v>4</v>
      </c>
      <c r="B39" s="363"/>
      <c r="C39" s="366"/>
      <c r="D39" s="359"/>
      <c r="E39" s="361"/>
      <c r="F39" s="139" t="s">
        <v>44</v>
      </c>
      <c r="G39" s="140" t="s">
        <v>45</v>
      </c>
      <c r="H39" s="141" t="s">
        <v>392</v>
      </c>
      <c r="I39" s="141" t="s">
        <v>393</v>
      </c>
      <c r="J39" s="35" t="str">
        <f t="shared" si="4"/>
        <v>Gestionar i planificar els recursos hídrics de l'ENP</v>
      </c>
      <c r="K39" s="35" t="s">
        <v>742</v>
      </c>
      <c r="L39" s="37"/>
      <c r="M39" s="36" t="s">
        <v>706</v>
      </c>
      <c r="N39" s="33" t="s">
        <v>744</v>
      </c>
      <c r="O39" s="34"/>
      <c r="P39" s="33"/>
    </row>
    <row r="40" spans="1:16" ht="188.5" customHeight="1">
      <c r="A40" s="31" t="s">
        <v>4</v>
      </c>
      <c r="B40" s="363"/>
      <c r="C40" s="366"/>
      <c r="D40" s="359"/>
      <c r="E40" s="361"/>
      <c r="F40" s="139" t="s">
        <v>44</v>
      </c>
      <c r="G40" s="140" t="s">
        <v>45</v>
      </c>
      <c r="H40" s="141" t="s">
        <v>392</v>
      </c>
      <c r="I40" s="141" t="s">
        <v>393</v>
      </c>
      <c r="J40" s="35" t="str">
        <f t="shared" si="1"/>
        <v>Gestionar i planificar els recursos hídrics de l'ENP</v>
      </c>
      <c r="K40" s="35" t="s">
        <v>742</v>
      </c>
      <c r="L40" s="37"/>
      <c r="M40" s="36" t="s">
        <v>706</v>
      </c>
      <c r="N40" s="33" t="s">
        <v>745</v>
      </c>
      <c r="O40" s="34"/>
      <c r="P40" s="33"/>
    </row>
    <row r="41" spans="1:16" ht="29.15" customHeight="1">
      <c r="A41" s="31" t="s">
        <v>4</v>
      </c>
      <c r="B41" s="363"/>
      <c r="C41" s="366"/>
      <c r="D41" s="359"/>
      <c r="E41" s="361"/>
      <c r="F41" s="139" t="s">
        <v>46</v>
      </c>
      <c r="G41" s="140" t="s">
        <v>47</v>
      </c>
      <c r="H41" s="141" t="s">
        <v>394</v>
      </c>
      <c r="I41" s="141" t="s">
        <v>414</v>
      </c>
      <c r="J41" s="35"/>
      <c r="K41" s="35"/>
      <c r="L41" s="37"/>
      <c r="M41" s="36"/>
      <c r="N41" s="33"/>
      <c r="O41" s="34"/>
      <c r="P41" s="33"/>
    </row>
    <row r="42" spans="1:16" ht="43.5">
      <c r="A42" s="31" t="s">
        <v>4</v>
      </c>
      <c r="B42" s="363"/>
      <c r="C42" s="366"/>
      <c r="D42" s="360"/>
      <c r="E42" s="327"/>
      <c r="F42" s="139" t="s">
        <v>48</v>
      </c>
      <c r="G42" s="140" t="s">
        <v>49</v>
      </c>
      <c r="H42" s="141" t="s">
        <v>394</v>
      </c>
      <c r="I42" s="141" t="s">
        <v>395</v>
      </c>
      <c r="J42" s="35"/>
      <c r="K42" s="35"/>
      <c r="L42" s="37"/>
      <c r="M42" s="36"/>
      <c r="N42" s="33"/>
      <c r="O42" s="34"/>
      <c r="P42" s="33"/>
    </row>
    <row r="43" spans="1:16" ht="43.5">
      <c r="A43" s="31" t="s">
        <v>4</v>
      </c>
      <c r="B43" s="363"/>
      <c r="C43" s="366"/>
      <c r="D43" s="358" t="s">
        <v>421</v>
      </c>
      <c r="E43" s="348" t="s">
        <v>50</v>
      </c>
      <c r="F43" s="139" t="s">
        <v>51</v>
      </c>
      <c r="G43" s="140" t="s">
        <v>52</v>
      </c>
      <c r="H43" s="141" t="s">
        <v>392</v>
      </c>
      <c r="I43" s="141" t="s">
        <v>393</v>
      </c>
      <c r="J43" s="35" t="s">
        <v>746</v>
      </c>
      <c r="K43" s="35" t="s">
        <v>747</v>
      </c>
      <c r="L43" s="37"/>
      <c r="M43" s="38" t="s">
        <v>714</v>
      </c>
      <c r="N43" s="40" t="s">
        <v>748</v>
      </c>
      <c r="O43" s="39"/>
      <c r="P43" s="40"/>
    </row>
    <row r="44" spans="1:16" ht="58">
      <c r="A44" s="31" t="s">
        <v>4</v>
      </c>
      <c r="B44" s="363"/>
      <c r="C44" s="366"/>
      <c r="D44" s="368"/>
      <c r="E44" s="349"/>
      <c r="F44" s="139" t="s">
        <v>51</v>
      </c>
      <c r="G44" s="140" t="s">
        <v>52</v>
      </c>
      <c r="H44" s="141" t="s">
        <v>392</v>
      </c>
      <c r="I44" s="141" t="s">
        <v>393</v>
      </c>
      <c r="J44" s="35" t="s">
        <v>746</v>
      </c>
      <c r="K44" s="35" t="s">
        <v>747</v>
      </c>
      <c r="L44" s="37"/>
      <c r="M44" s="38" t="s">
        <v>714</v>
      </c>
      <c r="N44" s="40" t="s">
        <v>749</v>
      </c>
      <c r="O44" s="39" t="s">
        <v>408</v>
      </c>
      <c r="P44" s="40" t="s">
        <v>422</v>
      </c>
    </row>
    <row r="45" spans="1:16" ht="58">
      <c r="A45" s="31" t="s">
        <v>4</v>
      </c>
      <c r="B45" s="363"/>
      <c r="C45" s="366"/>
      <c r="D45" s="368"/>
      <c r="E45" s="349"/>
      <c r="F45" s="139" t="s">
        <v>53</v>
      </c>
      <c r="G45" s="140" t="s">
        <v>54</v>
      </c>
      <c r="H45" s="141" t="s">
        <v>394</v>
      </c>
      <c r="I45" s="141" t="s">
        <v>393</v>
      </c>
      <c r="J45" s="35" t="s">
        <v>750</v>
      </c>
      <c r="K45" s="35" t="s">
        <v>751</v>
      </c>
      <c r="L45" s="37"/>
      <c r="M45" s="38" t="s">
        <v>714</v>
      </c>
      <c r="N45" s="40" t="s">
        <v>752</v>
      </c>
      <c r="O45" s="39"/>
      <c r="P45" s="40" t="s">
        <v>423</v>
      </c>
    </row>
    <row r="46" spans="1:16" ht="43.5">
      <c r="A46" s="31" t="s">
        <v>4</v>
      </c>
      <c r="B46" s="364"/>
      <c r="C46" s="367"/>
      <c r="D46" s="368"/>
      <c r="E46" s="349"/>
      <c r="F46" s="139" t="s">
        <v>55</v>
      </c>
      <c r="G46" s="140" t="s">
        <v>56</v>
      </c>
      <c r="H46" s="141" t="s">
        <v>392</v>
      </c>
      <c r="I46" s="141" t="s">
        <v>404</v>
      </c>
      <c r="J46" s="35" t="s">
        <v>753</v>
      </c>
      <c r="K46" s="35" t="s">
        <v>754</v>
      </c>
      <c r="L46" s="37"/>
      <c r="M46" s="38" t="s">
        <v>723</v>
      </c>
      <c r="N46" s="40" t="s">
        <v>755</v>
      </c>
      <c r="O46" s="39"/>
      <c r="P46" s="40"/>
    </row>
    <row r="47" spans="1:16" ht="14.5" customHeight="1">
      <c r="A47" s="31" t="s">
        <v>4</v>
      </c>
      <c r="B47" s="350">
        <v>3</v>
      </c>
      <c r="C47" s="353" t="s">
        <v>57</v>
      </c>
      <c r="D47" s="356" t="s">
        <v>424</v>
      </c>
      <c r="E47" s="357" t="s">
        <v>58</v>
      </c>
      <c r="F47" s="139" t="s">
        <v>59</v>
      </c>
      <c r="G47" s="140" t="s">
        <v>60</v>
      </c>
      <c r="H47" s="141" t="s">
        <v>392</v>
      </c>
      <c r="I47" s="141" t="s">
        <v>393</v>
      </c>
      <c r="J47" s="35" t="s">
        <v>756</v>
      </c>
      <c r="K47" s="35" t="s">
        <v>757</v>
      </c>
      <c r="L47" s="41"/>
      <c r="M47" s="38" t="s">
        <v>723</v>
      </c>
      <c r="N47" s="40" t="s">
        <v>758</v>
      </c>
      <c r="O47" s="39"/>
      <c r="P47" s="40"/>
    </row>
    <row r="48" spans="1:16" ht="58">
      <c r="A48" s="31" t="s">
        <v>4</v>
      </c>
      <c r="B48" s="351"/>
      <c r="C48" s="354"/>
      <c r="D48" s="356"/>
      <c r="E48" s="357"/>
      <c r="F48" s="139" t="s">
        <v>61</v>
      </c>
      <c r="G48" s="140" t="s">
        <v>62</v>
      </c>
      <c r="H48" s="141" t="s">
        <v>392</v>
      </c>
      <c r="I48" s="141" t="s">
        <v>393</v>
      </c>
      <c r="J48" s="35" t="s">
        <v>759</v>
      </c>
      <c r="K48" s="35" t="s">
        <v>760</v>
      </c>
      <c r="L48" s="37"/>
      <c r="M48" s="38" t="s">
        <v>723</v>
      </c>
      <c r="N48" s="40" t="s">
        <v>761</v>
      </c>
      <c r="O48" s="39"/>
      <c r="P48" s="40"/>
    </row>
    <row r="49" spans="1:16" ht="58">
      <c r="A49" s="31" t="s">
        <v>4</v>
      </c>
      <c r="B49" s="351"/>
      <c r="C49" s="354"/>
      <c r="D49" s="356"/>
      <c r="E49" s="357"/>
      <c r="F49" s="139" t="s">
        <v>63</v>
      </c>
      <c r="G49" s="140" t="s">
        <v>64</v>
      </c>
      <c r="H49" s="141" t="s">
        <v>392</v>
      </c>
      <c r="I49" s="141" t="s">
        <v>393</v>
      </c>
      <c r="J49" s="35" t="str">
        <f>G49</f>
        <v>Participar en la compensació d'impactes residuals durant els processos d'avaluació ambiental mitjançant la identificació de necessitats d'actuació prioritària dins i fora dels límits de l’ENP</v>
      </c>
      <c r="K49" s="35"/>
      <c r="L49" s="37"/>
      <c r="M49" s="38" t="s">
        <v>723</v>
      </c>
      <c r="N49" s="40" t="s">
        <v>762</v>
      </c>
      <c r="O49" s="39"/>
      <c r="P49" s="40"/>
    </row>
    <row r="50" spans="1:16" ht="29">
      <c r="A50" s="31" t="s">
        <v>4</v>
      </c>
      <c r="B50" s="351"/>
      <c r="C50" s="354"/>
      <c r="D50" s="358" t="s">
        <v>425</v>
      </c>
      <c r="E50" s="326" t="s">
        <v>65</v>
      </c>
      <c r="F50" s="139" t="s">
        <v>66</v>
      </c>
      <c r="G50" s="140" t="s">
        <v>67</v>
      </c>
      <c r="H50" s="141" t="s">
        <v>392</v>
      </c>
      <c r="I50" s="139" t="s">
        <v>393</v>
      </c>
      <c r="J50" s="35" t="str">
        <f>G50</f>
        <v>Participar en l'elaboració dels instruments de planificació de l'ENP</v>
      </c>
      <c r="K50" s="35" t="s">
        <v>763</v>
      </c>
      <c r="L50" s="37"/>
      <c r="M50" s="38" t="s">
        <v>706</v>
      </c>
      <c r="N50" s="40" t="s">
        <v>764</v>
      </c>
      <c r="O50" s="39"/>
      <c r="P50" s="40" t="s">
        <v>426</v>
      </c>
    </row>
    <row r="51" spans="1:16" ht="29">
      <c r="A51" s="31" t="s">
        <v>4</v>
      </c>
      <c r="B51" s="351"/>
      <c r="C51" s="354"/>
      <c r="D51" s="359"/>
      <c r="E51" s="361"/>
      <c r="F51" s="139" t="s">
        <v>66</v>
      </c>
      <c r="G51" s="140" t="s">
        <v>67</v>
      </c>
      <c r="H51" s="141" t="s">
        <v>392</v>
      </c>
      <c r="I51" s="139" t="s">
        <v>393</v>
      </c>
      <c r="J51" s="35" t="str">
        <f t="shared" ref="J51:J53" si="5">G51</f>
        <v>Participar en l'elaboració dels instruments de planificació de l'ENP</v>
      </c>
      <c r="K51" s="35"/>
      <c r="L51" s="37"/>
      <c r="M51" s="38" t="s">
        <v>714</v>
      </c>
      <c r="N51" s="40" t="s">
        <v>765</v>
      </c>
      <c r="O51" s="39"/>
      <c r="P51" s="40"/>
    </row>
    <row r="52" spans="1:16" ht="29">
      <c r="A52" s="31" t="s">
        <v>4</v>
      </c>
      <c r="B52" s="351"/>
      <c r="C52" s="354"/>
      <c r="D52" s="359"/>
      <c r="E52" s="361"/>
      <c r="F52" s="139" t="s">
        <v>66</v>
      </c>
      <c r="G52" s="140" t="s">
        <v>67</v>
      </c>
      <c r="H52" s="141" t="s">
        <v>392</v>
      </c>
      <c r="I52" s="139" t="s">
        <v>393</v>
      </c>
      <c r="J52" s="35" t="str">
        <f t="shared" si="5"/>
        <v>Participar en l'elaboració dels instruments de planificació de l'ENP</v>
      </c>
      <c r="K52" s="35"/>
      <c r="L52" s="37"/>
      <c r="M52" s="38" t="s">
        <v>714</v>
      </c>
      <c r="N52" s="40" t="s">
        <v>766</v>
      </c>
      <c r="O52" s="39"/>
      <c r="P52" s="40"/>
    </row>
    <row r="53" spans="1:16" ht="29">
      <c r="A53" s="31" t="s">
        <v>4</v>
      </c>
      <c r="B53" s="351"/>
      <c r="C53" s="354"/>
      <c r="D53" s="360"/>
      <c r="E53" s="327"/>
      <c r="F53" s="139" t="s">
        <v>66</v>
      </c>
      <c r="G53" s="140" t="s">
        <v>67</v>
      </c>
      <c r="H53" s="141" t="s">
        <v>392</v>
      </c>
      <c r="I53" s="139" t="s">
        <v>393</v>
      </c>
      <c r="J53" s="35" t="str">
        <f t="shared" si="5"/>
        <v>Participar en l'elaboració dels instruments de planificació de l'ENP</v>
      </c>
      <c r="K53" s="35"/>
      <c r="L53" s="37"/>
      <c r="M53" s="38" t="s">
        <v>714</v>
      </c>
      <c r="N53" s="40" t="s">
        <v>767</v>
      </c>
      <c r="O53" s="39"/>
      <c r="P53" s="40"/>
    </row>
    <row r="54" spans="1:16" ht="43.5">
      <c r="A54" s="31" t="s">
        <v>4</v>
      </c>
      <c r="B54" s="351"/>
      <c r="C54" s="354"/>
      <c r="D54" s="358" t="s">
        <v>427</v>
      </c>
      <c r="E54" s="326" t="s">
        <v>68</v>
      </c>
      <c r="F54" s="139" t="s">
        <v>69</v>
      </c>
      <c r="G54" s="140" t="s">
        <v>73</v>
      </c>
      <c r="H54" s="141" t="s">
        <v>394</v>
      </c>
      <c r="I54" s="141" t="s">
        <v>393</v>
      </c>
      <c r="J54" s="35" t="str">
        <f t="shared" si="1"/>
        <v>Avaluar i controlar les actuacions que produeixin drenatges, captacions o que puguin impedir l’arribada d’aigua tant superficial com freàtica</v>
      </c>
      <c r="K54" s="35"/>
      <c r="L54" s="37"/>
      <c r="M54" s="38" t="s">
        <v>714</v>
      </c>
      <c r="N54" s="40" t="s">
        <v>768</v>
      </c>
      <c r="O54" s="39"/>
      <c r="P54" s="40"/>
    </row>
    <row r="55" spans="1:16" ht="43.5">
      <c r="A55" s="31" t="s">
        <v>4</v>
      </c>
      <c r="B55" s="351"/>
      <c r="C55" s="354"/>
      <c r="D55" s="359"/>
      <c r="E55" s="361"/>
      <c r="F55" s="139" t="s">
        <v>70</v>
      </c>
      <c r="G55" s="140" t="s">
        <v>71</v>
      </c>
      <c r="H55" s="141" t="s">
        <v>394</v>
      </c>
      <c r="I55" s="141" t="s">
        <v>414</v>
      </c>
      <c r="J55" s="35"/>
      <c r="K55" s="35"/>
      <c r="L55" s="37"/>
      <c r="M55" s="38"/>
      <c r="N55" s="40"/>
      <c r="O55" s="39"/>
      <c r="P55" s="40"/>
    </row>
    <row r="56" spans="1:16" ht="43.5">
      <c r="A56" s="31" t="s">
        <v>4</v>
      </c>
      <c r="B56" s="351"/>
      <c r="C56" s="354"/>
      <c r="D56" s="359"/>
      <c r="E56" s="361"/>
      <c r="F56" s="139" t="s">
        <v>72</v>
      </c>
      <c r="G56" s="140" t="s">
        <v>73</v>
      </c>
      <c r="H56" s="141" t="s">
        <v>394</v>
      </c>
      <c r="I56" s="141" t="s">
        <v>414</v>
      </c>
      <c r="J56" s="35"/>
      <c r="K56" s="35"/>
      <c r="L56" s="37"/>
      <c r="M56" s="38"/>
      <c r="N56" s="40"/>
      <c r="O56" s="39"/>
      <c r="P56" s="40"/>
    </row>
    <row r="57" spans="1:16" ht="43.5">
      <c r="A57" s="31" t="s">
        <v>4</v>
      </c>
      <c r="B57" s="351"/>
      <c r="C57" s="354"/>
      <c r="D57" s="359"/>
      <c r="E57" s="361"/>
      <c r="F57" s="139" t="s">
        <v>74</v>
      </c>
      <c r="G57" s="140" t="s">
        <v>75</v>
      </c>
      <c r="H57" s="141" t="s">
        <v>394</v>
      </c>
      <c r="I57" s="141" t="s">
        <v>414</v>
      </c>
      <c r="J57" s="35"/>
      <c r="K57" s="35"/>
      <c r="L57" s="37"/>
      <c r="M57" s="38"/>
      <c r="N57" s="40"/>
      <c r="O57" s="39"/>
      <c r="P57" s="40"/>
    </row>
    <row r="58" spans="1:16" ht="29.15" customHeight="1">
      <c r="A58" s="31" t="s">
        <v>4</v>
      </c>
      <c r="B58" s="351"/>
      <c r="C58" s="354"/>
      <c r="D58" s="360"/>
      <c r="E58" s="327"/>
      <c r="F58" s="139" t="s">
        <v>769</v>
      </c>
      <c r="G58" s="140" t="s">
        <v>770</v>
      </c>
      <c r="H58" s="141" t="s">
        <v>392</v>
      </c>
      <c r="I58" s="141" t="s">
        <v>395</v>
      </c>
      <c r="J58" s="35"/>
      <c r="K58" s="35"/>
      <c r="L58" s="37"/>
      <c r="M58" s="38"/>
      <c r="N58" s="40"/>
      <c r="O58" s="39"/>
      <c r="P58" s="40"/>
    </row>
    <row r="59" spans="1:16" ht="29">
      <c r="A59" s="31" t="s">
        <v>4</v>
      </c>
      <c r="B59" s="351"/>
      <c r="C59" s="354"/>
      <c r="D59" s="358" t="s">
        <v>428</v>
      </c>
      <c r="E59" s="326" t="s">
        <v>76</v>
      </c>
      <c r="F59" s="139" t="s">
        <v>77</v>
      </c>
      <c r="G59" s="140" t="s">
        <v>78</v>
      </c>
      <c r="H59" s="141" t="s">
        <v>392</v>
      </c>
      <c r="I59" s="141" t="s">
        <v>393</v>
      </c>
      <c r="J59" s="35" t="str">
        <f t="shared" si="1"/>
        <v xml:space="preserve">Identificar espais prioritaris per a la compra de terrenys de més valor dins l'ENP </v>
      </c>
      <c r="K59" s="35"/>
      <c r="L59" s="37"/>
      <c r="M59" s="38" t="s">
        <v>714</v>
      </c>
      <c r="N59" s="33" t="s">
        <v>771</v>
      </c>
      <c r="O59" s="39"/>
      <c r="P59" s="40" t="s">
        <v>429</v>
      </c>
    </row>
    <row r="60" spans="1:16">
      <c r="A60" s="142"/>
      <c r="B60" s="352"/>
      <c r="C60" s="355"/>
      <c r="D60" s="360"/>
      <c r="E60" s="327"/>
      <c r="F60" s="139" t="s">
        <v>79</v>
      </c>
      <c r="G60" s="140" t="s">
        <v>80</v>
      </c>
      <c r="H60" s="141" t="s">
        <v>392</v>
      </c>
      <c r="I60" s="141" t="s">
        <v>395</v>
      </c>
      <c r="J60" s="35"/>
      <c r="K60" s="35"/>
      <c r="L60" s="37"/>
      <c r="M60" s="38"/>
      <c r="N60" s="33"/>
      <c r="O60" s="39"/>
      <c r="P60" s="40"/>
    </row>
    <row r="61" spans="1:16" ht="43.5">
      <c r="A61" s="44" t="s">
        <v>81</v>
      </c>
      <c r="B61" s="328">
        <v>4</v>
      </c>
      <c r="C61" s="331" t="s">
        <v>82</v>
      </c>
      <c r="D61" s="334" t="s">
        <v>430</v>
      </c>
      <c r="E61" s="337" t="s">
        <v>83</v>
      </c>
      <c r="F61" s="139" t="s">
        <v>84</v>
      </c>
      <c r="G61" s="140" t="s">
        <v>85</v>
      </c>
      <c r="H61" s="141" t="s">
        <v>392</v>
      </c>
      <c r="I61" s="141" t="s">
        <v>393</v>
      </c>
      <c r="J61" s="35" t="s">
        <v>85</v>
      </c>
      <c r="K61" s="35"/>
      <c r="L61" s="37"/>
      <c r="M61" s="38" t="s">
        <v>723</v>
      </c>
      <c r="N61" s="40" t="s">
        <v>772</v>
      </c>
      <c r="O61" s="39"/>
      <c r="P61" s="40"/>
    </row>
    <row r="62" spans="1:16" ht="43.5">
      <c r="A62" s="44" t="s">
        <v>81</v>
      </c>
      <c r="B62" s="329"/>
      <c r="C62" s="332"/>
      <c r="D62" s="335"/>
      <c r="E62" s="338"/>
      <c r="F62" s="139" t="s">
        <v>84</v>
      </c>
      <c r="G62" s="140" t="s">
        <v>85</v>
      </c>
      <c r="H62" s="141" t="s">
        <v>392</v>
      </c>
      <c r="I62" s="141" t="s">
        <v>393</v>
      </c>
      <c r="J62" s="35" t="str">
        <f>J63</f>
        <v>Elaborar l'inventari i cartografia de patrimoni cultural de l'ENP, que també inclogui el patrimoni etnològic i immaterial</v>
      </c>
      <c r="K62" s="35"/>
      <c r="L62" s="37"/>
      <c r="M62" s="38" t="s">
        <v>723</v>
      </c>
      <c r="N62" s="40" t="s">
        <v>773</v>
      </c>
      <c r="O62" s="39"/>
      <c r="P62" s="40"/>
    </row>
    <row r="63" spans="1:16" ht="58">
      <c r="A63" s="44" t="s">
        <v>81</v>
      </c>
      <c r="B63" s="329"/>
      <c r="C63" s="332"/>
      <c r="D63" s="335"/>
      <c r="E63" s="338"/>
      <c r="F63" s="139" t="s">
        <v>84</v>
      </c>
      <c r="G63" s="140" t="s">
        <v>85</v>
      </c>
      <c r="H63" s="141" t="s">
        <v>392</v>
      </c>
      <c r="I63" s="141" t="s">
        <v>393</v>
      </c>
      <c r="J63" s="35" t="str">
        <f t="shared" si="1"/>
        <v>Elaborar l'inventari i cartografia de patrimoni cultural de l'ENP, que també inclogui el patrimoni etnològic i immaterial</v>
      </c>
      <c r="K63" s="35"/>
      <c r="L63" s="37"/>
      <c r="M63" s="38" t="s">
        <v>723</v>
      </c>
      <c r="N63" s="40" t="s">
        <v>774</v>
      </c>
      <c r="O63" s="39"/>
      <c r="P63" s="40"/>
    </row>
    <row r="64" spans="1:16" ht="43.5">
      <c r="A64" s="44" t="s">
        <v>81</v>
      </c>
      <c r="B64" s="329"/>
      <c r="C64" s="332"/>
      <c r="D64" s="335"/>
      <c r="E64" s="338"/>
      <c r="F64" s="139" t="s">
        <v>86</v>
      </c>
      <c r="G64" s="140" t="s">
        <v>87</v>
      </c>
      <c r="H64" s="141" t="s">
        <v>392</v>
      </c>
      <c r="I64" s="141" t="s">
        <v>393</v>
      </c>
      <c r="J64" s="35" t="str">
        <f t="shared" si="1"/>
        <v>Elaborar el catàleg lingüístic (localismes) de patrimoni natural, geografia popular, festes i activitats tradicionals de l'ENP</v>
      </c>
      <c r="K64" s="35"/>
      <c r="L64" s="37"/>
      <c r="M64" s="38" t="s">
        <v>714</v>
      </c>
      <c r="N64" s="40" t="s">
        <v>775</v>
      </c>
      <c r="O64" s="39"/>
      <c r="P64" s="40"/>
    </row>
    <row r="65" spans="1:16" ht="87">
      <c r="A65" s="143" t="s">
        <v>81</v>
      </c>
      <c r="B65" s="329"/>
      <c r="C65" s="332"/>
      <c r="D65" s="336"/>
      <c r="E65" s="339"/>
      <c r="F65" s="139" t="s">
        <v>88</v>
      </c>
      <c r="G65" s="140" t="s">
        <v>89</v>
      </c>
      <c r="H65" s="141" t="s">
        <v>392</v>
      </c>
      <c r="I65" s="141" t="s">
        <v>393</v>
      </c>
      <c r="J65" s="35" t="s">
        <v>776</v>
      </c>
      <c r="K65" s="35" t="s">
        <v>777</v>
      </c>
      <c r="L65" s="37"/>
      <c r="M65" s="38" t="s">
        <v>723</v>
      </c>
      <c r="N65" s="40" t="s">
        <v>778</v>
      </c>
      <c r="O65" s="39"/>
      <c r="P65" s="40"/>
    </row>
    <row r="66" spans="1:16" ht="43.5">
      <c r="A66" s="44" t="s">
        <v>81</v>
      </c>
      <c r="B66" s="329"/>
      <c r="C66" s="332"/>
      <c r="D66" s="335" t="s">
        <v>431</v>
      </c>
      <c r="E66" s="338" t="s">
        <v>90</v>
      </c>
      <c r="F66" s="139" t="s">
        <v>91</v>
      </c>
      <c r="G66" s="140" t="s">
        <v>92</v>
      </c>
      <c r="H66" s="141" t="s">
        <v>392</v>
      </c>
      <c r="I66" s="141" t="s">
        <v>393</v>
      </c>
      <c r="J66" s="35" t="str">
        <f t="shared" si="1"/>
        <v>Identificar els ens de referència en patrimoni cultural (entitats, associacions, museus i ecomuseus, etc.) en l'àmbit de l'ENP</v>
      </c>
      <c r="K66" s="35" t="s">
        <v>779</v>
      </c>
      <c r="L66" s="37"/>
      <c r="M66" s="38" t="s">
        <v>723</v>
      </c>
      <c r="N66" s="40" t="s">
        <v>780</v>
      </c>
      <c r="O66" s="39"/>
      <c r="P66" s="40"/>
    </row>
    <row r="67" spans="1:16" ht="43.5">
      <c r="A67" s="44" t="s">
        <v>81</v>
      </c>
      <c r="B67" s="329"/>
      <c r="C67" s="332"/>
      <c r="D67" s="335"/>
      <c r="E67" s="338"/>
      <c r="F67" s="139" t="s">
        <v>91</v>
      </c>
      <c r="G67" s="140" t="s">
        <v>92</v>
      </c>
      <c r="H67" s="141" t="s">
        <v>392</v>
      </c>
      <c r="I67" s="141" t="s">
        <v>393</v>
      </c>
      <c r="J67" s="35" t="str">
        <f t="shared" si="1"/>
        <v>Identificar els ens de referència en patrimoni cultural (entitats, associacions, museus i ecomuseus, etc.) en l'àmbit de l'ENP</v>
      </c>
      <c r="K67" s="35" t="s">
        <v>779</v>
      </c>
      <c r="L67" s="37"/>
      <c r="M67" s="38" t="s">
        <v>723</v>
      </c>
      <c r="N67" s="40" t="s">
        <v>781</v>
      </c>
      <c r="O67" s="39"/>
      <c r="P67" s="40"/>
    </row>
    <row r="68" spans="1:16" ht="58">
      <c r="A68" s="44" t="s">
        <v>81</v>
      </c>
      <c r="B68" s="329"/>
      <c r="C68" s="332"/>
      <c r="D68" s="335"/>
      <c r="E68" s="338"/>
      <c r="F68" s="139" t="s">
        <v>93</v>
      </c>
      <c r="G68" s="140" t="s">
        <v>94</v>
      </c>
      <c r="H68" s="141" t="s">
        <v>392</v>
      </c>
      <c r="I68" s="141" t="s">
        <v>393</v>
      </c>
      <c r="J68" s="35" t="str">
        <f t="shared" si="1"/>
        <v>Articular treballs conjunts entre l'ENP i representants, gestors o custodis del patrimoni cultural per a la seva protecció i millora</v>
      </c>
      <c r="K68" s="35" t="s">
        <v>782</v>
      </c>
      <c r="L68" s="37"/>
      <c r="M68" s="38" t="s">
        <v>723</v>
      </c>
      <c r="N68" s="40" t="s">
        <v>783</v>
      </c>
      <c r="O68" s="39"/>
      <c r="P68" s="40"/>
    </row>
    <row r="69" spans="1:16" ht="43.5" customHeight="1">
      <c r="A69" s="44" t="s">
        <v>81</v>
      </c>
      <c r="B69" s="329"/>
      <c r="C69" s="332"/>
      <c r="D69" s="335"/>
      <c r="E69" s="338"/>
      <c r="F69" s="139" t="s">
        <v>93</v>
      </c>
      <c r="G69" s="140" t="s">
        <v>94</v>
      </c>
      <c r="H69" s="141" t="s">
        <v>392</v>
      </c>
      <c r="I69" s="141" t="s">
        <v>393</v>
      </c>
      <c r="J69" s="35" t="str">
        <f t="shared" si="1"/>
        <v>Articular treballs conjunts entre l'ENP i representants, gestors o custodis del patrimoni cultural per a la seva protecció i millora</v>
      </c>
      <c r="K69" s="35" t="s">
        <v>782</v>
      </c>
      <c r="L69" s="37"/>
      <c r="M69" s="38" t="s">
        <v>723</v>
      </c>
      <c r="N69" s="40" t="s">
        <v>784</v>
      </c>
      <c r="O69" s="39"/>
      <c r="P69" s="40"/>
    </row>
    <row r="70" spans="1:16" ht="58">
      <c r="A70" s="44" t="s">
        <v>81</v>
      </c>
      <c r="B70" s="329"/>
      <c r="C70" s="332"/>
      <c r="D70" s="335"/>
      <c r="E70" s="338"/>
      <c r="F70" s="139" t="s">
        <v>95</v>
      </c>
      <c r="G70" s="140" t="s">
        <v>785</v>
      </c>
      <c r="H70" s="141" t="s">
        <v>392</v>
      </c>
      <c r="I70" s="141" t="s">
        <v>393</v>
      </c>
      <c r="J70" s="35" t="str">
        <f>G70</f>
        <v>Impulsar i/o participar dels treballs de restauració arquitectònica, arqueològica i del patrimoni cultural</v>
      </c>
      <c r="K70" s="35"/>
      <c r="L70" s="37"/>
      <c r="M70" s="38" t="s">
        <v>723</v>
      </c>
      <c r="N70" s="40" t="s">
        <v>786</v>
      </c>
      <c r="O70" s="39"/>
      <c r="P70" s="40"/>
    </row>
    <row r="71" spans="1:16">
      <c r="A71" s="44"/>
      <c r="B71" s="329"/>
      <c r="C71" s="332"/>
      <c r="D71" s="340"/>
      <c r="E71" s="341"/>
      <c r="F71" s="139" t="s">
        <v>96</v>
      </c>
      <c r="G71" s="140" t="s">
        <v>97</v>
      </c>
      <c r="H71" s="141" t="s">
        <v>392</v>
      </c>
      <c r="I71" s="141" t="s">
        <v>404</v>
      </c>
      <c r="J71" s="35"/>
      <c r="K71" s="35"/>
      <c r="L71" s="37"/>
      <c r="M71" s="38"/>
      <c r="N71" s="40"/>
      <c r="O71" s="39"/>
      <c r="P71" s="40"/>
    </row>
    <row r="72" spans="1:16" ht="43.5">
      <c r="A72" s="44" t="s">
        <v>81</v>
      </c>
      <c r="B72" s="329"/>
      <c r="C72" s="332"/>
      <c r="D72" s="342" t="s">
        <v>432</v>
      </c>
      <c r="E72" s="345" t="s">
        <v>98</v>
      </c>
      <c r="F72" s="139" t="s">
        <v>99</v>
      </c>
      <c r="G72" s="140" t="s">
        <v>787</v>
      </c>
      <c r="H72" s="141" t="s">
        <v>394</v>
      </c>
      <c r="I72" s="141" t="s">
        <v>404</v>
      </c>
      <c r="J72" s="35" t="str">
        <f t="shared" si="1"/>
        <v>Recuperar i conservar el patrimoni cultural immaterial (associat a les activitats i aprofitaments rurals tradicionals) i els valors espirituals</v>
      </c>
      <c r="K72" s="35"/>
      <c r="L72" s="37"/>
      <c r="M72" s="38" t="s">
        <v>723</v>
      </c>
      <c r="N72" s="40" t="s">
        <v>788</v>
      </c>
      <c r="O72" s="39" t="s">
        <v>405</v>
      </c>
      <c r="P72" s="40"/>
    </row>
    <row r="73" spans="1:16" ht="29">
      <c r="A73" s="44" t="s">
        <v>81</v>
      </c>
      <c r="B73" s="329"/>
      <c r="C73" s="332"/>
      <c r="D73" s="343"/>
      <c r="E73" s="346"/>
      <c r="F73" s="139" t="s">
        <v>100</v>
      </c>
      <c r="G73" s="33" t="s">
        <v>101</v>
      </c>
      <c r="H73" s="141" t="s">
        <v>392</v>
      </c>
      <c r="I73" s="141" t="s">
        <v>393</v>
      </c>
      <c r="J73" s="35" t="str">
        <f t="shared" si="1"/>
        <v>Recuperar i conservar el patrimoni cultural rural vinculat específicament a construccions de pedra en sec</v>
      </c>
      <c r="K73" s="35"/>
      <c r="L73" s="37"/>
      <c r="M73" s="38" t="s">
        <v>723</v>
      </c>
      <c r="N73" s="40" t="s">
        <v>789</v>
      </c>
      <c r="O73" s="39"/>
      <c r="P73" s="40"/>
    </row>
    <row r="74" spans="1:16" ht="29">
      <c r="A74" s="44" t="s">
        <v>81</v>
      </c>
      <c r="B74" s="329"/>
      <c r="C74" s="332"/>
      <c r="D74" s="343"/>
      <c r="E74" s="346"/>
      <c r="F74" s="139" t="s">
        <v>102</v>
      </c>
      <c r="G74" s="140" t="s">
        <v>790</v>
      </c>
      <c r="H74" s="141" t="s">
        <v>392</v>
      </c>
      <c r="I74" s="141" t="s">
        <v>393</v>
      </c>
      <c r="J74" s="35" t="str">
        <f t="shared" si="1"/>
        <v xml:space="preserve">Fomentar la recuperació i conservació de l'arquitectura tradicional d'interès de les edificacions i construccions </v>
      </c>
      <c r="K74" s="35"/>
      <c r="L74" s="37"/>
      <c r="M74" s="38" t="s">
        <v>723</v>
      </c>
      <c r="N74" s="40" t="s">
        <v>791</v>
      </c>
      <c r="O74" s="39"/>
      <c r="P74" s="40"/>
    </row>
    <row r="75" spans="1:16" ht="58">
      <c r="A75" s="44" t="s">
        <v>81</v>
      </c>
      <c r="B75" s="329"/>
      <c r="C75" s="332"/>
      <c r="D75" s="343"/>
      <c r="E75" s="346"/>
      <c r="F75" s="318" t="s">
        <v>103</v>
      </c>
      <c r="G75" s="320" t="s">
        <v>104</v>
      </c>
      <c r="H75" s="322" t="s">
        <v>392</v>
      </c>
      <c r="I75" s="322" t="s">
        <v>393</v>
      </c>
      <c r="J75" s="35" t="str">
        <f>G75</f>
        <v>Identificar i conservar la diversitat domesticada de varietats agrícoles i ramaderes locals</v>
      </c>
      <c r="K75" s="35" t="s">
        <v>792</v>
      </c>
      <c r="L75" s="37"/>
      <c r="M75" s="38" t="s">
        <v>793</v>
      </c>
      <c r="N75" s="40" t="s">
        <v>794</v>
      </c>
      <c r="O75" s="39" t="s">
        <v>408</v>
      </c>
      <c r="P75" s="40"/>
    </row>
    <row r="76" spans="1:16" ht="29">
      <c r="A76" s="44"/>
      <c r="B76" s="329"/>
      <c r="C76" s="332"/>
      <c r="D76" s="344"/>
      <c r="E76" s="347"/>
      <c r="F76" s="319"/>
      <c r="G76" s="321"/>
      <c r="H76" s="323"/>
      <c r="I76" s="323"/>
      <c r="J76" s="35"/>
      <c r="K76" s="35"/>
      <c r="L76" s="37"/>
      <c r="M76" s="38"/>
      <c r="N76" s="40" t="s">
        <v>795</v>
      </c>
      <c r="O76" s="39"/>
      <c r="P76" s="40"/>
    </row>
    <row r="77" spans="1:16" ht="29">
      <c r="A77" s="44" t="s">
        <v>81</v>
      </c>
      <c r="B77" s="329"/>
      <c r="C77" s="332"/>
      <c r="D77" s="324" t="s">
        <v>433</v>
      </c>
      <c r="E77" s="325" t="s">
        <v>105</v>
      </c>
      <c r="F77" s="141" t="s">
        <v>106</v>
      </c>
      <c r="G77" s="140" t="s">
        <v>107</v>
      </c>
      <c r="H77" s="141" t="s">
        <v>392</v>
      </c>
      <c r="I77" s="141" t="s">
        <v>404</v>
      </c>
      <c r="J77" s="35" t="str">
        <f t="shared" si="1"/>
        <v>Integrar el patrimoni cultural als itineraris i cartelleria de l'ENP.</v>
      </c>
      <c r="K77" s="35" t="s">
        <v>796</v>
      </c>
      <c r="L77" s="37"/>
      <c r="M77" s="38" t="s">
        <v>714</v>
      </c>
      <c r="N77" s="40" t="s">
        <v>797</v>
      </c>
      <c r="O77" s="39"/>
      <c r="P77" s="40"/>
    </row>
    <row r="78" spans="1:16" ht="43.5">
      <c r="A78" s="44" t="s">
        <v>81</v>
      </c>
      <c r="B78" s="329"/>
      <c r="C78" s="332"/>
      <c r="D78" s="324"/>
      <c r="E78" s="325"/>
      <c r="F78" s="141" t="s">
        <v>108</v>
      </c>
      <c r="G78" s="140" t="s">
        <v>109</v>
      </c>
      <c r="H78" s="141" t="s">
        <v>392</v>
      </c>
      <c r="I78" s="141" t="s">
        <v>404</v>
      </c>
      <c r="J78" s="35" t="str">
        <f t="shared" si="1"/>
        <v>Incorporar el patrimoni cultural en els plans d’ús públic i educació ambiental per fomentar-ne la seva conservació i divulgació.</v>
      </c>
      <c r="K78" s="35" t="s">
        <v>796</v>
      </c>
      <c r="L78" s="37"/>
      <c r="M78" s="38" t="s">
        <v>714</v>
      </c>
      <c r="N78" s="40" t="s">
        <v>798</v>
      </c>
      <c r="O78" s="39"/>
      <c r="P78" s="40"/>
    </row>
    <row r="79" spans="1:16" ht="29">
      <c r="A79" s="44" t="s">
        <v>81</v>
      </c>
      <c r="B79" s="330"/>
      <c r="C79" s="333"/>
      <c r="D79" s="324"/>
      <c r="E79" s="325"/>
      <c r="F79" s="141" t="s">
        <v>110</v>
      </c>
      <c r="G79" s="140" t="s">
        <v>111</v>
      </c>
      <c r="H79" s="141" t="s">
        <v>392</v>
      </c>
      <c r="I79" s="141" t="s">
        <v>404</v>
      </c>
      <c r="J79" s="35" t="str">
        <f t="shared" si="1"/>
        <v>Formar el personal dels punts d’informació en els valors culturals de l'ENP</v>
      </c>
      <c r="K79" s="35"/>
      <c r="L79" s="37"/>
      <c r="M79" s="38" t="s">
        <v>706</v>
      </c>
      <c r="N79" s="40" t="s">
        <v>799</v>
      </c>
      <c r="O79" s="39"/>
      <c r="P79" s="40"/>
    </row>
    <row r="80" spans="1:16" ht="29">
      <c r="A80" s="44" t="s">
        <v>81</v>
      </c>
      <c r="B80" s="306">
        <v>5</v>
      </c>
      <c r="C80" s="309" t="s">
        <v>112</v>
      </c>
      <c r="D80" s="45" t="s">
        <v>434</v>
      </c>
      <c r="E80" s="8" t="s">
        <v>113</v>
      </c>
      <c r="F80" s="141" t="s">
        <v>114</v>
      </c>
      <c r="G80" s="140" t="s">
        <v>115</v>
      </c>
      <c r="H80" s="141" t="s">
        <v>392</v>
      </c>
      <c r="I80" s="141" t="s">
        <v>393</v>
      </c>
      <c r="J80" s="35" t="str">
        <f t="shared" si="1"/>
        <v xml:space="preserve">Elaborar un inventari d'elements d'interès paisatgístic de l'ENP d'acord amb el Catàleg de paisatge de la zona </v>
      </c>
      <c r="K80" s="35"/>
      <c r="L80" s="37"/>
      <c r="M80" s="38" t="s">
        <v>723</v>
      </c>
      <c r="N80" s="40" t="s">
        <v>800</v>
      </c>
      <c r="O80" s="39"/>
      <c r="P80" s="40"/>
    </row>
    <row r="81" spans="1:16" ht="29">
      <c r="A81" s="44" t="s">
        <v>81</v>
      </c>
      <c r="B81" s="307"/>
      <c r="C81" s="310"/>
      <c r="D81" s="312" t="s">
        <v>435</v>
      </c>
      <c r="E81" s="314" t="s">
        <v>116</v>
      </c>
      <c r="F81" s="139" t="s">
        <v>117</v>
      </c>
      <c r="G81" s="140" t="s">
        <v>118</v>
      </c>
      <c r="H81" s="141" t="s">
        <v>392</v>
      </c>
      <c r="I81" s="141" t="s">
        <v>393</v>
      </c>
      <c r="J81" s="35" t="s">
        <v>118</v>
      </c>
      <c r="K81" s="35"/>
      <c r="L81" s="37"/>
      <c r="M81" s="38" t="s">
        <v>723</v>
      </c>
      <c r="N81" s="40" t="s">
        <v>801</v>
      </c>
      <c r="O81" s="39"/>
      <c r="P81" s="40"/>
    </row>
    <row r="82" spans="1:16" ht="43.5" customHeight="1">
      <c r="A82" s="44" t="s">
        <v>81</v>
      </c>
      <c r="B82" s="307"/>
      <c r="C82" s="310"/>
      <c r="D82" s="312"/>
      <c r="E82" s="315"/>
      <c r="F82" s="139" t="s">
        <v>117</v>
      </c>
      <c r="G82" s="140" t="s">
        <v>118</v>
      </c>
      <c r="H82" s="141" t="s">
        <v>392</v>
      </c>
      <c r="I82" s="141" t="s">
        <v>393</v>
      </c>
      <c r="J82" s="35" t="s">
        <v>118</v>
      </c>
      <c r="K82" s="35"/>
      <c r="L82" s="37"/>
      <c r="M82" s="38" t="s">
        <v>723</v>
      </c>
      <c r="N82" s="40" t="s">
        <v>802</v>
      </c>
      <c r="O82" s="39"/>
      <c r="P82" s="40"/>
    </row>
    <row r="83" spans="1:16" ht="43.5">
      <c r="A83" s="44" t="s">
        <v>81</v>
      </c>
      <c r="B83" s="307"/>
      <c r="C83" s="310"/>
      <c r="D83" s="313"/>
      <c r="E83" s="316"/>
      <c r="F83" s="139" t="s">
        <v>117</v>
      </c>
      <c r="G83" s="140" t="s">
        <v>118</v>
      </c>
      <c r="H83" s="141" t="s">
        <v>392</v>
      </c>
      <c r="I83" s="141" t="s">
        <v>393</v>
      </c>
      <c r="J83" s="35" t="str">
        <f>G83</f>
        <v>Minimitzar la brutícia, deixalles, vandalisme i males praxis dins l'ENP</v>
      </c>
      <c r="K83" s="35"/>
      <c r="L83" s="37"/>
      <c r="M83" s="38" t="s">
        <v>723</v>
      </c>
      <c r="N83" s="40" t="s">
        <v>803</v>
      </c>
      <c r="O83" s="39"/>
      <c r="P83" s="40"/>
    </row>
    <row r="84" spans="1:16" ht="72.5">
      <c r="A84" s="44" t="s">
        <v>81</v>
      </c>
      <c r="B84" s="307"/>
      <c r="C84" s="310"/>
      <c r="D84" s="317" t="s">
        <v>436</v>
      </c>
      <c r="E84" s="314" t="s">
        <v>119</v>
      </c>
      <c r="F84" s="139" t="s">
        <v>120</v>
      </c>
      <c r="G84" s="140" t="s">
        <v>122</v>
      </c>
      <c r="H84" s="141" t="s">
        <v>394</v>
      </c>
      <c r="I84" s="141" t="s">
        <v>393</v>
      </c>
      <c r="J84" s="35" t="s">
        <v>804</v>
      </c>
      <c r="K84" s="35" t="s">
        <v>805</v>
      </c>
      <c r="L84" s="37"/>
      <c r="M84" s="38" t="s">
        <v>723</v>
      </c>
      <c r="N84" s="40" t="s">
        <v>806</v>
      </c>
      <c r="O84" s="39" t="s">
        <v>408</v>
      </c>
      <c r="P84" s="40"/>
    </row>
    <row r="85" spans="1:16" ht="29">
      <c r="A85" s="44" t="s">
        <v>81</v>
      </c>
      <c r="B85" s="308"/>
      <c r="C85" s="311"/>
      <c r="D85" s="313"/>
      <c r="E85" s="315"/>
      <c r="F85" s="139" t="s">
        <v>121</v>
      </c>
      <c r="G85" s="140" t="s">
        <v>122</v>
      </c>
      <c r="H85" s="141" t="s">
        <v>394</v>
      </c>
      <c r="I85" s="141" t="s">
        <v>395</v>
      </c>
      <c r="J85" s="35"/>
      <c r="K85" s="35"/>
      <c r="L85" s="37"/>
      <c r="M85" s="38"/>
      <c r="N85" s="40"/>
      <c r="O85" s="39"/>
      <c r="P85" s="40"/>
    </row>
    <row r="86" spans="1:16" ht="58">
      <c r="A86" s="46" t="s">
        <v>123</v>
      </c>
      <c r="B86" s="291">
        <v>6</v>
      </c>
      <c r="C86" s="294" t="s">
        <v>124</v>
      </c>
      <c r="D86" s="297" t="s">
        <v>437</v>
      </c>
      <c r="E86" s="300" t="s">
        <v>125</v>
      </c>
      <c r="F86" s="139" t="s">
        <v>126</v>
      </c>
      <c r="G86" s="144" t="s">
        <v>807</v>
      </c>
      <c r="H86" s="141" t="s">
        <v>392</v>
      </c>
      <c r="I86" s="141" t="s">
        <v>393</v>
      </c>
      <c r="J86" s="35" t="str">
        <f t="shared" si="1"/>
        <v>Identificar i prioritzar els elements clau i d'interès per a la gestió de la biodiversitat i geodiversitat de Catalunya que es troben dins l'ENP (espècies amenaçades, espècies exòtiques invasores,.. )</v>
      </c>
      <c r="K86" s="35"/>
      <c r="L86" s="47"/>
      <c r="M86" s="38" t="s">
        <v>706</v>
      </c>
      <c r="N86" s="40" t="s">
        <v>808</v>
      </c>
      <c r="O86" s="43" t="s">
        <v>438</v>
      </c>
      <c r="P86" s="40" t="s">
        <v>439</v>
      </c>
    </row>
    <row r="87" spans="1:16" ht="43.5">
      <c r="A87" s="46" t="s">
        <v>123</v>
      </c>
      <c r="B87" s="292"/>
      <c r="C87" s="295"/>
      <c r="D87" s="298"/>
      <c r="E87" s="301"/>
      <c r="F87" s="139" t="s">
        <v>127</v>
      </c>
      <c r="G87" s="140" t="s">
        <v>128</v>
      </c>
      <c r="H87" s="141" t="s">
        <v>392</v>
      </c>
      <c r="I87" s="141" t="s">
        <v>393</v>
      </c>
      <c r="J87" s="35" t="str">
        <f t="shared" si="1"/>
        <v>Definir espais fràgils i zones d'especial atenció</v>
      </c>
      <c r="K87" s="35"/>
      <c r="L87" s="37"/>
      <c r="M87" s="38" t="s">
        <v>706</v>
      </c>
      <c r="N87" s="40" t="s">
        <v>809</v>
      </c>
      <c r="O87" s="39"/>
      <c r="P87" s="40" t="s">
        <v>440</v>
      </c>
    </row>
    <row r="88" spans="1:16" ht="29">
      <c r="A88" s="46" t="s">
        <v>123</v>
      </c>
      <c r="B88" s="292"/>
      <c r="C88" s="295"/>
      <c r="D88" s="299"/>
      <c r="E88" s="302"/>
      <c r="F88" s="139" t="s">
        <v>127</v>
      </c>
      <c r="G88" s="140" t="s">
        <v>128</v>
      </c>
      <c r="H88" s="141" t="s">
        <v>392</v>
      </c>
      <c r="I88" s="141" t="s">
        <v>393</v>
      </c>
      <c r="J88" s="35" t="str">
        <f t="shared" si="1"/>
        <v>Definir espais fràgils i zones d'especial atenció</v>
      </c>
      <c r="K88" s="35"/>
      <c r="L88" s="37"/>
      <c r="M88" s="38" t="s">
        <v>706</v>
      </c>
      <c r="N88" s="40" t="s">
        <v>810</v>
      </c>
      <c r="O88" s="39"/>
      <c r="P88" s="40"/>
    </row>
    <row r="89" spans="1:16" ht="29">
      <c r="A89" s="46" t="s">
        <v>123</v>
      </c>
      <c r="B89" s="292"/>
      <c r="C89" s="295"/>
      <c r="D89" s="297" t="s">
        <v>441</v>
      </c>
      <c r="E89" s="303" t="s">
        <v>129</v>
      </c>
      <c r="F89" s="139" t="s">
        <v>130</v>
      </c>
      <c r="G89" s="140" t="s">
        <v>131</v>
      </c>
      <c r="H89" s="141" t="s">
        <v>392</v>
      </c>
      <c r="I89" s="141" t="s">
        <v>393</v>
      </c>
      <c r="J89" s="35" t="str">
        <f t="shared" si="1"/>
        <v>Participar en l'elaboració de la cartografia que elabora la UIC</v>
      </c>
      <c r="K89" s="35"/>
      <c r="L89" s="37"/>
      <c r="M89" s="38" t="s">
        <v>714</v>
      </c>
      <c r="N89" s="40" t="s">
        <v>811</v>
      </c>
      <c r="O89" s="39" t="s">
        <v>408</v>
      </c>
      <c r="P89" s="40" t="s">
        <v>442</v>
      </c>
    </row>
    <row r="90" spans="1:16" ht="58">
      <c r="A90" s="46" t="s">
        <v>123</v>
      </c>
      <c r="B90" s="292"/>
      <c r="C90" s="295"/>
      <c r="D90" s="298"/>
      <c r="E90" s="304"/>
      <c r="F90" s="139" t="s">
        <v>132</v>
      </c>
      <c r="G90" s="140" t="s">
        <v>133</v>
      </c>
      <c r="H90" s="141" t="s">
        <v>392</v>
      </c>
      <c r="I90" s="141" t="s">
        <v>393</v>
      </c>
      <c r="J90" s="35" t="str">
        <f t="shared" si="1"/>
        <v>Conèixer i estudiar els processos naturals propis de l’espai, la seva funcionalitat, i ecologia en referència als ecosistemes</v>
      </c>
      <c r="K90" s="35"/>
      <c r="L90" s="37"/>
      <c r="M90" s="38" t="s">
        <v>723</v>
      </c>
      <c r="N90" s="40" t="s">
        <v>812</v>
      </c>
      <c r="O90" s="39"/>
      <c r="P90" s="40"/>
    </row>
    <row r="91" spans="1:16" ht="43.5">
      <c r="A91" s="46" t="s">
        <v>123</v>
      </c>
      <c r="B91" s="292"/>
      <c r="C91" s="295"/>
      <c r="D91" s="298"/>
      <c r="E91" s="304"/>
      <c r="F91" s="139" t="s">
        <v>132</v>
      </c>
      <c r="G91" s="140" t="s">
        <v>133</v>
      </c>
      <c r="H91" s="141" t="s">
        <v>392</v>
      </c>
      <c r="I91" s="141" t="s">
        <v>393</v>
      </c>
      <c r="J91" s="35" t="str">
        <f t="shared" si="1"/>
        <v>Conèixer i estudiar els processos naturals propis de l’espai, la seva funcionalitat, i ecologia en referència als ecosistemes</v>
      </c>
      <c r="K91" s="35"/>
      <c r="L91" s="37"/>
      <c r="M91" s="38" t="s">
        <v>723</v>
      </c>
      <c r="N91" s="40" t="s">
        <v>813</v>
      </c>
      <c r="O91" s="39"/>
      <c r="P91" s="40"/>
    </row>
    <row r="92" spans="1:16" ht="58">
      <c r="A92" s="46" t="s">
        <v>123</v>
      </c>
      <c r="B92" s="292"/>
      <c r="C92" s="295"/>
      <c r="D92" s="298"/>
      <c r="E92" s="304"/>
      <c r="F92" s="139" t="s">
        <v>132</v>
      </c>
      <c r="G92" s="140" t="s">
        <v>133</v>
      </c>
      <c r="H92" s="141" t="s">
        <v>392</v>
      </c>
      <c r="I92" s="141" t="s">
        <v>393</v>
      </c>
      <c r="J92" s="35" t="str">
        <f t="shared" si="1"/>
        <v>Conèixer i estudiar els processos naturals propis de l’espai, la seva funcionalitat, i ecologia en referència als ecosistemes</v>
      </c>
      <c r="K92" s="35"/>
      <c r="L92" s="37"/>
      <c r="M92" s="38" t="s">
        <v>723</v>
      </c>
      <c r="N92" s="40" t="s">
        <v>814</v>
      </c>
      <c r="O92" s="39"/>
      <c r="P92" s="40"/>
    </row>
    <row r="93" spans="1:16" ht="43.5">
      <c r="A93" s="46" t="s">
        <v>123</v>
      </c>
      <c r="B93" s="292"/>
      <c r="C93" s="295"/>
      <c r="D93" s="298"/>
      <c r="E93" s="304"/>
      <c r="F93" s="139" t="s">
        <v>132</v>
      </c>
      <c r="G93" s="140" t="s">
        <v>133</v>
      </c>
      <c r="H93" s="141" t="s">
        <v>392</v>
      </c>
      <c r="I93" s="141" t="s">
        <v>393</v>
      </c>
      <c r="J93" s="35" t="str">
        <f t="shared" si="1"/>
        <v>Conèixer i estudiar els processos naturals propis de l’espai, la seva funcionalitat, i ecologia en referència als ecosistemes</v>
      </c>
      <c r="K93" s="35"/>
      <c r="L93" s="37"/>
      <c r="M93" s="38" t="s">
        <v>706</v>
      </c>
      <c r="N93" s="40" t="s">
        <v>815</v>
      </c>
      <c r="O93" s="39"/>
      <c r="P93" s="40"/>
    </row>
    <row r="94" spans="1:16" ht="43.5">
      <c r="A94" s="46" t="s">
        <v>123</v>
      </c>
      <c r="B94" s="292"/>
      <c r="C94" s="295"/>
      <c r="D94" s="298"/>
      <c r="E94" s="304"/>
      <c r="F94" s="139" t="s">
        <v>132</v>
      </c>
      <c r="G94" s="140" t="s">
        <v>133</v>
      </c>
      <c r="H94" s="141" t="s">
        <v>392</v>
      </c>
      <c r="I94" s="141" t="s">
        <v>393</v>
      </c>
      <c r="J94" s="35" t="str">
        <f t="shared" si="1"/>
        <v>Conèixer i estudiar els processos naturals propis de l’espai, la seva funcionalitat, i ecologia en referència als ecosistemes</v>
      </c>
      <c r="K94" s="35"/>
      <c r="L94" s="37"/>
      <c r="M94" s="38" t="s">
        <v>714</v>
      </c>
      <c r="N94" s="40" t="s">
        <v>816</v>
      </c>
      <c r="O94" s="39"/>
      <c r="P94" s="40"/>
    </row>
    <row r="95" spans="1:16" ht="43.5">
      <c r="A95" s="46" t="s">
        <v>123</v>
      </c>
      <c r="B95" s="292"/>
      <c r="C95" s="295"/>
      <c r="D95" s="298"/>
      <c r="E95" s="304"/>
      <c r="F95" s="139" t="s">
        <v>132</v>
      </c>
      <c r="G95" s="140" t="s">
        <v>133</v>
      </c>
      <c r="H95" s="141" t="s">
        <v>392</v>
      </c>
      <c r="I95" s="141" t="s">
        <v>393</v>
      </c>
      <c r="J95" s="35" t="str">
        <f t="shared" si="1"/>
        <v>Conèixer i estudiar els processos naturals propis de l’espai, la seva funcionalitat, i ecologia en referència als ecosistemes</v>
      </c>
      <c r="K95" s="35"/>
      <c r="L95" s="37"/>
      <c r="M95" s="38" t="s">
        <v>714</v>
      </c>
      <c r="N95" s="40" t="s">
        <v>817</v>
      </c>
      <c r="O95" s="39"/>
      <c r="P95" s="40"/>
    </row>
    <row r="96" spans="1:16" ht="72.5">
      <c r="A96" s="46" t="s">
        <v>123</v>
      </c>
      <c r="B96" s="292"/>
      <c r="C96" s="295"/>
      <c r="D96" s="298"/>
      <c r="E96" s="304"/>
      <c r="F96" s="139" t="s">
        <v>132</v>
      </c>
      <c r="G96" s="140" t="s">
        <v>135</v>
      </c>
      <c r="H96" s="141" t="s">
        <v>392</v>
      </c>
      <c r="I96" s="141" t="s">
        <v>393</v>
      </c>
      <c r="J96" s="35" t="str">
        <f t="shared" si="1"/>
        <v>Conèixer els usos i factors de canvi rellevants en l'evolució dels elements de conservació, i avaluar els efectes que generen en l’espai (pressions i amenaces)</v>
      </c>
      <c r="K96" s="35"/>
      <c r="L96" s="37"/>
      <c r="M96" s="38" t="s">
        <v>714</v>
      </c>
      <c r="N96" s="40" t="s">
        <v>818</v>
      </c>
      <c r="O96" s="39" t="s">
        <v>408</v>
      </c>
      <c r="P96" s="40" t="s">
        <v>443</v>
      </c>
    </row>
    <row r="97" spans="1:16" ht="43.5">
      <c r="A97" s="46" t="s">
        <v>123</v>
      </c>
      <c r="B97" s="292"/>
      <c r="C97" s="295"/>
      <c r="D97" s="298"/>
      <c r="E97" s="304"/>
      <c r="F97" s="139" t="s">
        <v>134</v>
      </c>
      <c r="G97" s="140" t="s">
        <v>135</v>
      </c>
      <c r="H97" s="141" t="s">
        <v>392</v>
      </c>
      <c r="I97" s="141" t="s">
        <v>393</v>
      </c>
      <c r="J97" s="35"/>
      <c r="K97" s="35"/>
      <c r="L97" s="37"/>
      <c r="M97" s="38"/>
      <c r="N97" s="40"/>
      <c r="O97" s="39"/>
      <c r="P97" s="40"/>
    </row>
    <row r="98" spans="1:16" ht="29">
      <c r="A98" s="46" t="s">
        <v>123</v>
      </c>
      <c r="B98" s="292"/>
      <c r="C98" s="295"/>
      <c r="D98" s="298"/>
      <c r="E98" s="304"/>
      <c r="F98" s="139" t="s">
        <v>136</v>
      </c>
      <c r="G98" s="140" t="s">
        <v>819</v>
      </c>
      <c r="H98" s="141" t="s">
        <v>392</v>
      </c>
      <c r="I98" s="141" t="s">
        <v>393</v>
      </c>
      <c r="J98" s="35" t="str">
        <f t="shared" ref="J98" si="6">G98</f>
        <v>Conèixer l'impacte de les gestió de l'aigua, sobre la biodiversitat</v>
      </c>
      <c r="K98" s="35"/>
      <c r="L98" s="37"/>
      <c r="M98" s="38" t="s">
        <v>723</v>
      </c>
      <c r="N98" s="40" t="s">
        <v>820</v>
      </c>
      <c r="O98" s="39"/>
      <c r="P98" s="40"/>
    </row>
    <row r="99" spans="1:16" ht="43.5">
      <c r="A99" s="46" t="s">
        <v>123</v>
      </c>
      <c r="B99" s="292"/>
      <c r="C99" s="295"/>
      <c r="D99" s="298"/>
      <c r="E99" s="304"/>
      <c r="F99" s="139" t="s">
        <v>137</v>
      </c>
      <c r="G99" s="140" t="s">
        <v>138</v>
      </c>
      <c r="H99" s="141" t="s">
        <v>392</v>
      </c>
      <c r="I99" s="141" t="s">
        <v>393</v>
      </c>
      <c r="J99" s="35" t="str">
        <f>G99</f>
        <v>Participar en el coneixement de la tendència d'espècies plaga amb afectacions sobre ecosistemes o activitats econòmiques dins l'ENP</v>
      </c>
      <c r="K99" s="35"/>
      <c r="L99" s="37"/>
      <c r="M99" s="38" t="s">
        <v>723</v>
      </c>
      <c r="N99" s="40" t="s">
        <v>821</v>
      </c>
      <c r="O99" s="39"/>
      <c r="P99" s="40"/>
    </row>
    <row r="100" spans="1:16" ht="29.15" customHeight="1">
      <c r="A100" s="46" t="s">
        <v>123</v>
      </c>
      <c r="B100" s="292"/>
      <c r="C100" s="295"/>
      <c r="D100" s="298"/>
      <c r="E100" s="304"/>
      <c r="F100" s="139" t="s">
        <v>139</v>
      </c>
      <c r="G100" s="140" t="s">
        <v>140</v>
      </c>
      <c r="H100" s="141" t="s">
        <v>392</v>
      </c>
      <c r="I100" s="141" t="s">
        <v>393</v>
      </c>
      <c r="J100" s="35" t="str">
        <f t="shared" si="1"/>
        <v>Conèixer la tendència d'espècies exòtiques invasores amb afectacions sobre ecosistemes o activitats econòmiques dins l'ENP</v>
      </c>
      <c r="K100" s="35"/>
      <c r="L100" s="37"/>
      <c r="M100" s="38" t="s">
        <v>714</v>
      </c>
      <c r="N100" s="40" t="s">
        <v>822</v>
      </c>
      <c r="O100" s="39" t="s">
        <v>408</v>
      </c>
      <c r="P100" s="40"/>
    </row>
    <row r="101" spans="1:16" ht="29">
      <c r="A101" s="46"/>
      <c r="B101" s="292"/>
      <c r="C101" s="295"/>
      <c r="D101" s="299"/>
      <c r="E101" s="305"/>
      <c r="F101" s="139" t="s">
        <v>141</v>
      </c>
      <c r="G101" s="140" t="s">
        <v>142</v>
      </c>
      <c r="H101" s="141" t="s">
        <v>392</v>
      </c>
      <c r="I101" s="141" t="s">
        <v>395</v>
      </c>
      <c r="J101" s="35"/>
      <c r="K101" s="35"/>
      <c r="L101" s="37"/>
      <c r="M101" s="38"/>
      <c r="N101" s="40"/>
      <c r="O101" s="39"/>
      <c r="P101" s="40"/>
    </row>
    <row r="102" spans="1:16" ht="43.5">
      <c r="A102" s="46" t="s">
        <v>123</v>
      </c>
      <c r="B102" s="292"/>
      <c r="C102" s="295"/>
      <c r="D102" s="297" t="s">
        <v>444</v>
      </c>
      <c r="E102" s="300" t="s">
        <v>823</v>
      </c>
      <c r="F102" s="139" t="s">
        <v>143</v>
      </c>
      <c r="G102" s="140" t="s">
        <v>144</v>
      </c>
      <c r="H102" s="141" t="s">
        <v>392</v>
      </c>
      <c r="I102" s="141" t="s">
        <v>393</v>
      </c>
      <c r="J102" s="35" t="str">
        <f t="shared" si="1"/>
        <v>Participar en la definició del sistema estàndard de seguiment de flora, fauna i hàbitats de la DG</v>
      </c>
      <c r="K102" s="35"/>
      <c r="L102" s="37"/>
      <c r="M102" s="38" t="s">
        <v>714</v>
      </c>
      <c r="N102" s="40" t="s">
        <v>824</v>
      </c>
      <c r="O102" s="39" t="s">
        <v>408</v>
      </c>
      <c r="P102" s="40" t="s">
        <v>445</v>
      </c>
    </row>
    <row r="103" spans="1:16" ht="217.5">
      <c r="A103" s="46" t="s">
        <v>123</v>
      </c>
      <c r="B103" s="292"/>
      <c r="C103" s="295"/>
      <c r="D103" s="298"/>
      <c r="E103" s="301"/>
      <c r="F103" s="139" t="s">
        <v>145</v>
      </c>
      <c r="G103" s="140" t="s">
        <v>146</v>
      </c>
      <c r="H103" s="141" t="s">
        <v>392</v>
      </c>
      <c r="I103" s="141" t="s">
        <v>393</v>
      </c>
      <c r="J103" s="35" t="str">
        <f t="shared" si="1"/>
        <v>Adequar i executar el sistema de seguiment periòdic dels grups clau de l'ENP al sistema estàndard de seguiment</v>
      </c>
      <c r="K103" s="35"/>
      <c r="L103" s="37"/>
      <c r="M103" s="38" t="s">
        <v>714</v>
      </c>
      <c r="N103" s="40" t="s">
        <v>825</v>
      </c>
      <c r="O103" s="39" t="s">
        <v>408</v>
      </c>
      <c r="P103" s="40" t="s">
        <v>446</v>
      </c>
    </row>
    <row r="104" spans="1:16" ht="29">
      <c r="A104" s="46" t="s">
        <v>123</v>
      </c>
      <c r="B104" s="292"/>
      <c r="C104" s="295"/>
      <c r="D104" s="298"/>
      <c r="E104" s="301"/>
      <c r="F104" s="139" t="s">
        <v>147</v>
      </c>
      <c r="G104" s="140" t="s">
        <v>148</v>
      </c>
      <c r="H104" s="141" t="s">
        <v>392</v>
      </c>
      <c r="I104" s="141" t="s">
        <v>393</v>
      </c>
      <c r="J104" s="35" t="str">
        <f t="shared" si="1"/>
        <v xml:space="preserve">Mantenir una base de dades de seguiment de patrimoni natural de l'ENP actualitzada i ordenada </v>
      </c>
      <c r="K104" s="35"/>
      <c r="L104" s="37"/>
      <c r="M104" s="38" t="s">
        <v>706</v>
      </c>
      <c r="N104" s="40" t="s">
        <v>826</v>
      </c>
      <c r="O104" s="39"/>
      <c r="P104" s="40"/>
    </row>
    <row r="105" spans="1:16" ht="29">
      <c r="A105" s="46"/>
      <c r="B105" s="292"/>
      <c r="C105" s="295"/>
      <c r="D105" s="299"/>
      <c r="E105" s="302"/>
      <c r="F105" s="139" t="s">
        <v>149</v>
      </c>
      <c r="G105" s="140" t="s">
        <v>827</v>
      </c>
      <c r="H105" s="141" t="s">
        <v>392</v>
      </c>
      <c r="I105" s="141" t="s">
        <v>393</v>
      </c>
      <c r="J105" s="35" t="str">
        <f>G105</f>
        <v>Participar en la definició, organització i bolcatge de dades del SINATCAT</v>
      </c>
      <c r="K105" s="35"/>
      <c r="L105" s="37"/>
      <c r="M105" s="38" t="s">
        <v>723</v>
      </c>
      <c r="N105" s="40" t="s">
        <v>828</v>
      </c>
      <c r="O105" s="39"/>
      <c r="P105" s="40"/>
    </row>
    <row r="106" spans="1:16" ht="43.5">
      <c r="A106" s="46" t="s">
        <v>123</v>
      </c>
      <c r="B106" s="292"/>
      <c r="C106" s="295"/>
      <c r="D106" s="297" t="s">
        <v>447</v>
      </c>
      <c r="E106" s="300" t="s">
        <v>150</v>
      </c>
      <c r="F106" s="139" t="s">
        <v>151</v>
      </c>
      <c r="G106" s="140" t="s">
        <v>152</v>
      </c>
      <c r="H106" s="141" t="s">
        <v>392</v>
      </c>
      <c r="I106" s="141" t="s">
        <v>395</v>
      </c>
      <c r="J106" s="35" t="str">
        <f>G106</f>
        <v>Crear sinèrgies i col·laborar amb museus i equipaments de referència per definir línies d'actuació conjunta entre patrimoni cultural i natural</v>
      </c>
      <c r="K106" s="35"/>
      <c r="L106" s="37"/>
      <c r="M106" s="38" t="s">
        <v>723</v>
      </c>
      <c r="N106" s="33" t="s">
        <v>829</v>
      </c>
      <c r="O106" s="39"/>
      <c r="P106" s="40" t="s">
        <v>448</v>
      </c>
    </row>
    <row r="107" spans="1:16" ht="43.5">
      <c r="A107" s="46" t="s">
        <v>123</v>
      </c>
      <c r="B107" s="292"/>
      <c r="C107" s="295"/>
      <c r="D107" s="298"/>
      <c r="E107" s="301"/>
      <c r="F107" s="139" t="s">
        <v>153</v>
      </c>
      <c r="G107" s="140" t="s">
        <v>154</v>
      </c>
      <c r="H107" s="141" t="s">
        <v>392</v>
      </c>
      <c r="I107" s="141" t="s">
        <v>393</v>
      </c>
      <c r="J107" s="35" t="s">
        <v>830</v>
      </c>
      <c r="K107" s="35" t="s">
        <v>831</v>
      </c>
      <c r="L107" s="37"/>
      <c r="M107" s="38" t="s">
        <v>723</v>
      </c>
      <c r="N107" s="40" t="s">
        <v>832</v>
      </c>
      <c r="O107" s="39"/>
      <c r="P107" s="40" t="s">
        <v>449</v>
      </c>
    </row>
    <row r="108" spans="1:16" ht="29">
      <c r="A108" s="46" t="s">
        <v>123</v>
      </c>
      <c r="B108" s="292"/>
      <c r="C108" s="295"/>
      <c r="D108" s="298"/>
      <c r="E108" s="301"/>
      <c r="F108" s="139" t="s">
        <v>155</v>
      </c>
      <c r="G108" s="140" t="s">
        <v>156</v>
      </c>
      <c r="H108" s="141" t="s">
        <v>392</v>
      </c>
      <c r="I108" s="141" t="s">
        <v>393</v>
      </c>
      <c r="J108" s="35" t="str">
        <f>G108</f>
        <v xml:space="preserve">Potenciar la ciència ciutadana en l’ENP com a eina per generar coneixement </v>
      </c>
      <c r="K108" s="35"/>
      <c r="L108" s="37"/>
      <c r="M108" s="38" t="s">
        <v>723</v>
      </c>
      <c r="N108" s="40" t="s">
        <v>833</v>
      </c>
      <c r="O108" s="39"/>
      <c r="P108" s="40"/>
    </row>
    <row r="109" spans="1:16" ht="43.5">
      <c r="A109" s="46" t="s">
        <v>123</v>
      </c>
      <c r="B109" s="292"/>
      <c r="C109" s="295"/>
      <c r="D109" s="298"/>
      <c r="E109" s="301"/>
      <c r="F109" s="139" t="s">
        <v>157</v>
      </c>
      <c r="G109" s="140" t="s">
        <v>834</v>
      </c>
      <c r="H109" s="141" t="s">
        <v>392</v>
      </c>
      <c r="I109" s="141" t="s">
        <v>393</v>
      </c>
      <c r="J109" s="35" t="s">
        <v>835</v>
      </c>
      <c r="K109" s="35" t="s">
        <v>836</v>
      </c>
      <c r="L109" s="37"/>
      <c r="M109" s="38" t="s">
        <v>723</v>
      </c>
      <c r="N109" s="40" t="s">
        <v>837</v>
      </c>
      <c r="O109" s="39"/>
      <c r="P109" s="40" t="s">
        <v>450</v>
      </c>
    </row>
    <row r="110" spans="1:16">
      <c r="A110" s="46"/>
      <c r="B110" s="292"/>
      <c r="C110" s="295"/>
      <c r="D110" s="298"/>
      <c r="E110" s="301"/>
      <c r="F110" s="139" t="s">
        <v>158</v>
      </c>
      <c r="G110" s="140" t="s">
        <v>159</v>
      </c>
      <c r="H110" s="141" t="s">
        <v>392</v>
      </c>
      <c r="I110" s="141" t="s">
        <v>395</v>
      </c>
      <c r="J110" s="35"/>
      <c r="K110" s="35"/>
      <c r="L110" s="37"/>
      <c r="M110" s="38"/>
      <c r="N110" s="40"/>
      <c r="O110" s="39"/>
      <c r="P110" s="40"/>
    </row>
    <row r="111" spans="1:16" ht="29">
      <c r="A111" s="46" t="s">
        <v>123</v>
      </c>
      <c r="B111" s="292"/>
      <c r="C111" s="295"/>
      <c r="D111" s="299"/>
      <c r="E111" s="302"/>
      <c r="F111" s="139" t="s">
        <v>160</v>
      </c>
      <c r="G111" s="140" t="s">
        <v>161</v>
      </c>
      <c r="H111" s="141" t="s">
        <v>392</v>
      </c>
      <c r="I111" s="141" t="s">
        <v>395</v>
      </c>
      <c r="J111" s="35"/>
      <c r="K111" s="35"/>
      <c r="L111" s="37"/>
      <c r="M111" s="38"/>
      <c r="N111" s="40"/>
      <c r="O111" s="39"/>
      <c r="P111" s="40"/>
    </row>
    <row r="112" spans="1:16" ht="29">
      <c r="A112" s="46" t="s">
        <v>123</v>
      </c>
      <c r="B112" s="292"/>
      <c r="C112" s="295"/>
      <c r="D112" s="284" t="s">
        <v>451</v>
      </c>
      <c r="E112" s="285" t="s">
        <v>162</v>
      </c>
      <c r="F112" s="139" t="s">
        <v>163</v>
      </c>
      <c r="G112" s="140" t="s">
        <v>838</v>
      </c>
      <c r="H112" s="141" t="s">
        <v>392</v>
      </c>
      <c r="I112" s="141" t="s">
        <v>393</v>
      </c>
      <c r="J112" s="35" t="str">
        <f t="shared" ref="J112:J118" si="7">G112</f>
        <v>Participar en la definició del sistema estàndard de seguiment de l'ús públic amb el SENP</v>
      </c>
      <c r="K112" s="35"/>
      <c r="L112" s="37"/>
      <c r="M112" s="38" t="s">
        <v>723</v>
      </c>
      <c r="N112" s="40" t="s">
        <v>839</v>
      </c>
      <c r="O112" s="39"/>
      <c r="P112" s="40" t="s">
        <v>452</v>
      </c>
    </row>
    <row r="113" spans="1:16" ht="29">
      <c r="A113" s="46" t="s">
        <v>123</v>
      </c>
      <c r="B113" s="292"/>
      <c r="C113" s="295"/>
      <c r="D113" s="284"/>
      <c r="E113" s="285"/>
      <c r="F113" s="139" t="s">
        <v>164</v>
      </c>
      <c r="G113" s="140" t="s">
        <v>838</v>
      </c>
      <c r="H113" s="141" t="s">
        <v>392</v>
      </c>
      <c r="I113" s="141" t="s">
        <v>393</v>
      </c>
      <c r="J113" s="35" t="str">
        <f t="shared" si="7"/>
        <v>Participar en la definició del sistema estàndard de seguiment de l'ús públic amb el SENP</v>
      </c>
      <c r="K113" s="35"/>
      <c r="L113" s="37"/>
      <c r="M113" s="38" t="s">
        <v>723</v>
      </c>
      <c r="N113" s="40" t="s">
        <v>840</v>
      </c>
      <c r="O113" s="39"/>
      <c r="P113" s="40"/>
    </row>
    <row r="114" spans="1:16" ht="14.5" customHeight="1">
      <c r="A114" s="46" t="s">
        <v>123</v>
      </c>
      <c r="B114" s="292"/>
      <c r="C114" s="295"/>
      <c r="D114" s="284"/>
      <c r="E114" s="285"/>
      <c r="F114" s="139" t="s">
        <v>166</v>
      </c>
      <c r="G114" s="140" t="s">
        <v>165</v>
      </c>
      <c r="H114" s="141" t="s">
        <v>392</v>
      </c>
      <c r="I114" s="141" t="s">
        <v>393</v>
      </c>
      <c r="J114" s="35" t="str">
        <f t="shared" si="7"/>
        <v xml:space="preserve">Disposar de dades de freqüentació i perfil d'usuari en l'ENP i en especial en equipaments i en zones d'alta freqüentació segons el model de DG </v>
      </c>
      <c r="K114" s="35"/>
      <c r="L114" s="37"/>
      <c r="M114" s="38" t="s">
        <v>706</v>
      </c>
      <c r="N114" s="40" t="s">
        <v>841</v>
      </c>
      <c r="O114" s="39"/>
      <c r="P114" s="40" t="s">
        <v>453</v>
      </c>
    </row>
    <row r="115" spans="1:16" ht="29">
      <c r="A115" s="46" t="s">
        <v>123</v>
      </c>
      <c r="B115" s="292"/>
      <c r="C115" s="295"/>
      <c r="D115" s="284"/>
      <c r="E115" s="285"/>
      <c r="F115" s="139" t="s">
        <v>167</v>
      </c>
      <c r="G115" s="140" t="s">
        <v>168</v>
      </c>
      <c r="H115" s="141"/>
      <c r="I115" s="141"/>
      <c r="J115" s="35"/>
      <c r="K115" s="35"/>
      <c r="L115" s="37"/>
      <c r="M115" s="38"/>
      <c r="N115" s="40"/>
      <c r="O115" s="39"/>
      <c r="P115" s="40"/>
    </row>
    <row r="116" spans="1:16" ht="29">
      <c r="A116" s="46" t="s">
        <v>123</v>
      </c>
      <c r="B116" s="292"/>
      <c r="C116" s="295"/>
      <c r="D116" s="284"/>
      <c r="E116" s="285"/>
      <c r="F116" s="139" t="s">
        <v>169</v>
      </c>
      <c r="G116" s="140" t="s">
        <v>842</v>
      </c>
      <c r="H116" s="141" t="s">
        <v>392</v>
      </c>
      <c r="I116" s="141" t="s">
        <v>393</v>
      </c>
      <c r="J116" s="35" t="str">
        <f t="shared" si="7"/>
        <v>Adaptar i mantenir un registre d'activitats, actors i incidències en ús públic (curses, conflictes, queixes, etc)</v>
      </c>
      <c r="K116" s="35"/>
      <c r="L116" s="37"/>
      <c r="M116" s="38" t="s">
        <v>714</v>
      </c>
      <c r="N116" s="40" t="s">
        <v>843</v>
      </c>
      <c r="O116" s="39"/>
      <c r="P116" s="40" t="s">
        <v>454</v>
      </c>
    </row>
    <row r="117" spans="1:16" ht="29">
      <c r="A117" s="46" t="s">
        <v>123</v>
      </c>
      <c r="B117" s="293"/>
      <c r="C117" s="296"/>
      <c r="D117" s="284"/>
      <c r="E117" s="285"/>
      <c r="F117" s="139" t="s">
        <v>170</v>
      </c>
      <c r="G117" s="140" t="s">
        <v>171</v>
      </c>
      <c r="H117" s="141" t="s">
        <v>392</v>
      </c>
      <c r="I117" s="141" t="s">
        <v>393</v>
      </c>
      <c r="J117" s="35" t="str">
        <f t="shared" si="7"/>
        <v>Identificar els impactes (positius i negatius) que generen les activitats d'ús públic dins l'ENP</v>
      </c>
      <c r="K117" s="35"/>
      <c r="L117" s="37"/>
      <c r="M117" s="38" t="s">
        <v>723</v>
      </c>
      <c r="N117" s="40" t="s">
        <v>844</v>
      </c>
      <c r="O117" s="39" t="s">
        <v>408</v>
      </c>
      <c r="P117" s="40"/>
    </row>
    <row r="118" spans="1:16" ht="43.5">
      <c r="A118" s="48" t="s">
        <v>172</v>
      </c>
      <c r="B118" s="286">
        <v>7</v>
      </c>
      <c r="C118" s="286" t="s">
        <v>173</v>
      </c>
      <c r="D118" s="49" t="s">
        <v>455</v>
      </c>
      <c r="E118" s="50" t="s">
        <v>174</v>
      </c>
      <c r="F118" s="139" t="s">
        <v>175</v>
      </c>
      <c r="G118" s="140" t="s">
        <v>845</v>
      </c>
      <c r="H118" s="141" t="s">
        <v>392</v>
      </c>
      <c r="I118" s="141" t="s">
        <v>395</v>
      </c>
      <c r="J118" s="35" t="str">
        <f t="shared" si="7"/>
        <v>Promoure i/o col·laborar en l'aplicació de Plans de Desenvolupament Local Sostenible</v>
      </c>
      <c r="K118" s="35"/>
      <c r="L118" s="37"/>
      <c r="M118" s="36" t="s">
        <v>723</v>
      </c>
      <c r="N118" s="40" t="s">
        <v>846</v>
      </c>
      <c r="O118" s="36"/>
      <c r="P118" s="35"/>
    </row>
    <row r="119" spans="1:16" ht="72.5">
      <c r="A119" s="48" t="s">
        <v>172</v>
      </c>
      <c r="B119" s="287"/>
      <c r="C119" s="287"/>
      <c r="D119" s="145" t="s">
        <v>847</v>
      </c>
      <c r="E119" s="50" t="s">
        <v>848</v>
      </c>
      <c r="F119" s="139" t="s">
        <v>849</v>
      </c>
      <c r="G119" s="140"/>
      <c r="H119" s="141"/>
      <c r="I119" s="141"/>
      <c r="J119" s="35" t="s">
        <v>850</v>
      </c>
      <c r="K119" s="35" t="s">
        <v>851</v>
      </c>
      <c r="L119" s="37" t="s">
        <v>852</v>
      </c>
      <c r="M119" s="36" t="s">
        <v>714</v>
      </c>
      <c r="N119" s="40" t="s">
        <v>853</v>
      </c>
      <c r="O119" s="36"/>
      <c r="P119" s="35"/>
    </row>
    <row r="120" spans="1:16" ht="43.5">
      <c r="A120" s="48" t="s">
        <v>172</v>
      </c>
      <c r="B120" s="146">
        <v>8</v>
      </c>
      <c r="C120" s="286" t="s">
        <v>854</v>
      </c>
      <c r="D120" s="267" t="s">
        <v>456</v>
      </c>
      <c r="E120" s="282" t="s">
        <v>176</v>
      </c>
      <c r="F120" s="139" t="s">
        <v>177</v>
      </c>
      <c r="G120" s="140" t="s">
        <v>178</v>
      </c>
      <c r="H120" s="141" t="s">
        <v>392</v>
      </c>
      <c r="I120" s="141" t="s">
        <v>404</v>
      </c>
      <c r="J120" s="35"/>
      <c r="K120" s="35"/>
      <c r="L120" s="37"/>
      <c r="M120" s="36"/>
      <c r="N120" s="40"/>
      <c r="O120" s="36"/>
      <c r="P120" s="35"/>
    </row>
    <row r="121" spans="1:16" ht="58">
      <c r="A121" s="48" t="s">
        <v>172</v>
      </c>
      <c r="B121" s="290"/>
      <c r="C121" s="288"/>
      <c r="D121" s="268"/>
      <c r="E121" s="289"/>
      <c r="F121" s="139" t="s">
        <v>179</v>
      </c>
      <c r="G121" s="140" t="s">
        <v>180</v>
      </c>
      <c r="H121" s="141" t="s">
        <v>392</v>
      </c>
      <c r="I121" s="141" t="s">
        <v>404</v>
      </c>
      <c r="J121" s="35" t="s">
        <v>855</v>
      </c>
      <c r="K121" s="35" t="s">
        <v>856</v>
      </c>
      <c r="L121" s="37"/>
      <c r="M121" s="38" t="s">
        <v>723</v>
      </c>
      <c r="N121" s="40" t="s">
        <v>855</v>
      </c>
      <c r="O121" s="39"/>
      <c r="P121" s="40"/>
    </row>
    <row r="122" spans="1:16" ht="43.5">
      <c r="A122" s="48" t="s">
        <v>172</v>
      </c>
      <c r="B122" s="290"/>
      <c r="C122" s="288"/>
      <c r="D122" s="269"/>
      <c r="E122" s="283"/>
      <c r="F122" s="139" t="s">
        <v>181</v>
      </c>
      <c r="G122" s="140" t="s">
        <v>857</v>
      </c>
      <c r="H122" s="141" t="s">
        <v>394</v>
      </c>
      <c r="I122" s="141" t="s">
        <v>393</v>
      </c>
      <c r="J122" s="35" t="str">
        <f>G122</f>
        <v>Promoure la recuperació i conservació de marges i punts d'aigua associats a la ramaderia i l'agricultura i d'interès per a la biodiversitat</v>
      </c>
      <c r="K122" s="35"/>
      <c r="L122" s="37"/>
      <c r="M122" s="38" t="s">
        <v>723</v>
      </c>
      <c r="N122" s="40" t="s">
        <v>858</v>
      </c>
      <c r="O122" s="39"/>
      <c r="P122" s="40"/>
    </row>
    <row r="123" spans="1:16" ht="43.5">
      <c r="A123" s="48"/>
      <c r="B123" s="290"/>
      <c r="C123" s="288"/>
      <c r="D123" s="49" t="s">
        <v>457</v>
      </c>
      <c r="E123" s="50" t="s">
        <v>182</v>
      </c>
      <c r="F123" s="139" t="s">
        <v>183</v>
      </c>
      <c r="G123" s="140" t="s">
        <v>184</v>
      </c>
      <c r="H123" s="147"/>
      <c r="I123" s="147"/>
      <c r="J123" s="35"/>
      <c r="K123" s="35"/>
      <c r="L123" s="37"/>
      <c r="M123" s="38"/>
      <c r="N123" s="40"/>
      <c r="O123" s="39"/>
      <c r="P123" s="40"/>
    </row>
    <row r="124" spans="1:16" ht="43.5">
      <c r="A124" s="48" t="s">
        <v>172</v>
      </c>
      <c r="B124" s="290"/>
      <c r="C124" s="288"/>
      <c r="D124" s="267" t="s">
        <v>458</v>
      </c>
      <c r="E124" s="270" t="s">
        <v>185</v>
      </c>
      <c r="F124" s="139" t="s">
        <v>186</v>
      </c>
      <c r="G124" s="140" t="s">
        <v>187</v>
      </c>
      <c r="H124" s="141" t="s">
        <v>392</v>
      </c>
      <c r="I124" s="141" t="s">
        <v>393</v>
      </c>
      <c r="J124" s="35" t="str">
        <f>G124</f>
        <v>Implantar un distintiu de qualitat i compatibilitat amb la conservació dels productes de la Xarxa d'ENP o criteris de qualitat propis de l'ENP</v>
      </c>
      <c r="K124" s="35" t="s">
        <v>859</v>
      </c>
      <c r="L124" s="37"/>
      <c r="M124" s="38" t="s">
        <v>723</v>
      </c>
      <c r="N124" s="40" t="s">
        <v>860</v>
      </c>
      <c r="O124" s="39" t="s">
        <v>408</v>
      </c>
      <c r="P124" s="40" t="s">
        <v>459</v>
      </c>
    </row>
    <row r="125" spans="1:16" ht="29.15" customHeight="1">
      <c r="A125" s="48" t="s">
        <v>172</v>
      </c>
      <c r="B125" s="290"/>
      <c r="C125" s="288"/>
      <c r="D125" s="268"/>
      <c r="E125" s="271"/>
      <c r="F125" s="139" t="s">
        <v>188</v>
      </c>
      <c r="G125" s="140" t="s">
        <v>189</v>
      </c>
      <c r="H125" s="141" t="s">
        <v>392</v>
      </c>
      <c r="I125" s="141" t="s">
        <v>393</v>
      </c>
      <c r="J125" s="35" t="str">
        <f>G125</f>
        <v>Integrar els productes i activitats locals de qualitat en l'oferta d'activitats d'informació i turístiques de l'ENP</v>
      </c>
      <c r="K125" s="35"/>
      <c r="L125" s="37"/>
      <c r="M125" s="38" t="s">
        <v>723</v>
      </c>
      <c r="N125" s="40" t="s">
        <v>861</v>
      </c>
      <c r="O125" s="43" t="s">
        <v>460</v>
      </c>
      <c r="P125" s="40"/>
    </row>
    <row r="126" spans="1:16" ht="29">
      <c r="A126" s="48" t="s">
        <v>172</v>
      </c>
      <c r="B126" s="290"/>
      <c r="C126" s="288"/>
      <c r="D126" s="268"/>
      <c r="E126" s="271"/>
      <c r="F126" s="139" t="s">
        <v>188</v>
      </c>
      <c r="G126" s="140" t="s">
        <v>189</v>
      </c>
      <c r="H126" s="141" t="s">
        <v>392</v>
      </c>
      <c r="I126" s="141" t="s">
        <v>393</v>
      </c>
      <c r="J126" s="35" t="str">
        <f>G126</f>
        <v>Integrar els productes i activitats locals de qualitat en l'oferta d'activitats d'informació i turístiques de l'ENP</v>
      </c>
      <c r="K126" s="35"/>
      <c r="L126" s="37"/>
      <c r="M126" s="38" t="s">
        <v>723</v>
      </c>
      <c r="N126" s="40" t="s">
        <v>862</v>
      </c>
      <c r="O126" s="43"/>
      <c r="P126" s="40"/>
    </row>
    <row r="127" spans="1:16" ht="29">
      <c r="A127" s="48" t="s">
        <v>172</v>
      </c>
      <c r="B127" s="290"/>
      <c r="C127" s="288"/>
      <c r="D127" s="268"/>
      <c r="E127" s="271"/>
      <c r="F127" s="139" t="s">
        <v>190</v>
      </c>
      <c r="G127" s="140" t="s">
        <v>191</v>
      </c>
      <c r="H127" s="141" t="s">
        <v>392</v>
      </c>
      <c r="I127" s="141" t="s">
        <v>393</v>
      </c>
      <c r="J127" s="35" t="s">
        <v>863</v>
      </c>
      <c r="K127" s="35" t="s">
        <v>864</v>
      </c>
      <c r="L127" s="41"/>
      <c r="M127" s="38" t="s">
        <v>723</v>
      </c>
      <c r="N127" s="40" t="s">
        <v>865</v>
      </c>
      <c r="O127" s="39"/>
      <c r="P127" s="40"/>
    </row>
    <row r="128" spans="1:16" ht="43.5">
      <c r="A128" s="48" t="s">
        <v>172</v>
      </c>
      <c r="B128" s="290"/>
      <c r="C128" s="288"/>
      <c r="D128" s="268"/>
      <c r="E128" s="271"/>
      <c r="F128" s="139" t="s">
        <v>192</v>
      </c>
      <c r="G128" s="140" t="s">
        <v>193</v>
      </c>
      <c r="H128" s="141" t="s">
        <v>392</v>
      </c>
      <c r="I128" s="141" t="s">
        <v>393</v>
      </c>
      <c r="J128" s="35" t="s">
        <v>866</v>
      </c>
      <c r="K128" s="35" t="s">
        <v>867</v>
      </c>
      <c r="L128" s="37"/>
      <c r="M128" s="38" t="s">
        <v>723</v>
      </c>
      <c r="N128" s="40" t="s">
        <v>868</v>
      </c>
      <c r="O128" s="43" t="s">
        <v>460</v>
      </c>
      <c r="P128" s="40"/>
    </row>
    <row r="129" spans="1:16" ht="29.15" customHeight="1">
      <c r="A129" s="48"/>
      <c r="B129" s="290"/>
      <c r="C129" s="288"/>
      <c r="D129" s="268"/>
      <c r="E129" s="271"/>
      <c r="F129" s="139" t="s">
        <v>194</v>
      </c>
      <c r="G129" s="140" t="s">
        <v>195</v>
      </c>
      <c r="H129" s="141" t="s">
        <v>392</v>
      </c>
      <c r="I129" s="141" t="s">
        <v>395</v>
      </c>
      <c r="J129" s="35"/>
      <c r="K129" s="35"/>
      <c r="L129" s="37"/>
      <c r="M129" s="38"/>
      <c r="N129" s="40"/>
      <c r="O129" s="43"/>
      <c r="P129" s="40"/>
    </row>
    <row r="130" spans="1:16" ht="58">
      <c r="A130" s="48" t="s">
        <v>172</v>
      </c>
      <c r="B130" s="290"/>
      <c r="C130" s="288"/>
      <c r="D130" s="269"/>
      <c r="E130" s="272"/>
      <c r="F130" s="139" t="s">
        <v>196</v>
      </c>
      <c r="G130" s="140" t="s">
        <v>869</v>
      </c>
      <c r="H130" s="141" t="s">
        <v>392</v>
      </c>
      <c r="I130" s="141" t="s">
        <v>395</v>
      </c>
      <c r="J130" s="35"/>
      <c r="K130" s="35"/>
      <c r="L130" s="37"/>
      <c r="M130" s="38"/>
      <c r="N130" s="40"/>
      <c r="O130" s="43"/>
      <c r="P130" s="40"/>
    </row>
    <row r="131" spans="1:16" ht="43.5">
      <c r="A131" s="48" t="s">
        <v>172</v>
      </c>
      <c r="B131" s="290"/>
      <c r="C131" s="288"/>
      <c r="D131" s="267" t="s">
        <v>461</v>
      </c>
      <c r="E131" s="270" t="s">
        <v>197</v>
      </c>
      <c r="F131" s="139" t="s">
        <v>198</v>
      </c>
      <c r="G131" s="140" t="s">
        <v>199</v>
      </c>
      <c r="H131" s="141" t="s">
        <v>392</v>
      </c>
      <c r="I131" s="141" t="s">
        <v>393</v>
      </c>
      <c r="J131" s="35" t="str">
        <f>G131</f>
        <v>Treballar amb l'autoritat competent per garantir objectius de conservació d’espècies i hàbitats en la revisió dels Plans de Gestió Cinegètica</v>
      </c>
      <c r="K131" s="35"/>
      <c r="L131" s="37"/>
      <c r="M131" s="38" t="s">
        <v>714</v>
      </c>
      <c r="N131" s="40" t="s">
        <v>870</v>
      </c>
      <c r="O131" s="39" t="s">
        <v>405</v>
      </c>
      <c r="P131" s="40"/>
    </row>
    <row r="132" spans="1:16" ht="43.5">
      <c r="A132" s="48" t="s">
        <v>172</v>
      </c>
      <c r="B132" s="290"/>
      <c r="C132" s="288"/>
      <c r="D132" s="268"/>
      <c r="E132" s="271"/>
      <c r="F132" s="139" t="s">
        <v>200</v>
      </c>
      <c r="G132" s="140" t="s">
        <v>201</v>
      </c>
      <c r="H132" s="141" t="s">
        <v>392</v>
      </c>
      <c r="I132" s="141" t="s">
        <v>393</v>
      </c>
      <c r="J132" s="35" t="s">
        <v>871</v>
      </c>
      <c r="K132" s="35"/>
      <c r="L132" s="37"/>
      <c r="M132" s="38" t="s">
        <v>714</v>
      </c>
      <c r="N132" s="40" t="s">
        <v>872</v>
      </c>
      <c r="O132" s="39" t="s">
        <v>405</v>
      </c>
      <c r="P132" s="40"/>
    </row>
    <row r="133" spans="1:16" ht="29">
      <c r="A133" s="48" t="s">
        <v>172</v>
      </c>
      <c r="B133" s="148"/>
      <c r="C133" s="288"/>
      <c r="D133" s="269"/>
      <c r="E133" s="272"/>
      <c r="F133" s="139" t="s">
        <v>202</v>
      </c>
      <c r="G133" s="140" t="s">
        <v>203</v>
      </c>
      <c r="H133" s="141" t="s">
        <v>392</v>
      </c>
      <c r="I133" s="141" t="s">
        <v>393</v>
      </c>
      <c r="J133" s="35" t="s">
        <v>203</v>
      </c>
      <c r="K133" s="35"/>
      <c r="L133" s="37"/>
      <c r="M133" s="38" t="s">
        <v>723</v>
      </c>
      <c r="N133" s="40" t="s">
        <v>873</v>
      </c>
      <c r="O133" s="39"/>
      <c r="P133" s="40"/>
    </row>
    <row r="134" spans="1:16" ht="29.15" customHeight="1">
      <c r="A134" s="48" t="s">
        <v>172</v>
      </c>
      <c r="B134" s="273">
        <v>9</v>
      </c>
      <c r="C134" s="276" t="s">
        <v>874</v>
      </c>
      <c r="D134" s="279" t="s">
        <v>462</v>
      </c>
      <c r="E134" s="270" t="s">
        <v>204</v>
      </c>
      <c r="F134" s="139" t="s">
        <v>205</v>
      </c>
      <c r="G134" s="140" t="s">
        <v>206</v>
      </c>
      <c r="H134" s="141" t="s">
        <v>392</v>
      </c>
      <c r="I134" s="141" t="s">
        <v>395</v>
      </c>
      <c r="J134" s="35"/>
      <c r="K134" s="35"/>
      <c r="L134" s="37"/>
      <c r="M134" s="38"/>
      <c r="N134" s="40"/>
      <c r="O134" s="39"/>
      <c r="P134" s="40"/>
    </row>
    <row r="135" spans="1:16" ht="29">
      <c r="A135" s="48" t="s">
        <v>172</v>
      </c>
      <c r="B135" s="274"/>
      <c r="C135" s="277"/>
      <c r="D135" s="280"/>
      <c r="E135" s="271"/>
      <c r="F135" s="139" t="s">
        <v>207</v>
      </c>
      <c r="G135" s="140" t="s">
        <v>208</v>
      </c>
      <c r="H135" s="141" t="s">
        <v>392</v>
      </c>
      <c r="I135" s="141" t="s">
        <v>395</v>
      </c>
      <c r="J135" s="35"/>
      <c r="K135" s="35"/>
      <c r="L135" s="37"/>
      <c r="M135" s="38"/>
      <c r="N135" s="40"/>
      <c r="O135" s="39"/>
      <c r="P135" s="40"/>
    </row>
    <row r="136" spans="1:16" ht="43.5">
      <c r="A136" s="48"/>
      <c r="B136" s="274"/>
      <c r="C136" s="277"/>
      <c r="D136" s="281"/>
      <c r="E136" s="272"/>
      <c r="F136" s="139" t="s">
        <v>875</v>
      </c>
      <c r="G136" s="140" t="s">
        <v>876</v>
      </c>
      <c r="H136" s="141" t="s">
        <v>392</v>
      </c>
      <c r="I136" s="141" t="s">
        <v>395</v>
      </c>
      <c r="J136" s="35" t="str">
        <f>G136</f>
        <v>Fomentar la creació d'allotjaments i altres recursos turístics d'acord amb les necessitats i els agents turístics del territori que es vinculin als valors naturals de l'espai</v>
      </c>
      <c r="K136" s="35"/>
      <c r="L136" s="37"/>
      <c r="M136" s="38" t="s">
        <v>723</v>
      </c>
      <c r="N136" s="40" t="s">
        <v>877</v>
      </c>
      <c r="O136" s="39"/>
      <c r="P136" s="40"/>
    </row>
    <row r="137" spans="1:16" ht="29.15" customHeight="1">
      <c r="A137" s="48" t="s">
        <v>172</v>
      </c>
      <c r="B137" s="274"/>
      <c r="C137" s="277"/>
      <c r="D137" s="279" t="s">
        <v>463</v>
      </c>
      <c r="E137" s="282" t="s">
        <v>209</v>
      </c>
      <c r="F137" s="139" t="s">
        <v>210</v>
      </c>
      <c r="G137" s="140" t="s">
        <v>211</v>
      </c>
      <c r="H137" s="141" t="s">
        <v>392</v>
      </c>
      <c r="I137" s="141" t="s">
        <v>395</v>
      </c>
      <c r="J137" s="35"/>
      <c r="K137" s="35"/>
      <c r="L137" s="37"/>
      <c r="M137" s="38"/>
      <c r="N137" s="40"/>
      <c r="O137" s="39"/>
      <c r="P137" s="40"/>
    </row>
    <row r="138" spans="1:16" ht="29">
      <c r="A138" s="48"/>
      <c r="B138" s="274"/>
      <c r="C138" s="277"/>
      <c r="D138" s="281"/>
      <c r="E138" s="283"/>
      <c r="F138" s="139" t="s">
        <v>212</v>
      </c>
      <c r="G138" s="140" t="s">
        <v>213</v>
      </c>
      <c r="H138" s="141" t="s">
        <v>392</v>
      </c>
      <c r="I138" s="141" t="s">
        <v>395</v>
      </c>
      <c r="J138" s="35"/>
      <c r="K138" s="35"/>
      <c r="L138" s="37"/>
      <c r="M138" s="38"/>
      <c r="N138" s="40"/>
      <c r="O138" s="39"/>
      <c r="P138" s="40"/>
    </row>
    <row r="139" spans="1:16" ht="29">
      <c r="A139" s="48"/>
      <c r="B139" s="275"/>
      <c r="C139" s="278"/>
      <c r="D139" s="149" t="s">
        <v>878</v>
      </c>
      <c r="E139" s="150" t="s">
        <v>879</v>
      </c>
      <c r="F139" s="139" t="s">
        <v>880</v>
      </c>
      <c r="G139" s="140"/>
      <c r="H139" s="141"/>
      <c r="I139" s="141"/>
      <c r="J139" s="35" t="s">
        <v>881</v>
      </c>
      <c r="K139" s="35" t="s">
        <v>882</v>
      </c>
      <c r="L139" s="37" t="s">
        <v>852</v>
      </c>
      <c r="M139" s="38" t="s">
        <v>714</v>
      </c>
      <c r="N139" s="40" t="s">
        <v>883</v>
      </c>
      <c r="O139" s="39"/>
      <c r="P139" s="40"/>
    </row>
    <row r="140" spans="1:16" ht="58">
      <c r="A140" s="256" t="s">
        <v>214</v>
      </c>
      <c r="B140" s="151">
        <v>10</v>
      </c>
      <c r="C140" s="152" t="s">
        <v>215</v>
      </c>
      <c r="D140" s="257" t="s">
        <v>464</v>
      </c>
      <c r="E140" s="258" t="s">
        <v>884</v>
      </c>
      <c r="F140" s="139" t="s">
        <v>216</v>
      </c>
      <c r="G140" s="140" t="s">
        <v>885</v>
      </c>
      <c r="H140" s="141" t="s">
        <v>392</v>
      </c>
      <c r="I140" s="141" t="s">
        <v>393</v>
      </c>
      <c r="J140" s="35"/>
      <c r="K140" s="35"/>
      <c r="L140" s="37"/>
      <c r="M140" s="38"/>
      <c r="N140" s="40"/>
      <c r="O140" s="39"/>
      <c r="P140" s="40"/>
    </row>
    <row r="141" spans="1:16" ht="29.15" customHeight="1">
      <c r="A141" s="256"/>
      <c r="B141" s="151"/>
      <c r="C141" s="152"/>
      <c r="D141" s="248"/>
      <c r="E141" s="259"/>
      <c r="F141" s="139" t="s">
        <v>886</v>
      </c>
      <c r="G141" s="140" t="s">
        <v>887</v>
      </c>
      <c r="H141" s="141" t="s">
        <v>392</v>
      </c>
      <c r="I141" s="141" t="s">
        <v>393</v>
      </c>
      <c r="J141" s="35"/>
      <c r="K141" s="35"/>
      <c r="L141" s="37"/>
      <c r="M141" s="38"/>
      <c r="N141" s="40"/>
      <c r="O141" s="39"/>
      <c r="P141" s="40"/>
    </row>
    <row r="142" spans="1:16" ht="43.5">
      <c r="A142" s="256"/>
      <c r="B142" s="245">
        <v>11</v>
      </c>
      <c r="C142" s="260" t="s">
        <v>217</v>
      </c>
      <c r="D142" s="247" t="s">
        <v>466</v>
      </c>
      <c r="E142" s="251" t="s">
        <v>888</v>
      </c>
      <c r="F142" s="139" t="s">
        <v>218</v>
      </c>
      <c r="G142" s="140" t="s">
        <v>889</v>
      </c>
      <c r="H142" s="141" t="s">
        <v>392</v>
      </c>
      <c r="I142" s="141" t="s">
        <v>393</v>
      </c>
      <c r="J142" s="35" t="s">
        <v>890</v>
      </c>
      <c r="K142" s="35" t="s">
        <v>891</v>
      </c>
      <c r="L142" s="35"/>
      <c r="M142" s="38" t="s">
        <v>714</v>
      </c>
      <c r="N142" s="40" t="s">
        <v>892</v>
      </c>
      <c r="O142" s="39"/>
      <c r="P142" s="40" t="s">
        <v>465</v>
      </c>
    </row>
    <row r="143" spans="1:16" ht="43.5">
      <c r="A143" s="51" t="s">
        <v>214</v>
      </c>
      <c r="B143" s="245"/>
      <c r="C143" s="260"/>
      <c r="D143" s="254"/>
      <c r="E143" s="252"/>
      <c r="F143" s="139" t="s">
        <v>219</v>
      </c>
      <c r="G143" s="140" t="s">
        <v>893</v>
      </c>
      <c r="H143" s="141" t="s">
        <v>392</v>
      </c>
      <c r="I143" s="141" t="s">
        <v>393</v>
      </c>
      <c r="J143" s="35" t="s">
        <v>894</v>
      </c>
      <c r="K143" s="35" t="s">
        <v>895</v>
      </c>
      <c r="L143" s="35"/>
      <c r="M143" s="38" t="s">
        <v>714</v>
      </c>
      <c r="N143" s="40" t="s">
        <v>896</v>
      </c>
      <c r="O143" s="39"/>
      <c r="P143" s="40" t="s">
        <v>465</v>
      </c>
    </row>
    <row r="144" spans="1:16" ht="43.5">
      <c r="A144" s="51"/>
      <c r="B144" s="245"/>
      <c r="C144" s="260"/>
      <c r="D144" s="254"/>
      <c r="E144" s="252"/>
      <c r="F144" s="139" t="s">
        <v>219</v>
      </c>
      <c r="G144" s="140" t="s">
        <v>893</v>
      </c>
      <c r="H144" s="141" t="s">
        <v>392</v>
      </c>
      <c r="I144" s="141" t="s">
        <v>393</v>
      </c>
      <c r="J144" s="35" t="s">
        <v>894</v>
      </c>
      <c r="K144" s="35" t="s">
        <v>895</v>
      </c>
      <c r="L144" s="35"/>
      <c r="M144" s="38" t="s">
        <v>714</v>
      </c>
      <c r="N144" s="40" t="s">
        <v>897</v>
      </c>
      <c r="O144" s="39"/>
      <c r="P144" s="40"/>
    </row>
    <row r="145" spans="1:16" ht="29">
      <c r="A145" s="51" t="s">
        <v>214</v>
      </c>
      <c r="B145" s="245"/>
      <c r="C145" s="260"/>
      <c r="D145" s="254"/>
      <c r="E145" s="252"/>
      <c r="F145" s="139" t="s">
        <v>220</v>
      </c>
      <c r="G145" s="140" t="s">
        <v>898</v>
      </c>
      <c r="H145" s="141" t="s">
        <v>392</v>
      </c>
      <c r="I145" s="141" t="s">
        <v>393</v>
      </c>
      <c r="J145" s="35"/>
      <c r="K145" s="3"/>
      <c r="L145" s="35"/>
      <c r="M145" s="3"/>
      <c r="N145" s="40"/>
      <c r="O145" s="39"/>
      <c r="P145" s="40"/>
    </row>
    <row r="146" spans="1:16" ht="43.5">
      <c r="A146" s="51" t="s">
        <v>214</v>
      </c>
      <c r="B146" s="245"/>
      <c r="C146" s="260"/>
      <c r="D146" s="254"/>
      <c r="E146" s="252"/>
      <c r="F146" s="139" t="s">
        <v>221</v>
      </c>
      <c r="G146" s="140" t="s">
        <v>899</v>
      </c>
      <c r="H146" s="141" t="s">
        <v>392</v>
      </c>
      <c r="I146" s="141" t="s">
        <v>393</v>
      </c>
      <c r="J146" s="35" t="str">
        <f>G146</f>
        <v>Ordenar les curses i altres activitats esportives organitzades en base a un model estàndard de Pla de protecció</v>
      </c>
      <c r="K146" s="35" t="s">
        <v>900</v>
      </c>
      <c r="L146" s="35"/>
      <c r="M146" s="38" t="s">
        <v>714</v>
      </c>
      <c r="N146" s="40" t="s">
        <v>901</v>
      </c>
      <c r="O146" s="39"/>
      <c r="P146" s="40" t="s">
        <v>465</v>
      </c>
    </row>
    <row r="147" spans="1:16" ht="43.5">
      <c r="A147" s="51" t="s">
        <v>214</v>
      </c>
      <c r="B147" s="245"/>
      <c r="C147" s="260"/>
      <c r="D147" s="254"/>
      <c r="E147" s="252"/>
      <c r="F147" s="139" t="s">
        <v>222</v>
      </c>
      <c r="G147" s="140" t="s">
        <v>902</v>
      </c>
      <c r="H147" s="141" t="s">
        <v>392</v>
      </c>
      <c r="I147" s="141" t="s">
        <v>393</v>
      </c>
      <c r="J147" s="35" t="str">
        <f>G147</f>
        <v>Ordenar els enregistraments i l'observació de fauna i natura en base a un model estàndard de Pla de protecció</v>
      </c>
      <c r="K147" s="35" t="s">
        <v>900</v>
      </c>
      <c r="L147" s="35"/>
      <c r="M147" s="38" t="s">
        <v>723</v>
      </c>
      <c r="N147" s="40" t="s">
        <v>903</v>
      </c>
      <c r="O147" s="39"/>
      <c r="P147" s="40" t="s">
        <v>465</v>
      </c>
    </row>
    <row r="148" spans="1:16" ht="29.15" customHeight="1">
      <c r="A148" s="51" t="s">
        <v>214</v>
      </c>
      <c r="B148" s="245"/>
      <c r="C148" s="260"/>
      <c r="D148" s="254"/>
      <c r="E148" s="252"/>
      <c r="F148" s="139" t="s">
        <v>223</v>
      </c>
      <c r="G148" s="140" t="s">
        <v>904</v>
      </c>
      <c r="H148" s="141" t="s">
        <v>392</v>
      </c>
      <c r="I148" s="141" t="s">
        <v>393</v>
      </c>
      <c r="J148" s="35" t="str">
        <f>G148</f>
        <v>Ordenar les activitats científiques en base a un model estàndard de Pla de protecció</v>
      </c>
      <c r="K148" s="35" t="s">
        <v>900</v>
      </c>
      <c r="L148" s="35"/>
      <c r="M148" s="38" t="s">
        <v>723</v>
      </c>
      <c r="N148" s="40" t="s">
        <v>905</v>
      </c>
      <c r="O148" s="39"/>
      <c r="P148" s="40" t="s">
        <v>465</v>
      </c>
    </row>
    <row r="149" spans="1:16">
      <c r="A149" s="51" t="s">
        <v>214</v>
      </c>
      <c r="B149" s="245"/>
      <c r="C149" s="260"/>
      <c r="D149" s="254"/>
      <c r="E149" s="252"/>
      <c r="F149" s="139" t="s">
        <v>224</v>
      </c>
      <c r="G149" s="140" t="s">
        <v>906</v>
      </c>
      <c r="H149" s="141" t="s">
        <v>394</v>
      </c>
      <c r="I149" s="141" t="s">
        <v>393</v>
      </c>
      <c r="J149" s="35"/>
      <c r="K149" s="35"/>
      <c r="L149" s="35"/>
      <c r="M149" s="38"/>
      <c r="N149" s="40"/>
      <c r="O149" s="39"/>
      <c r="P149" s="40"/>
    </row>
    <row r="150" spans="1:16" ht="29">
      <c r="A150" s="51" t="s">
        <v>214</v>
      </c>
      <c r="B150" s="245"/>
      <c r="C150" s="260"/>
      <c r="D150" s="254"/>
      <c r="E150" s="252"/>
      <c r="F150" s="139" t="s">
        <v>225</v>
      </c>
      <c r="G150" s="140" t="s">
        <v>907</v>
      </c>
      <c r="H150" s="141" t="s">
        <v>394</v>
      </c>
      <c r="I150" s="141" t="s">
        <v>393</v>
      </c>
      <c r="J150" s="35" t="str">
        <f>G150</f>
        <v>Ordenar l'enlairament i aterratge sense motor</v>
      </c>
      <c r="K150" s="35" t="s">
        <v>900</v>
      </c>
      <c r="L150" s="35"/>
      <c r="M150" s="38" t="s">
        <v>723</v>
      </c>
      <c r="N150" s="40" t="s">
        <v>908</v>
      </c>
      <c r="O150" s="39"/>
      <c r="P150" s="40" t="s">
        <v>465</v>
      </c>
    </row>
    <row r="151" spans="1:16">
      <c r="A151" s="51" t="s">
        <v>214</v>
      </c>
      <c r="B151" s="245"/>
      <c r="C151" s="260"/>
      <c r="D151" s="254"/>
      <c r="E151" s="252"/>
      <c r="F151" s="139" t="s">
        <v>226</v>
      </c>
      <c r="G151" s="140" t="s">
        <v>909</v>
      </c>
      <c r="H151" s="141" t="s">
        <v>394</v>
      </c>
      <c r="I151" s="141" t="s">
        <v>393</v>
      </c>
      <c r="J151" s="35"/>
      <c r="K151" s="35"/>
      <c r="L151" s="35"/>
      <c r="M151" s="38"/>
      <c r="N151" s="40"/>
      <c r="O151" s="39"/>
      <c r="P151" s="40"/>
    </row>
    <row r="152" spans="1:16">
      <c r="A152" s="51" t="s">
        <v>214</v>
      </c>
      <c r="B152" s="245"/>
      <c r="C152" s="260"/>
      <c r="D152" s="254"/>
      <c r="E152" s="252"/>
      <c r="F152" s="139" t="s">
        <v>227</v>
      </c>
      <c r="G152" s="140" t="s">
        <v>910</v>
      </c>
      <c r="H152" s="141" t="s">
        <v>394</v>
      </c>
      <c r="I152" s="141" t="s">
        <v>393</v>
      </c>
      <c r="J152" s="35"/>
      <c r="K152" s="35"/>
      <c r="L152" s="35"/>
      <c r="M152" s="38"/>
      <c r="N152" s="40"/>
      <c r="O152" s="39"/>
      <c r="P152" s="40"/>
    </row>
    <row r="153" spans="1:16" ht="29">
      <c r="A153" s="51" t="s">
        <v>214</v>
      </c>
      <c r="B153" s="245"/>
      <c r="C153" s="260"/>
      <c r="D153" s="254"/>
      <c r="E153" s="252"/>
      <c r="F153" s="139" t="s">
        <v>228</v>
      </c>
      <c r="G153" s="140" t="s">
        <v>911</v>
      </c>
      <c r="H153" s="141" t="s">
        <v>392</v>
      </c>
      <c r="I153" s="141" t="s">
        <v>393</v>
      </c>
      <c r="J153" s="35" t="s">
        <v>912</v>
      </c>
      <c r="K153" s="35" t="s">
        <v>913</v>
      </c>
      <c r="L153" s="35"/>
      <c r="M153" s="38" t="s">
        <v>714</v>
      </c>
      <c r="N153" s="40" t="s">
        <v>914</v>
      </c>
      <c r="O153" s="39"/>
      <c r="P153" s="40" t="s">
        <v>465</v>
      </c>
    </row>
    <row r="154" spans="1:16" ht="29">
      <c r="A154" s="51" t="s">
        <v>214</v>
      </c>
      <c r="B154" s="245"/>
      <c r="C154" s="260"/>
      <c r="D154" s="248"/>
      <c r="E154" s="253"/>
      <c r="F154" s="139" t="s">
        <v>229</v>
      </c>
      <c r="G154" s="140" t="s">
        <v>915</v>
      </c>
      <c r="H154" s="141" t="s">
        <v>392</v>
      </c>
      <c r="I154" s="141" t="s">
        <v>393</v>
      </c>
      <c r="J154" s="35" t="str">
        <f>G154</f>
        <v>Ordenar lels activitats d'educació ambiental i el lleure educatiu</v>
      </c>
      <c r="K154" s="35" t="s">
        <v>900</v>
      </c>
      <c r="L154" s="35"/>
      <c r="M154" s="38" t="s">
        <v>723</v>
      </c>
      <c r="N154" s="40" t="s">
        <v>916</v>
      </c>
      <c r="O154" s="39"/>
      <c r="P154" s="40" t="s">
        <v>465</v>
      </c>
    </row>
    <row r="155" spans="1:16" ht="43.5">
      <c r="A155" s="51" t="s">
        <v>214</v>
      </c>
      <c r="B155" s="245"/>
      <c r="C155" s="260"/>
      <c r="D155" s="247" t="s">
        <v>467</v>
      </c>
      <c r="E155" s="261" t="s">
        <v>230</v>
      </c>
      <c r="F155" s="141" t="s">
        <v>231</v>
      </c>
      <c r="G155" s="140" t="s">
        <v>232</v>
      </c>
      <c r="H155" s="141" t="s">
        <v>392</v>
      </c>
      <c r="I155" s="141" t="s">
        <v>393</v>
      </c>
      <c r="J155" s="35" t="str">
        <f>G155</f>
        <v xml:space="preserve">Identificar i classificar la xarxa viària bàsica, secundària, senders i itineraris senyalitzats d'acord amb els ajuntaments </v>
      </c>
      <c r="K155" s="35"/>
      <c r="L155" s="37"/>
      <c r="M155" s="38" t="s">
        <v>723</v>
      </c>
      <c r="N155" s="33" t="s">
        <v>917</v>
      </c>
      <c r="O155" s="39"/>
      <c r="P155" s="33" t="s">
        <v>468</v>
      </c>
    </row>
    <row r="156" spans="1:16" ht="43.5">
      <c r="A156" s="51" t="s">
        <v>214</v>
      </c>
      <c r="B156" s="245"/>
      <c r="C156" s="260"/>
      <c r="D156" s="254"/>
      <c r="E156" s="262"/>
      <c r="F156" s="141" t="s">
        <v>231</v>
      </c>
      <c r="G156" s="140" t="s">
        <v>232</v>
      </c>
      <c r="H156" s="141" t="s">
        <v>392</v>
      </c>
      <c r="I156" s="141" t="s">
        <v>393</v>
      </c>
      <c r="J156" s="35" t="str">
        <f>G156</f>
        <v xml:space="preserve">Identificar i classificar la xarxa viària bàsica, secundària, senders i itineraris senyalitzats d'acord amb els ajuntaments </v>
      </c>
      <c r="K156" s="35"/>
      <c r="L156" s="37"/>
      <c r="M156" s="38" t="s">
        <v>723</v>
      </c>
      <c r="N156" s="33" t="s">
        <v>918</v>
      </c>
      <c r="O156" s="39"/>
      <c r="P156" s="33"/>
    </row>
    <row r="157" spans="1:16" ht="43.5">
      <c r="A157" s="51" t="s">
        <v>214</v>
      </c>
      <c r="B157" s="245"/>
      <c r="C157" s="260"/>
      <c r="D157" s="248"/>
      <c r="E157" s="263"/>
      <c r="F157" s="141" t="s">
        <v>233</v>
      </c>
      <c r="G157" s="140" t="s">
        <v>234</v>
      </c>
      <c r="H157" s="141" t="s">
        <v>392</v>
      </c>
      <c r="I157" s="141" t="s">
        <v>393</v>
      </c>
      <c r="J157" s="35" t="str">
        <f>G157</f>
        <v>Treballar conjuntament amb els principals canals d’informació de rutes  per prioritzar itineraris oficials dins l’ENP</v>
      </c>
      <c r="K157" s="35"/>
      <c r="L157" s="37"/>
      <c r="M157" s="38" t="s">
        <v>714</v>
      </c>
      <c r="N157" s="33" t="s">
        <v>919</v>
      </c>
      <c r="O157" s="39"/>
      <c r="P157" s="33" t="s">
        <v>469</v>
      </c>
    </row>
    <row r="158" spans="1:16" ht="43.5">
      <c r="A158" s="51" t="s">
        <v>214</v>
      </c>
      <c r="B158" s="245"/>
      <c r="C158" s="260"/>
      <c r="D158" s="247" t="s">
        <v>470</v>
      </c>
      <c r="E158" s="251" t="s">
        <v>235</v>
      </c>
      <c r="F158" s="139" t="s">
        <v>236</v>
      </c>
      <c r="G158" s="140" t="s">
        <v>920</v>
      </c>
      <c r="H158" s="141" t="s">
        <v>392</v>
      </c>
      <c r="I158" s="141" t="s">
        <v>395</v>
      </c>
      <c r="J158" s="35" t="s">
        <v>921</v>
      </c>
      <c r="K158" s="35" t="s">
        <v>922</v>
      </c>
      <c r="L158" s="35"/>
      <c r="M158" s="38" t="s">
        <v>706</v>
      </c>
      <c r="N158" s="40" t="s">
        <v>923</v>
      </c>
      <c r="O158" s="39"/>
      <c r="P158" s="40" t="s">
        <v>465</v>
      </c>
    </row>
    <row r="159" spans="1:16" ht="43.5">
      <c r="A159" s="51" t="s">
        <v>214</v>
      </c>
      <c r="B159" s="245"/>
      <c r="C159" s="260"/>
      <c r="D159" s="254"/>
      <c r="E159" s="252"/>
      <c r="F159" s="139" t="s">
        <v>236</v>
      </c>
      <c r="G159" s="140" t="s">
        <v>920</v>
      </c>
      <c r="H159" s="141" t="s">
        <v>392</v>
      </c>
      <c r="I159" s="141" t="s">
        <v>395</v>
      </c>
      <c r="J159" s="35" t="s">
        <v>921</v>
      </c>
      <c r="K159" s="35" t="s">
        <v>922</v>
      </c>
      <c r="L159" s="35"/>
      <c r="M159" s="38" t="s">
        <v>706</v>
      </c>
      <c r="N159" s="40" t="s">
        <v>924</v>
      </c>
      <c r="O159" s="39"/>
      <c r="P159" s="40" t="s">
        <v>465</v>
      </c>
    </row>
    <row r="160" spans="1:16" ht="43.5">
      <c r="A160" s="51" t="s">
        <v>214</v>
      </c>
      <c r="B160" s="245"/>
      <c r="C160" s="260"/>
      <c r="D160" s="254"/>
      <c r="E160" s="252"/>
      <c r="F160" s="139" t="s">
        <v>237</v>
      </c>
      <c r="G160" s="140" t="s">
        <v>925</v>
      </c>
      <c r="H160" s="141" t="s">
        <v>392</v>
      </c>
      <c r="I160" s="141" t="s">
        <v>393</v>
      </c>
      <c r="J160" s="35" t="s">
        <v>926</v>
      </c>
      <c r="K160" s="35" t="s">
        <v>927</v>
      </c>
      <c r="L160" s="35"/>
      <c r="M160" s="38" t="s">
        <v>714</v>
      </c>
      <c r="N160" s="40" t="s">
        <v>928</v>
      </c>
      <c r="O160" s="39"/>
      <c r="P160" s="40" t="s">
        <v>465</v>
      </c>
    </row>
    <row r="161" spans="1:16" ht="29">
      <c r="A161" s="51" t="s">
        <v>214</v>
      </c>
      <c r="B161" s="245"/>
      <c r="C161" s="260"/>
      <c r="D161" s="254"/>
      <c r="E161" s="252"/>
      <c r="F161" s="139" t="s">
        <v>238</v>
      </c>
      <c r="G161" s="140" t="s">
        <v>929</v>
      </c>
      <c r="H161" s="141" t="s">
        <v>394</v>
      </c>
      <c r="I161" s="141" t="s">
        <v>393</v>
      </c>
      <c r="J161" s="35" t="str">
        <f>G161</f>
        <v>Ordenar l'ús de drons, l'enlairament i l'aterratge</v>
      </c>
      <c r="K161" s="35" t="s">
        <v>900</v>
      </c>
      <c r="L161" s="35"/>
      <c r="M161" s="38" t="s">
        <v>723</v>
      </c>
      <c r="N161" s="40" t="s">
        <v>930</v>
      </c>
      <c r="O161" s="39"/>
      <c r="P161" s="40" t="s">
        <v>465</v>
      </c>
    </row>
    <row r="162" spans="1:16" ht="29.15" customHeight="1">
      <c r="A162" s="51" t="s">
        <v>214</v>
      </c>
      <c r="B162" s="245"/>
      <c r="C162" s="260"/>
      <c r="D162" s="254"/>
      <c r="E162" s="252"/>
      <c r="F162" s="139" t="s">
        <v>239</v>
      </c>
      <c r="G162" s="140" t="s">
        <v>240</v>
      </c>
      <c r="H162" s="141" t="s">
        <v>392</v>
      </c>
      <c r="I162" s="141" t="s">
        <v>393</v>
      </c>
      <c r="J162" s="35" t="str">
        <f>G162</f>
        <v>Aplicar limitacions temporals d'accés o circulació</v>
      </c>
      <c r="K162" s="35" t="s">
        <v>900</v>
      </c>
      <c r="L162" s="35"/>
      <c r="M162" s="38" t="s">
        <v>714</v>
      </c>
      <c r="N162" s="40" t="s">
        <v>931</v>
      </c>
      <c r="O162" s="39"/>
      <c r="P162" s="40" t="s">
        <v>465</v>
      </c>
    </row>
    <row r="163" spans="1:16" ht="43.5">
      <c r="A163" s="51" t="s">
        <v>214</v>
      </c>
      <c r="B163" s="245"/>
      <c r="C163" s="260"/>
      <c r="D163" s="248"/>
      <c r="E163" s="253"/>
      <c r="F163" s="139" t="s">
        <v>241</v>
      </c>
      <c r="G163" s="140" t="s">
        <v>932</v>
      </c>
      <c r="H163" s="141" t="s">
        <v>392</v>
      </c>
      <c r="I163" s="141" t="s">
        <v>393</v>
      </c>
      <c r="J163" s="35" t="s">
        <v>933</v>
      </c>
      <c r="K163" s="35" t="s">
        <v>927</v>
      </c>
      <c r="L163" s="35"/>
      <c r="M163" s="38" t="s">
        <v>723</v>
      </c>
      <c r="N163" s="40" t="s">
        <v>934</v>
      </c>
      <c r="O163" s="39"/>
      <c r="P163" s="40" t="s">
        <v>465</v>
      </c>
    </row>
    <row r="164" spans="1:16" ht="29">
      <c r="A164" s="51" t="s">
        <v>214</v>
      </c>
      <c r="B164" s="245"/>
      <c r="C164" s="260"/>
      <c r="D164" s="247" t="s">
        <v>471</v>
      </c>
      <c r="E164" s="249" t="s">
        <v>242</v>
      </c>
      <c r="F164" s="139" t="s">
        <v>243</v>
      </c>
      <c r="G164" s="140" t="s">
        <v>244</v>
      </c>
      <c r="H164" s="141" t="s">
        <v>392</v>
      </c>
      <c r="I164" s="141" t="s">
        <v>393</v>
      </c>
      <c r="J164" s="35"/>
      <c r="K164" s="35"/>
      <c r="L164" s="35"/>
      <c r="M164" s="38"/>
      <c r="N164" s="40"/>
      <c r="O164" s="39"/>
      <c r="P164" s="40"/>
    </row>
    <row r="165" spans="1:16" ht="52" customHeight="1">
      <c r="A165" s="51" t="s">
        <v>214</v>
      </c>
      <c r="B165" s="245"/>
      <c r="C165" s="260"/>
      <c r="D165" s="248"/>
      <c r="E165" s="250"/>
      <c r="F165" s="139" t="s">
        <v>245</v>
      </c>
      <c r="G165" s="140" t="s">
        <v>246</v>
      </c>
      <c r="H165" s="141" t="s">
        <v>392</v>
      </c>
      <c r="I165" s="141" t="s">
        <v>393</v>
      </c>
      <c r="J165" s="35"/>
      <c r="K165" s="35"/>
      <c r="L165" s="35"/>
      <c r="M165" s="38"/>
      <c r="N165" s="40"/>
      <c r="O165" s="39"/>
      <c r="P165" s="40"/>
    </row>
    <row r="166" spans="1:16" ht="29">
      <c r="A166" s="51" t="s">
        <v>214</v>
      </c>
      <c r="B166" s="245"/>
      <c r="C166" s="260"/>
      <c r="D166" s="247" t="s">
        <v>472</v>
      </c>
      <c r="E166" s="249" t="s">
        <v>247</v>
      </c>
      <c r="F166" s="139" t="s">
        <v>248</v>
      </c>
      <c r="G166" s="140" t="s">
        <v>249</v>
      </c>
      <c r="H166" s="141" t="s">
        <v>392</v>
      </c>
      <c r="I166" s="141" t="s">
        <v>393</v>
      </c>
      <c r="J166" s="35" t="str">
        <f>G166</f>
        <v>Realitzar l'inventari de senyalètica de l'ENP</v>
      </c>
      <c r="K166" s="35"/>
      <c r="L166" s="41"/>
      <c r="M166" s="38" t="s">
        <v>714</v>
      </c>
      <c r="N166" s="40" t="s">
        <v>935</v>
      </c>
      <c r="O166" s="39"/>
      <c r="P166" s="40"/>
    </row>
    <row r="167" spans="1:16" ht="29.15" customHeight="1">
      <c r="A167" s="51" t="s">
        <v>214</v>
      </c>
      <c r="B167" s="245"/>
      <c r="C167" s="260"/>
      <c r="D167" s="254"/>
      <c r="E167" s="255"/>
      <c r="F167" s="139" t="s">
        <v>248</v>
      </c>
      <c r="G167" s="140" t="s">
        <v>249</v>
      </c>
      <c r="H167" s="141" t="s">
        <v>392</v>
      </c>
      <c r="I167" s="141" t="s">
        <v>393</v>
      </c>
      <c r="J167" s="35" t="str">
        <f>G167</f>
        <v>Realitzar l'inventari de senyalètica de l'ENP</v>
      </c>
      <c r="K167" s="35"/>
      <c r="L167" s="41"/>
      <c r="M167" s="38" t="s">
        <v>714</v>
      </c>
      <c r="N167" s="40" t="s">
        <v>936</v>
      </c>
      <c r="O167" s="39"/>
      <c r="P167" s="40"/>
    </row>
    <row r="168" spans="1:16" ht="29">
      <c r="A168" s="51" t="s">
        <v>214</v>
      </c>
      <c r="B168" s="245"/>
      <c r="C168" s="260"/>
      <c r="D168" s="248"/>
      <c r="E168" s="250"/>
      <c r="F168" s="139" t="s">
        <v>250</v>
      </c>
      <c r="G168" s="140" t="s">
        <v>251</v>
      </c>
      <c r="H168" s="141" t="s">
        <v>392</v>
      </c>
      <c r="I168" s="141" t="s">
        <v>393</v>
      </c>
      <c r="J168" s="35" t="str">
        <f>G168</f>
        <v xml:space="preserve">Implantar el programa de senyalització i manteniment </v>
      </c>
      <c r="K168" s="35"/>
      <c r="L168" s="37"/>
      <c r="M168" s="38" t="s">
        <v>723</v>
      </c>
      <c r="N168" s="33" t="s">
        <v>937</v>
      </c>
      <c r="O168" s="43" t="s">
        <v>412</v>
      </c>
      <c r="P168" s="33" t="s">
        <v>473</v>
      </c>
    </row>
    <row r="169" spans="1:16" ht="58">
      <c r="A169" s="51" t="s">
        <v>214</v>
      </c>
      <c r="B169" s="245"/>
      <c r="C169" s="260"/>
      <c r="D169" s="247" t="s">
        <v>474</v>
      </c>
      <c r="E169" s="249" t="s">
        <v>938</v>
      </c>
      <c r="F169" s="139" t="s">
        <v>252</v>
      </c>
      <c r="G169" s="140" t="s">
        <v>253</v>
      </c>
      <c r="H169" s="141" t="s">
        <v>392</v>
      </c>
      <c r="I169" s="141" t="s">
        <v>393</v>
      </c>
      <c r="J169" s="35" t="s">
        <v>939</v>
      </c>
      <c r="K169" s="35" t="s">
        <v>940</v>
      </c>
      <c r="L169" s="37"/>
      <c r="M169" s="38" t="s">
        <v>706</v>
      </c>
      <c r="N169" s="40" t="s">
        <v>941</v>
      </c>
      <c r="O169" s="39"/>
      <c r="P169" s="40"/>
    </row>
    <row r="170" spans="1:16" ht="58">
      <c r="A170" s="51" t="s">
        <v>214</v>
      </c>
      <c r="B170" s="245"/>
      <c r="C170" s="260"/>
      <c r="D170" s="254"/>
      <c r="E170" s="255"/>
      <c r="F170" s="139" t="s">
        <v>252</v>
      </c>
      <c r="G170" s="140" t="s">
        <v>253</v>
      </c>
      <c r="H170" s="141" t="s">
        <v>392</v>
      </c>
      <c r="I170" s="141" t="s">
        <v>393</v>
      </c>
      <c r="J170" s="35" t="s">
        <v>939</v>
      </c>
      <c r="K170" s="35" t="s">
        <v>940</v>
      </c>
      <c r="L170" s="37"/>
      <c r="M170" s="38" t="s">
        <v>706</v>
      </c>
      <c r="N170" s="40" t="s">
        <v>942</v>
      </c>
      <c r="O170" s="39"/>
      <c r="P170" s="40"/>
    </row>
    <row r="171" spans="1:16" ht="58">
      <c r="A171" s="51" t="s">
        <v>214</v>
      </c>
      <c r="B171" s="245"/>
      <c r="C171" s="260"/>
      <c r="D171" s="254"/>
      <c r="E171" s="255"/>
      <c r="F171" s="139" t="s">
        <v>254</v>
      </c>
      <c r="G171" s="144" t="s">
        <v>943</v>
      </c>
      <c r="H171" s="141" t="s">
        <v>392</v>
      </c>
      <c r="I171" s="141" t="s">
        <v>393</v>
      </c>
      <c r="J171" s="35" t="str">
        <f t="shared" ref="J171:J177" si="8">G171</f>
        <v>Disposar i mantenir els serveis, equipaments i infraestructures necessàries i accessibles per acollir, informar, facilitar la visita i garantir la seguretat dels visitants i la protecció de l'entorn</v>
      </c>
      <c r="K171" s="35"/>
      <c r="L171" s="37"/>
      <c r="M171" s="38" t="s">
        <v>714</v>
      </c>
      <c r="N171" s="40" t="s">
        <v>944</v>
      </c>
      <c r="O171" s="39"/>
      <c r="P171" s="40"/>
    </row>
    <row r="172" spans="1:16" ht="29.15" customHeight="1">
      <c r="A172" s="51" t="s">
        <v>214</v>
      </c>
      <c r="B172" s="245"/>
      <c r="C172" s="260"/>
      <c r="D172" s="254"/>
      <c r="E172" s="255"/>
      <c r="F172" s="139" t="s">
        <v>254</v>
      </c>
      <c r="G172" s="144" t="s">
        <v>255</v>
      </c>
      <c r="H172" s="141" t="s">
        <v>392</v>
      </c>
      <c r="I172" s="141" t="s">
        <v>393</v>
      </c>
      <c r="J172" s="35" t="str">
        <f t="shared" si="8"/>
        <v>Disposar dels equipaments i infraestructures necessàries i accessibles per acollir, informar, facilitar la visita i garantir la seguretat dels visitants i la protecció de l'entorn</v>
      </c>
      <c r="K172" s="35"/>
      <c r="L172" s="37"/>
      <c r="M172" s="38" t="s">
        <v>714</v>
      </c>
      <c r="N172" s="40" t="s">
        <v>945</v>
      </c>
      <c r="O172" s="39"/>
      <c r="P172" s="40"/>
    </row>
    <row r="173" spans="1:16" ht="58">
      <c r="A173" s="51" t="s">
        <v>214</v>
      </c>
      <c r="B173" s="245"/>
      <c r="C173" s="260"/>
      <c r="D173" s="254"/>
      <c r="E173" s="255"/>
      <c r="F173" s="139" t="s">
        <v>254</v>
      </c>
      <c r="G173" s="144" t="s">
        <v>255</v>
      </c>
      <c r="H173" s="141" t="s">
        <v>392</v>
      </c>
      <c r="I173" s="141" t="s">
        <v>393</v>
      </c>
      <c r="J173" s="35" t="str">
        <f t="shared" si="8"/>
        <v>Disposar dels equipaments i infraestructures necessàries i accessibles per acollir, informar, facilitar la visita i garantir la seguretat dels visitants i la protecció de l'entorn</v>
      </c>
      <c r="K173" s="35"/>
      <c r="L173" s="37"/>
      <c r="M173" s="38" t="s">
        <v>714</v>
      </c>
      <c r="N173" s="40" t="s">
        <v>946</v>
      </c>
      <c r="O173" s="39"/>
      <c r="P173" s="40"/>
    </row>
    <row r="174" spans="1:16" ht="58">
      <c r="A174" s="51" t="s">
        <v>214</v>
      </c>
      <c r="B174" s="245"/>
      <c r="C174" s="260"/>
      <c r="D174" s="254"/>
      <c r="E174" s="255"/>
      <c r="F174" s="139" t="s">
        <v>254</v>
      </c>
      <c r="G174" s="144" t="s">
        <v>255</v>
      </c>
      <c r="H174" s="141" t="s">
        <v>392</v>
      </c>
      <c r="I174" s="141" t="s">
        <v>393</v>
      </c>
      <c r="J174" s="35" t="str">
        <f t="shared" si="8"/>
        <v>Disposar dels equipaments i infraestructures necessàries i accessibles per acollir, informar, facilitar la visita i garantir la seguretat dels visitants i la protecció de l'entorn</v>
      </c>
      <c r="K174" s="35"/>
      <c r="L174" s="37"/>
      <c r="M174" s="38" t="s">
        <v>714</v>
      </c>
      <c r="N174" s="40" t="s">
        <v>947</v>
      </c>
      <c r="O174" s="39"/>
      <c r="P174" s="40"/>
    </row>
    <row r="175" spans="1:16" ht="58">
      <c r="A175" s="51" t="s">
        <v>214</v>
      </c>
      <c r="B175" s="245"/>
      <c r="C175" s="260"/>
      <c r="D175" s="254"/>
      <c r="E175" s="255"/>
      <c r="F175" s="139" t="s">
        <v>254</v>
      </c>
      <c r="G175" s="144" t="s">
        <v>255</v>
      </c>
      <c r="H175" s="141" t="s">
        <v>392</v>
      </c>
      <c r="I175" s="141" t="s">
        <v>393</v>
      </c>
      <c r="J175" s="35" t="str">
        <f t="shared" si="8"/>
        <v>Disposar dels equipaments i infraestructures necessàries i accessibles per acollir, informar, facilitar la visita i garantir la seguretat dels visitants i la protecció de l'entorn</v>
      </c>
      <c r="K175" s="35"/>
      <c r="L175" s="37"/>
      <c r="M175" s="38" t="s">
        <v>714</v>
      </c>
      <c r="N175" s="40" t="s">
        <v>948</v>
      </c>
      <c r="O175" s="39"/>
      <c r="P175" s="40"/>
    </row>
    <row r="176" spans="1:16" ht="58">
      <c r="A176" s="51" t="s">
        <v>214</v>
      </c>
      <c r="B176" s="245"/>
      <c r="C176" s="260"/>
      <c r="D176" s="254"/>
      <c r="E176" s="255"/>
      <c r="F176" s="139" t="s">
        <v>254</v>
      </c>
      <c r="G176" s="144" t="s">
        <v>255</v>
      </c>
      <c r="H176" s="141" t="s">
        <v>392</v>
      </c>
      <c r="I176" s="141" t="s">
        <v>393</v>
      </c>
      <c r="J176" s="35" t="str">
        <f t="shared" si="8"/>
        <v>Disposar dels equipaments i infraestructures necessàries i accessibles per acollir, informar, facilitar la visita i garantir la seguretat dels visitants i la protecció de l'entorn</v>
      </c>
      <c r="K176" s="35"/>
      <c r="L176" s="37"/>
      <c r="M176" s="38" t="s">
        <v>714</v>
      </c>
      <c r="N176" s="40" t="s">
        <v>949</v>
      </c>
      <c r="O176" s="39"/>
      <c r="P176" s="40"/>
    </row>
    <row r="177" spans="1:16" ht="29">
      <c r="A177" s="51" t="s">
        <v>214</v>
      </c>
      <c r="B177" s="245"/>
      <c r="C177" s="260"/>
      <c r="D177" s="254"/>
      <c r="E177" s="255"/>
      <c r="F177" s="139" t="s">
        <v>256</v>
      </c>
      <c r="G177" s="144" t="s">
        <v>257</v>
      </c>
      <c r="H177" s="141" t="s">
        <v>392</v>
      </c>
      <c r="I177" s="141" t="s">
        <v>393</v>
      </c>
      <c r="J177" s="35" t="str">
        <f t="shared" si="8"/>
        <v>Desenvolupar el Pla d'acollida als visitants en base al model de la DG</v>
      </c>
      <c r="K177" s="35"/>
      <c r="L177" s="52"/>
      <c r="M177" s="38" t="s">
        <v>706</v>
      </c>
      <c r="N177" s="33" t="s">
        <v>950</v>
      </c>
      <c r="O177" s="39"/>
      <c r="P177" s="33" t="s">
        <v>475</v>
      </c>
    </row>
    <row r="178" spans="1:16" ht="43.5">
      <c r="A178" s="51" t="s">
        <v>214</v>
      </c>
      <c r="B178" s="245"/>
      <c r="C178" s="260"/>
      <c r="D178" s="248"/>
      <c r="E178" s="250"/>
      <c r="F178" s="139" t="s">
        <v>258</v>
      </c>
      <c r="G178" s="144" t="s">
        <v>259</v>
      </c>
      <c r="H178" s="141" t="s">
        <v>392</v>
      </c>
      <c r="I178" s="141" t="s">
        <v>393</v>
      </c>
      <c r="J178" s="35" t="s">
        <v>951</v>
      </c>
      <c r="K178" s="35" t="s">
        <v>952</v>
      </c>
      <c r="L178" s="37"/>
      <c r="M178" s="38" t="s">
        <v>714</v>
      </c>
      <c r="N178" s="33" t="s">
        <v>953</v>
      </c>
      <c r="O178" s="39" t="s">
        <v>405</v>
      </c>
      <c r="P178" s="33" t="s">
        <v>476</v>
      </c>
    </row>
    <row r="179" spans="1:16" ht="43.5">
      <c r="A179" s="51" t="s">
        <v>214</v>
      </c>
      <c r="B179" s="245"/>
      <c r="C179" s="260"/>
      <c r="D179" s="247" t="s">
        <v>477</v>
      </c>
      <c r="E179" s="264" t="s">
        <v>954</v>
      </c>
      <c r="F179" s="139" t="s">
        <v>260</v>
      </c>
      <c r="G179" s="140" t="s">
        <v>261</v>
      </c>
      <c r="H179" s="141" t="s">
        <v>392</v>
      </c>
      <c r="I179" s="141" t="s">
        <v>393</v>
      </c>
      <c r="J179" s="35" t="s">
        <v>955</v>
      </c>
      <c r="K179" s="35" t="s">
        <v>956</v>
      </c>
      <c r="L179" s="37"/>
      <c r="M179" s="38" t="s">
        <v>793</v>
      </c>
      <c r="N179" s="40" t="s">
        <v>957</v>
      </c>
      <c r="O179" s="39"/>
      <c r="P179" s="40"/>
    </row>
    <row r="180" spans="1:16" s="1" customFormat="1" ht="29">
      <c r="A180" s="51" t="s">
        <v>214</v>
      </c>
      <c r="B180" s="245"/>
      <c r="C180" s="260"/>
      <c r="D180" s="254"/>
      <c r="E180" s="265"/>
      <c r="F180" s="139" t="s">
        <v>262</v>
      </c>
      <c r="G180" s="140" t="s">
        <v>263</v>
      </c>
      <c r="H180" s="141" t="s">
        <v>392</v>
      </c>
      <c r="I180" s="141" t="s">
        <v>393</v>
      </c>
      <c r="J180" s="35" t="str">
        <f>G180</f>
        <v>Millorar la coordinació amb els cossos de seguretat per efectuar accions de control i vigilància</v>
      </c>
      <c r="K180" s="35"/>
      <c r="L180" s="37"/>
      <c r="M180" s="38" t="s">
        <v>723</v>
      </c>
      <c r="N180" s="40" t="s">
        <v>958</v>
      </c>
      <c r="O180" s="39"/>
      <c r="P180" s="40"/>
    </row>
    <row r="181" spans="1:16" ht="43.5">
      <c r="A181" s="51" t="s">
        <v>214</v>
      </c>
      <c r="B181" s="245"/>
      <c r="C181" s="260"/>
      <c r="D181" s="254"/>
      <c r="E181" s="265"/>
      <c r="F181" s="139" t="s">
        <v>264</v>
      </c>
      <c r="G181" s="140" t="s">
        <v>265</v>
      </c>
      <c r="H181" s="141" t="s">
        <v>392</v>
      </c>
      <c r="I181" s="141" t="s">
        <v>393</v>
      </c>
      <c r="J181" s="35" t="str">
        <f>G181</f>
        <v>Vetllar pel compliment d'informes i la vigilància tècnica de l'espai</v>
      </c>
      <c r="K181" s="35"/>
      <c r="L181" s="37"/>
      <c r="M181" s="38" t="s">
        <v>723</v>
      </c>
      <c r="N181" s="40" t="s">
        <v>959</v>
      </c>
      <c r="O181" s="39"/>
      <c r="P181" s="40"/>
    </row>
    <row r="182" spans="1:16" ht="29">
      <c r="A182" s="51" t="s">
        <v>214</v>
      </c>
      <c r="B182" s="245"/>
      <c r="C182" s="260"/>
      <c r="D182" s="248"/>
      <c r="E182" s="266"/>
      <c r="F182" s="139" t="s">
        <v>264</v>
      </c>
      <c r="G182" s="140" t="s">
        <v>265</v>
      </c>
      <c r="H182" s="141" t="s">
        <v>392</v>
      </c>
      <c r="I182" s="141" t="s">
        <v>393</v>
      </c>
      <c r="J182" s="35" t="str">
        <f>G182</f>
        <v>Vetllar pel compliment d'informes i la vigilància tècnica de l'espai</v>
      </c>
      <c r="K182" s="35"/>
      <c r="L182" s="37"/>
      <c r="M182" s="38" t="s">
        <v>723</v>
      </c>
      <c r="N182" s="40" t="s">
        <v>960</v>
      </c>
      <c r="O182" s="39"/>
      <c r="P182" s="40"/>
    </row>
    <row r="183" spans="1:16">
      <c r="A183" s="51" t="s">
        <v>214</v>
      </c>
      <c r="B183" s="245">
        <v>12</v>
      </c>
      <c r="C183" s="246" t="s">
        <v>266</v>
      </c>
      <c r="D183" s="247" t="s">
        <v>478</v>
      </c>
      <c r="E183" s="249" t="s">
        <v>267</v>
      </c>
      <c r="F183" s="139" t="s">
        <v>268</v>
      </c>
      <c r="G183" s="140" t="s">
        <v>269</v>
      </c>
      <c r="H183" s="141" t="s">
        <v>392</v>
      </c>
      <c r="I183" s="141" t="s">
        <v>393</v>
      </c>
      <c r="J183" s="35"/>
      <c r="K183" s="35"/>
      <c r="L183" s="37"/>
      <c r="M183" s="38"/>
      <c r="N183" s="40"/>
      <c r="O183" s="39"/>
      <c r="P183" s="40"/>
    </row>
    <row r="184" spans="1:16" ht="29">
      <c r="A184" s="51" t="s">
        <v>214</v>
      </c>
      <c r="B184" s="245"/>
      <c r="C184" s="246"/>
      <c r="D184" s="248"/>
      <c r="E184" s="250"/>
      <c r="F184" s="139" t="s">
        <v>270</v>
      </c>
      <c r="G184" s="140" t="s">
        <v>271</v>
      </c>
      <c r="H184" s="141" t="s">
        <v>392</v>
      </c>
      <c r="I184" s="141" t="s">
        <v>393</v>
      </c>
      <c r="J184" s="35"/>
      <c r="K184" s="35"/>
      <c r="L184" s="37"/>
      <c r="M184" s="38"/>
      <c r="N184" s="40"/>
      <c r="O184" s="39"/>
      <c r="P184" s="40"/>
    </row>
    <row r="185" spans="1:16" ht="116">
      <c r="A185" s="53" t="s">
        <v>272</v>
      </c>
      <c r="B185" s="63">
        <v>13</v>
      </c>
      <c r="C185" s="64" t="s">
        <v>273</v>
      </c>
      <c r="D185" s="224" t="s">
        <v>479</v>
      </c>
      <c r="E185" s="227" t="s">
        <v>274</v>
      </c>
      <c r="F185" s="153" t="s">
        <v>275</v>
      </c>
      <c r="G185" s="140" t="s">
        <v>276</v>
      </c>
      <c r="H185" s="141" t="s">
        <v>392</v>
      </c>
      <c r="I185" s="141" t="s">
        <v>393</v>
      </c>
      <c r="J185" s="35" t="str">
        <f t="shared" ref="J185:J266" si="9">G185</f>
        <v>Definir el model de Xarxa d'Escoles de l'Espai Natural (XEEN) a l'ENP amb els agents educatius del territori</v>
      </c>
      <c r="K185" s="154" t="s">
        <v>961</v>
      </c>
      <c r="L185" s="37"/>
      <c r="M185" s="38" t="s">
        <v>714</v>
      </c>
      <c r="N185" s="33" t="s">
        <v>962</v>
      </c>
      <c r="O185" s="54" t="s">
        <v>480</v>
      </c>
      <c r="P185" s="40"/>
    </row>
    <row r="186" spans="1:16" ht="116">
      <c r="A186" s="53" t="s">
        <v>272</v>
      </c>
      <c r="B186" s="63"/>
      <c r="C186" s="64"/>
      <c r="D186" s="224"/>
      <c r="E186" s="227"/>
      <c r="F186" s="153" t="s">
        <v>277</v>
      </c>
      <c r="G186" s="144" t="s">
        <v>278</v>
      </c>
      <c r="H186" s="141" t="s">
        <v>392</v>
      </c>
      <c r="I186" s="141" t="s">
        <v>393</v>
      </c>
      <c r="J186" s="35" t="str">
        <f t="shared" si="9"/>
        <v>Desplegar el model de Xarxa d'Escoles de l'Espai Natural (XEEN) a l'ENP d'acord amb el model general</v>
      </c>
      <c r="K186" s="154" t="s">
        <v>961</v>
      </c>
      <c r="L186" s="55"/>
      <c r="M186" s="38" t="s">
        <v>714</v>
      </c>
      <c r="N186" s="33" t="s">
        <v>963</v>
      </c>
      <c r="O186" s="54" t="s">
        <v>480</v>
      </c>
      <c r="P186" s="33" t="s">
        <v>481</v>
      </c>
    </row>
    <row r="187" spans="1:16" ht="116">
      <c r="A187" s="53" t="s">
        <v>272</v>
      </c>
      <c r="B187" s="63"/>
      <c r="C187" s="64"/>
      <c r="D187" s="225"/>
      <c r="E187" s="228"/>
      <c r="F187" s="153" t="s">
        <v>279</v>
      </c>
      <c r="G187" s="140" t="s">
        <v>280</v>
      </c>
      <c r="H187" s="141" t="s">
        <v>392</v>
      </c>
      <c r="I187" s="141" t="s">
        <v>393</v>
      </c>
      <c r="J187" s="35" t="str">
        <f t="shared" si="9"/>
        <v xml:space="preserve">Formar i capacitar al professorat de la XEEN </v>
      </c>
      <c r="K187" s="154" t="s">
        <v>961</v>
      </c>
      <c r="L187" s="55"/>
      <c r="M187" s="38" t="s">
        <v>714</v>
      </c>
      <c r="N187" s="33" t="s">
        <v>964</v>
      </c>
      <c r="O187" s="54" t="s">
        <v>480</v>
      </c>
      <c r="P187" s="33"/>
    </row>
    <row r="188" spans="1:16" ht="43.5">
      <c r="A188" s="53" t="s">
        <v>272</v>
      </c>
      <c r="B188" s="63"/>
      <c r="C188" s="64"/>
      <c r="D188" s="208" t="s">
        <v>482</v>
      </c>
      <c r="E188" s="211" t="s">
        <v>281</v>
      </c>
      <c r="F188" s="139" t="s">
        <v>282</v>
      </c>
      <c r="G188" s="140" t="s">
        <v>283</v>
      </c>
      <c r="H188" s="141" t="s">
        <v>392</v>
      </c>
      <c r="I188" s="141" t="s">
        <v>393</v>
      </c>
      <c r="J188" s="35" t="str">
        <f t="shared" si="9"/>
        <v>Adaptar i millorar l'oferta pedagògica de l'ENP generant situacions d'aprenentatge i treballs per projecte</v>
      </c>
      <c r="K188" s="35"/>
      <c r="L188" s="37"/>
      <c r="M188" s="38" t="s">
        <v>706</v>
      </c>
      <c r="N188" s="33" t="s">
        <v>965</v>
      </c>
      <c r="O188" s="54" t="s">
        <v>480</v>
      </c>
      <c r="P188" s="33" t="s">
        <v>483</v>
      </c>
    </row>
    <row r="189" spans="1:16" ht="29">
      <c r="A189" s="53"/>
      <c r="B189" s="63"/>
      <c r="C189" s="64"/>
      <c r="D189" s="224"/>
      <c r="E189" s="218"/>
      <c r="F189" s="139" t="s">
        <v>282</v>
      </c>
      <c r="G189" s="140" t="s">
        <v>283</v>
      </c>
      <c r="H189" s="141" t="s">
        <v>392</v>
      </c>
      <c r="I189" s="141" t="s">
        <v>393</v>
      </c>
      <c r="J189" s="35" t="str">
        <f t="shared" si="9"/>
        <v>Adaptar i millorar l'oferta pedagògica de l'ENP generant situacions d'aprenentatge i treballs per projecte</v>
      </c>
      <c r="K189" s="35"/>
      <c r="L189" s="37"/>
      <c r="M189" s="38" t="s">
        <v>706</v>
      </c>
      <c r="N189" s="33" t="s">
        <v>966</v>
      </c>
      <c r="O189" s="54"/>
      <c r="P189" s="33"/>
    </row>
    <row r="190" spans="1:16" ht="58">
      <c r="A190" s="53" t="s">
        <v>272</v>
      </c>
      <c r="B190" s="63"/>
      <c r="C190" s="64"/>
      <c r="D190" s="224"/>
      <c r="E190" s="218"/>
      <c r="F190" s="139" t="s">
        <v>284</v>
      </c>
      <c r="G190" s="140" t="s">
        <v>285</v>
      </c>
      <c r="H190" s="141" t="s">
        <v>392</v>
      </c>
      <c r="I190" s="141" t="s">
        <v>395</v>
      </c>
      <c r="J190" s="35" t="s">
        <v>967</v>
      </c>
      <c r="K190" s="35"/>
      <c r="L190" s="37"/>
      <c r="M190" s="38" t="s">
        <v>714</v>
      </c>
      <c r="N190" s="33" t="s">
        <v>968</v>
      </c>
      <c r="O190" s="54" t="s">
        <v>480</v>
      </c>
      <c r="P190" s="40"/>
    </row>
    <row r="191" spans="1:16" ht="43.5">
      <c r="A191" s="53" t="s">
        <v>272</v>
      </c>
      <c r="B191" s="63"/>
      <c r="C191" s="64"/>
      <c r="D191" s="224"/>
      <c r="E191" s="218"/>
      <c r="F191" s="139" t="s">
        <v>284</v>
      </c>
      <c r="G191" s="140" t="s">
        <v>285</v>
      </c>
      <c r="H191" s="141" t="s">
        <v>392</v>
      </c>
      <c r="I191" s="141" t="s">
        <v>395</v>
      </c>
      <c r="J191" s="35" t="s">
        <v>967</v>
      </c>
      <c r="K191" s="35"/>
      <c r="L191" s="37"/>
      <c r="M191" s="38" t="s">
        <v>714</v>
      </c>
      <c r="N191" s="33" t="s">
        <v>969</v>
      </c>
      <c r="O191" s="54"/>
      <c r="P191" s="40"/>
    </row>
    <row r="192" spans="1:16" ht="43.5">
      <c r="A192" s="53" t="s">
        <v>272</v>
      </c>
      <c r="B192" s="63"/>
      <c r="C192" s="64"/>
      <c r="D192" s="224"/>
      <c r="E192" s="218"/>
      <c r="F192" s="139" t="s">
        <v>286</v>
      </c>
      <c r="G192" s="140" t="s">
        <v>287</v>
      </c>
      <c r="H192" s="141" t="s">
        <v>392</v>
      </c>
      <c r="I192" s="141" t="s">
        <v>393</v>
      </c>
      <c r="J192" s="35" t="str">
        <f t="shared" si="9"/>
        <v>Elaborar recursos educatius sobre l’espai (que tinguin en compte les problemàtiques singulars del seu espai) i posar-los a disposició dels centres educatius</v>
      </c>
      <c r="K192" s="35"/>
      <c r="L192" s="37"/>
      <c r="M192" s="38" t="s">
        <v>714</v>
      </c>
      <c r="N192" s="33" t="s">
        <v>970</v>
      </c>
      <c r="O192" s="54" t="s">
        <v>480</v>
      </c>
      <c r="P192" s="40"/>
    </row>
    <row r="193" spans="1:16" ht="29">
      <c r="A193" s="53" t="s">
        <v>272</v>
      </c>
      <c r="B193" s="63"/>
      <c r="C193" s="64"/>
      <c r="D193" s="224"/>
      <c r="E193" s="218"/>
      <c r="F193" s="139" t="s">
        <v>288</v>
      </c>
      <c r="G193" s="140" t="s">
        <v>289</v>
      </c>
      <c r="H193" s="141" t="s">
        <v>392</v>
      </c>
      <c r="I193" s="141" t="s">
        <v>395</v>
      </c>
      <c r="J193" s="35"/>
      <c r="K193" s="35"/>
      <c r="L193" s="37"/>
      <c r="M193" s="38"/>
      <c r="N193" s="33"/>
      <c r="O193" s="54"/>
      <c r="P193" s="40"/>
    </row>
    <row r="194" spans="1:16" ht="43.5">
      <c r="A194" s="53" t="s">
        <v>272</v>
      </c>
      <c r="B194" s="63"/>
      <c r="C194" s="64"/>
      <c r="D194" s="225"/>
      <c r="E194" s="244"/>
      <c r="F194" s="139" t="s">
        <v>971</v>
      </c>
      <c r="G194" s="140" t="s">
        <v>972</v>
      </c>
      <c r="H194" s="141" t="s">
        <v>392</v>
      </c>
      <c r="I194" s="141" t="s">
        <v>393</v>
      </c>
      <c r="J194" s="35"/>
      <c r="K194" s="35"/>
      <c r="L194" s="37"/>
      <c r="M194" s="38"/>
      <c r="N194" s="33"/>
      <c r="O194" s="54"/>
      <c r="P194" s="40"/>
    </row>
    <row r="195" spans="1:16" ht="58">
      <c r="A195" s="53" t="s">
        <v>272</v>
      </c>
      <c r="B195" s="63"/>
      <c r="C195" s="64"/>
      <c r="D195" s="208" t="s">
        <v>484</v>
      </c>
      <c r="E195" s="211" t="s">
        <v>290</v>
      </c>
      <c r="F195" s="139" t="s">
        <v>291</v>
      </c>
      <c r="G195" s="140" t="s">
        <v>292</v>
      </c>
      <c r="H195" s="141" t="s">
        <v>392</v>
      </c>
      <c r="I195" s="141" t="s">
        <v>393</v>
      </c>
      <c r="J195" s="35" t="s">
        <v>973</v>
      </c>
      <c r="K195" s="35" t="s">
        <v>974</v>
      </c>
      <c r="L195" s="37"/>
      <c r="M195" s="38" t="s">
        <v>714</v>
      </c>
      <c r="N195" s="33" t="s">
        <v>975</v>
      </c>
      <c r="O195" s="54" t="s">
        <v>480</v>
      </c>
      <c r="P195" s="40"/>
    </row>
    <row r="196" spans="1:16" ht="43.5">
      <c r="A196" s="53" t="s">
        <v>272</v>
      </c>
      <c r="B196" s="63"/>
      <c r="C196" s="64"/>
      <c r="D196" s="224"/>
      <c r="E196" s="218"/>
      <c r="F196" s="139" t="s">
        <v>293</v>
      </c>
      <c r="G196" s="140" t="s">
        <v>294</v>
      </c>
      <c r="H196" s="141" t="s">
        <v>392</v>
      </c>
      <c r="I196" s="141" t="s">
        <v>393</v>
      </c>
      <c r="J196" s="35" t="s">
        <v>976</v>
      </c>
      <c r="K196" s="35" t="s">
        <v>977</v>
      </c>
      <c r="L196" s="37"/>
      <c r="M196" s="38" t="s">
        <v>723</v>
      </c>
      <c r="N196" s="33" t="s">
        <v>978</v>
      </c>
      <c r="O196" s="54" t="s">
        <v>480</v>
      </c>
      <c r="P196" s="40"/>
    </row>
    <row r="197" spans="1:16" ht="43.5">
      <c r="A197" s="53" t="s">
        <v>272</v>
      </c>
      <c r="B197" s="63"/>
      <c r="C197" s="64"/>
      <c r="D197" s="224"/>
      <c r="E197" s="218"/>
      <c r="F197" s="139" t="s">
        <v>295</v>
      </c>
      <c r="G197" s="140" t="s">
        <v>296</v>
      </c>
      <c r="H197" s="141" t="s">
        <v>392</v>
      </c>
      <c r="I197" s="141" t="s">
        <v>393</v>
      </c>
      <c r="J197" s="35" t="str">
        <f t="shared" si="9"/>
        <v>Elaborar formacions dirigides als informadors, educadors i altres prescriptors del territori</v>
      </c>
      <c r="K197" s="35"/>
      <c r="L197" s="37"/>
      <c r="M197" s="38" t="s">
        <v>706</v>
      </c>
      <c r="N197" s="33" t="s">
        <v>979</v>
      </c>
      <c r="O197" s="54" t="s">
        <v>480</v>
      </c>
      <c r="P197" s="33" t="s">
        <v>485</v>
      </c>
    </row>
    <row r="198" spans="1:16" ht="29">
      <c r="A198" s="53" t="s">
        <v>272</v>
      </c>
      <c r="B198" s="63"/>
      <c r="C198" s="64"/>
      <c r="D198" s="209"/>
      <c r="E198" s="212"/>
      <c r="F198" s="139" t="s">
        <v>295</v>
      </c>
      <c r="G198" s="140" t="s">
        <v>296</v>
      </c>
      <c r="H198" s="141" t="s">
        <v>392</v>
      </c>
      <c r="I198" s="141" t="s">
        <v>393</v>
      </c>
      <c r="J198" s="35" t="str">
        <f t="shared" si="9"/>
        <v>Elaborar formacions dirigides als informadors, educadors i altres prescriptors del territori</v>
      </c>
      <c r="K198" s="35"/>
      <c r="L198" s="37"/>
      <c r="M198" s="38" t="s">
        <v>714</v>
      </c>
      <c r="N198" s="33" t="s">
        <v>980</v>
      </c>
      <c r="O198" s="54"/>
      <c r="P198" s="33"/>
    </row>
    <row r="199" spans="1:16" ht="29">
      <c r="A199" s="53" t="s">
        <v>272</v>
      </c>
      <c r="B199" s="63"/>
      <c r="C199" s="64"/>
      <c r="D199" s="210"/>
      <c r="E199" s="213"/>
      <c r="F199" s="139" t="s">
        <v>295</v>
      </c>
      <c r="G199" s="140" t="s">
        <v>296</v>
      </c>
      <c r="H199" s="141" t="s">
        <v>392</v>
      </c>
      <c r="I199" s="141" t="s">
        <v>393</v>
      </c>
      <c r="J199" s="35" t="str">
        <f t="shared" si="9"/>
        <v>Elaborar formacions dirigides als informadors, educadors i altres prescriptors del territori</v>
      </c>
      <c r="K199" s="35"/>
      <c r="L199" s="37"/>
      <c r="M199" s="38" t="s">
        <v>714</v>
      </c>
      <c r="N199" s="33" t="s">
        <v>981</v>
      </c>
      <c r="O199" s="54"/>
      <c r="P199" s="33"/>
    </row>
    <row r="200" spans="1:16" ht="43.5">
      <c r="A200" s="53" t="s">
        <v>272</v>
      </c>
      <c r="B200" s="63"/>
      <c r="C200" s="64"/>
      <c r="D200" s="208" t="s">
        <v>486</v>
      </c>
      <c r="E200" s="235" t="s">
        <v>297</v>
      </c>
      <c r="F200" s="139" t="s">
        <v>298</v>
      </c>
      <c r="G200" s="140" t="s">
        <v>299</v>
      </c>
      <c r="H200" s="141" t="s">
        <v>392</v>
      </c>
      <c r="I200" s="141" t="s">
        <v>393</v>
      </c>
      <c r="J200" s="35" t="str">
        <f t="shared" si="9"/>
        <v>Desplegar en el territori les campanyes de sensibilització i bones pràctiques que s'impulsin des de la DG</v>
      </c>
      <c r="K200" s="35"/>
      <c r="L200" s="37"/>
      <c r="M200" s="38" t="s">
        <v>714</v>
      </c>
      <c r="N200" s="33" t="s">
        <v>982</v>
      </c>
      <c r="O200" s="54" t="s">
        <v>480</v>
      </c>
      <c r="P200" s="33" t="s">
        <v>487</v>
      </c>
    </row>
    <row r="201" spans="1:16" ht="29">
      <c r="A201" s="53" t="s">
        <v>272</v>
      </c>
      <c r="B201" s="63"/>
      <c r="C201" s="64"/>
      <c r="D201" s="224"/>
      <c r="E201" s="236"/>
      <c r="F201" s="139" t="s">
        <v>298</v>
      </c>
      <c r="G201" s="140" t="s">
        <v>299</v>
      </c>
      <c r="H201" s="141" t="s">
        <v>392</v>
      </c>
      <c r="I201" s="141" t="s">
        <v>393</v>
      </c>
      <c r="J201" s="35" t="str">
        <f t="shared" si="9"/>
        <v>Desplegar en el territori les campanyes de sensibilització i bones pràctiques que s'impulsin des de la DG</v>
      </c>
      <c r="K201" s="35"/>
      <c r="L201" s="37"/>
      <c r="M201" s="38" t="s">
        <v>714</v>
      </c>
      <c r="N201" s="33" t="s">
        <v>983</v>
      </c>
      <c r="O201" s="54"/>
      <c r="P201" s="33"/>
    </row>
    <row r="202" spans="1:16" ht="58">
      <c r="A202" s="53" t="s">
        <v>272</v>
      </c>
      <c r="B202" s="63"/>
      <c r="C202" s="64"/>
      <c r="D202" s="224"/>
      <c r="E202" s="236"/>
      <c r="F202" s="139" t="s">
        <v>300</v>
      </c>
      <c r="G202" s="140" t="s">
        <v>301</v>
      </c>
      <c r="H202" s="141" t="s">
        <v>392</v>
      </c>
      <c r="I202" s="141" t="s">
        <v>393</v>
      </c>
      <c r="J202" s="35" t="str">
        <f t="shared" si="9"/>
        <v xml:space="preserve">Adaptar el programa de divulgació i sensibilització de l'ENP perquè incorpori una oferta d’activitats adequada per a famílies </v>
      </c>
      <c r="K202" s="35"/>
      <c r="L202" s="37"/>
      <c r="M202" s="38" t="s">
        <v>706</v>
      </c>
      <c r="N202" s="33" t="s">
        <v>984</v>
      </c>
      <c r="O202" s="54" t="s">
        <v>480</v>
      </c>
      <c r="P202" s="56"/>
    </row>
    <row r="203" spans="1:16" ht="43.5">
      <c r="A203" s="53" t="s">
        <v>272</v>
      </c>
      <c r="B203" s="63"/>
      <c r="C203" s="64"/>
      <c r="D203" s="224"/>
      <c r="E203" s="236"/>
      <c r="F203" s="139" t="s">
        <v>300</v>
      </c>
      <c r="G203" s="140" t="s">
        <v>301</v>
      </c>
      <c r="H203" s="141" t="s">
        <v>392</v>
      </c>
      <c r="I203" s="141" t="s">
        <v>393</v>
      </c>
      <c r="J203" s="35" t="str">
        <f t="shared" si="9"/>
        <v xml:space="preserve">Adaptar el programa de divulgació i sensibilització de l'ENP perquè incorpori una oferta d’activitats adequada per a famílies </v>
      </c>
      <c r="K203" s="35"/>
      <c r="L203" s="37"/>
      <c r="M203" s="38" t="s">
        <v>723</v>
      </c>
      <c r="N203" s="33" t="s">
        <v>985</v>
      </c>
      <c r="O203" s="54"/>
      <c r="P203" s="56"/>
    </row>
    <row r="204" spans="1:16" ht="43.5">
      <c r="A204" s="53" t="s">
        <v>272</v>
      </c>
      <c r="B204" s="63"/>
      <c r="C204" s="64"/>
      <c r="D204" s="224"/>
      <c r="E204" s="236"/>
      <c r="F204" s="139" t="s">
        <v>300</v>
      </c>
      <c r="G204" s="140" t="s">
        <v>301</v>
      </c>
      <c r="H204" s="141" t="s">
        <v>392</v>
      </c>
      <c r="I204" s="141" t="s">
        <v>393</v>
      </c>
      <c r="J204" s="35" t="str">
        <f t="shared" si="9"/>
        <v xml:space="preserve">Adaptar el programa de divulgació i sensibilització de l'ENP perquè incorpori una oferta d’activitats adequada per a famílies </v>
      </c>
      <c r="K204" s="35"/>
      <c r="L204" s="37"/>
      <c r="M204" s="38" t="s">
        <v>723</v>
      </c>
      <c r="N204" s="40" t="s">
        <v>986</v>
      </c>
      <c r="O204" s="54"/>
      <c r="P204" s="56"/>
    </row>
    <row r="205" spans="1:16" ht="43.5">
      <c r="A205" s="53" t="s">
        <v>272</v>
      </c>
      <c r="B205" s="63"/>
      <c r="C205" s="64"/>
      <c r="D205" s="224"/>
      <c r="E205" s="236"/>
      <c r="F205" s="139" t="s">
        <v>302</v>
      </c>
      <c r="G205" s="144" t="s">
        <v>303</v>
      </c>
      <c r="H205" s="141" t="s">
        <v>392</v>
      </c>
      <c r="I205" s="141" t="s">
        <v>395</v>
      </c>
      <c r="J205" s="35"/>
      <c r="K205" s="35"/>
      <c r="L205" s="37"/>
      <c r="M205" s="38"/>
      <c r="N205" s="40"/>
      <c r="O205" s="54"/>
      <c r="P205" s="56"/>
    </row>
    <row r="206" spans="1:16" ht="43.5">
      <c r="A206" s="53" t="s">
        <v>272</v>
      </c>
      <c r="B206" s="63"/>
      <c r="C206" s="64"/>
      <c r="D206" s="225"/>
      <c r="E206" s="237"/>
      <c r="F206" s="139" t="s">
        <v>304</v>
      </c>
      <c r="G206" s="140" t="s">
        <v>305</v>
      </c>
      <c r="H206" s="141" t="s">
        <v>392</v>
      </c>
      <c r="I206" s="141" t="s">
        <v>395</v>
      </c>
      <c r="J206" s="35"/>
      <c r="K206" s="35"/>
      <c r="L206" s="37"/>
      <c r="M206" s="38"/>
      <c r="N206" s="40"/>
      <c r="O206" s="54"/>
      <c r="P206" s="56"/>
    </row>
    <row r="207" spans="1:16" ht="29">
      <c r="A207" s="53" t="s">
        <v>272</v>
      </c>
      <c r="B207" s="63"/>
      <c r="C207" s="64"/>
      <c r="D207" s="208" t="s">
        <v>488</v>
      </c>
      <c r="E207" s="238" t="s">
        <v>306</v>
      </c>
      <c r="F207" s="139" t="s">
        <v>307</v>
      </c>
      <c r="G207" s="144" t="s">
        <v>308</v>
      </c>
      <c r="H207" s="141" t="s">
        <v>392</v>
      </c>
      <c r="I207" s="141" t="s">
        <v>393</v>
      </c>
      <c r="J207" s="35" t="str">
        <f t="shared" si="9"/>
        <v>Identificar col·lectius estratègics implicats en la gestió i l'ús del territori</v>
      </c>
      <c r="K207" s="35"/>
      <c r="L207" s="57"/>
      <c r="M207" s="38" t="s">
        <v>706</v>
      </c>
      <c r="N207" s="40" t="s">
        <v>987</v>
      </c>
      <c r="O207" s="54" t="s">
        <v>480</v>
      </c>
      <c r="P207" s="40"/>
    </row>
    <row r="208" spans="1:16" ht="58">
      <c r="A208" s="53" t="s">
        <v>272</v>
      </c>
      <c r="B208" s="63"/>
      <c r="C208" s="64"/>
      <c r="D208" s="224"/>
      <c r="E208" s="239"/>
      <c r="F208" s="139" t="s">
        <v>309</v>
      </c>
      <c r="G208" s="144" t="s">
        <v>315</v>
      </c>
      <c r="H208" s="141" t="s">
        <v>392</v>
      </c>
      <c r="I208" s="141" t="s">
        <v>393</v>
      </c>
      <c r="J208" s="35" t="str">
        <f t="shared" si="9"/>
        <v>Elaborar i renovar periòdicament un programa d’educació ambiental adreçat a la població local que contribueixi a fomentar el sentiment de pertinença i la implicació en la conservació de l'ENP.</v>
      </c>
      <c r="K208" s="35"/>
      <c r="L208" s="37"/>
      <c r="M208" s="38" t="s">
        <v>706</v>
      </c>
      <c r="N208" s="40" t="s">
        <v>988</v>
      </c>
      <c r="O208" s="54" t="s">
        <v>480</v>
      </c>
      <c r="P208" s="40"/>
    </row>
    <row r="209" spans="1:16" ht="29">
      <c r="A209" s="53" t="s">
        <v>272</v>
      </c>
      <c r="B209" s="63"/>
      <c r="C209" s="64"/>
      <c r="D209" s="224"/>
      <c r="E209" s="239"/>
      <c r="F209" s="139" t="s">
        <v>310</v>
      </c>
      <c r="G209" s="140" t="s">
        <v>311</v>
      </c>
      <c r="H209" s="141" t="s">
        <v>392</v>
      </c>
      <c r="I209" s="141" t="s">
        <v>395</v>
      </c>
      <c r="J209" s="35"/>
      <c r="K209" s="35"/>
      <c r="L209" s="37"/>
      <c r="M209" s="38"/>
      <c r="N209" s="40"/>
      <c r="O209" s="54"/>
      <c r="P209" s="40"/>
    </row>
    <row r="210" spans="1:16" ht="29">
      <c r="A210" s="53" t="s">
        <v>272</v>
      </c>
      <c r="B210" s="63"/>
      <c r="C210" s="64"/>
      <c r="D210" s="224"/>
      <c r="E210" s="239"/>
      <c r="F210" s="139" t="s">
        <v>312</v>
      </c>
      <c r="G210" s="140" t="s">
        <v>313</v>
      </c>
      <c r="H210" s="141" t="s">
        <v>392</v>
      </c>
      <c r="I210" s="141" t="s">
        <v>395</v>
      </c>
      <c r="J210" s="35"/>
      <c r="K210" s="35"/>
      <c r="L210" s="37"/>
      <c r="M210" s="38"/>
      <c r="N210" s="40"/>
      <c r="O210" s="54"/>
      <c r="P210" s="40"/>
    </row>
    <row r="211" spans="1:16" ht="58">
      <c r="A211" s="53" t="s">
        <v>272</v>
      </c>
      <c r="B211" s="63"/>
      <c r="C211" s="64"/>
      <c r="D211" s="225"/>
      <c r="E211" s="240"/>
      <c r="F211" s="139" t="s">
        <v>314</v>
      </c>
      <c r="G211" s="144" t="s">
        <v>315</v>
      </c>
      <c r="H211" s="141" t="s">
        <v>392</v>
      </c>
      <c r="I211" s="141" t="s">
        <v>393</v>
      </c>
      <c r="J211" s="35"/>
      <c r="K211" s="35"/>
      <c r="L211" s="37"/>
      <c r="M211" s="38"/>
      <c r="N211" s="40"/>
      <c r="O211" s="54"/>
      <c r="P211" s="40"/>
    </row>
    <row r="212" spans="1:16" ht="43.5">
      <c r="A212" s="53" t="s">
        <v>272</v>
      </c>
      <c r="B212" s="63"/>
      <c r="C212" s="64"/>
      <c r="D212" s="208" t="s">
        <v>489</v>
      </c>
      <c r="E212" s="241" t="s">
        <v>316</v>
      </c>
      <c r="F212" s="139" t="s">
        <v>317</v>
      </c>
      <c r="G212" s="140" t="s">
        <v>318</v>
      </c>
      <c r="H212" s="141" t="s">
        <v>392</v>
      </c>
      <c r="I212" s="141" t="s">
        <v>393</v>
      </c>
      <c r="J212" s="35" t="str">
        <f t="shared" si="9"/>
        <v>Identificar els programes, projectes i accions en marxa o previstos a l’ENP que poden rebre el suport del voluntariat</v>
      </c>
      <c r="K212" s="35" t="s">
        <v>989</v>
      </c>
      <c r="L212" s="37"/>
      <c r="M212" s="38" t="s">
        <v>706</v>
      </c>
      <c r="N212" s="40" t="s">
        <v>990</v>
      </c>
      <c r="O212" s="54" t="s">
        <v>480</v>
      </c>
      <c r="P212" s="40"/>
    </row>
    <row r="213" spans="1:16" ht="43.5">
      <c r="A213" s="53" t="s">
        <v>272</v>
      </c>
      <c r="B213" s="63"/>
      <c r="C213" s="64"/>
      <c r="D213" s="224"/>
      <c r="E213" s="242"/>
      <c r="F213" s="139" t="s">
        <v>317</v>
      </c>
      <c r="G213" s="140" t="s">
        <v>318</v>
      </c>
      <c r="H213" s="141" t="s">
        <v>392</v>
      </c>
      <c r="I213" s="141" t="s">
        <v>393</v>
      </c>
      <c r="J213" s="35" t="str">
        <f t="shared" si="9"/>
        <v>Identificar els programes, projectes i accions en marxa o previstos a l’ENP que poden rebre el suport del voluntariat</v>
      </c>
      <c r="K213" s="35" t="s">
        <v>989</v>
      </c>
      <c r="L213" s="37"/>
      <c r="M213" s="38" t="s">
        <v>714</v>
      </c>
      <c r="N213" s="40" t="s">
        <v>991</v>
      </c>
      <c r="O213" s="54"/>
      <c r="P213" s="40"/>
    </row>
    <row r="214" spans="1:16" ht="72.5">
      <c r="A214" s="53" t="s">
        <v>272</v>
      </c>
      <c r="B214" s="63"/>
      <c r="C214" s="64"/>
      <c r="D214" s="224"/>
      <c r="E214" s="242"/>
      <c r="F214" s="139" t="s">
        <v>319</v>
      </c>
      <c r="G214" s="140" t="s">
        <v>320</v>
      </c>
      <c r="H214" s="141" t="s">
        <v>392</v>
      </c>
      <c r="I214" s="141" t="s">
        <v>393</v>
      </c>
      <c r="J214" s="35" t="s">
        <v>992</v>
      </c>
      <c r="K214" s="35" t="s">
        <v>993</v>
      </c>
      <c r="L214" s="37"/>
      <c r="M214" s="38" t="s">
        <v>714</v>
      </c>
      <c r="N214" s="40" t="s">
        <v>994</v>
      </c>
      <c r="O214" s="43" t="s">
        <v>490</v>
      </c>
      <c r="P214" s="40" t="s">
        <v>491</v>
      </c>
    </row>
    <row r="215" spans="1:16" ht="29">
      <c r="A215" s="53"/>
      <c r="B215" s="63"/>
      <c r="C215" s="64"/>
      <c r="D215" s="225"/>
      <c r="E215" s="243"/>
      <c r="F215" s="139" t="s">
        <v>995</v>
      </c>
      <c r="G215" s="140" t="s">
        <v>996</v>
      </c>
      <c r="H215" s="141" t="s">
        <v>392</v>
      </c>
      <c r="I215" s="141" t="s">
        <v>393</v>
      </c>
      <c r="J215" s="35"/>
      <c r="K215" s="35"/>
      <c r="L215" s="37"/>
      <c r="M215" s="38"/>
      <c r="N215" s="40"/>
      <c r="O215" s="43"/>
      <c r="P215" s="40"/>
    </row>
    <row r="216" spans="1:16" ht="29">
      <c r="A216" s="53" t="s">
        <v>272</v>
      </c>
      <c r="B216" s="63"/>
      <c r="C216" s="64"/>
      <c r="D216" s="208" t="s">
        <v>492</v>
      </c>
      <c r="E216" s="226" t="s">
        <v>321</v>
      </c>
      <c r="F216" s="155" t="s">
        <v>322</v>
      </c>
      <c r="G216" s="140" t="s">
        <v>323</v>
      </c>
      <c r="H216" s="141" t="s">
        <v>392</v>
      </c>
      <c r="I216" s="141" t="s">
        <v>393</v>
      </c>
      <c r="J216" s="35"/>
      <c r="K216" s="35"/>
      <c r="L216" s="37"/>
      <c r="M216" s="38"/>
      <c r="N216" s="40"/>
      <c r="O216" s="43"/>
      <c r="P216" s="40"/>
    </row>
    <row r="217" spans="1:16" ht="43.5">
      <c r="A217" s="53" t="s">
        <v>272</v>
      </c>
      <c r="B217" s="63"/>
      <c r="C217" s="64"/>
      <c r="D217" s="224"/>
      <c r="E217" s="227"/>
      <c r="F217" s="155" t="s">
        <v>324</v>
      </c>
      <c r="G217" s="140" t="s">
        <v>325</v>
      </c>
      <c r="H217" s="141" t="s">
        <v>392</v>
      </c>
      <c r="I217" s="141" t="s">
        <v>395</v>
      </c>
      <c r="J217" s="35"/>
      <c r="K217" s="35"/>
      <c r="L217" s="37"/>
      <c r="M217" s="38"/>
      <c r="N217" s="40"/>
      <c r="O217" s="43"/>
      <c r="P217" s="40"/>
    </row>
    <row r="218" spans="1:16" ht="43.5">
      <c r="A218" s="53" t="s">
        <v>272</v>
      </c>
      <c r="B218" s="63"/>
      <c r="C218" s="64"/>
      <c r="D218" s="225"/>
      <c r="E218" s="228"/>
      <c r="F218" s="155" t="s">
        <v>326</v>
      </c>
      <c r="G218" s="140" t="s">
        <v>327</v>
      </c>
      <c r="H218" s="141" t="s">
        <v>392</v>
      </c>
      <c r="I218" s="141" t="s">
        <v>393</v>
      </c>
      <c r="J218" s="35" t="str">
        <f t="shared" si="9"/>
        <v>Incorporar la perspectiva de gènere als continguts i activitats de l'ENP</v>
      </c>
      <c r="K218" s="35" t="s">
        <v>997</v>
      </c>
      <c r="L218" s="37"/>
      <c r="M218" s="38" t="s">
        <v>714</v>
      </c>
      <c r="N218" s="40" t="s">
        <v>998</v>
      </c>
      <c r="O218" s="54" t="s">
        <v>480</v>
      </c>
      <c r="P218" s="40"/>
    </row>
    <row r="219" spans="1:16" ht="43.5">
      <c r="A219" s="53" t="s">
        <v>272</v>
      </c>
      <c r="B219" s="63"/>
      <c r="C219" s="64"/>
      <c r="D219" s="229" t="s">
        <v>493</v>
      </c>
      <c r="E219" s="232" t="s">
        <v>328</v>
      </c>
      <c r="F219" s="155" t="s">
        <v>329</v>
      </c>
      <c r="G219" s="140" t="s">
        <v>330</v>
      </c>
      <c r="H219" s="141" t="s">
        <v>392</v>
      </c>
      <c r="I219" s="141" t="s">
        <v>395</v>
      </c>
      <c r="J219" s="35" t="str">
        <f t="shared" si="9"/>
        <v>Dissenyar, implementar i fomentar itineraris saludables dins dels itineraris oficials dels ENP i en la zona d'influència</v>
      </c>
      <c r="K219" s="35"/>
      <c r="L219" s="37"/>
      <c r="M219" s="38" t="s">
        <v>723</v>
      </c>
      <c r="N219" s="40" t="s">
        <v>999</v>
      </c>
      <c r="O219" s="54" t="s">
        <v>480</v>
      </c>
      <c r="P219" s="40"/>
    </row>
    <row r="220" spans="1:16" ht="43.5">
      <c r="A220" s="53" t="s">
        <v>272</v>
      </c>
      <c r="B220" s="63"/>
      <c r="C220" s="64"/>
      <c r="D220" s="230"/>
      <c r="E220" s="233"/>
      <c r="F220" s="155" t="s">
        <v>329</v>
      </c>
      <c r="G220" s="140" t="s">
        <v>330</v>
      </c>
      <c r="H220" s="141" t="s">
        <v>392</v>
      </c>
      <c r="I220" s="141" t="s">
        <v>395</v>
      </c>
      <c r="J220" s="35" t="str">
        <f t="shared" si="9"/>
        <v>Dissenyar, implementar i fomentar itineraris saludables dins dels itineraris oficials dels ENP i en la zona d'influència</v>
      </c>
      <c r="K220" s="35"/>
      <c r="L220" s="37"/>
      <c r="M220" s="38" t="s">
        <v>723</v>
      </c>
      <c r="N220" s="40" t="s">
        <v>1000</v>
      </c>
      <c r="O220" s="54"/>
      <c r="P220" s="40"/>
    </row>
    <row r="221" spans="1:16" ht="58">
      <c r="A221" s="53" t="s">
        <v>272</v>
      </c>
      <c r="B221" s="63"/>
      <c r="C221" s="64"/>
      <c r="D221" s="230"/>
      <c r="E221" s="233"/>
      <c r="F221" s="155" t="s">
        <v>331</v>
      </c>
      <c r="G221" s="144" t="s">
        <v>332</v>
      </c>
      <c r="H221" s="141" t="s">
        <v>392</v>
      </c>
      <c r="I221" s="141" t="s">
        <v>393</v>
      </c>
      <c r="J221" s="35" t="str">
        <f t="shared" si="9"/>
        <v>Identificar els agents clau i els àmbits de col·laboració per implementar el binomi salut i natura</v>
      </c>
      <c r="K221" s="35"/>
      <c r="L221" s="55"/>
      <c r="M221" s="38" t="s">
        <v>714</v>
      </c>
      <c r="N221" s="40" t="s">
        <v>1001</v>
      </c>
      <c r="O221" s="54" t="s">
        <v>480</v>
      </c>
      <c r="P221" s="40"/>
    </row>
    <row r="222" spans="1:16" ht="43.5">
      <c r="A222" s="53" t="s">
        <v>272</v>
      </c>
      <c r="B222" s="63"/>
      <c r="C222" s="64"/>
      <c r="D222" s="230"/>
      <c r="E222" s="233"/>
      <c r="F222" s="155" t="s">
        <v>331</v>
      </c>
      <c r="G222" s="144" t="s">
        <v>332</v>
      </c>
      <c r="H222" s="141" t="s">
        <v>392</v>
      </c>
      <c r="I222" s="141" t="s">
        <v>393</v>
      </c>
      <c r="J222" s="35" t="str">
        <f t="shared" si="9"/>
        <v>Identificar els agents clau i els àmbits de col·laboració per implementar el binomi salut i natura</v>
      </c>
      <c r="K222" s="35"/>
      <c r="L222" s="55"/>
      <c r="M222" s="38" t="s">
        <v>714</v>
      </c>
      <c r="N222" s="40" t="s">
        <v>1002</v>
      </c>
      <c r="O222" s="54"/>
      <c r="P222" s="40"/>
    </row>
    <row r="223" spans="1:16" ht="58">
      <c r="A223" s="53" t="s">
        <v>272</v>
      </c>
      <c r="B223" s="63"/>
      <c r="C223" s="64"/>
      <c r="D223" s="230"/>
      <c r="E223" s="233"/>
      <c r="F223" s="155" t="s">
        <v>333</v>
      </c>
      <c r="G223" s="140" t="s">
        <v>334</v>
      </c>
      <c r="H223" s="141" t="s">
        <v>392</v>
      </c>
      <c r="I223" s="141" t="s">
        <v>393</v>
      </c>
      <c r="J223" s="35" t="str">
        <f t="shared" si="9"/>
        <v xml:space="preserve">Incloure el concepte de salut i natura en els missatges educatius i comunicatius de l'ENP </v>
      </c>
      <c r="K223" s="35"/>
      <c r="L223" s="37"/>
      <c r="M223" s="38" t="s">
        <v>714</v>
      </c>
      <c r="N223" s="40" t="s">
        <v>1003</v>
      </c>
      <c r="O223" s="54" t="s">
        <v>480</v>
      </c>
      <c r="P223" s="40"/>
    </row>
    <row r="224" spans="1:16" ht="29">
      <c r="A224" s="53" t="s">
        <v>272</v>
      </c>
      <c r="B224" s="63"/>
      <c r="C224" s="64"/>
      <c r="D224" s="230"/>
      <c r="E224" s="233"/>
      <c r="F224" s="155" t="s">
        <v>333</v>
      </c>
      <c r="G224" s="140" t="s">
        <v>334</v>
      </c>
      <c r="H224" s="141" t="s">
        <v>392</v>
      </c>
      <c r="I224" s="141" t="s">
        <v>393</v>
      </c>
      <c r="J224" s="35" t="str">
        <f t="shared" si="9"/>
        <v xml:space="preserve">Incloure el concepte de salut i natura en els missatges educatius i comunicatius de l'ENP </v>
      </c>
      <c r="K224" s="35"/>
      <c r="L224" s="37"/>
      <c r="M224" s="38" t="s">
        <v>714</v>
      </c>
      <c r="N224" s="40" t="s">
        <v>1004</v>
      </c>
      <c r="O224" s="54"/>
      <c r="P224" s="40"/>
    </row>
    <row r="225" spans="1:16" ht="43.5">
      <c r="A225" s="53" t="s">
        <v>272</v>
      </c>
      <c r="B225" s="63"/>
      <c r="C225" s="64"/>
      <c r="D225" s="230"/>
      <c r="E225" s="233"/>
      <c r="F225" s="155" t="s">
        <v>333</v>
      </c>
      <c r="G225" s="140" t="s">
        <v>334</v>
      </c>
      <c r="H225" s="141" t="s">
        <v>392</v>
      </c>
      <c r="I225" s="141" t="s">
        <v>393</v>
      </c>
      <c r="J225" s="35" t="str">
        <f t="shared" si="9"/>
        <v xml:space="preserve">Incloure el concepte de salut i natura en els missatges educatius i comunicatius de l'ENP </v>
      </c>
      <c r="K225" s="35"/>
      <c r="L225" s="37"/>
      <c r="M225" s="38" t="s">
        <v>714</v>
      </c>
      <c r="N225" s="40" t="s">
        <v>1005</v>
      </c>
      <c r="O225" s="54"/>
      <c r="P225" s="40"/>
    </row>
    <row r="226" spans="1:16" ht="29">
      <c r="A226" s="53" t="s">
        <v>272</v>
      </c>
      <c r="B226" s="156"/>
      <c r="C226" s="157"/>
      <c r="D226" s="231"/>
      <c r="E226" s="234"/>
      <c r="F226" s="155" t="s">
        <v>335</v>
      </c>
      <c r="G226" s="144" t="s">
        <v>1006</v>
      </c>
      <c r="H226" s="141" t="s">
        <v>392</v>
      </c>
      <c r="I226" s="141" t="s">
        <v>395</v>
      </c>
      <c r="J226" s="35"/>
      <c r="K226" s="35"/>
      <c r="L226" s="37"/>
      <c r="M226" s="38"/>
      <c r="N226" s="40"/>
      <c r="O226" s="54"/>
      <c r="P226" s="40"/>
    </row>
    <row r="227" spans="1:16" ht="58">
      <c r="A227" s="53" t="s">
        <v>272</v>
      </c>
      <c r="B227" s="65">
        <v>14</v>
      </c>
      <c r="C227" s="66" t="s">
        <v>336</v>
      </c>
      <c r="D227" s="208" t="s">
        <v>494</v>
      </c>
      <c r="E227" s="211" t="s">
        <v>337</v>
      </c>
      <c r="F227" s="139" t="s">
        <v>338</v>
      </c>
      <c r="G227" s="140" t="s">
        <v>339</v>
      </c>
      <c r="H227" s="141" t="s">
        <v>392</v>
      </c>
      <c r="I227" s="141" t="s">
        <v>393</v>
      </c>
      <c r="J227" s="35" t="s">
        <v>1007</v>
      </c>
      <c r="K227" s="35" t="s">
        <v>1008</v>
      </c>
      <c r="L227" s="47"/>
      <c r="M227" s="38" t="s">
        <v>723</v>
      </c>
      <c r="N227" s="40" t="s">
        <v>1009</v>
      </c>
      <c r="O227" s="39" t="s">
        <v>495</v>
      </c>
      <c r="P227" s="40" t="s">
        <v>496</v>
      </c>
    </row>
    <row r="228" spans="1:16" ht="72.5">
      <c r="A228" s="53" t="s">
        <v>272</v>
      </c>
      <c r="B228" s="65"/>
      <c r="C228" s="66"/>
      <c r="D228" s="224"/>
      <c r="E228" s="218"/>
      <c r="F228" s="139" t="s">
        <v>340</v>
      </c>
      <c r="G228" s="140" t="s">
        <v>341</v>
      </c>
      <c r="H228" s="141" t="s">
        <v>392</v>
      </c>
      <c r="I228" s="141" t="s">
        <v>393</v>
      </c>
      <c r="J228" s="35" t="str">
        <f>G228</f>
        <v>Garantir l'accessibilitat i gestió del coneixement disponible sobre l'ENP</v>
      </c>
      <c r="K228" s="35"/>
      <c r="L228" s="47"/>
      <c r="M228" s="38" t="s">
        <v>723</v>
      </c>
      <c r="N228" s="40" t="s">
        <v>1010</v>
      </c>
      <c r="O228" s="39"/>
      <c r="P228" s="40"/>
    </row>
    <row r="229" spans="1:16" ht="29">
      <c r="A229" s="53" t="s">
        <v>272</v>
      </c>
      <c r="B229" s="65"/>
      <c r="C229" s="66"/>
      <c r="D229" s="210"/>
      <c r="E229" s="213"/>
      <c r="F229" s="139" t="s">
        <v>340</v>
      </c>
      <c r="G229" s="140" t="s">
        <v>341</v>
      </c>
      <c r="H229" s="141" t="s">
        <v>392</v>
      </c>
      <c r="I229" s="141" t="s">
        <v>393</v>
      </c>
      <c r="J229" s="35" t="str">
        <f>G229</f>
        <v>Garantir l'accessibilitat i gestió del coneixement disponible sobre l'ENP</v>
      </c>
      <c r="K229" s="35"/>
      <c r="L229" s="47"/>
      <c r="M229" s="38" t="s">
        <v>723</v>
      </c>
      <c r="N229" s="40" t="s">
        <v>1011</v>
      </c>
      <c r="O229" s="39"/>
      <c r="P229" s="40"/>
    </row>
    <row r="230" spans="1:16" ht="87">
      <c r="A230" s="53" t="s">
        <v>272</v>
      </c>
      <c r="B230" s="65"/>
      <c r="C230" s="66"/>
      <c r="D230" s="208" t="s">
        <v>497</v>
      </c>
      <c r="E230" s="211" t="s">
        <v>342</v>
      </c>
      <c r="F230" s="139" t="s">
        <v>343</v>
      </c>
      <c r="G230" s="140" t="s">
        <v>344</v>
      </c>
      <c r="H230" s="141" t="s">
        <v>392</v>
      </c>
      <c r="I230" s="141" t="s">
        <v>393</v>
      </c>
      <c r="J230" s="35" t="str">
        <f t="shared" si="9"/>
        <v>Sensibilitzar als diferents agents sobre els valors de l'ENP</v>
      </c>
      <c r="K230" s="35"/>
      <c r="L230" s="47"/>
      <c r="M230" s="38" t="s">
        <v>723</v>
      </c>
      <c r="N230" s="40" t="s">
        <v>1012</v>
      </c>
      <c r="O230" s="39"/>
      <c r="P230" s="40" t="s">
        <v>498</v>
      </c>
    </row>
    <row r="231" spans="1:16" ht="29">
      <c r="A231" s="53" t="s">
        <v>272</v>
      </c>
      <c r="B231" s="65"/>
      <c r="C231" s="66"/>
      <c r="D231" s="209"/>
      <c r="E231" s="212"/>
      <c r="F231" s="139" t="s">
        <v>343</v>
      </c>
      <c r="G231" s="140" t="s">
        <v>344</v>
      </c>
      <c r="H231" s="141" t="s">
        <v>392</v>
      </c>
      <c r="I231" s="141" t="s">
        <v>393</v>
      </c>
      <c r="J231" s="35" t="str">
        <f t="shared" si="9"/>
        <v>Sensibilitzar als diferents agents sobre els valors de l'ENP</v>
      </c>
      <c r="K231" s="35"/>
      <c r="L231" s="47"/>
      <c r="M231" s="38" t="s">
        <v>723</v>
      </c>
      <c r="N231" s="40" t="s">
        <v>1013</v>
      </c>
      <c r="O231" s="39"/>
      <c r="P231" s="40"/>
    </row>
    <row r="232" spans="1:16" ht="29">
      <c r="A232" s="53" t="s">
        <v>272</v>
      </c>
      <c r="B232" s="65"/>
      <c r="C232" s="66"/>
      <c r="D232" s="209"/>
      <c r="E232" s="212"/>
      <c r="F232" s="139" t="s">
        <v>343</v>
      </c>
      <c r="G232" s="140" t="s">
        <v>344</v>
      </c>
      <c r="H232" s="141" t="s">
        <v>392</v>
      </c>
      <c r="I232" s="141" t="s">
        <v>393</v>
      </c>
      <c r="J232" s="35" t="str">
        <f t="shared" si="9"/>
        <v>Sensibilitzar als diferents agents sobre els valors de l'ENP</v>
      </c>
      <c r="K232" s="35"/>
      <c r="L232" s="47"/>
      <c r="M232" s="38" t="s">
        <v>723</v>
      </c>
      <c r="N232" s="40" t="s">
        <v>1014</v>
      </c>
      <c r="O232" s="39"/>
      <c r="P232" s="40"/>
    </row>
    <row r="233" spans="1:16" ht="29">
      <c r="A233" s="53" t="s">
        <v>272</v>
      </c>
      <c r="B233" s="65"/>
      <c r="C233" s="66"/>
      <c r="D233" s="210"/>
      <c r="E233" s="213"/>
      <c r="F233" s="139" t="s">
        <v>343</v>
      </c>
      <c r="G233" s="140" t="s">
        <v>344</v>
      </c>
      <c r="H233" s="141" t="s">
        <v>392</v>
      </c>
      <c r="I233" s="141" t="s">
        <v>393</v>
      </c>
      <c r="J233" s="35" t="str">
        <f t="shared" si="9"/>
        <v>Sensibilitzar als diferents agents sobre els valors de l'ENP</v>
      </c>
      <c r="K233" s="35"/>
      <c r="L233" s="47"/>
      <c r="M233" s="38" t="s">
        <v>723</v>
      </c>
      <c r="N233" s="40" t="s">
        <v>1015</v>
      </c>
      <c r="O233" s="39"/>
      <c r="P233" s="40"/>
    </row>
    <row r="234" spans="1:16" ht="72.5">
      <c r="A234" s="53" t="s">
        <v>272</v>
      </c>
      <c r="B234" s="65"/>
      <c r="C234" s="66"/>
      <c r="D234" s="214" t="s">
        <v>499</v>
      </c>
      <c r="E234" s="211" t="s">
        <v>345</v>
      </c>
      <c r="F234" s="139" t="s">
        <v>346</v>
      </c>
      <c r="G234" s="140" t="s">
        <v>347</v>
      </c>
      <c r="H234" s="141" t="s">
        <v>392</v>
      </c>
      <c r="I234" s="141" t="s">
        <v>393</v>
      </c>
      <c r="J234" s="35" t="str">
        <f t="shared" si="9"/>
        <v>Optimitzar els canals de comunicació</v>
      </c>
      <c r="K234" s="35"/>
      <c r="L234" s="47"/>
      <c r="M234" s="38" t="s">
        <v>723</v>
      </c>
      <c r="N234" s="40" t="s">
        <v>1016</v>
      </c>
      <c r="O234" s="39" t="s">
        <v>495</v>
      </c>
      <c r="P234" s="40"/>
    </row>
    <row r="235" spans="1:16" ht="29">
      <c r="A235" s="53" t="s">
        <v>272</v>
      </c>
      <c r="B235" s="65"/>
      <c r="C235" s="66"/>
      <c r="D235" s="215"/>
      <c r="E235" s="218"/>
      <c r="F235" s="139" t="s">
        <v>346</v>
      </c>
      <c r="G235" s="140" t="s">
        <v>347</v>
      </c>
      <c r="H235" s="141" t="s">
        <v>392</v>
      </c>
      <c r="I235" s="141" t="s">
        <v>393</v>
      </c>
      <c r="J235" s="35" t="str">
        <f t="shared" si="9"/>
        <v>Optimitzar els canals de comunicació</v>
      </c>
      <c r="K235" s="35"/>
      <c r="L235" s="47"/>
      <c r="M235" s="38" t="s">
        <v>723</v>
      </c>
      <c r="N235" s="40" t="s">
        <v>1017</v>
      </c>
      <c r="O235" s="39"/>
      <c r="P235" s="40"/>
    </row>
    <row r="236" spans="1:16" ht="43.5">
      <c r="A236" s="53" t="s">
        <v>272</v>
      </c>
      <c r="B236" s="65"/>
      <c r="C236" s="66"/>
      <c r="D236" s="215"/>
      <c r="E236" s="218"/>
      <c r="F236" s="139" t="s">
        <v>346</v>
      </c>
      <c r="G236" s="140" t="s">
        <v>347</v>
      </c>
      <c r="H236" s="141" t="s">
        <v>392</v>
      </c>
      <c r="I236" s="141" t="s">
        <v>393</v>
      </c>
      <c r="J236" s="35" t="str">
        <f t="shared" si="9"/>
        <v>Optimitzar els canals de comunicació</v>
      </c>
      <c r="K236" s="35"/>
      <c r="L236" s="47"/>
      <c r="M236" s="38" t="s">
        <v>723</v>
      </c>
      <c r="N236" s="40" t="s">
        <v>1018</v>
      </c>
      <c r="O236" s="39"/>
      <c r="P236" s="40"/>
    </row>
    <row r="237" spans="1:16" ht="58">
      <c r="A237" s="53" t="s">
        <v>272</v>
      </c>
      <c r="B237" s="65"/>
      <c r="C237" s="66"/>
      <c r="D237" s="215"/>
      <c r="E237" s="218"/>
      <c r="F237" s="139" t="s">
        <v>348</v>
      </c>
      <c r="G237" s="140" t="s">
        <v>349</v>
      </c>
      <c r="H237" s="141" t="s">
        <v>392</v>
      </c>
      <c r="I237" s="141" t="s">
        <v>393</v>
      </c>
      <c r="J237" s="35" t="s">
        <v>1019</v>
      </c>
      <c r="K237" s="35" t="s">
        <v>1020</v>
      </c>
      <c r="L237" s="47"/>
      <c r="M237" s="38" t="s">
        <v>723</v>
      </c>
      <c r="N237" s="40" t="s">
        <v>1021</v>
      </c>
      <c r="O237" s="39" t="s">
        <v>495</v>
      </c>
      <c r="P237" s="40"/>
    </row>
    <row r="238" spans="1:16" ht="43.5">
      <c r="A238" s="53" t="s">
        <v>272</v>
      </c>
      <c r="B238" s="158"/>
      <c r="C238" s="159"/>
      <c r="D238" s="216"/>
      <c r="E238" s="212"/>
      <c r="F238" s="139" t="s">
        <v>348</v>
      </c>
      <c r="G238" s="140" t="s">
        <v>349</v>
      </c>
      <c r="H238" s="141" t="s">
        <v>392</v>
      </c>
      <c r="I238" s="141" t="s">
        <v>393</v>
      </c>
      <c r="J238" s="35" t="s">
        <v>1019</v>
      </c>
      <c r="K238" s="35" t="s">
        <v>1020</v>
      </c>
      <c r="L238" s="47"/>
      <c r="M238" s="38" t="s">
        <v>714</v>
      </c>
      <c r="N238" s="40" t="s">
        <v>1022</v>
      </c>
      <c r="O238" s="39"/>
      <c r="P238" s="40"/>
    </row>
    <row r="239" spans="1:16" ht="43.5">
      <c r="A239" s="53" t="s">
        <v>272</v>
      </c>
      <c r="B239" s="158"/>
      <c r="C239" s="159"/>
      <c r="D239" s="216"/>
      <c r="E239" s="212"/>
      <c r="F239" s="139" t="s">
        <v>348</v>
      </c>
      <c r="G239" s="140" t="s">
        <v>349</v>
      </c>
      <c r="H239" s="141" t="s">
        <v>392</v>
      </c>
      <c r="I239" s="141" t="s">
        <v>393</v>
      </c>
      <c r="J239" s="35" t="s">
        <v>1019</v>
      </c>
      <c r="K239" s="35" t="s">
        <v>1020</v>
      </c>
      <c r="L239" s="47"/>
      <c r="M239" s="38" t="s">
        <v>723</v>
      </c>
      <c r="N239" s="40" t="s">
        <v>1023</v>
      </c>
      <c r="O239" s="39"/>
      <c r="P239" s="40"/>
    </row>
    <row r="240" spans="1:16" ht="43.5">
      <c r="A240" s="53" t="s">
        <v>272</v>
      </c>
      <c r="B240" s="158"/>
      <c r="C240" s="159"/>
      <c r="D240" s="217"/>
      <c r="E240" s="219"/>
      <c r="F240" s="139" t="s">
        <v>348</v>
      </c>
      <c r="G240" s="140" t="s">
        <v>349</v>
      </c>
      <c r="H240" s="141" t="s">
        <v>392</v>
      </c>
      <c r="I240" s="141" t="s">
        <v>393</v>
      </c>
      <c r="J240" s="35" t="s">
        <v>1019</v>
      </c>
      <c r="K240" s="35" t="s">
        <v>1020</v>
      </c>
      <c r="L240" s="47"/>
      <c r="M240" s="38" t="s">
        <v>723</v>
      </c>
      <c r="N240" s="40" t="s">
        <v>1024</v>
      </c>
      <c r="O240" s="39"/>
      <c r="P240" s="40"/>
    </row>
    <row r="241" spans="1:16" ht="43.5">
      <c r="A241" s="58" t="s">
        <v>350</v>
      </c>
      <c r="B241" s="160">
        <v>15</v>
      </c>
      <c r="C241" s="220" t="s">
        <v>351</v>
      </c>
      <c r="D241" s="196" t="s">
        <v>500</v>
      </c>
      <c r="E241" s="204" t="s">
        <v>352</v>
      </c>
      <c r="F241" s="139" t="s">
        <v>353</v>
      </c>
      <c r="G241" s="140" t="s">
        <v>355</v>
      </c>
      <c r="H241" s="141" t="s">
        <v>392</v>
      </c>
      <c r="I241" s="141" t="s">
        <v>395</v>
      </c>
      <c r="J241" s="35" t="s">
        <v>1025</v>
      </c>
      <c r="K241" s="35"/>
      <c r="L241" s="47"/>
      <c r="M241" s="38" t="s">
        <v>723</v>
      </c>
      <c r="N241" s="40" t="s">
        <v>1026</v>
      </c>
      <c r="O241" s="39"/>
      <c r="P241" s="42"/>
    </row>
    <row r="242" spans="1:16" ht="29">
      <c r="A242" s="58" t="s">
        <v>350</v>
      </c>
      <c r="B242" s="160"/>
      <c r="C242" s="220"/>
      <c r="D242" s="197"/>
      <c r="E242" s="205"/>
      <c r="F242" s="139" t="s">
        <v>354</v>
      </c>
      <c r="G242" s="140" t="s">
        <v>357</v>
      </c>
      <c r="H242" s="141" t="s">
        <v>392</v>
      </c>
      <c r="I242" s="141" t="s">
        <v>395</v>
      </c>
      <c r="J242" s="35"/>
      <c r="K242" s="35"/>
      <c r="L242" s="47"/>
      <c r="M242" s="38"/>
      <c r="N242" s="33"/>
      <c r="O242" s="39"/>
      <c r="P242" s="33"/>
    </row>
    <row r="243" spans="1:16" ht="43.5">
      <c r="A243" s="58"/>
      <c r="B243" s="161"/>
      <c r="C243" s="221"/>
      <c r="D243" s="197"/>
      <c r="E243" s="205"/>
      <c r="F243" s="139" t="s">
        <v>356</v>
      </c>
      <c r="G243" s="140" t="s">
        <v>359</v>
      </c>
      <c r="H243" s="141" t="s">
        <v>392</v>
      </c>
      <c r="I243" s="141" t="s">
        <v>393</v>
      </c>
      <c r="J243" s="35" t="str">
        <f t="shared" ref="J243:J244" si="10">G243</f>
        <v>Adaptar i desplegar el model de governança dels espais naturals protegits</v>
      </c>
      <c r="K243" s="35" t="s">
        <v>1027</v>
      </c>
      <c r="L243" s="47"/>
      <c r="M243" s="38" t="s">
        <v>723</v>
      </c>
      <c r="N243" s="33" t="s">
        <v>1028</v>
      </c>
      <c r="O243" s="39"/>
      <c r="P243" s="33" t="s">
        <v>501</v>
      </c>
    </row>
    <row r="244" spans="1:16" ht="29">
      <c r="A244" s="58" t="s">
        <v>350</v>
      </c>
      <c r="B244" s="161"/>
      <c r="C244" s="222"/>
      <c r="D244" s="202"/>
      <c r="E244" s="223"/>
      <c r="F244" s="139" t="s">
        <v>358</v>
      </c>
      <c r="G244" s="140" t="s">
        <v>1029</v>
      </c>
      <c r="H244" s="141" t="s">
        <v>392</v>
      </c>
      <c r="I244" s="141" t="s">
        <v>395</v>
      </c>
      <c r="J244" s="35" t="str">
        <f t="shared" si="10"/>
        <v>Mantenir i millorar la governança transfronterera</v>
      </c>
      <c r="K244" s="35" t="s">
        <v>1030</v>
      </c>
      <c r="L244" s="47"/>
      <c r="M244" s="38" t="s">
        <v>723</v>
      </c>
      <c r="N244" s="33" t="s">
        <v>1031</v>
      </c>
      <c r="O244" s="39"/>
      <c r="P244" s="33" t="s">
        <v>501</v>
      </c>
    </row>
    <row r="245" spans="1:16" ht="72.5">
      <c r="A245" s="58" t="s">
        <v>350</v>
      </c>
      <c r="B245" s="59">
        <v>16</v>
      </c>
      <c r="C245" s="194" t="s">
        <v>360</v>
      </c>
      <c r="D245" s="196" t="s">
        <v>502</v>
      </c>
      <c r="E245" s="199" t="s">
        <v>361</v>
      </c>
      <c r="F245" s="139" t="s">
        <v>362</v>
      </c>
      <c r="G245" s="140" t="s">
        <v>1032</v>
      </c>
      <c r="H245" s="141" t="s">
        <v>392</v>
      </c>
      <c r="I245" s="141" t="s">
        <v>393</v>
      </c>
      <c r="J245" s="35" t="str">
        <f t="shared" si="9"/>
        <v xml:space="preserve">Gestionar i millorar administrativament els pressupostos anuals d'entrades i despeses </v>
      </c>
      <c r="K245" s="35"/>
      <c r="L245" s="47"/>
      <c r="M245" s="38" t="s">
        <v>706</v>
      </c>
      <c r="N245" s="33" t="s">
        <v>1033</v>
      </c>
      <c r="O245" s="39"/>
      <c r="P245" s="42" t="s">
        <v>503</v>
      </c>
    </row>
    <row r="246" spans="1:16" ht="29">
      <c r="A246" s="58"/>
      <c r="B246" s="160"/>
      <c r="C246" s="195"/>
      <c r="D246" s="197"/>
      <c r="E246" s="193"/>
      <c r="F246" s="139" t="s">
        <v>362</v>
      </c>
      <c r="G246" s="140" t="s">
        <v>1032</v>
      </c>
      <c r="H246" s="141" t="s">
        <v>392</v>
      </c>
      <c r="I246" s="141" t="s">
        <v>393</v>
      </c>
      <c r="J246" s="35" t="str">
        <f t="shared" si="9"/>
        <v xml:space="preserve">Gestionar i millorar administrativament els pressupostos anuals d'entrades i despeses </v>
      </c>
      <c r="K246" s="35"/>
      <c r="L246" s="47"/>
      <c r="M246" s="38" t="s">
        <v>706</v>
      </c>
      <c r="N246" s="33" t="s">
        <v>1034</v>
      </c>
      <c r="O246" s="39"/>
      <c r="P246" s="42"/>
    </row>
    <row r="247" spans="1:16" ht="43.5">
      <c r="A247" s="58"/>
      <c r="B247" s="160"/>
      <c r="C247" s="195"/>
      <c r="D247" s="197"/>
      <c r="E247" s="193"/>
      <c r="F247" s="139" t="s">
        <v>362</v>
      </c>
      <c r="G247" s="140" t="s">
        <v>1032</v>
      </c>
      <c r="H247" s="141" t="s">
        <v>392</v>
      </c>
      <c r="I247" s="141" t="s">
        <v>393</v>
      </c>
      <c r="J247" s="35" t="str">
        <f t="shared" si="9"/>
        <v xml:space="preserve">Gestionar i millorar administrativament els pressupostos anuals d'entrades i despeses </v>
      </c>
      <c r="K247" s="35"/>
      <c r="L247" s="47"/>
      <c r="M247" s="38" t="s">
        <v>706</v>
      </c>
      <c r="N247" s="33" t="s">
        <v>1035</v>
      </c>
      <c r="O247" s="39"/>
      <c r="P247" s="42"/>
    </row>
    <row r="248" spans="1:16" ht="29">
      <c r="A248" s="58"/>
      <c r="B248" s="160"/>
      <c r="C248" s="195"/>
      <c r="D248" s="197"/>
      <c r="E248" s="193"/>
      <c r="F248" s="139" t="s">
        <v>1036</v>
      </c>
      <c r="G248" s="140" t="s">
        <v>1037</v>
      </c>
      <c r="H248" s="34" t="s">
        <v>394</v>
      </c>
      <c r="I248" s="34"/>
      <c r="J248" s="35" t="s">
        <v>1038</v>
      </c>
      <c r="K248" s="36" t="s">
        <v>1039</v>
      </c>
      <c r="L248" s="41"/>
      <c r="M248" s="38" t="s">
        <v>706</v>
      </c>
      <c r="N248" s="40" t="s">
        <v>1040</v>
      </c>
      <c r="O248" s="38"/>
      <c r="P248" s="162"/>
    </row>
    <row r="249" spans="1:16" ht="29">
      <c r="A249" s="58"/>
      <c r="B249" s="160"/>
      <c r="C249" s="195"/>
      <c r="D249" s="198"/>
      <c r="E249" s="200"/>
      <c r="F249" s="139" t="s">
        <v>1036</v>
      </c>
      <c r="G249" s="140" t="s">
        <v>1037</v>
      </c>
      <c r="H249" s="34" t="s">
        <v>394</v>
      </c>
      <c r="I249" s="34"/>
      <c r="J249" s="35" t="str">
        <f>G249</f>
        <v xml:space="preserve">Revisar la gestió econòmica del RAE </v>
      </c>
      <c r="K249" s="36" t="s">
        <v>1039</v>
      </c>
      <c r="L249" s="41"/>
      <c r="M249" s="38" t="s">
        <v>706</v>
      </c>
      <c r="N249" s="40" t="s">
        <v>1041</v>
      </c>
      <c r="O249" s="38"/>
      <c r="P249" s="162"/>
    </row>
    <row r="250" spans="1:16" ht="58">
      <c r="A250" s="58" t="s">
        <v>350</v>
      </c>
      <c r="B250" s="160"/>
      <c r="C250" s="195"/>
      <c r="D250" s="201" t="s">
        <v>504</v>
      </c>
      <c r="E250" s="192" t="s">
        <v>363</v>
      </c>
      <c r="F250" s="139" t="s">
        <v>364</v>
      </c>
      <c r="G250" s="140" t="s">
        <v>1042</v>
      </c>
      <c r="H250" s="141" t="s">
        <v>392</v>
      </c>
      <c r="I250" s="141" t="s">
        <v>393</v>
      </c>
      <c r="J250" s="35" t="str">
        <f t="shared" si="9"/>
        <v>Planificar, detectar les necessitats de contractació del l'ENP per a l'optimització dels contractes a nivell de Xarxa i gestionar els contractes</v>
      </c>
      <c r="K250" s="35" t="s">
        <v>1043</v>
      </c>
      <c r="L250" s="47"/>
      <c r="M250" s="38" t="s">
        <v>714</v>
      </c>
      <c r="N250" s="40" t="s">
        <v>1044</v>
      </c>
      <c r="O250" s="39"/>
      <c r="P250" s="40" t="s">
        <v>505</v>
      </c>
    </row>
    <row r="251" spans="1:16" ht="29">
      <c r="A251" s="58"/>
      <c r="B251" s="160"/>
      <c r="C251" s="195"/>
      <c r="D251" s="197"/>
      <c r="E251" s="193"/>
      <c r="F251" s="139" t="s">
        <v>365</v>
      </c>
      <c r="G251" s="140"/>
      <c r="H251" s="34" t="s">
        <v>394</v>
      </c>
      <c r="I251" s="34" t="s">
        <v>393</v>
      </c>
      <c r="J251" s="35" t="s">
        <v>1045</v>
      </c>
      <c r="K251" s="36" t="s">
        <v>1039</v>
      </c>
      <c r="L251" s="41"/>
      <c r="M251" s="38" t="s">
        <v>706</v>
      </c>
      <c r="N251" s="40" t="s">
        <v>1046</v>
      </c>
      <c r="O251" s="38"/>
      <c r="P251" s="162"/>
    </row>
    <row r="252" spans="1:16" ht="29">
      <c r="A252" s="58"/>
      <c r="B252" s="160"/>
      <c r="C252" s="195"/>
      <c r="D252" s="197"/>
      <c r="E252" s="193"/>
      <c r="F252" s="139" t="s">
        <v>366</v>
      </c>
      <c r="G252" s="140"/>
      <c r="H252" s="34" t="s">
        <v>394</v>
      </c>
      <c r="I252" s="34" t="s">
        <v>393</v>
      </c>
      <c r="J252" s="35" t="s">
        <v>1047</v>
      </c>
      <c r="K252" s="36" t="s">
        <v>1039</v>
      </c>
      <c r="L252" s="41"/>
      <c r="M252" s="38" t="s">
        <v>706</v>
      </c>
      <c r="N252" s="40" t="s">
        <v>1048</v>
      </c>
      <c r="O252" s="38"/>
      <c r="P252" s="162"/>
    </row>
    <row r="253" spans="1:16" ht="29">
      <c r="A253" s="58" t="s">
        <v>350</v>
      </c>
      <c r="B253" s="160"/>
      <c r="C253" s="195"/>
      <c r="D253" s="197"/>
      <c r="E253" s="193"/>
      <c r="F253" s="139" t="s">
        <v>1049</v>
      </c>
      <c r="G253" s="163" t="s">
        <v>1050</v>
      </c>
      <c r="H253" s="141" t="s">
        <v>392</v>
      </c>
      <c r="I253" s="141" t="s">
        <v>393</v>
      </c>
      <c r="J253" s="35" t="s">
        <v>1051</v>
      </c>
      <c r="K253" s="35" t="s">
        <v>1052</v>
      </c>
      <c r="L253" s="35"/>
      <c r="M253" s="38" t="s">
        <v>723</v>
      </c>
      <c r="N253" s="40" t="s">
        <v>1053</v>
      </c>
      <c r="O253" s="39"/>
      <c r="P253" s="40"/>
    </row>
    <row r="254" spans="1:16" ht="43.5">
      <c r="A254" s="58"/>
      <c r="B254" s="160"/>
      <c r="C254" s="195"/>
      <c r="D254" s="197"/>
      <c r="E254" s="193"/>
      <c r="F254" s="139" t="s">
        <v>1054</v>
      </c>
      <c r="G254" s="163" t="s">
        <v>367</v>
      </c>
      <c r="H254" s="141" t="s">
        <v>392</v>
      </c>
      <c r="I254" s="141" t="s">
        <v>393</v>
      </c>
      <c r="J254" s="35"/>
      <c r="K254" s="35"/>
      <c r="L254" s="35"/>
      <c r="M254" s="38"/>
      <c r="N254" s="40"/>
      <c r="O254" s="39"/>
      <c r="P254" s="40"/>
    </row>
    <row r="255" spans="1:16" ht="29">
      <c r="A255" s="58"/>
      <c r="B255" s="160"/>
      <c r="C255" s="195"/>
      <c r="D255" s="198"/>
      <c r="E255" s="200"/>
      <c r="F255" s="139" t="s">
        <v>1055</v>
      </c>
      <c r="G255" s="163"/>
      <c r="H255" s="34" t="s">
        <v>394</v>
      </c>
      <c r="I255" s="34" t="s">
        <v>393</v>
      </c>
      <c r="J255" s="35" t="s">
        <v>1056</v>
      </c>
      <c r="K255" s="36" t="s">
        <v>1039</v>
      </c>
      <c r="L255" s="41"/>
      <c r="M255" s="38" t="s">
        <v>723</v>
      </c>
      <c r="N255" s="40" t="s">
        <v>1057</v>
      </c>
      <c r="O255" s="38"/>
      <c r="P255" s="162"/>
    </row>
    <row r="256" spans="1:16" ht="29">
      <c r="A256" s="58" t="s">
        <v>350</v>
      </c>
      <c r="B256" s="160"/>
      <c r="C256" s="195"/>
      <c r="D256" s="201" t="s">
        <v>506</v>
      </c>
      <c r="E256" s="192" t="s">
        <v>368</v>
      </c>
      <c r="F256" s="139" t="s">
        <v>369</v>
      </c>
      <c r="G256" s="163" t="s">
        <v>370</v>
      </c>
      <c r="H256" s="141" t="s">
        <v>392</v>
      </c>
      <c r="I256" s="141" t="s">
        <v>393</v>
      </c>
      <c r="J256" s="35" t="s">
        <v>1058</v>
      </c>
      <c r="K256" s="35" t="s">
        <v>1059</v>
      </c>
      <c r="L256" s="35"/>
      <c r="M256" s="38" t="s">
        <v>714</v>
      </c>
      <c r="N256" s="40" t="s">
        <v>1060</v>
      </c>
      <c r="O256" s="39"/>
      <c r="P256" s="40"/>
    </row>
    <row r="257" spans="1:16" ht="29">
      <c r="A257" s="58"/>
      <c r="B257" s="160"/>
      <c r="C257" s="195"/>
      <c r="D257" s="197"/>
      <c r="E257" s="193"/>
      <c r="F257" s="139" t="s">
        <v>369</v>
      </c>
      <c r="G257" s="163" t="s">
        <v>370</v>
      </c>
      <c r="H257" s="141" t="s">
        <v>392</v>
      </c>
      <c r="I257" s="141" t="s">
        <v>393</v>
      </c>
      <c r="J257" s="35" t="s">
        <v>1058</v>
      </c>
      <c r="K257" s="35" t="s">
        <v>1059</v>
      </c>
      <c r="L257" s="35"/>
      <c r="M257" s="38" t="s">
        <v>714</v>
      </c>
      <c r="N257" s="40" t="s">
        <v>1061</v>
      </c>
      <c r="O257" s="39"/>
      <c r="P257" s="40"/>
    </row>
    <row r="258" spans="1:16" ht="43.5">
      <c r="A258" s="58" t="s">
        <v>350</v>
      </c>
      <c r="B258" s="160"/>
      <c r="C258" s="195"/>
      <c r="D258" s="197"/>
      <c r="E258" s="193"/>
      <c r="F258" s="139" t="s">
        <v>371</v>
      </c>
      <c r="G258" s="140" t="s">
        <v>372</v>
      </c>
      <c r="H258" s="141" t="s">
        <v>392</v>
      </c>
      <c r="I258" s="141" t="s">
        <v>393</v>
      </c>
      <c r="J258" s="35" t="str">
        <f t="shared" si="9"/>
        <v>Adequar i actualitzar els procediments i tramitacions realitzats des de l'ENP als nous processos i eines conjuntes proposades des de Serveis Centrals</v>
      </c>
      <c r="K258" s="35"/>
      <c r="L258" s="47"/>
      <c r="M258" s="38" t="s">
        <v>723</v>
      </c>
      <c r="N258" s="40" t="s">
        <v>1062</v>
      </c>
      <c r="O258" s="39"/>
      <c r="P258" s="42" t="s">
        <v>507</v>
      </c>
    </row>
    <row r="259" spans="1:16" ht="43.5">
      <c r="A259" s="58" t="s">
        <v>350</v>
      </c>
      <c r="B259" s="160"/>
      <c r="C259" s="195"/>
      <c r="D259" s="197"/>
      <c r="E259" s="193"/>
      <c r="F259" s="139" t="s">
        <v>373</v>
      </c>
      <c r="G259" s="163" t="s">
        <v>374</v>
      </c>
      <c r="H259" s="141" t="s">
        <v>392</v>
      </c>
      <c r="I259" s="141" t="s">
        <v>393</v>
      </c>
      <c r="J259" s="35" t="str">
        <f t="shared" si="9"/>
        <v>Augmentar el coneixement de l'equip de treball en matèria de procediment administratiu</v>
      </c>
      <c r="K259" s="35"/>
      <c r="L259" s="47"/>
      <c r="M259" s="38" t="s">
        <v>723</v>
      </c>
      <c r="N259" s="40" t="s">
        <v>1063</v>
      </c>
      <c r="O259" s="39"/>
      <c r="P259" s="40"/>
    </row>
    <row r="260" spans="1:16" ht="72.5">
      <c r="A260" s="58"/>
      <c r="B260" s="160"/>
      <c r="C260" s="195"/>
      <c r="D260" s="197"/>
      <c r="E260" s="193"/>
      <c r="F260" s="139" t="s">
        <v>373</v>
      </c>
      <c r="G260" s="163" t="s">
        <v>374</v>
      </c>
      <c r="H260" s="141" t="s">
        <v>392</v>
      </c>
      <c r="I260" s="141" t="s">
        <v>393</v>
      </c>
      <c r="J260" s="35" t="str">
        <f t="shared" si="9"/>
        <v>Augmentar el coneixement de l'equip de treball en matèria de procediment administratiu</v>
      </c>
      <c r="K260" s="35"/>
      <c r="L260" s="47"/>
      <c r="M260" s="38" t="s">
        <v>723</v>
      </c>
      <c r="N260" s="40" t="s">
        <v>1064</v>
      </c>
      <c r="O260" s="39"/>
      <c r="P260" s="40"/>
    </row>
    <row r="261" spans="1:16">
      <c r="A261" s="58" t="s">
        <v>350</v>
      </c>
      <c r="B261" s="160"/>
      <c r="C261" s="195"/>
      <c r="D261" s="197"/>
      <c r="E261" s="193"/>
      <c r="F261" s="139" t="s">
        <v>375</v>
      </c>
      <c r="G261" s="140" t="s">
        <v>376</v>
      </c>
      <c r="H261" s="141" t="s">
        <v>394</v>
      </c>
      <c r="I261" s="141" t="s">
        <v>393</v>
      </c>
      <c r="J261" s="35" t="str">
        <f t="shared" si="9"/>
        <v>Garantir la transparència administrativa</v>
      </c>
      <c r="K261" s="35"/>
      <c r="L261" s="47"/>
      <c r="M261" s="38" t="s">
        <v>723</v>
      </c>
      <c r="N261" s="40" t="s">
        <v>1065</v>
      </c>
      <c r="O261" s="39"/>
      <c r="P261" s="40"/>
    </row>
    <row r="262" spans="1:16" ht="29">
      <c r="A262" s="58" t="s">
        <v>350</v>
      </c>
      <c r="B262" s="160"/>
      <c r="C262" s="195"/>
      <c r="D262" s="197"/>
      <c r="E262" s="193"/>
      <c r="F262" s="139" t="s">
        <v>377</v>
      </c>
      <c r="G262" s="140" t="s">
        <v>1066</v>
      </c>
      <c r="H262" s="141" t="s">
        <v>392</v>
      </c>
      <c r="I262" s="141" t="s">
        <v>393</v>
      </c>
      <c r="J262" s="35" t="str">
        <f t="shared" si="9"/>
        <v>Millorar i mantenir el material, infraestructures i equipaments de gestió de l'espai</v>
      </c>
      <c r="K262" s="35"/>
      <c r="L262" s="47"/>
      <c r="M262" s="38" t="s">
        <v>706</v>
      </c>
      <c r="N262" s="33" t="s">
        <v>1067</v>
      </c>
      <c r="O262" s="39"/>
      <c r="P262" s="33"/>
    </row>
    <row r="263" spans="1:16" ht="43.5">
      <c r="A263" s="58"/>
      <c r="B263" s="160"/>
      <c r="C263" s="195"/>
      <c r="D263" s="202"/>
      <c r="E263" s="203"/>
      <c r="F263" s="139" t="s">
        <v>1068</v>
      </c>
      <c r="G263" s="140"/>
      <c r="H263" s="34" t="s">
        <v>394</v>
      </c>
      <c r="I263" s="141"/>
      <c r="J263" s="35" t="s">
        <v>1069</v>
      </c>
      <c r="K263" s="36" t="s">
        <v>1039</v>
      </c>
      <c r="L263" s="41"/>
      <c r="M263" s="38" t="s">
        <v>706</v>
      </c>
      <c r="N263" s="40" t="s">
        <v>1070</v>
      </c>
      <c r="O263" s="38"/>
      <c r="P263" s="162"/>
    </row>
    <row r="264" spans="1:16" ht="58">
      <c r="A264" s="58" t="s">
        <v>350</v>
      </c>
      <c r="B264" s="160"/>
      <c r="C264" s="195"/>
      <c r="D264" s="196" t="s">
        <v>508</v>
      </c>
      <c r="E264" s="204" t="s">
        <v>378</v>
      </c>
      <c r="F264" s="139" t="s">
        <v>379</v>
      </c>
      <c r="G264" s="140" t="s">
        <v>380</v>
      </c>
      <c r="H264" s="141" t="s">
        <v>392</v>
      </c>
      <c r="I264" s="141" t="s">
        <v>393</v>
      </c>
      <c r="J264" s="35" t="str">
        <f t="shared" si="9"/>
        <v>Revisar l’estat dels béns patrimonials i la situació administrativa-legal dels equipaments del parc</v>
      </c>
      <c r="K264" s="35"/>
      <c r="L264" s="47"/>
      <c r="M264" s="38" t="s">
        <v>706</v>
      </c>
      <c r="N264" s="33" t="s">
        <v>1071</v>
      </c>
      <c r="O264" s="39"/>
      <c r="P264" s="42" t="s">
        <v>509</v>
      </c>
    </row>
    <row r="265" spans="1:16" ht="72.5">
      <c r="A265" s="58" t="s">
        <v>350</v>
      </c>
      <c r="B265" s="160"/>
      <c r="C265" s="195"/>
      <c r="D265" s="197"/>
      <c r="E265" s="205"/>
      <c r="F265" s="139" t="s">
        <v>381</v>
      </c>
      <c r="G265" s="140" t="s">
        <v>382</v>
      </c>
      <c r="H265" s="141" t="s">
        <v>392</v>
      </c>
      <c r="I265" s="141" t="s">
        <v>395</v>
      </c>
      <c r="J265" s="35" t="str">
        <f t="shared" si="9"/>
        <v>Tenir cobertes les pèrdues o danys materials del patrimoni de la Direcció General que hi ha a l'àmbit territorial del Parc, com a conseqüència de la materialització de qualsevol dels riscs emparats en el plec de prescripcions tècniques de la pòlissa.</v>
      </c>
      <c r="K265" s="35"/>
      <c r="L265" s="47"/>
      <c r="M265" s="38" t="s">
        <v>706</v>
      </c>
      <c r="N265" s="33" t="s">
        <v>1072</v>
      </c>
      <c r="O265" s="39"/>
      <c r="P265" s="42" t="s">
        <v>510</v>
      </c>
    </row>
    <row r="266" spans="1:16" ht="29">
      <c r="A266" s="58" t="s">
        <v>350</v>
      </c>
      <c r="B266" s="160"/>
      <c r="C266" s="195"/>
      <c r="D266" s="60" t="s">
        <v>511</v>
      </c>
      <c r="E266" s="61" t="s">
        <v>383</v>
      </c>
      <c r="F266" s="139" t="s">
        <v>384</v>
      </c>
      <c r="G266" s="140" t="s">
        <v>1073</v>
      </c>
      <c r="H266" s="141" t="s">
        <v>392</v>
      </c>
      <c r="I266" s="141" t="s">
        <v>393</v>
      </c>
      <c r="J266" s="35" t="str">
        <f t="shared" si="9"/>
        <v>Millorar l'accessibilitat i de la gestió documental i digital de l'ENP</v>
      </c>
      <c r="K266" s="35"/>
      <c r="L266" s="37"/>
      <c r="M266" s="38" t="s">
        <v>723</v>
      </c>
      <c r="N266" s="40" t="s">
        <v>1074</v>
      </c>
      <c r="O266" s="39"/>
      <c r="P266" s="40" t="s">
        <v>512</v>
      </c>
    </row>
    <row r="267" spans="1:16" ht="43.5">
      <c r="A267" s="58" t="s">
        <v>350</v>
      </c>
      <c r="B267" s="160"/>
      <c r="C267" s="195"/>
      <c r="D267" s="206" t="s">
        <v>513</v>
      </c>
      <c r="E267" s="192" t="s">
        <v>385</v>
      </c>
      <c r="F267" s="139" t="s">
        <v>386</v>
      </c>
      <c r="G267" s="140" t="s">
        <v>387</v>
      </c>
      <c r="H267" s="141" t="s">
        <v>394</v>
      </c>
      <c r="I267" s="141" t="s">
        <v>393</v>
      </c>
      <c r="J267" s="35" t="s">
        <v>1075</v>
      </c>
      <c r="K267" s="35" t="s">
        <v>1076</v>
      </c>
      <c r="L267" s="37"/>
      <c r="M267" s="38" t="s">
        <v>706</v>
      </c>
      <c r="N267" s="40" t="s">
        <v>1077</v>
      </c>
      <c r="O267" s="39"/>
      <c r="P267" s="40"/>
    </row>
    <row r="268" spans="1:16">
      <c r="A268" s="58"/>
      <c r="B268" s="160"/>
      <c r="C268" s="195"/>
      <c r="D268" s="207"/>
      <c r="E268" s="193"/>
      <c r="F268" s="139" t="s">
        <v>386</v>
      </c>
      <c r="G268" s="140" t="s">
        <v>387</v>
      </c>
      <c r="H268" s="141" t="s">
        <v>394</v>
      </c>
      <c r="I268" s="141" t="s">
        <v>393</v>
      </c>
      <c r="J268" s="35" t="s">
        <v>1075</v>
      </c>
      <c r="K268" s="35" t="s">
        <v>1076</v>
      </c>
      <c r="L268" s="37"/>
      <c r="M268" s="38" t="s">
        <v>706</v>
      </c>
      <c r="N268" s="40" t="s">
        <v>1078</v>
      </c>
      <c r="O268" s="39"/>
      <c r="P268" s="40"/>
    </row>
    <row r="269" spans="1:16" ht="29">
      <c r="A269" s="58"/>
      <c r="B269" s="160"/>
      <c r="C269" s="195"/>
      <c r="D269" s="207"/>
      <c r="E269" s="193"/>
      <c r="F269" s="139" t="s">
        <v>386</v>
      </c>
      <c r="G269" s="140" t="s">
        <v>387</v>
      </c>
      <c r="H269" s="141" t="s">
        <v>394</v>
      </c>
      <c r="I269" s="141" t="s">
        <v>393</v>
      </c>
      <c r="J269" s="35" t="s">
        <v>1075</v>
      </c>
      <c r="K269" s="35" t="s">
        <v>1076</v>
      </c>
      <c r="L269" s="37"/>
      <c r="M269" s="38" t="s">
        <v>706</v>
      </c>
      <c r="N269" s="40" t="s">
        <v>1079</v>
      </c>
      <c r="O269" s="39"/>
      <c r="P269" s="40"/>
    </row>
    <row r="270" spans="1:16" ht="58">
      <c r="A270" s="58" t="s">
        <v>350</v>
      </c>
      <c r="B270" s="160"/>
      <c r="C270" s="195"/>
      <c r="D270" s="207"/>
      <c r="E270" s="193"/>
      <c r="F270" s="139" t="s">
        <v>388</v>
      </c>
      <c r="G270" s="140" t="s">
        <v>1080</v>
      </c>
      <c r="H270" s="141" t="s">
        <v>394</v>
      </c>
      <c r="I270" s="141" t="s">
        <v>393</v>
      </c>
      <c r="J270" s="35" t="s">
        <v>1081</v>
      </c>
      <c r="K270" s="35" t="s">
        <v>1076</v>
      </c>
      <c r="L270" s="37"/>
      <c r="M270" s="38" t="s">
        <v>706</v>
      </c>
      <c r="N270" s="40" t="s">
        <v>1082</v>
      </c>
      <c r="O270" s="39"/>
      <c r="P270" s="40"/>
    </row>
    <row r="271" spans="1:16" ht="29">
      <c r="A271" s="58"/>
      <c r="B271" s="160"/>
      <c r="C271" s="195"/>
      <c r="D271" s="207"/>
      <c r="E271" s="193"/>
      <c r="F271" s="139" t="s">
        <v>1083</v>
      </c>
      <c r="G271" s="140"/>
      <c r="H271" s="34" t="s">
        <v>394</v>
      </c>
      <c r="I271" s="34"/>
      <c r="J271" s="35" t="s">
        <v>1084</v>
      </c>
      <c r="K271" s="36" t="s">
        <v>1039</v>
      </c>
      <c r="L271" s="37"/>
      <c r="M271" s="38" t="s">
        <v>706</v>
      </c>
      <c r="N271" s="40" t="s">
        <v>1085</v>
      </c>
      <c r="O271" s="39"/>
      <c r="P271" s="40"/>
    </row>
    <row r="272" spans="1:16">
      <c r="A272" s="58"/>
      <c r="B272" s="160"/>
      <c r="C272" s="195"/>
      <c r="D272" s="207"/>
      <c r="E272" s="193"/>
      <c r="F272" s="139" t="s">
        <v>1083</v>
      </c>
      <c r="G272" s="140"/>
      <c r="H272" s="34" t="s">
        <v>394</v>
      </c>
      <c r="I272" s="34"/>
      <c r="J272" s="35" t="s">
        <v>1084</v>
      </c>
      <c r="K272" s="36" t="s">
        <v>1039</v>
      </c>
      <c r="L272" s="37"/>
      <c r="M272" s="38" t="s">
        <v>706</v>
      </c>
      <c r="N272" s="40" t="s">
        <v>1086</v>
      </c>
      <c r="O272" s="39"/>
      <c r="P272" s="40"/>
    </row>
    <row r="273" spans="1:16">
      <c r="A273" s="58"/>
      <c r="B273" s="160"/>
      <c r="C273" s="195"/>
      <c r="D273" s="207"/>
      <c r="E273" s="193"/>
      <c r="F273" s="139" t="s">
        <v>1083</v>
      </c>
      <c r="G273" s="33"/>
      <c r="H273" s="34" t="s">
        <v>394</v>
      </c>
      <c r="I273" s="34"/>
      <c r="J273" s="35" t="s">
        <v>1084</v>
      </c>
      <c r="K273" s="36" t="s">
        <v>1039</v>
      </c>
      <c r="L273" s="37"/>
      <c r="M273" s="38" t="s">
        <v>706</v>
      </c>
      <c r="N273" s="40" t="s">
        <v>1087</v>
      </c>
      <c r="O273" s="39"/>
      <c r="P273" s="40"/>
    </row>
    <row r="274" spans="1:16" ht="29">
      <c r="A274" s="58"/>
      <c r="B274" s="160"/>
      <c r="C274" s="195"/>
      <c r="D274" s="207"/>
      <c r="E274" s="193"/>
      <c r="F274" s="139" t="s">
        <v>1088</v>
      </c>
      <c r="G274" s="140"/>
      <c r="H274" s="34" t="s">
        <v>394</v>
      </c>
      <c r="I274" s="34"/>
      <c r="J274" s="35" t="s">
        <v>1089</v>
      </c>
      <c r="K274" s="36" t="s">
        <v>1039</v>
      </c>
      <c r="L274" s="41"/>
      <c r="M274" s="38" t="s">
        <v>706</v>
      </c>
      <c r="N274" s="40" t="s">
        <v>1090</v>
      </c>
      <c r="O274" s="38"/>
      <c r="P274" s="162"/>
    </row>
    <row r="275" spans="1:16" ht="29">
      <c r="A275" s="58"/>
      <c r="B275" s="160"/>
      <c r="C275" s="195"/>
      <c r="D275" s="207"/>
      <c r="E275" s="193"/>
      <c r="F275" s="139" t="s">
        <v>1091</v>
      </c>
      <c r="G275" s="140" t="s">
        <v>1092</v>
      </c>
      <c r="H275" s="141" t="s">
        <v>392</v>
      </c>
      <c r="I275" s="141" t="s">
        <v>395</v>
      </c>
      <c r="J275" s="35"/>
      <c r="K275" s="36"/>
      <c r="L275" s="37"/>
      <c r="M275" s="38"/>
      <c r="N275" s="40"/>
      <c r="O275" s="39"/>
      <c r="P275" s="40"/>
    </row>
  </sheetData>
  <autoFilter ref="A3:P184" xr:uid="{00000000-0009-0000-0000-000002000000}"/>
  <dataConsolidate/>
  <mergeCells count="142">
    <mergeCell ref="B4:B34"/>
    <mergeCell ref="C4:C34"/>
    <mergeCell ref="D4:D12"/>
    <mergeCell ref="E4:E12"/>
    <mergeCell ref="D13:D21"/>
    <mergeCell ref="E13:E21"/>
    <mergeCell ref="D22:D29"/>
    <mergeCell ref="E22:E29"/>
    <mergeCell ref="D30:D34"/>
    <mergeCell ref="E30:E34"/>
    <mergeCell ref="L32:L33"/>
    <mergeCell ref="M32:M33"/>
    <mergeCell ref="N32:N33"/>
    <mergeCell ref="F32:F33"/>
    <mergeCell ref="G32:G33"/>
    <mergeCell ref="H32:H33"/>
    <mergeCell ref="I32:I33"/>
    <mergeCell ref="J32:J33"/>
    <mergeCell ref="K32:K33"/>
    <mergeCell ref="E43:E46"/>
    <mergeCell ref="B47:B60"/>
    <mergeCell ref="C47:C60"/>
    <mergeCell ref="D47:D49"/>
    <mergeCell ref="E47:E49"/>
    <mergeCell ref="D50:D53"/>
    <mergeCell ref="E50:E53"/>
    <mergeCell ref="D54:D58"/>
    <mergeCell ref="E54:E58"/>
    <mergeCell ref="D59:D60"/>
    <mergeCell ref="B35:B46"/>
    <mergeCell ref="C35:C46"/>
    <mergeCell ref="D35:D42"/>
    <mergeCell ref="E35:E42"/>
    <mergeCell ref="D43:D46"/>
    <mergeCell ref="F75:F76"/>
    <mergeCell ref="G75:G76"/>
    <mergeCell ref="H75:H76"/>
    <mergeCell ref="I75:I76"/>
    <mergeCell ref="D77:D79"/>
    <mergeCell ref="E77:E79"/>
    <mergeCell ref="E59:E60"/>
    <mergeCell ref="B61:B79"/>
    <mergeCell ref="C61:C79"/>
    <mergeCell ref="D61:D65"/>
    <mergeCell ref="E61:E65"/>
    <mergeCell ref="D66:D71"/>
    <mergeCell ref="E66:E71"/>
    <mergeCell ref="D72:D76"/>
    <mergeCell ref="E72:E76"/>
    <mergeCell ref="D102:D105"/>
    <mergeCell ref="E102:E105"/>
    <mergeCell ref="D106:D111"/>
    <mergeCell ref="E106:E111"/>
    <mergeCell ref="B80:B85"/>
    <mergeCell ref="C80:C85"/>
    <mergeCell ref="D81:D83"/>
    <mergeCell ref="E81:E83"/>
    <mergeCell ref="D84:D85"/>
    <mergeCell ref="E84:E85"/>
    <mergeCell ref="D131:D133"/>
    <mergeCell ref="E131:E133"/>
    <mergeCell ref="B134:B139"/>
    <mergeCell ref="C134:C139"/>
    <mergeCell ref="D134:D136"/>
    <mergeCell ref="E134:E136"/>
    <mergeCell ref="D137:D138"/>
    <mergeCell ref="E137:E138"/>
    <mergeCell ref="D112:D117"/>
    <mergeCell ref="E112:E117"/>
    <mergeCell ref="B118:B119"/>
    <mergeCell ref="C118:C119"/>
    <mergeCell ref="C120:C133"/>
    <mergeCell ref="D120:D122"/>
    <mergeCell ref="E120:E122"/>
    <mergeCell ref="B121:B132"/>
    <mergeCell ref="D124:D130"/>
    <mergeCell ref="E124:E130"/>
    <mergeCell ref="B86:B117"/>
    <mergeCell ref="C86:C117"/>
    <mergeCell ref="D86:D88"/>
    <mergeCell ref="E86:E88"/>
    <mergeCell ref="D89:D101"/>
    <mergeCell ref="E89:E101"/>
    <mergeCell ref="A140:A142"/>
    <mergeCell ref="D140:D141"/>
    <mergeCell ref="E140:E141"/>
    <mergeCell ref="B142:B182"/>
    <mergeCell ref="C142:C182"/>
    <mergeCell ref="D142:D154"/>
    <mergeCell ref="E142:E154"/>
    <mergeCell ref="D155:D157"/>
    <mergeCell ref="E155:E157"/>
    <mergeCell ref="D158:D163"/>
    <mergeCell ref="D179:D182"/>
    <mergeCell ref="E179:E182"/>
    <mergeCell ref="B183:B184"/>
    <mergeCell ref="C183:C184"/>
    <mergeCell ref="D183:D184"/>
    <mergeCell ref="E183:E184"/>
    <mergeCell ref="E158:E163"/>
    <mergeCell ref="D164:D165"/>
    <mergeCell ref="E164:E165"/>
    <mergeCell ref="D166:D168"/>
    <mergeCell ref="E166:E168"/>
    <mergeCell ref="D169:D178"/>
    <mergeCell ref="E169:E178"/>
    <mergeCell ref="D200:D206"/>
    <mergeCell ref="E200:E206"/>
    <mergeCell ref="D207:D211"/>
    <mergeCell ref="E207:E211"/>
    <mergeCell ref="D212:D215"/>
    <mergeCell ref="E212:E215"/>
    <mergeCell ref="D185:D187"/>
    <mergeCell ref="E185:E187"/>
    <mergeCell ref="D188:D194"/>
    <mergeCell ref="E188:E194"/>
    <mergeCell ref="D195:D199"/>
    <mergeCell ref="E195:E199"/>
    <mergeCell ref="D230:D233"/>
    <mergeCell ref="E230:E233"/>
    <mergeCell ref="D234:D240"/>
    <mergeCell ref="E234:E240"/>
    <mergeCell ref="C241:C244"/>
    <mergeCell ref="D241:D244"/>
    <mergeCell ref="E241:E244"/>
    <mergeCell ref="D216:D218"/>
    <mergeCell ref="E216:E218"/>
    <mergeCell ref="D219:D226"/>
    <mergeCell ref="E219:E226"/>
    <mergeCell ref="D227:D229"/>
    <mergeCell ref="E227:E229"/>
    <mergeCell ref="E267:E275"/>
    <mergeCell ref="C245:C275"/>
    <mergeCell ref="D245:D249"/>
    <mergeCell ref="E245:E249"/>
    <mergeCell ref="D250:D255"/>
    <mergeCell ref="E250:E255"/>
    <mergeCell ref="D256:D263"/>
    <mergeCell ref="E256:E263"/>
    <mergeCell ref="D264:D265"/>
    <mergeCell ref="E264:E265"/>
    <mergeCell ref="D267:D275"/>
  </mergeCells>
  <conditionalFormatting sqref="H214:I214 K214:K217">
    <cfRule type="duplicateValues" dxfId="1" priority="2"/>
  </conditionalFormatting>
  <conditionalFormatting sqref="H215:I215">
    <cfRule type="duplicateValues" dxfId="0"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5"/>
  <sheetViews>
    <sheetView topLeftCell="C1" workbookViewId="0">
      <selection activeCell="K1" sqref="K1:K3"/>
    </sheetView>
  </sheetViews>
  <sheetFormatPr defaultColWidth="8.7265625" defaultRowHeight="14.5"/>
  <cols>
    <col min="1" max="1" width="14.453125" customWidth="1"/>
    <col min="2" max="2" width="33" customWidth="1"/>
    <col min="3" max="3" width="53.1796875" customWidth="1"/>
    <col min="5" max="5" width="30" customWidth="1"/>
    <col min="7" max="7" width="45" customWidth="1"/>
    <col min="9" max="9" width="53.81640625" customWidth="1"/>
  </cols>
  <sheetData>
    <row r="1" spans="1:11">
      <c r="B1" s="4" t="s">
        <v>563</v>
      </c>
      <c r="C1" s="4" t="s">
        <v>568</v>
      </c>
      <c r="D1" s="2"/>
      <c r="E1" s="72" t="s">
        <v>550</v>
      </c>
      <c r="G1" s="135" t="s">
        <v>591</v>
      </c>
      <c r="I1" t="s">
        <v>592</v>
      </c>
      <c r="K1" t="s">
        <v>1370</v>
      </c>
    </row>
    <row r="2" spans="1:11">
      <c r="A2" t="s">
        <v>586</v>
      </c>
      <c r="B2" s="133" t="s">
        <v>576</v>
      </c>
      <c r="C2" s="73" t="s">
        <v>521</v>
      </c>
      <c r="E2" s="67" t="s">
        <v>551</v>
      </c>
      <c r="G2" s="136"/>
      <c r="K2" t="s">
        <v>1372</v>
      </c>
    </row>
    <row r="3" spans="1:11" ht="29">
      <c r="A3" t="s">
        <v>586</v>
      </c>
      <c r="B3" s="133" t="s">
        <v>577</v>
      </c>
      <c r="C3" s="73" t="s">
        <v>522</v>
      </c>
      <c r="E3" s="67" t="s">
        <v>552</v>
      </c>
      <c r="G3" s="136" t="s">
        <v>593</v>
      </c>
      <c r="I3" s="137" t="s">
        <v>594</v>
      </c>
      <c r="K3" t="s">
        <v>1373</v>
      </c>
    </row>
    <row r="4" spans="1:11">
      <c r="A4" t="s">
        <v>586</v>
      </c>
      <c r="B4" s="133" t="s">
        <v>578</v>
      </c>
      <c r="C4" s="73" t="s">
        <v>569</v>
      </c>
      <c r="E4" s="67" t="s">
        <v>553</v>
      </c>
      <c r="G4" s="136" t="s">
        <v>595</v>
      </c>
      <c r="I4" s="138" t="s">
        <v>596</v>
      </c>
    </row>
    <row r="5" spans="1:11">
      <c r="A5" t="s">
        <v>587</v>
      </c>
      <c r="B5" s="134" t="s">
        <v>579</v>
      </c>
      <c r="C5" s="73" t="s">
        <v>523</v>
      </c>
      <c r="E5" s="67" t="s">
        <v>554</v>
      </c>
      <c r="G5" s="136" t="s">
        <v>597</v>
      </c>
      <c r="I5" s="137" t="s">
        <v>598</v>
      </c>
    </row>
    <row r="6" spans="1:11" ht="29">
      <c r="A6" t="s">
        <v>587</v>
      </c>
      <c r="B6" s="134" t="s">
        <v>580</v>
      </c>
      <c r="C6" s="73" t="s">
        <v>524</v>
      </c>
      <c r="E6" s="67" t="s">
        <v>555</v>
      </c>
      <c r="G6" s="136" t="s">
        <v>599</v>
      </c>
      <c r="I6" s="138" t="s">
        <v>600</v>
      </c>
    </row>
    <row r="7" spans="1:11" ht="29">
      <c r="A7" t="s">
        <v>588</v>
      </c>
      <c r="B7" s="133" t="s">
        <v>564</v>
      </c>
      <c r="C7" s="73" t="s">
        <v>531</v>
      </c>
      <c r="E7" s="67" t="s">
        <v>556</v>
      </c>
      <c r="G7" s="136" t="s">
        <v>601</v>
      </c>
      <c r="I7" s="137" t="s">
        <v>602</v>
      </c>
    </row>
    <row r="8" spans="1:11">
      <c r="A8" t="s">
        <v>589</v>
      </c>
      <c r="B8" s="134" t="s">
        <v>581</v>
      </c>
      <c r="C8" s="73" t="s">
        <v>525</v>
      </c>
      <c r="E8" s="67" t="s">
        <v>557</v>
      </c>
      <c r="G8" s="136" t="s">
        <v>603</v>
      </c>
      <c r="I8" s="138" t="s">
        <v>604</v>
      </c>
    </row>
    <row r="9" spans="1:11">
      <c r="A9" t="s">
        <v>589</v>
      </c>
      <c r="B9" s="134" t="s">
        <v>582</v>
      </c>
      <c r="C9" s="73" t="s">
        <v>570</v>
      </c>
      <c r="G9" s="136" t="s">
        <v>605</v>
      </c>
      <c r="I9" s="137" t="s">
        <v>606</v>
      </c>
    </row>
    <row r="10" spans="1:11">
      <c r="A10" t="s">
        <v>589</v>
      </c>
      <c r="B10" s="134" t="s">
        <v>583</v>
      </c>
      <c r="C10" s="73" t="s">
        <v>526</v>
      </c>
      <c r="G10" s="136" t="s">
        <v>607</v>
      </c>
      <c r="I10" s="138" t="s">
        <v>608</v>
      </c>
    </row>
    <row r="11" spans="1:11" ht="29">
      <c r="A11" t="s">
        <v>589</v>
      </c>
      <c r="B11" s="134" t="s">
        <v>584</v>
      </c>
      <c r="C11" s="73" t="s">
        <v>574</v>
      </c>
      <c r="G11" s="136" t="s">
        <v>609</v>
      </c>
      <c r="I11" s="137" t="s">
        <v>610</v>
      </c>
    </row>
    <row r="12" spans="1:11" ht="29">
      <c r="A12" t="s">
        <v>589</v>
      </c>
      <c r="B12" s="134" t="s">
        <v>585</v>
      </c>
      <c r="C12" s="73" t="s">
        <v>527</v>
      </c>
      <c r="G12" s="136" t="s">
        <v>611</v>
      </c>
      <c r="I12" s="138" t="s">
        <v>612</v>
      </c>
    </row>
    <row r="13" spans="1:11" ht="29">
      <c r="A13" t="s">
        <v>590</v>
      </c>
      <c r="B13" s="134" t="s">
        <v>566</v>
      </c>
      <c r="C13" s="73" t="s">
        <v>571</v>
      </c>
      <c r="G13" s="136" t="s">
        <v>613</v>
      </c>
      <c r="I13" s="137" t="s">
        <v>614</v>
      </c>
    </row>
    <row r="14" spans="1:11" ht="29">
      <c r="A14" t="s">
        <v>590</v>
      </c>
      <c r="B14" s="134" t="s">
        <v>565</v>
      </c>
      <c r="C14" s="73" t="s">
        <v>572</v>
      </c>
      <c r="G14" s="136" t="s">
        <v>615</v>
      </c>
      <c r="I14" s="138" t="s">
        <v>616</v>
      </c>
    </row>
    <row r="15" spans="1:11" ht="29">
      <c r="A15" t="s">
        <v>543</v>
      </c>
      <c r="B15" s="134" t="s">
        <v>543</v>
      </c>
      <c r="C15" s="73" t="s">
        <v>528</v>
      </c>
      <c r="G15" s="136" t="s">
        <v>617</v>
      </c>
      <c r="I15" s="137" t="s">
        <v>618</v>
      </c>
    </row>
    <row r="16" spans="1:11" ht="29">
      <c r="C16" s="73" t="s">
        <v>529</v>
      </c>
      <c r="G16" s="136" t="s">
        <v>619</v>
      </c>
      <c r="I16" s="138" t="s">
        <v>620</v>
      </c>
    </row>
    <row r="17" spans="3:9" ht="29">
      <c r="C17" s="73" t="s">
        <v>530</v>
      </c>
      <c r="G17" s="136" t="s">
        <v>621</v>
      </c>
      <c r="I17" s="137" t="s">
        <v>622</v>
      </c>
    </row>
    <row r="18" spans="3:9" ht="29">
      <c r="C18" s="73" t="s">
        <v>573</v>
      </c>
      <c r="G18" s="136" t="s">
        <v>623</v>
      </c>
      <c r="I18" s="138" t="s">
        <v>624</v>
      </c>
    </row>
    <row r="19" spans="3:9">
      <c r="C19" s="73" t="s">
        <v>543</v>
      </c>
      <c r="G19" s="136" t="s">
        <v>625</v>
      </c>
      <c r="I19" s="137" t="s">
        <v>626</v>
      </c>
    </row>
    <row r="20" spans="3:9">
      <c r="G20" s="136" t="s">
        <v>627</v>
      </c>
      <c r="I20" s="138" t="s">
        <v>628</v>
      </c>
    </row>
    <row r="21" spans="3:9">
      <c r="G21" s="136" t="s">
        <v>629</v>
      </c>
      <c r="I21" s="137" t="s">
        <v>630</v>
      </c>
    </row>
    <row r="22" spans="3:9">
      <c r="G22" s="136" t="s">
        <v>631</v>
      </c>
      <c r="I22" s="138" t="s">
        <v>632</v>
      </c>
    </row>
    <row r="23" spans="3:9">
      <c r="G23" s="136" t="s">
        <v>633</v>
      </c>
      <c r="I23" s="137" t="s">
        <v>634</v>
      </c>
    </row>
    <row r="24" spans="3:9">
      <c r="G24" s="136" t="s">
        <v>635</v>
      </c>
      <c r="I24" s="138" t="s">
        <v>636</v>
      </c>
    </row>
    <row r="25" spans="3:9">
      <c r="G25" s="136" t="s">
        <v>637</v>
      </c>
      <c r="I25" s="137" t="s">
        <v>638</v>
      </c>
    </row>
    <row r="26" spans="3:9">
      <c r="G26" s="136" t="s">
        <v>639</v>
      </c>
      <c r="I26" s="138" t="s">
        <v>640</v>
      </c>
    </row>
    <row r="27" spans="3:9">
      <c r="G27" s="136" t="s">
        <v>641</v>
      </c>
      <c r="I27" s="137" t="s">
        <v>642</v>
      </c>
    </row>
    <row r="28" spans="3:9">
      <c r="G28" s="136" t="s">
        <v>643</v>
      </c>
      <c r="I28" s="138" t="s">
        <v>644</v>
      </c>
    </row>
    <row r="29" spans="3:9">
      <c r="G29" s="136" t="s">
        <v>645</v>
      </c>
      <c r="I29" s="137" t="s">
        <v>646</v>
      </c>
    </row>
    <row r="30" spans="3:9">
      <c r="G30" s="136" t="s">
        <v>647</v>
      </c>
      <c r="I30" s="138" t="s">
        <v>648</v>
      </c>
    </row>
    <row r="31" spans="3:9">
      <c r="G31" s="136" t="s">
        <v>649</v>
      </c>
      <c r="I31" s="137" t="s">
        <v>650</v>
      </c>
    </row>
    <row r="32" spans="3:9">
      <c r="G32" s="136" t="s">
        <v>651</v>
      </c>
      <c r="I32" s="138" t="s">
        <v>652</v>
      </c>
    </row>
    <row r="33" spans="7:9">
      <c r="G33" s="136" t="s">
        <v>653</v>
      </c>
      <c r="I33" s="137" t="s">
        <v>654</v>
      </c>
    </row>
    <row r="34" spans="7:9">
      <c r="G34" s="136" t="s">
        <v>655</v>
      </c>
      <c r="I34" s="138" t="s">
        <v>656</v>
      </c>
    </row>
    <row r="35" spans="7:9">
      <c r="G35" s="136" t="s">
        <v>657</v>
      </c>
      <c r="I35" s="137" t="s">
        <v>658</v>
      </c>
    </row>
    <row r="36" spans="7:9">
      <c r="G36" s="136" t="s">
        <v>659</v>
      </c>
      <c r="I36" s="138" t="s">
        <v>646</v>
      </c>
    </row>
    <row r="37" spans="7:9">
      <c r="G37" s="136" t="s">
        <v>660</v>
      </c>
      <c r="I37" s="137" t="s">
        <v>661</v>
      </c>
    </row>
    <row r="38" spans="7:9">
      <c r="G38" s="136" t="s">
        <v>662</v>
      </c>
      <c r="I38" s="138" t="s">
        <v>663</v>
      </c>
    </row>
    <row r="39" spans="7:9">
      <c r="G39" s="136"/>
      <c r="I39" s="137" t="s">
        <v>664</v>
      </c>
    </row>
    <row r="40" spans="7:9">
      <c r="I40" s="138" t="s">
        <v>665</v>
      </c>
    </row>
    <row r="41" spans="7:9">
      <c r="I41" s="137" t="s">
        <v>666</v>
      </c>
    </row>
    <row r="42" spans="7:9">
      <c r="I42" s="138" t="s">
        <v>667</v>
      </c>
    </row>
    <row r="43" spans="7:9">
      <c r="I43" s="137" t="s">
        <v>668</v>
      </c>
    </row>
    <row r="44" spans="7:9">
      <c r="I44" s="138" t="s">
        <v>669</v>
      </c>
    </row>
    <row r="45" spans="7:9">
      <c r="I45" s="137" t="s">
        <v>670</v>
      </c>
    </row>
    <row r="46" spans="7:9">
      <c r="I46" s="138" t="s">
        <v>671</v>
      </c>
    </row>
    <row r="47" spans="7:9">
      <c r="I47" s="137" t="s">
        <v>672</v>
      </c>
    </row>
    <row r="48" spans="7:9">
      <c r="I48" s="138" t="s">
        <v>673</v>
      </c>
    </row>
    <row r="49" spans="9:9">
      <c r="I49" s="137" t="s">
        <v>674</v>
      </c>
    </row>
    <row r="50" spans="9:9">
      <c r="I50" s="138" t="s">
        <v>675</v>
      </c>
    </row>
    <row r="51" spans="9:9">
      <c r="I51" s="137" t="s">
        <v>676</v>
      </c>
    </row>
    <row r="52" spans="9:9">
      <c r="I52" s="138" t="s">
        <v>677</v>
      </c>
    </row>
    <row r="53" spans="9:9">
      <c r="I53" s="137" t="s">
        <v>678</v>
      </c>
    </row>
    <row r="54" spans="9:9">
      <c r="I54" s="138" t="s">
        <v>679</v>
      </c>
    </row>
    <row r="55" spans="9:9">
      <c r="I55" s="137" t="s">
        <v>680</v>
      </c>
    </row>
    <row r="56" spans="9:9">
      <c r="I56" s="138" t="s">
        <v>681</v>
      </c>
    </row>
    <row r="57" spans="9:9">
      <c r="I57" s="137" t="s">
        <v>682</v>
      </c>
    </row>
    <row r="58" spans="9:9">
      <c r="I58" s="138" t="s">
        <v>683</v>
      </c>
    </row>
    <row r="59" spans="9:9">
      <c r="I59" s="137" t="s">
        <v>684</v>
      </c>
    </row>
    <row r="60" spans="9:9">
      <c r="I60" s="138" t="s">
        <v>685</v>
      </c>
    </row>
    <row r="61" spans="9:9">
      <c r="I61" s="137" t="s">
        <v>686</v>
      </c>
    </row>
    <row r="62" spans="9:9">
      <c r="I62" s="138" t="s">
        <v>687</v>
      </c>
    </row>
    <row r="63" spans="9:9">
      <c r="I63" s="137" t="s">
        <v>688</v>
      </c>
    </row>
    <row r="64" spans="9:9">
      <c r="I64" s="138" t="s">
        <v>689</v>
      </c>
    </row>
    <row r="65" spans="9:9">
      <c r="I65" s="137" t="s">
        <v>690</v>
      </c>
    </row>
    <row r="66" spans="9:9">
      <c r="I66" s="138" t="s">
        <v>691</v>
      </c>
    </row>
    <row r="67" spans="9:9">
      <c r="I67" s="137" t="s">
        <v>692</v>
      </c>
    </row>
    <row r="68" spans="9:9">
      <c r="I68" s="138" t="s">
        <v>693</v>
      </c>
    </row>
    <row r="69" spans="9:9">
      <c r="I69" s="137" t="s">
        <v>694</v>
      </c>
    </row>
    <row r="70" spans="9:9">
      <c r="I70" s="138" t="s">
        <v>695</v>
      </c>
    </row>
    <row r="71" spans="9:9">
      <c r="I71" s="137" t="s">
        <v>696</v>
      </c>
    </row>
    <row r="72" spans="9:9">
      <c r="I72" s="138" t="s">
        <v>697</v>
      </c>
    </row>
    <row r="73" spans="9:9">
      <c r="I73" s="137" t="s">
        <v>698</v>
      </c>
    </row>
    <row r="74" spans="9:9">
      <c r="I74" s="138" t="s">
        <v>699</v>
      </c>
    </row>
    <row r="75" spans="9:9">
      <c r="I75" s="137" t="s">
        <v>700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FEB00F-6F3D-447B-A302-0E04E605DA77}"/>
</file>

<file path=customXml/itemProps2.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3.xml><?xml version="1.0" encoding="utf-8"?>
<ds:datastoreItem xmlns:ds="http://schemas.openxmlformats.org/officeDocument/2006/customXml" ds:itemID="{9C3BBD1B-D8EB-4F55-AA85-1B39798B5B8A}">
  <ds:schemaRefs>
    <ds:schemaRef ds:uri="http://purl.org/dc/terms/"/>
    <ds:schemaRef ds:uri="http://schemas.microsoft.com/office/2006/documentManagement/types"/>
    <ds:schemaRef ds:uri="da98c164-a57d-40d4-8901-16c51c954546"/>
    <ds:schemaRef ds:uri="http://purl.org/dc/elements/1.1/"/>
    <ds:schemaRef ds:uri="9a081172-b0b2-43c5-ad2b-9c1cb8f67e01"/>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Instruccions</vt:lpstr>
      <vt:lpstr>PROGRAMA ANUAL</vt:lpstr>
      <vt:lpstr>PLA ESTRATÈGIC</vt:lpstr>
      <vt:lpstr>Llistes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Carrion Salip, Gerard</cp:lastModifiedBy>
  <cp:revision/>
  <dcterms:created xsi:type="dcterms:W3CDTF">2015-06-05T18:17:20Z</dcterms:created>
  <dcterms:modified xsi:type="dcterms:W3CDTF">2026-03-06T12:16:51Z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