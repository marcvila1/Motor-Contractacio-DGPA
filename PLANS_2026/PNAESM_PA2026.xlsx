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updateLinks="never" hidePivotFieldList="1"/>
  <mc:AlternateContent xmlns:mc="http://schemas.openxmlformats.org/markup-compatibility/2006">
    <mc:Choice Requires="x15">
      <x15ac:absPath xmlns:x15ac="http://schemas.microsoft.com/office/spreadsheetml/2010/11/ac" url="D:\41096646q\Desktop\"/>
    </mc:Choice>
  </mc:AlternateContent>
  <xr:revisionPtr revIDLastSave="0" documentId="8_{E9418E52-4947-44C2-AC17-8628B396C4A1}" xr6:coauthVersionLast="47" xr6:coauthVersionMax="47" xr10:uidLastSave="{00000000-0000-0000-0000-000000000000}"/>
  <bookViews>
    <workbookView xWindow="-120" yWindow="-120" windowWidth="29040" windowHeight="15840" tabRatio="620" activeTab="2" xr2:uid="{00000000-000D-0000-FFFF-FFFF00000000}"/>
  </bookViews>
  <sheets>
    <sheet name="Instruccions" sheetId="18" r:id="rId1"/>
    <sheet name="PROGRAMA ANUAL" sheetId="14" r:id="rId2"/>
    <sheet name="PLA ESTRATÈGIC" sheetId="16" r:id="rId3"/>
    <sheet name="Llistes" sheetId="5" r:id="rId4"/>
    <sheet name="Gestors" sheetId="19" r:id="rId5"/>
  </sheets>
  <externalReferences>
    <externalReference r:id="rId6"/>
    <externalReference r:id="rId7"/>
  </externalReferences>
  <definedNames>
    <definedName name="_xlnm._FilterDatabase" localSheetId="2" hidden="1">'PLA ESTRATÈGIC'!$A$5:$S$387</definedName>
    <definedName name="_xlnm._FilterDatabase" localSheetId="1" hidden="1">'PROGRAMA ANUAL'!$A$3:$P$172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07" i="14" l="1"/>
  <c r="K43" i="14"/>
  <c r="K8" i="14"/>
  <c r="K5" i="14"/>
  <c r="B5" i="14" l="1"/>
  <c r="B6" i="14" s="1"/>
  <c r="B7" i="14" s="1"/>
  <c r="B8" i="14" s="1"/>
  <c r="B9" i="14" s="1"/>
  <c r="B10" i="14" s="1"/>
  <c r="B11" i="14" s="1"/>
  <c r="B12" i="14" s="1"/>
  <c r="B13" i="14" s="1"/>
  <c r="B14" i="14" s="1"/>
  <c r="B15" i="14" s="1"/>
  <c r="B16" i="14" s="1"/>
  <c r="B17" i="14" s="1"/>
  <c r="B18" i="14" s="1"/>
  <c r="B19" i="14" s="1"/>
  <c r="B20" i="14" s="1"/>
  <c r="B21" i="14" s="1"/>
  <c r="B22" i="14" s="1"/>
  <c r="B23" i="14" s="1"/>
  <c r="B24" i="14" s="1"/>
  <c r="B25" i="14" s="1"/>
  <c r="B26" i="14" s="1"/>
  <c r="B27" i="14" s="1"/>
  <c r="B28" i="14" s="1"/>
  <c r="B29" i="14" s="1"/>
  <c r="B30" i="14" s="1"/>
  <c r="B31" i="14" s="1"/>
  <c r="B32" i="14" s="1"/>
  <c r="B33" i="14" s="1"/>
  <c r="B34" i="14" s="1"/>
  <c r="B35" i="14" s="1"/>
  <c r="B36" i="14" s="1"/>
  <c r="B37" i="14" s="1"/>
  <c r="B38" i="14" s="1"/>
  <c r="B39" i="14" s="1"/>
  <c r="B40" i="14" s="1"/>
  <c r="B41" i="14" s="1"/>
  <c r="B42" i="14" s="1"/>
  <c r="B43" i="14" s="1"/>
  <c r="B44" i="14" s="1"/>
  <c r="B45" i="14" s="1"/>
  <c r="B46" i="14" s="1"/>
  <c r="B47" i="14" s="1"/>
  <c r="B48" i="14" s="1"/>
  <c r="B49" i="14" s="1"/>
  <c r="B50" i="14" s="1"/>
  <c r="B51" i="14" s="1"/>
  <c r="B52" i="14" s="1"/>
  <c r="B53" i="14" s="1"/>
  <c r="B54" i="14" s="1"/>
  <c r="B55" i="14" s="1"/>
  <c r="B56" i="14" s="1"/>
  <c r="B57" i="14" s="1"/>
  <c r="B58" i="14" s="1"/>
  <c r="B59" i="14" s="1"/>
  <c r="B60" i="14" s="1"/>
  <c r="B61" i="14" s="1"/>
  <c r="B62" i="14" s="1"/>
  <c r="B63" i="14" s="1"/>
  <c r="B64" i="14" s="1"/>
  <c r="B65" i="14" s="1"/>
  <c r="B66" i="14" s="1"/>
  <c r="B67" i="14" s="1"/>
  <c r="B68" i="14" s="1"/>
  <c r="B69" i="14" s="1"/>
  <c r="B70" i="14" s="1"/>
  <c r="B71" i="14" s="1"/>
  <c r="B72" i="14" s="1"/>
  <c r="B73" i="14" s="1"/>
  <c r="B74" i="14" s="1"/>
  <c r="B75" i="14" s="1"/>
  <c r="B76" i="14" s="1"/>
  <c r="B77" i="14" s="1"/>
  <c r="B78" i="14" s="1"/>
  <c r="B79" i="14" s="1"/>
  <c r="B80" i="14" s="1"/>
  <c r="B81" i="14" s="1"/>
  <c r="B82" i="14" s="1"/>
  <c r="B83" i="14" s="1"/>
  <c r="B84" i="14" s="1"/>
  <c r="B85" i="14" s="1"/>
  <c r="B86" i="14" s="1"/>
  <c r="B87" i="14" s="1"/>
  <c r="B88" i="14" s="1"/>
  <c r="B89" i="14" s="1"/>
  <c r="B90" i="14" s="1"/>
  <c r="B91" i="14" s="1"/>
  <c r="B92" i="14" s="1"/>
  <c r="B93" i="14" s="1"/>
  <c r="B94" i="14" s="1"/>
  <c r="B95" i="14" s="1"/>
  <c r="B96" i="14" s="1"/>
  <c r="B97" i="14" s="1"/>
  <c r="B98" i="14" s="1"/>
  <c r="B99" i="14" s="1"/>
  <c r="B100" i="14" s="1"/>
  <c r="B101" i="14" s="1"/>
  <c r="B102" i="14" s="1"/>
  <c r="B103" i="14" s="1"/>
  <c r="B104" i="14" s="1"/>
  <c r="B105" i="14" s="1"/>
  <c r="B106" i="14" s="1"/>
  <c r="B107" i="14" s="1"/>
  <c r="B108" i="14" s="1"/>
  <c r="B109" i="14" s="1"/>
  <c r="B110" i="14" s="1"/>
  <c r="B111" i="14" s="1"/>
  <c r="B112" i="14" s="1"/>
  <c r="B113" i="14" s="1"/>
  <c r="B114" i="14" s="1"/>
  <c r="B115" i="14" s="1"/>
  <c r="B116" i="14" s="1"/>
  <c r="B117" i="14" s="1"/>
  <c r="B118" i="14" s="1"/>
  <c r="B119" i="14" s="1"/>
  <c r="B120" i="14" s="1"/>
  <c r="B121" i="14" s="1"/>
  <c r="B122" i="14" s="1"/>
  <c r="B123" i="14" s="1"/>
  <c r="B124" i="14" s="1"/>
  <c r="B125" i="14" s="1"/>
  <c r="B126" i="14" s="1"/>
  <c r="B127" i="14" s="1"/>
  <c r="B128" i="14" s="1"/>
  <c r="B129" i="14" s="1"/>
  <c r="B130" i="14" s="1"/>
  <c r="B131" i="14" s="1"/>
  <c r="B132" i="14" s="1"/>
  <c r="B133" i="14" s="1"/>
  <c r="B134" i="14" s="1"/>
  <c r="B135" i="14" s="1"/>
  <c r="B136" i="14" s="1"/>
  <c r="B137" i="14" s="1"/>
  <c r="B138" i="14" s="1"/>
  <c r="B139" i="14" s="1"/>
  <c r="B140" i="14" s="1"/>
  <c r="B141" i="14" s="1"/>
  <c r="B142" i="14" s="1"/>
  <c r="R383" i="16"/>
  <c r="S383" i="16" s="1"/>
  <c r="R365" i="16"/>
  <c r="S365" i="16" s="1"/>
  <c r="R341" i="16"/>
  <c r="S341" i="16" s="1"/>
  <c r="R308" i="16"/>
  <c r="S308" i="16" s="1"/>
  <c r="S280" i="16"/>
  <c r="S235" i="16"/>
  <c r="S234" i="16"/>
  <c r="S129" i="16"/>
  <c r="S54" i="16"/>
  <c r="S57" i="16" s="1"/>
  <c r="S51" i="16"/>
  <c r="J387" i="16" l="1"/>
  <c r="J386" i="16"/>
  <c r="J385" i="16"/>
  <c r="J384" i="16"/>
  <c r="J383" i="16"/>
  <c r="J382" i="16"/>
  <c r="J381" i="16"/>
  <c r="J380" i="16"/>
  <c r="J379" i="16"/>
  <c r="J378" i="16"/>
  <c r="J377" i="16"/>
  <c r="J376" i="16"/>
  <c r="J375" i="16"/>
  <c r="J374" i="16"/>
  <c r="J373" i="16"/>
  <c r="J372" i="16"/>
  <c r="J371" i="16"/>
  <c r="J370" i="16"/>
  <c r="J369" i="16"/>
  <c r="J368" i="16"/>
  <c r="J367" i="16"/>
  <c r="J366" i="16"/>
  <c r="J365" i="16"/>
  <c r="J364" i="16"/>
  <c r="J363" i="16"/>
  <c r="J362" i="16"/>
  <c r="J361" i="16"/>
  <c r="J360" i="16"/>
  <c r="J359" i="16"/>
  <c r="J358" i="16"/>
  <c r="J357" i="16"/>
  <c r="J356" i="16"/>
  <c r="J355" i="16"/>
  <c r="J354" i="16"/>
  <c r="J353" i="16"/>
  <c r="J352" i="16"/>
  <c r="J351" i="16"/>
  <c r="J350" i="16"/>
  <c r="J349" i="16"/>
  <c r="J348" i="16"/>
  <c r="J347" i="16"/>
  <c r="J346" i="16"/>
  <c r="J345" i="16"/>
  <c r="J344" i="16"/>
  <c r="J343" i="16"/>
  <c r="J342" i="16"/>
  <c r="J341" i="16"/>
  <c r="J340" i="16"/>
  <c r="J339" i="16"/>
  <c r="J338" i="16"/>
  <c r="J337" i="16"/>
  <c r="J336" i="16"/>
  <c r="J335" i="16"/>
  <c r="J334" i="16"/>
  <c r="J333" i="16"/>
  <c r="J308" i="16"/>
  <c r="J307" i="16"/>
  <c r="J295" i="16"/>
  <c r="J280" i="16"/>
  <c r="J272" i="16"/>
  <c r="J271" i="16"/>
  <c r="J256" i="16"/>
  <c r="J255" i="16"/>
  <c r="J254" i="16"/>
  <c r="J252" i="16"/>
  <c r="J250" i="16"/>
  <c r="J249" i="16"/>
  <c r="J248" i="16"/>
  <c r="J243" i="16"/>
  <c r="J242" i="16"/>
  <c r="J241" i="16"/>
  <c r="J240" i="16"/>
  <c r="J239" i="16"/>
  <c r="J238" i="16"/>
  <c r="J237" i="16"/>
  <c r="J235" i="16"/>
  <c r="J234" i="16"/>
  <c r="J233" i="16"/>
  <c r="J231" i="16"/>
  <c r="J229" i="16"/>
  <c r="N229" i="16" s="1"/>
  <c r="J228" i="16"/>
  <c r="J227" i="16"/>
  <c r="J220" i="16"/>
  <c r="J217" i="16"/>
  <c r="J216" i="16"/>
  <c r="J215" i="16"/>
  <c r="J214" i="16"/>
  <c r="J213" i="16"/>
  <c r="J212" i="16"/>
  <c r="J210" i="16"/>
  <c r="J208" i="16"/>
  <c r="J207" i="16"/>
  <c r="J194" i="16"/>
  <c r="J190" i="16"/>
  <c r="J179" i="16"/>
  <c r="J178" i="16"/>
  <c r="J177" i="16"/>
  <c r="J176" i="16"/>
  <c r="J175" i="16"/>
  <c r="J158" i="16"/>
  <c r="J157" i="16"/>
  <c r="J156" i="16"/>
  <c r="J154" i="16"/>
  <c r="J152" i="16"/>
  <c r="J151" i="16"/>
  <c r="J150" i="16"/>
  <c r="J149" i="16"/>
  <c r="J148" i="16"/>
  <c r="J147" i="16"/>
  <c r="J146" i="16"/>
  <c r="J145" i="16"/>
  <c r="J144" i="16"/>
  <c r="J143" i="16"/>
  <c r="J142" i="16"/>
  <c r="J141" i="16"/>
  <c r="J140" i="16"/>
  <c r="J139" i="16"/>
  <c r="J138" i="16"/>
  <c r="J137" i="16"/>
  <c r="J136" i="16"/>
  <c r="J135" i="16"/>
  <c r="J134" i="16"/>
  <c r="J133" i="16"/>
  <c r="J132" i="16"/>
  <c r="J131" i="16"/>
  <c r="J130" i="16"/>
  <c r="J129" i="16"/>
  <c r="J128" i="16"/>
  <c r="J127" i="16"/>
  <c r="J126" i="16"/>
  <c r="J125" i="16"/>
  <c r="J124" i="16"/>
  <c r="J123" i="16"/>
  <c r="J121" i="16"/>
  <c r="J120" i="16"/>
  <c r="J119" i="16"/>
  <c r="J118" i="16"/>
  <c r="J116" i="16"/>
  <c r="J115" i="16"/>
  <c r="J114" i="16"/>
  <c r="J112" i="16"/>
  <c r="J111" i="16"/>
  <c r="J110" i="16"/>
  <c r="J109" i="16"/>
  <c r="J108" i="16"/>
  <c r="J107" i="16"/>
  <c r="J106" i="16"/>
  <c r="J105" i="16"/>
  <c r="J104" i="16"/>
  <c r="J101" i="16"/>
  <c r="J98" i="16"/>
  <c r="J95" i="16"/>
  <c r="J94" i="16"/>
  <c r="J93" i="16"/>
  <c r="J92" i="16"/>
  <c r="J91" i="16"/>
  <c r="J90" i="16"/>
  <c r="J86" i="16"/>
  <c r="J82" i="16"/>
  <c r="J81" i="16"/>
  <c r="J79" i="16"/>
  <c r="J77" i="16"/>
  <c r="J76" i="16"/>
  <c r="J72" i="16"/>
  <c r="J69" i="16"/>
  <c r="J68" i="16"/>
  <c r="J67" i="16"/>
  <c r="J66" i="16"/>
  <c r="J65" i="16"/>
  <c r="J64" i="16"/>
  <c r="J63" i="16"/>
  <c r="J62" i="16"/>
  <c r="J61" i="16"/>
  <c r="J60" i="16"/>
  <c r="J59" i="16"/>
  <c r="J58" i="16"/>
  <c r="J57" i="16"/>
  <c r="J56" i="16"/>
  <c r="J55" i="16"/>
  <c r="J54" i="16"/>
  <c r="J53" i="16"/>
  <c r="J52" i="16"/>
  <c r="J51" i="16"/>
  <c r="J50" i="16"/>
  <c r="J49" i="16"/>
  <c r="J48" i="16"/>
  <c r="J47" i="16"/>
  <c r="J46" i="16"/>
  <c r="J45" i="16"/>
  <c r="J44" i="16"/>
  <c r="J43" i="16"/>
  <c r="J42" i="16"/>
  <c r="J41" i="16"/>
  <c r="J40" i="16"/>
  <c r="J39" i="16"/>
  <c r="J38" i="16"/>
  <c r="J37" i="16"/>
  <c r="J36" i="16"/>
  <c r="J35" i="16"/>
  <c r="J34" i="16"/>
  <c r="J33" i="16"/>
  <c r="J32" i="16"/>
  <c r="J28" i="16"/>
  <c r="J27" i="16"/>
  <c r="J26" i="16"/>
  <c r="J25" i="16"/>
  <c r="J24" i="16"/>
  <c r="J23" i="16"/>
  <c r="J22" i="16"/>
  <c r="J21" i="16"/>
  <c r="J20" i="16"/>
  <c r="J19" i="16"/>
  <c r="J18" i="16"/>
  <c r="J17" i="16"/>
  <c r="J16" i="16"/>
  <c r="J15" i="16"/>
  <c r="J14" i="16"/>
  <c r="J13" i="16"/>
  <c r="J12" i="16"/>
  <c r="J11" i="16"/>
  <c r="J10" i="16"/>
  <c r="J9" i="16"/>
  <c r="J8" i="16"/>
  <c r="J7" i="16"/>
  <c r="J6"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Parpal Servole, Jordi</author>
    <author>Aznar Galán, Miriam</author>
    <author/>
  </authors>
  <commentList>
    <comment ref="G4" authorId="0" shapeId="0" xr:uid="{00000000-0006-0000-0000-000001000000}">
      <text>
        <r>
          <rPr>
            <b/>
            <sz val="9"/>
            <color indexed="81"/>
            <rFont val="Tahoma"/>
            <family val="2"/>
          </rPr>
          <t>Parpal Servole, Jordi:</t>
        </r>
        <r>
          <rPr>
            <sz val="9"/>
            <color indexed="81"/>
            <rFont val="Tahoma"/>
            <family val="2"/>
          </rPr>
          <t xml:space="preserve">
Els Parcs haurien d'optar per suprimir o modificar els objectius operatius que no es consideren obligats per a tots els Parcs (columna I)          </t>
        </r>
        <r>
          <rPr>
            <b/>
            <sz val="9"/>
            <color indexed="81"/>
            <rFont val="Tahoma"/>
            <family val="2"/>
          </rPr>
          <t xml:space="preserve">Miriam. </t>
        </r>
        <r>
          <rPr>
            <sz val="9"/>
            <color indexed="81"/>
            <rFont val="Tahoma"/>
            <family val="2"/>
          </rPr>
          <t>Els objectius operacionals es poden modificar.</t>
        </r>
      </text>
    </comment>
    <comment ref="L4" authorId="1" shapeId="0" xr:uid="{00000000-0006-0000-0000-000002000000}">
      <text>
        <r>
          <rPr>
            <b/>
            <sz val="9"/>
            <color indexed="81"/>
            <rFont val="Tahoma"/>
            <family val="2"/>
          </rPr>
          <t>Aznar Galán, Miriam:</t>
        </r>
        <r>
          <rPr>
            <sz val="9"/>
            <color indexed="81"/>
            <rFont val="Tahoma"/>
            <family val="2"/>
          </rPr>
          <t xml:space="preserve">
</t>
        </r>
        <r>
          <rPr>
            <b/>
            <sz val="9"/>
            <color indexed="81"/>
            <rFont val="Tahoma"/>
            <family val="2"/>
          </rPr>
          <t>Si</t>
        </r>
        <r>
          <rPr>
            <sz val="9"/>
            <color indexed="81"/>
            <rFont val="Tahoma"/>
            <family val="2"/>
          </rPr>
          <t xml:space="preserve">: incorporem mesures en la programació d'actuacions a l'espai.
</t>
        </r>
        <r>
          <rPr>
            <b/>
            <sz val="9"/>
            <color indexed="81"/>
            <rFont val="Tahoma"/>
            <family val="2"/>
          </rPr>
          <t>No:</t>
        </r>
        <r>
          <rPr>
            <sz val="9"/>
            <color indexed="81"/>
            <rFont val="Tahoma"/>
            <family val="2"/>
          </rPr>
          <t xml:space="preserve"> el seu assoliment depèn d'altres actors (altres serveis, ACA, ...)</t>
        </r>
      </text>
    </comment>
    <comment ref="M4" authorId="1" shapeId="0" xr:uid="{00000000-0006-0000-0000-000003000000}">
      <text>
        <r>
          <rPr>
            <b/>
            <sz val="9"/>
            <color indexed="81"/>
            <rFont val="Tahoma"/>
            <family val="2"/>
          </rPr>
          <t>Aznar Galán, Miriam:</t>
        </r>
        <r>
          <rPr>
            <sz val="9"/>
            <color indexed="81"/>
            <rFont val="Tahoma"/>
            <family val="2"/>
          </rPr>
          <t xml:space="preserve">
Màxima:: a assolir en els propers 4 anys</t>
        </r>
      </text>
    </comment>
    <comment ref="Q4" authorId="1" shapeId="0" xr:uid="{00000000-0006-0000-0000-000004000000}">
      <text>
        <r>
          <rPr>
            <b/>
            <sz val="9"/>
            <color indexed="81"/>
            <rFont val="Tahoma"/>
            <family val="2"/>
          </rPr>
          <t xml:space="preserve">Aznar Galán, Miriam:
</t>
        </r>
        <r>
          <rPr>
            <sz val="9"/>
            <color indexed="81"/>
            <rFont val="Tahoma"/>
            <family val="2"/>
          </rPr>
          <t xml:space="preserve">
Indicador de compliment de la mesura proposada a columna N = accions genèriques!</t>
        </r>
      </text>
    </comment>
    <comment ref="R44" authorId="1" shapeId="0" xr:uid="{00000000-0006-0000-0000-000005000000}">
      <text>
        <r>
          <rPr>
            <b/>
            <sz val="9"/>
            <color indexed="81"/>
            <rFont val="Tahoma"/>
            <family val="2"/>
          </rPr>
          <t>Aznar Galán, Miriam:</t>
        </r>
        <r>
          <rPr>
            <sz val="9"/>
            <color indexed="81"/>
            <rFont val="Tahoma"/>
            <family val="2"/>
          </rPr>
          <t xml:space="preserve">
Com a mínim 1 a l'any</t>
        </r>
      </text>
    </comment>
    <comment ref="T45" authorId="1" shapeId="0" xr:uid="{00000000-0006-0000-0000-000006000000}">
      <text>
        <r>
          <rPr>
            <b/>
            <sz val="9"/>
            <color indexed="81"/>
            <rFont val="Tahoma"/>
            <family val="2"/>
          </rPr>
          <t>Aznar Galán, Miriam:</t>
        </r>
        <r>
          <rPr>
            <sz val="9"/>
            <color indexed="81"/>
            <rFont val="Tahoma"/>
            <family val="2"/>
          </rPr>
          <t xml:space="preserve">
Com a mínim 1 a l'any</t>
        </r>
      </text>
    </comment>
    <comment ref="S62" authorId="1" shapeId="0" xr:uid="{00000000-0006-0000-0000-000007000000}">
      <text>
        <r>
          <rPr>
            <b/>
            <sz val="9"/>
            <color indexed="81"/>
            <rFont val="Tahoma"/>
            <family val="2"/>
          </rPr>
          <t>Aznar Galán, Miriam:</t>
        </r>
        <r>
          <rPr>
            <sz val="9"/>
            <color indexed="81"/>
            <rFont val="Tahoma"/>
            <family val="2"/>
          </rPr>
          <t xml:space="preserve">
2 reunions / anuals? Quina previsió hi ha de finalització del Pla Hidrològic?</t>
        </r>
      </text>
    </comment>
    <comment ref="U63" authorId="1" shapeId="0" xr:uid="{00000000-0006-0000-0000-000008000000}">
      <text>
        <r>
          <rPr>
            <b/>
            <sz val="9"/>
            <color indexed="81"/>
            <rFont val="Tahoma"/>
            <family val="2"/>
          </rPr>
          <t>Aznar Galán, Miriam:</t>
        </r>
        <r>
          <rPr>
            <sz val="9"/>
            <color indexed="81"/>
            <rFont val="Tahoma"/>
            <family val="2"/>
          </rPr>
          <t xml:space="preserve">
2 reunions / anuals? Quina previsió hi ha de finalització del Pla Hidrològic?</t>
        </r>
      </text>
    </comment>
    <comment ref="N196" authorId="2" shapeId="0" xr:uid="{00000000-0006-0000-0000-000009000000}">
      <text>
        <r>
          <rPr>
            <sz val="11"/>
            <color theme="1"/>
            <rFont val="Calibri"/>
            <family val="2"/>
            <scheme val="minor"/>
          </rPr>
          <t>======
ID#AAABb9OYtJ4
Xavier Llimiñana    (2025-01-22 07:41:22)
ja hi ha un inventari, tot i que no molt exhaustiu</t>
        </r>
      </text>
    </comment>
  </commentList>
</comments>
</file>

<file path=xl/sharedStrings.xml><?xml version="1.0" encoding="utf-8"?>
<sst xmlns="http://schemas.openxmlformats.org/spreadsheetml/2006/main" count="7546" uniqueCount="2035">
  <si>
    <t>ENP:</t>
  </si>
  <si>
    <t>AES</t>
  </si>
  <si>
    <t>Fita a assolir en 4 anys</t>
  </si>
  <si>
    <t>EIXOS</t>
  </si>
  <si>
    <t>OG</t>
  </si>
  <si>
    <t>OBJECTIUS Generals (PP)</t>
  </si>
  <si>
    <t>OE</t>
  </si>
  <si>
    <t>OBJECTIUS Estratègics</t>
  </si>
  <si>
    <t>OP</t>
  </si>
  <si>
    <t>OBJECTIUS operatius / Línia estratègica</t>
  </si>
  <si>
    <t>Comú / Específic</t>
  </si>
  <si>
    <t>Obligatori / Optatiu</t>
  </si>
  <si>
    <t>Objectiu operatiu concret a l'espai</t>
  </si>
  <si>
    <t>Explicació de la decisió presa en el cas de canvis respecte al llistat inicial (columna G)</t>
  </si>
  <si>
    <t>Objectiu amb mesures incorporables a la planificació anual de la gestió de l'espai?</t>
  </si>
  <si>
    <t>Prioritat</t>
  </si>
  <si>
    <t>Propostes genèriques d'accions</t>
  </si>
  <si>
    <t>Marc de referència</t>
  </si>
  <si>
    <t>Resultats derivats</t>
  </si>
  <si>
    <t>indicadors</t>
  </si>
  <si>
    <t>Mínima</t>
  </si>
  <si>
    <t>Màxim (Desitjable)</t>
  </si>
  <si>
    <t>EIX</t>
  </si>
  <si>
    <t>N OG</t>
  </si>
  <si>
    <t>OBJ. GEN</t>
  </si>
  <si>
    <t>N OE</t>
  </si>
  <si>
    <t>OBJ. ESTR</t>
  </si>
  <si>
    <t>N OO</t>
  </si>
  <si>
    <t>OBJ. OP</t>
  </si>
  <si>
    <t>COM_ESP</t>
  </si>
  <si>
    <t>OBL_OPT</t>
  </si>
  <si>
    <t>OBJ. OP. CONCRET</t>
  </si>
  <si>
    <t>EXPLIC</t>
  </si>
  <si>
    <t>PLA GESTIÓ</t>
  </si>
  <si>
    <t>PRIORITAT</t>
  </si>
  <si>
    <t>ACCIONS</t>
  </si>
  <si>
    <t>REFERÈNCIA</t>
  </si>
  <si>
    <t>RESULTATS</t>
  </si>
  <si>
    <t>INDICADOR</t>
  </si>
  <si>
    <t>FITA MIN. 4A</t>
  </si>
  <si>
    <t>FITA MÀX. 4A</t>
  </si>
  <si>
    <t>NATURA</t>
  </si>
  <si>
    <t>CONSERVAR LA NATURA i restaurar els ecosistemes, els processos naturals i seminaturals, la biodiversitat i la geodiversitat associada.</t>
  </si>
  <si>
    <t>01.1</t>
  </si>
  <si>
    <t>Adequar i fer eficient la conservació dels elements objecte de gestió prioritària marcats per la DG a l'ENP</t>
  </si>
  <si>
    <t>01.1.1</t>
  </si>
  <si>
    <t>Implementar i executar plans de gestió específics per a hàbitats i espècies de conservació prioritària dins l'ENP</t>
  </si>
  <si>
    <t>Comú</t>
  </si>
  <si>
    <t xml:space="preserve">Obligatori </t>
  </si>
  <si>
    <t>Si</t>
  </si>
  <si>
    <t>MÀXIMA</t>
  </si>
  <si>
    <r>
      <t xml:space="preserve">Realització d'accions de </t>
    </r>
    <r>
      <rPr>
        <b/>
        <sz val="11"/>
        <rFont val="Calibri"/>
        <family val="2"/>
        <scheme val="minor"/>
      </rPr>
      <t>gestió activa</t>
    </r>
    <r>
      <rPr>
        <sz val="11"/>
        <rFont val="Calibri"/>
        <family val="2"/>
        <scheme val="minor"/>
      </rPr>
      <t xml:space="preserve"> per a la millora dels elements prioritzats a l'espai
 </t>
    </r>
    <r>
      <rPr>
        <sz val="11"/>
        <color rgb="FFFF0000"/>
        <rFont val="Calibri"/>
        <family val="2"/>
        <scheme val="minor"/>
      </rPr>
      <t xml:space="preserve">                                                                                         </t>
    </r>
    <r>
      <rPr>
        <strike/>
        <sz val="11"/>
        <color rgb="FFFF0000"/>
        <rFont val="Calibri"/>
        <family val="2"/>
        <scheme val="minor"/>
      </rPr>
      <t/>
    </r>
  </si>
  <si>
    <t>MAP</t>
  </si>
  <si>
    <t>SFF: Elaboració de plans de gestió específics per a espècies de conservació prioritària i directrius de gestió d'hàbitats.
SFF/SENP: Definir a nivell de cluster quins son els que es poden elaborar conjuntament.</t>
  </si>
  <si>
    <t>Nº d'accions de gestió activa realitzades per a la millora dels elements de conservació prioritària</t>
  </si>
  <si>
    <r>
      <t xml:space="preserve">
Elaboració de plans de gestió per elements prioritzats a l'espai   </t>
    </r>
    <r>
      <rPr>
        <sz val="11"/>
        <color rgb="FFFF0000"/>
        <rFont val="Calibri"/>
        <family val="2"/>
        <scheme val="minor"/>
      </rPr>
      <t xml:space="preserve">                                                                                         </t>
    </r>
    <r>
      <rPr>
        <strike/>
        <sz val="11"/>
        <color rgb="FFFF0000"/>
        <rFont val="Calibri"/>
        <family val="2"/>
        <scheme val="minor"/>
      </rPr>
      <t/>
    </r>
  </si>
  <si>
    <t>Nº de plans de gestió elaborats</t>
  </si>
  <si>
    <t>01.1.2</t>
  </si>
  <si>
    <t>Adaptar i executar plans de gestió específics per a elements geològics de conservació prioritària dins l'ENP</t>
  </si>
  <si>
    <t>MITJANA</t>
  </si>
  <si>
    <t xml:space="preserve">Elaboració i digitalització de l'inventari d'elements geològics i geomorfologics a l'espai
</t>
  </si>
  <si>
    <t>Nombre d'elements inventariats i nombre d'accions de les directrius aplicades</t>
  </si>
  <si>
    <t>?</t>
  </si>
  <si>
    <t>Nº d'inventaris geològics i geomorfològics elaborats i digitalitzats</t>
  </si>
  <si>
    <t xml:space="preserve">
Aplicació de les directrius de gestió de l'inventari de patrimoni geològic (ICGC)                                                                                                                                   
</t>
  </si>
  <si>
    <t>Nº de directrius de gestió de l'inventari de patrimoni geològic (ICGC)</t>
  </si>
  <si>
    <t>Diganosi de la informació existent sobre el patrimoni geològic i geomorfologic al parc nacional</t>
  </si>
  <si>
    <t>Nº de diagnosis sobre patrimoni geològic i geomorfològic realitzades</t>
  </si>
  <si>
    <t>01.2</t>
  </si>
  <si>
    <t>Executar les mesures de gestió directa previstes en els intruments de planificació per la conservació i la gestió adaptativa dels elements clau de l'ENP</t>
  </si>
  <si>
    <t>01.2.1</t>
  </si>
  <si>
    <t>Implementar la metodologia de gestió adaptativa (Estàndards Oberts de Gestió Adaptativa a Catalunya) en tots els processos de l'ENP</t>
  </si>
  <si>
    <t>Obligatori</t>
  </si>
  <si>
    <t>Definició d'un protocol per tal d'incorporar la metodologia dels Estàndards Oberts pels processos més rellevants per a la conservació a l'espai</t>
  </si>
  <si>
    <t>ESNATURA</t>
  </si>
  <si>
    <t>SENP: Elaboració d'un manual per la implementació dels OSAM</t>
  </si>
  <si>
    <t>Protocol OS i nombre de processos més rellevants definits al parc nacional</t>
  </si>
  <si>
    <t>01.2.2</t>
  </si>
  <si>
    <t>Executar les mesures previstes en els plans de conservació o recuperació d'espècies amenaçades de forma coordinada amb el Servei de Flora i Fauna en l'àmbit de l'ENP</t>
  </si>
  <si>
    <t>Implicació i participació en la redacció dels plans de conservació /recuperació d'espècies amenaçades</t>
  </si>
  <si>
    <t>MAP
Catàlegs</t>
  </si>
  <si>
    <t>SFF: Elaboració de plans de conservació o recuperació d'espècies protegides</t>
  </si>
  <si>
    <t xml:space="preserve">Nº de plans de recuperació/conservació d'espècies protegides en la redacció dels quals s'ha participat
</t>
  </si>
  <si>
    <t xml:space="preserve">
Col.laboració en l'obtenció de la informació necessària dins els espais per al desenvolupament dels Plans </t>
  </si>
  <si>
    <t>Nº d'actuacions de millora de la informació necessària dins el parc nacional per al desenvolupament dels plans de recuperació o conservació d'espècies protegides</t>
  </si>
  <si>
    <t>Implementació de les actuacions del conveni ENDESA</t>
  </si>
  <si>
    <t>Nº d'actuacions realitzades</t>
  </si>
  <si>
    <t xml:space="preserve">Execució de les accions dins els plans que pertoquin a cada espai (incorporar totes les mesures que surten als plans ja aprovats que tenen incidència a l'espai)
</t>
  </si>
  <si>
    <t xml:space="preserve">Nº d'accions dels plans de conservació / recuperació d'espècies protegides executades </t>
  </si>
  <si>
    <t>01.2.3</t>
  </si>
  <si>
    <t>Executar les mesures de gestió previstes en els plans de control i erradicació d'espècies exòtiques de forma coordinada amb el Servei de Flora i Fauna en l'àmbit de l'ENP</t>
  </si>
  <si>
    <t xml:space="preserve">Implicació  i participació en la redacció (cal identificar els plans que estan ja en marxa o previstos i posar les mesures concretes) </t>
  </si>
  <si>
    <t>ESNATURA
MAP</t>
  </si>
  <si>
    <t>SFF: Elaboració de plans de control i erradicació d'espècies exòtiques</t>
  </si>
  <si>
    <t xml:space="preserve">Nº de plans de control i erradicació d'espècies exòtiques en els quals s'ha participat /col.laborat 
</t>
  </si>
  <si>
    <t xml:space="preserve">Col.laboració en l'obtenció de la informació necessària dins els espais per al desenvolupament dels Plans </t>
  </si>
  <si>
    <t>Nº d'actuacions de millora de la informació necessària dins el parc nacional per al desenvolupament dels plans de control i erradicació d'espècies exòtiques.</t>
  </si>
  <si>
    <t xml:space="preserve">Execució de les accions dins els plans que pertoquin a cada espai
</t>
  </si>
  <si>
    <t>Nº d'accions dels plans de control i erradicació d'espècies exòtiques realitzades</t>
  </si>
  <si>
    <t>01.2.4</t>
  </si>
  <si>
    <t xml:space="preserve">Desplegar els objectius i tasques recollits en els instruments de referència i compromisos internacionals  </t>
  </si>
  <si>
    <t>Específic</t>
  </si>
  <si>
    <t xml:space="preserve">Optatiu </t>
  </si>
  <si>
    <t>Actualització del sistema de gestió ambiental EMAS</t>
  </si>
  <si>
    <t>Nº de sistema de gestió ambiental actualitzat</t>
  </si>
  <si>
    <t>Aplicació, seguiment i implantació del sistema ambiental EMAS</t>
  </si>
  <si>
    <t>Nºs d'auditories assolides</t>
  </si>
  <si>
    <t>Requeriments vinculats amb la figura RAMSAR</t>
  </si>
  <si>
    <t>Nº de requeriments anuals</t>
  </si>
  <si>
    <t>01.3</t>
  </si>
  <si>
    <t>Crear ecosistemes complexes, resilients, i d'alta biodiversitat per garantir la recuperació dels processos ecosistèmics</t>
  </si>
  <si>
    <t>01.3.1</t>
  </si>
  <si>
    <t>Identificar espais pel foment de la dinàmica natural i l'aprofitament no extractiu</t>
  </si>
  <si>
    <t xml:space="preserve">Participació en la identificació d'espais pel foment de la dinàmica natural i l'aprofitament no extractiu dins l'ENP en base a uns criteris metodològics predefinits (boscos madurs, pastures ...)
</t>
  </si>
  <si>
    <t>SENP/SFF: Definir criteris metodològics</t>
  </si>
  <si>
    <t xml:space="preserve">Nº de projectes / accions executades per a la identificació d'espais pel foment de la dinàmica natural i l'aprofitament no extractiu                                            
</t>
  </si>
  <si>
    <t>Afavorir la creació d'hàbitats per a la conservació d'espècies (projectes de recuperació de pastures com projecte Next Generation BEEP CTFC)</t>
  </si>
  <si>
    <t xml:space="preserve">Nº hectàries de creació d'hàbitats per a la conservació d'espècies
</t>
  </si>
  <si>
    <t>01.3.2</t>
  </si>
  <si>
    <t>Afavorir la maduresa dels sistemes forestals</t>
  </si>
  <si>
    <t>Participació i impuls de la planificació d'accions d'acceleració de la maduresa forestal en zones boscoses dins l'ENP en base als criteris metodològics predefinits</t>
  </si>
  <si>
    <t>Nº de projectes o propostes per afavorir la maduresa forestal en els que s'ha participat</t>
  </si>
  <si>
    <t>Execució d'accions d'acceleració de la maduresa forestal en zones boscoses dins l'ENP en base als criteris metodològics predefinits</t>
  </si>
  <si>
    <t>Superfície d'actuacions d'acceleració de la maduresa forestal en zones boscoses dins l'ENP en base als criteris metodològics predefinits</t>
  </si>
  <si>
    <t>01.3.3</t>
  </si>
  <si>
    <t>Generar pertorbacions controlades</t>
  </si>
  <si>
    <t>Implementació d'actuacions definides al PPIF 5a revisió</t>
  </si>
  <si>
    <t>Nº d'actuacions del pla de gestió d'incendis forestals executades</t>
  </si>
  <si>
    <t>ALTA</t>
  </si>
  <si>
    <t>Implementació de les actuacions definides al Pla de gestió de focs i cremes del PANESM (actuació 02.2.2)</t>
  </si>
  <si>
    <t>Nº d'actuacions del pla de gestió de focs executades</t>
  </si>
  <si>
    <t>No</t>
  </si>
  <si>
    <t>BAIXA</t>
  </si>
  <si>
    <t>Realització dels estudis necessaris i participació en la reintroducció de grans herbívors, carnívors o carronyaires dins l'ENP en base als criteris metodològics predefinits.</t>
  </si>
  <si>
    <t>Nº d'estudis realitzats</t>
  </si>
  <si>
    <t>01.3.4</t>
  </si>
  <si>
    <t xml:space="preserve">Restaurar la dinàmica natural dels rius </t>
  </si>
  <si>
    <t>Restaurar la dinàmica natural dels rius i estanys</t>
  </si>
  <si>
    <t>El parc nacional compta amb més de 200 estanys, s'ha d'incloure explíticitament</t>
  </si>
  <si>
    <t>Elaboració d'una avaluació d'alternatives multifactorial</t>
  </si>
  <si>
    <t>Nº d'infraestructures amb caducitat de la concessió avaluades</t>
  </si>
  <si>
    <t>Sol.licitud d'implementació dels cabals ecològics en aprofitaments hidroelèctrics al parc nacional i zpp</t>
  </si>
  <si>
    <t>Nº d'aforaments de cabal ecològic calculats i tramitats</t>
  </si>
  <si>
    <t>Restauració de la dinàmica natural d'estanys i rius mitjançant el desmantellament de les infraestructures hidroelèctriques associades</t>
  </si>
  <si>
    <t>Nº d'ecosistemes lacustres i fluvials restaurats - mirar restaturació PRTR + RESQUE</t>
  </si>
  <si>
    <t>01.3.5</t>
  </si>
  <si>
    <t>Fomentar el paisatge en mosaïc</t>
  </si>
  <si>
    <t xml:space="preserve">Redacció d'un pla pel manteniment d'un sistema d'espais oberts segons diferents objectius prioritaris (pastura, conservació de la biodiversitat, millora d'hàbitats, prevenció incendis) i sistemes de manteniment (cremes controlades, mitjans mecànics, ramderia extensiva ...).
</t>
  </si>
  <si>
    <t>Nº de plans de manteniment d'espais oberts redactats</t>
  </si>
  <si>
    <t>Redacció d'una guia de bones pràctiques per a la creació i mateniment de pastures</t>
  </si>
  <si>
    <t>Nº de guia de bones pràctiques elaborat</t>
  </si>
  <si>
    <t xml:space="preserve">Redacció d'un pla de pastures per a la ramaderia extensiva al parc nacional i la zpp, en base al pla d'espais oberts anterior i la capacitat de càrrega segons cada tipus d'hàbitat i la biodiversitat associada, incloent els ungulats salvatges.
</t>
  </si>
  <si>
    <t>Nº de plans de pastures redactats</t>
  </si>
  <si>
    <t>Establiment d'acords amb ramaders locals per a la realització de treballs de manteniment de pastures</t>
  </si>
  <si>
    <t>Nº d'acords assolits amb ramaders</t>
  </si>
  <si>
    <t xml:space="preserve">
Suport en la realització d'actuacions de millora d'infraestructures ramaderes i gestió ramadera mitjançant mesures de foment o actuacions directes</t>
  </si>
  <si>
    <t>Nº d'infraestructures ramaderes millorades o construides</t>
  </si>
  <si>
    <t>01.3.6</t>
  </si>
  <si>
    <t>Gestionar i intervenir en la dinàmica de poblacions de fauna que no tenen depredador natural</t>
  </si>
  <si>
    <t xml:space="preserve">Realització d'acords amb societats de caçadors / RNC mitjançant els informes dels PTGC.
</t>
  </si>
  <si>
    <t>Nº d'informes preceptius de PTGC redactats anualment</t>
  </si>
  <si>
    <t>01.4</t>
  </si>
  <si>
    <t>Alinear l'activitat de propietaris i gestors del territori amb la conservació, millora i restauració dels valors de l'ENP</t>
  </si>
  <si>
    <t>01.4.1</t>
  </si>
  <si>
    <t>Fomentar acords de custòdia en espais d'alt valor dins l'ENP per a la gestió dels elements prioritaris</t>
  </si>
  <si>
    <t>Realització d'acords de custòdia aplicant el model d'acord elaborat per Serveis Centrals</t>
  </si>
  <si>
    <t>SENP/SENP: Dissenyar el protocol i elaborar un model d'acord</t>
  </si>
  <si>
    <t>Nº d'acords de custòdia realitzats</t>
  </si>
  <si>
    <t>01.4.2</t>
  </si>
  <si>
    <t>Fomentar bones pràctiques entre els col·lectius de propietaris i gestors del territori</t>
  </si>
  <si>
    <t xml:space="preserve">Realització d'actuacions demostratives en finques pròpies per al foment de bones pràctiques                                                                                                        </t>
  </si>
  <si>
    <t>Nº d'actuacions anuals de bones pràctiques realitzades</t>
  </si>
  <si>
    <t>01.4.3</t>
  </si>
  <si>
    <t>Impulsar la coordinació amb els ens locals en la gestió finques públiques situades dins d’ENP</t>
  </si>
  <si>
    <t>Impuls de la participació activa de tots els agents implicats en els processos de planificació i gestió de les forests públiques des d'una vessant multifuncional (ús públic, serveis ecosistèmics, aprofitaments forestals i conservació i millora de la biodiversitat ) mitjançant reunions i sessions de treball conjuntes</t>
  </si>
  <si>
    <t>Nº de reunions i sessions de treball anuals realitzades</t>
  </si>
  <si>
    <t>ADAPTAR ELS ECOSISTEMES AL CANVI CLIMÀTIC i millorar-ne la resiliència en front dels riscos associats.</t>
  </si>
  <si>
    <t>02.1</t>
  </si>
  <si>
    <t>Planificar l'adaptació dels sistemes naturals al canvi climàtic</t>
  </si>
  <si>
    <t>02.1.1</t>
  </si>
  <si>
    <t>Adaptar i implementar el Pla d'adaptació de l'ENP al canvi climàtic</t>
  </si>
  <si>
    <t>Elaboració d'un Pla bàsic d'Adaptació de l'ENPE al canvi climàtic en base al Marc Estratègic de Referència d’Adaptació al Canvi Climàtic per a l’horitzó 2030 (ESCACC30) i els Plans Locals d'Adaptació al canvi climàtic.</t>
  </si>
  <si>
    <t xml:space="preserve">OCCC/SENP: Elaboració del model de Pla d'adaptació dels ENP al canvi climàtic </t>
  </si>
  <si>
    <t>Nº de plans bàsics d'Adaptació de l'ENPE al canvi climàtic redactats</t>
  </si>
  <si>
    <t>Implementació d'accions d'adaptació i mitigació al canvi climàtic incloses en el Pla bàsic d'adaptació al canvi climàtic de l'ENPE o als Plans Locals d'Adaptació al canvi climàtic</t>
  </si>
  <si>
    <t xml:space="preserve"> Nº d'actuacions d'adaptació i mitigació del canvi climàtic executades</t>
  </si>
  <si>
    <t>02.1.2</t>
  </si>
  <si>
    <t>Gestionar i planificar els recursos hídrics de l'ENP</t>
  </si>
  <si>
    <t>Avaluació de l'estat de conservació de les masses d'aigua i els recursos hídrics del parc nacional i ZPP i propostes de gestió</t>
  </si>
  <si>
    <t>Document d'avaluació de l'estat de conservació de les masses d'aigua redactat</t>
  </si>
  <si>
    <t>02.1.3</t>
  </si>
  <si>
    <t>Participar en la redacció i execució dels instruments d'ordenació forestal sostenible i per la conservació en finques públiques</t>
  </si>
  <si>
    <t xml:space="preserve">Participació en la redacció d'IOF de finques públiques
</t>
  </si>
  <si>
    <t>DGEFMN: Redacció d'IOF en finques públiques</t>
  </si>
  <si>
    <t>Nº de reunions bilaterals i sessions de treball amb la DG boscos realitzades</t>
  </si>
  <si>
    <t xml:space="preserve">Nº d'informes preceptius dels IOF </t>
  </si>
  <si>
    <t xml:space="preserve">Realització d'accions demostratives en finca pública o amb acord de custòdia
                                              </t>
  </si>
  <si>
    <t>Nº d'accions demostratives realitzades (millora maduresa forestal o millora hàbitats)</t>
  </si>
  <si>
    <t xml:space="preserve">Realització de tractaments silvícoles i tallades selectives
</t>
  </si>
  <si>
    <t>ha de tractaments silvícoles realitzats</t>
  </si>
  <si>
    <t xml:space="preserve">
Promoció als ens locals de la sol.licitud d'ajuts disponibles per a incentivar els serveis ecosistèmics per a la gestió forestal sostenible en finques públiques</t>
  </si>
  <si>
    <t>Nº d'expedients d'ajuts sol.licitats promoguts</t>
  </si>
  <si>
    <t>02.1.4</t>
  </si>
  <si>
    <t>Promoure la redacció d'instruments d'ordenació forestal per reduir la sensibilitat i vulnerabilitat dels boscos al canvi climàtic en finques privades</t>
  </si>
  <si>
    <t>Optatiu</t>
  </si>
  <si>
    <t>Realització d'accions per donar a conèixer subvencions entre propietaris</t>
  </si>
  <si>
    <t>Nº d'accions de promoció reallitzades</t>
  </si>
  <si>
    <t>02.2</t>
  </si>
  <si>
    <t xml:space="preserve">Planificar la prevenció i extinció d’incendis forestals i la gestió del foc de forma coordinada amb els diferents agents del territori </t>
  </si>
  <si>
    <t>02.2.1</t>
  </si>
  <si>
    <t xml:space="preserve">Redactar i implementar el Pla de Prevenció d'Incendis </t>
  </si>
  <si>
    <t>Redacció PPIF (cinquena revisió), inclosa la tramitació ambiental</t>
  </si>
  <si>
    <t>Equip de PPI: Disseny del protocol de treball</t>
  </si>
  <si>
    <t xml:space="preserve">Nº de PPIF redactats i aprovats </t>
  </si>
  <si>
    <t>Implementació d'actuacions recollides al PPIF (punts d'aigua, PEGs, FATs, senyalització i altres)</t>
  </si>
  <si>
    <t>Nº d'actuacions anuals executades</t>
  </si>
  <si>
    <t>02.2.2</t>
  </si>
  <si>
    <t>Definir i planificar la gestió del foc per a la millora de l'ENP</t>
  </si>
  <si>
    <r>
      <rPr>
        <sz val="11"/>
        <color rgb="FF000000"/>
        <rFont val="Calibri"/>
        <family val="2"/>
        <scheme val="minor"/>
      </rPr>
      <t>Redacció d'un pla de gestió del foc i de cremes del parc nacional, ZPPP i ZEC Aigüestortes.</t>
    </r>
    <r>
      <rPr>
        <sz val="11"/>
        <color rgb="FFFF0000"/>
        <rFont val="Calibri"/>
        <family val="2"/>
        <scheme val="minor"/>
      </rPr>
      <t xml:space="preserve">        </t>
    </r>
    <r>
      <rPr>
        <sz val="11"/>
        <color rgb="FF000000"/>
        <rFont val="Calibri"/>
        <family val="2"/>
        <scheme val="minor"/>
      </rPr>
      <t xml:space="preserve">                                                    </t>
    </r>
  </si>
  <si>
    <t>SPEN: Elaboració d'un model de pla de gestió</t>
  </si>
  <si>
    <t>Nº de plans de gestió de focs redactats</t>
  </si>
  <si>
    <t>02.2.3</t>
  </si>
  <si>
    <t>Treballar per a la prevenció d'incendis juntament amb els propietaris, ajuntaments, protecció civil, ADF i bombers.</t>
  </si>
  <si>
    <t xml:space="preserve">Implementació d'accions incloses dins del PPIF o el Pla de gestió de focs conjunta entre l'ENPE i  propietaris, ajuntaments, bombers, protecció civil i ADFs                  </t>
  </si>
  <si>
    <t>Nº d'accions realitzades conjuntament amb altres agents per a la prevenció d'incendis forestals</t>
  </si>
  <si>
    <t>PROTEGIR LA BIODIVERSITAT, i especialment els elements fràgils i amenaçats, d’interès comunitari o de major interès natural.</t>
  </si>
  <si>
    <t>03.1</t>
  </si>
  <si>
    <t>Prevenir, minimitzar i compensar els impactes ambientals dels usos i activitats que es desenvolupin en l'àmbit de l'ENP</t>
  </si>
  <si>
    <t>03.1.1</t>
  </si>
  <si>
    <t>Participar en les consultes dels procesos d'Avaluació Ambiental que afectin directament o indirectament l’espai del ENP</t>
  </si>
  <si>
    <t>Redacció d'informes preceptius en tramitacions d'AA</t>
  </si>
  <si>
    <t>Nº d'informes preceptius d'AIA i AAE anuals redactats</t>
  </si>
  <si>
    <t>03.1.2</t>
  </si>
  <si>
    <t>Exercir un seguiment efectiu de les obres al Parc juntament amb les Oficines Territorials d'Acció i Avaluació Ambiental als efectes d'assegurar la correcta translació de la tutela administrativa.</t>
  </si>
  <si>
    <t>Seguiment d'obres i actuacions informades en ENPE i ZEC Aigüestortes</t>
  </si>
  <si>
    <t>Nº d'informes de seguiment realitzats pel CAR supervisats</t>
  </si>
  <si>
    <t>03.1.3</t>
  </si>
  <si>
    <t>Participar en la compensació d'impactes residuals durant els processos d'avaluació ambiental mitjançant la identificació de necessitats d'actuació prioritària dins i fora dels límits de l’ENP</t>
  </si>
  <si>
    <t>Elaboració de llistat de mesures coorectores i compensatòries per tipologia de projecte o pla</t>
  </si>
  <si>
    <t>Llistat de mesures correctores i compensatòries per tipologia de projecte o pla</t>
  </si>
  <si>
    <t>Inclusió de mesures compensatòries identificades en els informes preceptius de projectes i plans</t>
  </si>
  <si>
    <t xml:space="preserve">Nº d'informes en els quals s'han inclòs mesures compensatòries </t>
  </si>
  <si>
    <t>03.2</t>
  </si>
  <si>
    <t>Garantir el compliment dels objectius de conservació dotant l'ENP de la planificació adequada segons estableix la normativa vigent (Pla de Protecció, PRUG, plans específics...)</t>
  </si>
  <si>
    <t>03.2.1</t>
  </si>
  <si>
    <t>Participar en l'elaboració dels instruments de planificació de l'ENP</t>
  </si>
  <si>
    <t>Renovació del PRUG juntament amb SPEN i OAPN</t>
  </si>
  <si>
    <t>SPEN: Elaboració del Pla rector d'usos i gestió.
SPEN: Elaboració del Pla rector d'usos i gestió</t>
  </si>
  <si>
    <t>PRUG en el qual s'ha participat</t>
  </si>
  <si>
    <t>03.3</t>
  </si>
  <si>
    <t>Vetllar pel manteniment dels cabals ecològics i la bona qualitat dels cursos fluvials de l'ENP de forma coordinada amb l'administració competent</t>
  </si>
  <si>
    <t>03.3.1</t>
  </si>
  <si>
    <t>Vetllar pel manteniment del cabal ecològic dels rius definit al Pla sectorial corresponent</t>
  </si>
  <si>
    <t xml:space="preserve">Elaboració d'una diagnosi amb cartografia associada de totes les estacions d'aforament i sensosrs instal.lats al parc nacional i ZPP
</t>
  </si>
  <si>
    <t>ACA/CHE: Determinar els cabals ecològics en espais naturals protegits</t>
  </si>
  <si>
    <t>Diagnosi d'elements de mesura instal.lats</t>
  </si>
  <si>
    <t>Realització d'un seguiment estandarditzat de cabals en l'àmbit del parc</t>
  </si>
  <si>
    <t>Nº de seguiments anuals realitzats en trams de riu</t>
  </si>
  <si>
    <t>Establiment d'una metodologia per calcular els cabals ecològics</t>
  </si>
  <si>
    <t>Document metodologic redactat</t>
  </si>
  <si>
    <t xml:space="preserve">
Participació en les negociacions sectorials amb incidència a l'espai, com el Pla Hidrològic de la Conca de l'Ebre
</t>
  </si>
  <si>
    <t>Nº de participacions anuals</t>
  </si>
  <si>
    <t>03.3.2</t>
  </si>
  <si>
    <t>Vetllar per la regulació dels dragatges, canalitzacions o implantació d'activitats extractives que puguin modificar la llera i el cabal dels rius</t>
  </si>
  <si>
    <t>Emisió d'informes preceptius vinculats a dragatges, canalitzacions o activitats extractives.</t>
  </si>
  <si>
    <t>Nº d'informes preceptius emesos</t>
  </si>
  <si>
    <t>03.3.3</t>
  </si>
  <si>
    <t>Avaluar i controlar les actuacions que produeixin drenatges, captacions o que puguin impedir l’arribada d’aigua tant superficial com freàtica</t>
  </si>
  <si>
    <t>Participació, de forma coordinada amb l'administració competent, en l'avaluació i control d'actuacions dins els límits de l'ENP.</t>
  </si>
  <si>
    <t>Impuls del control per incompliment de la normativa i el seu trasllat cap a l'administració competent.</t>
  </si>
  <si>
    <t>Nº de reunions de coordinació amb CAR</t>
  </si>
  <si>
    <t>03.3.4</t>
  </si>
  <si>
    <t>Vetllar pel compliment de la normativa de depuració dels efluents agroramaders, urbans, industrials i assimilables a domèstics que s'aboquen als cursos fluvials</t>
  </si>
  <si>
    <t>S'inclouen els abocaments assimilables a domèstics per poder valorar els dels refugis dins del PNAESM i ZPP</t>
  </si>
  <si>
    <t xml:space="preserve">Seguiment i control dels abocaments en refugis </t>
  </si>
  <si>
    <t>Nº d'autoritzacions i concessions vigents</t>
  </si>
  <si>
    <t>03.4</t>
  </si>
  <si>
    <t>Incrementar el patrimoni públic destinat a la conservació i millora del patrimoni natural</t>
  </si>
  <si>
    <t>03.4.1</t>
  </si>
  <si>
    <t xml:space="preserve">Identificar espais prioritaris per a la compra de terrenys de més valor dins l'ENP </t>
  </si>
  <si>
    <t>Actualització del document d'avaluació i identificació de finques prioritàries per a la seva adquisició, amb cartografia associada</t>
  </si>
  <si>
    <t>SENP/SPEN: Facilitar els criteris a seguir</t>
  </si>
  <si>
    <t>Nº de registres actualitzats</t>
  </si>
  <si>
    <t>03.4.2</t>
  </si>
  <si>
    <t>Identificar espais prioritaris per a la gestió directa</t>
  </si>
  <si>
    <t>Foment de la compra , adquisició o compensació dels drets d’aprofitament forestal</t>
  </si>
  <si>
    <t>Nº de drets comprats o compensats</t>
  </si>
  <si>
    <t xml:space="preserve"> CULTURA</t>
  </si>
  <si>
    <t>CONSERVAR ELS ELEMENTS CULTURALS materials i immaterials vinculats a la natura</t>
  </si>
  <si>
    <t>04.1</t>
  </si>
  <si>
    <t>Millorar el coneixement disponible sobre el patrimoni arquitectònic i cultural (material i immaterial) vinculat al patrimoni natural, el seu estat de conservació i els estils propis dels territoris de l'ENP</t>
  </si>
  <si>
    <t>04.1.1</t>
  </si>
  <si>
    <t>Elaborar l'inventari i cartografia de patrimoni cultural de l'ENP, que també inclogui el patrimoni etnològic i immaterial</t>
  </si>
  <si>
    <t>Elaborar l'inventari d'infraestructures agroramaderes del parc nacional</t>
  </si>
  <si>
    <t>Nº d'inventaris d'infraestructures ramaderes realitzades</t>
  </si>
  <si>
    <t>Elaboració de l'inventari</t>
  </si>
  <si>
    <t>NO</t>
  </si>
  <si>
    <t>SI</t>
  </si>
  <si>
    <t>04.1.2</t>
  </si>
  <si>
    <t>Elaborar el catàleg lingüístic (localismes) de patrimoni natural, geografia popular, festes i activitats tradicionals de l'ENP</t>
  </si>
  <si>
    <t>Revisió i actualització de les guies temàtiques del Parc i altres publicacions</t>
  </si>
  <si>
    <t>Publicacions que fan referència a les parles</t>
  </si>
  <si>
    <t>04.1.3</t>
  </si>
  <si>
    <t>Elaborar la cartografia de la xarxa de camins ramaders i senders tradicionals de l'ENP</t>
  </si>
  <si>
    <t>Elaboració de la revisió integral del pla de senders del Parc Nacional</t>
  </si>
  <si>
    <t xml:space="preserve">Nº de plans de senders i cartografia revisada i actualitzada </t>
  </si>
  <si>
    <t>Revisió de la cartografia de la xarxa de camins ramaders</t>
  </si>
  <si>
    <t>Participació en trobades per debatre sobre el tema</t>
  </si>
  <si>
    <t>04.2</t>
  </si>
  <si>
    <t>Conservar i gestionar el patrimoni cultural de l'ENP de forma coordinada amb els agents responsables i entitats de referència</t>
  </si>
  <si>
    <t>04.2.1</t>
  </si>
  <si>
    <t>Identificar els ens de referència en patrimoni cultural (entitats, associacions, museus i ecomuseus, etc.) en l'àmbit de l'ENP</t>
  </si>
  <si>
    <t>Actualització dels ens de referència en patrimoni cultural</t>
  </si>
  <si>
    <t>Actualització del cens</t>
  </si>
  <si>
    <t>04.2.2</t>
  </si>
  <si>
    <t>Articular treballs conjunts entre l'ENP i representants, gestors o custodis del patrimoni cultural per a la seva protecció i millora</t>
  </si>
  <si>
    <t xml:space="preserve">Participació en el programa "Parcs i Museus"                                                                                           </t>
  </si>
  <si>
    <t>Participació</t>
  </si>
  <si>
    <t>04.2.3</t>
  </si>
  <si>
    <t>Coordinar i participar dels treballs de restauració arquitectònica i del patrimoni cultural</t>
  </si>
  <si>
    <t>Coordinació de l'equip tècnic (propi) amb els responsables dels treballs de restauració arquitectònica i del patrimoni cultural</t>
  </si>
  <si>
    <t>Nº de reunions de coordinació anuals</t>
  </si>
  <si>
    <t>Participació quan els treballs estan vinculats a l’àrea d’ús públic de l’ENP</t>
  </si>
  <si>
    <t>Nº de participacions en treballs vinculats a l'àrea d'UP</t>
  </si>
  <si>
    <t>04.2.4</t>
  </si>
  <si>
    <t>Disposar de personal especialitzat en patrimoni cultural</t>
  </si>
  <si>
    <t>Creació d'una plaça d'un tècnic de patrimoni cultural</t>
  </si>
  <si>
    <t>Creació de la plaça</t>
  </si>
  <si>
    <t>04.3</t>
  </si>
  <si>
    <t>Potenciar la conservació i recuperació del patrimoni cultural material i immaterial de l'ENP</t>
  </si>
  <si>
    <t>04.3.1</t>
  </si>
  <si>
    <t xml:space="preserve">Recuperar i conservar el patrimoni cultural rural immaterial associat a les activitats i aprofitaments tradicionals </t>
  </si>
  <si>
    <t>Donar suport material i logístic a les activitats vinculades al patrimoni immaterial de l'àmbit del parc per conservar-les: fires, falles, aplecs ...</t>
  </si>
  <si>
    <t xml:space="preserve">Nº de suports en activitats vinculades al patrimoni immaterial de l'àmbit del parc </t>
  </si>
  <si>
    <t>Projectes de recuperació del patrimoni rural immaterial</t>
  </si>
  <si>
    <t>Nº projectes</t>
  </si>
  <si>
    <t>04.3.2</t>
  </si>
  <si>
    <t>Recuperar i conservar el patrimoni cultural rural vinculat específicament a construccions de pedra en sec</t>
  </si>
  <si>
    <t>Recuperació i manteniment de murs de pedra seca a la xarxa de camins del parc nacional</t>
  </si>
  <si>
    <t>Nº d'actuacions de restauració de pedra seca</t>
  </si>
  <si>
    <t>04.3.3</t>
  </si>
  <si>
    <t xml:space="preserve">Fomentar la recuperació i conservació de l'arquitectura tradicional d'interès de les edificacions i construccions </t>
  </si>
  <si>
    <t>Potenciació de les mesures de foment per a la rehabilitació de bordes, cabanes i altres construccions rurals aïllades</t>
  </si>
  <si>
    <t>Nº d'ajuts de conservació d'arquitectura tradicional d'interès de les edificacions i construccions concedits</t>
  </si>
  <si>
    <t>Elaboració d'un manual de bones pràctiques de rehabilitació de construccions rurals aïllades</t>
  </si>
  <si>
    <t>Nº de manuals de bones pràctiques elaborat</t>
  </si>
  <si>
    <t xml:space="preserve">Fomentar la recuperació i conservació de l'arquitectura tradicional d'intrès de les edificacions i construccions </t>
  </si>
  <si>
    <t>Potenciació de la millora, restauració i conservació d'edificis singulars i instal·lacions tradicionals d'interès historicoarqueològic, com ara ermites, cabanes d'ús comunal, i també altres elements d'obra civil, patrimoni industrial, arqueològic caracteritzadors del paisatge i del territori.</t>
  </si>
  <si>
    <t xml:space="preserve">Nº edificis conservats </t>
  </si>
  <si>
    <t xml:space="preserve">Centre de la Mola d’Espot com a equipament de difusió del patrimoni </t>
  </si>
  <si>
    <t>04.3.4</t>
  </si>
  <si>
    <t>Identificar i conservar la diversitat domesticada de varietats agrícoles i ramaderes locals</t>
  </si>
  <si>
    <t>Suport en la identificació i conservació de la biodiversitat domesticada de varietats agrícoles i ramaderes locals a l'ENPE</t>
  </si>
  <si>
    <t>Nº d'activitats de suport realitzades</t>
  </si>
  <si>
    <t>04.4</t>
  </si>
  <si>
    <t xml:space="preserve">Donar a conèixer els elements culturals com a valors del paisatge de l'ENP en les activitats d'ús públic </t>
  </si>
  <si>
    <t>04.4.1</t>
  </si>
  <si>
    <t>Integrar el patrimoni cultural als itineraris i cartelleria de l'ENP.</t>
  </si>
  <si>
    <t>Número de cartells instal·lats, suggeriments rebuts i jornades realitzades.</t>
  </si>
  <si>
    <t>04.4.2</t>
  </si>
  <si>
    <t>Incorporar el patrimoni cultural en els plans d’ús públic i educació ambiental per fomentar-ne la seva conservació i divulgació.</t>
  </si>
  <si>
    <t>Incorporar el patrimoni cultural i industrial en els plans d’ús públic i educació ambiental per fomentar-ne la seva conservació i divulgació.</t>
  </si>
  <si>
    <t>Incorporació d'elements del patrimoni cultural</t>
  </si>
  <si>
    <t>04.4.3</t>
  </si>
  <si>
    <t>Formar el personal dels punts d’informació en els valors culturals de l'ENP</t>
  </si>
  <si>
    <t>Sessions realitzade al personal sobre valors culturals del Parc</t>
  </si>
  <si>
    <t>Nº sessions realitzades</t>
  </si>
  <si>
    <t>PROTEGIR EL PAISATGE i la qualitat de l'ambient visual, sonor i lumínic.</t>
  </si>
  <si>
    <t>05.1</t>
  </si>
  <si>
    <t>Identificar els elements d'interès paisatgístic de l'espai</t>
  </si>
  <si>
    <t>05.1.1</t>
  </si>
  <si>
    <t xml:space="preserve">Elaborar un inventari d'elements d'interès paisatgístic de l'ENP d'acord amb el Catàleg de paisatge de la zona </t>
  </si>
  <si>
    <t>Elaborar un inventari d'elements d'interès paisatgístic de l'ENP</t>
  </si>
  <si>
    <t>Nº d'inventaris d'elements d'interès paisatgístic realitzats</t>
  </si>
  <si>
    <t>05.2</t>
  </si>
  <si>
    <t>Millorar la qualitat paisatgística</t>
  </si>
  <si>
    <t>05.2.1</t>
  </si>
  <si>
    <t>Desplegar actuacions de restauració dels elements d'interès paisatgístic degradats</t>
  </si>
  <si>
    <t>Realització o promoció d'actuacions de restauració dels elements del paisatge degradats</t>
  </si>
  <si>
    <t>Nº d'accions de restauració realitzades</t>
  </si>
  <si>
    <t>05.2.2</t>
  </si>
  <si>
    <t>Gestionar l'abandonament d'infraestructures i instal·lacions amb impactes sobre els valors de l'espai</t>
  </si>
  <si>
    <t xml:space="preserve">Elaboració d'un inventari d'infraestructures obsoletes, dels punts amb presència d'enderrocs en l'entorn de les infraestructures hidroelèctriques o d'integració paisatgística                                                                                                                                                                 </t>
  </si>
  <si>
    <t>Nº d'inventaris d'infraestructures obsoletes</t>
  </si>
  <si>
    <t xml:space="preserve">Desmantellament i eliminació d'infraestructures obsoletes, estructures artificials  abandonades, línies elèctriques, enderrocs.
                                                                                                                                                                                                                                                                     </t>
  </si>
  <si>
    <t>Nº d'infraestructrures obsoletes desmantellades o eliminades anualment</t>
  </si>
  <si>
    <t xml:space="preserve">Col·laboració amb les empreses titulars de les instal·lacions hidroelèctriques, per realitzar obres de millora dirigides a reduir l'impacte negatiu en el paisatge que causen aquestes instal·lacions.                                                                                                                                                                </t>
  </si>
  <si>
    <t>Nº d'autoritzacions condicionades amb eliminació d'infraestructures obsoletes emeses anualment</t>
  </si>
  <si>
    <t>05.2.3</t>
  </si>
  <si>
    <t>Minimitzar la brutícia, deixalles, vandalisme i males praxis dins l'ENP</t>
  </si>
  <si>
    <t>Retirada de deixalles i reparació d'elements afectats per vandalisme</t>
  </si>
  <si>
    <t>Hores de treball de brigada dedicades a la retirada de deixalles i reparació d'elements afectats</t>
  </si>
  <si>
    <t>Mantenir un servei de neteja de les zones més visitades.</t>
  </si>
  <si>
    <t>Nº material divulgatiu publicat</t>
  </si>
  <si>
    <t>Material divulgatiu elaborat pel Parc</t>
  </si>
  <si>
    <t>05.3</t>
  </si>
  <si>
    <t>Protegir la qualitat acústica i lumínica de l'ENP</t>
  </si>
  <si>
    <t>05.3.1</t>
  </si>
  <si>
    <t>Promoure la certificació de qualitat del cel nocturn</t>
  </si>
  <si>
    <t>Renovació de la certificació i revisió del pla d'acció Starlight</t>
  </si>
  <si>
    <t>Nº de plans revisats i certificacions renovades</t>
  </si>
  <si>
    <t>Participació en el POCTEFA Pyre Nite per posar en valor la conservació del cel nocturn als Pirineus</t>
  </si>
  <si>
    <t>Acompliment de les accions del projecte (%)</t>
  </si>
  <si>
    <t>Realització de noves activitats sobre astronomia a les 4 comarques per empreses o associacions</t>
  </si>
  <si>
    <t>Nº de noves activitats sobre astronomia a les 4 comarques per empreses o associacions respecte l'any 2016 quan encara no s'havia engegat el procés de candidatura Starlight.</t>
  </si>
  <si>
    <t>Execució de les accions planificades al Pla d'Acció Starlight</t>
  </si>
  <si>
    <t>Nº d'accions del Pla d'Acció Statlight executades anualment</t>
  </si>
  <si>
    <t>05.3.2</t>
  </si>
  <si>
    <t>Promoure la certificació de zones d'especial protecció de la qualitat acústica</t>
  </si>
  <si>
    <t>Incorporar criteris de prevenció de la contaminació acústica en les autoritzacions de noves activitats .</t>
  </si>
  <si>
    <t>Elaboració de fitxa informativa</t>
  </si>
  <si>
    <t>Informació del projecte i protocol guia d'atenció.</t>
  </si>
  <si>
    <t>Nº de xerrades, edició del fulletó</t>
  </si>
  <si>
    <t>Revisió del pla d'acció ZEPQA</t>
  </si>
  <si>
    <t>Nº de plans renovats i aprovats</t>
  </si>
  <si>
    <t>Execució de les accions planificades en el pla d'acció ZEPQA</t>
  </si>
  <si>
    <t>Nº d'accions del Pla d'Acció ZEPQA executades anualment</t>
  </si>
  <si>
    <t xml:space="preserve">CONEIXEMENT </t>
  </si>
  <si>
    <t>MILLORAR EL CONEIXEMENT DE L'ENTORN, del patrimoni natural, cultural i social.</t>
  </si>
  <si>
    <t>06.1</t>
  </si>
  <si>
    <t>Identificar els objectes de gestió prioritària de l'ENP en el marc dels objectius de govern</t>
  </si>
  <si>
    <t>06.1.1</t>
  </si>
  <si>
    <t>Identificar i prioritzar els elements clau i d'interès per la gestió de la biodiversitat i geodiversitat de Catalunya es troben dins l'ENP (especies amenaçades, espècies exòtiques invasores,.. )</t>
  </si>
  <si>
    <t xml:space="preserve">Participació en la definició dels objectes de conservació clau (hàbitats, espècies, processos i elements d’interès geològic) comuns a nivell de Xarxa d'ENP.                                                                                                                                                                                    </t>
  </si>
  <si>
    <t>Directriva Habitats
Carta emplaçament
ESNATURA
Catàlegs</t>
  </si>
  <si>
    <t>UIC/SFF/SPEN: Definir criteris d'identificació d'elements interès.
UIC/SFF/SPEN: Definició dels objectes de conservació clau comuns a nivell de Xarxa d'ENP o clúster territorial</t>
  </si>
  <si>
    <t>Nº de reunions en les quals s'ha participat</t>
  </si>
  <si>
    <t xml:space="preserve">Creació de catàlegs d'espècies del parc per grups florístics i faunístics.                                                                                                                                                               </t>
  </si>
  <si>
    <t>Nº de catàlegs elaborats</t>
  </si>
  <si>
    <t xml:space="preserve">Elaboració de diagnosi de l'estat de conservació dels elements clau d'interès per a la gestió de la biodiversitat i geodiversitat a l'ENPE identificats i prioritzats.                                                                                                                                                                          </t>
  </si>
  <si>
    <t>Nº de diagnosis elaborades</t>
  </si>
  <si>
    <t xml:space="preserve">Elaboració d'un inventari i una cartografia dels elements geològics i geomorfològics singulars, existents en el Parc Nacional            
</t>
  </si>
  <si>
    <t xml:space="preserve">Nº d'inventaris i cartografia dels elements geològics i geomorfològics singulars realitzats </t>
  </si>
  <si>
    <t>06.1.2</t>
  </si>
  <si>
    <t>Definir espais fràgils i zones d'especial atenció</t>
  </si>
  <si>
    <t xml:space="preserve">Elaboració d'un inventari de zones humides 
</t>
  </si>
  <si>
    <t>SPEN: Inventari i cartografia d'espais fràgils i zones d'especial atenció</t>
  </si>
  <si>
    <t>Nº d'inventaris de zones humides realitzat</t>
  </si>
  <si>
    <t>Definició d'espais fràgils i zones d'especial atenció dels elements clau i d'interès per a la gestió de la biodiversitat i geodiversitat</t>
  </si>
  <si>
    <t>Nº d'espais fràgils i zones d'especial atenció dels elements clau i d'interès per a la gestió de la biodiversitat i geodiversitat definits</t>
  </si>
  <si>
    <t>Creació d'espais fràgils i zones d'especial atenció</t>
  </si>
  <si>
    <t>Nº d'espais fràgils i zones d'especial atenció creades</t>
  </si>
  <si>
    <t>Regular les accions i activitats relacionades amb la declaració de zona tranquil·la</t>
  </si>
  <si>
    <t>Integració de les activitats als diferents plans</t>
  </si>
  <si>
    <t>06.2</t>
  </si>
  <si>
    <t>Conèixer l'estat de conservació i la seva tendència dels hàbitats, les espècies els elements de la gea i els processos ecològics com a eina per avaluar i optimitzar la gestió</t>
  </si>
  <si>
    <t>06.2.1</t>
  </si>
  <si>
    <t>Participar en l'elaboració de la cartografia que elabora la UIC</t>
  </si>
  <si>
    <t xml:space="preserve">Participació en la programació de la realització de la cartografia d'hàbitats en el contracte plurienal que existeix amb GeoVeg-UB                         </t>
  </si>
  <si>
    <t>UIC: Coordinar i contractar l'elaboració de la cartografia</t>
  </si>
  <si>
    <t>Nº de reunions realitzades</t>
  </si>
  <si>
    <t>06.2.2</t>
  </si>
  <si>
    <t>Conèixer i estudiar els processos naturals propis de l’espai, la seva funcionalitat, i ecologia en referència als ecosistemes</t>
  </si>
  <si>
    <t xml:space="preserve">Implementació del protocol de fluxos d'informació i coneixement de biodiversitat
</t>
  </si>
  <si>
    <t>Percentatge d'estudis elaborats des del Parc aportats anualment a la UIC</t>
  </si>
  <si>
    <t>Foment i coordinació dels estudis d'ecologia del foc, el règim hidrològic, la pol·linització, la tipificació i funcionament de les cadenes tròfiques pròpies de l’espai, la dinàmica de la neu i les allaus, dinàmica litoral, dinàmica geomorfològica i morfodinàmica de les roques, etc.</t>
  </si>
  <si>
    <t xml:space="preserve">Nº d'estudis realitzats /coordinats </t>
  </si>
  <si>
    <t>Creació d'una xarxa de llocs privilegiats per escoltar els sons de la natura</t>
  </si>
  <si>
    <t>Nº de punts creats</t>
  </si>
  <si>
    <t>06.2.3</t>
  </si>
  <si>
    <t>Conèixer els usos i factors de canvi rellevants en l'evolució dels elements de conservació, i avaluar els efectes que generen en l’espai (pressions i amenaces)</t>
  </si>
  <si>
    <r>
      <rPr>
        <sz val="11"/>
        <color rgb="FF000000"/>
        <rFont val="Calibri"/>
        <family val="2"/>
        <scheme val="minor"/>
      </rPr>
      <t xml:space="preserve">Foment de l'estudi de l'afectació de determinats processos naturals o activitats antròpiques (contaminació, fragmentació d'hàbitats, atropellaments, pràctiques agrícoles o forestals, cremes, pistes d'esquí) en l'ENP (amenaces i impacte ambiental)  </t>
    </r>
    <r>
      <rPr>
        <sz val="11"/>
        <color rgb="FFFF0000"/>
        <rFont val="Calibri"/>
        <family val="2"/>
        <scheme val="minor"/>
      </rPr>
      <t xml:space="preserve">                                                                                                                </t>
    </r>
    <r>
      <rPr>
        <sz val="11"/>
        <color rgb="FF000000"/>
        <rFont val="Calibri"/>
        <family val="2"/>
        <scheme val="minor"/>
      </rPr>
      <t xml:space="preserve">                                                                                                          </t>
    </r>
  </si>
  <si>
    <t xml:space="preserve">SENP/UIC: Elaborar la classificació i cartografia de les pressions o factors de canvi sobre el medi natural </t>
  </si>
  <si>
    <t>Nº d'estudis o projectes relacionats amb l'impacte del canvi climàtic en l'ENP</t>
  </si>
  <si>
    <r>
      <rPr>
        <sz val="11"/>
        <color rgb="FF000000"/>
        <rFont val="Calibri"/>
        <family val="2"/>
        <scheme val="minor"/>
      </rPr>
      <t xml:space="preserve">Avaluació de l'impacte del canvi climàtic en l'ENP i la seva capacitat d'adaptació i resiliència a partir de projectes de recerca i transferència
</t>
    </r>
    <r>
      <rPr>
        <sz val="11"/>
        <color rgb="FFFF0000"/>
        <rFont val="Calibri"/>
        <family val="2"/>
        <scheme val="minor"/>
      </rPr>
      <t xml:space="preserve">                                                                                                             </t>
    </r>
    <r>
      <rPr>
        <sz val="11"/>
        <color rgb="FF000000"/>
        <rFont val="Calibri"/>
        <family val="2"/>
        <scheme val="minor"/>
      </rPr>
      <t xml:space="preserve">                                                                                                          </t>
    </r>
  </si>
  <si>
    <t>Nº d'estudis o projectes realitzats</t>
  </si>
  <si>
    <r>
      <rPr>
        <sz val="11"/>
        <color rgb="FF000000"/>
        <rFont val="Calibri"/>
        <family val="2"/>
        <scheme val="minor"/>
      </rPr>
      <t xml:space="preserve">Avaluació dels resultats de les estratègies de gestió aplicades en l'ENP
 </t>
    </r>
    <r>
      <rPr>
        <sz val="11"/>
        <color rgb="FFFF0000"/>
        <rFont val="Calibri"/>
        <family val="2"/>
        <scheme val="minor"/>
      </rPr>
      <t xml:space="preserve">                                                                                                                </t>
    </r>
    <r>
      <rPr>
        <sz val="11"/>
        <color rgb="FF000000"/>
        <rFont val="Calibri"/>
        <family val="2"/>
        <scheme val="minor"/>
      </rPr>
      <t xml:space="preserve">                                                                                                          </t>
    </r>
  </si>
  <si>
    <t>Nº d'avaluacions realitzades</t>
  </si>
  <si>
    <r>
      <rPr>
        <sz val="11"/>
        <color rgb="FF000000"/>
        <rFont val="Calibri"/>
        <family val="2"/>
        <scheme val="minor"/>
      </rPr>
      <t xml:space="preserve">Col.laboració amb l'Observatori per aportar els coneixements generats a l'ENP        </t>
    </r>
    <r>
      <rPr>
        <sz val="11"/>
        <color rgb="FFFF0000"/>
        <rFont val="Calibri"/>
        <family val="2"/>
        <scheme val="minor"/>
      </rPr>
      <t xml:space="preserve">                                                                                                                </t>
    </r>
    <r>
      <rPr>
        <sz val="11"/>
        <color rgb="FF000000"/>
        <rFont val="Calibri"/>
        <family val="2"/>
        <scheme val="minor"/>
      </rPr>
      <t xml:space="preserve">                                                                                                          </t>
    </r>
  </si>
  <si>
    <t>Nº d'aportacions a l'observatori</t>
  </si>
  <si>
    <t>Campanyes de mesura de la qualitat acústica</t>
  </si>
  <si>
    <t>Comparativa de l'evolució dels nivells d'immissió sonora</t>
  </si>
  <si>
    <t>06.2.4</t>
  </si>
  <si>
    <t>Conèixer l'impacte de les gestió de l'aigua, sobre la biodiversitat.</t>
  </si>
  <si>
    <t xml:space="preserve">Implementació d'un programa de seguiment de l’estat hidrològic de les masses d’aigua
</t>
  </si>
  <si>
    <t>Nº de programes de seguiment elaborats</t>
  </si>
  <si>
    <t>Establiment d’una xarxa automatitzada de control (sensors, inventaris, models hidrològics, etc.).</t>
  </si>
  <si>
    <t xml:space="preserve">Nº d'aparells per al control de paràmetres hidrològics instal.lats </t>
  </si>
  <si>
    <t>06.2.5</t>
  </si>
  <si>
    <t>Participar en el coneixement de la tendència d'espècies plaga amb afectacions sobre ecosistemes o activitats econòmiques dins l'ENP</t>
  </si>
  <si>
    <t>Realització de seguiments anuals de plagues i malures al parc nacional</t>
  </si>
  <si>
    <t xml:space="preserve">Nº de seguiments anuals en els quals s'ha participat </t>
  </si>
  <si>
    <t xml:space="preserve">Participació en dels estudis de les autoritats competents i centres de recerca                                                                                                                      </t>
  </si>
  <si>
    <t>Nº d'estudis sobre espècies plaga en els que s'ha participat des del Parc</t>
  </si>
  <si>
    <t>06.2.6</t>
  </si>
  <si>
    <t>Conèixer la tendència d'espècies exòtiques invasores amb afectacions sobre ecosistemes o activitats econòmiques dins l'ENP</t>
  </si>
  <si>
    <t>Realització i foment d'estudis de forma coordinada amb el SFF</t>
  </si>
  <si>
    <t>Nº d'estudis realitzats o fomentats de forma coordinada amb el SFF</t>
  </si>
  <si>
    <t>06.2.7</t>
  </si>
  <si>
    <t>Coneixer com millorar la connectivitat de forma coordinada amb altres ENP</t>
  </si>
  <si>
    <t xml:space="preserve">Elaboració d'una cartografia detallada i actualitzada de connectors ecològics                                                                                                                               </t>
  </si>
  <si>
    <t>Nº de cartografia generada de connectors ecològics</t>
  </si>
  <si>
    <t>06.3</t>
  </si>
  <si>
    <t xml:space="preserve">Estandaritzar els seguiments periòdics dels grups clau </t>
  </si>
  <si>
    <t>06.3.1</t>
  </si>
  <si>
    <t>Participar en la definició del sistema estàndard de seguiment de flora, fauna i hàbitats de la DG</t>
  </si>
  <si>
    <t xml:space="preserve">Suport a la UIC en la definició dels sistemes de seguiment </t>
  </si>
  <si>
    <t>UIC/SFF/SENP: Crear espais de participació
UIC/SFF: Definir el sistema estàndard de seguiment i el protocol d'aplicació</t>
  </si>
  <si>
    <t>Nº d'accions de suport efectuades</t>
  </si>
  <si>
    <t>06.3.2</t>
  </si>
  <si>
    <t>Adequar i executar el sistema de seguiment periòdic dels grups clau de l'ENP al sistema estàndard de seguiment</t>
  </si>
  <si>
    <t xml:space="preserve">Adaptació del PSB del Pac a la versió més recent del sistema estàndard de seguiment aportada per la UIC                                                                                          </t>
  </si>
  <si>
    <t>UIC/SFF: Definir el sistema estàndard de seguiment i el protocol d'aplicació
UIC: Elaborar el protocol d'informació i coneixement</t>
  </si>
  <si>
    <t>Nº d'adaptacions realitzades</t>
  </si>
  <si>
    <t xml:space="preserve">Execució del programa de seguiment de la biodiversitat (PSB) de l'espai que sigui acord a les directrius del sistema de seguiment establerts segons la versió més recent aportada per la UIC                                                                                                        </t>
  </si>
  <si>
    <t>Nº de seguiments realitzats</t>
  </si>
  <si>
    <r>
      <rPr>
        <b/>
        <sz val="11"/>
        <color rgb="FF7030A0"/>
        <rFont val="Calibri"/>
        <family val="2"/>
        <scheme val="minor"/>
      </rPr>
      <t xml:space="preserve">
</t>
    </r>
    <r>
      <rPr>
        <sz val="11"/>
        <color rgb="FF000000"/>
        <rFont val="Calibri"/>
        <family val="2"/>
        <scheme val="minor"/>
      </rPr>
      <t xml:space="preserve">Contractació plurianual d’especialistes
</t>
    </r>
  </si>
  <si>
    <t>Nº de seguiments anuals contractats</t>
  </si>
  <si>
    <r>
      <rPr>
        <b/>
        <sz val="11"/>
        <color theme="1"/>
        <rFont val="Calibri"/>
        <family val="2"/>
        <scheme val="minor"/>
      </rPr>
      <t xml:space="preserve">
</t>
    </r>
    <r>
      <rPr>
        <sz val="11"/>
        <color theme="1"/>
        <rFont val="Calibri"/>
        <family val="2"/>
        <scheme val="minor"/>
      </rPr>
      <t xml:space="preserve">Reforç i estabilització de la xarxa de voluntariat per a determinats seguiments de biodiversitat
</t>
    </r>
  </si>
  <si>
    <t>Nº de voluntaris nous donats d'alta</t>
  </si>
  <si>
    <r>
      <rPr>
        <b/>
        <sz val="11"/>
        <color rgb="FF7030A0"/>
        <rFont val="Calibri"/>
        <family val="2"/>
        <scheme val="minor"/>
      </rPr>
      <t xml:space="preserve">
</t>
    </r>
    <r>
      <rPr>
        <sz val="11"/>
        <color rgb="FF000000"/>
        <rFont val="Calibri"/>
        <family val="2"/>
        <scheme val="minor"/>
      </rPr>
      <t xml:space="preserve">Aplicació del protocol establert de compartir informació per al seguiment global d’indicadors de l’estat de la natura, el seguiment dels pol·linitzadors silvestres o altres                                                                                                          </t>
    </r>
  </si>
  <si>
    <t>Nº de seguiments compartits en aplicació del protocol</t>
  </si>
  <si>
    <t>06.3.3</t>
  </si>
  <si>
    <t xml:space="preserve">Mantenir una base de dades de seguiment de patrimoni natural de l'ENP actualitzada i ordenada </t>
  </si>
  <si>
    <t>Manteniment i actualització anual de la base de dades corresponent al Pla de Seguiment de l'ENPE</t>
  </si>
  <si>
    <t>Base de dades corresponent al pla de seguiment de l'ENP, actualitzada anualment</t>
  </si>
  <si>
    <t>06.3.4</t>
  </si>
  <si>
    <t>Participar en el grups de treball per a la definició i organització del SINATCAT</t>
  </si>
  <si>
    <t>Realització de reunions de participació dels grups de treball del SINATCAT</t>
  </si>
  <si>
    <t>UIC/SENP: Crear i coordinar una metodologia participativa per a la definició del SINATCAT</t>
  </si>
  <si>
    <t>06.4</t>
  </si>
  <si>
    <t>Incrementar el coneixement de qualitat mitjançant l’establiment de marcs de col·laboració, assessorament i suport amb centres de recerca, museus i entitats naturalistes per al desenvolupament de part de la seva activitat en l’ENP</t>
  </si>
  <si>
    <t>06.4.1</t>
  </si>
  <si>
    <t>Crear sinèrgies i col·laborar amb museus i equipaments de referència per definir línies d'actuació conjunta entre patrimoni cultural i natural</t>
  </si>
  <si>
    <t>Promoció d'activitats de recerca en tots els nivells i àmbits acadèmics</t>
  </si>
  <si>
    <t>SENP: Elaborar un mapa d'agents de referència</t>
  </si>
  <si>
    <t>Nº d'activitats de recerca promocionades anualment</t>
  </si>
  <si>
    <t>06.4.2</t>
  </si>
  <si>
    <t>Establir acords amb les institucions de recerca i naturalistes per al desenvolupament d'estudis i inventaris dins l'ENP en el marc de les seves línies de recerca</t>
  </si>
  <si>
    <t xml:space="preserve">Establiment de nous acords i convenis amb institucions de recerca per el desenvolupament d'estudis dins de l'ENP: CISC, CREAF, CTFC, UB, UdL, ... </t>
  </si>
  <si>
    <t>SENP: Elaborar un mapa d'agents de referècia</t>
  </si>
  <si>
    <t>Nº d'acords (col·laboracions, contractes, etc.) actius amb institucions de recerca</t>
  </si>
  <si>
    <t>06.4.3</t>
  </si>
  <si>
    <t xml:space="preserve">Potenciar la ciència ciutadana en l’ENP com a eina per generar coneixement </t>
  </si>
  <si>
    <t>Vinculació amb projectes de ciència ciutana existents per generar dades en l'ENP</t>
  </si>
  <si>
    <t>Nº de projectes de ciència ciutadana per a l'obtenció de dades en els que es participa</t>
  </si>
  <si>
    <t>06.4.4</t>
  </si>
  <si>
    <t xml:space="preserve">Crear i desenvolupar jornades de recerca de l'ENP de forma anual on els diferents centres mostrin els estudis realizats en l'ENP </t>
  </si>
  <si>
    <t>Realització de les jornades de recerca del parc nacional</t>
  </si>
  <si>
    <t>SENP: Suport en l'organització de les jornades</t>
  </si>
  <si>
    <t>Nº de jornades de recerca realitzades</t>
  </si>
  <si>
    <t>06.4.5</t>
  </si>
  <si>
    <t>Posar a disposició de la recerca, equipaments i serveis de l'ENP</t>
  </si>
  <si>
    <t>Rehabilitació de la Casa Forestal de Boí per acollir equips de recerca i voluntaris</t>
  </si>
  <si>
    <t>Nº de rehabilitacions realitzades</t>
  </si>
  <si>
    <t>Destinació i reserva preferent de places en els refugis patrimonials gestionats pel parc nacional (Pla de la Font i Estany Llong) per allotjar puntualment personal de recerca</t>
  </si>
  <si>
    <t>Promoció d'acords o cessions d'ús temporal amb organismes o entitats del terriotri per allotjar personal de recerca amb projectes vinculats al parc nacional</t>
  </si>
  <si>
    <t>Nº d'acords o cessions d'ús assolides</t>
  </si>
  <si>
    <t>06.4.6</t>
  </si>
  <si>
    <t xml:space="preserve">Crear l'Observatori de recerca de l'ENP vinculat a l'Observatori del Patrimoni natural i la biodiversitat </t>
  </si>
  <si>
    <t>Impuls de la creació de l'Observatori de recerca de l'ENP en col·laboració amb la UIC</t>
  </si>
  <si>
    <t>UIC: Suport en la creació de l'Observatori de reserca</t>
  </si>
  <si>
    <t>06.5</t>
  </si>
  <si>
    <t>Millorar el coneixement global de les dinàmiques d'usos antròpics de l’ENP</t>
  </si>
  <si>
    <t>06.5.1</t>
  </si>
  <si>
    <t>Participar en la definició del sistema estándard de seguiment de l'ús públic amb el SENP</t>
  </si>
  <si>
    <t>SENP: Crear espais de participació. Definició del sistema estándard de seguiment de l'ús públic</t>
  </si>
  <si>
    <t>Nº d'estudis realitzats i/o contractats</t>
  </si>
  <si>
    <t>06.5.2</t>
  </si>
  <si>
    <t xml:space="preserve">Disposar de dades de freqüentació i perfil d'usuari en l'ENP i en especial en equipaments i en zones d'alta freqüentació segons el model de DG </t>
  </si>
  <si>
    <t>Implementació del sistema estandaritzat de presa de dades i seguiment de la freqüentació en ENP del SENP</t>
  </si>
  <si>
    <t>SENP: Disseny i elaboració del sistema estandaritzat de presa de dades i seguiment de la freqüentació en ENP</t>
  </si>
  <si>
    <t>Nº sistemes implementats</t>
  </si>
  <si>
    <t>06.5.3</t>
  </si>
  <si>
    <t>Identificar les activitats i actors de l’espai.</t>
  </si>
  <si>
    <t>Establiment de models de freqüentació que serveixin per gestionar l'ús públic en l'ENP conjuntament amb la UIC                                                   Revisió de l’estudi de capacitat d’acollida de cada sector</t>
  </si>
  <si>
    <t>Nº models de freqüentació establerts</t>
  </si>
  <si>
    <t>06.5.4</t>
  </si>
  <si>
    <t>Identificar en cartografia les males praxis i punts de massificació</t>
  </si>
  <si>
    <t>Elaboració de cartografia amb punts crítics per impactes vinculats a l'ús públic i la massificació</t>
  </si>
  <si>
    <t>Nº de cartografia amb punt crítics per massificació o UP elaborada</t>
  </si>
  <si>
    <t>06.5.6</t>
  </si>
  <si>
    <t>Identificar els impactes (positius i negatius) que generen les activitats d'ús públic dins l'ENP</t>
  </si>
  <si>
    <t>Anàlisi i avaluació dels efectes de la contaminació acústica sobre la biodiversitat</t>
  </si>
  <si>
    <t xml:space="preserve">Nº d'estudis realitzats sobre la matèria </t>
  </si>
  <si>
    <t>Avaluació de les presions i impactes de les activitats d'ús públic i mesures de gestió per a la seva reducció o eliminació</t>
  </si>
  <si>
    <t>Nº de camins avaluats anualment</t>
  </si>
  <si>
    <t xml:space="preserve">DESENVOLUPAMENT LOCAL </t>
  </si>
  <si>
    <t>FIXAR LA POBLACIÓ AL TERRITORI d'acord amb les oportunitats que generen els objectius de l'espai.</t>
  </si>
  <si>
    <t>07.1</t>
  </si>
  <si>
    <t xml:space="preserve">Fomentar i donar suport tècnic als Plans de desenvolupament socioecòmonic local sostenible dels municipis </t>
  </si>
  <si>
    <t>07.1.1</t>
  </si>
  <si>
    <t xml:space="preserve">Promoure i col·laborar en l'aplicació de Plans de Desenvolupament Local Sostenible </t>
  </si>
  <si>
    <t>Continuació de l'estudi de l'entorn socioeconòmic del Parc, de cara a l'anàlisi de la influència del Parc Nacional sobre el desenvolupament sostenible de la regió.</t>
  </si>
  <si>
    <t>Creació de la figura de tècnic/a de dinamització de la Zona d'Influència Socioeconòmica (ZIS) i projecció del Parc.</t>
  </si>
  <si>
    <t>Creació de la figura de Tècnic/a de dinamització</t>
  </si>
  <si>
    <t>Participació en plans de desenvolupament sostenible</t>
  </si>
  <si>
    <t>Nº plans en que s'ha participat</t>
  </si>
  <si>
    <t xml:space="preserve">APROFITAR ELS RECURSOS NATURALS DE FORMA SOSTENIBLE mitjançant desenvolupament dels aprofitaments tradicionals de forma compatible amb la conservació de l'espai </t>
  </si>
  <si>
    <t>08.1</t>
  </si>
  <si>
    <t>Impulsar models productius agraris i forestals per tal d'afavorir la conservació dels hàbitats i els paisatges modelats per aquestes, i contribuir a la millora socioeconòmica de les persones que la fan possible</t>
  </si>
  <si>
    <t>08.1.1</t>
  </si>
  <si>
    <t xml:space="preserve">Acompanyar i assessorar els productors agraris per millorar les tècniques productives agràries i afavorir la conservació dels hàbitats i paisatges </t>
  </si>
  <si>
    <t xml:space="preserve">Suport i assessorament als productors agraris per a la sol.licitud de  mesures de foment convocades pel parc nacional                                                                                          </t>
  </si>
  <si>
    <t>Nº de sessions informatives realitzades anualment</t>
  </si>
  <si>
    <t>Manual tècnic de bones pràctiques en ramaderia extensiva i recuperació i manteniment de pastures en espais naturals protegits</t>
  </si>
  <si>
    <t>Elaboració del manual</t>
  </si>
  <si>
    <t>08.1.2</t>
  </si>
  <si>
    <t xml:space="preserve">Oferir formació als productors agraris per millorar el seu coneixement sobre tècniques eficients i respectuoses amb la conservació del patrimoni natural i cultural </t>
  </si>
  <si>
    <t xml:space="preserve">Programa de formació a sector primari                                            </t>
  </si>
  <si>
    <t>Nº de formacions realitzades al sector primari</t>
  </si>
  <si>
    <t>08.1.3</t>
  </si>
  <si>
    <t>Promoure la recuperació i conservació de marges i punts d'aigua associats a la ramaderia i l'agricultura i d'interès per la biodiversitat</t>
  </si>
  <si>
    <t>Construcció, condicionament o millora de punts d'aigua i abeuradors per a la ramaderia</t>
  </si>
  <si>
    <t>Nº de punts d'aigua o abeuradors construits o condicionats</t>
  </si>
  <si>
    <t>Implementació de mesures per potenciar el manteniment dels marges en camps de conreu d'interès per a la biodiversitat</t>
  </si>
  <si>
    <t>Nº de mesures implementades</t>
  </si>
  <si>
    <t>08.2</t>
  </si>
  <si>
    <t>Promoure la coordinació amb els agents socioeconòmics del territori pel foment del desenvolupament sostenible de l'espai (sector primari i secundari)</t>
  </si>
  <si>
    <t>08.2.1</t>
  </si>
  <si>
    <t>Establir una relació contínua amb agents socioeconòmics del territori, i si s'escau, crear una Taula de desenvolupament local</t>
  </si>
  <si>
    <t>Elaboració i actualització periòdica del mapa d’agents socioeconòmics de l’ENP (sector primari i secundari)</t>
  </si>
  <si>
    <t>Nº de visites/intercanvis realitzats</t>
  </si>
  <si>
    <t>Establiment de canals de comunicació i coordinació amb els agents socioeconòmics clau del territori.</t>
  </si>
  <si>
    <t>Estudi de la idoneïtat de crear una Taula de desenvolupament local, en els ENP que encara no ho tinguin (per ENP o agrupacions d’ENP).</t>
  </si>
  <si>
    <t>Convocar les taules de desenvolupament local ja constituïdes de cada ENP (o agrupacions d’ENP).</t>
  </si>
  <si>
    <t>Promoció i enfortiment de la participació dels agents clau a les taules de desenvolupament local ja constituïdes.</t>
  </si>
  <si>
    <t>Participació en la definició i desplegament dels plans de treball de la taula de desenvolupament local.</t>
  </si>
  <si>
    <t>Manteniment dels usos tradicionals associats a festivitats lúdiques o religioses que es desenvolupen dins el territori vinculat al present Pla rector d’ús i gestió. Establir normes per a un correcte desenvolupament d'aquestes celebracions en perfecta compatibilitat amb la conservació dels valors del Parc</t>
  </si>
  <si>
    <t xml:space="preserve">Creació de la figura de tècnic/a de dinamització de la Zona d'Influència Socioeconòmica (ZIS) i projecció del Parc                  </t>
  </si>
  <si>
    <t>Millora de la projecció del Parc entre els agents socioeconòmics de la seva àrea d’influència</t>
  </si>
  <si>
    <t>Implicar entitats i agents del territori en el manteniment de la ZEPQA</t>
  </si>
  <si>
    <t>08.3</t>
  </si>
  <si>
    <t>Millorar la valorització i comercialització dels productes generats a l'ENP que contribueixen al desenvolupament socioeconòmic i la conservació del patrimoni de l'ENP</t>
  </si>
  <si>
    <t>08.3.1</t>
  </si>
  <si>
    <t>Implantar un distintiu de qualitat i compatibilitat amb la conservació dels productes de la Xarxa d'ENP o criteris de qualitat propis de l'ENP</t>
  </si>
  <si>
    <t>Creació de la marca Parc</t>
  </si>
  <si>
    <t>SENP: Crear una marca que identifiqui els productes agroalimentaris generats en els ENP</t>
  </si>
  <si>
    <t>Creació de la marca</t>
  </si>
  <si>
    <t>08.3.2</t>
  </si>
  <si>
    <t>Integrar els productes i activitats locals de qualitat en l'oferta d'activitats d'informació i turístiques de l'ENP</t>
  </si>
  <si>
    <t xml:space="preserve">Elaboració d'un catàleg de productors i artesans de l'ENP </t>
  </si>
  <si>
    <t>ESNATURA
CETS</t>
  </si>
  <si>
    <t>Creació del catàleg</t>
  </si>
  <si>
    <t>08.3.3</t>
  </si>
  <si>
    <t>Promoure fires d'artesania i productes locals de l'ENP</t>
  </si>
  <si>
    <t>Participació en fires locals</t>
  </si>
  <si>
    <t>Nº fires on s'ha participat</t>
  </si>
  <si>
    <t>08.3.4</t>
  </si>
  <si>
    <t xml:space="preserve">Generar aliances entre el sector primari, el turisme, la restauració i altres per fomentar la gastronomia local </t>
  </si>
  <si>
    <t>Creació de la Marca Parc</t>
  </si>
  <si>
    <t>Marca creada</t>
  </si>
  <si>
    <t>08.3.5</t>
  </si>
  <si>
    <t>Elaborar una diagnòsi del teixit productiu local i un pla d’acció amb línies de treball i actuacions concretes per donar-li suport</t>
  </si>
  <si>
    <t>08.3.6</t>
  </si>
  <si>
    <t>Elaborar una guia per promocionar els agents del territori que potencien i difonen els productes alimentaris locals i de qualitat (allotjaments, restaurants, cellers, establiments, elaboradors i productors)</t>
  </si>
  <si>
    <t>08.4</t>
  </si>
  <si>
    <t>Contribuir a una correcta planificació i gestió dels recursos cinegètics i piscícoles de forma compatible amb els valors de l'ENP</t>
  </si>
  <si>
    <t>08.4.1</t>
  </si>
  <si>
    <t>Treballar amb l'autoritat competent per garantir objectius de conservació d’espècies i hàbitats en la revisió dels Plans de Gestió Cinegètica</t>
  </si>
  <si>
    <t>Foment d'acords amb les Societats de Caçadors per a incorporar objectius de conservació d’espècies i hàbitats en la revisió dels Plans de Gestió Cinegètica</t>
  </si>
  <si>
    <t>Nº d'acords amb les societats de caçadors</t>
  </si>
  <si>
    <t>Establiment de mecanismes de col·laboració amb la Reserva Nacional de Caça</t>
  </si>
  <si>
    <t>Nº de reunions anuals amb la RNC</t>
  </si>
  <si>
    <t>08.4.2</t>
  </si>
  <si>
    <t>Col·laborar en la regulació i ordenació de la caça i la pesca en zones sensibles o amb risc d'afectació d'elements clau objecte de conservació</t>
  </si>
  <si>
    <t xml:space="preserve">Impuls a la declaració de refugis de caça i pesca
</t>
  </si>
  <si>
    <t>Nº de refugis creats</t>
  </si>
  <si>
    <t xml:space="preserve">
Foment de la implicació dels caçadors i pescadors del territori en la conservació dels valors de l'espai</t>
  </si>
  <si>
    <t>08.4.3</t>
  </si>
  <si>
    <t>Donar suport en la gestió de poblacions que generen danys a les activitats econòmiques de l'ENP</t>
  </si>
  <si>
    <t>Creació de registre de danys causats en hàbitats i espècies per ungulats</t>
  </si>
  <si>
    <t>Nº de zones avaluades anualment</t>
  </si>
  <si>
    <t xml:space="preserve">FOMENTAR UN TURISME SOSTENIBLE compatible amb la conservació de l'espai </t>
  </si>
  <si>
    <t>09.1</t>
  </si>
  <si>
    <t xml:space="preserve">Fomentar un model de turisme que promogui els valors dels espais naturals protegits d'acord amb els agents turístics del territori </t>
  </si>
  <si>
    <t>09.1.1</t>
  </si>
  <si>
    <t>Desplegar la Carta Europea de Turisme Sostenible (CETS)</t>
  </si>
  <si>
    <t>Adscripció a la fase I de la Carta Europea de Turisme Sostenible</t>
  </si>
  <si>
    <t>Adscripció fase I</t>
  </si>
  <si>
    <t>09.1.2</t>
  </si>
  <si>
    <t>Tramitar la certificació Biosphere</t>
  </si>
  <si>
    <t>Incorporació dels centres al certificat Biosphere</t>
  </si>
  <si>
    <t>Centres inclosos en la certificació</t>
  </si>
  <si>
    <t>09.2</t>
  </si>
  <si>
    <t>Promoure la coordinació amb els agents turístics del territori (empreses, industries, administració).</t>
  </si>
  <si>
    <t>09.2.1</t>
  </si>
  <si>
    <t xml:space="preserve">Treballar amb les empreses turístiques per trobar eines de canvi cap a un model de turisme sostenible i de qualitat </t>
  </si>
  <si>
    <t>Trobades amb els diferents agents del territori</t>
  </si>
  <si>
    <t>Nº trobades amb els diferents agents</t>
  </si>
  <si>
    <t>09.2.2</t>
  </si>
  <si>
    <t>Crear productes i paquets turístics amb associacions d’empreses turístiques i operadors turístics</t>
  </si>
  <si>
    <t>Manteniment de l'agenda d'activitats del Parc en col·laboració amb Associacions i empreses</t>
  </si>
  <si>
    <t>Activitats a l'agenda d'externs</t>
  </si>
  <si>
    <t>ÚS PÚBLIC I SOCIAL</t>
  </si>
  <si>
    <t>ORDENAR ELS USOS I APROFITAMENTS per garantir l'equilibri de les activitats humanes amb la conservació de la biodiversitat</t>
  </si>
  <si>
    <t>10.1</t>
  </si>
  <si>
    <t>Estandarditzar la regulació d'usos i aprofitaments  en base al model de Pla de protecció</t>
  </si>
  <si>
    <t>10.1.1</t>
  </si>
  <si>
    <t>Establir un model de construcció a l'ENP en base al model de Pla de protecció</t>
  </si>
  <si>
    <t>Establir un model de construcció a l'ENP en base al Pla Rector d'Ús i Gestió</t>
  </si>
  <si>
    <t>El parc nacional disposa de PRUG</t>
  </si>
  <si>
    <t>Elaboració d'una guia de bones pràctiques per a la rehabilitació de construccions rurals aïllades</t>
  </si>
  <si>
    <t>SPEN: Elaborar model</t>
  </si>
  <si>
    <t>Nº de guia de bones pràctiques per a la rehabilitació de construccions rurals aïllades elaborada</t>
  </si>
  <si>
    <t>Elaboració d'una guia de bones pràctiques per a la construcció d'infraestructures ramaderes</t>
  </si>
  <si>
    <t>Nº de guia de bones pràctiques per a la construcció d'infraestrucutres ramaderes elaborada</t>
  </si>
  <si>
    <t>ORDENAR L'ÚS PÚBLIC I SOCIAL per a la protecció dels hàbitats, espècies i elements geològics</t>
  </si>
  <si>
    <t>11.1</t>
  </si>
  <si>
    <t>Estandaritzar regulació de l’ús públic i social en base al model acordat per govern</t>
  </si>
  <si>
    <t>11.1.1</t>
  </si>
  <si>
    <t>Regular l'acampada i pernoctació  en base al model de Pla de protecció</t>
  </si>
  <si>
    <t>Revisió del protocol regulació d'acampada (Estallos i Riumalo) i pernoctació  en base al model de Pla de protecció</t>
  </si>
  <si>
    <t>Revisió del protocol</t>
  </si>
  <si>
    <t>11.1.10</t>
  </si>
  <si>
    <t>Regular les activitats aquàtiques i nàutiques i zones de fondeig</t>
  </si>
  <si>
    <t>Adaptació i implementació el protocol de regulació d'activitats aquàtiques i nàutiques i zones de fondeig</t>
  </si>
  <si>
    <t>-</t>
  </si>
  <si>
    <t>11.1.11</t>
  </si>
  <si>
    <t>Regular la presència d'animals de companyia</t>
  </si>
  <si>
    <t>Adaptació i implementació el protocol de regulació d'animals de companyia</t>
  </si>
  <si>
    <t>Recordatori de la normativa actual</t>
  </si>
  <si>
    <t>Nº de fulletons d'informació entregats</t>
  </si>
  <si>
    <t>11.1.12</t>
  </si>
  <si>
    <t>Regular lels activitats d'educació ambiental i el lleure educatiu</t>
  </si>
  <si>
    <t>Emisisó dels informes i autoritzacions relatives a les activitats d'educació ambiental i de lleure al medi natural</t>
  </si>
  <si>
    <t>Nº d'autoritzacions anuals tramitades</t>
  </si>
  <si>
    <t>Adaptació i implementació el protocol de regulació d'educació ambiental i lleure educatiu</t>
  </si>
  <si>
    <t>Accions desenvolupades fixades al PUP</t>
  </si>
  <si>
    <t>11.1.2</t>
  </si>
  <si>
    <t>Regular la circulació rodada no motoritzada en base al model de Pla de protecció</t>
  </si>
  <si>
    <t>Regular la circulació rodada no motoritzada en base al model del Pla Rector d'Ús i Gestió</t>
  </si>
  <si>
    <t>Reforç en la comunicació, senyalització i vigilància de l'activitat</t>
  </si>
  <si>
    <t>Adaptació i implementació el protocol de regulació de circulació rodada no motoritzada en base al model de Pla de protecció</t>
  </si>
  <si>
    <t>Regulació de la circulació rodada no motoritzada a partir de l'hora de tancament dels controls</t>
  </si>
  <si>
    <t>11.1.3</t>
  </si>
  <si>
    <t>Regular l'escalada i alpinisme, barranquisme, i espeleologia  en base al model de Pla de protecció</t>
  </si>
  <si>
    <t xml:space="preserve">Revisió de  l'inventari de vies d'escalada existents i avaluació de les possibles afectacions a la conservació dels sistemes naturals, flora i fauna                                                                                                                   </t>
  </si>
  <si>
    <t>Nº d'inventaris d'escalada actualitzats</t>
  </si>
  <si>
    <t>Regular l'escalada i alpinisme, barranquisme, i espeleologia  en base al model de Pla Rector d'Ús i Gestió</t>
  </si>
  <si>
    <t xml:space="preserve">Creació i divulgació d'àrees de tranquil.litat hivernal de la fauna sensible </t>
  </si>
  <si>
    <t>Nº d'àrees de tranquil.litat hivernal creades</t>
  </si>
  <si>
    <t>Adaptació i implementació el protocol de regulació d'escalada i alpinisme, barranquisme, i espeleologia  en base al model de Pla de protecció.</t>
  </si>
  <si>
    <t>Actualització del protocol de regulació per la no obertura de nous sectors i regulació d'aquesta en zones de nidificació. Betllar per la no obertura de barrancs</t>
  </si>
  <si>
    <t>11.1.4</t>
  </si>
  <si>
    <t>Regular les curses i altres activitats esportives organitzades en base al model de Pla de protecció</t>
  </si>
  <si>
    <t>Regular les curses i altres activitats esportives organitzades en base al model de Pla Rector d'Ús i Gestió</t>
  </si>
  <si>
    <t>Actualització dels check list del Codi de Bones Pràctiques en l'organització i celebració de curses i marxes per muntanya</t>
  </si>
  <si>
    <t>Nº de check list actualitzats</t>
  </si>
  <si>
    <t>Emisisó dels informes i autoritzacions relatives a les curses</t>
  </si>
  <si>
    <t>Actualització de les competicions esportives annex 3 PRUG</t>
  </si>
  <si>
    <t>Nº d'actualitzacions realitzades</t>
  </si>
  <si>
    <t>11.1.5</t>
  </si>
  <si>
    <t>Regular els enregistraments i l'observació de fauna i natura en base al model de Pla de protecció</t>
  </si>
  <si>
    <t>Regular els enregistraments i l'observació de fauna i natura en base al model de Pla Rector d'Ús i Gestió</t>
  </si>
  <si>
    <t>Emisisó dels informes i autoritzacions relatives a enregistraments i observació de fauna i natura</t>
  </si>
  <si>
    <t>11.1.6</t>
  </si>
  <si>
    <t>Regular les activitats científiques en base al model de Pla de protecció</t>
  </si>
  <si>
    <t>Regular les activitats científiques en base al model de Pla Rector d'Ús i Gestió</t>
  </si>
  <si>
    <t>Emisisó dels informes i autoritzacions relatives a les activitats científiques</t>
  </si>
  <si>
    <t>Creació d'una base de dades actualitzada amb les activitats científiques al parc amb cartografia associada</t>
  </si>
  <si>
    <t>Nº de base de dades i cartografia associada generada</t>
  </si>
  <si>
    <t>Adaptació i implementació el protocol de regulació d'activitats científiques en base al model de Pla de protecció</t>
  </si>
  <si>
    <t>Supervisió de l'activitat científica i vinculació amb l'observatori de recerca</t>
  </si>
  <si>
    <t>Supervisió d'activitats</t>
  </si>
  <si>
    <t>Supervisió d'activitats i creació de l'observatori científic</t>
  </si>
  <si>
    <t>11.1.7</t>
  </si>
  <si>
    <t>Regular les zones de bany</t>
  </si>
  <si>
    <t>Adaptació i implementació el protocol de regulació de zones de bany.</t>
  </si>
  <si>
    <t>10 recordatoris</t>
  </si>
  <si>
    <t>50 recordatoris</t>
  </si>
  <si>
    <t>11.1.8</t>
  </si>
  <si>
    <t>Regular l'enlairament i aterratge sense motor</t>
  </si>
  <si>
    <t>Adaptació i implementació el protocol de regulació d'enlairament i aterratge sense motor</t>
  </si>
  <si>
    <t>11.1.9</t>
  </si>
  <si>
    <t>Regular el submarinisme i l'snorkel</t>
  </si>
  <si>
    <t>Adaptació i implementació el protocol de regulació de submarinisme i snorkel</t>
  </si>
  <si>
    <t>11.2</t>
  </si>
  <si>
    <t>Disposar de la xarxa viària i itineraris oficials de l'ENP</t>
  </si>
  <si>
    <t>11.2.1</t>
  </si>
  <si>
    <t xml:space="preserve">Identificar i classificar la xarxa viària bàsica, secundària, senders i itineraris senyalitzats d'acord amb els ajuntaments </t>
  </si>
  <si>
    <t xml:space="preserve">Actualització del pla de senders </t>
  </si>
  <si>
    <t>Persones i natura: concretar criteris</t>
  </si>
  <si>
    <t xml:space="preserve">Nº d'actualtzacions del pla de senders  </t>
  </si>
  <si>
    <t>Actualització del pla de pistes</t>
  </si>
  <si>
    <t xml:space="preserve">Nº d'actualtzacions del pla de pistes  </t>
  </si>
  <si>
    <t>11.2.2</t>
  </si>
  <si>
    <t>Treballar conjuntament amb els principals canals d’informació de rutes  per prioritzar itineraris oficials dins l’ENP</t>
  </si>
  <si>
    <t>Incorporació de les tecnologies de Wikiloc o Google Maps</t>
  </si>
  <si>
    <t>Persones i natura: Coordinació</t>
  </si>
  <si>
    <t>Actualització de nombre de rutes</t>
  </si>
  <si>
    <t>11.3</t>
  </si>
  <si>
    <t>Implementar el protocol estandarditzat basat en el pla per la regulació al accés, circulació i ús de la xarxa viària</t>
  </si>
  <si>
    <t>11.3.1</t>
  </si>
  <si>
    <t>Regular l'accés i la circulació</t>
  </si>
  <si>
    <t xml:space="preserve">Redacció del protocol de regulació de l'accés i circulació                                                                                                                                                                                                                                                                                                 </t>
  </si>
  <si>
    <t>Nº de protocols de regulació d'accés i circulació redactats</t>
  </si>
  <si>
    <t>Establiment de mecanismes d'informació al públic de la situació dels accessos al Parc pel que fa a restriccions d'accés per motius de seguretat del visitant, d'ordenació del trànsit i adaptació a la capacitat d'acollida del Parc els dies conflictius.</t>
  </si>
  <si>
    <t xml:space="preserve">Accions de difusió </t>
  </si>
  <si>
    <t xml:space="preserve">Ordenació de l'oferta turística, el trànsit i l'accessibilitat en funció de criteris de camins per a vianants i d'utilització de mitjans de transport col·lectiu i limitat.                            </t>
  </si>
  <si>
    <t xml:space="preserve">Estudi de mobilitat </t>
  </si>
  <si>
    <t xml:space="preserve">Complint amb el règim d'accés rodat per les pistes de l'interior del Parc Nacional i zona perifèrica de protecció és l'establert a l'annex II del PRUG.                     </t>
  </si>
  <si>
    <t xml:space="preserve">Regulació de la circulació de transport públic al tram entre l'estany de Sant Maurici i el refugi d'Amitges, i de la presa de Lladres al refugi Josep Maria Blanc amb l'objectiu d'harmonitzar-lo amb el pas de vianants durant els dies de major afluència de públic.                   </t>
  </si>
  <si>
    <t>SI/NO</t>
  </si>
  <si>
    <t xml:space="preserve">Millora del transport públic per accedir al Parc i desplaçar-se per la Zona d’Influència Socioeconòmica (ZIS)                          </t>
  </si>
  <si>
    <t xml:space="preserve">Regulació de pistes de la ZPP amb les entitats locals corresponents                                        </t>
  </si>
  <si>
    <t>Reunions amb entitats</t>
  </si>
  <si>
    <t>11.3.2</t>
  </si>
  <si>
    <t>Regular la xarxa viària principal, secundària i restringida</t>
  </si>
  <si>
    <t>Instal.lació o renovació de barreres, senyalització, passos canadencs o altres</t>
  </si>
  <si>
    <t>Nº d'elements instal.lats</t>
  </si>
  <si>
    <t>Adaptació i implementació el protocol de regulació de la xarxa viària principal, secundària i restringida</t>
  </si>
  <si>
    <t>Accions informatives</t>
  </si>
  <si>
    <t>11.3.3</t>
  </si>
  <si>
    <t>Regular l'ús de drons, l'enlairament i l'aterratge</t>
  </si>
  <si>
    <t>Adaptació i implementació el protocol de regulació de drons, d'enlairament i aterratge</t>
  </si>
  <si>
    <t>11.3.4</t>
  </si>
  <si>
    <t>Aplicar limitacions temporals d'accés o circulació</t>
  </si>
  <si>
    <t xml:space="preserve">Millora de la coordinació amb el CAR de les limitacions d'accés temporals (incendis, allaus o altres emergències i per protecció de fauna o flora)
</t>
  </si>
  <si>
    <t>Nº de reunions anuals amb el CAR realitzades</t>
  </si>
  <si>
    <t>Adaptació i implementació el protocol de limitacions temporals d'accés o circulació</t>
  </si>
  <si>
    <t>Regulació dels accessos en condicions meteorològiques extrems (accès hivern)</t>
  </si>
  <si>
    <t>11.3.5</t>
  </si>
  <si>
    <t>Regular l'aparcament de vehícles</t>
  </si>
  <si>
    <t>Ordenació i gestió dels aparcaments del Parc</t>
  </si>
  <si>
    <t>Estudi de mobilitat</t>
  </si>
  <si>
    <t>11.4</t>
  </si>
  <si>
    <t>Enfortir la col·laboració i coordinació amb els agents d'ús públic (empreses, entitats i ajuntaments)</t>
  </si>
  <si>
    <t>11.4.1</t>
  </si>
  <si>
    <t>Implementar l'ordenació de l'ús públic en col·laboració amb els agents del territori</t>
  </si>
  <si>
    <r>
      <t>Dinamització d'un espai coordinat de treball per fer el seguiment i millores en el desplegament de la gestió de l'UP.</t>
    </r>
    <r>
      <rPr>
        <sz val="11"/>
        <color rgb="FFFF0000"/>
        <rFont val="Calibri"/>
        <family val="2"/>
      </rPr>
      <t xml:space="preserve">                                                                           </t>
    </r>
  </si>
  <si>
    <t>% actuacions realitzades del PUP</t>
  </si>
  <si>
    <t xml:space="preserve">Formalització d'acords amb entitats excursionistes que realitzen activitats d'ús públic i formació dins el territori del present Pla per a la millora dels serveis oferts.               </t>
  </si>
  <si>
    <t>Revisió de l'estudi de capacitat d'acollida de visitants.</t>
  </si>
  <si>
    <t>Revisió de l'estudi de capacitat d'acollida</t>
  </si>
  <si>
    <t>11.4.2</t>
  </si>
  <si>
    <t>Promoció i acompanyament en l'ordenació de l'ús públic de l'ENP des de l'àmbit municipal</t>
  </si>
  <si>
    <t>Aplicació del Manual jurídic d'UP i model d'ordenança municipal.</t>
  </si>
  <si>
    <t>Noves ordenances d'ajuntaments municipals</t>
  </si>
  <si>
    <t>11.5</t>
  </si>
  <si>
    <t>Mantenir i millorar la senyalització de l'ENP</t>
  </si>
  <si>
    <t>11.5.1</t>
  </si>
  <si>
    <t>Realitzar l'inventari de senyalètica de l'ENP</t>
  </si>
  <si>
    <t xml:space="preserve">Actualització de l'inventari de senyalització </t>
  </si>
  <si>
    <t>Nº d'inventaris de senyalització actualitzats</t>
  </si>
  <si>
    <t>11.5.2</t>
  </si>
  <si>
    <t xml:space="preserve">Implantar el programa de senyalització i manteniment </t>
  </si>
  <si>
    <t>Realització del manteniment de la senyalització</t>
  </si>
  <si>
    <t>Persones i natura: Revisió del manual de senyalització</t>
  </si>
  <si>
    <t>Nº d'actuacions anuals de manteniment de senyalització</t>
  </si>
  <si>
    <t>11.6</t>
  </si>
  <si>
    <t>Prevenir i gestionar els impactes derivats de la sobrefreqüentació</t>
  </si>
  <si>
    <t>11.6.1</t>
  </si>
  <si>
    <t xml:space="preserve">Potenciar la visita a espais alternatius dins de l'àmbit d'influència de l'espai natural per reduir la pressió en zones sensibles </t>
  </si>
  <si>
    <t>Nº de zones sensibles sobre les quals s'ha reduït pressió</t>
  </si>
  <si>
    <t>Anàlisi de la incidència de les activitats recreatives</t>
  </si>
  <si>
    <t>Revisió de fulletons per eliminar difusió d'itineraris en zones sensibles</t>
  </si>
  <si>
    <t>1 ruta eliminada</t>
  </si>
  <si>
    <t>2 rutes eliminades</t>
  </si>
  <si>
    <t>11.6.2</t>
  </si>
  <si>
    <t xml:space="preserve">Implementar les mesures extraordinàries de regulació de l'ús públic </t>
  </si>
  <si>
    <t>Instal.lació de cartells i senyalització temporal de mesures extraordinàries de regulació de l'ús públic</t>
  </si>
  <si>
    <t>Nº de senyals extraordinàries instal.lades anualment</t>
  </si>
  <si>
    <r>
      <t xml:space="preserve">Pla d'informació dels espais freqüentats                                                           </t>
    </r>
    <r>
      <rPr>
        <sz val="11"/>
        <color rgb="FFFF0000"/>
        <rFont val="Calibri"/>
        <family val="2"/>
      </rPr>
      <t xml:space="preserve">            </t>
    </r>
    <r>
      <rPr>
        <sz val="11"/>
        <color theme="1"/>
        <rFont val="Calibri"/>
        <family val="2"/>
      </rPr>
      <t xml:space="preserve">                                                                           </t>
    </r>
  </si>
  <si>
    <t>Noves plataformes de difusió del butlletí d'accessos</t>
  </si>
  <si>
    <t>1 nova plataforma</t>
  </si>
  <si>
    <t>2 noves plataformes</t>
  </si>
  <si>
    <t>11.7</t>
  </si>
  <si>
    <t>Ordenar i estandaritzar els espais d'acollida de visitants i equipaments d'ús públic, i garantir un correcte servei d'atenció i acollida dels visitants</t>
  </si>
  <si>
    <t>11.7.1</t>
  </si>
  <si>
    <t>Adequar els principals accessos, aparcaments i centres d'interès amb un ús elevat</t>
  </si>
  <si>
    <t>Millora i manteniment d'accessos rodats al parc nacional</t>
  </si>
  <si>
    <t>Nº d'actuacions anuals de manteniment i millora en aparcaments</t>
  </si>
  <si>
    <t>Millora i manteniment de la xarxa de camins</t>
  </si>
  <si>
    <t>Nº d'actuacions anuals de manteniment i millora de la xarxa de camins</t>
  </si>
  <si>
    <t>Millora i manteniment de centres d'interès amb ús elevat</t>
  </si>
  <si>
    <t>Nº d'actuacions anuals de manteniment i millora de centres d'interès (àrees esbarjo, miradors, refugis, aixoplucs, ...)</t>
  </si>
  <si>
    <t>Manteniment, millora i adequació dels accessos rodats discorrin per l'interior del Parc Nacional i zona perifèrica de protecció, per ser utilitzats per motius de gestió o seguretat.</t>
  </si>
  <si>
    <t>Km de carreteres mantinguts/millorats</t>
  </si>
  <si>
    <t>11.7.2</t>
  </si>
  <si>
    <t>Disposar dels equipaments i infraestructures necessàries i accessibles per acollir, informar, facilitar la visita i garantir la seguretat dels visitants i la protecció de l'entorn</t>
  </si>
  <si>
    <t xml:space="preserve">Revisió i actualització els equipaments al SIEQ
</t>
  </si>
  <si>
    <t xml:space="preserve">Nº d'actualiltzacions anuals del SIEQ </t>
  </si>
  <si>
    <t>Creació d'una base de dades d'infraestructures per a l'ús públic que inclogui ponts, passeres, miradors i altres</t>
  </si>
  <si>
    <t>Nº de bases de dades actualitzada</t>
  </si>
  <si>
    <t>Revisió de necessitats d'inversió i redacció de projectes per a la seva execució</t>
  </si>
  <si>
    <t>Nº de projectes anuals redactats</t>
  </si>
  <si>
    <t>Adaptació dels equipaments i infraestructures a persones amb diversitat funcional</t>
  </si>
  <si>
    <t>Nº d'actuacions anuals realitzades per a l'adaptació dels equipaments i infraestructures a persones amb diversitat funcional</t>
  </si>
  <si>
    <t>Instal.lació de WCs secs en zones freqüentades sense serveis</t>
  </si>
  <si>
    <t>Nº de WCs instal.lats</t>
  </si>
  <si>
    <t>Construcció del centre d'interpretació d'Arties (Vall Aran)</t>
  </si>
  <si>
    <t>Nº de centres construits a Vall d'Aran</t>
  </si>
  <si>
    <t>Constucció del Centre d'interpretació d'Espot (Parques Nacionales)</t>
  </si>
  <si>
    <t>Nº de centres construits a Espot</t>
  </si>
  <si>
    <t>Elaboració d'un Programa específic de refugis, conjuntament amb la Federació d'Entitats Excursionistes de Catalunya (FEEC).</t>
  </si>
  <si>
    <t>Elaboració d'un programa específic de refugis</t>
  </si>
  <si>
    <t xml:space="preserve">Establir acords amb les entitats excursionistes titulars dels refugis de muntanya per a la millora d'aquests i l'adequació del seu funcionament a les finalitats del Parc   </t>
  </si>
  <si>
    <t>11.7.3</t>
  </si>
  <si>
    <t>Desenvolupar el Pla d'acollida als visitants en base al model de la DG</t>
  </si>
  <si>
    <t>Desenvolupament del pla d'acollida</t>
  </si>
  <si>
    <t>Persones i natura: model de protocol d'acollida</t>
  </si>
  <si>
    <t>Creació del pla</t>
  </si>
  <si>
    <t>11.7.4</t>
  </si>
  <si>
    <t>Adaptar els missatges a donar des d'oficines d’informació, pròpies i alienes, d'acord amb el model de la DG</t>
  </si>
  <si>
    <t>Revisió dels espais existents i necessitats d'inversió</t>
  </si>
  <si>
    <t>Persones i natura: Unifica missatges que s'incorporen en el model de protocol d'acollida</t>
  </si>
  <si>
    <t>Creació d'un relat unificat per a cada centre d'informació</t>
  </si>
  <si>
    <t>11.8</t>
  </si>
  <si>
    <t>Garantir el compliment de la normativa dins els ENP, especialment en l'accés motoritzat, zones amb hiperfrequentació i elements amb aprofitament comercial</t>
  </si>
  <si>
    <t>11.8.1</t>
  </si>
  <si>
    <t>Elaborar i executar el Pla de vigilància de l’espai d'acord amb els cossos d’inspecció i seguretat</t>
  </si>
  <si>
    <t xml:space="preserve">Pla de vigilància de l’espai d'acord amb els cossos d’inspecció i seguretat                                                                                                                       </t>
  </si>
  <si>
    <t>Nº de plans de vigilància de l'espai elaborats</t>
  </si>
  <si>
    <t xml:space="preserve">Identificació dels punts clau de vigilància, el calendari i els recursos necessaris                                                                                                                           </t>
  </si>
  <si>
    <t>Nº de punts clau identificats amb calendari i recursos necessaris</t>
  </si>
  <si>
    <t>11.8.2</t>
  </si>
  <si>
    <t>Millorar la coordinació amb els cossos de seguretat per efectuar accions de control i vigilància</t>
  </si>
  <si>
    <t xml:space="preserve">Millora de la coordinació amb el CAR (Unitat de vigilància) sobre el compliment del pla de vigilància
</t>
  </si>
  <si>
    <t>Nº de reunions anuals amb el CAR realitzades pel compliment del pla de vigilància</t>
  </si>
  <si>
    <t>Reunions periòdiques amb els cossos d'emergències i seguretat</t>
  </si>
  <si>
    <t>Reunions amb els cossos de seguretat</t>
  </si>
  <si>
    <t>11.8.3</t>
  </si>
  <si>
    <t>Vetllar pel compliment d'informes i la vigilància tècnica de l'espai</t>
  </si>
  <si>
    <t xml:space="preserve">Millora de la coordinació amb el CAR (Unitat de vigilància) sobre el compliment de les autoritzacions
</t>
  </si>
  <si>
    <t>Nº de reunions anuals amb el CAR realitzades pel compliment de les autoritzacions</t>
  </si>
  <si>
    <t>Revisió dels informes i condicionats corresponents</t>
  </si>
  <si>
    <t>Nº informes revisats</t>
  </si>
  <si>
    <t>Totes les trameses</t>
  </si>
  <si>
    <t>GESTIONAR ELS RISCOS NATURALS per a l'autoprotecció de la població local</t>
  </si>
  <si>
    <t>12.1</t>
  </si>
  <si>
    <t>Col·laborar amb les autoritats competents per a la gestió de riscos dins l’ENP</t>
  </si>
  <si>
    <t>12.1.1</t>
  </si>
  <si>
    <t>Ordenar el pla d’emergències</t>
  </si>
  <si>
    <t>Implementació del Pla d'Autoprotecció del parc nacional</t>
  </si>
  <si>
    <t>Nº de PAU implementats</t>
  </si>
  <si>
    <t>12.1.2</t>
  </si>
  <si>
    <t>Contribuir a la protecció dels assentaments humans respecte dels riscos naturals</t>
  </si>
  <si>
    <t>Col.laboració en la instal.lació i manteniment de senyals de cobertura 112</t>
  </si>
  <si>
    <t>Nº de senyals 112 mantingudes o instal.lades</t>
  </si>
  <si>
    <t>Realització d'actuacions de prevenció d'incendis forestals (recollida en els objectius operatius 1.1.3, 2.2.1 i 2.2.3)</t>
  </si>
  <si>
    <t xml:space="preserve">EDUCACIÓ, VOLUNTARIAT I COMUNICACIÓ </t>
  </si>
  <si>
    <t>FORMAR I SENSIBILITZAR la població incrementant la valoració i estima social de l'ENP</t>
  </si>
  <si>
    <t>13.1</t>
  </si>
  <si>
    <t xml:space="preserve">Afavorir la vinculació entre la comunitat educativa de l'entorn i l'ENP </t>
  </si>
  <si>
    <t>13.1.1</t>
  </si>
  <si>
    <t>Definir el model de Xarxa d'Escoles de l'Espai Natural (XEEN) a l'ENP amb els agents educatius del territori</t>
  </si>
  <si>
    <t xml:space="preserve">Elaboració d'un mapa d'agents col·laboradors: cercar entitats i institucions locals que col·laborin amb la Xarxa (CRPs, administració local, entitats ambientals i educatives...). 
</t>
  </si>
  <si>
    <t>Actualitzar llistat d'agents</t>
  </si>
  <si>
    <t xml:space="preserve">Organització de reunions periòdiques amb els agents educatius del territori
</t>
  </si>
  <si>
    <t>PEEVA
ESNATURA</t>
  </si>
  <si>
    <t>Nº reunions realitzades</t>
  </si>
  <si>
    <t>13.1.2</t>
  </si>
  <si>
    <t>Desplegar el model de Xarxa d'Escoles de l'Espai Natural (XEEN) a l'ENP d'acord amb el model general</t>
  </si>
  <si>
    <t>Constitució i dinamització dels espais de treball conjunt amb els agents col·laboradors.</t>
  </si>
  <si>
    <t>Nº trobades realitzades</t>
  </si>
  <si>
    <t>Consolidació de l'oferta pedagògica.</t>
  </si>
  <si>
    <t>SEA: Elabora model de xarxa</t>
  </si>
  <si>
    <t>% activitats de l'oferta pedagògica realitzades</t>
  </si>
  <si>
    <t>13.1.3</t>
  </si>
  <si>
    <t xml:space="preserve">Formar i capacitar al professorat de la XEEN </t>
  </si>
  <si>
    <t xml:space="preserve">Coordinació amb els Centres de Rercursos Pedagògics (CRP) perquè les formacions estiguin reconegudes  pel Departament d'Educació                      </t>
  </si>
  <si>
    <t>Número de formacions</t>
  </si>
  <si>
    <t>13.2</t>
  </si>
  <si>
    <t>Promoure una oferta pedagògica basada en metodologies innovadores i actives que estiguin alineades amb el currículum educatiu del Departament d'Educació</t>
  </si>
  <si>
    <t>13.2.1</t>
  </si>
  <si>
    <t>Adaptar i millorar l'oferta pedagògica de l'ENP generant situacions d'aprenentatge i treballs per projecte</t>
  </si>
  <si>
    <t>Ampliació de l'oferta pedagògica amb noves activitats.</t>
  </si>
  <si>
    <t>Nº noves activitats</t>
  </si>
  <si>
    <t>Revisió i actualització dels recursos pedagògics</t>
  </si>
  <si>
    <t>SEA: Comparteix models de situcions d'aprenentatge i de projects.</t>
  </si>
  <si>
    <t>Nº activitats millorades</t>
  </si>
  <si>
    <t>13.2.2</t>
  </si>
  <si>
    <t>Dissenyar i col·laborar en projectes d'ApS ambiental i Ciència ciutadana i projectes compartits amb entitats del territori que s'incloguin dins de l'oferta pedagògica.</t>
  </si>
  <si>
    <t xml:space="preserve">Trobades amb les enitats/empreses/Instituts per a conèixer les seves necessitats.
</t>
  </si>
  <si>
    <t>Nº Trobades</t>
  </si>
  <si>
    <t xml:space="preserve">
Cerca d'entitats.</t>
  </si>
  <si>
    <t>Cerca d'entitats</t>
  </si>
  <si>
    <t>Cerca d'entitats del territori i centres de recerca amb qui elaborar projectes de ciència ciutadana o d'ApS que donin resposta a les necessitats de l'EN.</t>
  </si>
  <si>
    <t>Dinamització de la realització d'aquests projectes.</t>
  </si>
  <si>
    <t xml:space="preserve">Promoció d’iniciatives de recerca en tots els nivells i àmbits acadèmics.                                                                                               </t>
  </si>
  <si>
    <t>Activació i coordinació de taules i grups de treball d’educació ambiental.</t>
  </si>
  <si>
    <t>13.2.3</t>
  </si>
  <si>
    <t>Elaborar recursos educatius sobre l’espai (que tinguin en compte les problemàtiques singulars del seu espai) i posar-los a disposició dels centres educatius</t>
  </si>
  <si>
    <t>Creació de noves activitats que tinguin en compte les problemàtiques singulars del seu espai)</t>
  </si>
  <si>
    <t>Nº activitats</t>
  </si>
  <si>
    <t>13.2.4</t>
  </si>
  <si>
    <t>Oferir projectes de recerca vinculats a l'espai natural per a l'alumnat universitari i de la XEEN</t>
  </si>
  <si>
    <t xml:space="preserve">Elaboració d'una proposta de posibles temàtiques per oferir als centres educatius de projectes vinculats a l'espai natural (treball de recerca, crèdit de síntesi, servei comunitari, pràctiques, etc.).                 </t>
  </si>
  <si>
    <t>Nº de llistats amb proposta de temàtiques per oferir als centres educatius de projectes vinculats al parc nacional</t>
  </si>
  <si>
    <t xml:space="preserve">Acompanyament de l'alumnat en la realització dels projectes.                       </t>
  </si>
  <si>
    <t>Nº d'alumnes als quals s'ha acompanyat anualment en la realització de projectes</t>
  </si>
  <si>
    <t>Elaboració d'una proposta de posibles temàtiques per oferir als centres educatius de projectes vinculats a l'espai natural (treball de recerca, crèdit de síntesi, servei comunitari, pràctiques, etc.).</t>
  </si>
  <si>
    <t>Nº propostes ofertades</t>
  </si>
  <si>
    <t>Acompanyament de l'alumnat en la relació dels projectes.</t>
  </si>
  <si>
    <t>Nº convenis de pràctiques</t>
  </si>
  <si>
    <t>13.3</t>
  </si>
  <si>
    <t>Establir mecanismes estables de formació, treball i coordinació amb els col·lectius implicats en la sensibilització i l'educació dins el ENP</t>
  </si>
  <si>
    <t>13.3.1</t>
  </si>
  <si>
    <t>Establir un model de coordinació territorial amb agents clau de l'educació ambiental</t>
  </si>
  <si>
    <t>Realització de trobada anual amb els agents d'EA.</t>
  </si>
  <si>
    <t>Nº trobades</t>
  </si>
  <si>
    <t>13.3.2</t>
  </si>
  <si>
    <t>Cercar i establir col·laboracions i projectes conjunts amb agents clau del territori</t>
  </si>
  <si>
    <t>Establir col·laboracions i projectes conjunts</t>
  </si>
  <si>
    <t>Nº colaboracions</t>
  </si>
  <si>
    <t>13.3.3</t>
  </si>
  <si>
    <t>Elaborar formacions dirigides als informadors, educadors i altres prescriptors del territori</t>
  </si>
  <si>
    <r>
      <t xml:space="preserve">Curs del bon coneixedor de l'ENP (curs de guies)
                                                                                                             </t>
    </r>
    <r>
      <rPr>
        <sz val="11"/>
        <color rgb="FF7030A0"/>
        <rFont val="Calibri"/>
        <family val="2"/>
      </rPr>
      <t xml:space="preserve">     </t>
    </r>
    <r>
      <rPr>
        <sz val="11"/>
        <color rgb="FF2D7427"/>
        <rFont val="Calibri"/>
        <family val="2"/>
      </rPr>
      <t xml:space="preserve">                                       </t>
    </r>
    <r>
      <rPr>
        <sz val="11"/>
        <color rgb="FF7030A0"/>
        <rFont val="Calibri"/>
        <family val="2"/>
      </rPr>
      <t xml:space="preserve">   </t>
    </r>
  </si>
  <si>
    <r>
      <t xml:space="preserve">Formacions continuades al personal del Parc.                                                                                   </t>
    </r>
    <r>
      <rPr>
        <sz val="11"/>
        <color rgb="FF7030A0"/>
        <rFont val="Calibri"/>
        <family val="2"/>
      </rPr>
      <t xml:space="preserve">     </t>
    </r>
    <r>
      <rPr>
        <sz val="11"/>
        <color rgb="FF2D7427"/>
        <rFont val="Calibri"/>
        <family val="2"/>
      </rPr>
      <t xml:space="preserve">                                       </t>
    </r>
    <r>
      <rPr>
        <sz val="11"/>
        <color rgb="FF7030A0"/>
        <rFont val="Calibri"/>
        <family val="2"/>
      </rPr>
      <t xml:space="preserve">   </t>
    </r>
  </si>
  <si>
    <t>Nº formacions</t>
  </si>
  <si>
    <t>Formació dels actors implicats en la gestió dels ENP en aspectes vinculats a la conservació dels elements d'interès.</t>
  </si>
  <si>
    <t>SEA: Elabora propostes MODEL de programes de formació</t>
  </si>
  <si>
    <t>13.4</t>
  </si>
  <si>
    <t>Desplegar un programa de divulgació i sensibilització per a visitants</t>
  </si>
  <si>
    <t>13.4.1</t>
  </si>
  <si>
    <t>Desplegar en el territori les campanyes de sensibilització i bones pràctiques que s'impulsin des de la DG</t>
  </si>
  <si>
    <t>Participació en la concreció dels missatges i peces creatives de la campanya de la DG.</t>
  </si>
  <si>
    <t>SEA: Elabora un document marc per unificar missatges i coordinar la difusió</t>
  </si>
  <si>
    <t>Nº de missatges i peces creatives anuals participades amb la DG</t>
  </si>
  <si>
    <t>Nº aportacions</t>
  </si>
  <si>
    <t>Difusió de la campanya aprofintant les eines i equipaments de l'ENP.</t>
  </si>
  <si>
    <t>Nº accions difusió</t>
  </si>
  <si>
    <t>13.4.2</t>
  </si>
  <si>
    <t xml:space="preserve">Adaptar el programa de divulgació i sensibilització de l'ENP perquè incorpori una oferta d’activitats adequada per a famílies </t>
  </si>
  <si>
    <r>
      <t xml:space="preserve">Disseny d'una oferta d’activitats d’educació ambiental de caire lúdic adreçada a famílies.                                                </t>
    </r>
    <r>
      <rPr>
        <sz val="11"/>
        <color rgb="FF1E4D1A"/>
        <rFont val="Calibri"/>
        <family val="2"/>
      </rPr>
      <t xml:space="preserve">                                                                                                         </t>
    </r>
  </si>
  <si>
    <t>Desenvolupament d'oferta d'activitats sobre temes de salut i natura.</t>
  </si>
  <si>
    <t>13.4.3</t>
  </si>
  <si>
    <t xml:space="preserve">Adaptar el programa de divulgació i sensibilització de l'ENP perquè incorpori una oferta d’activitats adequada per a altres perfils </t>
  </si>
  <si>
    <t>Oferta d'activitats adreçades a persones amb discapacitat.</t>
  </si>
  <si>
    <t>Oferta d'activitats adreçades a gent gran.</t>
  </si>
  <si>
    <t>13.4.4</t>
  </si>
  <si>
    <t xml:space="preserve">Adaptar el programa de divulgació i sensibilització de l'ENP perquè incorpori una oferta d’activitats dirigida al lleure educatiu </t>
  </si>
  <si>
    <t xml:space="preserve">Col·laboració amb campaments i estades realitzades en l'àmbit del Parc
</t>
  </si>
  <si>
    <t>13.5</t>
  </si>
  <si>
    <t>Desplegar un programa de sensibilització i formació per als col·lectius del territori estratègics en la conservació de la natura</t>
  </si>
  <si>
    <t>13.5.1</t>
  </si>
  <si>
    <t>Identificar col·lectius estratègics implicats en la gestió i l'ús del territori</t>
  </si>
  <si>
    <t>Elaboració de llistat de col·lectius.</t>
  </si>
  <si>
    <t>13.5.2</t>
  </si>
  <si>
    <t>Executar els projectes de sensibilització i formació dirigits al sector turístic, esportiu i de lleure</t>
  </si>
  <si>
    <t>Disseny d'activitats adreçades als agents turístics locals i/o en col·laboració amb ells per promoure la difusió i coneixement del Parc (oficines de turisme, agències receptives, allotjaments, , restauració..)</t>
  </si>
  <si>
    <t>Nº jornades</t>
  </si>
  <si>
    <t>Disseny d'activitats adreçades a activitats esportives/curses de muntanya/estacions d'esquí.</t>
  </si>
  <si>
    <t>13.5.3</t>
  </si>
  <si>
    <t xml:space="preserve">Executar els projectes de sensibilització i formació dirigits als agents de lleure educatiu </t>
  </si>
  <si>
    <t>Establiment i consolidació d'aliances, com per exemple amb les oficines de joventut, amb programes i entitats de lleure educatiu locals (activitats extraescolars, casals d’estiu, caus i esplais...). Proposta als campaments de fer petites accions de manteniment dels espais del parc.</t>
  </si>
  <si>
    <t>Nº aliances creades</t>
  </si>
  <si>
    <t>13.5.4</t>
  </si>
  <si>
    <t xml:space="preserve">Executar els projectes de sensibilització i formació dirigits als agents del sector primari </t>
  </si>
  <si>
    <t>Establiment i consolidació d'aliances, per a desenvolupar programes de formació conjunts, com per exemple amb les oficines comarcals d'agricultura i entitats ramaderes.</t>
  </si>
  <si>
    <t>13.5.5</t>
  </si>
  <si>
    <t>Elaborar i renovar periòdicament un programa d’educació ambiental adreçat a la població local que contribueixi a fomentar el sentiment de pertinença i la implicació en la conservació de l'ENP.</t>
  </si>
  <si>
    <t>Participació a les diferents fires dels pobles de l'entorn del Parc.</t>
  </si>
  <si>
    <t>Nº activitats en fires</t>
  </si>
  <si>
    <t>Incorporació d'activitats a l'agenda per a persones del territori.</t>
  </si>
  <si>
    <t>Nº activitats de l'agenda</t>
  </si>
  <si>
    <t>13.6</t>
  </si>
  <si>
    <t xml:space="preserve">Fomentar accions de voluntariat per conservar el patrimoni natural i cultural </t>
  </si>
  <si>
    <t>13.6.1</t>
  </si>
  <si>
    <t>Identificar els programes, projectes i accions en marxa o previstos a l’ENP que poden rebre el suport del voluntariat</t>
  </si>
  <si>
    <t>Elaboració d'un llistat de programes, projectes i accions en marxa o previstos a l'ENPE que poden rebre el suport de voluntariat</t>
  </si>
  <si>
    <t>Nº de llistat de programes, projectes i accions en marxa o previstos a l'ENPE que poden rebre el suport de voluntariat elaborat</t>
  </si>
  <si>
    <t>Realitzar reunions amb les entitats de voluntariat per a executar les propostes</t>
  </si>
  <si>
    <t>Nº reunions</t>
  </si>
  <si>
    <t>13.6.2</t>
  </si>
  <si>
    <t>Establir un model de coordinació territorial amb agents clau del voluntariat ambiental</t>
  </si>
  <si>
    <t xml:space="preserve">Elaboració i actualització periòdica del mapa d’agents de voluntariat que actuen a l’ENP, incloent entitats ambientals i altres entitats que participen en activitats de voluntariat ambiental.
</t>
  </si>
  <si>
    <t>Manteniment de les actuacions establertes a la taula el voluntariat del Pirineu Occidental.</t>
  </si>
  <si>
    <t>ESNATURA
PEEVA</t>
  </si>
  <si>
    <t xml:space="preserve">SEA: Elabora Model de Taula de Voluntariat Ambiental </t>
  </si>
  <si>
    <t>Nª actuacions taula voluntariat</t>
  </si>
  <si>
    <t>13.7</t>
  </si>
  <si>
    <t xml:space="preserve">Treballar per a la universalitat de les accions d’educació, sensibilització i voluntariat ambiental </t>
  </si>
  <si>
    <t>13.7.1</t>
  </si>
  <si>
    <t>Dissenyar i adaptar activitats inclusives per a persones amb necessitats específiques</t>
  </si>
  <si>
    <t>Implementació de l’Estudi Tècnic d’Accessibilitat Universal</t>
  </si>
  <si>
    <t>Estudi de noves actuacions i/o infraestructures per a persones amb discapacitat</t>
  </si>
  <si>
    <t>Nº accions implementades</t>
  </si>
  <si>
    <t>Renovació i actualització del material informatiu i divulgatiu per a persones amb discapacitat</t>
  </si>
  <si>
    <t>Nº material actualitzat</t>
  </si>
  <si>
    <t>13.7.2</t>
  </si>
  <si>
    <t>Formar el personal de l'ENP (informadors i personal que treballa de cara al públic) en accessibilitat, diversitat funcional i diversitat de gènere</t>
  </si>
  <si>
    <t>Realització de cursos d'accessibilitat per al personal</t>
  </si>
  <si>
    <t>Nº cursos</t>
  </si>
  <si>
    <t>13.7.3</t>
  </si>
  <si>
    <t>Incorporar la perspectiva de gènere als continguts i activitats de l'ENP</t>
  </si>
  <si>
    <t xml:space="preserve">Actualització dels recursos i materials informatius i divulgatius des d'una perspectiva de gènere.  </t>
  </si>
  <si>
    <t>13.8</t>
  </si>
  <si>
    <t>Desplegar i adaptar el programa Salut i Natura de la DG en l'àmbit de l'ENP</t>
  </si>
  <si>
    <t>13.8.1</t>
  </si>
  <si>
    <t>Dissenyar, implementar i fomentar itineraris saludables dins dels itineraris oficials dels ENP i en la zona d'influència</t>
  </si>
  <si>
    <t>Promoure itineraris saludables.</t>
  </si>
  <si>
    <t>Nº itineraris promocionats</t>
  </si>
  <si>
    <t>13.8.2</t>
  </si>
  <si>
    <t>Identificar els agents clau i els àmbits de col·laboració per implementar el binomi salut i natura</t>
  </si>
  <si>
    <t>Desplegament, de forma coordinada amb entitats sociosanitàries, activitats i programes adreçats a col·lectius diana dins l'ENP.</t>
  </si>
  <si>
    <t>Nº activitats realitzades</t>
  </si>
  <si>
    <t>13.8.3</t>
  </si>
  <si>
    <t xml:space="preserve">Incloure el concepte de salut i natura en els missatges educatius i comunicatius de l'ENP </t>
  </si>
  <si>
    <t xml:space="preserve">
Inclusió del concepte de Salut i Natura en els missatges comunicatius de conservació i sensibilització.</t>
  </si>
  <si>
    <t>Nº publicacions sobre salut i natura</t>
  </si>
  <si>
    <t>13.8.4</t>
  </si>
  <si>
    <t>Participar a les Taules territorials de Salut i Natura</t>
  </si>
  <si>
    <t>COMUNICAR I DIFONDRE ELS VALORS DE L'ENP, contribuint a l'educació ambiental de la societat</t>
  </si>
  <si>
    <t>14.1</t>
  </si>
  <si>
    <t>Augmentar el coneixement de l'ENP entre la població</t>
  </si>
  <si>
    <t>14.1.1</t>
  </si>
  <si>
    <t>Informar periòdicament sobre les tasques, projectes i actuacions que duu a terme l'ENP a la població</t>
  </si>
  <si>
    <t>Creació de contingut per a publicacions periòdiques sobre tasques, projectes i actuacions de l'ENP</t>
  </si>
  <si>
    <t>Pla de comunicació</t>
  </si>
  <si>
    <t>SENP: Elaborar els productes comunicatius</t>
  </si>
  <si>
    <t>Nº de publicacions preparades o revisades</t>
  </si>
  <si>
    <t>Elaborar els productes comunicatius que es determinin conjuntament amb Serveis Centrals :butlletí extern i agenda d'activitats, Portarró.</t>
  </si>
  <si>
    <t xml:space="preserve">Nº productes comunicatius, </t>
  </si>
  <si>
    <t>Donar a conèixer l'equip del Parc através dels diferents canals comunicatius.</t>
  </si>
  <si>
    <t xml:space="preserve"> Nº accions de difusió</t>
  </si>
  <si>
    <t>Inclusió d'aspectes de transparència informativa sobre el que s’està treballant des de l’ENP (Patronat i Comissió Permanent).</t>
  </si>
  <si>
    <t>Manteniment del banc d’imatges, vídeos, vídeos amb vols de dron.</t>
  </si>
  <si>
    <t>Posar a disposició de la societat els estudis i informes que s'han fet del Parc (realització de jornades, infografies etc)</t>
  </si>
  <si>
    <t xml:space="preserve"> Nº imformes o recerques publicats</t>
  </si>
  <si>
    <t>Generació d'un servei geogràfic d'oferta de senders oficials i equipaments.</t>
  </si>
  <si>
    <t>Vetllar pel correcte tractament i emmagatzematge d'aquests estudis i informes (repositori)</t>
  </si>
  <si>
    <t>14.1.2</t>
  </si>
  <si>
    <t>Garantir l'accessibilitat i gestió del coneixement disponible sobre l'ENP</t>
  </si>
  <si>
    <r>
      <t>Oferir diferents versions idiomàtiques dels materials de difusió</t>
    </r>
    <r>
      <rPr>
        <sz val="11"/>
        <color rgb="FF7030A0"/>
        <rFont val="Calibri"/>
        <family val="2"/>
      </rPr>
      <t>.</t>
    </r>
  </si>
  <si>
    <t>Nºidiomes oferts</t>
  </si>
  <si>
    <t>Ús d'un llenguatge planer quan ens adrecem a la ciutadania lectura fàcil.</t>
  </si>
  <si>
    <t xml:space="preserve"> Nº fulletons amb lectura fàcil</t>
  </si>
  <si>
    <t>Crear un nou espai al web de Preguntes freqüents.</t>
  </si>
  <si>
    <t>14.2</t>
  </si>
  <si>
    <t>Conscienciar sobre els valors de l'ENP als diferents públics objectiu</t>
  </si>
  <si>
    <t>14.2.1</t>
  </si>
  <si>
    <t>Sensibilitzar als diferents agents sobre els valors de l'ENP</t>
  </si>
  <si>
    <t>Creació de material divulgatiu específic a partir de les campanyes de comunicació elaborades conjuntament amb Serveis Centrals (comunicació externa)</t>
  </si>
  <si>
    <t>Nº materials creats</t>
  </si>
  <si>
    <t>Foment de la formació de l'equip del Parc i augmentar el coneixement d'aquests valors (comunicació interna)</t>
  </si>
  <si>
    <t xml:space="preserve"> Nº jornades formació</t>
  </si>
  <si>
    <t>Potenciació de la doble funció dels Centres de documentació: generar informació (material de recerca) i oferir informació als visitants.</t>
  </si>
  <si>
    <t>SEA: Crear material divulgatiu</t>
  </si>
  <si>
    <t>% consultes resoltes</t>
  </si>
  <si>
    <t>14.3</t>
  </si>
  <si>
    <t xml:space="preserve">Disposar d'una comunicació ordenada efectiva, positiva i coordinada que arribi a la ciutadania i aquesta pugui reconèixer fàcilment </t>
  </si>
  <si>
    <t>14.3.1</t>
  </si>
  <si>
    <t>Optimitzar els canals de comunicació</t>
  </si>
  <si>
    <t>Definició i clarificació dels rols de l'equip del parc i una correcta definició de les tasques de cada membre.</t>
  </si>
  <si>
    <t xml:space="preserve">SI/NO </t>
  </si>
  <si>
    <t>Actualització del web segons el format i estàndards establerts des de Serveis Centrals.</t>
  </si>
  <si>
    <t xml:space="preserve">Tenir un responsable/equip de comunicació amb formació tècnica.                                                                                               </t>
  </si>
  <si>
    <t>Estudiar la necessitat i viabilitat d'obrir nous canals comunicatius (butlletí, xxss, revistes etc.) conjuntament amb Serveis Centrals.</t>
  </si>
  <si>
    <t>Reunions bimensuals de coordinació de la Xarxa dels grups de conservació, d’ús públic i turisme, de gestió econòmica o RAE, d’educació ambiental, de centres de documentació, de millora rural, i de direcció.</t>
  </si>
  <si>
    <t>Nª reunions</t>
  </si>
  <si>
    <t>14.3.2</t>
  </si>
  <si>
    <t>Garantir l'harmonització de la comunicació com a Parc, Xarxa, Generalitat i Red de Parques Nacionales.</t>
  </si>
  <si>
    <t>Planificació i disseny de la comunicació de cada Parc conjuntament amb els Serveis Centrals i Organismo Autónomo Parques Nacionales,  per garantir-ne la imatge corporativa i la coherència com a xarxa (publicacions, xxss, web, NP, merxandatge etc.)</t>
  </si>
  <si>
    <t>Implementació dels protocols vigents d'informació i comunicació.</t>
  </si>
  <si>
    <t>Aplicació dels manuals existents i vigents en quan a comunicació corporativa.</t>
  </si>
  <si>
    <t>Elaboració i inclusió del Pla de Comunicació dins del PUP de l'ENP i incorporar un protocol comunicatiu específic per a Juntes Rectores d'ENP.</t>
  </si>
  <si>
    <t>Participació en els espais d'intercanvi d'informació entre ENP.</t>
  </si>
  <si>
    <t xml:space="preserve">Reunions d'equip periòdiques amb una freqüència no superior a 15 dies.
                                                                                              </t>
  </si>
  <si>
    <t>GESTIÓ I ADMINISTRACIÓ</t>
  </si>
  <si>
    <t>ESTABLIR EL MARC PER A LA GOVERNANÇA i la gestió eficient de l'espai i la xarxa d'ENP</t>
  </si>
  <si>
    <t>15.1</t>
  </si>
  <si>
    <t>Disposar d'espais per a la participació de personal expert i agents del territori en la governança de l'ENP</t>
  </si>
  <si>
    <t>15.1.1</t>
  </si>
  <si>
    <t>Crear una taula de treball amb els agents prioritaris per a la gestió de l'ENP i els grups de treball temàtics necessaris</t>
  </si>
  <si>
    <t>15.1.2</t>
  </si>
  <si>
    <t>Disposar d'assessorament científic en l'ENP</t>
  </si>
  <si>
    <t>15.1.3</t>
  </si>
  <si>
    <t>Incloure entitats i organismes científics i culturals de referència en els mecanismes de presa de decisions de l'ENP</t>
  </si>
  <si>
    <t>Inclusió de personal expert exter en els òrgans gestors dels ENP.</t>
  </si>
  <si>
    <t>Inclusió d'entitats i organismes científics i culturals a les reunions de la junta rectora de l'ENP.</t>
  </si>
  <si>
    <t>15.1.4</t>
  </si>
  <si>
    <t>Adaptar i desplegar el model de governança dels espais naturals protegits</t>
  </si>
  <si>
    <t>Presentació de la proposta de PE a junta amb un pressupost associat per validar-lo. Possibles aportacions al consell de participació.</t>
  </si>
  <si>
    <t>SENP: Elaborar una proposta de model de governança dels espais naturals protegits</t>
  </si>
  <si>
    <t>MILLORAR L'EFICIÈNCIA de la gestió administrativa</t>
  </si>
  <si>
    <t>16.1</t>
  </si>
  <si>
    <t>Optimitzar l'aplicació pressupostaria</t>
  </si>
  <si>
    <t>16.1.1</t>
  </si>
  <si>
    <t>Millorar el sistema de control de l'execució del pressupost, d'acord amb les indicacions de Serveis Centrals</t>
  </si>
  <si>
    <t>Aplicació del nou sistema de seguiment pressupostari conjunt per a tots els ENP per al control de les despeses (quan entri en funcionament).</t>
  </si>
  <si>
    <t>UGA: Dissenyar i desplegar el nou sistema de seguiment pressupostari conjunt per a tots els ENP.
SENP:  Crear espais de coordinació entre ENP per identificar les despeses comunes</t>
  </si>
  <si>
    <t>Aplicació del manual per al règim de gestió econòmica als ENP per traspassar dades al RAE.</t>
  </si>
  <si>
    <t>Participació dels espais de coordinació entre ENP per identificar les despeses comunes tramitables a càrrec del pressupost de la DG.</t>
  </si>
  <si>
    <t>16.2</t>
  </si>
  <si>
    <t>Planificar i optimitzar els processos de contractació, concessió d'ajuts, i les col·laboracions amb ens públics i privats</t>
  </si>
  <si>
    <t>16.2.1</t>
  </si>
  <si>
    <t>Planificar i detectar les necessitats de contractació del l'ENP per a l'optimització dels contractes a nivell de Xarxa</t>
  </si>
  <si>
    <t>Amb els espais de coordinació entre ENP, detecció de les necessitats conjuntes que es puguin agrupar en contractes únics (amb o sense lots) o en convocatòries amb concurrència.</t>
  </si>
  <si>
    <t>SENP: Crear espais de coordinació entre ENP per detectar necessitats conjuntes.</t>
  </si>
  <si>
    <t>Nº de reunions a les quals s'assisteix</t>
  </si>
  <si>
    <t>Encaix de les necessitats específiques de cada ENP a les necessitats conjuntes detectades a nivell de Xarxa.</t>
  </si>
  <si>
    <t>Preveure amb una antelació mínima de 6 mesos les necessitats de contractació per augmentar l'eficiència de la tramitació i disposar de marge de maniobra davant qualsevol eventualitat.</t>
  </si>
  <si>
    <t>16.2.2</t>
  </si>
  <si>
    <t>Planificar i detectar les tasques de convocatòries d'ajuts de l'ENP</t>
  </si>
  <si>
    <t>Preveure amb una antelació mínima de 6 mesos les convocatòries d'ajuts per augmentar l'eficiència de la tramitació i disposar de marge de maniobra davant qualsevol eventualitat.</t>
  </si>
  <si>
    <t xml:space="preserve">
Implementació de gestor d'expedients
</t>
  </si>
  <si>
    <t>Nº de gestors d'expedients implementats</t>
  </si>
  <si>
    <t>Treballar amb SSCC per adaptar les convocatòries d'ajuts a les necessitats de l'ENP</t>
  </si>
  <si>
    <t>Nº de sessions de treball realitzades amb SSCC per adaptar les convocatòries d'ajuts a les necessitats de l'ENP</t>
  </si>
  <si>
    <t>16.2.3</t>
  </si>
  <si>
    <t>Establir i renovar en temps i forma convenis de col·laboració, convenis marc, acords, protocols i altres instruments de col·laboració.</t>
  </si>
  <si>
    <t xml:space="preserve">Elaboració d'un llistat de convenis i altres instruments de col·laboració vigents i planificar les pròrrogues que es requereixin.
</t>
  </si>
  <si>
    <t>UGA: Coordinar l'elaboració dels catàlegs col·lectius amb ENP, universitats i centres documentació</t>
  </si>
  <si>
    <t>Nº de llistats de convenis i altres instruments de col.laboració elaborats</t>
  </si>
  <si>
    <t xml:space="preserve">
Participació en l'elaboració coordinada dels catàlegs col·lectius amb universitats i centres documentació
</t>
  </si>
  <si>
    <t xml:space="preserve">
Implementació del gestor d'expedients (d'un registre únic de convenis)</t>
  </si>
  <si>
    <t>16.3</t>
  </si>
  <si>
    <t>Agilitzar, incrementar l'eficiència  i incrementar l’assoliment dels procediments administratius</t>
  </si>
  <si>
    <t>16.3.1</t>
  </si>
  <si>
    <t>Optimitzar l'elaboració d'informes</t>
  </si>
  <si>
    <t xml:space="preserve">Optimitzar la comunicació i acompanyament durant els processos administratius amb el personal tècnic de Serveis Centrals
</t>
  </si>
  <si>
    <t xml:space="preserve">
Designació d'interlocutors tècnics per al desenvolupament d'accions que requereixen procediments administratius.
</t>
  </si>
  <si>
    <t xml:space="preserve">
Manteniment d'una comunicació continuada amb l'UGA.
</t>
  </si>
  <si>
    <t>Nº de sessions de treball anuals realitzades amb UGA</t>
  </si>
  <si>
    <t xml:space="preserve">
Elaboració d'una llista dels tràmits realitzats pels ENP per detectar necessitats de suport i acompanyament administratiu.
</t>
  </si>
  <si>
    <t>Implementació de gestor d'expedients</t>
  </si>
  <si>
    <t>Nº d'expedients gestionats anualment mitjançant la plataforma</t>
  </si>
  <si>
    <t>16.3.2</t>
  </si>
  <si>
    <t>Adequar i actualitzar els procediments i tramitacions realitzats des de l'ENP als nous processos i eines conjuntes proposades des de Serveis Centrals</t>
  </si>
  <si>
    <t>Ús dels formularis simplificats.</t>
  </si>
  <si>
    <t>UGA: Simplificació i optimització de formularis. Tipificació de peticions (tràmits específics)</t>
  </si>
  <si>
    <t>Implementació de gestor d'expedients.</t>
  </si>
  <si>
    <r>
      <t>S</t>
    </r>
    <r>
      <rPr>
        <sz val="11"/>
        <color rgb="FF3F0065"/>
        <rFont val="Calibri"/>
        <family val="2"/>
        <scheme val="minor"/>
      </rPr>
      <t>eguir les directrius establertes al Manual de Qualitat en la gestió de la unitat d'Ús públic</t>
    </r>
    <r>
      <rPr>
        <sz val="11"/>
        <rFont val="Calibri"/>
        <family val="2"/>
        <scheme val="minor"/>
      </rPr>
      <t xml:space="preserve"> (MQ UNE ISO)</t>
    </r>
  </si>
  <si>
    <t>16.3.3</t>
  </si>
  <si>
    <t>Augmentar el coneixement de l'equip de treball en matèria de procediment administratiu</t>
  </si>
  <si>
    <t>Participació de les formacions ofertades des del Centre de formació i estudis agrorurals per al personal administratiu.</t>
  </si>
  <si>
    <t>Respondre a la demanda activa de formacions quan es planifica el Pla anual de formació ofertat des del Centre de formació i estudis agrorurals.</t>
  </si>
  <si>
    <t>Formació interna de l'equip administratiu de l'ENP per adquirir coneixements bàsics en temes prioritaris (comptabilitat, contractació, tramitació electrònica, accessibilitat i transparència, propietat intel·lectual) i processos de tramitació (CQS, peticions informació genèrica, solicituds accés informació ambiental)</t>
  </si>
  <si>
    <t>16.3.4</t>
  </si>
  <si>
    <t>Garantir la transparència administrativa</t>
  </si>
  <si>
    <t>Difondre o permetre l'accés a la informació pública</t>
  </si>
  <si>
    <t>Atendre les sol·licituds d'informació</t>
  </si>
  <si>
    <t>16.3.5</t>
  </si>
  <si>
    <t>Millorar i mantenir el material i infraestructures de gestió</t>
  </si>
  <si>
    <t xml:space="preserve">Millora del material i els serveis informàtics          </t>
  </si>
  <si>
    <t>Compra de material d'oficina</t>
  </si>
  <si>
    <t xml:space="preserve">Reparació i millora del material de la brigada                                              </t>
  </si>
  <si>
    <t>Nº d'hores anuals destinades a la reparació i millora de material de brigades</t>
  </si>
  <si>
    <t>Obres de millora i rehabilitació energètica de la Casa del Parc d'Espot (Pallars Sobirà)</t>
  </si>
  <si>
    <t>Nº d'obres de millora de la Casa del Parc d'Espot executades</t>
  </si>
  <si>
    <t>Redacció del projecte i execució de les obres de condicionament del magatzem de la Serradora d'Espot per allotjar al personal de les brigades de manteniment</t>
  </si>
  <si>
    <t>Nº d'obres de millora de lal magatzem de la Serradora d'Espot executades</t>
  </si>
  <si>
    <t>Obres d'adaptació del centre de treball d'Erill (Alta Ribagorça)</t>
  </si>
  <si>
    <t>Nº d'obres de millora del centre de treball d'Erill executades</t>
  </si>
  <si>
    <t>Obres de millora de la Casa Forestal de Boí (Alta Ribagorça)</t>
  </si>
  <si>
    <t>Nº d'obres de millora de la Casa Forestal de Boí executades</t>
  </si>
  <si>
    <t>Obres de millora del Refugi Pla de la Font (Pallars Sobirà)</t>
  </si>
  <si>
    <t>Nº d'obres de millora del Refugi Pla de la Font executades</t>
  </si>
  <si>
    <t>Obres de millora del Refugi d'Estany Llong (Alta Ribagorça)</t>
  </si>
  <si>
    <t>Nº d'obres de millora del Refugi d'Estany Llong executades</t>
  </si>
  <si>
    <t>Millores de les Cases del Parc i dels centres existents</t>
  </si>
  <si>
    <t>Nº d'obres de millora en altres centres del parc nacional executades</t>
  </si>
  <si>
    <t>16.4</t>
  </si>
  <si>
    <t>Ordenar l'estat dels béns patrimonials</t>
  </si>
  <si>
    <t>16.4.1</t>
  </si>
  <si>
    <t>Revisar l’estat dels béns patrimonials i la situació administrativa-legal dels equipaments del parc</t>
  </si>
  <si>
    <t xml:space="preserve">Revisió de tota la documentació relativa als béns patrimonials de l'ENP
                                        </t>
  </si>
  <si>
    <t>UGA: tramitar els expedients de cessió de titularitat, declaracions d'obra nova, compra, lloguer, etc.</t>
  </si>
  <si>
    <t xml:space="preserve">Traspas de tota la informació del béns patrimonials i col·laborar amb el Servei de Contractació i Patrimoni per tramitar els expedients de cessió de titularitat, declaracions d'obra nova, compra, lloguer...                                           </t>
  </si>
  <si>
    <t>Nº de tramitacions realitzades</t>
  </si>
  <si>
    <t>16.4.2</t>
  </si>
  <si>
    <t>Tenir cobertes les pèrdues o danys materials del patrimoni de la Direcció General que hi ha a l'àmbit territorial del Parc, com a conseqüència de la materialització de qualsevol dels riscs emparats en el plec de prescripcions tècniques de la pòlissa.</t>
  </si>
  <si>
    <t>Revisió que tots els equipaments del parc estiguin correctament assegurats dins la pòlissa d'assegurança de danys materials (número 86-5034332) de la Generalitat, en col·laboració amb  serveis centrals i d'acord amb les seves directrius.</t>
  </si>
  <si>
    <t>UGA: Tramitar les assegurances dels béns patrimonials.</t>
  </si>
  <si>
    <t>Col·laboració amb el Servei de Contractació i Patrimoni per tramitar les assegurances dels béns patrimonials.</t>
  </si>
  <si>
    <t>16.5</t>
  </si>
  <si>
    <t>Estructurar la gestió documental</t>
  </si>
  <si>
    <t>16.5.1</t>
  </si>
  <si>
    <t>Millorar l'accessibilitat i la gestió documental del centre o punt de documentació de l'ENP</t>
  </si>
  <si>
    <t>Desenvolupament del repositori digital, recollint, preservant i difonent la informació generada.</t>
  </si>
  <si>
    <t>SENP: Disseny d'una metodologia de treball conjunta</t>
  </si>
  <si>
    <t xml:space="preserve">Catalogar i digitalitzar el fons documental.
</t>
  </si>
  <si>
    <t>Millora de l'accessibilitat documental al web.</t>
  </si>
  <si>
    <t>Actualització i millora dels continguts i el posicionament del web del Parc</t>
  </si>
  <si>
    <t>16.6</t>
  </si>
  <si>
    <t>Gestionar recursos humans</t>
  </si>
  <si>
    <t>16.6.1</t>
  </si>
  <si>
    <t>Gestió de la brigada de manteniment</t>
  </si>
  <si>
    <t xml:space="preserve">Coordinació de les brigades de manteniment del parc nacional </t>
  </si>
  <si>
    <t>Nº d'hores de coordinació de brigades realitzades</t>
  </si>
  <si>
    <t>16.6.2</t>
  </si>
  <si>
    <t>Gestió de personal</t>
  </si>
  <si>
    <t>Consolidació i optimització dels mitjans humans en els equipaments del Parc.</t>
  </si>
  <si>
    <t>Millora de la comunicació interna i creació d’un manual d’acollida per al personal de nova incorporació</t>
  </si>
  <si>
    <t>Promoció d’un programa d’intercanvis formatius</t>
  </si>
  <si>
    <t xml:space="preserve">Elaboració d’un programa de formació interna i afavoriment de la participació en jornades i altres esdeveniments externs  </t>
  </si>
  <si>
    <t>Codi:</t>
  </si>
  <si>
    <t>Un codi correlatiu segons l'any, l'Eix i l'acrònim del Parc (25_NA_PNAE_01) Es posen les dues primeres lletres de l'eix, en majúscules.</t>
  </si>
  <si>
    <t>Codi RAE:</t>
  </si>
  <si>
    <t>En el cas de ser una actuació del RAE, posar-hi el codi corresponent.</t>
  </si>
  <si>
    <t>Actuació:</t>
  </si>
  <si>
    <t>El nom de l'actuació concreta que realitzareu en l'any. Pot ser el mateix redactat que el del Pla estratègic o una mica més concret però, cal que provingui d'alguna actuació prevista al Pla estratègic.</t>
  </si>
  <si>
    <t>Codi Obj Operatiu:</t>
  </si>
  <si>
    <t>El Codi de l'Objectiu Operatiu que considereu que està més relacionat amb l'execució de l'actuació.</t>
  </si>
  <si>
    <t>Codis altres Oj. Oper.:</t>
  </si>
  <si>
    <t>En el cas que es consideri que l'actuació a executar també està relacionada amb d'altres Objectius Operatius</t>
  </si>
  <si>
    <t>Eix.</t>
  </si>
  <si>
    <t>Segons els set Eixos del Pla estratègic</t>
  </si>
  <si>
    <t>Tipus act. segons model de despesa:</t>
  </si>
  <si>
    <t>Posar a quin tipus de despesa correspon (RAE, PEA, Contracte Programa,...). Llista desplegable tancada</t>
  </si>
  <si>
    <t>Tipus d'actuació segons MAP:</t>
  </si>
  <si>
    <t>Posar a quina de les tipologies d'actuacions previstes al MAP correspon la mesura. Llista desplegable amb una opció d'Altres al final. Si correspon a més d'una, posar la tipologia principal</t>
  </si>
  <si>
    <t>Import:</t>
  </si>
  <si>
    <t>Posar l'import previst per a la realització de l'actuació</t>
  </si>
  <si>
    <t>Grau de compliment de l'indicador:</t>
  </si>
  <si>
    <t>IMPORTANT. Indicar quin indicador dels posats al Pla estratègic serveix per avaluar l'execució o l'impacte de l'actuació i quin grau de compliment respecte a la fita màxima. Ex. Si l'indicador era nombre d'ha restaurades i la fita màxima era 50, posar el % respecte a 50 que suposa l'execució de l'actuació. També pot ser més qualitatiu: Es redacta el Pla i queda pendent la seva aprovació. No cal que sempre sigui un percentatge.</t>
  </si>
  <si>
    <t>Com treballar?</t>
  </si>
  <si>
    <t>Cal revisar totes les actuacions posades al Pla estratègic i posar al programa anual aquelles que es consideri que es poden fer el 2025. Per a decidir què s'inclou i què no, cal tenir molt en compte les columnes de Prioritat que hagueu posat al Pla a més de totes les que hagueu afegit que us serveixen per prendre la decisió. 
El redactat de la mesura pot ser el mateix  que el del Pla, si és prou concret, o una concreció d'una mesura inclosa al Pla. Per exemple: al Pla pot posar recuperació del bosc de ribera i al Programa anual posaria: recuperació de les vernedes de la cua de l'embassament de la Torrassa.</t>
  </si>
  <si>
    <t>Espai natural</t>
  </si>
  <si>
    <t>Codi</t>
  </si>
  <si>
    <t>Codi RAE</t>
  </si>
  <si>
    <t>Actuació</t>
  </si>
  <si>
    <t>Codi OO</t>
  </si>
  <si>
    <t>Objectiu Operatiu</t>
  </si>
  <si>
    <t>Codis d'altres OBJECTIU OPERATIUS relacionats</t>
  </si>
  <si>
    <t>Eix del Pla estratègic</t>
  </si>
  <si>
    <t>Tipus d'actuació segons model de despesa</t>
  </si>
  <si>
    <t>Partida RAE</t>
  </si>
  <si>
    <t>Tipus d'actuació segons MAP</t>
  </si>
  <si>
    <t>Import</t>
  </si>
  <si>
    <t>Grau de compliment de l'indicador definit al Pla estratègic</t>
  </si>
  <si>
    <t>Observacions</t>
  </si>
  <si>
    <t>Gestor responsable</t>
  </si>
  <si>
    <t>Unitat responsable</t>
  </si>
  <si>
    <t>Actuació recurrent</t>
  </si>
  <si>
    <t>26_GA_01</t>
  </si>
  <si>
    <t>Atencions protocolàries, despeses d'assistència a reunions i actes variats</t>
  </si>
  <si>
    <t>7. Gestió i administració</t>
  </si>
  <si>
    <t>Contracte menor a càrrec del RAE</t>
  </si>
  <si>
    <t>226.0005 - Organització de reunions, conferències i cursos</t>
  </si>
  <si>
    <t>1.2 Administració del lloc i comunicació amb les parts interessades</t>
  </si>
  <si>
    <t>Lluís F. Florit Molina</t>
  </si>
  <si>
    <t>D</t>
  </si>
  <si>
    <t>Sí</t>
  </si>
  <si>
    <t>26_GA_02</t>
  </si>
  <si>
    <t>Cursos de formació de personal propi</t>
  </si>
  <si>
    <t>226.0011 - Formació del personal propi</t>
  </si>
  <si>
    <t>Curs de formació per afrontar situacions extremes (accidents, ...)/ MES: PREGUNTEM FC FORMACIÓ HELICÒPTER
Formació en preparació i recepció de càrregues d'helicòpter</t>
  </si>
  <si>
    <t>Xavier Llimiñana Sabate</t>
  </si>
  <si>
    <t>UP</t>
  </si>
  <si>
    <t>26_GA_03</t>
  </si>
  <si>
    <t>Manteniment de contactes i projectes a través d'EUROPARC</t>
  </si>
  <si>
    <t>226.0089 - Altres despeses diverses</t>
  </si>
  <si>
    <t>26_GA_04</t>
  </si>
  <si>
    <t>Patronat de la Vall de Boí</t>
  </si>
  <si>
    <t>26_CO_01</t>
  </si>
  <si>
    <t>Actuacions conjuntes de patrimoni natural i cultural</t>
  </si>
  <si>
    <t>3. Coneixement</t>
  </si>
  <si>
    <t>227.0013 - Treballs tècnics</t>
  </si>
  <si>
    <t>Conveni amb l'Ecomuseu (2.500 €)+ Curtàneu (500 €) + Dansàneu (6.000) + Museus Vall Aran (3.000 €) altres (500 €)</t>
  </si>
  <si>
    <t>26_NA_01</t>
  </si>
  <si>
    <t>Suport al Pla Estratègic Parc</t>
  </si>
  <si>
    <t>1. Natura</t>
  </si>
  <si>
    <t>1.1 Planificació de la gestió i designació del lloc</t>
  </si>
  <si>
    <t>1 sessió / comarca</t>
  </si>
  <si>
    <t>Miriam Aznar Galan</t>
  </si>
  <si>
    <t>UMN</t>
  </si>
  <si>
    <t>26_US_01</t>
  </si>
  <si>
    <t>Actuacions de manteniment al Centres de Fauna de El Pont de Suert i Bagà</t>
  </si>
  <si>
    <t>5. Ús públic i social</t>
  </si>
  <si>
    <t>210.0001 - Conservació, reparació i manteniment de terrenys</t>
  </si>
  <si>
    <t>Rosana Senis Garrido</t>
  </si>
  <si>
    <t>ADM</t>
  </si>
  <si>
    <t>26_GA_05</t>
  </si>
  <si>
    <t>Manteniment i millora en vehicles i maquinària del Parc Nacional (SERVEI)</t>
  </si>
  <si>
    <t>214.0001 - Altres despeses de conservació, reparació i manteniment</t>
  </si>
  <si>
    <t>26_GA_06</t>
  </si>
  <si>
    <t>220.0001 - Material ordinari no inventariable</t>
  </si>
  <si>
    <t>26_US_02</t>
  </si>
  <si>
    <t xml:space="preserve">Gas i combustibles per calefacció </t>
  </si>
  <si>
    <t>221.0001 - Aigua i energia</t>
  </si>
  <si>
    <t>26_GA_07</t>
  </si>
  <si>
    <t>Carburants de vehicles i altra maquinària</t>
  </si>
  <si>
    <t>221.0002 - Combustible per a mitjans de transport</t>
  </si>
  <si>
    <t>26_GA_08</t>
  </si>
  <si>
    <t>Adquisició de material de seguretat i vestuari</t>
  </si>
  <si>
    <t>221.0003 - Vestuari</t>
  </si>
  <si>
    <t>26_GA_09</t>
  </si>
  <si>
    <t>221.0007 - Queviures</t>
  </si>
  <si>
    <t>26_US_03</t>
  </si>
  <si>
    <t>Compra de material per als Centres de Fauna de El Pont de Suert i Bagà</t>
  </si>
  <si>
    <t>221.0089 - Altres subministraments</t>
  </si>
  <si>
    <t>26_GA_10</t>
  </si>
  <si>
    <t>Manteniment i millora dels vehicles i la maquinària del Parc Nacional (SUBMINISTRAMENT)</t>
  </si>
  <si>
    <t>26_GA_11</t>
  </si>
  <si>
    <t>Despeses de missatgeria</t>
  </si>
  <si>
    <t>222.0001 - Despeses postals, missatgeria i altres similars</t>
  </si>
  <si>
    <t>26_GA_12</t>
  </si>
  <si>
    <t>Despeses de transport</t>
  </si>
  <si>
    <t>223.0001 - Transports</t>
  </si>
  <si>
    <t>26_GA_13</t>
  </si>
  <si>
    <t>Tributs - Aigua, escombreries i altres</t>
  </si>
  <si>
    <t>225.0001 - Tributs i taxes</t>
  </si>
  <si>
    <t>26_GA_14</t>
  </si>
  <si>
    <t>Tributs - Taxes - Pagament de llicències d'obres</t>
  </si>
  <si>
    <t>26_ED_01</t>
  </si>
  <si>
    <t>Activitats organitzades pel Centres de Fauna de El Pont de Suert i Bagà</t>
  </si>
  <si>
    <t>6. Educació, voluntariat i comunicació</t>
  </si>
  <si>
    <t>26_GA_15</t>
  </si>
  <si>
    <t>Altres despeses i serveis variats</t>
  </si>
  <si>
    <t>26_ED_02</t>
  </si>
  <si>
    <t>Accessibilització dels documents publicats a la web</t>
  </si>
  <si>
    <t xml:space="preserve">1.4 Buits de coneixement i necessitats de recerca </t>
  </si>
  <si>
    <t>Jordi Vicente Canillas</t>
  </si>
  <si>
    <t>I</t>
  </si>
  <si>
    <t>26_GA_16</t>
  </si>
  <si>
    <t>Assessorament - Informes, memòries tècniques i altres</t>
  </si>
  <si>
    <t>1.4 Buits de coneixement i necessitats de recerca</t>
  </si>
  <si>
    <t>26_GA_17</t>
  </si>
  <si>
    <t>Catalogació del fons del Centre de Documentació</t>
  </si>
  <si>
    <t>227.0089 - Altres treballs realitzats per persones físiques o jurídiques</t>
  </si>
  <si>
    <t>Format digital?</t>
  </si>
  <si>
    <t>26_GA_18</t>
  </si>
  <si>
    <t>Entrada de documents digitals al Repositori de Medi Ambient</t>
  </si>
  <si>
    <t>26_US_04</t>
  </si>
  <si>
    <t>Manteniment de software TPV per a les vendes dels punts d'informació</t>
  </si>
  <si>
    <t>26_GA_29</t>
  </si>
  <si>
    <t>Adquisició de maquinària, instal·lacions i utillatge (CAP.6)</t>
  </si>
  <si>
    <t>620.0001 - Inversions en maquinària, instal·lacions i utillatge</t>
  </si>
  <si>
    <t>26_GA_20</t>
  </si>
  <si>
    <t>Adquisició de mobiliari i equipaments menors del Parc Nacional (CAP. 6)</t>
  </si>
  <si>
    <t>640.0001 - Inversions en mobiliari i estris</t>
  </si>
  <si>
    <t>26_CO_02</t>
  </si>
  <si>
    <t>Assistència tècnica pel monitoreig d'àguila daurada al parc nacional (projecte Aequilibrium)</t>
  </si>
  <si>
    <t>1.3 Seguiment, vigilància i notificació</t>
  </si>
  <si>
    <t>26_CU_01</t>
  </si>
  <si>
    <t>Assistència tècnica per a la revisió del Pla de mesures per a la ZEPQA (2019 - 2022), Punt de Referència de la Qualitat Lumínica i Starlight</t>
  </si>
  <si>
    <t>2. Cultura</t>
  </si>
  <si>
    <t>Cal revisar quotes fixes Starlight</t>
  </si>
  <si>
    <t>26_CO_03</t>
  </si>
  <si>
    <t>Assitència tècnica "Actualització, estandardització i tractament de dades en matèria de biodiversitat". Fase II</t>
  </si>
  <si>
    <t>Mantenir una base de dades de seguiment de patrimoni natural de l'ENP actualitzada i ordenada</t>
  </si>
  <si>
    <t>De cara al 2025, aquesta PD inclourà seguir amb l'harmonització que serveixi de base per elaborar el Pla de Seguiment d'Hàbitats i Espècies, començant per les més prioritàries</t>
  </si>
  <si>
    <t>26_CO_04</t>
  </si>
  <si>
    <t>Avaluació i redisseny de seguiment fitosanitari (Ips i processionària, altres)</t>
  </si>
  <si>
    <t>UdL - Jonàs Oliva + Jornades formatives</t>
  </si>
  <si>
    <t>26_CO_05</t>
  </si>
  <si>
    <t xml:space="preserve">Realització dels transectes del CBMS de seguiment de ropalòcers </t>
  </si>
  <si>
    <t>Continuar els 3 que s'estan fent està bé 12000. Amb 5000 segurament no es podran fer, cada BMS implica unes 20 visites al lloc...</t>
  </si>
  <si>
    <t>26_CO_06</t>
  </si>
  <si>
    <t>Seguiment de les poblacions de liró gris a la Ribera de Caldes</t>
  </si>
  <si>
    <t>Continuar amb el seguiment - Maria Farré</t>
  </si>
  <si>
    <t>Marcel Elias i Sanllehy</t>
  </si>
  <si>
    <t>26_CO_07</t>
  </si>
  <si>
    <t>Seguiment de les poblacions de muixirecs (ratpenats) a l'estació establerta al Parc</t>
  </si>
  <si>
    <t>Alba</t>
  </si>
  <si>
    <t>26_NA_02</t>
  </si>
  <si>
    <t>Seguiment molleres, torberes i congesteres</t>
  </si>
  <si>
    <t>2.3 Mesures de manteniment i restauració de torberes</t>
  </si>
  <si>
    <t>26_DE_01</t>
  </si>
  <si>
    <t>Auditories EMAS interna</t>
  </si>
  <si>
    <t>4. Desenvolupament local</t>
  </si>
  <si>
    <t>26_DE_02</t>
  </si>
  <si>
    <t>Dall complementari a Son (Resque Alpyr)</t>
  </si>
  <si>
    <t>2.4 Mesures de manteniment i restauració de prats i pastures</t>
  </si>
  <si>
    <t>26_NA_03</t>
  </si>
  <si>
    <t>Erradicació de peixos collada de Dellui</t>
  </si>
  <si>
    <t>3.1 Mesures i programes específics de conservació d'espècies no incloses en altres apartats</t>
  </si>
  <si>
    <t>Es pot reduir una mica? donat que es tracta de l'any de validació del 0</t>
  </si>
  <si>
    <t>26_US_05</t>
  </si>
  <si>
    <t>Instal.lació i adquisició d'estufes per les Casetes d'informació</t>
  </si>
  <si>
    <t>Molina i Toirigo - estufes de llenya</t>
  </si>
  <si>
    <t>26_NA_04</t>
  </si>
  <si>
    <t>Obres de millora de la captació del Refugi de l'Estany Llong</t>
  </si>
  <si>
    <t>2.8 Mesures de manteniment i restauració d'hàbitats d'aigua dolça (rius, llacs i zones humides no litorals)</t>
  </si>
  <si>
    <t>26_US_06</t>
  </si>
  <si>
    <t>Pressupost per al desenvolupament de la 7a anualitat del Pla d'accessibilitat</t>
  </si>
  <si>
    <t>Encastrar estora Boí, encaminadors, graons contrapetjada</t>
  </si>
  <si>
    <t>26_CO_08</t>
  </si>
  <si>
    <t>Revisió i reparació d'ecocomptadors</t>
  </si>
  <si>
    <t>Disposar de dades de freqüentació i perfil d'usuari en l'ENP i en especial en equipaments i en zones d'alta freqüentació segons el model de DG</t>
  </si>
  <si>
    <t>213.0001 - Conservació, reparació i manteniment d'altre immobilitzat material</t>
  </si>
  <si>
    <t>Tindrem nous comptadors amb el NG de la Diputació</t>
  </si>
  <si>
    <t>26_US_07</t>
  </si>
  <si>
    <t>Despeses de manteniment d'aparells audiovisuals de Llessui, Boí, Senet i Espot</t>
  </si>
  <si>
    <t>Maria Pou Palau</t>
  </si>
  <si>
    <t>26_GA_21</t>
  </si>
  <si>
    <t>Renovació de les subscripcions habituals de les publicacions; premsa, revistes</t>
  </si>
  <si>
    <t>220.0002 - Premsa, revistes, llibres i altres publicacions</t>
  </si>
  <si>
    <t>26_CO_09</t>
  </si>
  <si>
    <t>Activitats en col·laboració amb el Consorci Patrimoni Mundial de la Vall de Boí</t>
  </si>
  <si>
    <t>26_ED_03</t>
  </si>
  <si>
    <t>Actualització de recursos pedagògics (punt 2.1 del PUP)</t>
  </si>
  <si>
    <t>26_ED_04</t>
  </si>
  <si>
    <t>Adquisició d'articles de marxandatge</t>
  </si>
  <si>
    <t>26_GA_22</t>
  </si>
  <si>
    <t>Manteniment d'aparells GPS</t>
  </si>
  <si>
    <t>Save your track: 4000 €</t>
  </si>
  <si>
    <t>26_CU_02</t>
  </si>
  <si>
    <t>Millora peces indumentària del pastor</t>
  </si>
  <si>
    <t>Recuperar i conservar el patrimoni cultural rural immaterial associat a les activitats i aprofitaments tradicionals</t>
  </si>
  <si>
    <t>26_ED_05</t>
  </si>
  <si>
    <t>Concurs de fotografia, premis i jurat (2026)</t>
  </si>
  <si>
    <t>226.0010 - Premis</t>
  </si>
  <si>
    <t>26_ED_06</t>
  </si>
  <si>
    <t>Curs de bon coneixedor del parc (pernoctació refugi)</t>
  </si>
  <si>
    <t>26_ED_07</t>
  </si>
  <si>
    <t>Desenvolupament d'accions formatives dirigides als agents del territori (punt 1.5 del PUP)</t>
  </si>
  <si>
    <t>Executar els projectes de sensibilització i formació dirigits als agents del sector primari</t>
  </si>
  <si>
    <t>26_CU_03</t>
  </si>
  <si>
    <t xml:space="preserve">Jornada pastors i cultura </t>
  </si>
  <si>
    <t>M'agradaria fe runa jornada similar a la Vall de Boí - Associació veïns Ascoveta</t>
  </si>
  <si>
    <t>26_ED_08</t>
  </si>
  <si>
    <t>Activitat educació ambiental arqueologia "cafernícoles"</t>
  </si>
  <si>
    <t>Adaptació del format, enlloc de fer menú complert canvi a tapes i + persones assistents</t>
  </si>
  <si>
    <t>26_ED_09</t>
  </si>
  <si>
    <t>Activitats d'interpretació ambiental adreçades a discapacitats</t>
  </si>
  <si>
    <t>26_ED_10</t>
  </si>
  <si>
    <t>Agenda escolar</t>
  </si>
  <si>
    <t>26_CU_04</t>
  </si>
  <si>
    <t>Apropat' cultura</t>
  </si>
  <si>
    <t>Apropa Cultura és un programa consolidat amb més de 15 anys de trajectòria, impulsat per una xarxa d’equipaments culturals i administracions públiques que treballa per garantir el dret a la cultura a les persones en situació de vulnerabilitat: persones amb discapacitat, problemes de salut mental, en risc d'exclusió social, gent gran, entre d'altres. La idea es fer socis als 4 equipaments del Parc per poder oferir activitats en tots ells. El preu es de 200€/equipament (cal afegir-hi IVA) per això son els 1.000€. A part de tenir publicitat de les activitats que fem al seu web, també tenim l’portunitat de formar-nos en temes d’accessibilitat, inclusivitat... i altres temes vinculats.</t>
  </si>
  <si>
    <t>26_DE_03</t>
  </si>
  <si>
    <t>Colaboració amb l'escola de pastors</t>
  </si>
  <si>
    <t>Oferir formació als productors agraris per millorar el seu coneixement sobre tècniques eficients i respectuoses amb la conservació del patrimoni natural i cultural</t>
  </si>
  <si>
    <t>2.5 Mesures de manteniment i restauració d'altres agroecosistemes (inclosos els conreus)</t>
  </si>
  <si>
    <t>26_CO_10</t>
  </si>
  <si>
    <t>Continuitat investiga.eu. Ribagorçana i Esterri</t>
  </si>
  <si>
    <t>Potenciar la ciència ciutadana en l’ENP com a eina per generar coneixement</t>
  </si>
  <si>
    <t>26_ED_11</t>
  </si>
  <si>
    <t>Desenvolupament oferta pedagògica (punt 2.2 del PUP)</t>
  </si>
  <si>
    <t>26_ED_12</t>
  </si>
  <si>
    <t>Junior Ranger</t>
  </si>
  <si>
    <t>26_ED_13</t>
  </si>
  <si>
    <t>Maquetació i impressió Passaport Parc</t>
  </si>
  <si>
    <t>26_ED_14</t>
  </si>
  <si>
    <t>Maquetació i impressió pòster Aigüerola</t>
  </si>
  <si>
    <t>26_ED_15</t>
  </si>
  <si>
    <t>Maquetació i impressió segells Passaport Parc</t>
  </si>
  <si>
    <t>26_CO_11</t>
  </si>
  <si>
    <t>Nova proposta Iivestiga.eu (C.G Val Aran)</t>
  </si>
  <si>
    <t>Buscar cofinançament amb IDAPA</t>
  </si>
  <si>
    <t>26_ED_16</t>
  </si>
  <si>
    <t>Programa d'activitats d'educació ambiental dirigides i coorganitzades amb les entitats sòcioculturals i ajuntaments</t>
  </si>
  <si>
    <t>26_ED_17</t>
  </si>
  <si>
    <t>Quota socia XEPV</t>
  </si>
  <si>
    <t>26_ED_18</t>
  </si>
  <si>
    <t>Realització d'activitats d'educació ambiental relacionades amb el món dels muixirecs</t>
  </si>
  <si>
    <t>Son els itineraris del serra Cobo...es pot continuar fent...</t>
  </si>
  <si>
    <t>26_DE_04</t>
  </si>
  <si>
    <t>Sortides per donar a conèixer l'activitat ramadera</t>
  </si>
  <si>
    <t>26_ED_19</t>
  </si>
  <si>
    <t>Suport d'educació ambiental als centres d'informació</t>
  </si>
  <si>
    <t>26_CU_05</t>
  </si>
  <si>
    <t>Tallers projecte indumentària pastors. Fires</t>
  </si>
  <si>
    <t>26_CU_06</t>
  </si>
  <si>
    <t>Arqueologia</t>
  </si>
  <si>
    <t>26_US_08</t>
  </si>
  <si>
    <t>Implantar el programa de senyalització i manteniment</t>
  </si>
  <si>
    <t>26_GA_23</t>
  </si>
  <si>
    <t>Tasques d'assessorament en la redacció, revisió de textos, publicacions, senyalització, etc.</t>
  </si>
  <si>
    <t>26_US_09</t>
  </si>
  <si>
    <t>Actuacions conveni FGC Boí</t>
  </si>
  <si>
    <t>26_US_10</t>
  </si>
  <si>
    <t>Actuacions conveni FGC Espot</t>
  </si>
  <si>
    <t>26_DE_05</t>
  </si>
  <si>
    <t>Auditoria de seguiment/renovació Q d'ús públic</t>
  </si>
  <si>
    <t>26_ED_20</t>
  </si>
  <si>
    <t xml:space="preserve">Book fotogràfic imatges  i vídeos del Parc (Estiu-tardor). </t>
  </si>
  <si>
    <t>Banc imatges i vídeos (no dron)</t>
  </si>
  <si>
    <t>26_DE_06</t>
  </si>
  <si>
    <t>Col·laboració en fires</t>
  </si>
  <si>
    <t>aquí s'inclou la fira del formatge de Sort?</t>
  </si>
  <si>
    <t>26_DE_07</t>
  </si>
  <si>
    <t>Despeses de suport de guies i empreses en tasques de guiatge</t>
  </si>
  <si>
    <t>Treballar amb les empreses turístiques per trobar eines de canvi cap a un model de turisme sostenible i de qualitat</t>
  </si>
  <si>
    <t>26_ED_21</t>
  </si>
  <si>
    <t>Enviaments publicacions i revisió mailing de difusió del Parc</t>
  </si>
  <si>
    <t>26_ED_22</t>
  </si>
  <si>
    <t>Gestió xarxes socials</t>
  </si>
  <si>
    <t>26_ED_23</t>
  </si>
  <si>
    <t>Llengua de signes. adequació de materials</t>
  </si>
  <si>
    <t>26_US_11</t>
  </si>
  <si>
    <t>Manteniment anual aparells DEA</t>
  </si>
  <si>
    <t>26_CU_07</t>
  </si>
  <si>
    <t>Nit Starlight</t>
  </si>
  <si>
    <t>26_US_12</t>
  </si>
  <si>
    <t>Projecte Gratitut Pallars</t>
  </si>
  <si>
    <t>Potenciar la visita a espais alternatius dins de l'àmbit d'influència de l'espai natural per reduir la pressió en zones sensibles</t>
  </si>
  <si>
    <t>26_DE_08</t>
  </si>
  <si>
    <t>Q ús de la marca</t>
  </si>
  <si>
    <t>26_CU_08</t>
  </si>
  <si>
    <t>Reprodució peces arqueològiques. ArqueoParc</t>
  </si>
  <si>
    <t>26_ED_24</t>
  </si>
  <si>
    <t>Anunci Bus del Pac. Borrufa</t>
  </si>
  <si>
    <t>240.0001 - Despeses de publicacions</t>
  </si>
  <si>
    <t>26_ED_25</t>
  </si>
  <si>
    <t>Edició de fulletons, corners Parc campings i publicacions diverses</t>
  </si>
  <si>
    <t>26_US_13</t>
  </si>
  <si>
    <t>Impressió fulletó normativa del Parc Vall Fosca i Val d'Aran</t>
  </si>
  <si>
    <t>26_US_14</t>
  </si>
  <si>
    <t>Impressió fulletons normativa</t>
  </si>
  <si>
    <t>26_CU_09</t>
  </si>
  <si>
    <t>Millora espai audiovisual i peces pastorals LLessui</t>
  </si>
  <si>
    <t>26_ED_26</t>
  </si>
  <si>
    <t>Opuscle d'activitats i altres</t>
  </si>
  <si>
    <t>26_ED_27</t>
  </si>
  <si>
    <t>Pòster concurs de fotografia</t>
  </si>
  <si>
    <t>Plantegem fer un poster informatiu i pengem el fulletó amb les bases en xarxes i web</t>
  </si>
  <si>
    <t>26_ED_28</t>
  </si>
  <si>
    <t>Revista anual el Portarró</t>
  </si>
  <si>
    <t xml:space="preserve">Si es fan 2 numeros. </t>
  </si>
  <si>
    <t>Josep Maria Rispa Pifarré</t>
  </si>
  <si>
    <t>26_US_15</t>
  </si>
  <si>
    <t>Actuacions regulació accesos (sistemes contadors...)</t>
  </si>
  <si>
    <t>Implementar les mesures extraordinàries de regulació de l'ús públic</t>
  </si>
  <si>
    <t>26_US_16</t>
  </si>
  <si>
    <t>660.0001 - Inversions en béns destinats a l'ús general</t>
  </si>
  <si>
    <t>26_GA_24</t>
  </si>
  <si>
    <t>Ampliació del fons del Centre de Documentació</t>
  </si>
  <si>
    <t>670.0001 - Inversions en altre immobilitzat material</t>
  </si>
  <si>
    <t>26_GA_25</t>
  </si>
  <si>
    <t>Lloguer de maquinària per a la realització de tasques de manteniment</t>
  </si>
  <si>
    <t>203.0001 - Lloguers i cànons d'altre immobilitzat material</t>
  </si>
  <si>
    <t>26_US_17</t>
  </si>
  <si>
    <t>Indemnització terreny adjacent Serradora d'Espot</t>
  </si>
  <si>
    <t>204.0001</t>
  </si>
  <si>
    <t>26_US_18</t>
  </si>
  <si>
    <t>Indemnització terrenys acampada ESTALLOS</t>
  </si>
  <si>
    <t>Regular l'acampada i pernoctació en base al model de Pla de protecció</t>
  </si>
  <si>
    <t>26_US_19</t>
  </si>
  <si>
    <t>Lloguer WCs de la Molina, Toirigo i Prat de Pierró</t>
  </si>
  <si>
    <t>26_GA_26</t>
  </si>
  <si>
    <t>Avaries i imprevistos (REPARACIÓ)</t>
  </si>
  <si>
    <t>26_US_20</t>
  </si>
  <si>
    <t>Manteniment aparcament Prat de Pierró, Mainera, Cavallers i la Molina</t>
  </si>
  <si>
    <t>26_US_21</t>
  </si>
  <si>
    <t>Manteniment de les pistes principals d'accés al Parc Nacional</t>
  </si>
  <si>
    <t>Identificar i classificar la xarxa viària bàsica, secundària, senders i itineraris senyalitzats d'acord amb els ajuntaments</t>
  </si>
  <si>
    <t>26_GA_27</t>
  </si>
  <si>
    <t>Manteniment d'edificis propis i equipaments</t>
  </si>
  <si>
    <t>26_US_22</t>
  </si>
  <si>
    <t>Mesures preventives, d'eliminació, control i reducció de riscos laborals (OBRES/SERVEIS/MANTENIMENT)</t>
  </si>
  <si>
    <t>26_DE_09</t>
  </si>
  <si>
    <t>Millora i manteniment d'infraestructures ramaderes i cabanes de pastor pròpies</t>
  </si>
  <si>
    <t>Manteniment antenes + tancaments d'exclusió o vailets</t>
  </si>
  <si>
    <t>26_US_23</t>
  </si>
  <si>
    <t>Obres de manteniment del Carrilet a Estany Gento</t>
  </si>
  <si>
    <t>LLums LED túnels amb sensor</t>
  </si>
  <si>
    <t>26_US_24</t>
  </si>
  <si>
    <t>Quotes d'alarmes d'incendis i intrusió de la Casa del Parc de Boí, Casa d'Espot i centres d'informació de Senet i Llessui </t>
  </si>
  <si>
    <t>26_GA_28</t>
  </si>
  <si>
    <t>Recàrrega de vehicles elèctrics</t>
  </si>
  <si>
    <t>Inclou fusta i pals i piquetes</t>
  </si>
  <si>
    <t>26_GA_30</t>
  </si>
  <si>
    <t>26_GA_31</t>
  </si>
  <si>
    <t>26_NA_05</t>
  </si>
  <si>
    <t>Bioactivadors fosses sèptiques</t>
  </si>
  <si>
    <t>26_US_25</t>
  </si>
  <si>
    <t>Mesures preventives, d'eliminació, control i reducció de riscos laborals (SUBMINISTRAMENT CAP.2)</t>
  </si>
  <si>
    <t>26_CU_10</t>
  </si>
  <si>
    <t>Quota sonòmetre Creu de l'Èixol</t>
  </si>
  <si>
    <t>Quota mensual, ens podriem estalviar els mesos d'hivern. Concretar import amb Arantec</t>
  </si>
  <si>
    <t>26_US_26</t>
  </si>
  <si>
    <t>Serveis de floristeria i jardineria</t>
  </si>
  <si>
    <t>26_GA_32</t>
  </si>
  <si>
    <t>Tramitarem via RAE i via Servei</t>
  </si>
  <si>
    <t>26_NA_06</t>
  </si>
  <si>
    <t>Buidatge fosses sèptiques (Sant Maurici, Xalet d'Aigüestortes)</t>
  </si>
  <si>
    <t>227.0001 - Neteja i sanejament</t>
  </si>
  <si>
    <t>26_DE_10</t>
  </si>
  <si>
    <t>4ª revisió estudi càrrega ramadera al Parc Nacional</t>
  </si>
  <si>
    <t xml:space="preserve">Analitzar la interacció entre fauna salvatge i bestiar domèstic (competència per recursos, transmissió de malalties, impacte sobre hàbitats). </t>
  </si>
  <si>
    <t>26_NA_07</t>
  </si>
  <si>
    <t>Document ambiental AAE PBPIF</t>
  </si>
  <si>
    <t>Incloure possibles modificacions en PEGs + integració al pla de les modificacions</t>
  </si>
  <si>
    <t>26_NA_08</t>
  </si>
  <si>
    <t>Estudi d'impacte i proposta d'alternatives per a les millores de captacions d'aigua i sistemes de depuració dels Refugis del Parc</t>
  </si>
  <si>
    <t>Ampliar la proposta al  JM Blanc, Amitges i Mallafré</t>
  </si>
  <si>
    <t>26_NA_09</t>
  </si>
  <si>
    <t>26_US_27</t>
  </si>
  <si>
    <t>COMSA? Farà els tractaments preventius i també el control?</t>
  </si>
  <si>
    <t>26_NA_10</t>
  </si>
  <si>
    <t>26_NA_11</t>
  </si>
  <si>
    <t>26_US_28</t>
  </si>
  <si>
    <t>Estabilització de talussos a Sant Esperit amb mur krainer</t>
  </si>
  <si>
    <t>26_DE_11</t>
  </si>
  <si>
    <t>Estassada Pleta del Pago</t>
  </si>
  <si>
    <t>26_CO_12</t>
  </si>
  <si>
    <t>Manteniment de les estacions meteorològiques</t>
  </si>
  <si>
    <t>26_US_29</t>
  </si>
  <si>
    <t xml:space="preserve">Manteniment i neteja WC's </t>
  </si>
  <si>
    <t>Molina, Toirigo i Prat de Pierró</t>
  </si>
  <si>
    <t>26_US_30</t>
  </si>
  <si>
    <t>Treballs silvícoles per al manteniment de pistes i camins</t>
  </si>
  <si>
    <t>26_US_31</t>
  </si>
  <si>
    <t>Adquisició de material per al refugi de Besiberri</t>
  </si>
  <si>
    <t>26_US_32</t>
  </si>
  <si>
    <t>Adquisició d'una marquesina per a la parada del Bus del Parc a Barruera</t>
  </si>
  <si>
    <t>26_DE_12</t>
  </si>
  <si>
    <t>Cledes ramaderes pleta Estany Llong</t>
  </si>
  <si>
    <t>26_US_33</t>
  </si>
  <si>
    <t>Mesures preventives, d'eliminació, control i reducció de riscos laborals (SUBMINISTRAMENT CAP.6)</t>
  </si>
  <si>
    <t>26_US_34</t>
  </si>
  <si>
    <t>StarlinK Prat Pierró</t>
  </si>
  <si>
    <t>26_GA_33</t>
  </si>
  <si>
    <t>No s'escau</t>
  </si>
  <si>
    <t>Contracte menor des de la DG</t>
  </si>
  <si>
    <t>26_US_35</t>
  </si>
  <si>
    <t>Obra de "pavimentació" pàrquing de la Molina (aglomerat permeable)</t>
  </si>
  <si>
    <t>Contracte obert (licitació des de la DG)</t>
  </si>
  <si>
    <t>26_US_36</t>
  </si>
  <si>
    <t>Instal·lació solar generadora d'energia elèctrica en règim de producció aïllada a caseta Informació SANT MAURICI</t>
  </si>
  <si>
    <t>26_GA_34</t>
  </si>
  <si>
    <t>Adquisició i implementació recurs eòlic a les infraestructures del parc designades a la FASE I</t>
  </si>
  <si>
    <t>26_US_37</t>
  </si>
  <si>
    <t>Instal·lació lavabo sec Prat de Pierró</t>
  </si>
  <si>
    <t>26_US_38</t>
  </si>
  <si>
    <t>26_GA_35</t>
  </si>
  <si>
    <t>Compra Mini-Retro</t>
  </si>
  <si>
    <t>26_GA_36</t>
  </si>
  <si>
    <t>26_NA_12</t>
  </si>
  <si>
    <t>Life Resque Alpyr - Contracte de Forestal Catalana per servei de manteniment per extracció de peixos invasors</t>
  </si>
  <si>
    <t>26_GA_37</t>
  </si>
  <si>
    <t>Encomana PRTR Forestal Catalana</t>
  </si>
  <si>
    <t>Encomana Forestal Catalana</t>
  </si>
  <si>
    <t>26_GA_38</t>
  </si>
  <si>
    <t>Encomana PRTR Forestal Catalana  (8% despeses generals)</t>
  </si>
  <si>
    <t>26_GA_39</t>
  </si>
  <si>
    <t>Conservació Ambiental. Conservació pistes forestals Parc Nacional d'Aigüestortes i Estany de Sant
Maurici”. Clau SC.PAS-21237</t>
  </si>
  <si>
    <t>PEA Infraestructures</t>
  </si>
  <si>
    <t>26_GA_40</t>
  </si>
  <si>
    <t>Obres RAM per a la rehabilitació de la casa del Parc d’Espot (PRTR)</t>
  </si>
  <si>
    <t>Encàrrec directe Infraestructures</t>
  </si>
  <si>
    <t>26_GA_41</t>
  </si>
  <si>
    <t>IVA - Obres RAM per a la rehabilitació de la casa del Parc d’Espot (PRTR)</t>
  </si>
  <si>
    <t>26_GA_42</t>
  </si>
  <si>
    <t>Control Qualitat Obres RAM per a la rehabilitació de la casa del Parc d’Espot.</t>
  </si>
  <si>
    <t>26_GA_43</t>
  </si>
  <si>
    <t>Obres RAM per a la rehabilitació del refugi del Pla de la Font. Clau PAS - 21272</t>
  </si>
  <si>
    <t>26_GA_44</t>
  </si>
  <si>
    <t>IVA - Obres RAM per a la rehabilitació del refugi del Pla de la Font. Clau PAS - 21272</t>
  </si>
  <si>
    <t>26_GA_45</t>
  </si>
  <si>
    <t>Control Qualitat Obres RAM per a la rehabilitació del refugi del Pla de la Font, Clau PAS - 21272</t>
  </si>
  <si>
    <t>26_GA_46</t>
  </si>
  <si>
    <t>Rehabilitació de la Casa forestal Boi  per acollir voluntaris, estudiants i investigadors.'Reforma Refugi Estany Llong. Clau PAS-21275.</t>
  </si>
  <si>
    <t>26_GA_47</t>
  </si>
  <si>
    <t>IVA - Rehabilitació de la Casa forestal Boi  per acollir voluntaris, estudiants i investigadors.'Reforma Refugi Estany Llong. Clau PAS-21275.</t>
  </si>
  <si>
    <t>26_GA_48</t>
  </si>
  <si>
    <t>Control de Qualitat  Rehabilitació de la Casa forestal Boi  per acollir voluntaris, estudiants i investigadors.Clau PAS-21275</t>
  </si>
  <si>
    <t>26_US_39</t>
  </si>
  <si>
    <t>Assistència tècnica per a l'execució de les obres del nou Centre complementari d'informació a Arties</t>
  </si>
  <si>
    <t>26_GA_49</t>
  </si>
  <si>
    <t>Tarifes d’Infraestructures.cat per la gestió de l’obra Arties</t>
  </si>
  <si>
    <t>26_GA_50</t>
  </si>
  <si>
    <t>Execució de les obres de reforç de ferm i millora de cunetes de la pista forestal d'accés a Sant Maurici al PNAESM des d'Espot. Clau PAS 20287</t>
  </si>
  <si>
    <t>26_GA_51</t>
  </si>
  <si>
    <t>Execució de les obres de reforç de ferm i millora de cunetes 'de la pista forestal d'accés a Cavallers al PNAESM a la Vall de 'Boí</t>
  </si>
  <si>
    <t>26_GA_52</t>
  </si>
  <si>
    <t>Assistència tècnica per a l'execució de les obres de reforç de ferm i millora de cunetes 'de la pista forestal d'accés a Cavallers al PNAESM a la Vall de 'Boí</t>
  </si>
  <si>
    <t>26_GA_53</t>
  </si>
  <si>
    <t>Tarifes d’Infraestructures.cat per la gestió de l’obra pista Cavallers</t>
  </si>
  <si>
    <t>26_US_40</t>
  </si>
  <si>
    <t>Millora exposició casa del Parc de Boí - memòria valorada</t>
  </si>
  <si>
    <t>Instal·lació solar generadora d'energia elèctrica en règim de producció aïllada a caseta Informació La Molina</t>
  </si>
  <si>
    <t>26_US_41</t>
  </si>
  <si>
    <t>Instal·lació solar generadora d'energia elèctrica en règim de producció aïllada a Punt Informació d'Aigüestortes</t>
  </si>
  <si>
    <t>Model despesa</t>
  </si>
  <si>
    <t>Llistat tipologies MAP</t>
  </si>
  <si>
    <t>Eix</t>
  </si>
  <si>
    <t>Partides RAE despeses</t>
  </si>
  <si>
    <t>Partides</t>
  </si>
  <si>
    <t>Contractes</t>
  </si>
  <si>
    <t>201.0001  - Lloguers i cànons de material de transport</t>
  </si>
  <si>
    <t>120 0001 00/5510_Despeses de personal</t>
  </si>
  <si>
    <t>200 0002 00/5510_Altres lloguers i cànons de terrenys, béns naturals, edificis i altres construccions</t>
  </si>
  <si>
    <t>Pla econòmic actuacions</t>
  </si>
  <si>
    <t>204 0001 00/5510_Altres lloguers i cànons</t>
  </si>
  <si>
    <t>PEA Forestal Catalana</t>
  </si>
  <si>
    <t>1.5 Mesures de comunicació i sensibilització, educació i accés de visitants relacionades amb Natura 2000</t>
  </si>
  <si>
    <t>210 0001 00/5510_Conservació, reparació i manteniment de terrenys, béns naturals, edificis i altres construccions</t>
  </si>
  <si>
    <t>Encomanes</t>
  </si>
  <si>
    <t>2.1 Mesures de manteniment i restauració d'aigües marines i costeres (inclou llacunes litorals)</t>
  </si>
  <si>
    <t>211 0001 00/5510_Conservació, reparació i manteniment en material de transport</t>
  </si>
  <si>
    <t>Encàrrecs directes</t>
  </si>
  <si>
    <t>2.2 Mesures de manteniment i restauració de matollars</t>
  </si>
  <si>
    <t>215.0001 - Farmaciola</t>
  </si>
  <si>
    <t>212 0001 00/5510_Manteniment d'aplicacions informàtiques</t>
  </si>
  <si>
    <t>Encàrrec directe Forestal Catalana</t>
  </si>
  <si>
    <t>213 0001 00/5510_Conservació, reparació i manteniment d'altre inmobilitzat material</t>
  </si>
  <si>
    <t>Encàrrec directe CREAF</t>
  </si>
  <si>
    <t>214 0001 00/5510_Altres despeses de conservació, reparació i manteniment</t>
  </si>
  <si>
    <t>Encàrrec directe CTFC</t>
  </si>
  <si>
    <t>221 0001 00/5510_Aigua i electricitat</t>
  </si>
  <si>
    <t>Encàrrec directe TRAGSA</t>
  </si>
  <si>
    <t>2.6 Mesures de manteniment i restauració de boscos i superfícies forestals</t>
  </si>
  <si>
    <t>221 0002 00/5510_Combustible per mitjans de transport</t>
  </si>
  <si>
    <t>Contractre programa</t>
  </si>
  <si>
    <t>Contracte programa CTFC</t>
  </si>
  <si>
    <t>2.7 Mesures de conservació i restauració d'hàbitats rocosos, dunes i terres de vegetació esparsa</t>
  </si>
  <si>
    <t>221 0089 00/5510_Altres subministraments</t>
  </si>
  <si>
    <t>Contracte programa CREAF</t>
  </si>
  <si>
    <t>221.0005 - Farmaciola</t>
  </si>
  <si>
    <t>222 0001 00/5510_Despeses postals, telèfon i altres</t>
  </si>
  <si>
    <t>Altres</t>
  </si>
  <si>
    <t>2.9 Mesures de conservació i restauració de coves i altres no inclosos als anteriors</t>
  </si>
  <si>
    <t>223 0001 00/5510_Transports</t>
  </si>
  <si>
    <t xml:space="preserve">2.B Mesures adicionals d'«infraestructura verda» més enllà de Natura 2000 </t>
  </si>
  <si>
    <t>227 0001 00/5510_Neteja i sanejament</t>
  </si>
  <si>
    <t>227 0002 00/5510_Seguretat</t>
  </si>
  <si>
    <t>3.2 Prevenció, mitigació o compensació dels danys ocasionats per les espècies protegides</t>
  </si>
  <si>
    <t>227 0005 00/5510_Estudis</t>
  </si>
  <si>
    <t>227 0007 00/5510Gestió de centres i serveis</t>
  </si>
  <si>
    <t>226.0003 -  Publicitat, difusió i campanyes institucionals</t>
  </si>
  <si>
    <t>227 0012 00/5510Auditories externes de programes europeus</t>
  </si>
  <si>
    <t>227 0013 00/5510Treballs tècnics</t>
  </si>
  <si>
    <t>227 0089 00/5510Altres treballs realitzats per persones físiques o jurídiques</t>
  </si>
  <si>
    <t>230 0001 00/5510Dietes locomoció i trasllats</t>
  </si>
  <si>
    <t>226.0039 - Despeses per serveis bancàris</t>
  </si>
  <si>
    <t>220 0002 00/5510Premsa, revistes, llibres i altres publicacions</t>
  </si>
  <si>
    <t>226 0001 00/5510Exposicions, certàmens i altres activitats de promoció</t>
  </si>
  <si>
    <t>226 0002 00/5510Atencions protocolàries i representatives</t>
  </si>
  <si>
    <t>227.0003 - Valoracions i peritatges</t>
  </si>
  <si>
    <t>226 0003 00/5510Publicitat, difusió i campanyes institucionals</t>
  </si>
  <si>
    <t>227.0007 - Gestió dels centres i serveis</t>
  </si>
  <si>
    <t>226 0004 00/5510Jurídics i contenciosos</t>
  </si>
  <si>
    <t>226 0005 00/5510Organització de reunions, conferències i cursos</t>
  </si>
  <si>
    <t>226 0005 00/5530Organització de reunions, conferències i cursos</t>
  </si>
  <si>
    <t>230.0001 - Dietes, locomoció i trasllats</t>
  </si>
  <si>
    <t>226 0007 00/5510Publicacions i edictes als diaris oficials</t>
  </si>
  <si>
    <t>226 0008 00/5510Funcionament de centres i serveis propis amb gestió autònoma</t>
  </si>
  <si>
    <t>610.0001 - Inversions en edificis i altres construccions per compte propi</t>
  </si>
  <si>
    <t>226 0010 00/5510Premis</t>
  </si>
  <si>
    <t>226 0040 00/5510Inscripció com a soci o altra figura o organisme o a entitats de caràcter associatiu</t>
  </si>
  <si>
    <t>226 0089 00/5510Altres despeses diverses</t>
  </si>
  <si>
    <t>650.0002 - Inversions en telecomunicacions</t>
  </si>
  <si>
    <t>240 0001 00/5510Despeses de publicacions</t>
  </si>
  <si>
    <t>430 6000 00/5510Al Patronat de la Muntanya de Montserrat (5510: 59.040 i 5530: 19.680)</t>
  </si>
  <si>
    <t>442 8520 00/5510Al CREAF</t>
  </si>
  <si>
    <t>442 8570 00/5510Al Centre Tecnològic Forestal de Catalunya (5510: 255.700 i 5530: 24.900)</t>
  </si>
  <si>
    <t>442 8980 00/5510Al Consorci per a la protecció i gestió dels espais del Delta del Llobregat</t>
  </si>
  <si>
    <t>443 8920 00/5510A la Fundació Institut Català de Ciències del Clima</t>
  </si>
  <si>
    <t>445 9288 00/5510Al Consorci per a la Protecció i la Gestió dels Espais d'Interès Natural del Ripollès</t>
  </si>
  <si>
    <t>445 7410 00/5510Al Consorci de l'Estany d'Ivars-Vila-Sana</t>
  </si>
  <si>
    <t>448 0001 00/5510A altres entitats participades pel sector públic</t>
  </si>
  <si>
    <t>448 0009 00/5510A la Fundació Fòrum Ambiental</t>
  </si>
  <si>
    <t>460 0001 00/5510A corporacions locals</t>
  </si>
  <si>
    <t>461 0001 00/5510A consorcis dependents de les corporacions locals</t>
  </si>
  <si>
    <t>462 0001 00/5510Transferències al Conselh Generau de la Val d'Aran</t>
  </si>
  <si>
    <t>470 0001 00/5510A empreses privades</t>
  </si>
  <si>
    <t>480 0001 00/5510A famílies</t>
  </si>
  <si>
    <t>481 0001 00/5510A fundacions</t>
  </si>
  <si>
    <t>481 0001 00/5530A fundacions</t>
  </si>
  <si>
    <t>482 0001 00/5510A altres institucions sense fi de lucre i a altres</t>
  </si>
  <si>
    <t>482 0001 00/5530A altres institucions sense fi de lucre i a altres</t>
  </si>
  <si>
    <t>442 8520 00/5710Al Consorci Centre de Recerca Ecològica i Aplicacions Forestals (CREAF)(750000-90000-39000)</t>
  </si>
  <si>
    <t>600 0001 00/5510Inversions en finques</t>
  </si>
  <si>
    <t>610 0001 00/5510Inversions en edificis i altres construccions</t>
  </si>
  <si>
    <t>620 0001 00/5510Inversions en maquinària, instal·lacions i utillatge</t>
  </si>
  <si>
    <t>630 0001 00/5510Vehicles</t>
  </si>
  <si>
    <t>660 0001 00/5510Inversions en béns destinats a l'ús general</t>
  </si>
  <si>
    <t>660 0003 00/5510Xarxa de camins</t>
  </si>
  <si>
    <t>699 0000 00/5510la Caixa</t>
  </si>
  <si>
    <t>661 6390 00/5510Apotacions a Infraestructures de la Generalitat per inversions en infraestructures</t>
  </si>
  <si>
    <t>670 0001 00/5510Inversions en altre inmobilitzat material (adquisició de material no inventariable però que precisa d'alguna instal·lació)</t>
  </si>
  <si>
    <t>680 0001 00/5510Inversions en inmobilitzat inmaterial (adquisició de material com ara fotografies, programari, ...)</t>
  </si>
  <si>
    <t>730 6000 00/5510Al Patronat de la Muntanya de Montserrat (5510: 59.040 i 5530: 19.680)</t>
  </si>
  <si>
    <t>745 9288 00/5510Al Consorci per a la Protecció i la Gestió dels Espais d'Interès Natural del Ripollès</t>
  </si>
  <si>
    <t>748 0001 00/5510A altres entitats participades pel sector públic</t>
  </si>
  <si>
    <t>760 0001 00/5510A corporacions locals</t>
  </si>
  <si>
    <t>761 0001 00/5510A consorcis dependents de les corporacions locals</t>
  </si>
  <si>
    <t>770 0001 00/5510A empreses privades</t>
  </si>
  <si>
    <t>780 0001 00/5510A famílies</t>
  </si>
  <si>
    <t>781 0001 00/5510A fundacions</t>
  </si>
  <si>
    <t>782 0001 00/5510A altres institucions sense fi de lucre i a altres</t>
  </si>
  <si>
    <t>Referència Taula</t>
  </si>
  <si>
    <t>Paratge Natural d'Interès Nacional de l'Albera</t>
  </si>
  <si>
    <t>Paratge Natural d'Interès Nacional de Poblet</t>
  </si>
  <si>
    <t>Parc Nacional d'Aigüestortes i Estany de Sant Maurici</t>
  </si>
  <si>
    <t>Parc Natural de Cap de Creus</t>
  </si>
  <si>
    <t>Parc Natural de la Serra de Montsant</t>
  </si>
  <si>
    <t>Parc Natural de la Zona Volcànica de la Garrotxa</t>
  </si>
  <si>
    <t>Parc Natural de l'Alt Pirineu</t>
  </si>
  <si>
    <t>Parc Natural de les Capçaleres del Ter i el Freser</t>
  </si>
  <si>
    <t>Parc Natural del Cadí-Moixeró</t>
  </si>
  <si>
    <t>Parc Natural del Delta de l'Ebre</t>
  </si>
  <si>
    <t>Parc Natural del Montgrí, les Illes Medes i el Baix Ter</t>
  </si>
  <si>
    <t>Parc Natural dels Aiguamolls de l'Empordà</t>
  </si>
  <si>
    <t>Parc Natural dels Ports</t>
  </si>
  <si>
    <t>Secans de Lleida</t>
  </si>
  <si>
    <t>ALB</t>
  </si>
  <si>
    <t>Gerard Carrion Salip</t>
  </si>
  <si>
    <t>David Bove Jordana</t>
  </si>
  <si>
    <t>Alba Jordana Lapedra</t>
  </si>
  <si>
    <t>Danae Garcia Sanagustin</t>
  </si>
  <si>
    <t>Alexandre Español Poblet</t>
  </si>
  <si>
    <t>Andreu del Rio i Vilatge</t>
  </si>
  <si>
    <t>Elisenda Montserrat Freixa</t>
  </si>
  <si>
    <t>Anna Planella Bosch</t>
  </si>
  <si>
    <t>Carmen Alcantara Guirado</t>
  </si>
  <si>
    <t>Alícia Bo Mauri</t>
  </si>
  <si>
    <t>Ana Maria Ortiz Velasco</t>
  </si>
  <si>
    <t>Albert Burgas Riera</t>
  </si>
  <si>
    <t>Ana Avila Aguila</t>
  </si>
  <si>
    <t>ADRIA URREA MORA</t>
  </si>
  <si>
    <t>POB</t>
  </si>
  <si>
    <t>Mªpilar Sanllehi Puig</t>
  </si>
  <si>
    <t>Eloy Josa Cos</t>
  </si>
  <si>
    <t>Albert Petit Saludes</t>
  </si>
  <si>
    <t>Francesc Xavier Turra Caussa</t>
  </si>
  <si>
    <t>Berta Navarro Bertran</t>
  </si>
  <si>
    <t>Arnau Dorca Tomas</t>
  </si>
  <si>
    <t>Eva Jorda Affonso</t>
  </si>
  <si>
    <t>Elena Julia Alsina</t>
  </si>
  <si>
    <t>Gisela Picañol Vall</t>
  </si>
  <si>
    <t>Clara Franch Fosch</t>
  </si>
  <si>
    <t>Ariadna Purroy Albet</t>
  </si>
  <si>
    <t>Cecilia Cano Navarro</t>
  </si>
  <si>
    <t>Antoni Curco Masip</t>
  </si>
  <si>
    <t>JOEL PEREZ VIDAL</t>
  </si>
  <si>
    <t>Sergio Romero de Tejada Martinez</t>
  </si>
  <si>
    <t>Ester Trullols Sanchez</t>
  </si>
  <si>
    <t>Andrea Benabarre Felez</t>
  </si>
  <si>
    <t>Francesc Xavier Vilabella Pecondon</t>
  </si>
  <si>
    <t>David Iturria March</t>
  </si>
  <si>
    <t>Bernat Perramon Ramos</t>
  </si>
  <si>
    <t>JORDI GUILLEN CUESTA</t>
  </si>
  <si>
    <t>Fatima Rebollo Domingo</t>
  </si>
  <si>
    <t>Joan Casoliva Armengou</t>
  </si>
  <si>
    <t>Fermin Morales Subirats</t>
  </si>
  <si>
    <t>Daniel Salvador Carretero</t>
  </si>
  <si>
    <t>Glòria Rosas Carrion</t>
  </si>
  <si>
    <t>Claudio Baiges Casanova</t>
  </si>
  <si>
    <t>Jordi Parpal Servole</t>
  </si>
  <si>
    <t>CRE</t>
  </si>
  <si>
    <t>Montserrat Sancho Blasco</t>
  </si>
  <si>
    <t>Carlos Gonzalez Farrando</t>
  </si>
  <si>
    <t>Joan Bech Sabat</t>
  </si>
  <si>
    <t>David Martra Colomes</t>
  </si>
  <si>
    <t>Emili Bassols Isamat</t>
  </si>
  <si>
    <t>Josep Pique Palacin</t>
  </si>
  <si>
    <t>Jaume Farriol Rafel</t>
  </si>
  <si>
    <t>Joana Canals Ribó</t>
  </si>
  <si>
    <t>Helena Fanlo Lopez</t>
  </si>
  <si>
    <t>Joaquin Aragones Rabassa</t>
  </si>
  <si>
    <t>Ivan Bustamante Galera</t>
  </si>
  <si>
    <t>Erica Bel Queralt</t>
  </si>
  <si>
    <t>JORDI RODERO PAU</t>
  </si>
  <si>
    <t>MON</t>
  </si>
  <si>
    <t>Ricardo Jesus Collado Tortosa</t>
  </si>
  <si>
    <t>Francesca Gil Gomez</t>
  </si>
  <si>
    <t>Montserrat Pascual Manich</t>
  </si>
  <si>
    <t>Montserrat Bonet Porcel</t>
  </si>
  <si>
    <t>Eva Calm Puig</t>
  </si>
  <si>
    <t>Juan Fernandez Gil</t>
  </si>
  <si>
    <t>Xavier Grive Isern</t>
  </si>
  <si>
    <t>Lorena Dominguez Pons</t>
  </si>
  <si>
    <t>Inmaculada Juan Franch</t>
  </si>
  <si>
    <t>Maria Pilar Carabus Saballs</t>
  </si>
  <si>
    <t>Jorge Planella Santias</t>
  </si>
  <si>
    <t>Joan Mestre Querol</t>
  </si>
  <si>
    <t>Lluis Cullere Garcia</t>
  </si>
  <si>
    <t>ZVG</t>
  </si>
  <si>
    <t>Salvador Nogues Feliu</t>
  </si>
  <si>
    <t>Gerard Giménez Pérez</t>
  </si>
  <si>
    <t>Patricia Hebrard Gras</t>
  </si>
  <si>
    <t>Montserrat Sola Rivera</t>
  </si>
  <si>
    <t>Gerard Roca Canal</t>
  </si>
  <si>
    <t>Marc Garriga Lujan</t>
  </si>
  <si>
    <t>Maria Carme Orriols Alsina</t>
  </si>
  <si>
    <t>Joan Francesc Vidal Esquerre</t>
  </si>
  <si>
    <t>Monica Matencio Cardenas</t>
  </si>
  <si>
    <t>Maria Antonia Rojas Gonzalez</t>
  </si>
  <si>
    <t>Josep Maria Forcadell Roig</t>
  </si>
  <si>
    <t>Oliana Carrasco Aparicio</t>
  </si>
  <si>
    <t>API</t>
  </si>
  <si>
    <t>Ponç Feliu Latorre</t>
  </si>
  <si>
    <t>Noemi Aymami Ortiz</t>
  </si>
  <si>
    <t>Javier Oliver Martinez-Fornes</t>
  </si>
  <si>
    <t>Maria de las Merce Frade Palau</t>
  </si>
  <si>
    <t>Marina Vergés Sánchez</t>
  </si>
  <si>
    <t>Jose Maria Queral Casanova</t>
  </si>
  <si>
    <t>Ramon Alberto Alturo Monne</t>
  </si>
  <si>
    <t>MARTA REIXACH ESTRAGUES</t>
  </si>
  <si>
    <t>Josep Sabate Balsells</t>
  </si>
  <si>
    <t>Sebastia Camarasa Arbos</t>
  </si>
  <si>
    <t>TFR</t>
  </si>
  <si>
    <t>Jose Luis Gomez Bringue</t>
  </si>
  <si>
    <t>Susana Vilares Rubio</t>
  </si>
  <si>
    <t>RAFEL GUARDIA MIQUEL</t>
  </si>
  <si>
    <t>Joan Montserrat Reig</t>
  </si>
  <si>
    <t>Maria Teresa Bel Bauza</t>
  </si>
  <si>
    <t>Montserrat Raurell Sola</t>
  </si>
  <si>
    <t>Juan Carlos Garrido Lomeña</t>
  </si>
  <si>
    <t>Santiago Ramos Lopez</t>
  </si>
  <si>
    <t>Mireia Jimenez Monegal</t>
  </si>
  <si>
    <t>Marc Aixarch Curto</t>
  </si>
  <si>
    <t>CMO</t>
  </si>
  <si>
    <t>Jose Maria Rispa Pifarre</t>
  </si>
  <si>
    <t>Joan Pijoan Coromina</t>
  </si>
  <si>
    <t>Moises Villanueva Coello</t>
  </si>
  <si>
    <t>Queralt Tor Guitart</t>
  </si>
  <si>
    <t>Julia Piccardo Valdemarin</t>
  </si>
  <si>
    <t>Oscar Palou Teixidor</t>
  </si>
  <si>
    <t>Maria Merce San Jose Amat</t>
  </si>
  <si>
    <t>DEB</t>
  </si>
  <si>
    <t>Jordi Giro Quer</t>
  </si>
  <si>
    <t>Natàlia Amores López</t>
  </si>
  <si>
    <t>Maria Lurdes Fontanet Paga</t>
  </si>
  <si>
    <t>Rosa Llinàs Viola</t>
  </si>
  <si>
    <t>Miriam Ralda Albiol</t>
  </si>
  <si>
    <t>MMB</t>
  </si>
  <si>
    <t>Luis Pifarre Marti</t>
  </si>
  <si>
    <t>Josep Riera Massegur</t>
  </si>
  <si>
    <t>Nuria Canals Sangra</t>
  </si>
  <si>
    <t>Maria Lurdes Queral Castells</t>
  </si>
  <si>
    <t>Salvi Ruiz Cruset</t>
  </si>
  <si>
    <t>Salomé Mulet Muria</t>
  </si>
  <si>
    <t>AEM</t>
  </si>
  <si>
    <t>Marc Plans Farrero</t>
  </si>
  <si>
    <t>Marta Ledesma i Bruch</t>
  </si>
  <si>
    <t>Olga Nicolas De Francisco</t>
  </si>
  <si>
    <t>Miquel Angel Franch Casanova</t>
  </si>
  <si>
    <t>Sonia Blanco Esparza</t>
  </si>
  <si>
    <t>Veronica Perez Peña</t>
  </si>
  <si>
    <t>POR</t>
  </si>
  <si>
    <t>Marcel Elias Sanllehy</t>
  </si>
  <si>
    <t>Montserrat Grabolosa Sellabona</t>
  </si>
  <si>
    <t>Oriol Grau Fernandez</t>
  </si>
  <si>
    <t>Natividad Franch Ventura</t>
  </si>
  <si>
    <t>SEC</t>
  </si>
  <si>
    <t>Maria Isabel Sebastia Urbano</t>
  </si>
  <si>
    <t>Nuria Cruset Tonietti</t>
  </si>
  <si>
    <t>Ricard Valls i Fígols</t>
  </si>
  <si>
    <t>Xavier Abril Ferrer</t>
  </si>
  <si>
    <t>XAVIER GARRETA PUYOL</t>
  </si>
  <si>
    <t>Mari-Sol Garcia Ardanuy</t>
  </si>
  <si>
    <t>Silvia Mara Martins Bazzo</t>
  </si>
  <si>
    <t>Subministrament de material fungible d'oficina i gestió administrativa</t>
  </si>
  <si>
    <t>Subministrament de queviures i consumibles per a equipaments del Parc</t>
  </si>
  <si>
    <t>Subministrament de materials tècnics per al manteniment d'infraestructures</t>
  </si>
  <si>
    <t>Subministrament de materials per a actuacions correctives urgents de manteniment (SUBMINISTRAMENT CAP.2)</t>
  </si>
  <si>
    <t>Subministrament de fusta estructural per a treballs de manteniment d'infraestructures del Parc</t>
  </si>
  <si>
    <t>Subministrament de fusta tractada per a actuacions de conservació de camins i equipaments</t>
  </si>
  <si>
    <t>Servei de transport aeri per a suport logístic i operatiu en actuacions de gestió del Parc</t>
  </si>
  <si>
    <t>Servei puntual de transport aeri per a actuacions específiques de manteniment i suport tècnic</t>
  </si>
  <si>
    <t>Control sanitari de la qualitat de l'aigua de consum dels refugis</t>
  </si>
  <si>
    <t>Control sanitari de legionel·la en instal·lacions del Parc</t>
  </si>
  <si>
    <t>Control analític del funcionament de fosses sèptiques</t>
  </si>
  <si>
    <t>Control analític dels efluents i sistemes de depuració dels refugis</t>
  </si>
  <si>
    <t>Subministrament de senyals i elements de senyalització</t>
  </si>
  <si>
    <t>Revisió tècnica i manteniment del sistema de senyalització al sector de Pallars Sobirà</t>
  </si>
  <si>
    <t>Execució d'actuacions de millora de la senyalització del Parc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</si>
</sst>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quot;€&quot;"/>
  </numFmts>
  <fonts count="41">
    <font>
      <sz val="11"/>
      <color theme="1"/>
      <name val="Calibri"/>
      <family val="2"/>
      <scheme val="minor"/>
    </font>
    <font>
      <sz val="11"/>
      <name val="Calibri"/>
      <family val="2"/>
      <scheme val="minor"/>
    </font>
    <font>
      <b/>
      <sz val="11"/>
      <color theme="1"/>
      <name val="Calibri"/>
      <family val="2"/>
      <scheme val="minor"/>
    </font>
    <font>
      <b/>
      <sz val="11"/>
      <name val="Calibri"/>
      <family val="2"/>
      <scheme val="minor"/>
    </font>
    <font>
      <sz val="11"/>
      <color rgb="FF000000"/>
      <name val="Calibri"/>
      <family val="2"/>
      <scheme val="minor"/>
    </font>
    <font>
      <b/>
      <sz val="11"/>
      <color rgb="FF000000"/>
      <name val="Calibri"/>
      <family val="2"/>
      <scheme val="minor"/>
    </font>
    <font>
      <sz val="11"/>
      <name val="Calibri"/>
      <family val="2"/>
    </font>
    <font>
      <sz val="11"/>
      <color rgb="FF000000"/>
      <name val="Calibri"/>
      <family val="2"/>
    </font>
    <font>
      <sz val="11"/>
      <color rgb="FFFF0000"/>
      <name val="Calibri"/>
      <family val="2"/>
      <scheme val="minor"/>
    </font>
    <font>
      <b/>
      <sz val="14"/>
      <color theme="1"/>
      <name val="Calibri"/>
      <family val="2"/>
      <scheme val="minor"/>
    </font>
    <font>
      <b/>
      <sz val="14"/>
      <name val="Calibri"/>
      <family val="2"/>
      <scheme val="minor"/>
    </font>
    <font>
      <sz val="14"/>
      <name val="Calibri"/>
      <family val="2"/>
      <scheme val="minor"/>
    </font>
    <font>
      <b/>
      <sz val="10"/>
      <name val="Calibri"/>
      <family val="2"/>
      <scheme val="minor"/>
    </font>
    <font>
      <b/>
      <sz val="10"/>
      <color theme="1"/>
      <name val="Calibri"/>
      <family val="2"/>
      <scheme val="minor"/>
    </font>
    <font>
      <sz val="10"/>
      <color theme="1"/>
      <name val="Calibri"/>
      <family val="2"/>
      <scheme val="minor"/>
    </font>
    <font>
      <b/>
      <sz val="11"/>
      <color rgb="FF000000"/>
      <name val="Arial"/>
      <family val="2"/>
    </font>
    <font>
      <sz val="11"/>
      <color rgb="FF000000"/>
      <name val="Arial"/>
      <family val="2"/>
    </font>
    <font>
      <sz val="10"/>
      <color theme="1"/>
      <name val="Arimo"/>
      <family val="2"/>
    </font>
    <font>
      <b/>
      <sz val="11"/>
      <color theme="0"/>
      <name val="Calibri"/>
      <family val="2"/>
      <scheme val="minor"/>
    </font>
    <font>
      <sz val="11"/>
      <color theme="1"/>
      <name val="Calibri"/>
      <family val="2"/>
      <scheme val="minor"/>
    </font>
    <font>
      <b/>
      <sz val="11"/>
      <color theme="1"/>
      <name val="Calibri"/>
      <family val="2"/>
    </font>
    <font>
      <sz val="11"/>
      <color theme="1"/>
      <name val="Calibri"/>
      <family val="2"/>
    </font>
    <font>
      <strike/>
      <sz val="11"/>
      <color rgb="FFFF0000"/>
      <name val="Calibri"/>
      <family val="2"/>
      <scheme val="minor"/>
    </font>
    <font>
      <b/>
      <sz val="11"/>
      <color rgb="FF7030A0"/>
      <name val="Calibri"/>
      <family val="2"/>
      <scheme val="minor"/>
    </font>
    <font>
      <sz val="11"/>
      <color rgb="FFFF0000"/>
      <name val="Calibri"/>
      <family val="2"/>
    </font>
    <font>
      <sz val="11"/>
      <color rgb="FF7030A0"/>
      <name val="Calibri"/>
      <family val="2"/>
    </font>
    <font>
      <sz val="11"/>
      <color rgb="FF2D7427"/>
      <name val="Calibri"/>
      <family val="2"/>
    </font>
    <font>
      <sz val="11"/>
      <color rgb="FF1E4D1A"/>
      <name val="Calibri"/>
      <family val="2"/>
    </font>
    <font>
      <sz val="11"/>
      <color rgb="FF3F0065"/>
      <name val="Calibri"/>
      <family val="2"/>
      <scheme val="minor"/>
    </font>
    <font>
      <sz val="11"/>
      <color theme="5" tint="-0.249977111117893"/>
      <name val="Calibri"/>
      <family val="2"/>
      <scheme val="minor"/>
    </font>
    <font>
      <strike/>
      <sz val="11"/>
      <color theme="1"/>
      <name val="Calibri"/>
      <family val="2"/>
    </font>
    <font>
      <sz val="11"/>
      <color theme="1" tint="0.499984740745262"/>
      <name val="Calibri"/>
      <family val="2"/>
      <scheme val="minor"/>
    </font>
    <font>
      <b/>
      <sz val="9"/>
      <color indexed="81"/>
      <name val="Tahoma"/>
      <family val="2"/>
    </font>
    <font>
      <sz val="9"/>
      <color indexed="81"/>
      <name val="Tahoma"/>
      <family val="2"/>
    </font>
    <font>
      <sz val="11"/>
      <color rgb="FF006100"/>
      <name val="Calibri"/>
      <family val="2"/>
      <scheme val="minor"/>
    </font>
    <font>
      <sz val="10"/>
      <name val="MS Sans Serif"/>
    </font>
    <font>
      <sz val="10"/>
      <name val="Calibri"/>
      <family val="2"/>
      <scheme val="minor"/>
    </font>
    <font>
      <sz val="10"/>
      <color rgb="FFC00000"/>
      <name val="Calibri"/>
      <family val="2"/>
      <scheme val="minor"/>
    </font>
    <font>
      <sz val="10"/>
      <color rgb="FF000000"/>
      <name val="Calibri"/>
      <family val="2"/>
      <scheme val="minor"/>
    </font>
    <font>
      <sz val="10"/>
      <color rgb="FF071D49"/>
      <name val="Calibri"/>
      <family val="2"/>
      <scheme val="minor"/>
    </font>
    <font>
      <sz val="10"/>
      <color theme="1"/>
      <name val="Calibri"/>
      <family val="2"/>
    </font>
  </fonts>
  <fills count="45">
    <fill>
      <patternFill patternType="none"/>
    </fill>
    <fill>
      <patternFill patternType="gray125"/>
    </fill>
    <fill>
      <patternFill patternType="solid">
        <fgColor rgb="FF3D9B35"/>
        <bgColor indexed="64"/>
      </patternFill>
    </fill>
    <fill>
      <patternFill patternType="solid">
        <fgColor rgb="FFBCBF00"/>
        <bgColor indexed="64"/>
      </patternFill>
    </fill>
    <fill>
      <patternFill patternType="solid">
        <fgColor rgb="FF00ABD4"/>
        <bgColor indexed="64"/>
      </patternFill>
    </fill>
    <fill>
      <patternFill patternType="solid">
        <fgColor rgb="FFF85C26"/>
        <bgColor indexed="64"/>
      </patternFill>
    </fill>
    <fill>
      <patternFill patternType="solid">
        <fgColor rgb="FFFABC20"/>
        <bgColor indexed="64"/>
      </patternFill>
    </fill>
    <fill>
      <patternFill patternType="solid">
        <fgColor theme="4"/>
        <bgColor indexed="64"/>
      </patternFill>
    </fill>
    <fill>
      <patternFill patternType="solid">
        <fgColor rgb="FF8094AE"/>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ACB9CA"/>
        <bgColor rgb="FF000000"/>
      </patternFill>
    </fill>
    <fill>
      <patternFill patternType="solid">
        <fgColor rgb="FFD6DCE4"/>
        <bgColor rgb="FF000000"/>
      </patternFill>
    </fill>
    <fill>
      <patternFill patternType="solid">
        <fgColor rgb="FFB1A0C7"/>
        <bgColor rgb="FF000000"/>
      </patternFill>
    </fill>
    <fill>
      <patternFill patternType="solid">
        <fgColor theme="4" tint="0.79998168889431442"/>
        <bgColor theme="4" tint="0.79998168889431442"/>
      </patternFill>
    </fill>
    <fill>
      <patternFill patternType="solid">
        <fgColor theme="4"/>
        <bgColor theme="4"/>
      </patternFill>
    </fill>
    <fill>
      <patternFill patternType="solid">
        <fgColor theme="4" tint="-0.249977111117893"/>
        <bgColor indexed="64"/>
      </patternFill>
    </fill>
    <fill>
      <patternFill patternType="solid">
        <fgColor rgb="FFDCEAAD"/>
        <bgColor rgb="FFDCEAAD"/>
      </patternFill>
    </fill>
    <fill>
      <patternFill patternType="solid">
        <fgColor rgb="FFEDF4D6"/>
        <bgColor rgb="FFEDF4D6"/>
      </patternFill>
    </fill>
    <fill>
      <patternFill patternType="solid">
        <fgColor rgb="FFFCE4A5"/>
        <bgColor rgb="FFFCE4A5"/>
      </patternFill>
    </fill>
    <fill>
      <patternFill patternType="solid">
        <fgColor rgb="FFBCBF00"/>
        <bgColor rgb="FFBCBF00"/>
      </patternFill>
    </fill>
    <fill>
      <patternFill patternType="solid">
        <fgColor rgb="FFFCFF7F"/>
        <bgColor rgb="FFFCFF7F"/>
      </patternFill>
    </fill>
    <fill>
      <patternFill patternType="solid">
        <fgColor rgb="FFFDFFBF"/>
        <bgColor rgb="FFFDFFBF"/>
      </patternFill>
    </fill>
    <fill>
      <patternFill patternType="solid">
        <fgColor rgb="FF00ABD4"/>
        <bgColor rgb="FF00ABD4"/>
      </patternFill>
    </fill>
    <fill>
      <patternFill patternType="solid">
        <fgColor rgb="FFBFDCEC"/>
        <bgColor rgb="FFBFDCEC"/>
      </patternFill>
    </fill>
    <fill>
      <patternFill patternType="solid">
        <fgColor rgb="FFDFEDF5"/>
        <bgColor rgb="FFDFEDF5"/>
      </patternFill>
    </fill>
    <fill>
      <patternFill patternType="solid">
        <fgColor rgb="FFF85C26"/>
        <bgColor rgb="FFF85C26"/>
      </patternFill>
    </fill>
    <fill>
      <patternFill patternType="solid">
        <fgColor rgb="FFFCBDA8"/>
        <bgColor rgb="FFFCBDA8"/>
      </patternFill>
    </fill>
    <fill>
      <patternFill patternType="solid">
        <fgColor rgb="FFFDDED3"/>
        <bgColor rgb="FFFDDED3"/>
      </patternFill>
    </fill>
    <fill>
      <patternFill patternType="solid">
        <fgColor rgb="FFFABC20"/>
        <bgColor rgb="FFFABC20"/>
      </patternFill>
    </fill>
    <fill>
      <patternFill patternType="solid">
        <fgColor rgb="FFFDF1D2"/>
        <bgColor rgb="FFFDF1D2"/>
      </patternFill>
    </fill>
    <fill>
      <patternFill patternType="solid">
        <fgColor theme="0"/>
        <bgColor indexed="64"/>
      </patternFill>
    </fill>
    <fill>
      <patternFill patternType="solid">
        <fgColor theme="9" tint="0.59999389629810485"/>
        <bgColor rgb="FFFCE4A5"/>
      </patternFill>
    </fill>
    <fill>
      <patternFill patternType="solid">
        <fgColor rgb="FFC6EFCE"/>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theme="4" tint="0.39997558519241921"/>
      </right>
      <top style="thin">
        <color theme="4" tint="0.39997558519241921"/>
      </top>
      <bottom style="thin">
        <color theme="4" tint="0.39997558519241921"/>
      </bottom>
      <diagonal/>
    </border>
  </borders>
  <cellStyleXfs count="4">
    <xf numFmtId="0" fontId="0" fillId="0" borderId="0"/>
    <xf numFmtId="0" fontId="34" fillId="44" borderId="0" applyNumberFormat="0" applyBorder="0" applyAlignment="0" applyProtection="0"/>
    <xf numFmtId="0" fontId="35" fillId="0" borderId="0"/>
    <xf numFmtId="0" fontId="35" fillId="0" borderId="0"/>
  </cellStyleXfs>
  <cellXfs count="238">
    <xf numFmtId="0" fontId="0" fillId="0" borderId="0" xfId="0"/>
    <xf numFmtId="0" fontId="0" fillId="0" borderId="0" xfId="0" applyAlignment="1">
      <alignment vertical="top" wrapText="1"/>
    </xf>
    <xf numFmtId="0" fontId="2" fillId="0" borderId="0" xfId="0" applyFont="1" applyAlignment="1">
      <alignment vertical="top"/>
    </xf>
    <xf numFmtId="0" fontId="3" fillId="0" borderId="0" xfId="0" applyFont="1" applyAlignment="1">
      <alignment vertical="top" wrapText="1"/>
    </xf>
    <xf numFmtId="0" fontId="1" fillId="0" borderId="0" xfId="0" applyFont="1" applyAlignment="1">
      <alignment vertical="center" wrapText="1"/>
    </xf>
    <xf numFmtId="0" fontId="1" fillId="0" borderId="0" xfId="0" applyFont="1" applyAlignment="1">
      <alignment horizontal="left" vertical="center" wrapText="1"/>
    </xf>
    <xf numFmtId="0" fontId="1" fillId="0" borderId="0" xfId="0" applyFont="1" applyAlignment="1">
      <alignment horizontal="center" vertical="center" wrapText="1"/>
    </xf>
    <xf numFmtId="0" fontId="3" fillId="0" borderId="1" xfId="0" applyFont="1" applyBorder="1" applyAlignment="1">
      <alignment horizontal="center" vertical="center" wrapText="1"/>
    </xf>
    <xf numFmtId="49" fontId="1" fillId="0" borderId="0" xfId="0" applyNumberFormat="1" applyFont="1" applyAlignment="1">
      <alignment horizontal="center" vertical="center" wrapText="1"/>
    </xf>
    <xf numFmtId="0" fontId="1" fillId="0" borderId="0" xfId="0" applyFont="1" applyAlignment="1">
      <alignment vertical="top" wrapText="1"/>
    </xf>
    <xf numFmtId="0" fontId="0" fillId="0" borderId="0" xfId="0" applyAlignment="1">
      <alignment horizontal="left" vertical="center" wrapText="1"/>
    </xf>
    <xf numFmtId="49" fontId="9" fillId="0" borderId="0" xfId="0" applyNumberFormat="1" applyFont="1" applyAlignment="1">
      <alignment horizontal="center" vertical="top" wrapText="1"/>
    </xf>
    <xf numFmtId="0" fontId="11" fillId="18" borderId="1" xfId="0" applyFont="1" applyFill="1" applyBorder="1" applyAlignment="1">
      <alignment vertical="top" wrapText="1"/>
    </xf>
    <xf numFmtId="0" fontId="11" fillId="0" borderId="0" xfId="0" applyFont="1" applyAlignment="1">
      <alignment vertical="top" wrapText="1"/>
    </xf>
    <xf numFmtId="0" fontId="3" fillId="18" borderId="1" xfId="0" applyFont="1" applyFill="1" applyBorder="1" applyAlignment="1">
      <alignment horizontal="center" vertical="center" wrapText="1"/>
    </xf>
    <xf numFmtId="0" fontId="2" fillId="18" borderId="1" xfId="0" applyFont="1" applyFill="1" applyBorder="1" applyAlignment="1">
      <alignment horizontal="center" vertical="center" wrapText="1"/>
    </xf>
    <xf numFmtId="0" fontId="1" fillId="18" borderId="1" xfId="0" applyFont="1" applyFill="1" applyBorder="1" applyAlignment="1">
      <alignment horizontal="center" vertical="center" wrapText="1"/>
    </xf>
    <xf numFmtId="0" fontId="1" fillId="18" borderId="1" xfId="0" applyFont="1" applyFill="1" applyBorder="1" applyAlignment="1">
      <alignment horizontal="left" vertical="center" wrapText="1"/>
    </xf>
    <xf numFmtId="0" fontId="1" fillId="0" borderId="1" xfId="0" applyFont="1" applyBorder="1" applyAlignment="1">
      <alignment horizontal="left" vertical="center" wrapText="1"/>
    </xf>
    <xf numFmtId="0" fontId="0" fillId="18" borderId="1" xfId="0" applyFill="1" applyBorder="1" applyAlignment="1">
      <alignment horizontal="left" vertical="center" wrapText="1"/>
    </xf>
    <xf numFmtId="0" fontId="8" fillId="18" borderId="1" xfId="0" applyFont="1" applyFill="1" applyBorder="1" applyAlignment="1">
      <alignment horizontal="left" vertical="center" wrapText="1"/>
    </xf>
    <xf numFmtId="0" fontId="0" fillId="18" borderId="1" xfId="0" applyFill="1" applyBorder="1" applyAlignment="1">
      <alignment horizontal="center" vertical="center" wrapText="1"/>
    </xf>
    <xf numFmtId="0" fontId="1" fillId="0" borderId="1" xfId="0" applyFont="1" applyBorder="1" applyAlignment="1">
      <alignment horizontal="center" vertical="center" wrapText="1"/>
    </xf>
    <xf numFmtId="0" fontId="6" fillId="18" borderId="1" xfId="0" applyFont="1" applyFill="1" applyBorder="1" applyAlignment="1">
      <alignment horizontal="left" vertical="center" wrapText="1"/>
    </xf>
    <xf numFmtId="0" fontId="6" fillId="18" borderId="1" xfId="0" applyFont="1" applyFill="1" applyBorder="1" applyAlignment="1">
      <alignment horizontal="center" vertical="center" wrapText="1"/>
    </xf>
    <xf numFmtId="0" fontId="4" fillId="18" borderId="1" xfId="0" applyFont="1" applyFill="1" applyBorder="1" applyAlignment="1">
      <alignment horizontal="left" vertical="center" wrapText="1"/>
    </xf>
    <xf numFmtId="49" fontId="2" fillId="0" borderId="0" xfId="0" applyNumberFormat="1" applyFont="1" applyAlignment="1">
      <alignment horizontal="center" vertical="top" wrapText="1"/>
    </xf>
    <xf numFmtId="0" fontId="0" fillId="0" borderId="0" xfId="0" applyAlignment="1">
      <alignment horizontal="left"/>
    </xf>
    <xf numFmtId="0" fontId="0" fillId="0" borderId="0" xfId="0" applyAlignment="1">
      <alignment wrapText="1"/>
    </xf>
    <xf numFmtId="0" fontId="2" fillId="17" borderId="1" xfId="0" applyFont="1" applyFill="1" applyBorder="1" applyAlignment="1">
      <alignment wrapText="1"/>
    </xf>
    <xf numFmtId="0" fontId="0" fillId="0" borderId="1" xfId="0" applyBorder="1" applyAlignment="1">
      <alignment wrapText="1"/>
    </xf>
    <xf numFmtId="0" fontId="2" fillId="10" borderId="1" xfId="0" applyFont="1" applyFill="1" applyBorder="1" applyAlignment="1">
      <alignment wrapText="1"/>
    </xf>
    <xf numFmtId="0" fontId="2" fillId="0" borderId="0" xfId="0" applyFont="1"/>
    <xf numFmtId="0" fontId="0" fillId="0" borderId="0" xfId="0" applyAlignment="1">
      <alignment horizontal="left" wrapText="1"/>
    </xf>
    <xf numFmtId="0" fontId="0" fillId="21" borderId="1" xfId="0" applyFill="1" applyBorder="1" applyAlignment="1">
      <alignment vertical="center"/>
    </xf>
    <xf numFmtId="0" fontId="0" fillId="21" borderId="1" xfId="0" applyFill="1" applyBorder="1"/>
    <xf numFmtId="0" fontId="15" fillId="24" borderId="0" xfId="0" applyFont="1" applyFill="1" applyAlignment="1">
      <alignment horizontal="center"/>
    </xf>
    <xf numFmtId="0" fontId="16" fillId="24" borderId="0" xfId="0" applyFont="1" applyFill="1"/>
    <xf numFmtId="0" fontId="17" fillId="25" borderId="7" xfId="0" applyFont="1" applyFill="1" applyBorder="1" applyAlignment="1">
      <alignment horizontal="left" vertical="center"/>
    </xf>
    <xf numFmtId="0" fontId="17" fillId="0" borderId="7" xfId="0" applyFont="1" applyBorder="1" applyAlignment="1">
      <alignment horizontal="left" vertical="center"/>
    </xf>
    <xf numFmtId="49" fontId="0" fillId="0" borderId="0" xfId="0" applyNumberFormat="1"/>
    <xf numFmtId="0" fontId="18" fillId="26" borderId="8" xfId="0" applyFont="1" applyFill="1" applyBorder="1"/>
    <xf numFmtId="0" fontId="18" fillId="26" borderId="9" xfId="0" applyFont="1" applyFill="1" applyBorder="1"/>
    <xf numFmtId="0" fontId="2" fillId="0" borderId="0" xfId="0" applyFont="1" applyAlignment="1">
      <alignment horizontal="center" vertical="center" wrapText="1"/>
    </xf>
    <xf numFmtId="49" fontId="2" fillId="2" borderId="1" xfId="0" applyNumberFormat="1" applyFont="1" applyFill="1" applyBorder="1" applyAlignment="1">
      <alignment horizontal="center" vertical="center" wrapText="1"/>
    </xf>
    <xf numFmtId="0" fontId="1" fillId="9" borderId="1" xfId="0" applyFont="1" applyFill="1" applyBorder="1" applyAlignment="1">
      <alignment horizontal="center" vertical="center" wrapText="1"/>
    </xf>
    <xf numFmtId="0" fontId="6" fillId="9" borderId="1" xfId="0" applyFont="1" applyFill="1" applyBorder="1" applyAlignment="1">
      <alignment horizontal="left" vertical="center" wrapText="1"/>
    </xf>
    <xf numFmtId="49" fontId="1" fillId="10" borderId="1" xfId="0" applyNumberFormat="1" applyFont="1" applyFill="1" applyBorder="1" applyAlignment="1">
      <alignment horizontal="center" vertical="center" wrapText="1"/>
    </xf>
    <xf numFmtId="0" fontId="1" fillId="10" borderId="1" xfId="0" applyFont="1" applyFill="1" applyBorder="1" applyAlignment="1">
      <alignment horizontal="left" vertical="center" wrapText="1"/>
    </xf>
    <xf numFmtId="0" fontId="1" fillId="9" borderId="1" xfId="0" applyFont="1" applyFill="1" applyBorder="1" applyAlignment="1">
      <alignment horizontal="left" vertical="center" wrapText="1"/>
    </xf>
    <xf numFmtId="49" fontId="2" fillId="7" borderId="1" xfId="0" applyNumberFormat="1" applyFont="1" applyFill="1" applyBorder="1" applyAlignment="1">
      <alignment horizontal="center" vertical="center" wrapText="1"/>
    </xf>
    <xf numFmtId="0" fontId="0" fillId="20" borderId="1" xfId="0" applyFill="1" applyBorder="1" applyAlignment="1">
      <alignment horizontal="center" vertical="center" wrapText="1"/>
    </xf>
    <xf numFmtId="0" fontId="0" fillId="20" borderId="1" xfId="0" applyFill="1" applyBorder="1" applyAlignment="1">
      <alignment horizontal="left" vertical="center" wrapText="1"/>
    </xf>
    <xf numFmtId="0" fontId="0" fillId="21" borderId="1" xfId="0" applyFill="1" applyBorder="1" applyAlignment="1">
      <alignment horizontal="center" vertical="center" wrapText="1"/>
    </xf>
    <xf numFmtId="0" fontId="0" fillId="21" borderId="1" xfId="0" applyFill="1" applyBorder="1" applyAlignment="1">
      <alignment horizontal="left" vertical="center" wrapText="1"/>
    </xf>
    <xf numFmtId="49" fontId="20" fillId="26" borderId="1" xfId="0" applyNumberFormat="1" applyFont="1" applyFill="1" applyBorder="1" applyAlignment="1">
      <alignment horizontal="center" vertical="center" wrapText="1"/>
    </xf>
    <xf numFmtId="0" fontId="21" fillId="28" borderId="1" xfId="0" applyFont="1" applyFill="1" applyBorder="1" applyAlignment="1">
      <alignment horizontal="center" vertical="center" wrapText="1"/>
    </xf>
    <xf numFmtId="0" fontId="21" fillId="28" borderId="1" xfId="0" applyFont="1" applyFill="1" applyBorder="1" applyAlignment="1">
      <alignment horizontal="left" vertical="center" wrapText="1"/>
    </xf>
    <xf numFmtId="0" fontId="21" fillId="29" borderId="1" xfId="0" applyFont="1" applyFill="1" applyBorder="1" applyAlignment="1">
      <alignment horizontal="center" vertical="center" wrapText="1"/>
    </xf>
    <xf numFmtId="0" fontId="21" fillId="29" borderId="1" xfId="0" applyFont="1" applyFill="1" applyBorder="1" applyAlignment="1">
      <alignment horizontal="left" vertical="center" wrapText="1"/>
    </xf>
    <xf numFmtId="0" fontId="21" fillId="30" borderId="1" xfId="0" applyFont="1" applyFill="1" applyBorder="1" applyAlignment="1">
      <alignment horizontal="center" vertical="center" wrapText="1"/>
    </xf>
    <xf numFmtId="0" fontId="21" fillId="30" borderId="1" xfId="0" applyFont="1" applyFill="1" applyBorder="1" applyAlignment="1">
      <alignment horizontal="left" vertical="center" wrapText="1"/>
    </xf>
    <xf numFmtId="0" fontId="1" fillId="20" borderId="1" xfId="0" applyFont="1" applyFill="1" applyBorder="1" applyAlignment="1">
      <alignment horizontal="center" vertical="center" wrapText="1"/>
    </xf>
    <xf numFmtId="0" fontId="1" fillId="20" borderId="1" xfId="0" applyFont="1" applyFill="1" applyBorder="1" applyAlignment="1">
      <alignment horizontal="left" vertical="center" wrapText="1"/>
    </xf>
    <xf numFmtId="0" fontId="1" fillId="21" borderId="1" xfId="0" applyFont="1" applyFill="1" applyBorder="1" applyAlignment="1">
      <alignment horizontal="center" vertical="center" wrapText="1"/>
    </xf>
    <xf numFmtId="0" fontId="1" fillId="21" borderId="1" xfId="0" applyFont="1" applyFill="1" applyBorder="1" applyAlignment="1">
      <alignment horizontal="left" vertical="center" wrapText="1"/>
    </xf>
    <xf numFmtId="49" fontId="21" fillId="29" borderId="1" xfId="0" applyNumberFormat="1" applyFont="1" applyFill="1" applyBorder="1" applyAlignment="1">
      <alignment horizontal="center" vertical="center" wrapText="1"/>
    </xf>
    <xf numFmtId="49" fontId="0" fillId="21" borderId="1" xfId="0" applyNumberFormat="1" applyFill="1" applyBorder="1" applyAlignment="1">
      <alignment horizontal="center" vertical="center" wrapText="1"/>
    </xf>
    <xf numFmtId="49" fontId="1" fillId="21" borderId="1" xfId="0" applyNumberFormat="1" applyFont="1" applyFill="1" applyBorder="1" applyAlignment="1">
      <alignment horizontal="center" vertical="center" wrapText="1"/>
    </xf>
    <xf numFmtId="49" fontId="2" fillId="3" borderId="1" xfId="0" applyNumberFormat="1" applyFont="1" applyFill="1" applyBorder="1" applyAlignment="1">
      <alignment horizontal="center" vertical="center" wrapText="1"/>
    </xf>
    <xf numFmtId="0" fontId="1" fillId="11" borderId="1" xfId="0" applyFont="1" applyFill="1" applyBorder="1" applyAlignment="1">
      <alignment horizontal="center" vertical="center" wrapText="1"/>
    </xf>
    <xf numFmtId="0" fontId="1" fillId="11" borderId="1" xfId="0" applyFont="1" applyFill="1" applyBorder="1" applyAlignment="1">
      <alignment horizontal="left" vertical="center" wrapText="1"/>
    </xf>
    <xf numFmtId="49" fontId="1" fillId="12" borderId="1" xfId="0" applyNumberFormat="1" applyFont="1" applyFill="1" applyBorder="1" applyAlignment="1">
      <alignment horizontal="center" vertical="center" wrapText="1"/>
    </xf>
    <xf numFmtId="0" fontId="1" fillId="12" borderId="1" xfId="0" applyFont="1" applyFill="1" applyBorder="1" applyAlignment="1">
      <alignment horizontal="left" vertical="center" wrapText="1"/>
    </xf>
    <xf numFmtId="49" fontId="20" fillId="31" borderId="1" xfId="0" applyNumberFormat="1" applyFont="1" applyFill="1" applyBorder="1" applyAlignment="1">
      <alignment horizontal="center" vertical="center" wrapText="1"/>
    </xf>
    <xf numFmtId="0" fontId="21" fillId="32" borderId="1" xfId="0" applyFont="1" applyFill="1" applyBorder="1" applyAlignment="1">
      <alignment horizontal="center" vertical="center" wrapText="1"/>
    </xf>
    <xf numFmtId="0" fontId="21" fillId="32" borderId="1" xfId="0" applyFont="1" applyFill="1" applyBorder="1" applyAlignment="1">
      <alignment horizontal="left" vertical="center" wrapText="1"/>
    </xf>
    <xf numFmtId="49" fontId="21" fillId="33" borderId="1" xfId="0" applyNumberFormat="1" applyFont="1" applyFill="1" applyBorder="1" applyAlignment="1">
      <alignment horizontal="center" vertical="center" wrapText="1"/>
    </xf>
    <xf numFmtId="0" fontId="21" fillId="33" borderId="1" xfId="0" applyFont="1" applyFill="1" applyBorder="1" applyAlignment="1">
      <alignment horizontal="left" vertical="center" wrapText="1"/>
    </xf>
    <xf numFmtId="0" fontId="0" fillId="11" borderId="1" xfId="0" applyFill="1" applyBorder="1" applyAlignment="1">
      <alignment horizontal="center" vertical="center" wrapText="1"/>
    </xf>
    <xf numFmtId="0" fontId="0" fillId="11" borderId="1" xfId="0" applyFill="1" applyBorder="1" applyAlignment="1">
      <alignment horizontal="left" vertical="center" wrapText="1"/>
    </xf>
    <xf numFmtId="49" fontId="0" fillId="12" borderId="1" xfId="0" applyNumberFormat="1" applyFill="1" applyBorder="1" applyAlignment="1">
      <alignment horizontal="center" vertical="center" wrapText="1"/>
    </xf>
    <xf numFmtId="0" fontId="0" fillId="12" borderId="1" xfId="0" applyFill="1" applyBorder="1" applyAlignment="1">
      <alignment horizontal="left" vertical="center" wrapText="1"/>
    </xf>
    <xf numFmtId="49" fontId="2" fillId="4" borderId="1" xfId="0" applyNumberFormat="1" applyFont="1" applyFill="1" applyBorder="1" applyAlignment="1">
      <alignment horizontal="center" vertical="center" wrapText="1"/>
    </xf>
    <xf numFmtId="0" fontId="0" fillId="14" borderId="1" xfId="0" applyFill="1" applyBorder="1" applyAlignment="1">
      <alignment horizontal="center" vertical="center" wrapText="1"/>
    </xf>
    <xf numFmtId="0" fontId="0" fillId="14" borderId="1" xfId="0" applyFill="1" applyBorder="1" applyAlignment="1">
      <alignment horizontal="left" vertical="center" wrapText="1"/>
    </xf>
    <xf numFmtId="49" fontId="0" fillId="13" borderId="1" xfId="0" applyNumberFormat="1" applyFill="1" applyBorder="1" applyAlignment="1">
      <alignment horizontal="center" vertical="center" wrapText="1"/>
    </xf>
    <xf numFmtId="0" fontId="0" fillId="13" borderId="1" xfId="0" applyFill="1" applyBorder="1" applyAlignment="1">
      <alignment horizontal="left" vertical="center" wrapText="1"/>
    </xf>
    <xf numFmtId="49" fontId="20" fillId="34" borderId="1" xfId="0" applyNumberFormat="1" applyFont="1" applyFill="1" applyBorder="1" applyAlignment="1">
      <alignment horizontal="center" vertical="center" wrapText="1"/>
    </xf>
    <xf numFmtId="0" fontId="21" fillId="35" borderId="1" xfId="0" applyFont="1" applyFill="1" applyBorder="1" applyAlignment="1">
      <alignment horizontal="center" vertical="center" wrapText="1"/>
    </xf>
    <xf numFmtId="0" fontId="21" fillId="35" borderId="1" xfId="0" applyFont="1" applyFill="1" applyBorder="1" applyAlignment="1">
      <alignment horizontal="left" vertical="center" wrapText="1"/>
    </xf>
    <xf numFmtId="49" fontId="21" fillId="36" borderId="1" xfId="0" applyNumberFormat="1" applyFont="1" applyFill="1" applyBorder="1" applyAlignment="1">
      <alignment horizontal="center" vertical="center" wrapText="1"/>
    </xf>
    <xf numFmtId="0" fontId="21" fillId="36" borderId="1" xfId="0" applyFont="1" applyFill="1" applyBorder="1" applyAlignment="1">
      <alignment horizontal="left" vertical="center" wrapText="1"/>
    </xf>
    <xf numFmtId="0" fontId="1" fillId="14" borderId="1" xfId="0" applyFont="1" applyFill="1" applyBorder="1" applyAlignment="1">
      <alignment horizontal="center" vertical="center" wrapText="1"/>
    </xf>
    <xf numFmtId="0" fontId="1" fillId="14" borderId="1" xfId="0" applyFont="1" applyFill="1" applyBorder="1" applyAlignment="1">
      <alignment horizontal="left" vertical="center" wrapText="1"/>
    </xf>
    <xf numFmtId="49" fontId="1" fillId="13" borderId="1" xfId="0" applyNumberFormat="1" applyFont="1" applyFill="1" applyBorder="1" applyAlignment="1">
      <alignment horizontal="center" vertical="center" wrapText="1"/>
    </xf>
    <xf numFmtId="0" fontId="1" fillId="13" borderId="1" xfId="0" applyFont="1" applyFill="1" applyBorder="1" applyAlignment="1">
      <alignment horizontal="left" vertical="center" wrapText="1"/>
    </xf>
    <xf numFmtId="49" fontId="2" fillId="5" borderId="1" xfId="0" applyNumberFormat="1" applyFont="1" applyFill="1" applyBorder="1" applyAlignment="1">
      <alignment horizontal="center" vertical="center" wrapText="1"/>
    </xf>
    <xf numFmtId="0" fontId="1" fillId="15" borderId="1" xfId="0" applyFont="1" applyFill="1" applyBorder="1" applyAlignment="1">
      <alignment horizontal="center" vertical="center" wrapText="1"/>
    </xf>
    <xf numFmtId="0" fontId="1" fillId="15" borderId="1" xfId="0" applyFont="1" applyFill="1" applyBorder="1" applyAlignment="1">
      <alignment horizontal="left" vertical="center" wrapText="1"/>
    </xf>
    <xf numFmtId="49" fontId="1" fillId="16" borderId="1" xfId="0" applyNumberFormat="1" applyFont="1" applyFill="1" applyBorder="1" applyAlignment="1">
      <alignment horizontal="center" vertical="center" wrapText="1"/>
    </xf>
    <xf numFmtId="0" fontId="4" fillId="16" borderId="1" xfId="0" applyFont="1" applyFill="1" applyBorder="1" applyAlignment="1">
      <alignment horizontal="left" vertical="center" wrapText="1"/>
    </xf>
    <xf numFmtId="49" fontId="20" fillId="37" borderId="1" xfId="0" applyNumberFormat="1" applyFont="1" applyFill="1" applyBorder="1" applyAlignment="1">
      <alignment horizontal="center" vertical="center" wrapText="1"/>
    </xf>
    <xf numFmtId="0" fontId="21" fillId="38" borderId="1" xfId="0" applyFont="1" applyFill="1" applyBorder="1" applyAlignment="1">
      <alignment horizontal="center" vertical="center" wrapText="1"/>
    </xf>
    <xf numFmtId="0" fontId="21" fillId="38" borderId="1" xfId="0" applyFont="1" applyFill="1" applyBorder="1" applyAlignment="1">
      <alignment horizontal="left" vertical="center" wrapText="1"/>
    </xf>
    <xf numFmtId="49" fontId="21" fillId="39" borderId="1" xfId="0" applyNumberFormat="1" applyFont="1" applyFill="1" applyBorder="1" applyAlignment="1">
      <alignment horizontal="center" vertical="center" wrapText="1"/>
    </xf>
    <xf numFmtId="0" fontId="21" fillId="39" borderId="1" xfId="0" applyFont="1" applyFill="1" applyBorder="1" applyAlignment="1">
      <alignment horizontal="left" vertical="center" wrapText="1"/>
    </xf>
    <xf numFmtId="49" fontId="3" fillId="5" borderId="1" xfId="0" applyNumberFormat="1" applyFont="1" applyFill="1" applyBorder="1" applyAlignment="1">
      <alignment horizontal="center" vertical="center" wrapText="1"/>
    </xf>
    <xf numFmtId="0" fontId="1" fillId="16" borderId="1" xfId="0" applyFont="1" applyFill="1" applyBorder="1" applyAlignment="1">
      <alignment horizontal="left" vertical="center" wrapText="1"/>
    </xf>
    <xf numFmtId="0" fontId="0" fillId="15" borderId="1" xfId="0" applyFill="1" applyBorder="1" applyAlignment="1">
      <alignment horizontal="center" vertical="center" wrapText="1"/>
    </xf>
    <xf numFmtId="0" fontId="0" fillId="15" borderId="1" xfId="0" applyFill="1" applyBorder="1" applyAlignment="1">
      <alignment horizontal="left" vertical="center" wrapText="1"/>
    </xf>
    <xf numFmtId="49" fontId="0" fillId="16" borderId="1" xfId="0" applyNumberFormat="1" applyFill="1" applyBorder="1" applyAlignment="1">
      <alignment horizontal="center" vertical="center" wrapText="1"/>
    </xf>
    <xf numFmtId="0" fontId="0" fillId="16" borderId="1" xfId="0" applyFill="1" applyBorder="1" applyAlignment="1">
      <alignment horizontal="left" vertical="center" wrapText="1"/>
    </xf>
    <xf numFmtId="49" fontId="20" fillId="40" borderId="1" xfId="0" applyNumberFormat="1" applyFont="1" applyFill="1" applyBorder="1" applyAlignment="1">
      <alignment horizontal="center" vertical="center" wrapText="1"/>
    </xf>
    <xf numFmtId="49" fontId="21" fillId="41" borderId="1" xfId="0" applyNumberFormat="1" applyFont="1" applyFill="1" applyBorder="1" applyAlignment="1">
      <alignment horizontal="center" vertical="center" wrapText="1"/>
    </xf>
    <xf numFmtId="0" fontId="21" fillId="41" borderId="1" xfId="0" applyFont="1" applyFill="1" applyBorder="1" applyAlignment="1">
      <alignment horizontal="left" vertical="center" wrapText="1"/>
    </xf>
    <xf numFmtId="49" fontId="1" fillId="17" borderId="1" xfId="0" applyNumberFormat="1" applyFont="1" applyFill="1" applyBorder="1" applyAlignment="1">
      <alignment horizontal="center" vertical="center" wrapText="1"/>
    </xf>
    <xf numFmtId="0" fontId="1" fillId="17" borderId="1" xfId="0" applyFont="1" applyFill="1" applyBorder="1" applyAlignment="1">
      <alignment horizontal="left" vertical="center" wrapText="1"/>
    </xf>
    <xf numFmtId="49" fontId="3" fillId="6" borderId="1" xfId="0" applyNumberFormat="1" applyFont="1" applyFill="1" applyBorder="1" applyAlignment="1">
      <alignment horizontal="center" vertical="center" wrapText="1"/>
    </xf>
    <xf numFmtId="49" fontId="2" fillId="6" borderId="1" xfId="0" applyNumberFormat="1" applyFont="1" applyFill="1" applyBorder="1" applyAlignment="1">
      <alignment horizontal="center" vertical="center" wrapText="1"/>
    </xf>
    <xf numFmtId="0" fontId="4" fillId="17" borderId="1" xfId="0" applyFont="1" applyFill="1" applyBorder="1" applyAlignment="1">
      <alignment horizontal="left" vertical="center" wrapText="1"/>
    </xf>
    <xf numFmtId="0" fontId="7" fillId="41" borderId="1" xfId="0" applyFont="1" applyFill="1" applyBorder="1" applyAlignment="1">
      <alignment horizontal="left" vertical="center" wrapText="1"/>
    </xf>
    <xf numFmtId="0" fontId="6" fillId="17" borderId="1" xfId="0" applyFont="1" applyFill="1" applyBorder="1" applyAlignment="1">
      <alignment horizontal="left" vertical="center" wrapText="1"/>
    </xf>
    <xf numFmtId="0" fontId="21" fillId="41" borderId="1" xfId="0" applyFont="1" applyFill="1" applyBorder="1" applyAlignment="1">
      <alignment horizontal="center" vertical="center" wrapText="1"/>
    </xf>
    <xf numFmtId="0" fontId="1" fillId="17"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1" fillId="19" borderId="1" xfId="0" applyFont="1" applyFill="1" applyBorder="1" applyAlignment="1">
      <alignment horizontal="center" vertical="center" wrapText="1"/>
    </xf>
    <xf numFmtId="0" fontId="1" fillId="19" borderId="1" xfId="0" applyFont="1" applyFill="1" applyBorder="1" applyAlignment="1">
      <alignment horizontal="left" vertical="center" wrapText="1"/>
    </xf>
    <xf numFmtId="0" fontId="1" fillId="23" borderId="1" xfId="0" applyFont="1" applyFill="1" applyBorder="1" applyAlignment="1">
      <alignment horizontal="center" vertical="center" wrapText="1"/>
    </xf>
    <xf numFmtId="0" fontId="1" fillId="23" borderId="1" xfId="0" applyFont="1" applyFill="1" applyBorder="1" applyAlignment="1">
      <alignment horizontal="left" vertical="center" wrapText="1"/>
    </xf>
    <xf numFmtId="0" fontId="3" fillId="8" borderId="1" xfId="0" applyFont="1" applyFill="1" applyBorder="1" applyAlignment="1">
      <alignment horizontal="center" vertical="center" wrapText="1"/>
    </xf>
    <xf numFmtId="0" fontId="1" fillId="22" borderId="1" xfId="0" applyFont="1" applyFill="1" applyBorder="1" applyAlignment="1">
      <alignment horizontal="left" vertical="center" wrapText="1"/>
    </xf>
    <xf numFmtId="0" fontId="0" fillId="0" borderId="1" xfId="0" applyBorder="1" applyAlignment="1">
      <alignment horizontal="center" vertical="center" wrapText="1"/>
    </xf>
    <xf numFmtId="0" fontId="0" fillId="42" borderId="1" xfId="0" applyFill="1" applyBorder="1" applyAlignment="1">
      <alignment horizontal="center" vertical="center" wrapText="1"/>
    </xf>
    <xf numFmtId="0" fontId="0" fillId="42" borderId="1" xfId="0" applyFill="1" applyBorder="1" applyAlignment="1">
      <alignment horizontal="left" vertical="center" wrapText="1"/>
    </xf>
    <xf numFmtId="0" fontId="0" fillId="0" borderId="1" xfId="0" applyBorder="1" applyAlignment="1">
      <alignment horizontal="left" vertical="center" wrapText="1"/>
    </xf>
    <xf numFmtId="0" fontId="1" fillId="42" borderId="1" xfId="0" applyFont="1" applyFill="1" applyBorder="1" applyAlignment="1">
      <alignment horizontal="left" vertical="center" wrapText="1"/>
    </xf>
    <xf numFmtId="0" fontId="0" fillId="0" borderId="1" xfId="0" applyBorder="1" applyAlignment="1">
      <alignment horizontal="center" vertical="top" wrapText="1"/>
    </xf>
    <xf numFmtId="0" fontId="21" fillId="0" borderId="1" xfId="0" applyFont="1" applyBorder="1" applyAlignment="1">
      <alignment horizontal="left" vertical="center" wrapText="1"/>
    </xf>
    <xf numFmtId="0" fontId="21" fillId="0" borderId="1" xfId="0" applyFont="1" applyBorder="1" applyAlignment="1">
      <alignment vertical="top" wrapText="1"/>
    </xf>
    <xf numFmtId="0" fontId="21" fillId="0" borderId="1" xfId="0" applyFont="1" applyBorder="1" applyAlignment="1">
      <alignment horizontal="center" vertical="center" wrapText="1"/>
    </xf>
    <xf numFmtId="0" fontId="1" fillId="0" borderId="1" xfId="0" applyFont="1" applyBorder="1" applyAlignment="1">
      <alignment horizontal="center" vertical="top" wrapText="1"/>
    </xf>
    <xf numFmtId="0" fontId="21" fillId="0" borderId="1" xfId="0" applyFont="1" applyBorder="1" applyAlignment="1">
      <alignment horizontal="left" vertical="top" wrapText="1"/>
    </xf>
    <xf numFmtId="0" fontId="1" fillId="42" borderId="1" xfId="0" applyFont="1" applyFill="1" applyBorder="1" applyAlignment="1">
      <alignment horizontal="center" vertical="center" wrapText="1"/>
    </xf>
    <xf numFmtId="0" fontId="0" fillId="0" borderId="0" xfId="0" applyAlignment="1">
      <alignment horizontal="center" vertical="center" wrapText="1"/>
    </xf>
    <xf numFmtId="0" fontId="10" fillId="0" borderId="0" xfId="0" applyFont="1" applyAlignment="1">
      <alignment vertical="top" wrapText="1"/>
    </xf>
    <xf numFmtId="0" fontId="21" fillId="43" borderId="1" xfId="0" applyFont="1" applyFill="1" applyBorder="1" applyAlignment="1">
      <alignment horizontal="center" vertical="center" wrapText="1"/>
    </xf>
    <xf numFmtId="0" fontId="21" fillId="43" borderId="1" xfId="0" applyFont="1" applyFill="1" applyBorder="1" applyAlignment="1">
      <alignment horizontal="left" vertical="center" wrapText="1"/>
    </xf>
    <xf numFmtId="0" fontId="6" fillId="0" borderId="1" xfId="0" applyFont="1" applyBorder="1" applyAlignment="1">
      <alignment horizontal="left" vertical="center" wrapText="1"/>
    </xf>
    <xf numFmtId="0" fontId="30" fillId="43" borderId="1" xfId="0" applyFont="1" applyFill="1" applyBorder="1" applyAlignment="1">
      <alignment horizontal="left" vertical="center" wrapText="1"/>
    </xf>
    <xf numFmtId="0" fontId="31" fillId="18" borderId="1" xfId="0" applyFont="1" applyFill="1" applyBorder="1" applyAlignment="1">
      <alignment horizontal="center" vertical="center" wrapText="1"/>
    </xf>
    <xf numFmtId="49" fontId="9" fillId="0" borderId="0" xfId="0" applyNumberFormat="1" applyFont="1" applyAlignment="1">
      <alignment horizontal="left" vertical="top" wrapText="1"/>
    </xf>
    <xf numFmtId="49" fontId="9" fillId="0" borderId="0" xfId="0" applyNumberFormat="1" applyFont="1" applyAlignment="1">
      <alignment horizontal="right" vertical="top" wrapText="1"/>
    </xf>
    <xf numFmtId="0" fontId="2" fillId="0" borderId="1" xfId="0" applyFont="1" applyBorder="1" applyAlignment="1">
      <alignment horizontal="center" vertical="center" wrapText="1"/>
    </xf>
    <xf numFmtId="0" fontId="1" fillId="0" borderId="10" xfId="0" applyFont="1" applyBorder="1" applyAlignment="1">
      <alignment horizontal="left" vertical="center" wrapText="1"/>
    </xf>
    <xf numFmtId="0" fontId="0" fillId="42" borderId="10" xfId="0" applyFill="1" applyBorder="1" applyAlignment="1">
      <alignment horizontal="left" vertical="center" wrapText="1"/>
    </xf>
    <xf numFmtId="0" fontId="4" fillId="0" borderId="10" xfId="0" applyFont="1" applyBorder="1" applyAlignment="1">
      <alignment horizontal="left" vertical="center" wrapText="1"/>
    </xf>
    <xf numFmtId="0" fontId="0" fillId="0" borderId="10" xfId="0" applyBorder="1" applyAlignment="1">
      <alignment horizontal="left" vertical="center" wrapText="1"/>
    </xf>
    <xf numFmtId="0" fontId="21" fillId="0" borderId="10" xfId="0" applyFont="1" applyBorder="1" applyAlignment="1">
      <alignment horizontal="left" vertical="center" wrapText="1"/>
    </xf>
    <xf numFmtId="0" fontId="7" fillId="0" borderId="10" xfId="0" applyFont="1" applyBorder="1" applyAlignment="1">
      <alignment horizontal="left" vertical="center" wrapText="1"/>
    </xf>
    <xf numFmtId="0" fontId="19" fillId="0" borderId="10" xfId="0" applyFont="1" applyBorder="1" applyAlignment="1">
      <alignment horizontal="left" vertical="center" wrapText="1"/>
    </xf>
    <xf numFmtId="0" fontId="6" fillId="0" borderId="10" xfId="0" applyFont="1" applyBorder="1" applyAlignment="1">
      <alignment horizontal="left" vertical="center" wrapText="1"/>
    </xf>
    <xf numFmtId="0" fontId="1" fillId="42" borderId="10" xfId="0" applyFont="1" applyFill="1" applyBorder="1" applyAlignment="1">
      <alignment horizontal="left" vertical="center" wrapText="1"/>
    </xf>
    <xf numFmtId="0" fontId="1" fillId="0" borderId="10" xfId="0" quotePrefix="1" applyFont="1" applyBorder="1" applyAlignment="1">
      <alignment horizontal="left" vertical="center" wrapText="1"/>
    </xf>
    <xf numFmtId="0" fontId="21" fillId="0" borderId="0" xfId="0" applyFont="1" applyAlignment="1">
      <alignment horizontal="center" vertical="center" wrapText="1"/>
    </xf>
    <xf numFmtId="49" fontId="2" fillId="0" borderId="0" xfId="0" applyNumberFormat="1" applyFont="1" applyAlignment="1">
      <alignment horizontal="left" vertical="center" wrapText="1"/>
    </xf>
    <xf numFmtId="9" fontId="21" fillId="0" borderId="0" xfId="0" applyNumberFormat="1" applyFont="1" applyAlignment="1">
      <alignment horizontal="center" vertical="center" wrapText="1"/>
    </xf>
    <xf numFmtId="0" fontId="6" fillId="0" borderId="0" xfId="0" applyFont="1" applyAlignment="1">
      <alignment horizontal="center" vertical="center" wrapText="1"/>
    </xf>
    <xf numFmtId="0" fontId="4" fillId="0" borderId="0" xfId="0" applyFont="1" applyAlignment="1">
      <alignment horizontal="center" vertical="center" wrapText="1"/>
    </xf>
    <xf numFmtId="1" fontId="21" fillId="0" borderId="0" xfId="0" applyNumberFormat="1" applyFont="1" applyAlignment="1">
      <alignment horizontal="center" vertical="center" wrapText="1"/>
    </xf>
    <xf numFmtId="0" fontId="4" fillId="0" borderId="1" xfId="0" applyFont="1" applyBorder="1" applyAlignment="1">
      <alignment horizontal="left" vertical="center" wrapText="1"/>
    </xf>
    <xf numFmtId="9" fontId="21" fillId="0" borderId="1" xfId="0" applyNumberFormat="1" applyFont="1" applyBorder="1" applyAlignment="1">
      <alignment horizontal="center" vertical="center" wrapText="1"/>
    </xf>
    <xf numFmtId="0" fontId="7" fillId="0" borderId="1" xfId="0" applyFont="1" applyBorder="1" applyAlignment="1">
      <alignment horizontal="left" vertical="center" wrapText="1"/>
    </xf>
    <xf numFmtId="0" fontId="4" fillId="0" borderId="1" xfId="0" applyFont="1" applyBorder="1" applyAlignment="1">
      <alignment horizontal="center" vertical="center" wrapText="1"/>
    </xf>
    <xf numFmtId="0" fontId="6" fillId="0" borderId="1" xfId="0" applyFont="1" applyBorder="1" applyAlignment="1">
      <alignment horizontal="center" vertical="center" wrapText="1"/>
    </xf>
    <xf numFmtId="0" fontId="29" fillId="0" borderId="1" xfId="0" applyFont="1" applyBorder="1" applyAlignment="1">
      <alignment horizontal="left" vertical="center" wrapText="1"/>
    </xf>
    <xf numFmtId="1" fontId="21" fillId="0" borderId="1" xfId="0" applyNumberFormat="1" applyFont="1" applyBorder="1" applyAlignment="1">
      <alignment horizontal="center" vertical="center" wrapText="1"/>
    </xf>
    <xf numFmtId="0" fontId="2" fillId="0" borderId="11" xfId="0" applyFont="1" applyBorder="1" applyAlignment="1">
      <alignment horizontal="center" vertical="top" wrapText="1"/>
    </xf>
    <xf numFmtId="0" fontId="2" fillId="0" borderId="12" xfId="0" applyFont="1" applyBorder="1" applyAlignment="1">
      <alignment horizontal="center" vertical="top" wrapText="1"/>
    </xf>
    <xf numFmtId="0" fontId="0" fillId="0" borderId="0" xfId="0" applyAlignment="1">
      <alignment horizontal="center" vertical="top" wrapText="1"/>
    </xf>
    <xf numFmtId="49" fontId="2" fillId="18" borderId="1" xfId="0" applyNumberFormat="1" applyFont="1" applyFill="1" applyBorder="1" applyAlignment="1">
      <alignment horizontal="center" vertical="center" wrapText="1"/>
    </xf>
    <xf numFmtId="49" fontId="3" fillId="18" borderId="1" xfId="0" applyNumberFormat="1" applyFont="1" applyFill="1" applyBorder="1" applyAlignment="1">
      <alignment horizontal="center" vertical="center" wrapText="1"/>
    </xf>
    <xf numFmtId="49" fontId="3" fillId="0" borderId="1" xfId="0" applyNumberFormat="1" applyFont="1" applyBorder="1" applyAlignment="1">
      <alignment horizontal="center" vertical="center" wrapText="1"/>
    </xf>
    <xf numFmtId="49" fontId="2" fillId="0" borderId="1" xfId="0" applyNumberFormat="1" applyFont="1" applyBorder="1" applyAlignment="1">
      <alignment horizontal="center" vertical="center" wrapText="1"/>
    </xf>
    <xf numFmtId="0" fontId="14" fillId="0" borderId="0" xfId="0" applyFont="1" applyAlignment="1">
      <alignment wrapText="1"/>
    </xf>
    <xf numFmtId="0" fontId="13" fillId="0" borderId="0" xfId="0" applyFont="1" applyAlignment="1">
      <alignment wrapText="1"/>
    </xf>
    <xf numFmtId="0" fontId="14" fillId="27" borderId="0" xfId="0" applyFont="1" applyFill="1" applyAlignment="1">
      <alignment wrapText="1"/>
    </xf>
    <xf numFmtId="49" fontId="14" fillId="0" borderId="1" xfId="0" applyNumberFormat="1" applyFont="1" applyBorder="1" applyAlignment="1">
      <alignment wrapText="1"/>
    </xf>
    <xf numFmtId="49" fontId="14" fillId="0" borderId="13" xfId="0" applyNumberFormat="1" applyFont="1" applyBorder="1" applyAlignment="1">
      <alignment wrapText="1"/>
    </xf>
    <xf numFmtId="0" fontId="37" fillId="0" borderId="0" xfId="0" applyFont="1" applyAlignment="1">
      <alignment wrapText="1"/>
    </xf>
    <xf numFmtId="0" fontId="14" fillId="0" borderId="1" xfId="0" applyFont="1" applyBorder="1" applyAlignment="1">
      <alignment wrapText="1"/>
    </xf>
    <xf numFmtId="164" fontId="14" fillId="0" borderId="1" xfId="0" applyNumberFormat="1" applyFont="1" applyBorder="1" applyAlignment="1">
      <alignment wrapText="1"/>
    </xf>
    <xf numFmtId="0" fontId="14" fillId="0" borderId="1" xfId="0" applyFont="1" applyBorder="1" applyAlignment="1">
      <alignment horizontal="right" wrapText="1"/>
    </xf>
    <xf numFmtId="0" fontId="14" fillId="0" borderId="1" xfId="0" applyFont="1" applyBorder="1" applyAlignment="1">
      <alignment horizontal="left" wrapText="1"/>
    </xf>
    <xf numFmtId="0" fontId="12" fillId="18" borderId="2" xfId="0" applyFont="1" applyFill="1" applyBorder="1" applyAlignment="1">
      <alignment horizontal="center" wrapText="1"/>
    </xf>
    <xf numFmtId="0" fontId="12" fillId="18" borderId="5" xfId="0" applyFont="1" applyFill="1" applyBorder="1" applyAlignment="1">
      <alignment horizontal="center" wrapText="1"/>
    </xf>
    <xf numFmtId="0" fontId="12" fillId="18" borderId="3" xfId="0" applyFont="1" applyFill="1" applyBorder="1" applyAlignment="1">
      <alignment horizontal="center" wrapText="1"/>
    </xf>
    <xf numFmtId="0" fontId="12" fillId="18" borderId="3" xfId="0" applyFont="1" applyFill="1" applyBorder="1" applyAlignment="1">
      <alignment horizontal="left" wrapText="1"/>
    </xf>
    <xf numFmtId="0" fontId="12" fillId="18" borderId="3" xfId="0" applyFont="1" applyFill="1" applyBorder="1" applyAlignment="1">
      <alignment wrapText="1"/>
    </xf>
    <xf numFmtId="0" fontId="13" fillId="18" borderId="3" xfId="0" applyFont="1" applyFill="1" applyBorder="1" applyAlignment="1">
      <alignment wrapText="1"/>
    </xf>
    <xf numFmtId="0" fontId="13" fillId="18" borderId="4" xfId="0" applyFont="1" applyFill="1" applyBorder="1" applyAlignment="1">
      <alignment wrapText="1"/>
    </xf>
    <xf numFmtId="0" fontId="36" fillId="0" borderId="1" xfId="0" applyFont="1" applyBorder="1" applyAlignment="1">
      <alignment horizontal="right" wrapText="1"/>
    </xf>
    <xf numFmtId="0" fontId="36" fillId="0" borderId="1" xfId="0" applyFont="1" applyBorder="1" applyAlignment="1">
      <alignment wrapText="1"/>
    </xf>
    <xf numFmtId="0" fontId="37" fillId="0" borderId="1" xfId="0" applyFont="1" applyBorder="1" applyAlignment="1">
      <alignment wrapText="1"/>
    </xf>
    <xf numFmtId="164" fontId="36" fillId="0" borderId="1" xfId="0" applyNumberFormat="1" applyFont="1" applyBorder="1" applyAlignment="1">
      <alignment horizontal="right" wrapText="1"/>
    </xf>
    <xf numFmtId="4" fontId="36" fillId="0" borderId="1" xfId="1" applyNumberFormat="1" applyFont="1" applyFill="1" applyBorder="1" applyAlignment="1" applyProtection="1">
      <alignment horizontal="left" wrapText="1"/>
    </xf>
    <xf numFmtId="0" fontId="38" fillId="0" borderId="1" xfId="0" applyFont="1" applyBorder="1" applyAlignment="1">
      <alignment horizontal="right" wrapText="1"/>
    </xf>
    <xf numFmtId="0" fontId="38" fillId="0" borderId="1" xfId="0" applyFont="1" applyBorder="1" applyAlignment="1">
      <alignment wrapText="1"/>
    </xf>
    <xf numFmtId="0" fontId="39" fillId="0" borderId="1" xfId="0" applyFont="1" applyBorder="1" applyAlignment="1">
      <alignment horizontal="right" wrapText="1"/>
    </xf>
    <xf numFmtId="0" fontId="36" fillId="0" borderId="1" xfId="0" applyFont="1" applyBorder="1" applyAlignment="1">
      <alignment horizontal="left" wrapText="1"/>
    </xf>
    <xf numFmtId="164" fontId="38" fillId="0" borderId="1" xfId="0" applyNumberFormat="1" applyFont="1" applyBorder="1" applyAlignment="1">
      <alignment horizontal="right" wrapText="1"/>
    </xf>
    <xf numFmtId="4" fontId="38" fillId="0" borderId="1" xfId="1" applyNumberFormat="1" applyFont="1" applyFill="1" applyBorder="1" applyAlignment="1" applyProtection="1">
      <alignment horizontal="left" wrapText="1"/>
    </xf>
    <xf numFmtId="4" fontId="36" fillId="0" borderId="1" xfId="1" quotePrefix="1" applyNumberFormat="1" applyFont="1" applyFill="1" applyBorder="1" applyAlignment="1" applyProtection="1">
      <alignment horizontal="left" wrapText="1"/>
    </xf>
    <xf numFmtId="164" fontId="14" fillId="0" borderId="1" xfId="0" applyNumberFormat="1" applyFont="1" applyBorder="1" applyAlignment="1">
      <alignment horizontal="right" wrapText="1"/>
    </xf>
    <xf numFmtId="0" fontId="36" fillId="0" borderId="1" xfId="2" quotePrefix="1" applyFont="1" applyBorder="1" applyAlignment="1">
      <alignment horizontal="left" wrapText="1"/>
    </xf>
    <xf numFmtId="4" fontId="36" fillId="0" borderId="1" xfId="1" quotePrefix="1" applyNumberFormat="1" applyFont="1" applyFill="1" applyBorder="1" applyAlignment="1" applyProtection="1">
      <alignment horizontal="left" wrapText="1"/>
      <protection locked="0"/>
    </xf>
    <xf numFmtId="0" fontId="36" fillId="0" borderId="1" xfId="0" quotePrefix="1" applyFont="1" applyBorder="1" applyAlignment="1">
      <alignment wrapText="1"/>
    </xf>
    <xf numFmtId="0" fontId="38" fillId="0" borderId="1" xfId="0" applyFont="1" applyBorder="1" applyAlignment="1">
      <alignment horizontal="left" wrapText="1"/>
    </xf>
    <xf numFmtId="0" fontId="36" fillId="0" borderId="1" xfId="2" applyFont="1" applyBorder="1" applyAlignment="1">
      <alignment horizontal="left" wrapText="1"/>
    </xf>
    <xf numFmtId="4" fontId="14" fillId="0" borderId="1" xfId="1" quotePrefix="1" applyNumberFormat="1" applyFont="1" applyFill="1" applyBorder="1" applyAlignment="1" applyProtection="1">
      <alignment horizontal="left" wrapText="1"/>
    </xf>
    <xf numFmtId="0" fontId="14" fillId="0" borderId="0" xfId="0" applyFont="1" applyAlignment="1">
      <alignment horizontal="right" wrapText="1"/>
    </xf>
    <xf numFmtId="0" fontId="40" fillId="0" borderId="1" xfId="0" applyFont="1" applyBorder="1" applyAlignment="1">
      <alignment horizontal="right" wrapText="1"/>
    </xf>
    <xf numFmtId="0" fontId="14" fillId="12" borderId="0" xfId="0" applyFont="1" applyFill="1" applyAlignment="1">
      <alignment wrapText="1"/>
    </xf>
    <xf numFmtId="0" fontId="12" fillId="12" borderId="3" xfId="0" applyFont="1" applyFill="1" applyBorder="1" applyAlignment="1">
      <alignment horizontal="center" wrapText="1"/>
    </xf>
    <xf numFmtId="0" fontId="14" fillId="12" borderId="1" xfId="0" applyFont="1" applyFill="1" applyBorder="1" applyAlignment="1">
      <alignment horizontal="left" wrapText="1"/>
    </xf>
    <xf numFmtId="0" fontId="39" fillId="12" borderId="1" xfId="0" applyFont="1" applyFill="1" applyBorder="1" applyAlignment="1">
      <alignment horizontal="left" wrapText="1"/>
    </xf>
    <xf numFmtId="0" fontId="36" fillId="12" borderId="1" xfId="0" applyFont="1" applyFill="1" applyBorder="1" applyAlignment="1">
      <alignment horizontal="left" wrapText="1"/>
    </xf>
    <xf numFmtId="0" fontId="40" fillId="12" borderId="1" xfId="0" applyFont="1" applyFill="1" applyBorder="1" applyAlignment="1">
      <alignment horizontal="left" wrapText="1"/>
    </xf>
    <xf numFmtId="0" fontId="14" fillId="12" borderId="1" xfId="0" applyFont="1" applyFill="1" applyBorder="1" applyAlignment="1">
      <alignment wrapText="1"/>
    </xf>
    <xf numFmtId="0" fontId="13" fillId="12" borderId="4" xfId="0" applyFont="1" applyFill="1" applyBorder="1" applyAlignment="1">
      <alignment wrapText="1"/>
    </xf>
    <xf numFmtId="49" fontId="14" fillId="12" borderId="1" xfId="0" applyNumberFormat="1" applyFont="1" applyFill="1" applyBorder="1" applyAlignment="1">
      <alignment wrapText="1"/>
    </xf>
    <xf numFmtId="4" fontId="36" fillId="12" borderId="1" xfId="1" quotePrefix="1" applyNumberFormat="1" applyFont="1" applyFill="1" applyBorder="1" applyAlignment="1" applyProtection="1">
      <alignment horizontal="left" wrapText="1"/>
    </xf>
    <xf numFmtId="0" fontId="36" fillId="12" borderId="1" xfId="2" quotePrefix="1" applyFont="1" applyFill="1" applyBorder="1" applyAlignment="1">
      <alignment horizontal="left" wrapText="1"/>
    </xf>
    <xf numFmtId="4" fontId="36" fillId="12" borderId="1" xfId="1" quotePrefix="1" applyNumberFormat="1" applyFont="1" applyFill="1" applyBorder="1" applyAlignment="1" applyProtection="1">
      <alignment horizontal="left" wrapText="1"/>
      <protection locked="0"/>
    </xf>
    <xf numFmtId="0" fontId="36" fillId="12" borderId="1" xfId="2" applyFont="1" applyFill="1" applyBorder="1" applyAlignment="1">
      <alignment horizontal="left" wrapText="1"/>
    </xf>
    <xf numFmtId="0" fontId="2" fillId="0" borderId="0" xfId="0" applyFont="1" applyAlignment="1">
      <alignment horizontal="center" vertical="top" wrapText="1"/>
    </xf>
    <xf numFmtId="0" fontId="2" fillId="0" borderId="10" xfId="0" applyFont="1" applyBorder="1" applyAlignment="1">
      <alignment horizontal="center" vertical="top" wrapText="1"/>
    </xf>
    <xf numFmtId="0" fontId="2" fillId="0" borderId="6" xfId="0" applyFont="1" applyBorder="1" applyAlignment="1">
      <alignment horizontal="center" vertical="top" wrapText="1"/>
    </xf>
  </cellXfs>
  <cellStyles count="4">
    <cellStyle name="Bé" xfId="1" builtinId="26"/>
    <cellStyle name="Normal" xfId="0" builtinId="0"/>
    <cellStyle name="Normal 2" xfId="3" xr:uid="{00000000-0005-0000-0000-000002000000}"/>
    <cellStyle name="Normal 27" xfId="2" xr:uid="{00000000-0005-0000-0000-000003000000}"/>
  </cellStyles>
  <dxfs count="43">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Calibri"/>
        <scheme val="minor"/>
      </font>
      <fill>
        <patternFill patternType="solid">
          <fgColor theme="4"/>
          <bgColor theme="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AE8055"/>
      <color rgb="FFDCC8B6"/>
      <color rgb="FFC5A385"/>
      <color rgb="FF3D9B35"/>
      <color rgb="FFFABC20"/>
      <color rgb="FFF85C26"/>
      <color rgb="FF00ABD4"/>
      <color rgb="FFBCBF00"/>
      <color rgb="FF99CC0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gencat.sharepoint.com/sites/PNAESM_EQUIP_TCNIC/Documents%20compartits/General/Pla%20Estrategic%20ENP_v2024_Aig&#252;estortes_MAG_251222_M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5720148N/Desktop/Pla%20Estrategic%20ENP_v2024_Aig&#252;estortes_v2_U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ull1"/>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ull1"/>
    </sheetNames>
    <sheetDataSet>
      <sheetData sheetId="0"/>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spaiNatural" displayName="EspaiNatural" ref="A1:B15" totalsRowShown="0" headerRowDxfId="31" headerRowBorderDxfId="30" tableBorderDxfId="29">
  <autoFilter ref="A1:B15" xr:uid="{00000000-0009-0000-0100-000001000000}"/>
  <tableColumns count="2">
    <tableColumn id="1" xr3:uid="{00000000-0010-0000-0000-000001000000}" name="Espai natural" dataDxfId="28"/>
    <tableColumn id="2" xr3:uid="{00000000-0010-0000-0000-000002000000}" name="Referència Taul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LB" displayName="ALB" ref="D1:D4" totalsRowShown="0" headerRowDxfId="27">
  <autoFilter ref="D1:D4" xr:uid="{00000000-0009-0000-0100-000002000000}"/>
  <tableColumns count="1">
    <tableColumn id="1" xr3:uid="{00000000-0010-0000-0100-000001000000}" name="Paratge Natural d'Interès Nacional de l'Albera" dataDxfId="2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POB" displayName="POB" ref="E1:E7" totalsRowShown="0" headerRowDxfId="25">
  <autoFilter ref="E1:E7" xr:uid="{00000000-0009-0000-0100-000003000000}"/>
  <tableColumns count="1">
    <tableColumn id="1" xr3:uid="{00000000-0010-0000-0200-000001000000}" name="Paratge Natural d'Interès Nacional de Poblet" dataDxfId="2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AES" displayName="AES" ref="F1:F21" totalsRowShown="0" headerRowDxfId="23">
  <autoFilter ref="F1:F21" xr:uid="{00000000-0009-0000-0100-000004000000}"/>
  <tableColumns count="1">
    <tableColumn id="1" xr3:uid="{00000000-0010-0000-0300-000001000000}" name="Parc Nacional d'Aigüestortes i Estany de Sant Maurici" dataDxfId="2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CRE" displayName="CRE" ref="G1:G9" totalsRowShown="0" headerRowDxfId="21">
  <autoFilter ref="G1:G9" xr:uid="{00000000-0009-0000-0100-000005000000}"/>
  <tableColumns count="1">
    <tableColumn id="1" xr3:uid="{00000000-0010-0000-0400-000001000000}" name="Parc Natural de Cap de Creus" dataDxfId="2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MON" displayName="MON" ref="H1:H9" totalsRowShown="0" headerRowDxfId="19">
  <autoFilter ref="H1:H9" xr:uid="{00000000-0009-0000-0100-000006000000}"/>
  <tableColumns count="1">
    <tableColumn id="1" xr3:uid="{00000000-0010-0000-0500-000001000000}" name="Parc Natural de la Serra de Montsant" dataDxfId="18"/>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ZVG" displayName="ZVG" ref="I1:I15" totalsRowShown="0" headerRowDxfId="17">
  <autoFilter ref="I1:I15" xr:uid="{00000000-0009-0000-0100-000007000000}"/>
  <tableColumns count="1">
    <tableColumn id="1" xr3:uid="{00000000-0010-0000-0600-000001000000}" name="Parc Natural de la Zona Volcànica de la Garrotxa" dataDxfId="16"/>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API" displayName="API" ref="J1:J16" totalsRowShown="0" headerRowDxfId="15">
  <autoFilter ref="J1:J16" xr:uid="{00000000-0009-0000-0100-000008000000}"/>
  <tableColumns count="1">
    <tableColumn id="1" xr3:uid="{00000000-0010-0000-0700-000001000000}" name="Parc Natural de l'Alt Pirineu" dataDxfId="14"/>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FR" displayName="TFR" ref="K1:K6" totalsRowShown="0" headerRowDxfId="13">
  <autoFilter ref="K1:K6" xr:uid="{00000000-0009-0000-0100-000009000000}"/>
  <tableColumns count="1">
    <tableColumn id="1" xr3:uid="{00000000-0010-0000-0800-000001000000}" name="Parc Natural de les Capçaleres del Ter i el Freser" dataDxfId="1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CMO" displayName="CMO" ref="L1:L10" totalsRowShown="0" headerRowDxfId="11">
  <autoFilter ref="L1:L10" xr:uid="{00000000-0009-0000-0100-00000A000000}"/>
  <tableColumns count="1">
    <tableColumn id="1" xr3:uid="{00000000-0010-0000-0900-000001000000}" name="Parc Natural del Cadí-Moixeró" dataDxfId="10"/>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DEB" displayName="DEB" ref="M1:M15" totalsRowShown="0" headerRowDxfId="9">
  <autoFilter ref="M1:M15" xr:uid="{00000000-0009-0000-0100-00000B000000}"/>
  <tableColumns count="1">
    <tableColumn id="1" xr3:uid="{00000000-0010-0000-0A00-000001000000}" name="Parc Natural del Delta de l'Ebre" dataDxfId="8"/>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MMB" displayName="MMB" ref="N1:N9" totalsRowShown="0" headerRowDxfId="7">
  <autoFilter ref="N1:N9" xr:uid="{00000000-0009-0000-0100-00000C000000}"/>
  <tableColumns count="1">
    <tableColumn id="1" xr3:uid="{00000000-0010-0000-0B00-000001000000}" name="Parc Natural del Montgrí, les Illes Medes i el Baix Ter" dataDxfId="6"/>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AEM" displayName="AEM" ref="O1:O13" totalsRowShown="0" headerRowDxfId="5">
  <autoFilter ref="O1:O13" xr:uid="{00000000-0009-0000-0100-00000D000000}"/>
  <tableColumns count="1">
    <tableColumn id="1" xr3:uid="{00000000-0010-0000-0C00-000001000000}" name="Parc Natural dels Aiguamolls de l'Empordà" dataDxfId="4"/>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POR" displayName="POR" ref="P1:P13" totalsRowShown="0" headerRowDxfId="3">
  <autoFilter ref="P1:P13" xr:uid="{00000000-0009-0000-0100-00000E000000}"/>
  <tableColumns count="1">
    <tableColumn id="1" xr3:uid="{00000000-0010-0000-0D00-000001000000}" name="Parc Natural dels Ports" dataDxfId="2"/>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SEC" displayName="SEC" ref="Q1:Q8" totalsRowShown="0" headerRowDxfId="1">
  <autoFilter ref="Q1:Q8" xr:uid="{00000000-0009-0000-0100-00000F000000}"/>
  <tableColumns count="1">
    <tableColumn id="1" xr3:uid="{00000000-0010-0000-0E00-000001000000}" name="Secans de Lleida"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eneralitat">
      <a:dk1>
        <a:sysClr val="windowText" lastClr="000000"/>
      </a:dk1>
      <a:lt1>
        <a:sysClr val="window" lastClr="FFFFFF"/>
      </a:lt1>
      <a:dk2>
        <a:srgbClr val="44546A"/>
      </a:dk2>
      <a:lt2>
        <a:srgbClr val="E7E6E6"/>
      </a:lt2>
      <a:accent1>
        <a:srgbClr val="A8CB33"/>
      </a:accent1>
      <a:accent2>
        <a:srgbClr val="3D9B35"/>
      </a:accent2>
      <a:accent3>
        <a:srgbClr val="BCBF00"/>
      </a:accent3>
      <a:accent4>
        <a:srgbClr val="60A9D1"/>
      </a:accent4>
      <a:accent5>
        <a:srgbClr val="F85C26"/>
      </a:accent5>
      <a:accent6>
        <a:srgbClr val="FABC20"/>
      </a:accent6>
      <a:hlink>
        <a:srgbClr val="AE8055"/>
      </a:hlink>
      <a:folHlink>
        <a:srgbClr val="C0CECE"/>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table" Target="../tables/table1.xml"/><Relationship Id="rId16" Type="http://schemas.openxmlformats.org/officeDocument/2006/relationships/table" Target="../tables/table15.xml"/><Relationship Id="rId1" Type="http://schemas.openxmlformats.org/officeDocument/2006/relationships/printerSettings" Target="../printerSettings/printerSettings3.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5" Type="http://schemas.openxmlformats.org/officeDocument/2006/relationships/table" Target="../tables/table1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B14"/>
  <sheetViews>
    <sheetView workbookViewId="0">
      <selection activeCell="D14" sqref="D14"/>
    </sheetView>
  </sheetViews>
  <sheetFormatPr defaultColWidth="9.1796875" defaultRowHeight="14.5"/>
  <cols>
    <col min="1" max="1" width="19.453125" style="28" customWidth="1"/>
    <col min="2" max="2" width="95.7265625" style="28" customWidth="1"/>
  </cols>
  <sheetData>
    <row r="2" spans="1:2" ht="29">
      <c r="A2" s="29" t="s">
        <v>1278</v>
      </c>
      <c r="B2" s="30" t="s">
        <v>1279</v>
      </c>
    </row>
    <row r="3" spans="1:2">
      <c r="A3" s="29" t="s">
        <v>1280</v>
      </c>
      <c r="B3" s="30" t="s">
        <v>1281</v>
      </c>
    </row>
    <row r="4" spans="1:2" ht="29">
      <c r="A4" s="29" t="s">
        <v>1282</v>
      </c>
      <c r="B4" s="30" t="s">
        <v>1283</v>
      </c>
    </row>
    <row r="5" spans="1:2">
      <c r="A5" s="29" t="s">
        <v>1284</v>
      </c>
      <c r="B5" s="30" t="s">
        <v>1285</v>
      </c>
    </row>
    <row r="6" spans="1:2">
      <c r="A6" s="29" t="s">
        <v>1286</v>
      </c>
      <c r="B6" s="30" t="s">
        <v>1287</v>
      </c>
    </row>
    <row r="7" spans="1:2">
      <c r="A7" s="29" t="s">
        <v>1288</v>
      </c>
      <c r="B7" s="30" t="s">
        <v>1289</v>
      </c>
    </row>
    <row r="8" spans="1:2" ht="29">
      <c r="A8" s="29" t="s">
        <v>1290</v>
      </c>
      <c r="B8" s="30" t="s">
        <v>1291</v>
      </c>
    </row>
    <row r="9" spans="1:2" ht="29">
      <c r="A9" s="29" t="s">
        <v>1292</v>
      </c>
      <c r="B9" s="30" t="s">
        <v>1293</v>
      </c>
    </row>
    <row r="10" spans="1:2">
      <c r="A10" s="29" t="s">
        <v>1294</v>
      </c>
      <c r="B10" s="30" t="s">
        <v>1295</v>
      </c>
    </row>
    <row r="11" spans="1:2" ht="58">
      <c r="A11" s="29" t="s">
        <v>1296</v>
      </c>
      <c r="B11" s="30" t="s">
        <v>1297</v>
      </c>
    </row>
    <row r="14" spans="1:2" ht="87">
      <c r="A14" s="31" t="s">
        <v>1298</v>
      </c>
      <c r="B14" s="30" t="s">
        <v>1299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249977111117893"/>
  </sheetPr>
  <dimension ref="A1:Q172"/>
  <sheetViews>
    <sheetView topLeftCell="A156" workbookViewId="0">
      <selection activeCell="C3" sqref="C3:C172"/>
    </sheetView>
  </sheetViews>
  <sheetFormatPr defaultColWidth="33.7265625" defaultRowHeight="13"/>
  <cols>
    <col min="1" max="1" width="9.54296875" style="220" bestFit="1" customWidth="1"/>
    <col min="2" max="2" width="12.453125" style="184" bestFit="1" customWidth="1"/>
    <col min="3" max="3" width="96.7265625" style="184" customWidth="1"/>
    <col min="4" max="4" width="13.7265625" style="220" customWidth="1"/>
    <col min="5" max="5" width="57.54296875" style="222" customWidth="1"/>
    <col min="6" max="6" width="30.7265625" style="184" customWidth="1"/>
    <col min="7" max="7" width="33.54296875" style="184" customWidth="1"/>
    <col min="8" max="8" width="31.7265625" style="184" customWidth="1"/>
    <col min="9" max="9" width="49.453125" style="184" customWidth="1"/>
    <col min="10" max="10" width="58" style="184" customWidth="1"/>
    <col min="11" max="11" width="13.1796875" style="184" bestFit="1" customWidth="1"/>
    <col min="12" max="12" width="30.54296875" style="184" bestFit="1" customWidth="1"/>
    <col min="13" max="13" width="126.81640625" style="184" bestFit="1" customWidth="1"/>
    <col min="14" max="14" width="23.26953125" style="184" bestFit="1" customWidth="1"/>
    <col min="15" max="15" width="23.26953125" style="222" customWidth="1"/>
    <col min="16" max="16" width="17.81640625" style="184" bestFit="1" customWidth="1"/>
    <col min="17" max="16384" width="33.7265625" style="184"/>
  </cols>
  <sheetData>
    <row r="1" spans="1:17">
      <c r="N1" s="186" t="s">
        <v>1300</v>
      </c>
      <c r="P1" s="186"/>
    </row>
    <row r="2" spans="1:17" ht="13.5" thickBot="1"/>
    <row r="3" spans="1:17" s="185" customFormat="1" ht="26">
      <c r="A3" s="194" t="s">
        <v>1301</v>
      </c>
      <c r="B3" s="195" t="s">
        <v>1302</v>
      </c>
      <c r="C3" s="196" t="s">
        <v>1303</v>
      </c>
      <c r="D3" s="196" t="s">
        <v>1304</v>
      </c>
      <c r="E3" s="223" t="s">
        <v>1305</v>
      </c>
      <c r="F3" s="197" t="s">
        <v>1306</v>
      </c>
      <c r="G3" s="198" t="s">
        <v>1307</v>
      </c>
      <c r="H3" s="197" t="s">
        <v>1308</v>
      </c>
      <c r="I3" s="199" t="s">
        <v>1309</v>
      </c>
      <c r="J3" s="197" t="s">
        <v>1310</v>
      </c>
      <c r="K3" s="199" t="s">
        <v>1311</v>
      </c>
      <c r="L3" s="199" t="s">
        <v>1312</v>
      </c>
      <c r="M3" s="200" t="s">
        <v>1313</v>
      </c>
      <c r="N3" s="200" t="s">
        <v>1314</v>
      </c>
      <c r="O3" s="229" t="s">
        <v>1315</v>
      </c>
      <c r="P3" s="200" t="s">
        <v>1316</v>
      </c>
    </row>
    <row r="4" spans="1:17" s="189" customFormat="1" ht="26">
      <c r="A4" s="192" t="s">
        <v>1317</v>
      </c>
      <c r="B4" s="201">
        <v>1</v>
      </c>
      <c r="C4" s="202" t="s">
        <v>1318</v>
      </c>
      <c r="D4" s="201" t="s">
        <v>1154</v>
      </c>
      <c r="E4" s="224" t="s">
        <v>1155</v>
      </c>
      <c r="F4" s="203"/>
      <c r="G4" s="190" t="s">
        <v>1319</v>
      </c>
      <c r="H4" s="202" t="s">
        <v>1320</v>
      </c>
      <c r="I4" s="202" t="s">
        <v>1321</v>
      </c>
      <c r="J4" s="193" t="s">
        <v>1322</v>
      </c>
      <c r="K4" s="204">
        <v>5178.3500000000004</v>
      </c>
      <c r="L4" s="202"/>
      <c r="M4" s="205" t="s">
        <v>707</v>
      </c>
      <c r="N4" s="187" t="s">
        <v>1323</v>
      </c>
      <c r="O4" s="230" t="s">
        <v>1324</v>
      </c>
      <c r="P4" s="202" t="s">
        <v>1325</v>
      </c>
      <c r="Q4" s="188"/>
    </row>
    <row r="5" spans="1:17" ht="26">
      <c r="A5" s="192" t="s">
        <v>1326</v>
      </c>
      <c r="B5" s="206">
        <f t="shared" ref="B5:B36" si="0">B4+1</f>
        <v>2</v>
      </c>
      <c r="C5" s="207" t="s">
        <v>1327</v>
      </c>
      <c r="D5" s="208" t="s">
        <v>1215</v>
      </c>
      <c r="E5" s="225" t="s">
        <v>1216</v>
      </c>
      <c r="F5" s="209"/>
      <c r="G5" s="190" t="s">
        <v>1319</v>
      </c>
      <c r="H5" s="202" t="s">
        <v>1320</v>
      </c>
      <c r="I5" s="207" t="s">
        <v>1328</v>
      </c>
      <c r="J5" s="193" t="s">
        <v>1322</v>
      </c>
      <c r="K5" s="210">
        <f>3630+1000</f>
        <v>4630</v>
      </c>
      <c r="L5" s="209"/>
      <c r="M5" s="211" t="s">
        <v>1329</v>
      </c>
      <c r="N5" s="187" t="s">
        <v>1330</v>
      </c>
      <c r="O5" s="230" t="s">
        <v>1331</v>
      </c>
      <c r="P5" s="209" t="s">
        <v>1325</v>
      </c>
      <c r="Q5" s="188"/>
    </row>
    <row r="6" spans="1:17" ht="26">
      <c r="A6" s="192" t="s">
        <v>1332</v>
      </c>
      <c r="B6" s="201">
        <f t="shared" si="0"/>
        <v>3</v>
      </c>
      <c r="C6" s="202" t="s">
        <v>1333</v>
      </c>
      <c r="D6" s="208" t="s">
        <v>1162</v>
      </c>
      <c r="E6" s="225" t="s">
        <v>1163</v>
      </c>
      <c r="F6" s="202"/>
      <c r="G6" s="190" t="s">
        <v>1319</v>
      </c>
      <c r="H6" s="202" t="s">
        <v>1320</v>
      </c>
      <c r="I6" s="202" t="s">
        <v>1334</v>
      </c>
      <c r="J6" s="193" t="s">
        <v>1322</v>
      </c>
      <c r="K6" s="204">
        <v>750</v>
      </c>
      <c r="L6" s="202"/>
      <c r="M6" s="205" t="s">
        <v>707</v>
      </c>
      <c r="N6" s="212" t="s">
        <v>1323</v>
      </c>
      <c r="O6" s="231" t="s">
        <v>1324</v>
      </c>
      <c r="P6" s="209" t="s">
        <v>1325</v>
      </c>
      <c r="Q6" s="188"/>
    </row>
    <row r="7" spans="1:17" ht="26">
      <c r="A7" s="192" t="s">
        <v>1335</v>
      </c>
      <c r="B7" s="201">
        <f t="shared" si="0"/>
        <v>4</v>
      </c>
      <c r="C7" s="202" t="s">
        <v>1336</v>
      </c>
      <c r="D7" s="208" t="s">
        <v>1154</v>
      </c>
      <c r="E7" s="225" t="s">
        <v>1155</v>
      </c>
      <c r="F7" s="202"/>
      <c r="G7" s="190" t="s">
        <v>1319</v>
      </c>
      <c r="H7" s="202" t="s">
        <v>1320</v>
      </c>
      <c r="I7" s="202" t="s">
        <v>1334</v>
      </c>
      <c r="J7" s="193" t="s">
        <v>1322</v>
      </c>
      <c r="K7" s="204">
        <v>1000</v>
      </c>
      <c r="L7" s="202"/>
      <c r="M7" s="205" t="s">
        <v>707</v>
      </c>
      <c r="N7" s="212" t="s">
        <v>1323</v>
      </c>
      <c r="O7" s="231" t="s">
        <v>1324</v>
      </c>
      <c r="P7" s="209" t="s">
        <v>1325</v>
      </c>
      <c r="Q7" s="188"/>
    </row>
    <row r="8" spans="1:17" ht="26">
      <c r="A8" s="201" t="s">
        <v>1337</v>
      </c>
      <c r="B8" s="201">
        <f t="shared" si="0"/>
        <v>5</v>
      </c>
      <c r="C8" s="202" t="s">
        <v>1338</v>
      </c>
      <c r="D8" s="208" t="s">
        <v>522</v>
      </c>
      <c r="E8" s="225" t="s">
        <v>523</v>
      </c>
      <c r="F8" s="202"/>
      <c r="G8" s="202" t="s">
        <v>1339</v>
      </c>
      <c r="H8" s="202" t="s">
        <v>1320</v>
      </c>
      <c r="I8" s="202" t="s">
        <v>1340</v>
      </c>
      <c r="J8" s="193" t="s">
        <v>1322</v>
      </c>
      <c r="K8" s="204">
        <f>2500+500+6000+3000+500</f>
        <v>12500</v>
      </c>
      <c r="L8" s="202"/>
      <c r="M8" s="205" t="s">
        <v>1341</v>
      </c>
      <c r="N8" s="212" t="s">
        <v>1323</v>
      </c>
      <c r="O8" s="231" t="s">
        <v>1324</v>
      </c>
      <c r="P8" s="209" t="s">
        <v>1325</v>
      </c>
      <c r="Q8" s="188"/>
    </row>
    <row r="9" spans="1:17">
      <c r="A9" s="201" t="s">
        <v>1342</v>
      </c>
      <c r="B9" s="201">
        <f t="shared" si="0"/>
        <v>6</v>
      </c>
      <c r="C9" s="202" t="s">
        <v>1343</v>
      </c>
      <c r="D9" s="208" t="s">
        <v>244</v>
      </c>
      <c r="E9" s="225" t="s">
        <v>245</v>
      </c>
      <c r="F9" s="202"/>
      <c r="G9" s="202" t="s">
        <v>1344</v>
      </c>
      <c r="H9" s="202" t="s">
        <v>1320</v>
      </c>
      <c r="I9" s="202" t="s">
        <v>1340</v>
      </c>
      <c r="J9" s="193" t="s">
        <v>1345</v>
      </c>
      <c r="K9" s="204">
        <v>2000</v>
      </c>
      <c r="L9" s="202"/>
      <c r="M9" s="205" t="s">
        <v>1346</v>
      </c>
      <c r="N9" s="187" t="s">
        <v>1347</v>
      </c>
      <c r="O9" s="230" t="s">
        <v>1348</v>
      </c>
      <c r="P9" s="209" t="s">
        <v>1325</v>
      </c>
      <c r="Q9" s="188"/>
    </row>
    <row r="10" spans="1:17" ht="39">
      <c r="A10" s="201" t="s">
        <v>1349</v>
      </c>
      <c r="B10" s="201">
        <f t="shared" si="0"/>
        <v>7</v>
      </c>
      <c r="C10" s="202" t="s">
        <v>1350</v>
      </c>
      <c r="D10" s="208" t="s">
        <v>869</v>
      </c>
      <c r="E10" s="225" t="s">
        <v>870</v>
      </c>
      <c r="F10" s="202"/>
      <c r="G10" s="202" t="s">
        <v>1351</v>
      </c>
      <c r="H10" s="202" t="s">
        <v>1320</v>
      </c>
      <c r="I10" s="202" t="s">
        <v>1352</v>
      </c>
      <c r="J10" s="193" t="s">
        <v>1322</v>
      </c>
      <c r="K10" s="204">
        <v>1000</v>
      </c>
      <c r="L10" s="202"/>
      <c r="M10" s="205" t="s">
        <v>707</v>
      </c>
      <c r="N10" s="187" t="s">
        <v>1353</v>
      </c>
      <c r="O10" s="230" t="s">
        <v>1354</v>
      </c>
      <c r="P10" s="209" t="s">
        <v>1325</v>
      </c>
    </row>
    <row r="11" spans="1:17" ht="26">
      <c r="A11" s="192" t="s">
        <v>1355</v>
      </c>
      <c r="B11" s="201">
        <f t="shared" si="0"/>
        <v>8</v>
      </c>
      <c r="C11" s="202" t="s">
        <v>1356</v>
      </c>
      <c r="D11" s="208" t="s">
        <v>1224</v>
      </c>
      <c r="E11" s="225" t="s">
        <v>1225</v>
      </c>
      <c r="F11" s="202"/>
      <c r="G11" s="190" t="s">
        <v>1319</v>
      </c>
      <c r="H11" s="202" t="s">
        <v>1320</v>
      </c>
      <c r="I11" s="202" t="s">
        <v>1357</v>
      </c>
      <c r="J11" s="193" t="s">
        <v>1322</v>
      </c>
      <c r="K11" s="213">
        <v>2500</v>
      </c>
      <c r="L11" s="202"/>
      <c r="M11" s="205" t="s">
        <v>707</v>
      </c>
      <c r="N11" s="212" t="s">
        <v>1347</v>
      </c>
      <c r="O11" s="230" t="s">
        <v>1348</v>
      </c>
      <c r="P11" s="209" t="s">
        <v>1325</v>
      </c>
    </row>
    <row r="12" spans="1:17">
      <c r="A12" s="192" t="s">
        <v>1358</v>
      </c>
      <c r="B12" s="201">
        <f t="shared" si="0"/>
        <v>9</v>
      </c>
      <c r="C12" s="202" t="s">
        <v>2020</v>
      </c>
      <c r="D12" s="208" t="s">
        <v>1224</v>
      </c>
      <c r="E12" s="225" t="s">
        <v>1225</v>
      </c>
      <c r="F12" s="202"/>
      <c r="G12" s="190" t="s">
        <v>1319</v>
      </c>
      <c r="H12" s="202" t="s">
        <v>1320</v>
      </c>
      <c r="I12" s="202" t="s">
        <v>1359</v>
      </c>
      <c r="J12" s="193" t="s">
        <v>1322</v>
      </c>
      <c r="K12" s="204">
        <v>600</v>
      </c>
      <c r="L12" s="202"/>
      <c r="M12" s="205" t="s">
        <v>707</v>
      </c>
      <c r="N12" s="212" t="s">
        <v>1323</v>
      </c>
      <c r="O12" s="231" t="s">
        <v>1324</v>
      </c>
      <c r="P12" s="209" t="s">
        <v>1325</v>
      </c>
    </row>
    <row r="13" spans="1:17" ht="39">
      <c r="A13" s="201" t="s">
        <v>1360</v>
      </c>
      <c r="B13" s="201">
        <f t="shared" si="0"/>
        <v>10</v>
      </c>
      <c r="C13" s="202" t="s">
        <v>1361</v>
      </c>
      <c r="D13" s="208" t="s">
        <v>869</v>
      </c>
      <c r="E13" s="225" t="s">
        <v>870</v>
      </c>
      <c r="F13" s="202"/>
      <c r="G13" s="202" t="s">
        <v>1351</v>
      </c>
      <c r="H13" s="202" t="s">
        <v>1320</v>
      </c>
      <c r="I13" s="202" t="s">
        <v>1362</v>
      </c>
      <c r="J13" s="193" t="s">
        <v>1322</v>
      </c>
      <c r="K13" s="204">
        <v>16000</v>
      </c>
      <c r="L13" s="202"/>
      <c r="M13" s="205" t="s">
        <v>707</v>
      </c>
      <c r="N13" s="212" t="s">
        <v>1347</v>
      </c>
      <c r="O13" s="230" t="s">
        <v>1348</v>
      </c>
      <c r="P13" s="209" t="s">
        <v>1325</v>
      </c>
    </row>
    <row r="14" spans="1:17">
      <c r="A14" s="192" t="s">
        <v>1363</v>
      </c>
      <c r="B14" s="201">
        <f t="shared" si="0"/>
        <v>11</v>
      </c>
      <c r="C14" s="202" t="s">
        <v>1364</v>
      </c>
      <c r="D14" s="208" t="s">
        <v>1224</v>
      </c>
      <c r="E14" s="225" t="s">
        <v>1225</v>
      </c>
      <c r="F14" s="202"/>
      <c r="G14" s="190" t="s">
        <v>1319</v>
      </c>
      <c r="H14" s="202" t="s">
        <v>1320</v>
      </c>
      <c r="I14" s="202" t="s">
        <v>1365</v>
      </c>
      <c r="J14" s="193" t="s">
        <v>1322</v>
      </c>
      <c r="K14" s="204">
        <v>600</v>
      </c>
      <c r="L14" s="202"/>
      <c r="M14" s="205" t="s">
        <v>707</v>
      </c>
      <c r="N14" s="212" t="s">
        <v>1347</v>
      </c>
      <c r="O14" s="230" t="s">
        <v>1348</v>
      </c>
      <c r="P14" s="209" t="s">
        <v>1325</v>
      </c>
    </row>
    <row r="15" spans="1:17">
      <c r="A15" s="192" t="s">
        <v>1366</v>
      </c>
      <c r="B15" s="201">
        <f t="shared" si="0"/>
        <v>12</v>
      </c>
      <c r="C15" s="202" t="s">
        <v>1367</v>
      </c>
      <c r="D15" s="208" t="s">
        <v>1224</v>
      </c>
      <c r="E15" s="225" t="s">
        <v>1225</v>
      </c>
      <c r="F15" s="202"/>
      <c r="G15" s="190" t="s">
        <v>1319</v>
      </c>
      <c r="H15" s="202" t="s">
        <v>1320</v>
      </c>
      <c r="I15" s="202" t="s">
        <v>1368</v>
      </c>
      <c r="J15" s="193" t="s">
        <v>1322</v>
      </c>
      <c r="K15" s="204">
        <v>1000</v>
      </c>
      <c r="L15" s="202"/>
      <c r="M15" s="205" t="s">
        <v>707</v>
      </c>
      <c r="N15" s="212" t="s">
        <v>1323</v>
      </c>
      <c r="O15" s="231" t="s">
        <v>1324</v>
      </c>
      <c r="P15" s="209" t="s">
        <v>1325</v>
      </c>
    </row>
    <row r="16" spans="1:17">
      <c r="A16" s="192" t="s">
        <v>1369</v>
      </c>
      <c r="B16" s="201">
        <f t="shared" si="0"/>
        <v>13</v>
      </c>
      <c r="C16" s="202" t="s">
        <v>2021</v>
      </c>
      <c r="D16" s="208" t="s">
        <v>1224</v>
      </c>
      <c r="E16" s="225" t="s">
        <v>1225</v>
      </c>
      <c r="F16" s="209"/>
      <c r="G16" s="190" t="s">
        <v>1319</v>
      </c>
      <c r="H16" s="202" t="s">
        <v>1320</v>
      </c>
      <c r="I16" s="202" t="s">
        <v>1370</v>
      </c>
      <c r="J16" s="193" t="s">
        <v>1322</v>
      </c>
      <c r="K16" s="204">
        <v>100</v>
      </c>
      <c r="L16" s="209"/>
      <c r="M16" s="205" t="s">
        <v>707</v>
      </c>
      <c r="N16" s="212" t="s">
        <v>1323</v>
      </c>
      <c r="O16" s="231" t="s">
        <v>1324</v>
      </c>
      <c r="P16" s="209" t="s">
        <v>1325</v>
      </c>
    </row>
    <row r="17" spans="1:17" ht="39">
      <c r="A17" s="201" t="s">
        <v>1371</v>
      </c>
      <c r="B17" s="201">
        <f t="shared" si="0"/>
        <v>14</v>
      </c>
      <c r="C17" s="202" t="s">
        <v>1372</v>
      </c>
      <c r="D17" s="208" t="s">
        <v>869</v>
      </c>
      <c r="E17" s="225" t="s">
        <v>870</v>
      </c>
      <c r="F17" s="209"/>
      <c r="G17" s="202" t="s">
        <v>1351</v>
      </c>
      <c r="H17" s="202" t="s">
        <v>1320</v>
      </c>
      <c r="I17" s="202" t="s">
        <v>1373</v>
      </c>
      <c r="J17" s="193" t="s">
        <v>1322</v>
      </c>
      <c r="K17" s="204">
        <v>1000</v>
      </c>
      <c r="L17" s="209"/>
      <c r="M17" s="205" t="s">
        <v>707</v>
      </c>
      <c r="N17" s="212" t="s">
        <v>1353</v>
      </c>
      <c r="O17" s="230" t="s">
        <v>1354</v>
      </c>
      <c r="P17" s="209" t="s">
        <v>1325</v>
      </c>
    </row>
    <row r="18" spans="1:17">
      <c r="A18" s="192" t="s">
        <v>1374</v>
      </c>
      <c r="B18" s="201">
        <f t="shared" si="0"/>
        <v>15</v>
      </c>
      <c r="C18" s="202" t="s">
        <v>1375</v>
      </c>
      <c r="D18" s="208" t="s">
        <v>1224</v>
      </c>
      <c r="E18" s="225" t="s">
        <v>1225</v>
      </c>
      <c r="F18" s="209"/>
      <c r="G18" s="190" t="s">
        <v>1319</v>
      </c>
      <c r="H18" s="202" t="s">
        <v>1320</v>
      </c>
      <c r="I18" s="202" t="s">
        <v>1373</v>
      </c>
      <c r="J18" s="193" t="s">
        <v>1322</v>
      </c>
      <c r="K18" s="213">
        <v>1500</v>
      </c>
      <c r="L18" s="209"/>
      <c r="M18" s="205" t="s">
        <v>707</v>
      </c>
      <c r="N18" s="212" t="s">
        <v>1347</v>
      </c>
      <c r="O18" s="230" t="s">
        <v>1348</v>
      </c>
      <c r="P18" s="209" t="s">
        <v>1325</v>
      </c>
    </row>
    <row r="19" spans="1:17">
      <c r="A19" s="192" t="s">
        <v>1376</v>
      </c>
      <c r="B19" s="201">
        <f t="shared" si="0"/>
        <v>16</v>
      </c>
      <c r="C19" s="202" t="s">
        <v>1377</v>
      </c>
      <c r="D19" s="208" t="s">
        <v>1224</v>
      </c>
      <c r="E19" s="225" t="s">
        <v>1225</v>
      </c>
      <c r="F19" s="209"/>
      <c r="G19" s="190" t="s">
        <v>1319</v>
      </c>
      <c r="H19" s="202" t="s">
        <v>1320</v>
      </c>
      <c r="I19" s="202" t="s">
        <v>1378</v>
      </c>
      <c r="J19" s="193" t="s">
        <v>1322</v>
      </c>
      <c r="K19" s="204">
        <v>500</v>
      </c>
      <c r="L19" s="209"/>
      <c r="M19" s="205" t="s">
        <v>707</v>
      </c>
      <c r="N19" s="212" t="s">
        <v>1323</v>
      </c>
      <c r="O19" s="231" t="s">
        <v>1324</v>
      </c>
      <c r="P19" s="209" t="s">
        <v>1325</v>
      </c>
    </row>
    <row r="20" spans="1:17">
      <c r="A20" s="192" t="s">
        <v>1379</v>
      </c>
      <c r="B20" s="201">
        <f t="shared" si="0"/>
        <v>17</v>
      </c>
      <c r="C20" s="202" t="s">
        <v>1380</v>
      </c>
      <c r="D20" s="208" t="s">
        <v>1224</v>
      </c>
      <c r="E20" s="225" t="s">
        <v>1225</v>
      </c>
      <c r="F20" s="209"/>
      <c r="G20" s="190" t="s">
        <v>1319</v>
      </c>
      <c r="H20" s="202" t="s">
        <v>1320</v>
      </c>
      <c r="I20" s="202" t="s">
        <v>1381</v>
      </c>
      <c r="J20" s="193" t="s">
        <v>1322</v>
      </c>
      <c r="K20" s="204">
        <v>500</v>
      </c>
      <c r="L20" s="209"/>
      <c r="M20" s="205" t="s">
        <v>707</v>
      </c>
      <c r="N20" s="212" t="s">
        <v>1323</v>
      </c>
      <c r="O20" s="231" t="s">
        <v>1324</v>
      </c>
      <c r="P20" s="209" t="s">
        <v>1325</v>
      </c>
    </row>
    <row r="21" spans="1:17">
      <c r="A21" s="192" t="s">
        <v>1382</v>
      </c>
      <c r="B21" s="201">
        <f t="shared" si="0"/>
        <v>18</v>
      </c>
      <c r="C21" s="202" t="s">
        <v>1383</v>
      </c>
      <c r="D21" s="208" t="s">
        <v>1224</v>
      </c>
      <c r="E21" s="225" t="s">
        <v>1225</v>
      </c>
      <c r="F21" s="209"/>
      <c r="G21" s="190" t="s">
        <v>1319</v>
      </c>
      <c r="H21" s="202" t="s">
        <v>1320</v>
      </c>
      <c r="I21" s="202" t="s">
        <v>1384</v>
      </c>
      <c r="J21" s="193" t="s">
        <v>1322</v>
      </c>
      <c r="K21" s="204">
        <v>2500</v>
      </c>
      <c r="L21" s="209"/>
      <c r="M21" s="205" t="s">
        <v>707</v>
      </c>
      <c r="N21" s="212" t="s">
        <v>1323</v>
      </c>
      <c r="O21" s="231" t="s">
        <v>1324</v>
      </c>
      <c r="P21" s="209" t="s">
        <v>1325</v>
      </c>
    </row>
    <row r="22" spans="1:17">
      <c r="A22" s="192" t="s">
        <v>1385</v>
      </c>
      <c r="B22" s="201">
        <f t="shared" si="0"/>
        <v>19</v>
      </c>
      <c r="C22" s="202" t="s">
        <v>1386</v>
      </c>
      <c r="D22" s="208" t="s">
        <v>1224</v>
      </c>
      <c r="E22" s="225" t="s">
        <v>1225</v>
      </c>
      <c r="F22" s="209"/>
      <c r="G22" s="190" t="s">
        <v>1319</v>
      </c>
      <c r="H22" s="202" t="s">
        <v>1320</v>
      </c>
      <c r="I22" s="202" t="s">
        <v>1384</v>
      </c>
      <c r="J22" s="193" t="s">
        <v>1322</v>
      </c>
      <c r="K22" s="204">
        <v>1000</v>
      </c>
      <c r="L22" s="209"/>
      <c r="M22" s="205" t="s">
        <v>707</v>
      </c>
      <c r="N22" s="212" t="s">
        <v>1323</v>
      </c>
      <c r="O22" s="231" t="s">
        <v>1324</v>
      </c>
      <c r="P22" s="209" t="s">
        <v>1325</v>
      </c>
    </row>
    <row r="23" spans="1:17">
      <c r="A23" s="201" t="s">
        <v>1387</v>
      </c>
      <c r="B23" s="201">
        <f t="shared" si="0"/>
        <v>20</v>
      </c>
      <c r="C23" s="202" t="s">
        <v>1388</v>
      </c>
      <c r="D23" s="208" t="s">
        <v>1122</v>
      </c>
      <c r="E23" s="225" t="s">
        <v>1123</v>
      </c>
      <c r="F23" s="209"/>
      <c r="G23" s="202" t="s">
        <v>1389</v>
      </c>
      <c r="H23" s="202" t="s">
        <v>1320</v>
      </c>
      <c r="I23" s="202" t="s">
        <v>1321</v>
      </c>
      <c r="J23" s="193" t="s">
        <v>1345</v>
      </c>
      <c r="K23" s="204">
        <v>3000</v>
      </c>
      <c r="L23" s="209"/>
      <c r="M23" s="205" t="s">
        <v>707</v>
      </c>
      <c r="N23" s="212" t="s">
        <v>1353</v>
      </c>
      <c r="O23" s="230" t="s">
        <v>1354</v>
      </c>
      <c r="P23" s="209" t="s">
        <v>1325</v>
      </c>
    </row>
    <row r="24" spans="1:17">
      <c r="A24" s="192" t="s">
        <v>1390</v>
      </c>
      <c r="B24" s="201">
        <f t="shared" si="0"/>
        <v>21</v>
      </c>
      <c r="C24" s="202" t="s">
        <v>1391</v>
      </c>
      <c r="D24" s="208" t="s">
        <v>1224</v>
      </c>
      <c r="E24" s="225" t="s">
        <v>1225</v>
      </c>
      <c r="F24" s="202"/>
      <c r="G24" s="190" t="s">
        <v>1319</v>
      </c>
      <c r="H24" s="202" t="s">
        <v>1320</v>
      </c>
      <c r="I24" s="202" t="s">
        <v>1334</v>
      </c>
      <c r="J24" s="193" t="s">
        <v>1322</v>
      </c>
      <c r="K24" s="204">
        <v>3630</v>
      </c>
      <c r="L24" s="202"/>
      <c r="M24" s="205" t="s">
        <v>707</v>
      </c>
      <c r="N24" s="212" t="s">
        <v>1323</v>
      </c>
      <c r="O24" s="231" t="s">
        <v>1324</v>
      </c>
      <c r="P24" s="209" t="s">
        <v>1325</v>
      </c>
    </row>
    <row r="25" spans="1:17">
      <c r="A25" s="201" t="s">
        <v>1392</v>
      </c>
      <c r="B25" s="201">
        <f t="shared" si="0"/>
        <v>22</v>
      </c>
      <c r="C25" s="202" t="s">
        <v>1393</v>
      </c>
      <c r="D25" s="208" t="s">
        <v>1113</v>
      </c>
      <c r="E25" s="225" t="s">
        <v>1114</v>
      </c>
      <c r="F25" s="202"/>
      <c r="G25" s="202" t="s">
        <v>1389</v>
      </c>
      <c r="H25" s="202" t="s">
        <v>1320</v>
      </c>
      <c r="I25" s="202" t="s">
        <v>1340</v>
      </c>
      <c r="J25" s="193" t="s">
        <v>1394</v>
      </c>
      <c r="K25" s="204">
        <v>500</v>
      </c>
      <c r="L25" s="202"/>
      <c r="M25" s="205" t="s">
        <v>707</v>
      </c>
      <c r="N25" s="212" t="s">
        <v>1395</v>
      </c>
      <c r="O25" s="231" t="s">
        <v>1396</v>
      </c>
      <c r="P25" s="209" t="s">
        <v>1325</v>
      </c>
      <c r="Q25" s="188"/>
    </row>
    <row r="26" spans="1:17">
      <c r="A26" s="192" t="s">
        <v>1397</v>
      </c>
      <c r="B26" s="201">
        <f t="shared" si="0"/>
        <v>23</v>
      </c>
      <c r="C26" s="202" t="s">
        <v>1398</v>
      </c>
      <c r="D26" s="208" t="s">
        <v>1200</v>
      </c>
      <c r="E26" s="225" t="s">
        <v>1201</v>
      </c>
      <c r="F26" s="202"/>
      <c r="G26" s="190" t="s">
        <v>1319</v>
      </c>
      <c r="H26" s="202" t="s">
        <v>1320</v>
      </c>
      <c r="I26" s="202" t="s">
        <v>1340</v>
      </c>
      <c r="J26" s="193" t="s">
        <v>1399</v>
      </c>
      <c r="K26" s="213">
        <v>18000</v>
      </c>
      <c r="L26" s="202"/>
      <c r="M26" s="205" t="s">
        <v>707</v>
      </c>
      <c r="N26" s="212" t="s">
        <v>1347</v>
      </c>
      <c r="O26" s="230" t="s">
        <v>1348</v>
      </c>
      <c r="P26" s="209" t="s">
        <v>1325</v>
      </c>
    </row>
    <row r="27" spans="1:17" ht="26">
      <c r="A27" s="192" t="s">
        <v>1400</v>
      </c>
      <c r="B27" s="201">
        <f t="shared" si="0"/>
        <v>24</v>
      </c>
      <c r="C27" s="202" t="s">
        <v>1401</v>
      </c>
      <c r="D27" s="208" t="s">
        <v>1259</v>
      </c>
      <c r="E27" s="225" t="s">
        <v>1260</v>
      </c>
      <c r="F27" s="202"/>
      <c r="G27" s="190" t="s">
        <v>1319</v>
      </c>
      <c r="H27" s="202" t="s">
        <v>1320</v>
      </c>
      <c r="I27" s="202" t="s">
        <v>1402</v>
      </c>
      <c r="J27" s="193" t="s">
        <v>1399</v>
      </c>
      <c r="K27" s="204">
        <v>1500</v>
      </c>
      <c r="L27" s="202"/>
      <c r="M27" s="205" t="s">
        <v>1403</v>
      </c>
      <c r="N27" s="214" t="s">
        <v>1395</v>
      </c>
      <c r="O27" s="232" t="s">
        <v>1396</v>
      </c>
      <c r="P27" s="209" t="s">
        <v>1325</v>
      </c>
    </row>
    <row r="28" spans="1:17" ht="26">
      <c r="A28" s="192" t="s">
        <v>1404</v>
      </c>
      <c r="B28" s="201">
        <f t="shared" si="0"/>
        <v>25</v>
      </c>
      <c r="C28" s="202" t="s">
        <v>1405</v>
      </c>
      <c r="D28" s="208" t="s">
        <v>1259</v>
      </c>
      <c r="E28" s="225" t="s">
        <v>1260</v>
      </c>
      <c r="F28" s="202"/>
      <c r="G28" s="190" t="s">
        <v>1319</v>
      </c>
      <c r="H28" s="202" t="s">
        <v>1320</v>
      </c>
      <c r="I28" s="202" t="s">
        <v>1402</v>
      </c>
      <c r="J28" s="193" t="s">
        <v>1399</v>
      </c>
      <c r="K28" s="204">
        <v>500</v>
      </c>
      <c r="L28" s="202"/>
      <c r="M28" s="205" t="s">
        <v>707</v>
      </c>
      <c r="N28" s="214" t="s">
        <v>1395</v>
      </c>
      <c r="O28" s="232" t="s">
        <v>1396</v>
      </c>
      <c r="P28" s="209" t="s">
        <v>1325</v>
      </c>
    </row>
    <row r="29" spans="1:17" ht="39">
      <c r="A29" s="201" t="s">
        <v>1406</v>
      </c>
      <c r="B29" s="201">
        <f t="shared" si="0"/>
        <v>26</v>
      </c>
      <c r="C29" s="202" t="s">
        <v>1407</v>
      </c>
      <c r="D29" s="208" t="s">
        <v>869</v>
      </c>
      <c r="E29" s="225" t="s">
        <v>870</v>
      </c>
      <c r="F29" s="202"/>
      <c r="G29" s="202" t="s">
        <v>1351</v>
      </c>
      <c r="H29" s="202" t="s">
        <v>1320</v>
      </c>
      <c r="I29" s="202" t="s">
        <v>1402</v>
      </c>
      <c r="J29" s="193" t="s">
        <v>1322</v>
      </c>
      <c r="K29" s="204">
        <v>3500</v>
      </c>
      <c r="L29" s="202"/>
      <c r="M29" s="205" t="s">
        <v>707</v>
      </c>
      <c r="N29" s="212" t="s">
        <v>1323</v>
      </c>
      <c r="O29" s="231" t="s">
        <v>1324</v>
      </c>
      <c r="P29" s="209" t="s">
        <v>1325</v>
      </c>
    </row>
    <row r="30" spans="1:17">
      <c r="A30" s="192" t="s">
        <v>1408</v>
      </c>
      <c r="B30" s="201">
        <f t="shared" si="0"/>
        <v>27</v>
      </c>
      <c r="C30" s="202" t="s">
        <v>1409</v>
      </c>
      <c r="D30" s="208" t="s">
        <v>1224</v>
      </c>
      <c r="E30" s="225" t="s">
        <v>1225</v>
      </c>
      <c r="F30" s="202"/>
      <c r="G30" s="190" t="s">
        <v>1319</v>
      </c>
      <c r="H30" s="202" t="s">
        <v>1320</v>
      </c>
      <c r="I30" s="202" t="s">
        <v>1410</v>
      </c>
      <c r="J30" s="193" t="s">
        <v>1322</v>
      </c>
      <c r="K30" s="213">
        <v>6000</v>
      </c>
      <c r="L30" s="202"/>
      <c r="M30" s="205" t="s">
        <v>707</v>
      </c>
      <c r="N30" s="215" t="s">
        <v>1347</v>
      </c>
      <c r="O30" s="230" t="s">
        <v>1348</v>
      </c>
      <c r="P30" s="209" t="s">
        <v>1325</v>
      </c>
    </row>
    <row r="31" spans="1:17">
      <c r="A31" s="192" t="s">
        <v>1411</v>
      </c>
      <c r="B31" s="201">
        <f t="shared" si="0"/>
        <v>28</v>
      </c>
      <c r="C31" s="202" t="s">
        <v>1412</v>
      </c>
      <c r="D31" s="208" t="s">
        <v>1224</v>
      </c>
      <c r="E31" s="225" t="s">
        <v>1225</v>
      </c>
      <c r="F31" s="202"/>
      <c r="G31" s="190" t="s">
        <v>1319</v>
      </c>
      <c r="H31" s="202" t="s">
        <v>1320</v>
      </c>
      <c r="I31" s="202" t="s">
        <v>1413</v>
      </c>
      <c r="J31" s="193" t="s">
        <v>1322</v>
      </c>
      <c r="K31" s="204">
        <v>900</v>
      </c>
      <c r="L31" s="202"/>
      <c r="M31" s="205" t="s">
        <v>707</v>
      </c>
      <c r="N31" s="215" t="s">
        <v>1323</v>
      </c>
      <c r="O31" s="233" t="s">
        <v>1324</v>
      </c>
      <c r="P31" s="209" t="s">
        <v>1325</v>
      </c>
    </row>
    <row r="32" spans="1:17" ht="26">
      <c r="A32" s="201" t="s">
        <v>1414</v>
      </c>
      <c r="B32" s="201">
        <f t="shared" si="0"/>
        <v>29</v>
      </c>
      <c r="C32" s="209" t="s">
        <v>1415</v>
      </c>
      <c r="D32" s="208" t="s">
        <v>499</v>
      </c>
      <c r="E32" s="225" t="s">
        <v>500</v>
      </c>
      <c r="F32" s="202"/>
      <c r="G32" s="202" t="s">
        <v>1339</v>
      </c>
      <c r="H32" s="202" t="s">
        <v>1320</v>
      </c>
      <c r="I32" s="202" t="s">
        <v>1340</v>
      </c>
      <c r="J32" s="193" t="s">
        <v>1416</v>
      </c>
      <c r="K32" s="213">
        <v>14000</v>
      </c>
      <c r="L32" s="202"/>
      <c r="M32" s="190" t="s">
        <v>707</v>
      </c>
      <c r="N32" s="193" t="s">
        <v>1347</v>
      </c>
      <c r="O32" s="230" t="s">
        <v>1348</v>
      </c>
      <c r="P32" s="209" t="s">
        <v>131</v>
      </c>
    </row>
    <row r="33" spans="1:16" ht="26">
      <c r="A33" s="201" t="s">
        <v>1417</v>
      </c>
      <c r="B33" s="201">
        <f t="shared" si="0"/>
        <v>30</v>
      </c>
      <c r="C33" s="202" t="s">
        <v>1418</v>
      </c>
      <c r="D33" s="208" t="s">
        <v>397</v>
      </c>
      <c r="E33" s="225" t="s">
        <v>398</v>
      </c>
      <c r="F33" s="202"/>
      <c r="G33" s="202" t="s">
        <v>1419</v>
      </c>
      <c r="H33" s="202" t="s">
        <v>1320</v>
      </c>
      <c r="I33" s="202" t="s">
        <v>1340</v>
      </c>
      <c r="J33" s="193" t="s">
        <v>1416</v>
      </c>
      <c r="K33" s="204">
        <v>6500</v>
      </c>
      <c r="L33" s="202"/>
      <c r="M33" s="216" t="s">
        <v>1420</v>
      </c>
      <c r="N33" s="209" t="s">
        <v>1347</v>
      </c>
      <c r="O33" s="230" t="s">
        <v>1348</v>
      </c>
      <c r="P33" s="209" t="s">
        <v>1325</v>
      </c>
    </row>
    <row r="34" spans="1:16" ht="26">
      <c r="A34" s="201" t="s">
        <v>1421</v>
      </c>
      <c r="B34" s="201">
        <f t="shared" si="0"/>
        <v>31</v>
      </c>
      <c r="C34" s="202" t="s">
        <v>1422</v>
      </c>
      <c r="D34" s="208" t="s">
        <v>512</v>
      </c>
      <c r="E34" s="225" t="s">
        <v>1423</v>
      </c>
      <c r="F34" s="202"/>
      <c r="G34" s="202" t="s">
        <v>1339</v>
      </c>
      <c r="H34" s="202" t="s">
        <v>1320</v>
      </c>
      <c r="I34" s="202" t="s">
        <v>1340</v>
      </c>
      <c r="J34" s="193" t="s">
        <v>1416</v>
      </c>
      <c r="K34" s="213">
        <v>6000</v>
      </c>
      <c r="L34" s="202"/>
      <c r="M34" s="205" t="s">
        <v>1424</v>
      </c>
      <c r="N34" s="212" t="s">
        <v>1347</v>
      </c>
      <c r="O34" s="230" t="s">
        <v>1348</v>
      </c>
      <c r="P34" s="209" t="s">
        <v>131</v>
      </c>
    </row>
    <row r="35" spans="1:16" ht="26">
      <c r="A35" s="201" t="s">
        <v>1425</v>
      </c>
      <c r="B35" s="201">
        <f t="shared" si="0"/>
        <v>32</v>
      </c>
      <c r="C35" s="202" t="s">
        <v>1426</v>
      </c>
      <c r="D35" s="208" t="s">
        <v>478</v>
      </c>
      <c r="E35" s="225" t="s">
        <v>479</v>
      </c>
      <c r="F35" s="202"/>
      <c r="G35" s="202" t="s">
        <v>1339</v>
      </c>
      <c r="H35" s="202" t="s">
        <v>1320</v>
      </c>
      <c r="I35" s="202" t="s">
        <v>1340</v>
      </c>
      <c r="J35" s="193" t="s">
        <v>1416</v>
      </c>
      <c r="K35" s="213">
        <v>3000</v>
      </c>
      <c r="L35" s="202"/>
      <c r="M35" s="209" t="s">
        <v>1427</v>
      </c>
      <c r="N35" s="209" t="s">
        <v>1347</v>
      </c>
      <c r="O35" s="230" t="s">
        <v>1348</v>
      </c>
      <c r="P35" s="209" t="s">
        <v>1325</v>
      </c>
    </row>
    <row r="36" spans="1:16" ht="26">
      <c r="A36" s="201" t="s">
        <v>1428</v>
      </c>
      <c r="B36" s="201">
        <f t="shared" si="0"/>
        <v>33</v>
      </c>
      <c r="C36" s="209" t="s">
        <v>1429</v>
      </c>
      <c r="D36" s="208" t="s">
        <v>499</v>
      </c>
      <c r="E36" s="225" t="s">
        <v>500</v>
      </c>
      <c r="F36" s="202"/>
      <c r="G36" s="202" t="s">
        <v>1339</v>
      </c>
      <c r="H36" s="202" t="s">
        <v>1320</v>
      </c>
      <c r="I36" s="202" t="s">
        <v>1340</v>
      </c>
      <c r="J36" s="193" t="s">
        <v>1416</v>
      </c>
      <c r="K36" s="213">
        <v>12000</v>
      </c>
      <c r="L36" s="202"/>
      <c r="M36" s="205" t="s">
        <v>1430</v>
      </c>
      <c r="N36" s="212" t="s">
        <v>1347</v>
      </c>
      <c r="O36" s="230" t="s">
        <v>1348</v>
      </c>
      <c r="P36" s="209" t="s">
        <v>1325</v>
      </c>
    </row>
    <row r="37" spans="1:16" ht="26">
      <c r="A37" s="201" t="s">
        <v>1431</v>
      </c>
      <c r="B37" s="201">
        <f t="shared" ref="B37:B68" si="1">B36+1</f>
        <v>34</v>
      </c>
      <c r="C37" s="209" t="s">
        <v>1432</v>
      </c>
      <c r="D37" s="208" t="s">
        <v>499</v>
      </c>
      <c r="E37" s="225" t="s">
        <v>500</v>
      </c>
      <c r="F37" s="202"/>
      <c r="G37" s="202" t="s">
        <v>1339</v>
      </c>
      <c r="H37" s="202" t="s">
        <v>1320</v>
      </c>
      <c r="I37" s="202" t="s">
        <v>1340</v>
      </c>
      <c r="J37" s="193" t="s">
        <v>1416</v>
      </c>
      <c r="K37" s="204">
        <v>3200</v>
      </c>
      <c r="L37" s="202"/>
      <c r="M37" s="205" t="s">
        <v>1433</v>
      </c>
      <c r="N37" s="212" t="s">
        <v>1434</v>
      </c>
      <c r="O37" s="230" t="s">
        <v>1348</v>
      </c>
      <c r="P37" s="209" t="s">
        <v>1325</v>
      </c>
    </row>
    <row r="38" spans="1:16" ht="26">
      <c r="A38" s="201" t="s">
        <v>1435</v>
      </c>
      <c r="B38" s="201">
        <f t="shared" si="1"/>
        <v>35</v>
      </c>
      <c r="C38" s="202" t="s">
        <v>1436</v>
      </c>
      <c r="D38" s="208" t="s">
        <v>499</v>
      </c>
      <c r="E38" s="225" t="s">
        <v>500</v>
      </c>
      <c r="F38" s="202"/>
      <c r="G38" s="202" t="s">
        <v>1339</v>
      </c>
      <c r="H38" s="202" t="s">
        <v>1320</v>
      </c>
      <c r="I38" s="202" t="s">
        <v>1340</v>
      </c>
      <c r="J38" s="193" t="s">
        <v>1416</v>
      </c>
      <c r="K38" s="204">
        <v>3627.58</v>
      </c>
      <c r="L38" s="202"/>
      <c r="M38" s="205" t="s">
        <v>1437</v>
      </c>
      <c r="N38" s="212" t="s">
        <v>1434</v>
      </c>
      <c r="O38" s="230" t="s">
        <v>1348</v>
      </c>
      <c r="P38" s="209" t="s">
        <v>1325</v>
      </c>
    </row>
    <row r="39" spans="1:16" ht="26">
      <c r="A39" s="201" t="s">
        <v>1438</v>
      </c>
      <c r="B39" s="201">
        <f t="shared" si="1"/>
        <v>36</v>
      </c>
      <c r="C39" s="202" t="s">
        <v>1439</v>
      </c>
      <c r="D39" s="201" t="s">
        <v>45</v>
      </c>
      <c r="E39" s="226" t="s">
        <v>46</v>
      </c>
      <c r="F39" s="202"/>
      <c r="G39" s="202" t="s">
        <v>1344</v>
      </c>
      <c r="H39" s="202" t="s">
        <v>1320</v>
      </c>
      <c r="I39" s="202" t="s">
        <v>1340</v>
      </c>
      <c r="J39" s="193" t="s">
        <v>1440</v>
      </c>
      <c r="K39" s="213">
        <v>8000</v>
      </c>
      <c r="L39" s="202"/>
      <c r="M39" s="209" t="s">
        <v>707</v>
      </c>
      <c r="N39" s="212" t="s">
        <v>1347</v>
      </c>
      <c r="O39" s="230" t="s">
        <v>1348</v>
      </c>
      <c r="P39" s="209" t="s">
        <v>1325</v>
      </c>
    </row>
    <row r="40" spans="1:16" ht="26">
      <c r="A40" s="201" t="s">
        <v>1441</v>
      </c>
      <c r="B40" s="201">
        <f t="shared" si="1"/>
        <v>37</v>
      </c>
      <c r="C40" s="202" t="s">
        <v>1442</v>
      </c>
      <c r="D40" s="221" t="s">
        <v>624</v>
      </c>
      <c r="E40" s="227" t="s">
        <v>625</v>
      </c>
      <c r="F40" s="202"/>
      <c r="G40" s="202" t="s">
        <v>1443</v>
      </c>
      <c r="H40" s="202" t="s">
        <v>1320</v>
      </c>
      <c r="I40" s="202" t="s">
        <v>1402</v>
      </c>
      <c r="J40" s="193" t="s">
        <v>1345</v>
      </c>
      <c r="K40" s="204">
        <v>3600</v>
      </c>
      <c r="L40" s="202"/>
      <c r="M40" s="205" t="s">
        <v>707</v>
      </c>
      <c r="N40" s="209" t="s">
        <v>1434</v>
      </c>
      <c r="O40" s="230" t="s">
        <v>1348</v>
      </c>
      <c r="P40" s="209" t="s">
        <v>131</v>
      </c>
    </row>
    <row r="41" spans="1:16" ht="26">
      <c r="A41" s="201" t="s">
        <v>1444</v>
      </c>
      <c r="B41" s="201">
        <f t="shared" si="1"/>
        <v>38</v>
      </c>
      <c r="C41" s="202" t="s">
        <v>1445</v>
      </c>
      <c r="D41" s="201" t="s">
        <v>601</v>
      </c>
      <c r="E41" s="226" t="s">
        <v>602</v>
      </c>
      <c r="F41" s="202"/>
      <c r="G41" s="202" t="s">
        <v>1443</v>
      </c>
      <c r="H41" s="202" t="s">
        <v>1320</v>
      </c>
      <c r="I41" s="202" t="s">
        <v>1402</v>
      </c>
      <c r="J41" s="193" t="s">
        <v>1446</v>
      </c>
      <c r="K41" s="213">
        <v>6300</v>
      </c>
      <c r="L41" s="202"/>
      <c r="M41" s="205" t="s">
        <v>707</v>
      </c>
      <c r="N41" s="212" t="s">
        <v>1347</v>
      </c>
      <c r="O41" s="230" t="s">
        <v>1348</v>
      </c>
      <c r="P41" s="209" t="s">
        <v>1325</v>
      </c>
    </row>
    <row r="42" spans="1:16" ht="39">
      <c r="A42" s="201" t="s">
        <v>1447</v>
      </c>
      <c r="B42" s="201">
        <f t="shared" si="1"/>
        <v>39</v>
      </c>
      <c r="C42" s="202" t="s">
        <v>1448</v>
      </c>
      <c r="D42" s="208" t="s">
        <v>89</v>
      </c>
      <c r="E42" s="225" t="s">
        <v>90</v>
      </c>
      <c r="F42" s="202"/>
      <c r="G42" s="202" t="s">
        <v>1344</v>
      </c>
      <c r="H42" s="202" t="s">
        <v>1320</v>
      </c>
      <c r="I42" s="202" t="s">
        <v>1402</v>
      </c>
      <c r="J42" s="193" t="s">
        <v>1449</v>
      </c>
      <c r="K42" s="213">
        <v>18150</v>
      </c>
      <c r="L42" s="202"/>
      <c r="M42" s="205" t="s">
        <v>1450</v>
      </c>
      <c r="N42" s="209" t="s">
        <v>1347</v>
      </c>
      <c r="O42" s="230" t="s">
        <v>1348</v>
      </c>
      <c r="P42" s="209" t="s">
        <v>131</v>
      </c>
    </row>
    <row r="43" spans="1:16" ht="39">
      <c r="A43" s="201" t="s">
        <v>1451</v>
      </c>
      <c r="B43" s="201">
        <f t="shared" si="1"/>
        <v>40</v>
      </c>
      <c r="C43" s="202" t="s">
        <v>1452</v>
      </c>
      <c r="D43" s="208" t="s">
        <v>869</v>
      </c>
      <c r="E43" s="225" t="s">
        <v>870</v>
      </c>
      <c r="F43" s="202"/>
      <c r="G43" s="202" t="s">
        <v>1351</v>
      </c>
      <c r="H43" s="202" t="s">
        <v>1320</v>
      </c>
      <c r="I43" s="202" t="s">
        <v>1410</v>
      </c>
      <c r="J43" s="193" t="s">
        <v>1322</v>
      </c>
      <c r="K43" s="204">
        <f>2800*2</f>
        <v>5600</v>
      </c>
      <c r="L43" s="202"/>
      <c r="M43" s="205" t="s">
        <v>1453</v>
      </c>
      <c r="N43" s="209" t="s">
        <v>1434</v>
      </c>
      <c r="O43" s="230" t="s">
        <v>1348</v>
      </c>
      <c r="P43" s="209" t="s">
        <v>131</v>
      </c>
    </row>
    <row r="44" spans="1:16" ht="26">
      <c r="A44" s="201" t="s">
        <v>1454</v>
      </c>
      <c r="B44" s="201">
        <f t="shared" si="1"/>
        <v>41</v>
      </c>
      <c r="C44" s="207" t="s">
        <v>1455</v>
      </c>
      <c r="D44" s="208" t="s">
        <v>186</v>
      </c>
      <c r="E44" s="225" t="s">
        <v>187</v>
      </c>
      <c r="F44" s="202"/>
      <c r="G44" s="202" t="s">
        <v>1344</v>
      </c>
      <c r="H44" s="202" t="s">
        <v>1320</v>
      </c>
      <c r="I44" s="202" t="s">
        <v>1357</v>
      </c>
      <c r="J44" s="193" t="s">
        <v>1456</v>
      </c>
      <c r="K44" s="210">
        <v>18000</v>
      </c>
      <c r="L44" s="202"/>
      <c r="M44" s="217" t="s">
        <v>707</v>
      </c>
      <c r="N44" s="209" t="s">
        <v>1434</v>
      </c>
      <c r="O44" s="230" t="s">
        <v>1348</v>
      </c>
      <c r="P44" s="209" t="s">
        <v>131</v>
      </c>
    </row>
    <row r="45" spans="1:16" ht="39">
      <c r="A45" s="201" t="s">
        <v>1457</v>
      </c>
      <c r="B45" s="201">
        <f t="shared" si="1"/>
        <v>42</v>
      </c>
      <c r="C45" s="202" t="s">
        <v>1458</v>
      </c>
      <c r="D45" s="208" t="s">
        <v>869</v>
      </c>
      <c r="E45" s="225" t="s">
        <v>870</v>
      </c>
      <c r="F45" s="202"/>
      <c r="G45" s="202" t="s">
        <v>1351</v>
      </c>
      <c r="H45" s="202" t="s">
        <v>1320</v>
      </c>
      <c r="I45" s="202" t="s">
        <v>1352</v>
      </c>
      <c r="J45" s="193" t="s">
        <v>1322</v>
      </c>
      <c r="K45" s="213">
        <v>500</v>
      </c>
      <c r="L45" s="202"/>
      <c r="M45" s="205" t="s">
        <v>1459</v>
      </c>
      <c r="N45" s="212" t="s">
        <v>1347</v>
      </c>
      <c r="O45" s="230" t="s">
        <v>1348</v>
      </c>
      <c r="P45" s="209" t="s">
        <v>1325</v>
      </c>
    </row>
    <row r="46" spans="1:16" ht="26">
      <c r="A46" s="201" t="s">
        <v>1460</v>
      </c>
      <c r="B46" s="201">
        <f t="shared" si="1"/>
        <v>43</v>
      </c>
      <c r="C46" s="202" t="s">
        <v>1461</v>
      </c>
      <c r="D46" s="208" t="s">
        <v>558</v>
      </c>
      <c r="E46" s="225" t="s">
        <v>1462</v>
      </c>
      <c r="F46" s="202"/>
      <c r="G46" s="202" t="s">
        <v>1339</v>
      </c>
      <c r="H46" s="202" t="s">
        <v>1320</v>
      </c>
      <c r="I46" s="202" t="s">
        <v>1463</v>
      </c>
      <c r="J46" s="193" t="s">
        <v>1416</v>
      </c>
      <c r="K46" s="204">
        <v>500</v>
      </c>
      <c r="L46" s="202"/>
      <c r="M46" s="205" t="s">
        <v>1464</v>
      </c>
      <c r="N46" s="212" t="s">
        <v>1330</v>
      </c>
      <c r="O46" s="230" t="s">
        <v>1331</v>
      </c>
      <c r="P46" s="209" t="s">
        <v>1325</v>
      </c>
    </row>
    <row r="47" spans="1:16" ht="39">
      <c r="A47" s="201" t="s">
        <v>1465</v>
      </c>
      <c r="B47" s="201">
        <f t="shared" si="1"/>
        <v>44</v>
      </c>
      <c r="C47" s="202" t="s">
        <v>1466</v>
      </c>
      <c r="D47" s="208" t="s">
        <v>869</v>
      </c>
      <c r="E47" s="225" t="s">
        <v>870</v>
      </c>
      <c r="F47" s="202"/>
      <c r="G47" s="202" t="s">
        <v>1351</v>
      </c>
      <c r="H47" s="202" t="s">
        <v>1320</v>
      </c>
      <c r="I47" s="202" t="s">
        <v>1357</v>
      </c>
      <c r="J47" s="193" t="s">
        <v>1322</v>
      </c>
      <c r="K47" s="204">
        <v>1500</v>
      </c>
      <c r="L47" s="202"/>
      <c r="M47" s="205" t="s">
        <v>707</v>
      </c>
      <c r="N47" s="212" t="s">
        <v>1467</v>
      </c>
      <c r="O47" s="230" t="s">
        <v>1331</v>
      </c>
      <c r="P47" s="209" t="s">
        <v>1325</v>
      </c>
    </row>
    <row r="48" spans="1:16" ht="26">
      <c r="A48" s="192" t="s">
        <v>1468</v>
      </c>
      <c r="B48" s="201">
        <f t="shared" si="1"/>
        <v>45</v>
      </c>
      <c r="C48" s="202" t="s">
        <v>1469</v>
      </c>
      <c r="D48" s="208" t="s">
        <v>1259</v>
      </c>
      <c r="E48" s="225" t="s">
        <v>1260</v>
      </c>
      <c r="F48" s="202"/>
      <c r="G48" s="190" t="s">
        <v>1319</v>
      </c>
      <c r="H48" s="202" t="s">
        <v>1320</v>
      </c>
      <c r="I48" s="202" t="s">
        <v>1470</v>
      </c>
      <c r="J48" s="193" t="s">
        <v>1399</v>
      </c>
      <c r="K48" s="204">
        <v>400</v>
      </c>
      <c r="L48" s="202"/>
      <c r="M48" s="205" t="s">
        <v>707</v>
      </c>
      <c r="N48" s="212" t="s">
        <v>1395</v>
      </c>
      <c r="O48" s="231" t="s">
        <v>1396</v>
      </c>
      <c r="P48" s="209" t="s">
        <v>1325</v>
      </c>
    </row>
    <row r="49" spans="1:16" ht="26">
      <c r="A49" s="201" t="s">
        <v>1471</v>
      </c>
      <c r="B49" s="201">
        <f t="shared" si="1"/>
        <v>46</v>
      </c>
      <c r="C49" s="202" t="s">
        <v>1472</v>
      </c>
      <c r="D49" s="192" t="s">
        <v>522</v>
      </c>
      <c r="E49" s="224" t="s">
        <v>523</v>
      </c>
      <c r="F49" s="202"/>
      <c r="G49" s="202" t="s">
        <v>1339</v>
      </c>
      <c r="H49" s="202" t="s">
        <v>1320</v>
      </c>
      <c r="I49" s="202" t="s">
        <v>1373</v>
      </c>
      <c r="J49" s="193" t="s">
        <v>1322</v>
      </c>
      <c r="K49" s="204">
        <v>500</v>
      </c>
      <c r="L49" s="202"/>
      <c r="M49" s="205" t="s">
        <v>707</v>
      </c>
      <c r="N49" s="212" t="s">
        <v>1323</v>
      </c>
      <c r="O49" s="231" t="s">
        <v>1324</v>
      </c>
      <c r="P49" s="209" t="s">
        <v>1325</v>
      </c>
    </row>
    <row r="50" spans="1:16" ht="39">
      <c r="A50" s="201" t="s">
        <v>1473</v>
      </c>
      <c r="B50" s="201">
        <f t="shared" si="1"/>
        <v>47</v>
      </c>
      <c r="C50" s="202" t="s">
        <v>1474</v>
      </c>
      <c r="D50" s="192" t="s">
        <v>972</v>
      </c>
      <c r="E50" s="224" t="s">
        <v>973</v>
      </c>
      <c r="F50" s="202"/>
      <c r="G50" s="202" t="s">
        <v>1389</v>
      </c>
      <c r="H50" s="202" t="s">
        <v>1320</v>
      </c>
      <c r="I50" s="202" t="s">
        <v>1373</v>
      </c>
      <c r="J50" s="193" t="s">
        <v>1322</v>
      </c>
      <c r="K50" s="204">
        <v>2000</v>
      </c>
      <c r="L50" s="202"/>
      <c r="M50" s="205" t="s">
        <v>707</v>
      </c>
      <c r="N50" s="212" t="s">
        <v>1467</v>
      </c>
      <c r="O50" s="230" t="s">
        <v>1331</v>
      </c>
      <c r="P50" s="209" t="s">
        <v>1325</v>
      </c>
    </row>
    <row r="51" spans="1:16">
      <c r="A51" s="201" t="s">
        <v>1475</v>
      </c>
      <c r="B51" s="201">
        <f t="shared" si="1"/>
        <v>48</v>
      </c>
      <c r="C51" s="202" t="s">
        <v>1476</v>
      </c>
      <c r="D51" s="192" t="s">
        <v>1122</v>
      </c>
      <c r="E51" s="224" t="s">
        <v>1123</v>
      </c>
      <c r="F51" s="202"/>
      <c r="G51" s="202" t="s">
        <v>1389</v>
      </c>
      <c r="H51" s="202" t="s">
        <v>1320</v>
      </c>
      <c r="I51" s="202" t="s">
        <v>1373</v>
      </c>
      <c r="J51" s="193" t="s">
        <v>1322</v>
      </c>
      <c r="K51" s="204">
        <v>10000</v>
      </c>
      <c r="L51" s="202"/>
      <c r="M51" s="205" t="s">
        <v>707</v>
      </c>
      <c r="N51" s="212" t="s">
        <v>1330</v>
      </c>
      <c r="O51" s="230" t="s">
        <v>1331</v>
      </c>
      <c r="P51" s="209" t="s">
        <v>1325</v>
      </c>
    </row>
    <row r="52" spans="1:16">
      <c r="A52" s="192" t="s">
        <v>1477</v>
      </c>
      <c r="B52" s="201">
        <f t="shared" si="1"/>
        <v>49</v>
      </c>
      <c r="C52" s="202" t="s">
        <v>1478</v>
      </c>
      <c r="D52" s="192" t="s">
        <v>1224</v>
      </c>
      <c r="E52" s="224" t="s">
        <v>1225</v>
      </c>
      <c r="F52" s="202"/>
      <c r="G52" s="190" t="s">
        <v>1319</v>
      </c>
      <c r="H52" s="202" t="s">
        <v>1320</v>
      </c>
      <c r="I52" s="202" t="s">
        <v>1373</v>
      </c>
      <c r="J52" s="193" t="s">
        <v>1322</v>
      </c>
      <c r="K52" s="204">
        <v>6000</v>
      </c>
      <c r="L52" s="202"/>
      <c r="M52" s="205" t="s">
        <v>1479</v>
      </c>
      <c r="N52" s="212" t="s">
        <v>1434</v>
      </c>
      <c r="O52" s="230" t="s">
        <v>1348</v>
      </c>
      <c r="P52" s="209" t="s">
        <v>1325</v>
      </c>
    </row>
    <row r="53" spans="1:16" ht="26">
      <c r="A53" s="201" t="s">
        <v>1480</v>
      </c>
      <c r="B53" s="201">
        <f t="shared" si="1"/>
        <v>50</v>
      </c>
      <c r="C53" s="202" t="s">
        <v>1481</v>
      </c>
      <c r="D53" s="192" t="s">
        <v>330</v>
      </c>
      <c r="E53" s="224" t="s">
        <v>1482</v>
      </c>
      <c r="F53" s="202"/>
      <c r="G53" s="202" t="s">
        <v>1419</v>
      </c>
      <c r="H53" s="202" t="s">
        <v>1320</v>
      </c>
      <c r="I53" s="202" t="s">
        <v>1373</v>
      </c>
      <c r="J53" s="193" t="s">
        <v>1322</v>
      </c>
      <c r="K53" s="204">
        <v>2000</v>
      </c>
      <c r="L53" s="202"/>
      <c r="M53" s="205" t="s">
        <v>707</v>
      </c>
      <c r="N53" s="212" t="s">
        <v>1467</v>
      </c>
      <c r="O53" s="230" t="s">
        <v>1331</v>
      </c>
      <c r="P53" s="209" t="s">
        <v>1325</v>
      </c>
    </row>
    <row r="54" spans="1:16">
      <c r="A54" s="201" t="s">
        <v>1483</v>
      </c>
      <c r="B54" s="201">
        <f t="shared" si="1"/>
        <v>51</v>
      </c>
      <c r="C54" s="202" t="s">
        <v>1484</v>
      </c>
      <c r="D54" s="192" t="s">
        <v>1122</v>
      </c>
      <c r="E54" s="224" t="s">
        <v>1123</v>
      </c>
      <c r="F54" s="202"/>
      <c r="G54" s="202" t="s">
        <v>1389</v>
      </c>
      <c r="H54" s="202" t="s">
        <v>1320</v>
      </c>
      <c r="I54" s="202" t="s">
        <v>1485</v>
      </c>
      <c r="J54" s="193" t="s">
        <v>1322</v>
      </c>
      <c r="K54" s="204">
        <v>8000</v>
      </c>
      <c r="L54" s="202"/>
      <c r="M54" s="205" t="s">
        <v>707</v>
      </c>
      <c r="N54" s="212" t="s">
        <v>1330</v>
      </c>
      <c r="O54" s="230" t="s">
        <v>1331</v>
      </c>
      <c r="P54" s="209" t="s">
        <v>1325</v>
      </c>
    </row>
    <row r="55" spans="1:16" ht="26">
      <c r="A55" s="201" t="s">
        <v>1486</v>
      </c>
      <c r="B55" s="201">
        <f t="shared" si="1"/>
        <v>52</v>
      </c>
      <c r="C55" s="202" t="s">
        <v>1487</v>
      </c>
      <c r="D55" s="192" t="s">
        <v>1029</v>
      </c>
      <c r="E55" s="224" t="s">
        <v>1030</v>
      </c>
      <c r="F55" s="202"/>
      <c r="G55" s="202" t="s">
        <v>1389</v>
      </c>
      <c r="H55" s="202" t="s">
        <v>1320</v>
      </c>
      <c r="I55" s="202" t="s">
        <v>1328</v>
      </c>
      <c r="J55" s="193" t="s">
        <v>1322</v>
      </c>
      <c r="K55" s="204">
        <v>1500</v>
      </c>
      <c r="L55" s="202"/>
      <c r="M55" s="205" t="s">
        <v>707</v>
      </c>
      <c r="N55" s="212" t="s">
        <v>1467</v>
      </c>
      <c r="O55" s="230" t="s">
        <v>1331</v>
      </c>
      <c r="P55" s="209" t="s">
        <v>1325</v>
      </c>
    </row>
    <row r="56" spans="1:16" ht="26">
      <c r="A56" s="201" t="s">
        <v>1488</v>
      </c>
      <c r="B56" s="201">
        <f t="shared" si="1"/>
        <v>53</v>
      </c>
      <c r="C56" s="202" t="s">
        <v>1489</v>
      </c>
      <c r="D56" s="192" t="s">
        <v>1038</v>
      </c>
      <c r="E56" s="224" t="s">
        <v>1490</v>
      </c>
      <c r="F56" s="202"/>
      <c r="G56" s="202" t="s">
        <v>1389</v>
      </c>
      <c r="H56" s="202" t="s">
        <v>1320</v>
      </c>
      <c r="I56" s="202" t="s">
        <v>1328</v>
      </c>
      <c r="J56" s="193" t="s">
        <v>1322</v>
      </c>
      <c r="K56" s="204">
        <v>1000</v>
      </c>
      <c r="L56" s="202"/>
      <c r="M56" s="205" t="s">
        <v>707</v>
      </c>
      <c r="N56" s="212" t="s">
        <v>1330</v>
      </c>
      <c r="O56" s="230" t="s">
        <v>1331</v>
      </c>
      <c r="P56" s="209" t="s">
        <v>1325</v>
      </c>
    </row>
    <row r="57" spans="1:16" ht="26">
      <c r="A57" s="201" t="s">
        <v>1491</v>
      </c>
      <c r="B57" s="201">
        <f t="shared" si="1"/>
        <v>54</v>
      </c>
      <c r="C57" s="202" t="s">
        <v>1492</v>
      </c>
      <c r="D57" s="192" t="s">
        <v>330</v>
      </c>
      <c r="E57" s="224" t="s">
        <v>1482</v>
      </c>
      <c r="F57" s="202"/>
      <c r="G57" s="202" t="s">
        <v>1419</v>
      </c>
      <c r="H57" s="202" t="s">
        <v>1320</v>
      </c>
      <c r="I57" s="202" t="s">
        <v>1328</v>
      </c>
      <c r="J57" s="193" t="s">
        <v>1322</v>
      </c>
      <c r="K57" s="204">
        <v>6500</v>
      </c>
      <c r="L57" s="202"/>
      <c r="M57" s="205" t="s">
        <v>1493</v>
      </c>
      <c r="N57" s="212" t="s">
        <v>1467</v>
      </c>
      <c r="O57" s="230" t="s">
        <v>1331</v>
      </c>
      <c r="P57" s="209" t="s">
        <v>1325</v>
      </c>
    </row>
    <row r="58" spans="1:16" ht="26">
      <c r="A58" s="201" t="s">
        <v>1494</v>
      </c>
      <c r="B58" s="201">
        <f t="shared" si="1"/>
        <v>55</v>
      </c>
      <c r="C58" s="202" t="s">
        <v>1495</v>
      </c>
      <c r="D58" s="192" t="s">
        <v>955</v>
      </c>
      <c r="E58" s="224" t="s">
        <v>956</v>
      </c>
      <c r="F58" s="202"/>
      <c r="G58" s="202" t="s">
        <v>1389</v>
      </c>
      <c r="H58" s="202" t="s">
        <v>1320</v>
      </c>
      <c r="I58" s="202" t="s">
        <v>1334</v>
      </c>
      <c r="J58" s="193" t="s">
        <v>1322</v>
      </c>
      <c r="K58" s="204">
        <v>2500</v>
      </c>
      <c r="L58" s="202"/>
      <c r="M58" s="205" t="s">
        <v>1496</v>
      </c>
      <c r="N58" s="212" t="s">
        <v>1467</v>
      </c>
      <c r="O58" s="230" t="s">
        <v>1331</v>
      </c>
      <c r="P58" s="209" t="s">
        <v>1325</v>
      </c>
    </row>
    <row r="59" spans="1:16" ht="26">
      <c r="A59" s="201" t="s">
        <v>1497</v>
      </c>
      <c r="B59" s="201">
        <f t="shared" si="1"/>
        <v>56</v>
      </c>
      <c r="C59" s="202" t="s">
        <v>1498</v>
      </c>
      <c r="D59" s="192" t="s">
        <v>1064</v>
      </c>
      <c r="E59" s="224" t="s">
        <v>1065</v>
      </c>
      <c r="F59" s="202"/>
      <c r="G59" s="202" t="s">
        <v>1389</v>
      </c>
      <c r="H59" s="202" t="s">
        <v>1320</v>
      </c>
      <c r="I59" s="202" t="s">
        <v>1334</v>
      </c>
      <c r="J59" s="193" t="s">
        <v>1322</v>
      </c>
      <c r="K59" s="204">
        <v>1500</v>
      </c>
      <c r="L59" s="202"/>
      <c r="M59" s="205" t="s">
        <v>707</v>
      </c>
      <c r="N59" s="212" t="s">
        <v>1467</v>
      </c>
      <c r="O59" s="230" t="s">
        <v>1331</v>
      </c>
      <c r="P59" s="209" t="s">
        <v>1325</v>
      </c>
    </row>
    <row r="60" spans="1:16" ht="39">
      <c r="A60" s="201" t="s">
        <v>1499</v>
      </c>
      <c r="B60" s="201">
        <f t="shared" si="1"/>
        <v>57</v>
      </c>
      <c r="C60" s="202" t="s">
        <v>1500</v>
      </c>
      <c r="D60" s="192" t="s">
        <v>972</v>
      </c>
      <c r="E60" s="224" t="s">
        <v>973</v>
      </c>
      <c r="F60" s="202"/>
      <c r="G60" s="202" t="s">
        <v>1389</v>
      </c>
      <c r="H60" s="202" t="s">
        <v>1320</v>
      </c>
      <c r="I60" s="202" t="s">
        <v>1334</v>
      </c>
      <c r="J60" s="193" t="s">
        <v>1322</v>
      </c>
      <c r="K60" s="204">
        <v>2000</v>
      </c>
      <c r="L60" s="202"/>
      <c r="M60" s="205" t="s">
        <v>707</v>
      </c>
      <c r="N60" s="212" t="s">
        <v>1467</v>
      </c>
      <c r="O60" s="230" t="s">
        <v>1331</v>
      </c>
      <c r="P60" s="209" t="s">
        <v>1325</v>
      </c>
    </row>
    <row r="61" spans="1:16" ht="65">
      <c r="A61" s="201" t="s">
        <v>1501</v>
      </c>
      <c r="B61" s="201">
        <f t="shared" si="1"/>
        <v>58</v>
      </c>
      <c r="C61" s="202" t="s">
        <v>1502</v>
      </c>
      <c r="D61" s="192" t="s">
        <v>359</v>
      </c>
      <c r="E61" s="224" t="s">
        <v>360</v>
      </c>
      <c r="F61" s="202"/>
      <c r="G61" s="202" t="s">
        <v>1419</v>
      </c>
      <c r="H61" s="202" t="s">
        <v>1320</v>
      </c>
      <c r="I61" s="202" t="s">
        <v>1334</v>
      </c>
      <c r="J61" s="193" t="s">
        <v>1322</v>
      </c>
      <c r="K61" s="213">
        <v>1000</v>
      </c>
      <c r="L61" s="202"/>
      <c r="M61" s="205" t="s">
        <v>1503</v>
      </c>
      <c r="N61" s="212" t="s">
        <v>1467</v>
      </c>
      <c r="O61" s="230" t="s">
        <v>1331</v>
      </c>
      <c r="P61" s="209" t="s">
        <v>1325</v>
      </c>
    </row>
    <row r="62" spans="1:16" ht="39">
      <c r="A62" s="201" t="s">
        <v>1504</v>
      </c>
      <c r="B62" s="201">
        <f t="shared" si="1"/>
        <v>59</v>
      </c>
      <c r="C62" s="202" t="s">
        <v>1505</v>
      </c>
      <c r="D62" s="192" t="s">
        <v>597</v>
      </c>
      <c r="E62" s="224" t="s">
        <v>1506</v>
      </c>
      <c r="F62" s="202"/>
      <c r="G62" s="202" t="s">
        <v>1443</v>
      </c>
      <c r="H62" s="202" t="s">
        <v>1320</v>
      </c>
      <c r="I62" s="202" t="s">
        <v>1334</v>
      </c>
      <c r="J62" s="193" t="s">
        <v>1507</v>
      </c>
      <c r="K62" s="213">
        <v>500</v>
      </c>
      <c r="L62" s="202"/>
      <c r="M62" s="205"/>
      <c r="N62" s="212" t="s">
        <v>1467</v>
      </c>
      <c r="O62" s="230" t="s">
        <v>1331</v>
      </c>
      <c r="P62" s="209" t="s">
        <v>1325</v>
      </c>
    </row>
    <row r="63" spans="1:16" ht="26">
      <c r="A63" s="201" t="s">
        <v>1508</v>
      </c>
      <c r="B63" s="201">
        <f t="shared" si="1"/>
        <v>60</v>
      </c>
      <c r="C63" s="202" t="s">
        <v>1509</v>
      </c>
      <c r="D63" s="192" t="s">
        <v>532</v>
      </c>
      <c r="E63" s="224" t="s">
        <v>1510</v>
      </c>
      <c r="F63" s="202"/>
      <c r="G63" s="202" t="s">
        <v>1339</v>
      </c>
      <c r="H63" s="202" t="s">
        <v>1320</v>
      </c>
      <c r="I63" s="202" t="s">
        <v>1334</v>
      </c>
      <c r="J63" s="193" t="s">
        <v>1399</v>
      </c>
      <c r="K63" s="213">
        <v>4000</v>
      </c>
      <c r="L63" s="202"/>
      <c r="M63" s="205" t="s">
        <v>707</v>
      </c>
      <c r="N63" s="212" t="s">
        <v>1467</v>
      </c>
      <c r="O63" s="230" t="s">
        <v>1331</v>
      </c>
      <c r="P63" s="209" t="s">
        <v>1325</v>
      </c>
    </row>
    <row r="64" spans="1:16" ht="26">
      <c r="A64" s="201" t="s">
        <v>1511</v>
      </c>
      <c r="B64" s="201">
        <f t="shared" si="1"/>
        <v>61</v>
      </c>
      <c r="C64" s="202" t="s">
        <v>1512</v>
      </c>
      <c r="D64" s="192" t="s">
        <v>955</v>
      </c>
      <c r="E64" s="224" t="s">
        <v>956</v>
      </c>
      <c r="F64" s="202"/>
      <c r="G64" s="202" t="s">
        <v>1389</v>
      </c>
      <c r="H64" s="202" t="s">
        <v>1320</v>
      </c>
      <c r="I64" s="202" t="s">
        <v>1334</v>
      </c>
      <c r="J64" s="193" t="s">
        <v>1322</v>
      </c>
      <c r="K64" s="204">
        <v>15000</v>
      </c>
      <c r="L64" s="202"/>
      <c r="M64" s="205" t="s">
        <v>707</v>
      </c>
      <c r="N64" s="212" t="s">
        <v>1467</v>
      </c>
      <c r="O64" s="230" t="s">
        <v>1331</v>
      </c>
      <c r="P64" s="209" t="s">
        <v>1325</v>
      </c>
    </row>
    <row r="65" spans="1:16" ht="26">
      <c r="A65" s="201" t="s">
        <v>1513</v>
      </c>
      <c r="B65" s="201">
        <f t="shared" si="1"/>
        <v>62</v>
      </c>
      <c r="C65" s="202" t="s">
        <v>1514</v>
      </c>
      <c r="D65" s="192" t="s">
        <v>1029</v>
      </c>
      <c r="E65" s="224" t="s">
        <v>1030</v>
      </c>
      <c r="F65" s="202"/>
      <c r="G65" s="202" t="s">
        <v>1389</v>
      </c>
      <c r="H65" s="202" t="s">
        <v>1320</v>
      </c>
      <c r="I65" s="202" t="s">
        <v>1334</v>
      </c>
      <c r="J65" s="193" t="s">
        <v>1322</v>
      </c>
      <c r="K65" s="213">
        <v>4000</v>
      </c>
      <c r="L65" s="202"/>
      <c r="M65" s="205" t="s">
        <v>707</v>
      </c>
      <c r="N65" s="212" t="s">
        <v>1467</v>
      </c>
      <c r="O65" s="230" t="s">
        <v>1331</v>
      </c>
      <c r="P65" s="209" t="s">
        <v>1325</v>
      </c>
    </row>
    <row r="66" spans="1:16">
      <c r="A66" s="201" t="s">
        <v>1515</v>
      </c>
      <c r="B66" s="201">
        <f t="shared" si="1"/>
        <v>63</v>
      </c>
      <c r="C66" s="202" t="s">
        <v>1516</v>
      </c>
      <c r="D66" s="192" t="s">
        <v>1133</v>
      </c>
      <c r="E66" s="224" t="s">
        <v>1134</v>
      </c>
      <c r="F66" s="202"/>
      <c r="G66" s="202" t="s">
        <v>1389</v>
      </c>
      <c r="H66" s="202" t="s">
        <v>1320</v>
      </c>
      <c r="I66" s="202" t="s">
        <v>1334</v>
      </c>
      <c r="J66" s="193" t="s">
        <v>1322</v>
      </c>
      <c r="K66" s="213">
        <v>1000</v>
      </c>
      <c r="L66" s="202"/>
      <c r="M66" s="205" t="s">
        <v>707</v>
      </c>
      <c r="N66" s="212" t="s">
        <v>1467</v>
      </c>
      <c r="O66" s="230" t="s">
        <v>1331</v>
      </c>
      <c r="P66" s="209" t="s">
        <v>1325</v>
      </c>
    </row>
    <row r="67" spans="1:16">
      <c r="A67" s="201" t="s">
        <v>1517</v>
      </c>
      <c r="B67" s="201">
        <f t="shared" si="1"/>
        <v>64</v>
      </c>
      <c r="C67" s="202" t="s">
        <v>1518</v>
      </c>
      <c r="D67" s="192" t="s">
        <v>1133</v>
      </c>
      <c r="E67" s="224" t="s">
        <v>1134</v>
      </c>
      <c r="F67" s="202"/>
      <c r="G67" s="202" t="s">
        <v>1389</v>
      </c>
      <c r="H67" s="202" t="s">
        <v>1320</v>
      </c>
      <c r="I67" s="202" t="s">
        <v>1334</v>
      </c>
      <c r="J67" s="193" t="s">
        <v>1322</v>
      </c>
      <c r="K67" s="213">
        <v>2000</v>
      </c>
      <c r="L67" s="202"/>
      <c r="M67" s="205" t="s">
        <v>707</v>
      </c>
      <c r="N67" s="212" t="s">
        <v>1467</v>
      </c>
      <c r="O67" s="230" t="s">
        <v>1331</v>
      </c>
      <c r="P67" s="209" t="s">
        <v>1325</v>
      </c>
    </row>
    <row r="68" spans="1:16">
      <c r="A68" s="201" t="s">
        <v>1519</v>
      </c>
      <c r="B68" s="201">
        <f t="shared" si="1"/>
        <v>65</v>
      </c>
      <c r="C68" s="202" t="s">
        <v>1520</v>
      </c>
      <c r="D68" s="192" t="s">
        <v>1133</v>
      </c>
      <c r="E68" s="224" t="s">
        <v>1134</v>
      </c>
      <c r="F68" s="202"/>
      <c r="G68" s="202" t="s">
        <v>1389</v>
      </c>
      <c r="H68" s="202" t="s">
        <v>1320</v>
      </c>
      <c r="I68" s="202" t="s">
        <v>1334</v>
      </c>
      <c r="J68" s="193" t="s">
        <v>1322</v>
      </c>
      <c r="K68" s="213">
        <v>1000</v>
      </c>
      <c r="L68" s="202"/>
      <c r="M68" s="205" t="s">
        <v>707</v>
      </c>
      <c r="N68" s="212" t="s">
        <v>1467</v>
      </c>
      <c r="O68" s="230" t="s">
        <v>1331</v>
      </c>
      <c r="P68" s="209" t="s">
        <v>1325</v>
      </c>
    </row>
    <row r="69" spans="1:16" ht="26">
      <c r="A69" s="201" t="s">
        <v>1521</v>
      </c>
      <c r="B69" s="201">
        <f t="shared" ref="B69:B100" si="2">B68+1</f>
        <v>66</v>
      </c>
      <c r="C69" s="202" t="s">
        <v>1522</v>
      </c>
      <c r="D69" s="192" t="s">
        <v>532</v>
      </c>
      <c r="E69" s="224" t="s">
        <v>1510</v>
      </c>
      <c r="F69" s="202"/>
      <c r="G69" s="202" t="s">
        <v>1339</v>
      </c>
      <c r="H69" s="202" t="s">
        <v>1320</v>
      </c>
      <c r="I69" s="202" t="s">
        <v>1334</v>
      </c>
      <c r="J69" s="193" t="s">
        <v>1399</v>
      </c>
      <c r="K69" s="213">
        <v>5000</v>
      </c>
      <c r="L69" s="202"/>
      <c r="M69" s="205" t="s">
        <v>1523</v>
      </c>
      <c r="N69" s="212" t="s">
        <v>1467</v>
      </c>
      <c r="O69" s="230" t="s">
        <v>1331</v>
      </c>
      <c r="P69" s="209" t="s">
        <v>1325</v>
      </c>
    </row>
    <row r="70" spans="1:16" ht="26">
      <c r="A70" s="201" t="s">
        <v>1524</v>
      </c>
      <c r="B70" s="201">
        <f t="shared" si="2"/>
        <v>67</v>
      </c>
      <c r="C70" s="202" t="s">
        <v>1525</v>
      </c>
      <c r="D70" s="192" t="s">
        <v>992</v>
      </c>
      <c r="E70" s="224" t="s">
        <v>993</v>
      </c>
      <c r="F70" s="202"/>
      <c r="G70" s="202" t="s">
        <v>1389</v>
      </c>
      <c r="H70" s="202" t="s">
        <v>1320</v>
      </c>
      <c r="I70" s="202" t="s">
        <v>1334</v>
      </c>
      <c r="J70" s="193" t="s">
        <v>1322</v>
      </c>
      <c r="K70" s="204">
        <v>3000</v>
      </c>
      <c r="L70" s="202"/>
      <c r="M70" s="205" t="s">
        <v>707</v>
      </c>
      <c r="N70" s="212" t="s">
        <v>1467</v>
      </c>
      <c r="O70" s="230" t="s">
        <v>1331</v>
      </c>
      <c r="P70" s="209" t="s">
        <v>1325</v>
      </c>
    </row>
    <row r="71" spans="1:16" ht="26">
      <c r="A71" s="201" t="s">
        <v>1526</v>
      </c>
      <c r="B71" s="201">
        <f t="shared" si="2"/>
        <v>68</v>
      </c>
      <c r="C71" s="202" t="s">
        <v>1527</v>
      </c>
      <c r="D71" s="192" t="s">
        <v>992</v>
      </c>
      <c r="E71" s="224" t="s">
        <v>993</v>
      </c>
      <c r="F71" s="202"/>
      <c r="G71" s="202" t="s">
        <v>1389</v>
      </c>
      <c r="H71" s="202" t="s">
        <v>1320</v>
      </c>
      <c r="I71" s="202" t="s">
        <v>1334</v>
      </c>
      <c r="J71" s="193" t="s">
        <v>1322</v>
      </c>
      <c r="K71" s="213">
        <v>500</v>
      </c>
      <c r="L71" s="202"/>
      <c r="M71" s="205" t="s">
        <v>707</v>
      </c>
      <c r="N71" s="212" t="s">
        <v>1467</v>
      </c>
      <c r="O71" s="230" t="s">
        <v>1331</v>
      </c>
      <c r="P71" s="209" t="s">
        <v>1325</v>
      </c>
    </row>
    <row r="72" spans="1:16" ht="39">
      <c r="A72" s="201" t="s">
        <v>1528</v>
      </c>
      <c r="B72" s="201">
        <f t="shared" si="2"/>
        <v>69</v>
      </c>
      <c r="C72" s="202" t="s">
        <v>1529</v>
      </c>
      <c r="D72" s="221" t="s">
        <v>1041</v>
      </c>
      <c r="E72" s="227" t="s">
        <v>1042</v>
      </c>
      <c r="F72" s="202"/>
      <c r="G72" s="202" t="s">
        <v>1389</v>
      </c>
      <c r="H72" s="202" t="s">
        <v>1320</v>
      </c>
      <c r="I72" s="202" t="s">
        <v>1334</v>
      </c>
      <c r="J72" s="193" t="s">
        <v>1322</v>
      </c>
      <c r="K72" s="204">
        <v>1200</v>
      </c>
      <c r="L72" s="202"/>
      <c r="M72" s="205" t="s">
        <v>1530</v>
      </c>
      <c r="N72" s="212" t="s">
        <v>1434</v>
      </c>
      <c r="O72" s="230" t="s">
        <v>1348</v>
      </c>
      <c r="P72" s="209" t="s">
        <v>1325</v>
      </c>
    </row>
    <row r="73" spans="1:16" ht="26">
      <c r="A73" s="201" t="s">
        <v>1531</v>
      </c>
      <c r="B73" s="201">
        <f t="shared" si="2"/>
        <v>70</v>
      </c>
      <c r="C73" s="202" t="s">
        <v>1532</v>
      </c>
      <c r="D73" s="192" t="s">
        <v>629</v>
      </c>
      <c r="E73" s="224" t="s">
        <v>630</v>
      </c>
      <c r="F73" s="202"/>
      <c r="G73" s="202" t="s">
        <v>1443</v>
      </c>
      <c r="H73" s="202" t="s">
        <v>1320</v>
      </c>
      <c r="I73" s="202" t="s">
        <v>1334</v>
      </c>
      <c r="J73" s="193" t="s">
        <v>1507</v>
      </c>
      <c r="K73" s="204">
        <v>3000</v>
      </c>
      <c r="L73" s="202"/>
      <c r="M73" s="205" t="s">
        <v>707</v>
      </c>
      <c r="N73" s="212" t="s">
        <v>1467</v>
      </c>
      <c r="O73" s="230" t="s">
        <v>1331</v>
      </c>
      <c r="P73" s="209" t="s">
        <v>1325</v>
      </c>
    </row>
    <row r="74" spans="1:16" ht="26">
      <c r="A74" s="201" t="s">
        <v>1533</v>
      </c>
      <c r="B74" s="201">
        <f t="shared" si="2"/>
        <v>71</v>
      </c>
      <c r="C74" s="202" t="s">
        <v>1534</v>
      </c>
      <c r="D74" s="192" t="s">
        <v>988</v>
      </c>
      <c r="E74" s="224" t="s">
        <v>989</v>
      </c>
      <c r="F74" s="202"/>
      <c r="G74" s="202" t="s">
        <v>1389</v>
      </c>
      <c r="H74" s="202" t="s">
        <v>1320</v>
      </c>
      <c r="I74" s="202" t="s">
        <v>1334</v>
      </c>
      <c r="J74" s="193" t="s">
        <v>1322</v>
      </c>
      <c r="K74" s="204">
        <v>2000</v>
      </c>
      <c r="L74" s="202"/>
      <c r="M74" s="205" t="s">
        <v>707</v>
      </c>
      <c r="N74" s="212" t="s">
        <v>1330</v>
      </c>
      <c r="O74" s="230" t="s">
        <v>1331</v>
      </c>
      <c r="P74" s="209" t="s">
        <v>1325</v>
      </c>
    </row>
    <row r="75" spans="1:16" ht="26">
      <c r="A75" s="201" t="s">
        <v>1535</v>
      </c>
      <c r="B75" s="201">
        <f t="shared" si="2"/>
        <v>72</v>
      </c>
      <c r="C75" s="202" t="s">
        <v>1536</v>
      </c>
      <c r="D75" s="192" t="s">
        <v>330</v>
      </c>
      <c r="E75" s="224" t="s">
        <v>1482</v>
      </c>
      <c r="F75" s="190"/>
      <c r="G75" s="202" t="s">
        <v>1419</v>
      </c>
      <c r="H75" s="202" t="s">
        <v>1320</v>
      </c>
      <c r="I75" s="202" t="s">
        <v>1334</v>
      </c>
      <c r="J75" s="193" t="s">
        <v>1322</v>
      </c>
      <c r="K75" s="213">
        <v>3000</v>
      </c>
      <c r="L75" s="190"/>
      <c r="M75" s="205" t="s">
        <v>707</v>
      </c>
      <c r="N75" s="218" t="s">
        <v>1467</v>
      </c>
      <c r="O75" s="230" t="s">
        <v>1331</v>
      </c>
      <c r="P75" s="209" t="s">
        <v>1325</v>
      </c>
    </row>
    <row r="76" spans="1:16" ht="26">
      <c r="A76" s="201" t="s">
        <v>1537</v>
      </c>
      <c r="B76" s="201">
        <f t="shared" si="2"/>
        <v>73</v>
      </c>
      <c r="C76" s="202" t="s">
        <v>1538</v>
      </c>
      <c r="D76" s="192" t="s">
        <v>318</v>
      </c>
      <c r="E76" s="224" t="s">
        <v>319</v>
      </c>
      <c r="F76" s="190"/>
      <c r="G76" s="202" t="s">
        <v>1419</v>
      </c>
      <c r="H76" s="202" t="s">
        <v>1320</v>
      </c>
      <c r="I76" s="202" t="s">
        <v>1340</v>
      </c>
      <c r="J76" s="193" t="s">
        <v>1322</v>
      </c>
      <c r="K76" s="204">
        <v>10300</v>
      </c>
      <c r="L76" s="190"/>
      <c r="M76" s="205" t="s">
        <v>707</v>
      </c>
      <c r="N76" s="212" t="s">
        <v>1467</v>
      </c>
      <c r="O76" s="230" t="s">
        <v>1331</v>
      </c>
      <c r="P76" s="209" t="s">
        <v>1325</v>
      </c>
    </row>
    <row r="77" spans="1:16">
      <c r="A77" s="201" t="s">
        <v>1539</v>
      </c>
      <c r="B77" s="201">
        <f t="shared" si="2"/>
        <v>74</v>
      </c>
      <c r="C77" s="190" t="s">
        <v>2033</v>
      </c>
      <c r="D77" s="192" t="s">
        <v>835</v>
      </c>
      <c r="E77" s="224" t="s">
        <v>1540</v>
      </c>
      <c r="F77" s="190"/>
      <c r="G77" s="202" t="s">
        <v>1351</v>
      </c>
      <c r="H77" s="202" t="s">
        <v>1320</v>
      </c>
      <c r="I77" s="202" t="s">
        <v>1340</v>
      </c>
      <c r="J77" s="193" t="s">
        <v>1322</v>
      </c>
      <c r="K77" s="213">
        <v>10000</v>
      </c>
      <c r="L77" s="190"/>
      <c r="M77" s="205" t="s">
        <v>707</v>
      </c>
      <c r="N77" s="219" t="s">
        <v>1330</v>
      </c>
      <c r="O77" s="230" t="s">
        <v>1331</v>
      </c>
      <c r="P77" s="209" t="s">
        <v>1325</v>
      </c>
    </row>
    <row r="78" spans="1:16">
      <c r="A78" s="192" t="s">
        <v>1541</v>
      </c>
      <c r="B78" s="201">
        <f t="shared" si="2"/>
        <v>75</v>
      </c>
      <c r="C78" s="202" t="s">
        <v>1542</v>
      </c>
      <c r="D78" s="192" t="s">
        <v>1200</v>
      </c>
      <c r="E78" s="224" t="s">
        <v>1201</v>
      </c>
      <c r="F78" s="190"/>
      <c r="G78" s="190" t="s">
        <v>1319</v>
      </c>
      <c r="H78" s="202" t="s">
        <v>1320</v>
      </c>
      <c r="I78" s="202" t="s">
        <v>1340</v>
      </c>
      <c r="J78" s="193" t="s">
        <v>1399</v>
      </c>
      <c r="K78" s="204">
        <v>1500</v>
      </c>
      <c r="L78" s="190"/>
      <c r="M78" s="205" t="s">
        <v>707</v>
      </c>
      <c r="N78" s="219" t="s">
        <v>1330</v>
      </c>
      <c r="O78" s="230" t="s">
        <v>1331</v>
      </c>
      <c r="P78" s="209" t="s">
        <v>1325</v>
      </c>
    </row>
    <row r="79" spans="1:16" ht="26">
      <c r="A79" s="201" t="s">
        <v>1543</v>
      </c>
      <c r="B79" s="201">
        <f t="shared" si="2"/>
        <v>76</v>
      </c>
      <c r="C79" s="202" t="s">
        <v>1544</v>
      </c>
      <c r="D79" s="192" t="s">
        <v>818</v>
      </c>
      <c r="E79" s="224" t="s">
        <v>819</v>
      </c>
      <c r="F79" s="190"/>
      <c r="G79" s="202" t="s">
        <v>1351</v>
      </c>
      <c r="H79" s="202" t="s">
        <v>1320</v>
      </c>
      <c r="I79" s="202" t="s">
        <v>1402</v>
      </c>
      <c r="J79" s="193" t="s">
        <v>1345</v>
      </c>
      <c r="K79" s="204">
        <v>5000</v>
      </c>
      <c r="L79" s="190"/>
      <c r="M79" s="205" t="s">
        <v>707</v>
      </c>
      <c r="N79" s="219" t="s">
        <v>1330</v>
      </c>
      <c r="O79" s="230" t="s">
        <v>1331</v>
      </c>
      <c r="P79" s="209" t="s">
        <v>1325</v>
      </c>
    </row>
    <row r="80" spans="1:16" ht="26">
      <c r="A80" s="201" t="s">
        <v>1545</v>
      </c>
      <c r="B80" s="201">
        <f t="shared" si="2"/>
        <v>77</v>
      </c>
      <c r="C80" s="202" t="s">
        <v>1546</v>
      </c>
      <c r="D80" s="192" t="s">
        <v>818</v>
      </c>
      <c r="E80" s="224" t="s">
        <v>819</v>
      </c>
      <c r="F80" s="190"/>
      <c r="G80" s="202" t="s">
        <v>1351</v>
      </c>
      <c r="H80" s="202" t="s">
        <v>1320</v>
      </c>
      <c r="I80" s="202" t="s">
        <v>1402</v>
      </c>
      <c r="J80" s="193" t="s">
        <v>1345</v>
      </c>
      <c r="K80" s="204">
        <v>5000</v>
      </c>
      <c r="L80" s="190"/>
      <c r="M80" s="205" t="s">
        <v>707</v>
      </c>
      <c r="N80" s="219" t="s">
        <v>1330</v>
      </c>
      <c r="O80" s="230" t="s">
        <v>1331</v>
      </c>
      <c r="P80" s="209" t="s">
        <v>1325</v>
      </c>
    </row>
    <row r="81" spans="1:16" ht="26">
      <c r="A81" s="201" t="s">
        <v>1547</v>
      </c>
      <c r="B81" s="201">
        <f t="shared" si="2"/>
        <v>78</v>
      </c>
      <c r="C81" s="202" t="s">
        <v>1548</v>
      </c>
      <c r="D81" s="221" t="s">
        <v>624</v>
      </c>
      <c r="E81" s="227" t="s">
        <v>625</v>
      </c>
      <c r="F81" s="190"/>
      <c r="G81" s="202" t="s">
        <v>1443</v>
      </c>
      <c r="H81" s="202" t="s">
        <v>1320</v>
      </c>
      <c r="I81" s="202" t="s">
        <v>1402</v>
      </c>
      <c r="J81" s="193" t="s">
        <v>1322</v>
      </c>
      <c r="K81" s="204">
        <v>2000</v>
      </c>
      <c r="L81" s="190"/>
      <c r="M81" s="205" t="s">
        <v>707</v>
      </c>
      <c r="N81" s="219" t="s">
        <v>1330</v>
      </c>
      <c r="O81" s="230" t="s">
        <v>1331</v>
      </c>
      <c r="P81" s="209" t="s">
        <v>1325</v>
      </c>
    </row>
    <row r="82" spans="1:16" ht="26">
      <c r="A82" s="201" t="s">
        <v>1549</v>
      </c>
      <c r="B82" s="201">
        <f t="shared" si="2"/>
        <v>79</v>
      </c>
      <c r="C82" s="202" t="s">
        <v>1550</v>
      </c>
      <c r="D82" s="192" t="s">
        <v>1133</v>
      </c>
      <c r="E82" s="224" t="s">
        <v>1134</v>
      </c>
      <c r="F82" s="190"/>
      <c r="G82" s="202" t="s">
        <v>1389</v>
      </c>
      <c r="H82" s="202" t="s">
        <v>1320</v>
      </c>
      <c r="I82" s="202" t="s">
        <v>1402</v>
      </c>
      <c r="J82" s="193" t="s">
        <v>1322</v>
      </c>
      <c r="K82" s="213">
        <v>6000</v>
      </c>
      <c r="L82" s="190"/>
      <c r="M82" s="205" t="s">
        <v>1551</v>
      </c>
      <c r="N82" s="218" t="s">
        <v>1395</v>
      </c>
      <c r="O82" s="234" t="s">
        <v>1396</v>
      </c>
      <c r="P82" s="209" t="s">
        <v>1325</v>
      </c>
    </row>
    <row r="83" spans="1:16" ht="26">
      <c r="A83" s="201" t="s">
        <v>1552</v>
      </c>
      <c r="B83" s="201">
        <f t="shared" si="2"/>
        <v>80</v>
      </c>
      <c r="C83" s="202" t="s">
        <v>1553</v>
      </c>
      <c r="D83" s="192" t="s">
        <v>634</v>
      </c>
      <c r="E83" s="224" t="s">
        <v>635</v>
      </c>
      <c r="F83" s="190"/>
      <c r="G83" s="202" t="s">
        <v>1443</v>
      </c>
      <c r="H83" s="202" t="s">
        <v>1320</v>
      </c>
      <c r="I83" s="202" t="s">
        <v>1402</v>
      </c>
      <c r="J83" s="193" t="s">
        <v>1322</v>
      </c>
      <c r="K83" s="204">
        <v>8000</v>
      </c>
      <c r="L83" s="190"/>
      <c r="M83" s="205" t="s">
        <v>1554</v>
      </c>
      <c r="N83" s="212" t="s">
        <v>1467</v>
      </c>
      <c r="O83" s="230" t="s">
        <v>1331</v>
      </c>
      <c r="P83" s="209" t="s">
        <v>1325</v>
      </c>
    </row>
    <row r="84" spans="1:16" ht="26">
      <c r="A84" s="201" t="s">
        <v>1555</v>
      </c>
      <c r="B84" s="201">
        <f t="shared" si="2"/>
        <v>81</v>
      </c>
      <c r="C84" s="202" t="s">
        <v>1556</v>
      </c>
      <c r="D84" s="192" t="s">
        <v>676</v>
      </c>
      <c r="E84" s="224" t="s">
        <v>1557</v>
      </c>
      <c r="F84" s="190"/>
      <c r="G84" s="202" t="s">
        <v>1443</v>
      </c>
      <c r="H84" s="202" t="s">
        <v>1320</v>
      </c>
      <c r="I84" s="202" t="s">
        <v>1402</v>
      </c>
      <c r="J84" s="193" t="s">
        <v>1322</v>
      </c>
      <c r="K84" s="204">
        <v>3500</v>
      </c>
      <c r="L84" s="190"/>
      <c r="M84" s="205" t="s">
        <v>707</v>
      </c>
      <c r="N84" s="212" t="s">
        <v>1434</v>
      </c>
      <c r="O84" s="230" t="s">
        <v>1348</v>
      </c>
      <c r="P84" s="209" t="s">
        <v>1325</v>
      </c>
    </row>
    <row r="85" spans="1:16" ht="26">
      <c r="A85" s="201" t="s">
        <v>1558</v>
      </c>
      <c r="B85" s="201">
        <f t="shared" si="2"/>
        <v>82</v>
      </c>
      <c r="C85" s="202" t="s">
        <v>1559</v>
      </c>
      <c r="D85" s="192" t="s">
        <v>1133</v>
      </c>
      <c r="E85" s="224" t="s">
        <v>1134</v>
      </c>
      <c r="F85" s="190"/>
      <c r="G85" s="202" t="s">
        <v>1389</v>
      </c>
      <c r="H85" s="202" t="s">
        <v>1320</v>
      </c>
      <c r="I85" s="202" t="s">
        <v>1402</v>
      </c>
      <c r="J85" s="193" t="s">
        <v>1322</v>
      </c>
      <c r="K85" s="204">
        <v>500</v>
      </c>
      <c r="L85" s="190"/>
      <c r="M85" s="205" t="s">
        <v>707</v>
      </c>
      <c r="N85" s="212" t="s">
        <v>1330</v>
      </c>
      <c r="O85" s="230" t="s">
        <v>1331</v>
      </c>
      <c r="P85" s="209" t="s">
        <v>1325</v>
      </c>
    </row>
    <row r="86" spans="1:16" ht="26">
      <c r="A86" s="201" t="s">
        <v>1560</v>
      </c>
      <c r="B86" s="201">
        <f t="shared" si="2"/>
        <v>83</v>
      </c>
      <c r="C86" s="202" t="s">
        <v>1561</v>
      </c>
      <c r="D86" s="192" t="s">
        <v>1133</v>
      </c>
      <c r="E86" s="224" t="s">
        <v>1134</v>
      </c>
      <c r="F86" s="190"/>
      <c r="G86" s="202" t="s">
        <v>1389</v>
      </c>
      <c r="H86" s="202" t="s">
        <v>1320</v>
      </c>
      <c r="I86" s="202" t="s">
        <v>1402</v>
      </c>
      <c r="J86" s="193" t="s">
        <v>1322</v>
      </c>
      <c r="K86" s="204">
        <v>18000</v>
      </c>
      <c r="L86" s="190"/>
      <c r="M86" s="205" t="s">
        <v>707</v>
      </c>
      <c r="N86" s="212" t="s">
        <v>1467</v>
      </c>
      <c r="O86" s="230" t="s">
        <v>1331</v>
      </c>
      <c r="P86" s="209" t="s">
        <v>1325</v>
      </c>
    </row>
    <row r="87" spans="1:16" ht="26">
      <c r="A87" s="201" t="s">
        <v>1562</v>
      </c>
      <c r="B87" s="201">
        <f t="shared" si="2"/>
        <v>84</v>
      </c>
      <c r="C87" s="202" t="s">
        <v>1563</v>
      </c>
      <c r="D87" s="192" t="s">
        <v>1071</v>
      </c>
      <c r="E87" s="224" t="s">
        <v>1072</v>
      </c>
      <c r="F87" s="190"/>
      <c r="G87" s="202" t="s">
        <v>1389</v>
      </c>
      <c r="H87" s="202" t="s">
        <v>1320</v>
      </c>
      <c r="I87" s="202" t="s">
        <v>1402</v>
      </c>
      <c r="J87" s="193" t="s">
        <v>1322</v>
      </c>
      <c r="K87" s="213">
        <v>2000</v>
      </c>
      <c r="L87" s="190"/>
      <c r="M87" s="205" t="s">
        <v>707</v>
      </c>
      <c r="N87" s="212" t="s">
        <v>1467</v>
      </c>
      <c r="O87" s="230" t="s">
        <v>1331</v>
      </c>
      <c r="P87" s="209" t="s">
        <v>1325</v>
      </c>
    </row>
    <row r="88" spans="1:16" ht="39">
      <c r="A88" s="201" t="s">
        <v>1564</v>
      </c>
      <c r="B88" s="201">
        <f t="shared" si="2"/>
        <v>85</v>
      </c>
      <c r="C88" s="202" t="s">
        <v>1565</v>
      </c>
      <c r="D88" s="221" t="s">
        <v>869</v>
      </c>
      <c r="E88" s="225" t="s">
        <v>870</v>
      </c>
      <c r="F88" s="190"/>
      <c r="G88" s="202" t="s">
        <v>1351</v>
      </c>
      <c r="H88" s="202" t="s">
        <v>1320</v>
      </c>
      <c r="I88" s="202" t="s">
        <v>1402</v>
      </c>
      <c r="J88" s="193" t="s">
        <v>1322</v>
      </c>
      <c r="K88" s="204">
        <v>2000</v>
      </c>
      <c r="L88" s="190"/>
      <c r="M88" s="205" t="s">
        <v>707</v>
      </c>
      <c r="N88" s="212" t="s">
        <v>1330</v>
      </c>
      <c r="O88" s="230" t="s">
        <v>1331</v>
      </c>
      <c r="P88" s="209" t="s">
        <v>1325</v>
      </c>
    </row>
    <row r="89" spans="1:16" ht="26">
      <c r="A89" s="201" t="s">
        <v>1566</v>
      </c>
      <c r="B89" s="201">
        <f t="shared" si="2"/>
        <v>86</v>
      </c>
      <c r="C89" s="202" t="s">
        <v>1567</v>
      </c>
      <c r="D89" s="192" t="s">
        <v>397</v>
      </c>
      <c r="E89" s="224" t="s">
        <v>398</v>
      </c>
      <c r="F89" s="190"/>
      <c r="G89" s="202" t="s">
        <v>1419</v>
      </c>
      <c r="H89" s="202" t="s">
        <v>1320</v>
      </c>
      <c r="I89" s="202" t="s">
        <v>1402</v>
      </c>
      <c r="J89" s="193" t="s">
        <v>1416</v>
      </c>
      <c r="K89" s="204">
        <v>2000</v>
      </c>
      <c r="L89" s="190"/>
      <c r="M89" s="205" t="s">
        <v>707</v>
      </c>
      <c r="N89" s="212" t="s">
        <v>1330</v>
      </c>
      <c r="O89" s="230" t="s">
        <v>1331</v>
      </c>
      <c r="P89" s="209" t="s">
        <v>1325</v>
      </c>
    </row>
    <row r="90" spans="1:16" ht="26">
      <c r="A90" s="201" t="s">
        <v>1568</v>
      </c>
      <c r="B90" s="201">
        <f t="shared" si="2"/>
        <v>87</v>
      </c>
      <c r="C90" s="209" t="s">
        <v>1569</v>
      </c>
      <c r="D90" s="192" t="s">
        <v>842</v>
      </c>
      <c r="E90" s="224" t="s">
        <v>1570</v>
      </c>
      <c r="F90" s="190"/>
      <c r="G90" s="202" t="s">
        <v>1351</v>
      </c>
      <c r="H90" s="202" t="s">
        <v>1320</v>
      </c>
      <c r="I90" s="202" t="s">
        <v>1402</v>
      </c>
      <c r="J90" s="193" t="s">
        <v>1322</v>
      </c>
      <c r="K90" s="213">
        <v>4500</v>
      </c>
      <c r="L90" s="190"/>
      <c r="M90" s="202" t="s">
        <v>707</v>
      </c>
      <c r="N90" s="212" t="s">
        <v>1330</v>
      </c>
      <c r="O90" s="230" t="s">
        <v>1331</v>
      </c>
      <c r="P90" s="209" t="s">
        <v>1325</v>
      </c>
    </row>
    <row r="91" spans="1:16" ht="26">
      <c r="A91" s="201" t="s">
        <v>1571</v>
      </c>
      <c r="B91" s="201">
        <f t="shared" si="2"/>
        <v>88</v>
      </c>
      <c r="C91" s="202" t="s">
        <v>1572</v>
      </c>
      <c r="D91" s="192" t="s">
        <v>624</v>
      </c>
      <c r="E91" s="224" t="s">
        <v>625</v>
      </c>
      <c r="F91" s="190"/>
      <c r="G91" s="202" t="s">
        <v>1443</v>
      </c>
      <c r="H91" s="202" t="s">
        <v>1320</v>
      </c>
      <c r="I91" s="202" t="s">
        <v>1402</v>
      </c>
      <c r="J91" s="193" t="s">
        <v>1322</v>
      </c>
      <c r="K91" s="204">
        <v>550</v>
      </c>
      <c r="L91" s="190"/>
      <c r="M91" s="205" t="s">
        <v>707</v>
      </c>
      <c r="N91" s="212" t="s">
        <v>1330</v>
      </c>
      <c r="O91" s="230" t="s">
        <v>1331</v>
      </c>
      <c r="P91" s="209" t="s">
        <v>1325</v>
      </c>
    </row>
    <row r="92" spans="1:16" ht="26">
      <c r="A92" s="201" t="s">
        <v>1573</v>
      </c>
      <c r="B92" s="201">
        <f t="shared" si="2"/>
        <v>89</v>
      </c>
      <c r="C92" s="202" t="s">
        <v>1574</v>
      </c>
      <c r="D92" s="192" t="s">
        <v>318</v>
      </c>
      <c r="E92" s="224" t="s">
        <v>319</v>
      </c>
      <c r="F92" s="190"/>
      <c r="G92" s="202" t="s">
        <v>1419</v>
      </c>
      <c r="H92" s="202" t="s">
        <v>1320</v>
      </c>
      <c r="I92" s="202" t="s">
        <v>1402</v>
      </c>
      <c r="J92" s="193" t="s">
        <v>1322</v>
      </c>
      <c r="K92" s="204">
        <v>3000</v>
      </c>
      <c r="L92" s="190"/>
      <c r="M92" s="205" t="s">
        <v>707</v>
      </c>
      <c r="N92" s="212" t="s">
        <v>1467</v>
      </c>
      <c r="O92" s="230" t="s">
        <v>1331</v>
      </c>
      <c r="P92" s="209" t="s">
        <v>1325</v>
      </c>
    </row>
    <row r="93" spans="1:16">
      <c r="A93" s="201" t="s">
        <v>1575</v>
      </c>
      <c r="B93" s="201">
        <f t="shared" si="2"/>
        <v>90</v>
      </c>
      <c r="C93" s="202" t="s">
        <v>1576</v>
      </c>
      <c r="D93" s="192" t="s">
        <v>1133</v>
      </c>
      <c r="E93" s="224" t="s">
        <v>1134</v>
      </c>
      <c r="F93" s="190"/>
      <c r="G93" s="202" t="s">
        <v>1389</v>
      </c>
      <c r="H93" s="202" t="s">
        <v>1320</v>
      </c>
      <c r="I93" s="202" t="s">
        <v>1577</v>
      </c>
      <c r="J93" s="193" t="s">
        <v>1322</v>
      </c>
      <c r="K93" s="213">
        <v>1000</v>
      </c>
      <c r="L93" s="190"/>
      <c r="M93" s="205" t="s">
        <v>707</v>
      </c>
      <c r="N93" s="218" t="s">
        <v>1330</v>
      </c>
      <c r="O93" s="230" t="s">
        <v>1331</v>
      </c>
      <c r="P93" s="209" t="s">
        <v>1325</v>
      </c>
    </row>
    <row r="94" spans="1:16">
      <c r="A94" s="201" t="s">
        <v>1578</v>
      </c>
      <c r="B94" s="201">
        <f t="shared" si="2"/>
        <v>91</v>
      </c>
      <c r="C94" s="202" t="s">
        <v>1579</v>
      </c>
      <c r="D94" s="192" t="s">
        <v>1133</v>
      </c>
      <c r="E94" s="224" t="s">
        <v>1134</v>
      </c>
      <c r="F94" s="190"/>
      <c r="G94" s="202" t="s">
        <v>1389</v>
      </c>
      <c r="H94" s="202" t="s">
        <v>1320</v>
      </c>
      <c r="I94" s="202" t="s">
        <v>1577</v>
      </c>
      <c r="J94" s="193" t="s">
        <v>1322</v>
      </c>
      <c r="K94" s="204">
        <v>5000</v>
      </c>
      <c r="L94" s="190"/>
      <c r="M94" s="205" t="s">
        <v>707</v>
      </c>
      <c r="N94" s="218" t="s">
        <v>1330</v>
      </c>
      <c r="O94" s="230" t="s">
        <v>1331</v>
      </c>
      <c r="P94" s="209" t="s">
        <v>1325</v>
      </c>
    </row>
    <row r="95" spans="1:16">
      <c r="A95" s="201" t="s">
        <v>1580</v>
      </c>
      <c r="B95" s="201">
        <f t="shared" si="2"/>
        <v>92</v>
      </c>
      <c r="C95" s="202" t="s">
        <v>1581</v>
      </c>
      <c r="D95" s="192" t="s">
        <v>783</v>
      </c>
      <c r="E95" s="224" t="s">
        <v>784</v>
      </c>
      <c r="F95" s="190"/>
      <c r="G95" s="202" t="s">
        <v>1351</v>
      </c>
      <c r="H95" s="202" t="s">
        <v>1320</v>
      </c>
      <c r="I95" s="202" t="s">
        <v>1577</v>
      </c>
      <c r="J95" s="193" t="s">
        <v>1322</v>
      </c>
      <c r="K95" s="204">
        <v>10000</v>
      </c>
      <c r="L95" s="190"/>
      <c r="M95" s="205" t="s">
        <v>707</v>
      </c>
      <c r="N95" s="212" t="s">
        <v>1434</v>
      </c>
      <c r="O95" s="230" t="s">
        <v>1348</v>
      </c>
      <c r="P95" s="209" t="s">
        <v>1325</v>
      </c>
    </row>
    <row r="96" spans="1:16">
      <c r="A96" s="201" t="s">
        <v>1582</v>
      </c>
      <c r="B96" s="201">
        <f t="shared" si="2"/>
        <v>93</v>
      </c>
      <c r="C96" s="202" t="s">
        <v>1583</v>
      </c>
      <c r="D96" s="192" t="s">
        <v>783</v>
      </c>
      <c r="E96" s="224" t="s">
        <v>784</v>
      </c>
      <c r="F96" s="190"/>
      <c r="G96" s="202" t="s">
        <v>1351</v>
      </c>
      <c r="H96" s="202" t="s">
        <v>1320</v>
      </c>
      <c r="I96" s="202" t="s">
        <v>1577</v>
      </c>
      <c r="J96" s="193" t="s">
        <v>1322</v>
      </c>
      <c r="K96" s="213">
        <v>6000</v>
      </c>
      <c r="L96" s="190"/>
      <c r="M96" s="205" t="s">
        <v>707</v>
      </c>
      <c r="N96" s="218" t="s">
        <v>1330</v>
      </c>
      <c r="O96" s="230" t="s">
        <v>1331</v>
      </c>
      <c r="P96" s="209" t="s">
        <v>1325</v>
      </c>
    </row>
    <row r="97" spans="1:16" ht="26">
      <c r="A97" s="201" t="s">
        <v>1584</v>
      </c>
      <c r="B97" s="201">
        <f t="shared" si="2"/>
        <v>94</v>
      </c>
      <c r="C97" s="202" t="s">
        <v>1585</v>
      </c>
      <c r="D97" s="192" t="s">
        <v>359</v>
      </c>
      <c r="E97" s="224" t="s">
        <v>360</v>
      </c>
      <c r="F97" s="190"/>
      <c r="G97" s="202" t="s">
        <v>1419</v>
      </c>
      <c r="H97" s="202" t="s">
        <v>1320</v>
      </c>
      <c r="I97" s="202" t="s">
        <v>1577</v>
      </c>
      <c r="J97" s="193" t="s">
        <v>1322</v>
      </c>
      <c r="K97" s="204">
        <v>18000</v>
      </c>
      <c r="L97" s="190"/>
      <c r="M97" s="205" t="s">
        <v>707</v>
      </c>
      <c r="N97" s="212" t="s">
        <v>1467</v>
      </c>
      <c r="O97" s="230" t="s">
        <v>1331</v>
      </c>
      <c r="P97" s="209" t="s">
        <v>1325</v>
      </c>
    </row>
    <row r="98" spans="1:16">
      <c r="A98" s="201" t="s">
        <v>1586</v>
      </c>
      <c r="B98" s="201">
        <f t="shared" si="2"/>
        <v>95</v>
      </c>
      <c r="C98" s="202" t="s">
        <v>1587</v>
      </c>
      <c r="D98" s="192" t="s">
        <v>1133</v>
      </c>
      <c r="E98" s="224" t="s">
        <v>1134</v>
      </c>
      <c r="F98" s="190"/>
      <c r="G98" s="202" t="s">
        <v>1389</v>
      </c>
      <c r="H98" s="202" t="s">
        <v>1320</v>
      </c>
      <c r="I98" s="202" t="s">
        <v>1577</v>
      </c>
      <c r="J98" s="193" t="s">
        <v>1322</v>
      </c>
      <c r="K98" s="204">
        <v>6000</v>
      </c>
      <c r="L98" s="190"/>
      <c r="M98" s="205" t="s">
        <v>707</v>
      </c>
      <c r="N98" s="212" t="s">
        <v>1467</v>
      </c>
      <c r="O98" s="230" t="s">
        <v>1331</v>
      </c>
      <c r="P98" s="209" t="s">
        <v>1325</v>
      </c>
    </row>
    <row r="99" spans="1:16">
      <c r="A99" s="201" t="s">
        <v>1588</v>
      </c>
      <c r="B99" s="201">
        <f t="shared" si="2"/>
        <v>96</v>
      </c>
      <c r="C99" s="202" t="s">
        <v>1589</v>
      </c>
      <c r="D99" s="192" t="s">
        <v>1133</v>
      </c>
      <c r="E99" s="224" t="s">
        <v>1134</v>
      </c>
      <c r="F99" s="190"/>
      <c r="G99" s="202" t="s">
        <v>1389</v>
      </c>
      <c r="H99" s="202" t="s">
        <v>1320</v>
      </c>
      <c r="I99" s="202" t="s">
        <v>1577</v>
      </c>
      <c r="J99" s="193" t="s">
        <v>1322</v>
      </c>
      <c r="K99" s="204">
        <v>500</v>
      </c>
      <c r="L99" s="190"/>
      <c r="M99" s="205" t="s">
        <v>1590</v>
      </c>
      <c r="N99" s="212" t="s">
        <v>1330</v>
      </c>
      <c r="O99" s="230" t="s">
        <v>1331</v>
      </c>
      <c r="P99" s="209" t="s">
        <v>1325</v>
      </c>
    </row>
    <row r="100" spans="1:16" ht="26">
      <c r="A100" s="201" t="s">
        <v>1591</v>
      </c>
      <c r="B100" s="201">
        <f t="shared" si="2"/>
        <v>97</v>
      </c>
      <c r="C100" s="202" t="s">
        <v>1592</v>
      </c>
      <c r="D100" s="192" t="s">
        <v>1097</v>
      </c>
      <c r="E100" s="224" t="s">
        <v>1098</v>
      </c>
      <c r="F100" s="190"/>
      <c r="G100" s="202" t="s">
        <v>1389</v>
      </c>
      <c r="H100" s="202" t="s">
        <v>1320</v>
      </c>
      <c r="I100" s="202" t="s">
        <v>1577</v>
      </c>
      <c r="J100" s="193" t="s">
        <v>1322</v>
      </c>
      <c r="K100" s="204">
        <v>7500</v>
      </c>
      <c r="L100" s="190"/>
      <c r="M100" s="205" t="s">
        <v>1593</v>
      </c>
      <c r="N100" s="212" t="s">
        <v>1594</v>
      </c>
      <c r="O100" s="231" t="s">
        <v>1331</v>
      </c>
      <c r="P100" s="209" t="s">
        <v>1325</v>
      </c>
    </row>
    <row r="101" spans="1:16">
      <c r="A101" s="201" t="s">
        <v>1595</v>
      </c>
      <c r="B101" s="201">
        <f t="shared" ref="B101:B132" si="3">B100+1</f>
        <v>98</v>
      </c>
      <c r="C101" s="202" t="s">
        <v>1596</v>
      </c>
      <c r="D101" s="192" t="s">
        <v>849</v>
      </c>
      <c r="E101" s="224" t="s">
        <v>1597</v>
      </c>
      <c r="F101" s="190"/>
      <c r="G101" s="202" t="s">
        <v>1351</v>
      </c>
      <c r="H101" s="202" t="s">
        <v>1320</v>
      </c>
      <c r="I101" s="202" t="s">
        <v>1413</v>
      </c>
      <c r="J101" s="193" t="s">
        <v>1345</v>
      </c>
      <c r="K101" s="204">
        <v>2000</v>
      </c>
      <c r="L101" s="190"/>
      <c r="M101" s="205" t="s">
        <v>1464</v>
      </c>
      <c r="N101" s="215" t="s">
        <v>1330</v>
      </c>
      <c r="O101" s="230" t="s">
        <v>1331</v>
      </c>
      <c r="P101" s="209" t="s">
        <v>1325</v>
      </c>
    </row>
    <row r="102" spans="1:16">
      <c r="A102" s="201" t="s">
        <v>1598</v>
      </c>
      <c r="B102" s="201">
        <f t="shared" si="3"/>
        <v>99</v>
      </c>
      <c r="C102" s="202" t="s">
        <v>2032</v>
      </c>
      <c r="D102" s="192" t="s">
        <v>835</v>
      </c>
      <c r="E102" s="224" t="s">
        <v>1540</v>
      </c>
      <c r="F102" s="190"/>
      <c r="G102" s="202" t="s">
        <v>1351</v>
      </c>
      <c r="H102" s="202" t="s">
        <v>1320</v>
      </c>
      <c r="I102" s="202" t="s">
        <v>1599</v>
      </c>
      <c r="J102" s="193" t="s">
        <v>1322</v>
      </c>
      <c r="K102" s="204">
        <v>18000</v>
      </c>
      <c r="L102" s="190"/>
      <c r="M102" s="205" t="s">
        <v>707</v>
      </c>
      <c r="N102" s="215" t="s">
        <v>1330</v>
      </c>
      <c r="O102" s="230" t="s">
        <v>1331</v>
      </c>
      <c r="P102" s="209" t="s">
        <v>1325</v>
      </c>
    </row>
    <row r="103" spans="1:16" ht="26">
      <c r="A103" s="192" t="s">
        <v>1600</v>
      </c>
      <c r="B103" s="201">
        <f t="shared" si="3"/>
        <v>100</v>
      </c>
      <c r="C103" s="202" t="s">
        <v>1601</v>
      </c>
      <c r="D103" s="192" t="s">
        <v>1259</v>
      </c>
      <c r="E103" s="224" t="s">
        <v>1260</v>
      </c>
      <c r="F103" s="190"/>
      <c r="G103" s="190" t="s">
        <v>1319</v>
      </c>
      <c r="H103" s="202" t="s">
        <v>1320</v>
      </c>
      <c r="I103" s="202" t="s">
        <v>1602</v>
      </c>
      <c r="J103" s="193" t="s">
        <v>1399</v>
      </c>
      <c r="K103" s="204">
        <v>300</v>
      </c>
      <c r="L103" s="190"/>
      <c r="M103" s="205" t="s">
        <v>707</v>
      </c>
      <c r="N103" s="214" t="s">
        <v>1395</v>
      </c>
      <c r="O103" s="232" t="s">
        <v>1396</v>
      </c>
      <c r="P103" s="209" t="s">
        <v>1325</v>
      </c>
    </row>
    <row r="104" spans="1:16">
      <c r="A104" s="192" t="s">
        <v>1603</v>
      </c>
      <c r="B104" s="201">
        <f t="shared" si="3"/>
        <v>101</v>
      </c>
      <c r="C104" s="202" t="s">
        <v>1604</v>
      </c>
      <c r="D104" s="192" t="s">
        <v>1224</v>
      </c>
      <c r="E104" s="224" t="s">
        <v>1225</v>
      </c>
      <c r="F104" s="190"/>
      <c r="G104" s="190" t="s">
        <v>1319</v>
      </c>
      <c r="H104" s="202" t="s">
        <v>1320</v>
      </c>
      <c r="I104" s="202" t="s">
        <v>1605</v>
      </c>
      <c r="J104" s="193" t="s">
        <v>1322</v>
      </c>
      <c r="K104" s="204">
        <v>2500</v>
      </c>
      <c r="L104" s="190"/>
      <c r="M104" s="205" t="s">
        <v>707</v>
      </c>
      <c r="N104" s="212" t="s">
        <v>1347</v>
      </c>
      <c r="O104" s="230" t="s">
        <v>1348</v>
      </c>
      <c r="P104" s="209" t="s">
        <v>1325</v>
      </c>
    </row>
    <row r="105" spans="1:16" ht="39">
      <c r="A105" s="201" t="s">
        <v>1606</v>
      </c>
      <c r="B105" s="201">
        <f t="shared" si="3"/>
        <v>102</v>
      </c>
      <c r="C105" s="202" t="s">
        <v>1607</v>
      </c>
      <c r="D105" s="221" t="s">
        <v>869</v>
      </c>
      <c r="E105" s="225" t="s">
        <v>870</v>
      </c>
      <c r="F105" s="190"/>
      <c r="G105" s="202" t="s">
        <v>1351</v>
      </c>
      <c r="H105" s="202" t="s">
        <v>1320</v>
      </c>
      <c r="I105" s="202" t="s">
        <v>1608</v>
      </c>
      <c r="J105" s="193" t="s">
        <v>1322</v>
      </c>
      <c r="K105" s="213">
        <v>1800</v>
      </c>
      <c r="L105" s="190"/>
      <c r="M105" s="205" t="s">
        <v>707</v>
      </c>
      <c r="N105" s="212" t="s">
        <v>1347</v>
      </c>
      <c r="O105" s="230" t="s">
        <v>1348</v>
      </c>
      <c r="P105" s="209" t="s">
        <v>1325</v>
      </c>
    </row>
    <row r="106" spans="1:16">
      <c r="A106" s="201" t="s">
        <v>1609</v>
      </c>
      <c r="B106" s="201">
        <f t="shared" si="3"/>
        <v>103</v>
      </c>
      <c r="C106" s="202" t="s">
        <v>1610</v>
      </c>
      <c r="D106" s="192" t="s">
        <v>700</v>
      </c>
      <c r="E106" s="224" t="s">
        <v>1611</v>
      </c>
      <c r="F106" s="190"/>
      <c r="G106" s="202" t="s">
        <v>1351</v>
      </c>
      <c r="H106" s="202" t="s">
        <v>1320</v>
      </c>
      <c r="I106" s="202" t="s">
        <v>1608</v>
      </c>
      <c r="J106" s="193" t="s">
        <v>1322</v>
      </c>
      <c r="K106" s="204">
        <v>450</v>
      </c>
      <c r="L106" s="190"/>
      <c r="M106" s="205" t="s">
        <v>707</v>
      </c>
      <c r="N106" s="209" t="s">
        <v>1434</v>
      </c>
      <c r="O106" s="230" t="s">
        <v>1348</v>
      </c>
      <c r="P106" s="209" t="s">
        <v>1325</v>
      </c>
    </row>
    <row r="107" spans="1:16" ht="39">
      <c r="A107" s="201" t="s">
        <v>1612</v>
      </c>
      <c r="B107" s="201">
        <f t="shared" si="3"/>
        <v>104</v>
      </c>
      <c r="C107" s="202" t="s">
        <v>1613</v>
      </c>
      <c r="D107" s="192" t="s">
        <v>869</v>
      </c>
      <c r="E107" s="225" t="s">
        <v>870</v>
      </c>
      <c r="F107" s="190"/>
      <c r="G107" s="202" t="s">
        <v>1351</v>
      </c>
      <c r="H107" s="202" t="s">
        <v>1320</v>
      </c>
      <c r="I107" s="202" t="s">
        <v>1608</v>
      </c>
      <c r="J107" s="193" t="s">
        <v>1322</v>
      </c>
      <c r="K107" s="204">
        <f>18150-4570.17</f>
        <v>13579.83</v>
      </c>
      <c r="L107" s="190"/>
      <c r="M107" s="205" t="s">
        <v>707</v>
      </c>
      <c r="N107" s="212" t="s">
        <v>1330</v>
      </c>
      <c r="O107" s="230" t="s">
        <v>1331</v>
      </c>
      <c r="P107" s="209" t="s">
        <v>1325</v>
      </c>
    </row>
    <row r="108" spans="1:16">
      <c r="A108" s="192" t="s">
        <v>1614</v>
      </c>
      <c r="B108" s="201">
        <f t="shared" si="3"/>
        <v>105</v>
      </c>
      <c r="C108" s="202" t="s">
        <v>1615</v>
      </c>
      <c r="D108" s="192" t="s">
        <v>1224</v>
      </c>
      <c r="E108" s="224" t="s">
        <v>1225</v>
      </c>
      <c r="F108" s="190"/>
      <c r="G108" s="190" t="s">
        <v>1319</v>
      </c>
      <c r="H108" s="202" t="s">
        <v>1320</v>
      </c>
      <c r="I108" s="202" t="s">
        <v>1352</v>
      </c>
      <c r="J108" s="193" t="s">
        <v>1322</v>
      </c>
      <c r="K108" s="213">
        <v>9000</v>
      </c>
      <c r="L108" s="190"/>
      <c r="M108" s="205" t="s">
        <v>707</v>
      </c>
      <c r="N108" s="212" t="s">
        <v>1347</v>
      </c>
      <c r="O108" s="230" t="s">
        <v>1348</v>
      </c>
      <c r="P108" s="209" t="s">
        <v>1325</v>
      </c>
    </row>
    <row r="109" spans="1:16" ht="39">
      <c r="A109" s="201" t="s">
        <v>1616</v>
      </c>
      <c r="B109" s="201">
        <f t="shared" si="3"/>
        <v>106</v>
      </c>
      <c r="C109" s="202" t="s">
        <v>1617</v>
      </c>
      <c r="D109" s="192" t="s">
        <v>869</v>
      </c>
      <c r="E109" s="225" t="s">
        <v>870</v>
      </c>
      <c r="F109" s="190"/>
      <c r="G109" s="202" t="s">
        <v>1351</v>
      </c>
      <c r="H109" s="202" t="s">
        <v>1320</v>
      </c>
      <c r="I109" s="202" t="s">
        <v>1352</v>
      </c>
      <c r="J109" s="193" t="s">
        <v>1322</v>
      </c>
      <c r="K109" s="213">
        <v>500</v>
      </c>
      <c r="L109" s="190"/>
      <c r="M109" s="205" t="s">
        <v>707</v>
      </c>
      <c r="N109" s="218" t="s">
        <v>1347</v>
      </c>
      <c r="O109" s="230" t="s">
        <v>1348</v>
      </c>
      <c r="P109" s="209" t="s">
        <v>1325</v>
      </c>
    </row>
    <row r="110" spans="1:16" ht="26">
      <c r="A110" s="201" t="s">
        <v>1618</v>
      </c>
      <c r="B110" s="201">
        <f t="shared" si="3"/>
        <v>107</v>
      </c>
      <c r="C110" s="202" t="s">
        <v>1619</v>
      </c>
      <c r="D110" s="192" t="s">
        <v>769</v>
      </c>
      <c r="E110" s="224" t="s">
        <v>1620</v>
      </c>
      <c r="F110" s="190"/>
      <c r="G110" s="202" t="s">
        <v>1351</v>
      </c>
      <c r="H110" s="202" t="s">
        <v>1320</v>
      </c>
      <c r="I110" s="202" t="s">
        <v>1352</v>
      </c>
      <c r="J110" s="193" t="s">
        <v>1345</v>
      </c>
      <c r="K110" s="213">
        <v>3000</v>
      </c>
      <c r="L110" s="190"/>
      <c r="M110" s="205" t="s">
        <v>707</v>
      </c>
      <c r="N110" s="218" t="s">
        <v>1347</v>
      </c>
      <c r="O110" s="230" t="s">
        <v>1348</v>
      </c>
      <c r="P110" s="209" t="s">
        <v>1325</v>
      </c>
    </row>
    <row r="111" spans="1:16">
      <c r="A111" s="192" t="s">
        <v>1621</v>
      </c>
      <c r="B111" s="201">
        <f t="shared" si="3"/>
        <v>108</v>
      </c>
      <c r="C111" s="202" t="s">
        <v>1622</v>
      </c>
      <c r="D111" s="192" t="s">
        <v>1224</v>
      </c>
      <c r="E111" s="224" t="s">
        <v>1225</v>
      </c>
      <c r="F111" s="190"/>
      <c r="G111" s="190" t="s">
        <v>1319</v>
      </c>
      <c r="H111" s="202" t="s">
        <v>1320</v>
      </c>
      <c r="I111" s="202" t="s">
        <v>1352</v>
      </c>
      <c r="J111" s="193" t="s">
        <v>1322</v>
      </c>
      <c r="K111" s="213">
        <v>4000</v>
      </c>
      <c r="L111" s="190"/>
      <c r="M111" s="205" t="s">
        <v>707</v>
      </c>
      <c r="N111" s="212" t="s">
        <v>1347</v>
      </c>
      <c r="O111" s="230" t="s">
        <v>1348</v>
      </c>
      <c r="P111" s="209" t="s">
        <v>1325</v>
      </c>
    </row>
    <row r="112" spans="1:16" ht="26">
      <c r="A112" s="201" t="s">
        <v>1623</v>
      </c>
      <c r="B112" s="201">
        <f t="shared" si="3"/>
        <v>109</v>
      </c>
      <c r="C112" s="202" t="s">
        <v>1624</v>
      </c>
      <c r="D112" s="192" t="s">
        <v>926</v>
      </c>
      <c r="E112" s="224" t="s">
        <v>927</v>
      </c>
      <c r="F112" s="190"/>
      <c r="G112" s="202" t="s">
        <v>1351</v>
      </c>
      <c r="H112" s="202" t="s">
        <v>1320</v>
      </c>
      <c r="I112" s="202" t="s">
        <v>1352</v>
      </c>
      <c r="J112" s="193" t="s">
        <v>1322</v>
      </c>
      <c r="K112" s="213">
        <v>500</v>
      </c>
      <c r="L112" s="190"/>
      <c r="M112" s="205" t="s">
        <v>707</v>
      </c>
      <c r="N112" s="218" t="s">
        <v>1347</v>
      </c>
      <c r="O112" s="230" t="s">
        <v>1348</v>
      </c>
      <c r="P112" s="209" t="s">
        <v>1325</v>
      </c>
    </row>
    <row r="113" spans="1:16" ht="26">
      <c r="A113" s="201" t="s">
        <v>1625</v>
      </c>
      <c r="B113" s="201">
        <f t="shared" si="3"/>
        <v>110</v>
      </c>
      <c r="C113" s="202" t="s">
        <v>1626</v>
      </c>
      <c r="D113" s="192" t="s">
        <v>601</v>
      </c>
      <c r="E113" s="224" t="s">
        <v>602</v>
      </c>
      <c r="F113" s="190"/>
      <c r="G113" s="202" t="s">
        <v>1443</v>
      </c>
      <c r="H113" s="202" t="s">
        <v>1320</v>
      </c>
      <c r="I113" s="202" t="s">
        <v>1352</v>
      </c>
      <c r="J113" s="193" t="s">
        <v>1446</v>
      </c>
      <c r="K113" s="213">
        <v>4000</v>
      </c>
      <c r="L113" s="190"/>
      <c r="M113" s="211" t="s">
        <v>1627</v>
      </c>
      <c r="N113" s="218" t="s">
        <v>1434</v>
      </c>
      <c r="O113" s="230" t="s">
        <v>1348</v>
      </c>
      <c r="P113" s="209" t="s">
        <v>1325</v>
      </c>
    </row>
    <row r="114" spans="1:16" ht="26">
      <c r="A114" s="201" t="s">
        <v>1628</v>
      </c>
      <c r="B114" s="201">
        <f t="shared" si="3"/>
        <v>111</v>
      </c>
      <c r="C114" s="202" t="s">
        <v>1629</v>
      </c>
      <c r="D114" s="192" t="s">
        <v>769</v>
      </c>
      <c r="E114" s="224" t="s">
        <v>1620</v>
      </c>
      <c r="F114" s="190"/>
      <c r="G114" s="202" t="s">
        <v>1351</v>
      </c>
      <c r="H114" s="202" t="s">
        <v>1320</v>
      </c>
      <c r="I114" s="202" t="s">
        <v>1352</v>
      </c>
      <c r="J114" s="193" t="s">
        <v>1345</v>
      </c>
      <c r="K114" s="204">
        <v>1500</v>
      </c>
      <c r="L114" s="190"/>
      <c r="M114" s="205" t="s">
        <v>1630</v>
      </c>
      <c r="N114" s="218" t="s">
        <v>1434</v>
      </c>
      <c r="O114" s="230" t="s">
        <v>1348</v>
      </c>
      <c r="P114" s="209" t="s">
        <v>131</v>
      </c>
    </row>
    <row r="115" spans="1:16" ht="26">
      <c r="A115" s="201" t="s">
        <v>1631</v>
      </c>
      <c r="B115" s="201">
        <f t="shared" si="3"/>
        <v>112</v>
      </c>
      <c r="C115" s="202" t="s">
        <v>1632</v>
      </c>
      <c r="D115" s="192" t="s">
        <v>906</v>
      </c>
      <c r="E115" s="224" t="s">
        <v>907</v>
      </c>
      <c r="F115" s="190"/>
      <c r="G115" s="202" t="s">
        <v>1351</v>
      </c>
      <c r="H115" s="202" t="s">
        <v>1320</v>
      </c>
      <c r="I115" s="202" t="s">
        <v>1352</v>
      </c>
      <c r="J115" s="193" t="s">
        <v>1416</v>
      </c>
      <c r="K115" s="204">
        <v>784.08</v>
      </c>
      <c r="L115" s="190"/>
      <c r="M115" s="205" t="s">
        <v>707</v>
      </c>
      <c r="N115" s="218" t="s">
        <v>1434</v>
      </c>
      <c r="O115" s="230" t="s">
        <v>1348</v>
      </c>
      <c r="P115" s="209" t="s">
        <v>1325</v>
      </c>
    </row>
    <row r="116" spans="1:16">
      <c r="A116" s="192" t="s">
        <v>1633</v>
      </c>
      <c r="B116" s="201">
        <f t="shared" si="3"/>
        <v>113</v>
      </c>
      <c r="C116" s="202" t="s">
        <v>1634</v>
      </c>
      <c r="D116" s="192" t="s">
        <v>1224</v>
      </c>
      <c r="E116" s="224" t="s">
        <v>1225</v>
      </c>
      <c r="F116" s="190"/>
      <c r="G116" s="190" t="s">
        <v>1319</v>
      </c>
      <c r="H116" s="202" t="s">
        <v>1320</v>
      </c>
      <c r="I116" s="202" t="s">
        <v>1365</v>
      </c>
      <c r="J116" s="193" t="s">
        <v>1322</v>
      </c>
      <c r="K116" s="204">
        <v>50</v>
      </c>
      <c r="L116" s="190"/>
      <c r="M116" s="205" t="s">
        <v>707</v>
      </c>
      <c r="N116" s="209" t="s">
        <v>1323</v>
      </c>
      <c r="O116" s="226" t="s">
        <v>1324</v>
      </c>
      <c r="P116" s="209" t="s">
        <v>1325</v>
      </c>
    </row>
    <row r="117" spans="1:16">
      <c r="A117" s="192" t="s">
        <v>1408</v>
      </c>
      <c r="B117" s="201">
        <f t="shared" si="3"/>
        <v>114</v>
      </c>
      <c r="C117" s="202" t="s">
        <v>2024</v>
      </c>
      <c r="D117" s="192" t="s">
        <v>1224</v>
      </c>
      <c r="E117" s="224" t="s">
        <v>1225</v>
      </c>
      <c r="F117" s="190"/>
      <c r="G117" s="190" t="s">
        <v>1319</v>
      </c>
      <c r="H117" s="202" t="s">
        <v>1320</v>
      </c>
      <c r="I117" s="202" t="s">
        <v>1373</v>
      </c>
      <c r="J117" s="193" t="s">
        <v>1322</v>
      </c>
      <c r="K117" s="213">
        <v>8000</v>
      </c>
      <c r="L117" s="190"/>
      <c r="M117" s="205" t="s">
        <v>1635</v>
      </c>
      <c r="N117" s="218" t="s">
        <v>1347</v>
      </c>
      <c r="O117" s="230" t="s">
        <v>1348</v>
      </c>
      <c r="P117" s="209" t="s">
        <v>1325</v>
      </c>
    </row>
    <row r="118" spans="1:16">
      <c r="A118" s="192" t="s">
        <v>1636</v>
      </c>
      <c r="B118" s="201">
        <f t="shared" si="3"/>
        <v>115</v>
      </c>
      <c r="C118" s="202" t="s">
        <v>2022</v>
      </c>
      <c r="D118" s="192" t="s">
        <v>1224</v>
      </c>
      <c r="E118" s="224" t="s">
        <v>1225</v>
      </c>
      <c r="F118" s="190"/>
      <c r="G118" s="190" t="s">
        <v>1319</v>
      </c>
      <c r="H118" s="202" t="s">
        <v>1320</v>
      </c>
      <c r="I118" s="202" t="s">
        <v>1373</v>
      </c>
      <c r="J118" s="193" t="s">
        <v>1322</v>
      </c>
      <c r="K118" s="204">
        <v>9000</v>
      </c>
      <c r="L118" s="190"/>
      <c r="M118" s="205" t="s">
        <v>707</v>
      </c>
      <c r="N118" s="212" t="s">
        <v>1347</v>
      </c>
      <c r="O118" s="230" t="s">
        <v>1348</v>
      </c>
      <c r="P118" s="209" t="s">
        <v>1325</v>
      </c>
    </row>
    <row r="119" spans="1:16">
      <c r="A119" s="192" t="s">
        <v>1637</v>
      </c>
      <c r="B119" s="201">
        <f t="shared" si="3"/>
        <v>116</v>
      </c>
      <c r="C119" s="190" t="s">
        <v>2023</v>
      </c>
      <c r="D119" s="192" t="s">
        <v>1224</v>
      </c>
      <c r="E119" s="224" t="s">
        <v>1225</v>
      </c>
      <c r="F119" s="190"/>
      <c r="G119" s="190" t="s">
        <v>1319</v>
      </c>
      <c r="H119" s="202" t="s">
        <v>1320</v>
      </c>
      <c r="I119" s="202" t="s">
        <v>1373</v>
      </c>
      <c r="J119" s="193" t="s">
        <v>1322</v>
      </c>
      <c r="K119" s="213">
        <v>12000</v>
      </c>
      <c r="L119" s="190"/>
      <c r="M119" s="205" t="s">
        <v>707</v>
      </c>
      <c r="N119" s="212" t="s">
        <v>1347</v>
      </c>
      <c r="O119" s="230" t="s">
        <v>1348</v>
      </c>
      <c r="P119" s="209" t="s">
        <v>1325</v>
      </c>
    </row>
    <row r="120" spans="1:16" ht="39">
      <c r="A120" s="201" t="s">
        <v>1638</v>
      </c>
      <c r="B120" s="201">
        <f t="shared" si="3"/>
        <v>117</v>
      </c>
      <c r="C120" s="202" t="s">
        <v>1639</v>
      </c>
      <c r="D120" s="192" t="s">
        <v>271</v>
      </c>
      <c r="E120" s="224" t="s">
        <v>272</v>
      </c>
      <c r="F120" s="190"/>
      <c r="G120" s="202" t="s">
        <v>1344</v>
      </c>
      <c r="H120" s="202" t="s">
        <v>1320</v>
      </c>
      <c r="I120" s="202" t="s">
        <v>1373</v>
      </c>
      <c r="J120" s="193" t="s">
        <v>1456</v>
      </c>
      <c r="K120" s="204">
        <v>1000</v>
      </c>
      <c r="L120" s="190"/>
      <c r="M120" s="202" t="s">
        <v>707</v>
      </c>
      <c r="N120" s="209" t="s">
        <v>1434</v>
      </c>
      <c r="O120" s="230" t="s">
        <v>1348</v>
      </c>
      <c r="P120" s="209" t="s">
        <v>1325</v>
      </c>
    </row>
    <row r="121" spans="1:16" ht="26">
      <c r="A121" s="201" t="s">
        <v>1640</v>
      </c>
      <c r="B121" s="201">
        <f t="shared" si="3"/>
        <v>118</v>
      </c>
      <c r="C121" s="202" t="s">
        <v>1641</v>
      </c>
      <c r="D121" s="192" t="s">
        <v>926</v>
      </c>
      <c r="E121" s="224" t="s">
        <v>927</v>
      </c>
      <c r="F121" s="190"/>
      <c r="G121" s="202" t="s">
        <v>1351</v>
      </c>
      <c r="H121" s="202" t="s">
        <v>1320</v>
      </c>
      <c r="I121" s="202" t="s">
        <v>1373</v>
      </c>
      <c r="J121" s="193" t="s">
        <v>1322</v>
      </c>
      <c r="K121" s="213">
        <v>500</v>
      </c>
      <c r="L121" s="190"/>
      <c r="M121" s="205" t="s">
        <v>707</v>
      </c>
      <c r="N121" s="212" t="s">
        <v>1347</v>
      </c>
      <c r="O121" s="230" t="s">
        <v>1348</v>
      </c>
      <c r="P121" s="209" t="s">
        <v>1325</v>
      </c>
    </row>
    <row r="122" spans="1:16" ht="26">
      <c r="A122" s="201" t="s">
        <v>1642</v>
      </c>
      <c r="B122" s="201">
        <f t="shared" si="3"/>
        <v>119</v>
      </c>
      <c r="C122" s="202" t="s">
        <v>1643</v>
      </c>
      <c r="D122" s="192" t="s">
        <v>407</v>
      </c>
      <c r="E122" s="224" t="s">
        <v>408</v>
      </c>
      <c r="F122" s="190"/>
      <c r="G122" s="202" t="s">
        <v>1419</v>
      </c>
      <c r="H122" s="202" t="s">
        <v>1320</v>
      </c>
      <c r="I122" s="202" t="s">
        <v>1373</v>
      </c>
      <c r="J122" s="193" t="s">
        <v>1345</v>
      </c>
      <c r="K122" s="204">
        <v>2600</v>
      </c>
      <c r="L122" s="190"/>
      <c r="M122" s="202" t="s">
        <v>1644</v>
      </c>
      <c r="N122" s="209" t="s">
        <v>1434</v>
      </c>
      <c r="O122" s="230" t="s">
        <v>1348</v>
      </c>
      <c r="P122" s="209" t="s">
        <v>1325</v>
      </c>
    </row>
    <row r="123" spans="1:16" ht="39">
      <c r="A123" s="201" t="s">
        <v>1645</v>
      </c>
      <c r="B123" s="201">
        <f t="shared" si="3"/>
        <v>120</v>
      </c>
      <c r="C123" s="202" t="s">
        <v>1646</v>
      </c>
      <c r="D123" s="221" t="s">
        <v>869</v>
      </c>
      <c r="E123" s="225" t="s">
        <v>870</v>
      </c>
      <c r="F123" s="190"/>
      <c r="G123" s="202" t="s">
        <v>1351</v>
      </c>
      <c r="H123" s="202" t="s">
        <v>1320</v>
      </c>
      <c r="I123" s="202" t="s">
        <v>1373</v>
      </c>
      <c r="J123" s="193" t="s">
        <v>1322</v>
      </c>
      <c r="K123" s="204">
        <v>300</v>
      </c>
      <c r="L123" s="190"/>
      <c r="M123" s="202" t="s">
        <v>707</v>
      </c>
      <c r="N123" s="209" t="s">
        <v>1347</v>
      </c>
      <c r="O123" s="230" t="s">
        <v>1348</v>
      </c>
      <c r="P123" s="209" t="s">
        <v>1325</v>
      </c>
    </row>
    <row r="124" spans="1:16">
      <c r="A124" s="192" t="s">
        <v>1647</v>
      </c>
      <c r="B124" s="201">
        <f t="shared" si="3"/>
        <v>121</v>
      </c>
      <c r="C124" s="202" t="s">
        <v>2026</v>
      </c>
      <c r="D124" s="192" t="s">
        <v>1224</v>
      </c>
      <c r="E124" s="224" t="s">
        <v>1225</v>
      </c>
      <c r="F124" s="190"/>
      <c r="G124" s="190" t="s">
        <v>1319</v>
      </c>
      <c r="H124" s="202" t="s">
        <v>1320</v>
      </c>
      <c r="I124" s="202" t="s">
        <v>1381</v>
      </c>
      <c r="J124" s="193" t="s">
        <v>1322</v>
      </c>
      <c r="K124" s="204">
        <v>18150</v>
      </c>
      <c r="L124" s="190"/>
      <c r="M124" s="205" t="s">
        <v>1648</v>
      </c>
      <c r="N124" s="209" t="s">
        <v>1434</v>
      </c>
      <c r="O124" s="230" t="s">
        <v>1348</v>
      </c>
      <c r="P124" s="209" t="s">
        <v>1325</v>
      </c>
    </row>
    <row r="125" spans="1:16" ht="39">
      <c r="A125" s="201" t="s">
        <v>1649</v>
      </c>
      <c r="B125" s="201">
        <f t="shared" si="3"/>
        <v>122</v>
      </c>
      <c r="C125" s="202" t="s">
        <v>1650</v>
      </c>
      <c r="D125" s="192" t="s">
        <v>271</v>
      </c>
      <c r="E125" s="224" t="s">
        <v>272</v>
      </c>
      <c r="F125" s="190"/>
      <c r="G125" s="202" t="s">
        <v>1344</v>
      </c>
      <c r="H125" s="202" t="s">
        <v>1320</v>
      </c>
      <c r="I125" s="202" t="s">
        <v>1651</v>
      </c>
      <c r="J125" s="193" t="s">
        <v>1456</v>
      </c>
      <c r="K125" s="204">
        <v>1000</v>
      </c>
      <c r="L125" s="190"/>
      <c r="M125" s="205" t="s">
        <v>707</v>
      </c>
      <c r="N125" s="209" t="s">
        <v>1434</v>
      </c>
      <c r="O125" s="230" t="s">
        <v>1348</v>
      </c>
      <c r="P125" s="209" t="s">
        <v>1325</v>
      </c>
    </row>
    <row r="126" spans="1:16" ht="26">
      <c r="A126" s="201" t="s">
        <v>1652</v>
      </c>
      <c r="B126" s="201">
        <f t="shared" si="3"/>
        <v>123</v>
      </c>
      <c r="C126" s="202" t="s">
        <v>1653</v>
      </c>
      <c r="D126" s="201" t="s">
        <v>601</v>
      </c>
      <c r="E126" s="226" t="s">
        <v>602</v>
      </c>
      <c r="F126" s="190"/>
      <c r="G126" s="202" t="s">
        <v>1443</v>
      </c>
      <c r="H126" s="202" t="s">
        <v>1320</v>
      </c>
      <c r="I126" s="202" t="s">
        <v>1340</v>
      </c>
      <c r="J126" s="193" t="s">
        <v>1446</v>
      </c>
      <c r="K126" s="213">
        <v>18150</v>
      </c>
      <c r="L126" s="190"/>
      <c r="M126" s="190" t="s">
        <v>1654</v>
      </c>
      <c r="N126" s="209" t="s">
        <v>1434</v>
      </c>
      <c r="O126" s="230" t="s">
        <v>1348</v>
      </c>
      <c r="P126" s="209" t="s">
        <v>131</v>
      </c>
    </row>
    <row r="127" spans="1:16">
      <c r="A127" s="201" t="s">
        <v>1655</v>
      </c>
      <c r="B127" s="201">
        <f t="shared" si="3"/>
        <v>124</v>
      </c>
      <c r="C127" s="202" t="s">
        <v>1656</v>
      </c>
      <c r="D127" s="201" t="s">
        <v>209</v>
      </c>
      <c r="E127" s="226" t="s">
        <v>210</v>
      </c>
      <c r="F127" s="190"/>
      <c r="G127" s="202" t="s">
        <v>1344</v>
      </c>
      <c r="H127" s="202" t="s">
        <v>1320</v>
      </c>
      <c r="I127" s="202" t="s">
        <v>1340</v>
      </c>
      <c r="J127" s="193" t="s">
        <v>1345</v>
      </c>
      <c r="K127" s="204">
        <v>16000</v>
      </c>
      <c r="L127" s="190"/>
      <c r="M127" s="205" t="s">
        <v>1657</v>
      </c>
      <c r="N127" s="212" t="s">
        <v>1347</v>
      </c>
      <c r="O127" s="230" t="s">
        <v>1348</v>
      </c>
      <c r="P127" s="209" t="s">
        <v>131</v>
      </c>
    </row>
    <row r="128" spans="1:16" ht="26">
      <c r="A128" s="201" t="s">
        <v>1658</v>
      </c>
      <c r="B128" s="201">
        <f t="shared" si="3"/>
        <v>125</v>
      </c>
      <c r="C128" s="207" t="s">
        <v>1659</v>
      </c>
      <c r="D128" s="192" t="s">
        <v>266</v>
      </c>
      <c r="E128" s="224" t="s">
        <v>267</v>
      </c>
      <c r="F128" s="190"/>
      <c r="G128" s="202" t="s">
        <v>1344</v>
      </c>
      <c r="H128" s="202" t="s">
        <v>1320</v>
      </c>
      <c r="I128" s="202" t="s">
        <v>1340</v>
      </c>
      <c r="J128" s="193" t="s">
        <v>1456</v>
      </c>
      <c r="K128" s="210">
        <v>3000</v>
      </c>
      <c r="L128" s="190"/>
      <c r="M128" s="217" t="s">
        <v>1660</v>
      </c>
      <c r="N128" s="217" t="s">
        <v>1434</v>
      </c>
      <c r="O128" s="230" t="s">
        <v>1348</v>
      </c>
      <c r="P128" s="209" t="s">
        <v>131</v>
      </c>
    </row>
    <row r="129" spans="1:16" ht="39">
      <c r="A129" s="201" t="s">
        <v>1661</v>
      </c>
      <c r="B129" s="201">
        <f t="shared" si="3"/>
        <v>126</v>
      </c>
      <c r="C129" s="202" t="s">
        <v>2028</v>
      </c>
      <c r="D129" s="192" t="s">
        <v>271</v>
      </c>
      <c r="E129" s="224" t="s">
        <v>272</v>
      </c>
      <c r="F129" s="190"/>
      <c r="G129" s="202" t="s">
        <v>1344</v>
      </c>
      <c r="H129" s="202" t="s">
        <v>1320</v>
      </c>
      <c r="I129" s="202" t="s">
        <v>1402</v>
      </c>
      <c r="J129" s="193" t="s">
        <v>1456</v>
      </c>
      <c r="K129" s="204">
        <v>1046.05</v>
      </c>
      <c r="L129" s="190"/>
      <c r="M129" s="205" t="s">
        <v>707</v>
      </c>
      <c r="N129" s="217" t="s">
        <v>1434</v>
      </c>
      <c r="O129" s="230" t="s">
        <v>1348</v>
      </c>
      <c r="P129" s="209" t="s">
        <v>1325</v>
      </c>
    </row>
    <row r="130" spans="1:16" ht="26">
      <c r="A130" s="201" t="s">
        <v>1662</v>
      </c>
      <c r="B130" s="201">
        <f t="shared" si="3"/>
        <v>127</v>
      </c>
      <c r="C130" s="202" t="s">
        <v>2029</v>
      </c>
      <c r="D130" s="192" t="s">
        <v>926</v>
      </c>
      <c r="E130" s="224" t="s">
        <v>927</v>
      </c>
      <c r="F130" s="190"/>
      <c r="G130" s="202" t="s">
        <v>1351</v>
      </c>
      <c r="H130" s="202" t="s">
        <v>1320</v>
      </c>
      <c r="I130" s="202" t="s">
        <v>1402</v>
      </c>
      <c r="J130" s="193" t="s">
        <v>1456</v>
      </c>
      <c r="K130" s="204">
        <v>2105.58</v>
      </c>
      <c r="L130" s="190"/>
      <c r="M130" s="205" t="s">
        <v>1663</v>
      </c>
      <c r="N130" s="217" t="s">
        <v>1434</v>
      </c>
      <c r="O130" s="230" t="s">
        <v>1348</v>
      </c>
      <c r="P130" s="209" t="s">
        <v>1325</v>
      </c>
    </row>
    <row r="131" spans="1:16" ht="39">
      <c r="A131" s="201" t="s">
        <v>1664</v>
      </c>
      <c r="B131" s="201">
        <f t="shared" si="3"/>
        <v>128</v>
      </c>
      <c r="C131" s="202" t="s">
        <v>2031</v>
      </c>
      <c r="D131" s="192" t="s">
        <v>271</v>
      </c>
      <c r="E131" s="224" t="s">
        <v>272</v>
      </c>
      <c r="F131" s="190"/>
      <c r="G131" s="202" t="s">
        <v>1344</v>
      </c>
      <c r="H131" s="202" t="s">
        <v>1320</v>
      </c>
      <c r="I131" s="202" t="s">
        <v>1402</v>
      </c>
      <c r="J131" s="193" t="s">
        <v>1456</v>
      </c>
      <c r="K131" s="204">
        <v>3022.37</v>
      </c>
      <c r="L131" s="190"/>
      <c r="M131" s="205" t="s">
        <v>707</v>
      </c>
      <c r="N131" s="217" t="s">
        <v>1434</v>
      </c>
      <c r="O131" s="230" t="s">
        <v>1348</v>
      </c>
      <c r="P131" s="209" t="s">
        <v>1325</v>
      </c>
    </row>
    <row r="132" spans="1:16" ht="39">
      <c r="A132" s="201" t="s">
        <v>1665</v>
      </c>
      <c r="B132" s="201">
        <f t="shared" si="3"/>
        <v>129</v>
      </c>
      <c r="C132" s="202" t="s">
        <v>2030</v>
      </c>
      <c r="D132" s="192" t="s">
        <v>271</v>
      </c>
      <c r="E132" s="224" t="s">
        <v>272</v>
      </c>
      <c r="F132" s="190"/>
      <c r="G132" s="202" t="s">
        <v>1344</v>
      </c>
      <c r="H132" s="202" t="s">
        <v>1320</v>
      </c>
      <c r="I132" s="202" t="s">
        <v>1402</v>
      </c>
      <c r="J132" s="193" t="s">
        <v>1456</v>
      </c>
      <c r="K132" s="204">
        <v>1000</v>
      </c>
      <c r="L132" s="190"/>
      <c r="M132" s="205" t="s">
        <v>707</v>
      </c>
      <c r="N132" s="217" t="s">
        <v>1434</v>
      </c>
      <c r="O132" s="230" t="s">
        <v>1348</v>
      </c>
      <c r="P132" s="209" t="s">
        <v>1325</v>
      </c>
    </row>
    <row r="133" spans="1:16" ht="39">
      <c r="A133" s="201" t="s">
        <v>1666</v>
      </c>
      <c r="B133" s="201">
        <f t="shared" ref="B133:B142" si="4">B132+1</f>
        <v>130</v>
      </c>
      <c r="C133" s="202" t="s">
        <v>1667</v>
      </c>
      <c r="D133" s="201" t="s">
        <v>869</v>
      </c>
      <c r="E133" s="225" t="s">
        <v>870</v>
      </c>
      <c r="F133" s="190"/>
      <c r="G133" s="202" t="s">
        <v>1351</v>
      </c>
      <c r="H133" s="202" t="s">
        <v>1320</v>
      </c>
      <c r="I133" s="202" t="s">
        <v>1402</v>
      </c>
      <c r="J133" s="193" t="s">
        <v>1322</v>
      </c>
      <c r="K133" s="213">
        <v>10000</v>
      </c>
      <c r="L133" s="190"/>
      <c r="M133" s="202" t="s">
        <v>707</v>
      </c>
      <c r="N133" s="217" t="s">
        <v>1434</v>
      </c>
      <c r="O133" s="230" t="s">
        <v>1348</v>
      </c>
      <c r="P133" s="209" t="s">
        <v>131</v>
      </c>
    </row>
    <row r="134" spans="1:16" ht="26">
      <c r="A134" s="201" t="s">
        <v>1668</v>
      </c>
      <c r="B134" s="201">
        <f t="shared" si="4"/>
        <v>131</v>
      </c>
      <c r="C134" s="202" t="s">
        <v>1669</v>
      </c>
      <c r="D134" s="201" t="s">
        <v>601</v>
      </c>
      <c r="E134" s="226" t="s">
        <v>602</v>
      </c>
      <c r="F134" s="190"/>
      <c r="G134" s="202" t="s">
        <v>1443</v>
      </c>
      <c r="H134" s="202" t="s">
        <v>1320</v>
      </c>
      <c r="I134" s="202" t="s">
        <v>1402</v>
      </c>
      <c r="J134" s="193" t="s">
        <v>1446</v>
      </c>
      <c r="K134" s="213">
        <v>9000</v>
      </c>
      <c r="L134" s="190"/>
      <c r="M134" s="202" t="s">
        <v>707</v>
      </c>
      <c r="N134" s="217" t="s">
        <v>1434</v>
      </c>
      <c r="O134" s="230" t="s">
        <v>1348</v>
      </c>
      <c r="P134" s="209" t="s">
        <v>131</v>
      </c>
    </row>
    <row r="135" spans="1:16" ht="26">
      <c r="A135" s="201" t="s">
        <v>1670</v>
      </c>
      <c r="B135" s="201">
        <f t="shared" si="4"/>
        <v>132</v>
      </c>
      <c r="C135" s="202" t="s">
        <v>1671</v>
      </c>
      <c r="D135" s="192" t="s">
        <v>499</v>
      </c>
      <c r="E135" s="224" t="s">
        <v>500</v>
      </c>
      <c r="F135" s="190"/>
      <c r="G135" s="202" t="s">
        <v>1339</v>
      </c>
      <c r="H135" s="202" t="s">
        <v>1320</v>
      </c>
      <c r="I135" s="202" t="s">
        <v>1402</v>
      </c>
      <c r="J135" s="193" t="s">
        <v>1345</v>
      </c>
      <c r="K135" s="204">
        <v>2500</v>
      </c>
      <c r="L135" s="190"/>
      <c r="M135" s="205" t="s">
        <v>707</v>
      </c>
      <c r="N135" s="217" t="s">
        <v>1434</v>
      </c>
      <c r="O135" s="230" t="s">
        <v>1348</v>
      </c>
      <c r="P135" s="209" t="s">
        <v>1325</v>
      </c>
    </row>
    <row r="136" spans="1:16" ht="39">
      <c r="A136" s="201" t="s">
        <v>1672</v>
      </c>
      <c r="B136" s="201">
        <f t="shared" si="4"/>
        <v>133</v>
      </c>
      <c r="C136" s="202" t="s">
        <v>1673</v>
      </c>
      <c r="D136" s="192" t="s">
        <v>869</v>
      </c>
      <c r="E136" s="225" t="s">
        <v>870</v>
      </c>
      <c r="F136" s="190"/>
      <c r="G136" s="202" t="s">
        <v>1351</v>
      </c>
      <c r="H136" s="202" t="s">
        <v>1320</v>
      </c>
      <c r="I136" s="202" t="s">
        <v>1402</v>
      </c>
      <c r="J136" s="193" t="s">
        <v>1322</v>
      </c>
      <c r="K136" s="204">
        <v>10000</v>
      </c>
      <c r="L136" s="190"/>
      <c r="M136" s="205" t="s">
        <v>1674</v>
      </c>
      <c r="N136" s="217" t="s">
        <v>1434</v>
      </c>
      <c r="O136" s="230" t="s">
        <v>1348</v>
      </c>
      <c r="P136" s="209" t="s">
        <v>1325</v>
      </c>
    </row>
    <row r="137" spans="1:16" ht="26">
      <c r="A137" s="201" t="s">
        <v>1675</v>
      </c>
      <c r="B137" s="201">
        <f t="shared" si="4"/>
        <v>134</v>
      </c>
      <c r="C137" s="202" t="s">
        <v>1676</v>
      </c>
      <c r="D137" s="192" t="s">
        <v>859</v>
      </c>
      <c r="E137" s="228" t="s">
        <v>860</v>
      </c>
      <c r="F137" s="190"/>
      <c r="G137" s="202" t="s">
        <v>1351</v>
      </c>
      <c r="H137" s="202" t="s">
        <v>1320</v>
      </c>
      <c r="I137" s="202" t="s">
        <v>1402</v>
      </c>
      <c r="J137" s="193" t="s">
        <v>1322</v>
      </c>
      <c r="K137" s="210">
        <v>12000</v>
      </c>
      <c r="L137" s="190"/>
      <c r="M137" s="205" t="s">
        <v>707</v>
      </c>
      <c r="N137" s="212" t="s">
        <v>1347</v>
      </c>
      <c r="O137" s="230" t="s">
        <v>1348</v>
      </c>
      <c r="P137" s="209" t="s">
        <v>1325</v>
      </c>
    </row>
    <row r="138" spans="1:16" ht="39">
      <c r="A138" s="201" t="s">
        <v>1677</v>
      </c>
      <c r="B138" s="201">
        <f t="shared" si="4"/>
        <v>135</v>
      </c>
      <c r="C138" s="209" t="s">
        <v>1678</v>
      </c>
      <c r="D138" s="192" t="s">
        <v>869</v>
      </c>
      <c r="E138" s="225" t="s">
        <v>870</v>
      </c>
      <c r="F138" s="190"/>
      <c r="G138" s="202" t="s">
        <v>1351</v>
      </c>
      <c r="H138" s="202" t="s">
        <v>1320</v>
      </c>
      <c r="I138" s="202" t="s">
        <v>1410</v>
      </c>
      <c r="J138" s="193" t="s">
        <v>1322</v>
      </c>
      <c r="K138" s="213">
        <v>3500</v>
      </c>
      <c r="L138" s="190"/>
      <c r="M138" s="202" t="s">
        <v>707</v>
      </c>
      <c r="N138" s="209" t="s">
        <v>1330</v>
      </c>
      <c r="O138" s="230" t="s">
        <v>1331</v>
      </c>
      <c r="P138" s="209" t="s">
        <v>131</v>
      </c>
    </row>
    <row r="139" spans="1:16" ht="39">
      <c r="A139" s="201" t="s">
        <v>1679</v>
      </c>
      <c r="B139" s="201">
        <f t="shared" si="4"/>
        <v>136</v>
      </c>
      <c r="C139" s="193" t="s">
        <v>1680</v>
      </c>
      <c r="D139" s="192" t="s">
        <v>869</v>
      </c>
      <c r="E139" s="225" t="s">
        <v>870</v>
      </c>
      <c r="F139" s="190"/>
      <c r="G139" s="202" t="s">
        <v>1351</v>
      </c>
      <c r="H139" s="202" t="s">
        <v>1320</v>
      </c>
      <c r="I139" s="202" t="s">
        <v>1410</v>
      </c>
      <c r="J139" s="193" t="s">
        <v>1322</v>
      </c>
      <c r="K139" s="213">
        <v>7500</v>
      </c>
      <c r="L139" s="190"/>
      <c r="M139" s="190" t="s">
        <v>707</v>
      </c>
      <c r="N139" s="193" t="s">
        <v>1330</v>
      </c>
      <c r="O139" s="230" t="s">
        <v>1331</v>
      </c>
      <c r="P139" s="209" t="s">
        <v>131</v>
      </c>
    </row>
    <row r="140" spans="1:16" ht="26">
      <c r="A140" s="201" t="s">
        <v>1681</v>
      </c>
      <c r="B140" s="201">
        <f t="shared" si="4"/>
        <v>137</v>
      </c>
      <c r="C140" s="202" t="s">
        <v>1682</v>
      </c>
      <c r="D140" s="192" t="s">
        <v>601</v>
      </c>
      <c r="E140" s="224" t="s">
        <v>602</v>
      </c>
      <c r="F140" s="190"/>
      <c r="G140" s="202" t="s">
        <v>1443</v>
      </c>
      <c r="H140" s="202" t="s">
        <v>1320</v>
      </c>
      <c r="I140" s="202" t="s">
        <v>1410</v>
      </c>
      <c r="J140" s="193" t="s">
        <v>1446</v>
      </c>
      <c r="K140" s="204">
        <v>3000</v>
      </c>
      <c r="L140" s="190"/>
      <c r="M140" s="202" t="s">
        <v>707</v>
      </c>
      <c r="N140" s="209" t="s">
        <v>1434</v>
      </c>
      <c r="O140" s="230" t="s">
        <v>1348</v>
      </c>
      <c r="P140" s="209" t="s">
        <v>1325</v>
      </c>
    </row>
    <row r="141" spans="1:16" ht="26">
      <c r="A141" s="201" t="s">
        <v>1683</v>
      </c>
      <c r="B141" s="201">
        <f t="shared" si="4"/>
        <v>138</v>
      </c>
      <c r="C141" s="202" t="s">
        <v>1684</v>
      </c>
      <c r="D141" s="192" t="s">
        <v>926</v>
      </c>
      <c r="E141" s="224" t="s">
        <v>927</v>
      </c>
      <c r="F141" s="190"/>
      <c r="G141" s="202" t="s">
        <v>1351</v>
      </c>
      <c r="H141" s="202" t="s">
        <v>1320</v>
      </c>
      <c r="I141" s="202" t="s">
        <v>1410</v>
      </c>
      <c r="J141" s="193" t="s">
        <v>1322</v>
      </c>
      <c r="K141" s="213">
        <v>500</v>
      </c>
      <c r="L141" s="190"/>
      <c r="M141" s="205" t="s">
        <v>707</v>
      </c>
      <c r="N141" s="218" t="s">
        <v>1347</v>
      </c>
      <c r="O141" s="230" t="s">
        <v>1348</v>
      </c>
      <c r="P141" s="209" t="s">
        <v>1325</v>
      </c>
    </row>
    <row r="142" spans="1:16" ht="39">
      <c r="A142" s="201" t="s">
        <v>1685</v>
      </c>
      <c r="B142" s="201">
        <f t="shared" si="4"/>
        <v>139</v>
      </c>
      <c r="C142" s="209" t="s">
        <v>1686</v>
      </c>
      <c r="D142" s="192" t="s">
        <v>869</v>
      </c>
      <c r="E142" s="225" t="s">
        <v>870</v>
      </c>
      <c r="F142" s="190"/>
      <c r="G142" s="202" t="s">
        <v>1351</v>
      </c>
      <c r="H142" s="202" t="s">
        <v>1320</v>
      </c>
      <c r="I142" s="202" t="s">
        <v>1410</v>
      </c>
      <c r="J142" s="193" t="s">
        <v>1322</v>
      </c>
      <c r="K142" s="213">
        <v>1000</v>
      </c>
      <c r="L142" s="190"/>
      <c r="M142" s="202" t="s">
        <v>707</v>
      </c>
      <c r="N142" s="209" t="s">
        <v>1330</v>
      </c>
      <c r="O142" s="230" t="s">
        <v>1331</v>
      </c>
      <c r="P142" s="209" t="s">
        <v>131</v>
      </c>
    </row>
    <row r="143" spans="1:16">
      <c r="A143" s="192" t="s">
        <v>1687</v>
      </c>
      <c r="B143" s="190" t="s">
        <v>1688</v>
      </c>
      <c r="C143" s="190" t="s">
        <v>2025</v>
      </c>
      <c r="D143" s="192" t="s">
        <v>1224</v>
      </c>
      <c r="E143" s="228" t="s">
        <v>1225</v>
      </c>
      <c r="F143" s="190"/>
      <c r="G143" s="190" t="s">
        <v>1319</v>
      </c>
      <c r="H143" s="190" t="s">
        <v>1689</v>
      </c>
      <c r="I143" s="190" t="s">
        <v>1688</v>
      </c>
      <c r="J143" s="193" t="s">
        <v>1322</v>
      </c>
      <c r="K143" s="191">
        <v>13999.99</v>
      </c>
      <c r="L143" s="190"/>
      <c r="M143" s="202" t="s">
        <v>707</v>
      </c>
      <c r="N143" s="218" t="s">
        <v>1347</v>
      </c>
      <c r="O143" s="230" t="s">
        <v>1348</v>
      </c>
      <c r="P143" s="190"/>
    </row>
    <row r="144" spans="1:16" ht="26">
      <c r="A144" s="201" t="s">
        <v>1690</v>
      </c>
      <c r="B144" s="190" t="s">
        <v>1688</v>
      </c>
      <c r="C144" s="190" t="s">
        <v>1691</v>
      </c>
      <c r="D144" s="192" t="s">
        <v>859</v>
      </c>
      <c r="E144" s="228" t="s">
        <v>860</v>
      </c>
      <c r="F144" s="190"/>
      <c r="G144" s="202" t="s">
        <v>1351</v>
      </c>
      <c r="H144" s="190" t="s">
        <v>1692</v>
      </c>
      <c r="I144" s="190" t="s">
        <v>1688</v>
      </c>
      <c r="J144" s="193" t="s">
        <v>1322</v>
      </c>
      <c r="K144" s="191">
        <v>40000</v>
      </c>
      <c r="L144" s="190"/>
      <c r="M144" s="202" t="s">
        <v>707</v>
      </c>
      <c r="N144" s="209" t="s">
        <v>1434</v>
      </c>
      <c r="O144" s="187" t="s">
        <v>1348</v>
      </c>
      <c r="P144" s="190"/>
    </row>
    <row r="145" spans="1:16" ht="39">
      <c r="A145" s="201" t="s">
        <v>1693</v>
      </c>
      <c r="B145" s="190" t="s">
        <v>1688</v>
      </c>
      <c r="C145" s="190" t="s">
        <v>1694</v>
      </c>
      <c r="D145" s="192" t="s">
        <v>869</v>
      </c>
      <c r="E145" s="225" t="s">
        <v>870</v>
      </c>
      <c r="F145" s="190"/>
      <c r="G145" s="202" t="s">
        <v>1351</v>
      </c>
      <c r="H145" s="190" t="s">
        <v>1692</v>
      </c>
      <c r="I145" s="190" t="s">
        <v>1688</v>
      </c>
      <c r="J145" s="193" t="s">
        <v>1322</v>
      </c>
      <c r="K145" s="191">
        <v>26996.080000000002</v>
      </c>
      <c r="L145" s="190"/>
      <c r="M145" s="202" t="s">
        <v>707</v>
      </c>
      <c r="N145" s="209" t="s">
        <v>1434</v>
      </c>
      <c r="O145" s="187" t="s">
        <v>1348</v>
      </c>
      <c r="P145" s="190"/>
    </row>
    <row r="146" spans="1:16">
      <c r="A146" s="192" t="s">
        <v>1695</v>
      </c>
      <c r="B146" s="190" t="s">
        <v>1688</v>
      </c>
      <c r="C146" s="190" t="s">
        <v>1696</v>
      </c>
      <c r="D146" s="192" t="s">
        <v>1224</v>
      </c>
      <c r="E146" s="228" t="s">
        <v>1225</v>
      </c>
      <c r="F146" s="190"/>
      <c r="G146" s="190" t="s">
        <v>1319</v>
      </c>
      <c r="H146" s="190" t="s">
        <v>1692</v>
      </c>
      <c r="I146" s="190" t="s">
        <v>1688</v>
      </c>
      <c r="J146" s="193" t="s">
        <v>1322</v>
      </c>
      <c r="K146" s="191">
        <v>40000</v>
      </c>
      <c r="L146" s="190"/>
      <c r="M146" s="202" t="s">
        <v>707</v>
      </c>
      <c r="N146" s="209" t="s">
        <v>1434</v>
      </c>
      <c r="O146" s="230" t="s">
        <v>1348</v>
      </c>
      <c r="P146" s="190"/>
    </row>
    <row r="147" spans="1:16" ht="39">
      <c r="A147" s="201" t="s">
        <v>1697</v>
      </c>
      <c r="B147" s="190" t="s">
        <v>1688</v>
      </c>
      <c r="C147" s="190" t="s">
        <v>1698</v>
      </c>
      <c r="D147" s="192" t="s">
        <v>869</v>
      </c>
      <c r="E147" s="225" t="s">
        <v>870</v>
      </c>
      <c r="F147" s="190"/>
      <c r="G147" s="202" t="s">
        <v>1351</v>
      </c>
      <c r="H147" s="190" t="s">
        <v>1692</v>
      </c>
      <c r="I147" s="190" t="s">
        <v>1688</v>
      </c>
      <c r="J147" s="193" t="s">
        <v>1322</v>
      </c>
      <c r="K147" s="191">
        <v>95000</v>
      </c>
      <c r="L147" s="190"/>
      <c r="M147" s="202" t="s">
        <v>707</v>
      </c>
      <c r="N147" s="209" t="s">
        <v>1434</v>
      </c>
      <c r="O147" s="230" t="s">
        <v>1348</v>
      </c>
      <c r="P147" s="190"/>
    </row>
    <row r="148" spans="1:16">
      <c r="A148" s="201" t="s">
        <v>1699</v>
      </c>
      <c r="B148" s="190" t="s">
        <v>1688</v>
      </c>
      <c r="C148" s="190" t="s">
        <v>2034</v>
      </c>
      <c r="D148" s="192" t="s">
        <v>835</v>
      </c>
      <c r="E148" s="228" t="s">
        <v>1540</v>
      </c>
      <c r="F148" s="190"/>
      <c r="G148" s="202" t="s">
        <v>1351</v>
      </c>
      <c r="H148" s="190" t="s">
        <v>1692</v>
      </c>
      <c r="I148" s="190" t="s">
        <v>1688</v>
      </c>
      <c r="J148" s="193" t="s">
        <v>1322</v>
      </c>
      <c r="K148" s="191">
        <v>35000</v>
      </c>
      <c r="L148" s="190"/>
      <c r="M148" s="202" t="s">
        <v>707</v>
      </c>
      <c r="N148" s="218" t="s">
        <v>1347</v>
      </c>
      <c r="O148" s="230" t="s">
        <v>1348</v>
      </c>
      <c r="P148" s="190"/>
    </row>
    <row r="149" spans="1:16">
      <c r="A149" s="192" t="s">
        <v>1700</v>
      </c>
      <c r="B149" s="190" t="s">
        <v>1688</v>
      </c>
      <c r="C149" s="190" t="s">
        <v>1701</v>
      </c>
      <c r="D149" s="192" t="s">
        <v>1224</v>
      </c>
      <c r="E149" s="228" t="s">
        <v>1225</v>
      </c>
      <c r="F149" s="190"/>
      <c r="G149" s="190" t="s">
        <v>1319</v>
      </c>
      <c r="H149" s="190" t="s">
        <v>1692</v>
      </c>
      <c r="I149" s="190" t="s">
        <v>1688</v>
      </c>
      <c r="J149" s="193" t="s">
        <v>1322</v>
      </c>
      <c r="K149" s="191">
        <v>18000</v>
      </c>
      <c r="L149" s="190"/>
      <c r="M149" s="202" t="s">
        <v>707</v>
      </c>
      <c r="N149" s="209" t="s">
        <v>1434</v>
      </c>
      <c r="O149" s="230" t="s">
        <v>1348</v>
      </c>
      <c r="P149" s="190"/>
    </row>
    <row r="150" spans="1:16">
      <c r="A150" s="192" t="s">
        <v>1702</v>
      </c>
      <c r="B150" s="190" t="s">
        <v>1688</v>
      </c>
      <c r="C150" s="190" t="s">
        <v>2027</v>
      </c>
      <c r="D150" s="192" t="s">
        <v>1268</v>
      </c>
      <c r="E150" s="228" t="s">
        <v>1269</v>
      </c>
      <c r="F150" s="190"/>
      <c r="G150" s="190" t="s">
        <v>1319</v>
      </c>
      <c r="H150" s="190" t="s">
        <v>1692</v>
      </c>
      <c r="I150" s="190" t="s">
        <v>1688</v>
      </c>
      <c r="J150" s="193" t="s">
        <v>1322</v>
      </c>
      <c r="K150" s="191">
        <v>40000</v>
      </c>
      <c r="L150" s="190"/>
      <c r="M150" s="202" t="s">
        <v>707</v>
      </c>
      <c r="N150" s="209" t="s">
        <v>1434</v>
      </c>
      <c r="O150" s="230" t="s">
        <v>1348</v>
      </c>
      <c r="P150" s="190"/>
    </row>
    <row r="151" spans="1:16" ht="39">
      <c r="A151" s="201" t="s">
        <v>1703</v>
      </c>
      <c r="B151" s="190" t="s">
        <v>1688</v>
      </c>
      <c r="C151" s="190" t="s">
        <v>1704</v>
      </c>
      <c r="D151" s="192" t="s">
        <v>89</v>
      </c>
      <c r="E151" s="228" t="s">
        <v>90</v>
      </c>
      <c r="F151" s="190"/>
      <c r="G151" s="202" t="s">
        <v>1344</v>
      </c>
      <c r="H151" s="190" t="s">
        <v>1692</v>
      </c>
      <c r="I151" s="190" t="s">
        <v>1688</v>
      </c>
      <c r="J151" s="193" t="s">
        <v>1449</v>
      </c>
      <c r="K151" s="191">
        <v>35511.199999999997</v>
      </c>
      <c r="L151" s="190"/>
      <c r="M151" s="202" t="s">
        <v>707</v>
      </c>
      <c r="N151" s="218" t="s">
        <v>1347</v>
      </c>
      <c r="O151" s="230" t="s">
        <v>1348</v>
      </c>
      <c r="P151" s="190"/>
    </row>
    <row r="152" spans="1:16" ht="26">
      <c r="A152" s="192" t="s">
        <v>1705</v>
      </c>
      <c r="B152" s="190" t="s">
        <v>1688</v>
      </c>
      <c r="C152" s="190" t="s">
        <v>1706</v>
      </c>
      <c r="D152" s="192" t="s">
        <v>1177</v>
      </c>
      <c r="E152" s="228" t="s">
        <v>1178</v>
      </c>
      <c r="F152" s="190"/>
      <c r="G152" s="190" t="s">
        <v>1319</v>
      </c>
      <c r="H152" s="190" t="s">
        <v>1707</v>
      </c>
      <c r="I152" s="190" t="s">
        <v>1688</v>
      </c>
      <c r="J152" s="193" t="s">
        <v>1322</v>
      </c>
      <c r="K152" s="191">
        <v>55759.65</v>
      </c>
      <c r="L152" s="190"/>
      <c r="M152" s="202" t="s">
        <v>707</v>
      </c>
      <c r="N152" s="209" t="s">
        <v>1434</v>
      </c>
      <c r="O152" s="230" t="s">
        <v>1348</v>
      </c>
      <c r="P152" s="190"/>
    </row>
    <row r="153" spans="1:16" ht="26">
      <c r="A153" s="192" t="s">
        <v>1708</v>
      </c>
      <c r="B153" s="190" t="s">
        <v>1688</v>
      </c>
      <c r="C153" s="190" t="s">
        <v>1709</v>
      </c>
      <c r="D153" s="192" t="s">
        <v>1177</v>
      </c>
      <c r="E153" s="228" t="s">
        <v>1178</v>
      </c>
      <c r="F153" s="190"/>
      <c r="G153" s="190" t="s">
        <v>1319</v>
      </c>
      <c r="H153" s="190" t="s">
        <v>1689</v>
      </c>
      <c r="I153" s="190" t="s">
        <v>1688</v>
      </c>
      <c r="J153" s="193" t="s">
        <v>1322</v>
      </c>
      <c r="K153" s="191">
        <v>4406.9399999999996</v>
      </c>
      <c r="L153" s="190"/>
      <c r="M153" s="202" t="s">
        <v>707</v>
      </c>
      <c r="N153" s="218" t="s">
        <v>1347</v>
      </c>
      <c r="O153" s="230" t="s">
        <v>1348</v>
      </c>
      <c r="P153" s="190"/>
    </row>
    <row r="154" spans="1:16" ht="26">
      <c r="A154" s="192" t="s">
        <v>1710</v>
      </c>
      <c r="B154" s="190" t="s">
        <v>1688</v>
      </c>
      <c r="C154" s="190" t="s">
        <v>1711</v>
      </c>
      <c r="D154" s="192" t="s">
        <v>1224</v>
      </c>
      <c r="E154" s="228" t="s">
        <v>1225</v>
      </c>
      <c r="F154" s="190"/>
      <c r="G154" s="190" t="s">
        <v>1319</v>
      </c>
      <c r="H154" s="190" t="s">
        <v>1712</v>
      </c>
      <c r="I154" s="190" t="s">
        <v>1688</v>
      </c>
      <c r="J154" s="193" t="s">
        <v>1322</v>
      </c>
      <c r="K154" s="191">
        <v>511661.01</v>
      </c>
      <c r="L154" s="190"/>
      <c r="M154" s="202" t="s">
        <v>707</v>
      </c>
      <c r="N154" s="218" t="s">
        <v>1347</v>
      </c>
      <c r="O154" s="230" t="s">
        <v>1348</v>
      </c>
      <c r="P154" s="190"/>
    </row>
    <row r="155" spans="1:16">
      <c r="A155" s="192" t="s">
        <v>1713</v>
      </c>
      <c r="B155" s="190" t="s">
        <v>1688</v>
      </c>
      <c r="C155" s="190" t="s">
        <v>1714</v>
      </c>
      <c r="D155" s="192" t="s">
        <v>1224</v>
      </c>
      <c r="E155" s="228" t="s">
        <v>1225</v>
      </c>
      <c r="F155" s="190"/>
      <c r="G155" s="190" t="s">
        <v>1319</v>
      </c>
      <c r="H155" s="190" t="s">
        <v>1715</v>
      </c>
      <c r="I155" s="190" t="s">
        <v>1688</v>
      </c>
      <c r="J155" s="193" t="s">
        <v>1322</v>
      </c>
      <c r="K155" s="191">
        <v>469621.86</v>
      </c>
      <c r="L155" s="190"/>
      <c r="M155" s="202" t="s">
        <v>707</v>
      </c>
      <c r="N155" s="218" t="s">
        <v>1347</v>
      </c>
      <c r="O155" s="230" t="s">
        <v>1348</v>
      </c>
      <c r="P155" s="190"/>
    </row>
    <row r="156" spans="1:16">
      <c r="A156" s="192" t="s">
        <v>1716</v>
      </c>
      <c r="B156" s="190" t="s">
        <v>1688</v>
      </c>
      <c r="C156" s="190" t="s">
        <v>1717</v>
      </c>
      <c r="D156" s="192" t="s">
        <v>1224</v>
      </c>
      <c r="E156" s="228" t="s">
        <v>1225</v>
      </c>
      <c r="F156" s="190"/>
      <c r="G156" s="190" t="s">
        <v>1319</v>
      </c>
      <c r="H156" s="190" t="s">
        <v>1715</v>
      </c>
      <c r="I156" s="190" t="s">
        <v>1688</v>
      </c>
      <c r="J156" s="193" t="s">
        <v>1322</v>
      </c>
      <c r="K156" s="191">
        <v>98620.590599999996</v>
      </c>
      <c r="L156" s="190"/>
      <c r="M156" s="202" t="s">
        <v>707</v>
      </c>
      <c r="N156" s="218" t="s">
        <v>1347</v>
      </c>
      <c r="O156" s="230" t="s">
        <v>1348</v>
      </c>
      <c r="P156" s="190"/>
    </row>
    <row r="157" spans="1:16">
      <c r="A157" s="192" t="s">
        <v>1718</v>
      </c>
      <c r="B157" s="190" t="s">
        <v>1688</v>
      </c>
      <c r="C157" s="190" t="s">
        <v>1719</v>
      </c>
      <c r="D157" s="192" t="s">
        <v>1224</v>
      </c>
      <c r="E157" s="228" t="s">
        <v>1225</v>
      </c>
      <c r="F157" s="190"/>
      <c r="G157" s="190" t="s">
        <v>1319</v>
      </c>
      <c r="H157" s="190" t="s">
        <v>1715</v>
      </c>
      <c r="I157" s="190" t="s">
        <v>1688</v>
      </c>
      <c r="J157" s="193" t="s">
        <v>1322</v>
      </c>
      <c r="K157" s="191">
        <v>8614.35</v>
      </c>
      <c r="L157" s="190"/>
      <c r="M157" s="202" t="s">
        <v>707</v>
      </c>
      <c r="N157" s="218" t="s">
        <v>1347</v>
      </c>
      <c r="O157" s="230" t="s">
        <v>1348</v>
      </c>
      <c r="P157" s="190"/>
    </row>
    <row r="158" spans="1:16">
      <c r="A158" s="192" t="s">
        <v>1720</v>
      </c>
      <c r="B158" s="190" t="s">
        <v>1688</v>
      </c>
      <c r="C158" s="190" t="s">
        <v>1721</v>
      </c>
      <c r="D158" s="192" t="s">
        <v>1224</v>
      </c>
      <c r="E158" s="228" t="s">
        <v>1225</v>
      </c>
      <c r="F158" s="190"/>
      <c r="G158" s="190" t="s">
        <v>1319</v>
      </c>
      <c r="H158" s="190" t="s">
        <v>1715</v>
      </c>
      <c r="I158" s="190" t="s">
        <v>1688</v>
      </c>
      <c r="J158" s="193" t="s">
        <v>1322</v>
      </c>
      <c r="K158" s="191">
        <v>282102.51</v>
      </c>
      <c r="L158" s="190"/>
      <c r="M158" s="202" t="s">
        <v>707</v>
      </c>
      <c r="N158" s="218" t="s">
        <v>1347</v>
      </c>
      <c r="O158" s="230" t="s">
        <v>1348</v>
      </c>
      <c r="P158" s="190"/>
    </row>
    <row r="159" spans="1:16">
      <c r="A159" s="192" t="s">
        <v>1722</v>
      </c>
      <c r="B159" s="190" t="s">
        <v>1688</v>
      </c>
      <c r="C159" s="190" t="s">
        <v>1723</v>
      </c>
      <c r="D159" s="192" t="s">
        <v>1224</v>
      </c>
      <c r="E159" s="228" t="s">
        <v>1225</v>
      </c>
      <c r="F159" s="190"/>
      <c r="G159" s="190" t="s">
        <v>1319</v>
      </c>
      <c r="H159" s="190" t="s">
        <v>1715</v>
      </c>
      <c r="I159" s="190" t="s">
        <v>1688</v>
      </c>
      <c r="J159" s="193" t="s">
        <v>1322</v>
      </c>
      <c r="K159" s="191">
        <v>59241.527099999999</v>
      </c>
      <c r="L159" s="190"/>
      <c r="M159" s="202" t="s">
        <v>707</v>
      </c>
      <c r="N159" s="218" t="s">
        <v>1347</v>
      </c>
      <c r="O159" s="230" t="s">
        <v>1348</v>
      </c>
      <c r="P159" s="190"/>
    </row>
    <row r="160" spans="1:16">
      <c r="A160" s="192" t="s">
        <v>1724</v>
      </c>
      <c r="B160" s="190" t="s">
        <v>1688</v>
      </c>
      <c r="C160" s="190" t="s">
        <v>1725</v>
      </c>
      <c r="D160" s="192" t="s">
        <v>1224</v>
      </c>
      <c r="E160" s="228" t="s">
        <v>1225</v>
      </c>
      <c r="F160" s="190"/>
      <c r="G160" s="190" t="s">
        <v>1319</v>
      </c>
      <c r="H160" s="190" t="s">
        <v>1689</v>
      </c>
      <c r="I160" s="190" t="s">
        <v>1688</v>
      </c>
      <c r="J160" s="193" t="s">
        <v>1322</v>
      </c>
      <c r="K160" s="191">
        <v>3738.85</v>
      </c>
      <c r="L160" s="190"/>
      <c r="M160" s="202" t="s">
        <v>707</v>
      </c>
      <c r="N160" s="218" t="s">
        <v>1347</v>
      </c>
      <c r="O160" s="230" t="s">
        <v>1348</v>
      </c>
      <c r="P160" s="190"/>
    </row>
    <row r="161" spans="1:16" ht="26">
      <c r="A161" s="192" t="s">
        <v>1726</v>
      </c>
      <c r="B161" s="190" t="s">
        <v>1688</v>
      </c>
      <c r="C161" s="190" t="s">
        <v>1727</v>
      </c>
      <c r="D161" s="192" t="s">
        <v>1224</v>
      </c>
      <c r="E161" s="228" t="s">
        <v>1225</v>
      </c>
      <c r="F161" s="190"/>
      <c r="G161" s="190" t="s">
        <v>1319</v>
      </c>
      <c r="H161" s="190" t="s">
        <v>1692</v>
      </c>
      <c r="I161" s="190" t="s">
        <v>1688</v>
      </c>
      <c r="J161" s="193" t="s">
        <v>1322</v>
      </c>
      <c r="K161" s="191">
        <v>1607081.7</v>
      </c>
      <c r="L161" s="190"/>
      <c r="M161" s="202" t="s">
        <v>707</v>
      </c>
      <c r="N161" s="209" t="s">
        <v>1434</v>
      </c>
      <c r="O161" s="230" t="s">
        <v>1348</v>
      </c>
      <c r="P161" s="190"/>
    </row>
    <row r="162" spans="1:16" ht="26">
      <c r="A162" s="192" t="s">
        <v>1728</v>
      </c>
      <c r="B162" s="190" t="s">
        <v>1688</v>
      </c>
      <c r="C162" s="190" t="s">
        <v>1729</v>
      </c>
      <c r="D162" s="192" t="s">
        <v>1224</v>
      </c>
      <c r="E162" s="228" t="s">
        <v>1225</v>
      </c>
      <c r="F162" s="190"/>
      <c r="G162" s="190" t="s">
        <v>1319</v>
      </c>
      <c r="H162" s="190" t="s">
        <v>1692</v>
      </c>
      <c r="I162" s="190" t="s">
        <v>1688</v>
      </c>
      <c r="J162" s="193" t="s">
        <v>1322</v>
      </c>
      <c r="K162" s="191">
        <v>337487.15700000001</v>
      </c>
      <c r="L162" s="190"/>
      <c r="M162" s="202" t="s">
        <v>707</v>
      </c>
      <c r="N162" s="209" t="s">
        <v>1434</v>
      </c>
      <c r="O162" s="230" t="s">
        <v>1348</v>
      </c>
      <c r="P162" s="190"/>
    </row>
    <row r="163" spans="1:16">
      <c r="A163" s="192" t="s">
        <v>1730</v>
      </c>
      <c r="B163" s="190" t="s">
        <v>1688</v>
      </c>
      <c r="C163" s="190" t="s">
        <v>1731</v>
      </c>
      <c r="D163" s="192" t="s">
        <v>1224</v>
      </c>
      <c r="E163" s="228" t="s">
        <v>1225</v>
      </c>
      <c r="F163" s="190"/>
      <c r="G163" s="190" t="s">
        <v>1319</v>
      </c>
      <c r="H163" s="190" t="s">
        <v>1692</v>
      </c>
      <c r="I163" s="190" t="s">
        <v>1688</v>
      </c>
      <c r="J163" s="193" t="s">
        <v>1322</v>
      </c>
      <c r="K163" s="191">
        <v>12417.52</v>
      </c>
      <c r="L163" s="190"/>
      <c r="M163" s="202" t="s">
        <v>707</v>
      </c>
      <c r="N163" s="209" t="s">
        <v>1434</v>
      </c>
      <c r="O163" s="230" t="s">
        <v>1348</v>
      </c>
      <c r="P163" s="190"/>
    </row>
    <row r="164" spans="1:16" ht="39">
      <c r="A164" s="201" t="s">
        <v>1732</v>
      </c>
      <c r="B164" s="190" t="s">
        <v>1688</v>
      </c>
      <c r="C164" s="190" t="s">
        <v>1733</v>
      </c>
      <c r="D164" s="192" t="s">
        <v>869</v>
      </c>
      <c r="E164" s="225" t="s">
        <v>870</v>
      </c>
      <c r="F164" s="190"/>
      <c r="G164" s="202" t="s">
        <v>1351</v>
      </c>
      <c r="H164" s="190" t="s">
        <v>1692</v>
      </c>
      <c r="I164" s="190" t="s">
        <v>1688</v>
      </c>
      <c r="J164" s="193" t="s">
        <v>1322</v>
      </c>
      <c r="K164" s="191">
        <v>123720.77</v>
      </c>
      <c r="L164" s="190"/>
      <c r="M164" s="202" t="s">
        <v>707</v>
      </c>
      <c r="N164" s="209" t="s">
        <v>1434</v>
      </c>
      <c r="O164" s="230" t="s">
        <v>1348</v>
      </c>
      <c r="P164" s="190"/>
    </row>
    <row r="165" spans="1:16" ht="26">
      <c r="A165" s="192" t="s">
        <v>1734</v>
      </c>
      <c r="B165" s="190" t="s">
        <v>1688</v>
      </c>
      <c r="C165" s="190" t="s">
        <v>1735</v>
      </c>
      <c r="D165" s="192" t="s">
        <v>1177</v>
      </c>
      <c r="E165" s="228" t="s">
        <v>1178</v>
      </c>
      <c r="F165" s="190"/>
      <c r="G165" s="190" t="s">
        <v>1319</v>
      </c>
      <c r="H165" s="190" t="s">
        <v>1692</v>
      </c>
      <c r="I165" s="190" t="s">
        <v>1688</v>
      </c>
      <c r="J165" s="193" t="s">
        <v>1322</v>
      </c>
      <c r="K165" s="191">
        <v>65422.2</v>
      </c>
      <c r="L165" s="190"/>
      <c r="M165" s="202" t="s">
        <v>707</v>
      </c>
      <c r="N165" s="209" t="s">
        <v>1434</v>
      </c>
      <c r="O165" s="230" t="s">
        <v>1348</v>
      </c>
      <c r="P165" s="190"/>
    </row>
    <row r="166" spans="1:16" ht="26">
      <c r="A166" s="192" t="s">
        <v>1736</v>
      </c>
      <c r="B166" s="190" t="s">
        <v>1688</v>
      </c>
      <c r="C166" s="190" t="s">
        <v>1737</v>
      </c>
      <c r="D166" s="192" t="s">
        <v>1224</v>
      </c>
      <c r="E166" s="228" t="s">
        <v>1225</v>
      </c>
      <c r="F166" s="190"/>
      <c r="G166" s="190" t="s">
        <v>1319</v>
      </c>
      <c r="H166" s="190" t="s">
        <v>1692</v>
      </c>
      <c r="I166" s="190" t="s">
        <v>1688</v>
      </c>
      <c r="J166" s="193" t="s">
        <v>1322</v>
      </c>
      <c r="K166" s="191">
        <v>427161.58</v>
      </c>
      <c r="L166" s="190"/>
      <c r="M166" s="202" t="s">
        <v>707</v>
      </c>
      <c r="N166" s="218" t="s">
        <v>1347</v>
      </c>
      <c r="O166" s="230" t="s">
        <v>1348</v>
      </c>
      <c r="P166" s="190"/>
    </row>
    <row r="167" spans="1:16" ht="26">
      <c r="A167" s="192" t="s">
        <v>1738</v>
      </c>
      <c r="B167" s="190" t="s">
        <v>1688</v>
      </c>
      <c r="C167" s="190" t="s">
        <v>1739</v>
      </c>
      <c r="D167" s="192" t="s">
        <v>1224</v>
      </c>
      <c r="E167" s="228" t="s">
        <v>1225</v>
      </c>
      <c r="F167" s="190"/>
      <c r="G167" s="190" t="s">
        <v>1319</v>
      </c>
      <c r="H167" s="190" t="s">
        <v>1692</v>
      </c>
      <c r="I167" s="190" t="s">
        <v>1688</v>
      </c>
      <c r="J167" s="193" t="s">
        <v>1322</v>
      </c>
      <c r="K167" s="191">
        <v>400000</v>
      </c>
      <c r="L167" s="190"/>
      <c r="M167" s="202" t="s">
        <v>707</v>
      </c>
      <c r="N167" s="209" t="s">
        <v>1434</v>
      </c>
      <c r="O167" s="230" t="s">
        <v>1348</v>
      </c>
      <c r="P167" s="190"/>
    </row>
    <row r="168" spans="1:16" ht="26">
      <c r="A168" s="192" t="s">
        <v>1740</v>
      </c>
      <c r="B168" s="190" t="s">
        <v>1688</v>
      </c>
      <c r="C168" s="190" t="s">
        <v>1741</v>
      </c>
      <c r="D168" s="192" t="s">
        <v>1224</v>
      </c>
      <c r="E168" s="228" t="s">
        <v>1225</v>
      </c>
      <c r="F168" s="190"/>
      <c r="G168" s="190" t="s">
        <v>1319</v>
      </c>
      <c r="H168" s="190" t="s">
        <v>1692</v>
      </c>
      <c r="I168" s="190" t="s">
        <v>1688</v>
      </c>
      <c r="J168" s="193" t="s">
        <v>1322</v>
      </c>
      <c r="K168" s="191">
        <v>39975</v>
      </c>
      <c r="L168" s="190"/>
      <c r="M168" s="202" t="s">
        <v>707</v>
      </c>
      <c r="N168" s="209" t="s">
        <v>1434</v>
      </c>
      <c r="O168" s="230" t="s">
        <v>1348</v>
      </c>
      <c r="P168" s="190"/>
    </row>
    <row r="169" spans="1:16" ht="26">
      <c r="A169" s="192" t="s">
        <v>1742</v>
      </c>
      <c r="B169" s="190" t="s">
        <v>1688</v>
      </c>
      <c r="C169" s="190" t="s">
        <v>1743</v>
      </c>
      <c r="D169" s="192" t="s">
        <v>1177</v>
      </c>
      <c r="E169" s="228" t="s">
        <v>1178</v>
      </c>
      <c r="F169" s="190"/>
      <c r="G169" s="190" t="s">
        <v>1319</v>
      </c>
      <c r="H169" s="190" t="s">
        <v>1692</v>
      </c>
      <c r="I169" s="190" t="s">
        <v>1688</v>
      </c>
      <c r="J169" s="193" t="s">
        <v>1322</v>
      </c>
      <c r="K169" s="191">
        <v>22830.58</v>
      </c>
      <c r="L169" s="190"/>
      <c r="M169" s="202" t="s">
        <v>707</v>
      </c>
      <c r="N169" s="209" t="s">
        <v>1434</v>
      </c>
      <c r="O169" s="230" t="s">
        <v>1348</v>
      </c>
      <c r="P169" s="190"/>
    </row>
    <row r="170" spans="1:16" ht="39">
      <c r="A170" s="201" t="s">
        <v>1744</v>
      </c>
      <c r="B170" s="190" t="s">
        <v>1688</v>
      </c>
      <c r="C170" s="190" t="s">
        <v>1745</v>
      </c>
      <c r="D170" s="192" t="s">
        <v>869</v>
      </c>
      <c r="E170" s="225" t="s">
        <v>870</v>
      </c>
      <c r="F170" s="190"/>
      <c r="G170" s="202" t="s">
        <v>1351</v>
      </c>
      <c r="H170" s="190" t="s">
        <v>1692</v>
      </c>
      <c r="I170" s="190" t="s">
        <v>1688</v>
      </c>
      <c r="J170" s="193" t="s">
        <v>1322</v>
      </c>
      <c r="K170" s="191">
        <v>275000</v>
      </c>
      <c r="L170" s="190"/>
      <c r="M170" s="202" t="s">
        <v>707</v>
      </c>
      <c r="N170" s="209" t="s">
        <v>1330</v>
      </c>
      <c r="O170" s="230" t="s">
        <v>1331</v>
      </c>
      <c r="P170" s="190"/>
    </row>
    <row r="171" spans="1:16" ht="39">
      <c r="A171" s="201" t="s">
        <v>1744</v>
      </c>
      <c r="B171" s="190" t="s">
        <v>1688</v>
      </c>
      <c r="C171" s="190" t="s">
        <v>1746</v>
      </c>
      <c r="D171" s="192" t="s">
        <v>869</v>
      </c>
      <c r="E171" s="225" t="s">
        <v>870</v>
      </c>
      <c r="F171" s="190"/>
      <c r="G171" s="202" t="s">
        <v>1351</v>
      </c>
      <c r="H171" s="190" t="s">
        <v>1692</v>
      </c>
      <c r="I171" s="190" t="s">
        <v>1688</v>
      </c>
      <c r="J171" s="193" t="s">
        <v>1322</v>
      </c>
      <c r="K171" s="191">
        <v>31146.16</v>
      </c>
      <c r="L171" s="190"/>
      <c r="M171" s="202" t="s">
        <v>707</v>
      </c>
      <c r="N171" s="209" t="s">
        <v>1434</v>
      </c>
      <c r="O171" s="230" t="s">
        <v>1348</v>
      </c>
      <c r="P171" s="190"/>
    </row>
    <row r="172" spans="1:16" ht="12" customHeight="1">
      <c r="A172" s="201" t="s">
        <v>1747</v>
      </c>
      <c r="B172" s="190" t="s">
        <v>1688</v>
      </c>
      <c r="C172" s="190" t="s">
        <v>1748</v>
      </c>
      <c r="D172" s="192" t="s">
        <v>869</v>
      </c>
      <c r="E172" s="225" t="s">
        <v>870</v>
      </c>
      <c r="F172" s="190"/>
      <c r="G172" s="202" t="s">
        <v>1351</v>
      </c>
      <c r="H172" s="190" t="s">
        <v>1692</v>
      </c>
      <c r="I172" s="190" t="s">
        <v>1688</v>
      </c>
      <c r="J172" s="193" t="s">
        <v>1322</v>
      </c>
      <c r="K172" s="191">
        <v>43257.41</v>
      </c>
      <c r="L172" s="190"/>
      <c r="M172" s="202" t="s">
        <v>707</v>
      </c>
      <c r="N172" s="209" t="s">
        <v>1434</v>
      </c>
      <c r="O172" s="230" t="s">
        <v>1348</v>
      </c>
      <c r="P172" s="190"/>
    </row>
  </sheetData>
  <autoFilter ref="A3:P172" xr:uid="{00000000-0009-0000-0000-000002000000}"/>
  <dataValidations count="1">
    <dataValidation type="textLength" operator="lessThanOrEqual" allowBlank="1" showInputMessage="1" showErrorMessage="1" errorTitle="S'ha superat la longitud" error="Aquest valor ha de ser menor o igual que 200 caràcters de longitud." promptTitle="Text" prompt="Longitud màxima: 200 caràcters." sqref="Q4:Q9 N4:O5 N9:O10 Q25 O11 O13:O14 O17:O18 O26 O30 O32:O47 O83:O99 O104:O115 O23 O50:O81 O101:O102 O117:O172" xr:uid="{00000000-0002-0000-0200-000000000000}">
      <formula1>200</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8">
        <x14:dataValidation type="list" allowBlank="1" showInputMessage="1" showErrorMessage="1" xr:uid="{00000000-0002-0000-0200-000001000000}">
          <x14:formula1>
            <xm:f>Llistes!$G$3:$G$38</xm:f>
          </x14:formula1>
          <xm:sqref>I1:I142 I173:I1048576</xm:sqref>
        </x14:dataValidation>
        <x14:dataValidation type="list" allowBlank="1" showInputMessage="1" showErrorMessage="1" errorTitle="Seleccioneu un parc del llistat" error="Seleccioneu un parc del llistat per tal de poder veure els possibles gestors responsables" xr:uid="{00000000-0002-0000-0200-000002000000}">
          <x14:formula1>
            <xm:f>Gestors!$A$2:$A$15</xm:f>
          </x14:formula1>
          <xm:sqref>P1</xm:sqref>
        </x14:dataValidation>
        <x14:dataValidation type="list" allowBlank="1" showInputMessage="1" showErrorMessage="1" xr:uid="{00000000-0002-0000-0200-000003000000}">
          <x14:formula1>
            <xm:f>INDIRECT(VLOOKUP($P$1,Gestors!$A$1:$B$15,2,FALSE))</xm:f>
          </x14:formula1>
          <xm:sqref>N6:O8 O24:O25 O12 O15:O16 O27:O29 O31 O103 O48:O49 O116 O82 O100 O19:O22 N11:N1048576 O173:O1048576</xm:sqref>
        </x14:dataValidation>
        <x14:dataValidation type="list" allowBlank="1" showInputMessage="1" showErrorMessage="1" xr:uid="{00000000-0002-0000-0200-000004000000}">
          <x14:formula1>
            <xm:f>'PLA ESTRATÈGIC'!$F$6:$F$186</xm:f>
          </x14:formula1>
          <xm:sqref>D124:E125 D135:E136 D173:E1048576 D73:E80 E133 D89:E91 D4:E38 D128:E132 D82:E87 D93:E104 E105 D42:E71 E88 D106:E122 E123 D138:E142 E145 E147 E164 E170:E172</xm:sqref>
        </x14:dataValidation>
        <x14:dataValidation type="list" allowBlank="1" showInputMessage="1" showErrorMessage="1" xr:uid="{00000000-0002-0000-0200-000005000000}">
          <x14:formula1>
            <xm:f>Llistes!$B$2:$B$15</xm:f>
          </x14:formula1>
          <xm:sqref>H1:H1048576</xm:sqref>
        </x14:dataValidation>
        <x14:dataValidation type="list" allowBlank="1" showInputMessage="1" showErrorMessage="1" xr:uid="{00000000-0002-0000-0200-000006000000}">
          <x14:formula1>
            <xm:f>Llistes!$C$2:$C$19</xm:f>
          </x14:formula1>
          <xm:sqref>J1:J1048576</xm:sqref>
        </x14:dataValidation>
        <x14:dataValidation type="list" allowBlank="1" showInputMessage="1" showErrorMessage="1" xr:uid="{00000000-0002-0000-0200-000007000000}">
          <x14:formula1>
            <xm:f>Llistes!$E$2:$E$8</xm:f>
          </x14:formula1>
          <xm:sqref>G1:G1048576</xm:sqref>
        </x14:dataValidation>
        <x14:dataValidation type="list" allowBlank="1" showInputMessage="1" showErrorMessage="1" errorTitle="Camp obligatori" error="Aquest camp és obligatori i ha de respondre's &quot;Sí&quot; o &quot;No&quot;" xr:uid="{00000000-0002-0000-0200-000008000000}">
          <x14:formula1>
            <xm:f>Llistes!$K$2:$K$3</xm:f>
          </x14:formula1>
          <xm:sqref>P4:P1048576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U388"/>
  <sheetViews>
    <sheetView showGridLines="0" tabSelected="1" zoomScale="70" zoomScaleNormal="70" workbookViewId="0">
      <pane ySplit="5" topLeftCell="A6" activePane="bottomLeft" state="frozen"/>
      <selection pane="bottomLeft" activeCell="E160" sqref="E160"/>
    </sheetView>
  </sheetViews>
  <sheetFormatPr defaultColWidth="8.7265625" defaultRowHeight="14.5"/>
  <cols>
    <col min="1" max="1" width="27.81640625" style="26" customWidth="1"/>
    <col min="2" max="2" width="14.26953125" style="9" bestFit="1" customWidth="1"/>
    <col min="3" max="3" width="57" style="9" customWidth="1"/>
    <col min="4" max="4" width="13.81640625" style="8" bestFit="1" customWidth="1"/>
    <col min="5" max="5" width="87.26953125" style="4" bestFit="1" customWidth="1"/>
    <col min="6" max="6" width="14.26953125" style="6" bestFit="1" customWidth="1"/>
    <col min="7" max="7" width="65.81640625" style="5" customWidth="1"/>
    <col min="8" max="8" width="18.81640625" style="6" customWidth="1"/>
    <col min="9" max="9" width="22.26953125" style="6" customWidth="1"/>
    <col min="10" max="10" width="71.26953125" style="5" customWidth="1"/>
    <col min="11" max="11" width="28.453125" style="6" customWidth="1"/>
    <col min="12" max="12" width="26.453125" style="9" customWidth="1"/>
    <col min="13" max="13" width="13.26953125" style="144" bestFit="1" customWidth="1"/>
    <col min="14" max="14" width="68.7265625" style="9" customWidth="1"/>
    <col min="15" max="15" width="22.453125" style="144" customWidth="1"/>
    <col min="16" max="16" width="41.1796875" style="10" customWidth="1"/>
    <col min="17" max="17" width="28.7265625" style="1" bestFit="1" customWidth="1"/>
    <col min="18" max="18" width="21.7265625" style="1" customWidth="1"/>
    <col min="19" max="19" width="17.81640625" style="1" customWidth="1"/>
    <col min="20" max="20" width="12.54296875" style="1" bestFit="1" customWidth="1"/>
    <col min="21" max="21" width="14.54296875" style="1" bestFit="1" customWidth="1"/>
    <col min="22" max="16384" width="8.7265625" style="1"/>
  </cols>
  <sheetData>
    <row r="1" spans="1:21" ht="18.5">
      <c r="A1" s="151"/>
      <c r="B1" s="145"/>
      <c r="C1" s="145"/>
    </row>
    <row r="2" spans="1:21" ht="18.5">
      <c r="A2" s="11"/>
      <c r="B2" s="152" t="s">
        <v>0</v>
      </c>
      <c r="C2" s="12" t="s">
        <v>1</v>
      </c>
      <c r="R2" s="236" t="s">
        <v>2</v>
      </c>
      <c r="S2" s="237"/>
    </row>
    <row r="3" spans="1:21" ht="18.5">
      <c r="A3" s="11"/>
      <c r="B3" s="152"/>
      <c r="C3" s="13"/>
      <c r="R3" s="177"/>
      <c r="S3" s="178"/>
    </row>
    <row r="4" spans="1:21" s="179" customFormat="1" ht="43.5" customHeight="1">
      <c r="A4" s="15" t="s">
        <v>3</v>
      </c>
      <c r="B4" s="14" t="s">
        <v>4</v>
      </c>
      <c r="C4" s="14" t="s">
        <v>5</v>
      </c>
      <c r="D4" s="181" t="s">
        <v>6</v>
      </c>
      <c r="E4" s="14" t="s">
        <v>7</v>
      </c>
      <c r="F4" s="14" t="s">
        <v>8</v>
      </c>
      <c r="G4" s="14" t="s">
        <v>9</v>
      </c>
      <c r="H4" s="14" t="s">
        <v>10</v>
      </c>
      <c r="I4" s="14" t="s">
        <v>11</v>
      </c>
      <c r="J4" s="7" t="s">
        <v>12</v>
      </c>
      <c r="K4" s="7" t="s">
        <v>13</v>
      </c>
      <c r="L4" s="7" t="s">
        <v>14</v>
      </c>
      <c r="M4" s="153" t="s">
        <v>15</v>
      </c>
      <c r="N4" s="7" t="s">
        <v>16</v>
      </c>
      <c r="O4" s="15" t="s">
        <v>17</v>
      </c>
      <c r="P4" s="15" t="s">
        <v>18</v>
      </c>
      <c r="Q4" s="153" t="s">
        <v>19</v>
      </c>
      <c r="R4" s="153" t="s">
        <v>20</v>
      </c>
      <c r="S4" s="153" t="s">
        <v>21</v>
      </c>
      <c r="T4" s="235"/>
      <c r="U4" s="235"/>
    </row>
    <row r="5" spans="1:21" s="43" customFormat="1">
      <c r="A5" s="180" t="s">
        <v>22</v>
      </c>
      <c r="B5" s="181" t="s">
        <v>23</v>
      </c>
      <c r="C5" s="181" t="s">
        <v>24</v>
      </c>
      <c r="D5" s="181" t="s">
        <v>25</v>
      </c>
      <c r="E5" s="181" t="s">
        <v>26</v>
      </c>
      <c r="F5" s="181" t="s">
        <v>27</v>
      </c>
      <c r="G5" s="181" t="s">
        <v>28</v>
      </c>
      <c r="H5" s="181" t="s">
        <v>29</v>
      </c>
      <c r="I5" s="181" t="s">
        <v>30</v>
      </c>
      <c r="J5" s="182" t="s">
        <v>31</v>
      </c>
      <c r="K5" s="182" t="s">
        <v>32</v>
      </c>
      <c r="L5" s="182" t="s">
        <v>33</v>
      </c>
      <c r="M5" s="183" t="s">
        <v>34</v>
      </c>
      <c r="N5" s="182" t="s">
        <v>35</v>
      </c>
      <c r="O5" s="180" t="s">
        <v>36</v>
      </c>
      <c r="P5" s="180" t="s">
        <v>37</v>
      </c>
      <c r="Q5" s="183" t="s">
        <v>38</v>
      </c>
      <c r="R5" s="183" t="s">
        <v>39</v>
      </c>
      <c r="S5" s="183" t="s">
        <v>40</v>
      </c>
    </row>
    <row r="6" spans="1:21" ht="72.5">
      <c r="A6" s="44" t="s">
        <v>41</v>
      </c>
      <c r="B6" s="45">
        <v>1</v>
      </c>
      <c r="C6" s="46" t="s">
        <v>42</v>
      </c>
      <c r="D6" s="47" t="s">
        <v>43</v>
      </c>
      <c r="E6" s="48" t="s">
        <v>44</v>
      </c>
      <c r="F6" s="16" t="s">
        <v>45</v>
      </c>
      <c r="G6" s="17" t="s">
        <v>46</v>
      </c>
      <c r="H6" s="16" t="s">
        <v>47</v>
      </c>
      <c r="I6" s="16" t="s">
        <v>48</v>
      </c>
      <c r="J6" s="18" t="str">
        <f t="shared" ref="J6:J28" si="0">G6</f>
        <v>Implementar i executar plans de gestió específics per a hàbitats i espècies de conservació prioritària dins l'ENP</v>
      </c>
      <c r="K6" s="18"/>
      <c r="L6" s="22" t="s">
        <v>49</v>
      </c>
      <c r="M6" s="132" t="s">
        <v>50</v>
      </c>
      <c r="N6" s="154" t="s">
        <v>51</v>
      </c>
      <c r="O6" s="21" t="s">
        <v>52</v>
      </c>
      <c r="P6" s="19" t="s">
        <v>53</v>
      </c>
      <c r="Q6" s="135" t="s">
        <v>54</v>
      </c>
      <c r="R6" s="132">
        <v>10</v>
      </c>
      <c r="S6" s="132">
        <v>20</v>
      </c>
      <c r="T6" s="165"/>
      <c r="U6" s="165"/>
    </row>
    <row r="7" spans="1:21" ht="105" customHeight="1">
      <c r="A7" s="44" t="s">
        <v>41</v>
      </c>
      <c r="B7" s="45">
        <v>1</v>
      </c>
      <c r="C7" s="46" t="s">
        <v>42</v>
      </c>
      <c r="D7" s="47" t="s">
        <v>43</v>
      </c>
      <c r="E7" s="48" t="s">
        <v>44</v>
      </c>
      <c r="F7" s="16" t="s">
        <v>45</v>
      </c>
      <c r="G7" s="17" t="s">
        <v>46</v>
      </c>
      <c r="H7" s="16" t="s">
        <v>47</v>
      </c>
      <c r="I7" s="16" t="s">
        <v>48</v>
      </c>
      <c r="J7" s="18" t="str">
        <f t="shared" si="0"/>
        <v>Implementar i executar plans de gestió específics per a hàbitats i espècies de conservació prioritària dins l'ENP</v>
      </c>
      <c r="K7" s="18"/>
      <c r="L7" s="22" t="s">
        <v>49</v>
      </c>
      <c r="M7" s="132" t="s">
        <v>50</v>
      </c>
      <c r="N7" s="154" t="s">
        <v>55</v>
      </c>
      <c r="O7" s="21" t="s">
        <v>52</v>
      </c>
      <c r="P7" s="19" t="s">
        <v>53</v>
      </c>
      <c r="Q7" s="135" t="s">
        <v>56</v>
      </c>
      <c r="R7" s="132">
        <v>1</v>
      </c>
      <c r="S7" s="132">
        <v>1</v>
      </c>
      <c r="T7" s="144"/>
      <c r="U7" s="144"/>
    </row>
    <row r="8" spans="1:21" ht="60" customHeight="1">
      <c r="A8" s="44" t="s">
        <v>41</v>
      </c>
      <c r="B8" s="45">
        <v>1</v>
      </c>
      <c r="C8" s="49" t="s">
        <v>42</v>
      </c>
      <c r="D8" s="47" t="s">
        <v>43</v>
      </c>
      <c r="E8" s="48" t="s">
        <v>44</v>
      </c>
      <c r="F8" s="16" t="s">
        <v>57</v>
      </c>
      <c r="G8" s="17" t="s">
        <v>58</v>
      </c>
      <c r="H8" s="16" t="s">
        <v>47</v>
      </c>
      <c r="I8" s="16" t="s">
        <v>48</v>
      </c>
      <c r="J8" s="18" t="str">
        <f t="shared" si="0"/>
        <v>Adaptar i executar plans de gestió específics per a elements geològics de conservació prioritària dins l'ENP</v>
      </c>
      <c r="K8" s="18"/>
      <c r="L8" s="22" t="s">
        <v>49</v>
      </c>
      <c r="M8" s="132" t="s">
        <v>59</v>
      </c>
      <c r="N8" s="154" t="s">
        <v>60</v>
      </c>
      <c r="O8" s="21" t="s">
        <v>61</v>
      </c>
      <c r="P8" s="19" t="s">
        <v>62</v>
      </c>
      <c r="Q8" s="135" t="s">
        <v>63</v>
      </c>
      <c r="R8" s="132">
        <v>1</v>
      </c>
      <c r="S8" s="132">
        <v>1</v>
      </c>
      <c r="T8" s="144"/>
      <c r="U8" s="144"/>
    </row>
    <row r="9" spans="1:21" ht="75" customHeight="1">
      <c r="A9" s="44" t="s">
        <v>41</v>
      </c>
      <c r="B9" s="45">
        <v>1</v>
      </c>
      <c r="C9" s="49" t="s">
        <v>42</v>
      </c>
      <c r="D9" s="47" t="s">
        <v>43</v>
      </c>
      <c r="E9" s="48" t="s">
        <v>44</v>
      </c>
      <c r="F9" s="16" t="s">
        <v>57</v>
      </c>
      <c r="G9" s="17" t="s">
        <v>58</v>
      </c>
      <c r="H9" s="16" t="s">
        <v>47</v>
      </c>
      <c r="I9" s="16" t="s">
        <v>48</v>
      </c>
      <c r="J9" s="18" t="str">
        <f t="shared" si="0"/>
        <v>Adaptar i executar plans de gestió específics per a elements geològics de conservació prioritària dins l'ENP</v>
      </c>
      <c r="K9" s="18"/>
      <c r="L9" s="22" t="s">
        <v>49</v>
      </c>
      <c r="M9" s="132" t="s">
        <v>59</v>
      </c>
      <c r="N9" s="154" t="s">
        <v>64</v>
      </c>
      <c r="O9" s="21" t="s">
        <v>61</v>
      </c>
      <c r="P9" s="19" t="s">
        <v>62</v>
      </c>
      <c r="Q9" s="135" t="s">
        <v>65</v>
      </c>
      <c r="R9" s="132">
        <v>1</v>
      </c>
      <c r="S9" s="132">
        <v>10</v>
      </c>
      <c r="T9" s="144"/>
      <c r="U9" s="144"/>
    </row>
    <row r="10" spans="1:21" ht="43.5">
      <c r="A10" s="44" t="s">
        <v>41</v>
      </c>
      <c r="B10" s="45">
        <v>1</v>
      </c>
      <c r="C10" s="49" t="s">
        <v>42</v>
      </c>
      <c r="D10" s="47" t="s">
        <v>43</v>
      </c>
      <c r="E10" s="48" t="s">
        <v>44</v>
      </c>
      <c r="F10" s="16" t="s">
        <v>57</v>
      </c>
      <c r="G10" s="17" t="s">
        <v>58</v>
      </c>
      <c r="H10" s="16" t="s">
        <v>47</v>
      </c>
      <c r="I10" s="16" t="s">
        <v>48</v>
      </c>
      <c r="J10" s="18" t="str">
        <f t="shared" si="0"/>
        <v>Adaptar i executar plans de gestió específics per a elements geològics de conservació prioritària dins l'ENP</v>
      </c>
      <c r="K10" s="18"/>
      <c r="L10" s="22" t="s">
        <v>49</v>
      </c>
      <c r="M10" s="132" t="s">
        <v>50</v>
      </c>
      <c r="N10" s="154" t="s">
        <v>66</v>
      </c>
      <c r="O10" s="21"/>
      <c r="P10" s="20"/>
      <c r="Q10" s="135" t="s">
        <v>67</v>
      </c>
      <c r="R10" s="132">
        <v>1</v>
      </c>
      <c r="S10" s="132">
        <v>1</v>
      </c>
      <c r="T10" s="144"/>
      <c r="U10" s="144"/>
    </row>
    <row r="11" spans="1:21" ht="75" customHeight="1">
      <c r="A11" s="44" t="s">
        <v>41</v>
      </c>
      <c r="B11" s="45">
        <v>1</v>
      </c>
      <c r="C11" s="49" t="s">
        <v>42</v>
      </c>
      <c r="D11" s="47" t="s">
        <v>68</v>
      </c>
      <c r="E11" s="48" t="s">
        <v>69</v>
      </c>
      <c r="F11" s="16" t="s">
        <v>70</v>
      </c>
      <c r="G11" s="17" t="s">
        <v>71</v>
      </c>
      <c r="H11" s="16" t="s">
        <v>47</v>
      </c>
      <c r="I11" s="16" t="s">
        <v>72</v>
      </c>
      <c r="J11" s="18" t="str">
        <f t="shared" si="0"/>
        <v>Implementar la metodologia de gestió adaptativa (Estàndards Oberts de Gestió Adaptativa a Catalunya) en tots els processos de l'ENP</v>
      </c>
      <c r="K11" s="18"/>
      <c r="L11" s="22" t="s">
        <v>49</v>
      </c>
      <c r="M11" s="132" t="s">
        <v>50</v>
      </c>
      <c r="N11" s="154" t="s">
        <v>73</v>
      </c>
      <c r="O11" s="21" t="s">
        <v>74</v>
      </c>
      <c r="P11" s="19" t="s">
        <v>75</v>
      </c>
      <c r="Q11" s="135" t="s">
        <v>76</v>
      </c>
      <c r="R11" s="132">
        <v>1</v>
      </c>
      <c r="S11" s="132">
        <v>5</v>
      </c>
      <c r="T11" s="144"/>
      <c r="U11" s="144"/>
    </row>
    <row r="12" spans="1:21" ht="60" customHeight="1">
      <c r="A12" s="44" t="s">
        <v>41</v>
      </c>
      <c r="B12" s="45">
        <v>1</v>
      </c>
      <c r="C12" s="49" t="s">
        <v>42</v>
      </c>
      <c r="D12" s="47" t="s">
        <v>68</v>
      </c>
      <c r="E12" s="48" t="s">
        <v>69</v>
      </c>
      <c r="F12" s="16" t="s">
        <v>77</v>
      </c>
      <c r="G12" s="17" t="s">
        <v>78</v>
      </c>
      <c r="H12" s="16" t="s">
        <v>47</v>
      </c>
      <c r="I12" s="16" t="s">
        <v>48</v>
      </c>
      <c r="J12" s="18" t="str">
        <f t="shared" si="0"/>
        <v>Executar les mesures previstes en els plans de conservació o recuperació d'espècies amenaçades de forma coordinada amb el Servei de Flora i Fauna en l'àmbit de l'ENP</v>
      </c>
      <c r="K12" s="18"/>
      <c r="L12" s="22" t="s">
        <v>49</v>
      </c>
      <c r="M12" s="132" t="s">
        <v>50</v>
      </c>
      <c r="N12" s="154" t="s">
        <v>79</v>
      </c>
      <c r="O12" s="21" t="s">
        <v>80</v>
      </c>
      <c r="P12" s="19" t="s">
        <v>81</v>
      </c>
      <c r="Q12" s="135" t="s">
        <v>82</v>
      </c>
      <c r="R12" s="132">
        <v>2</v>
      </c>
      <c r="S12" s="132">
        <v>4</v>
      </c>
      <c r="T12" s="144"/>
      <c r="U12" s="144"/>
    </row>
    <row r="13" spans="1:21" ht="105" customHeight="1">
      <c r="A13" s="44" t="s">
        <v>41</v>
      </c>
      <c r="B13" s="45">
        <v>1</v>
      </c>
      <c r="C13" s="49" t="s">
        <v>42</v>
      </c>
      <c r="D13" s="47" t="s">
        <v>68</v>
      </c>
      <c r="E13" s="48" t="s">
        <v>69</v>
      </c>
      <c r="F13" s="16" t="s">
        <v>77</v>
      </c>
      <c r="G13" s="17" t="s">
        <v>78</v>
      </c>
      <c r="H13" s="16" t="s">
        <v>47</v>
      </c>
      <c r="I13" s="16" t="s">
        <v>48</v>
      </c>
      <c r="J13" s="18" t="str">
        <f t="shared" si="0"/>
        <v>Executar les mesures previstes en els plans de conservació o recuperació d'espècies amenaçades de forma coordinada amb el Servei de Flora i Fauna en l'àmbit de l'ENP</v>
      </c>
      <c r="K13" s="18"/>
      <c r="L13" s="22" t="s">
        <v>49</v>
      </c>
      <c r="M13" s="132" t="s">
        <v>50</v>
      </c>
      <c r="N13" s="154" t="s">
        <v>83</v>
      </c>
      <c r="O13" s="21" t="s">
        <v>80</v>
      </c>
      <c r="P13" s="19" t="s">
        <v>81</v>
      </c>
      <c r="Q13" s="135" t="s">
        <v>84</v>
      </c>
      <c r="R13" s="132">
        <v>4</v>
      </c>
      <c r="S13" s="132">
        <v>8</v>
      </c>
      <c r="T13" s="144"/>
      <c r="U13" s="144"/>
    </row>
    <row r="14" spans="1:21" ht="165" customHeight="1">
      <c r="A14" s="44" t="s">
        <v>41</v>
      </c>
      <c r="B14" s="45">
        <v>1</v>
      </c>
      <c r="C14" s="49" t="s">
        <v>42</v>
      </c>
      <c r="D14" s="47" t="s">
        <v>68</v>
      </c>
      <c r="E14" s="48" t="s">
        <v>69</v>
      </c>
      <c r="F14" s="16" t="s">
        <v>77</v>
      </c>
      <c r="G14" s="17" t="s">
        <v>78</v>
      </c>
      <c r="H14" s="16" t="s">
        <v>47</v>
      </c>
      <c r="I14" s="16" t="s">
        <v>48</v>
      </c>
      <c r="J14" s="18" t="str">
        <f t="shared" si="0"/>
        <v>Executar les mesures previstes en els plans de conservació o recuperació d'espècies amenaçades de forma coordinada amb el Servei de Flora i Fauna en l'àmbit de l'ENP</v>
      </c>
      <c r="K14" s="18"/>
      <c r="L14" s="22" t="s">
        <v>49</v>
      </c>
      <c r="M14" s="133" t="s">
        <v>50</v>
      </c>
      <c r="N14" s="155" t="s">
        <v>85</v>
      </c>
      <c r="O14" s="21" t="s">
        <v>80</v>
      </c>
      <c r="P14" s="19" t="s">
        <v>81</v>
      </c>
      <c r="Q14" s="135" t="s">
        <v>86</v>
      </c>
      <c r="R14" s="132">
        <v>1</v>
      </c>
      <c r="S14" s="132">
        <v>26</v>
      </c>
      <c r="T14" s="144"/>
      <c r="U14" s="144"/>
    </row>
    <row r="15" spans="1:21" ht="45" customHeight="1">
      <c r="A15" s="44" t="s">
        <v>41</v>
      </c>
      <c r="B15" s="45">
        <v>1</v>
      </c>
      <c r="C15" s="49" t="s">
        <v>42</v>
      </c>
      <c r="D15" s="47" t="s">
        <v>68</v>
      </c>
      <c r="E15" s="48" t="s">
        <v>69</v>
      </c>
      <c r="F15" s="16" t="s">
        <v>77</v>
      </c>
      <c r="G15" s="17" t="s">
        <v>78</v>
      </c>
      <c r="H15" s="16" t="s">
        <v>47</v>
      </c>
      <c r="I15" s="16" t="s">
        <v>48</v>
      </c>
      <c r="J15" s="18" t="str">
        <f t="shared" si="0"/>
        <v>Executar les mesures previstes en els plans de conservació o recuperació d'espècies amenaçades de forma coordinada amb el Servei de Flora i Fauna en l'àmbit de l'ENP</v>
      </c>
      <c r="K15" s="18"/>
      <c r="L15" s="22" t="s">
        <v>49</v>
      </c>
      <c r="M15" s="132" t="s">
        <v>50</v>
      </c>
      <c r="N15" s="154" t="s">
        <v>87</v>
      </c>
      <c r="O15" s="21" t="s">
        <v>80</v>
      </c>
      <c r="P15" s="19" t="s">
        <v>81</v>
      </c>
      <c r="Q15" s="135" t="s">
        <v>88</v>
      </c>
      <c r="R15" s="132">
        <v>1</v>
      </c>
      <c r="S15" s="132">
        <v>4</v>
      </c>
      <c r="T15" s="144"/>
      <c r="U15" s="144"/>
    </row>
    <row r="16" spans="1:21" ht="90" customHeight="1">
      <c r="A16" s="44" t="s">
        <v>41</v>
      </c>
      <c r="B16" s="45">
        <v>1</v>
      </c>
      <c r="C16" s="49" t="s">
        <v>42</v>
      </c>
      <c r="D16" s="47" t="s">
        <v>68</v>
      </c>
      <c r="E16" s="48" t="s">
        <v>69</v>
      </c>
      <c r="F16" s="16" t="s">
        <v>89</v>
      </c>
      <c r="G16" s="17" t="s">
        <v>90</v>
      </c>
      <c r="H16" s="16" t="s">
        <v>47</v>
      </c>
      <c r="I16" s="16" t="s">
        <v>48</v>
      </c>
      <c r="J16" s="18" t="str">
        <f t="shared" si="0"/>
        <v>Executar les mesures de gestió previstes en els plans de control i erradicació d'espècies exòtiques de forma coordinada amb el Servei de Flora i Fauna en l'àmbit de l'ENP</v>
      </c>
      <c r="K16" s="18"/>
      <c r="L16" s="22" t="s">
        <v>49</v>
      </c>
      <c r="M16" s="132" t="s">
        <v>50</v>
      </c>
      <c r="N16" s="154" t="s">
        <v>91</v>
      </c>
      <c r="O16" s="21" t="s">
        <v>92</v>
      </c>
      <c r="P16" s="19" t="s">
        <v>93</v>
      </c>
      <c r="Q16" s="135" t="s">
        <v>94</v>
      </c>
      <c r="R16" s="132">
        <v>1</v>
      </c>
      <c r="S16" s="132">
        <v>4</v>
      </c>
      <c r="T16" s="144"/>
      <c r="U16" s="144"/>
    </row>
    <row r="17" spans="1:21" ht="105" customHeight="1">
      <c r="A17" s="44" t="s">
        <v>41</v>
      </c>
      <c r="B17" s="45">
        <v>1</v>
      </c>
      <c r="C17" s="49" t="s">
        <v>42</v>
      </c>
      <c r="D17" s="47" t="s">
        <v>68</v>
      </c>
      <c r="E17" s="48" t="s">
        <v>69</v>
      </c>
      <c r="F17" s="16" t="s">
        <v>89</v>
      </c>
      <c r="G17" s="17" t="s">
        <v>90</v>
      </c>
      <c r="H17" s="16" t="s">
        <v>47</v>
      </c>
      <c r="I17" s="16" t="s">
        <v>48</v>
      </c>
      <c r="J17" s="18" t="str">
        <f t="shared" si="0"/>
        <v>Executar les mesures de gestió previstes en els plans de control i erradicació d'espècies exòtiques de forma coordinada amb el Servei de Flora i Fauna en l'àmbit de l'ENP</v>
      </c>
      <c r="K17" s="18"/>
      <c r="L17" s="22" t="s">
        <v>49</v>
      </c>
      <c r="M17" s="132" t="s">
        <v>50</v>
      </c>
      <c r="N17" s="154" t="s">
        <v>95</v>
      </c>
      <c r="O17" s="21" t="s">
        <v>92</v>
      </c>
      <c r="P17" s="19" t="s">
        <v>93</v>
      </c>
      <c r="Q17" s="135" t="s">
        <v>96</v>
      </c>
      <c r="R17" s="132">
        <v>4</v>
      </c>
      <c r="S17" s="132">
        <v>8</v>
      </c>
      <c r="T17" s="144"/>
      <c r="U17" s="144"/>
    </row>
    <row r="18" spans="1:21" ht="150" customHeight="1">
      <c r="A18" s="44" t="s">
        <v>41</v>
      </c>
      <c r="B18" s="45">
        <v>1</v>
      </c>
      <c r="C18" s="49" t="s">
        <v>42</v>
      </c>
      <c r="D18" s="47" t="s">
        <v>68</v>
      </c>
      <c r="E18" s="48" t="s">
        <v>69</v>
      </c>
      <c r="F18" s="16" t="s">
        <v>89</v>
      </c>
      <c r="G18" s="17" t="s">
        <v>90</v>
      </c>
      <c r="H18" s="16" t="s">
        <v>47</v>
      </c>
      <c r="I18" s="16" t="s">
        <v>48</v>
      </c>
      <c r="J18" s="18" t="str">
        <f t="shared" si="0"/>
        <v>Executar les mesures de gestió previstes en els plans de control i erradicació d'espècies exòtiques de forma coordinada amb el Servei de Flora i Fauna en l'àmbit de l'ENP</v>
      </c>
      <c r="K18" s="18"/>
      <c r="L18" s="22" t="s">
        <v>49</v>
      </c>
      <c r="M18" s="132" t="s">
        <v>50</v>
      </c>
      <c r="N18" s="154" t="s">
        <v>97</v>
      </c>
      <c r="O18" s="21" t="s">
        <v>92</v>
      </c>
      <c r="P18" s="19" t="s">
        <v>93</v>
      </c>
      <c r="Q18" s="135" t="s">
        <v>98</v>
      </c>
      <c r="R18" s="132">
        <v>1</v>
      </c>
      <c r="S18" s="132">
        <v>4</v>
      </c>
      <c r="T18" s="144"/>
      <c r="U18" s="144"/>
    </row>
    <row r="19" spans="1:21" ht="75" customHeight="1">
      <c r="A19" s="44" t="s">
        <v>41</v>
      </c>
      <c r="B19" s="45">
        <v>1</v>
      </c>
      <c r="C19" s="49" t="s">
        <v>42</v>
      </c>
      <c r="D19" s="47" t="s">
        <v>68</v>
      </c>
      <c r="E19" s="48" t="s">
        <v>69</v>
      </c>
      <c r="F19" s="16" t="s">
        <v>99</v>
      </c>
      <c r="G19" s="17" t="s">
        <v>100</v>
      </c>
      <c r="H19" s="16" t="s">
        <v>101</v>
      </c>
      <c r="I19" s="16" t="s">
        <v>102</v>
      </c>
      <c r="J19" s="18" t="str">
        <f t="shared" si="0"/>
        <v xml:space="preserve">Desplegar els objectius i tasques recollits en els instruments de referència i compromisos internacionals  </v>
      </c>
      <c r="K19" s="18"/>
      <c r="L19" s="22" t="s">
        <v>49</v>
      </c>
      <c r="M19" s="132" t="s">
        <v>50</v>
      </c>
      <c r="N19" s="156" t="s">
        <v>103</v>
      </c>
      <c r="O19" s="21"/>
      <c r="P19" s="19"/>
      <c r="Q19" s="135" t="s">
        <v>104</v>
      </c>
      <c r="R19" s="132">
        <v>1</v>
      </c>
      <c r="S19" s="132">
        <v>1</v>
      </c>
      <c r="T19" s="144"/>
      <c r="U19" s="144"/>
    </row>
    <row r="20" spans="1:21" ht="29">
      <c r="A20" s="44" t="s">
        <v>41</v>
      </c>
      <c r="B20" s="45">
        <v>1</v>
      </c>
      <c r="C20" s="49" t="s">
        <v>42</v>
      </c>
      <c r="D20" s="47" t="s">
        <v>68</v>
      </c>
      <c r="E20" s="48" t="s">
        <v>69</v>
      </c>
      <c r="F20" s="16" t="s">
        <v>99</v>
      </c>
      <c r="G20" s="17" t="s">
        <v>100</v>
      </c>
      <c r="H20" s="16" t="s">
        <v>101</v>
      </c>
      <c r="I20" s="16" t="s">
        <v>102</v>
      </c>
      <c r="J20" s="18" t="str">
        <f t="shared" si="0"/>
        <v xml:space="preserve">Desplegar els objectius i tasques recollits en els instruments de referència i compromisos internacionals  </v>
      </c>
      <c r="K20" s="18"/>
      <c r="L20" s="22" t="s">
        <v>49</v>
      </c>
      <c r="M20" s="132" t="s">
        <v>50</v>
      </c>
      <c r="N20" s="156" t="s">
        <v>105</v>
      </c>
      <c r="O20" s="21"/>
      <c r="P20" s="19"/>
      <c r="Q20" s="135" t="s">
        <v>106</v>
      </c>
      <c r="R20" s="132">
        <v>2</v>
      </c>
      <c r="S20" s="132">
        <v>2</v>
      </c>
      <c r="T20" s="144"/>
      <c r="U20" s="144"/>
    </row>
    <row r="21" spans="1:21" ht="30" customHeight="1">
      <c r="A21" s="44" t="s">
        <v>41</v>
      </c>
      <c r="B21" s="45">
        <v>1</v>
      </c>
      <c r="C21" s="49" t="s">
        <v>42</v>
      </c>
      <c r="D21" s="47" t="s">
        <v>68</v>
      </c>
      <c r="E21" s="48" t="s">
        <v>69</v>
      </c>
      <c r="F21" s="16" t="s">
        <v>99</v>
      </c>
      <c r="G21" s="17" t="s">
        <v>100</v>
      </c>
      <c r="H21" s="16" t="s">
        <v>101</v>
      </c>
      <c r="I21" s="16" t="s">
        <v>102</v>
      </c>
      <c r="J21" s="18" t="str">
        <f t="shared" si="0"/>
        <v xml:space="preserve">Desplegar els objectius i tasques recollits en els instruments de referència i compromisos internacionals  </v>
      </c>
      <c r="K21" s="18"/>
      <c r="L21" s="22" t="s">
        <v>49</v>
      </c>
      <c r="M21" s="132" t="s">
        <v>50</v>
      </c>
      <c r="N21" s="156" t="s">
        <v>107</v>
      </c>
      <c r="O21" s="21"/>
      <c r="P21" s="19"/>
      <c r="Q21" s="135" t="s">
        <v>108</v>
      </c>
      <c r="R21" s="132">
        <v>1</v>
      </c>
      <c r="S21" s="132">
        <v>2</v>
      </c>
      <c r="T21" s="144"/>
      <c r="U21" s="144"/>
    </row>
    <row r="22" spans="1:21" ht="45" customHeight="1">
      <c r="A22" s="44" t="s">
        <v>41</v>
      </c>
      <c r="B22" s="45">
        <v>1</v>
      </c>
      <c r="C22" s="49" t="s">
        <v>42</v>
      </c>
      <c r="D22" s="47" t="s">
        <v>109</v>
      </c>
      <c r="E22" s="48" t="s">
        <v>110</v>
      </c>
      <c r="F22" s="16" t="s">
        <v>111</v>
      </c>
      <c r="G22" s="17" t="s">
        <v>112</v>
      </c>
      <c r="H22" s="16" t="s">
        <v>47</v>
      </c>
      <c r="I22" s="16" t="s">
        <v>48</v>
      </c>
      <c r="J22" s="18" t="str">
        <f t="shared" si="0"/>
        <v>Identificar espais pel foment de la dinàmica natural i l'aprofitament no extractiu</v>
      </c>
      <c r="K22" s="18"/>
      <c r="L22" s="22" t="s">
        <v>49</v>
      </c>
      <c r="M22" s="132" t="s">
        <v>50</v>
      </c>
      <c r="N22" s="154" t="s">
        <v>113</v>
      </c>
      <c r="O22" s="21" t="s">
        <v>74</v>
      </c>
      <c r="P22" s="19" t="s">
        <v>114</v>
      </c>
      <c r="Q22" s="135" t="s">
        <v>115</v>
      </c>
      <c r="R22" s="132">
        <v>1</v>
      </c>
      <c r="S22" s="132">
        <v>3</v>
      </c>
      <c r="T22" s="144"/>
      <c r="U22" s="144"/>
    </row>
    <row r="23" spans="1:21" ht="135" customHeight="1">
      <c r="A23" s="44" t="s">
        <v>41</v>
      </c>
      <c r="B23" s="45">
        <v>1</v>
      </c>
      <c r="C23" s="49" t="s">
        <v>42</v>
      </c>
      <c r="D23" s="47" t="s">
        <v>109</v>
      </c>
      <c r="E23" s="48" t="s">
        <v>110</v>
      </c>
      <c r="F23" s="16" t="s">
        <v>111</v>
      </c>
      <c r="G23" s="17" t="s">
        <v>112</v>
      </c>
      <c r="H23" s="16" t="s">
        <v>47</v>
      </c>
      <c r="I23" s="16" t="s">
        <v>48</v>
      </c>
      <c r="J23" s="18" t="str">
        <f t="shared" si="0"/>
        <v>Identificar espais pel foment de la dinàmica natural i l'aprofitament no extractiu</v>
      </c>
      <c r="K23" s="18"/>
      <c r="L23" s="22" t="s">
        <v>49</v>
      </c>
      <c r="M23" s="132" t="s">
        <v>50</v>
      </c>
      <c r="N23" s="154" t="s">
        <v>116</v>
      </c>
      <c r="O23" s="21" t="s">
        <v>74</v>
      </c>
      <c r="P23" s="19" t="s">
        <v>114</v>
      </c>
      <c r="Q23" s="135" t="s">
        <v>117</v>
      </c>
      <c r="R23" s="132">
        <v>10</v>
      </c>
      <c r="S23" s="132">
        <v>100</v>
      </c>
      <c r="T23" s="144"/>
      <c r="U23" s="144"/>
    </row>
    <row r="24" spans="1:21" ht="75" customHeight="1">
      <c r="A24" s="44" t="s">
        <v>41</v>
      </c>
      <c r="B24" s="45">
        <v>1</v>
      </c>
      <c r="C24" s="49" t="s">
        <v>42</v>
      </c>
      <c r="D24" s="47" t="s">
        <v>109</v>
      </c>
      <c r="E24" s="48" t="s">
        <v>110</v>
      </c>
      <c r="F24" s="16" t="s">
        <v>118</v>
      </c>
      <c r="G24" s="17" t="s">
        <v>119</v>
      </c>
      <c r="H24" s="16" t="s">
        <v>101</v>
      </c>
      <c r="I24" s="16" t="s">
        <v>102</v>
      </c>
      <c r="J24" s="18" t="str">
        <f t="shared" si="0"/>
        <v>Afavorir la maduresa dels sistemes forestals</v>
      </c>
      <c r="K24" s="18"/>
      <c r="L24" s="22" t="s">
        <v>49</v>
      </c>
      <c r="M24" s="132" t="s">
        <v>50</v>
      </c>
      <c r="N24" s="154" t="s">
        <v>120</v>
      </c>
      <c r="O24" s="21" t="s">
        <v>52</v>
      </c>
      <c r="P24" s="19" t="s">
        <v>114</v>
      </c>
      <c r="Q24" s="135" t="s">
        <v>121</v>
      </c>
      <c r="R24" s="132">
        <v>1</v>
      </c>
      <c r="S24" s="132">
        <v>2</v>
      </c>
      <c r="T24" s="144"/>
      <c r="U24" s="144"/>
    </row>
    <row r="25" spans="1:21" ht="75" customHeight="1">
      <c r="A25" s="44" t="s">
        <v>41</v>
      </c>
      <c r="B25" s="45">
        <v>1</v>
      </c>
      <c r="C25" s="49" t="s">
        <v>42</v>
      </c>
      <c r="D25" s="47" t="s">
        <v>109</v>
      </c>
      <c r="E25" s="48" t="s">
        <v>110</v>
      </c>
      <c r="F25" s="16" t="s">
        <v>118</v>
      </c>
      <c r="G25" s="17" t="s">
        <v>119</v>
      </c>
      <c r="H25" s="16" t="s">
        <v>101</v>
      </c>
      <c r="I25" s="16" t="s">
        <v>102</v>
      </c>
      <c r="J25" s="18" t="str">
        <f t="shared" si="0"/>
        <v>Afavorir la maduresa dels sistemes forestals</v>
      </c>
      <c r="K25" s="18"/>
      <c r="L25" s="22" t="s">
        <v>49</v>
      </c>
      <c r="M25" s="132" t="s">
        <v>50</v>
      </c>
      <c r="N25" s="154" t="s">
        <v>122</v>
      </c>
      <c r="O25" s="21" t="s">
        <v>52</v>
      </c>
      <c r="P25" s="19" t="s">
        <v>114</v>
      </c>
      <c r="Q25" s="135" t="s">
        <v>123</v>
      </c>
      <c r="R25" s="132">
        <v>1</v>
      </c>
      <c r="S25" s="132">
        <v>300</v>
      </c>
      <c r="T25" s="144"/>
      <c r="U25" s="144"/>
    </row>
    <row r="26" spans="1:21" ht="120" customHeight="1">
      <c r="A26" s="44" t="s">
        <v>41</v>
      </c>
      <c r="B26" s="45">
        <v>1</v>
      </c>
      <c r="C26" s="49" t="s">
        <v>42</v>
      </c>
      <c r="D26" s="47" t="s">
        <v>109</v>
      </c>
      <c r="E26" s="48" t="s">
        <v>110</v>
      </c>
      <c r="F26" s="16" t="s">
        <v>124</v>
      </c>
      <c r="G26" s="17" t="s">
        <v>125</v>
      </c>
      <c r="H26" s="16" t="s">
        <v>101</v>
      </c>
      <c r="I26" s="16" t="s">
        <v>102</v>
      </c>
      <c r="J26" s="18" t="str">
        <f t="shared" si="0"/>
        <v>Generar pertorbacions controlades</v>
      </c>
      <c r="K26" s="18"/>
      <c r="L26" s="22" t="s">
        <v>49</v>
      </c>
      <c r="M26" s="132" t="s">
        <v>50</v>
      </c>
      <c r="N26" s="154" t="s">
        <v>126</v>
      </c>
      <c r="O26" s="21" t="s">
        <v>52</v>
      </c>
      <c r="P26" s="19" t="s">
        <v>114</v>
      </c>
      <c r="Q26" s="135" t="s">
        <v>127</v>
      </c>
      <c r="R26" s="132">
        <v>1</v>
      </c>
      <c r="S26" s="132">
        <v>2</v>
      </c>
      <c r="T26" s="144"/>
      <c r="U26" s="144"/>
    </row>
    <row r="27" spans="1:21" ht="60" customHeight="1">
      <c r="A27" s="44" t="s">
        <v>41</v>
      </c>
      <c r="B27" s="45">
        <v>1</v>
      </c>
      <c r="C27" s="49" t="s">
        <v>42</v>
      </c>
      <c r="D27" s="47" t="s">
        <v>109</v>
      </c>
      <c r="E27" s="48" t="s">
        <v>110</v>
      </c>
      <c r="F27" s="16" t="s">
        <v>124</v>
      </c>
      <c r="G27" s="17" t="s">
        <v>125</v>
      </c>
      <c r="H27" s="16" t="s">
        <v>101</v>
      </c>
      <c r="I27" s="16" t="s">
        <v>102</v>
      </c>
      <c r="J27" s="18" t="str">
        <f t="shared" si="0"/>
        <v>Generar pertorbacions controlades</v>
      </c>
      <c r="K27" s="18"/>
      <c r="L27" s="22" t="s">
        <v>49</v>
      </c>
      <c r="M27" s="132" t="s">
        <v>128</v>
      </c>
      <c r="N27" s="154" t="s">
        <v>129</v>
      </c>
      <c r="O27" s="21" t="s">
        <v>52</v>
      </c>
      <c r="P27" s="19" t="s">
        <v>114</v>
      </c>
      <c r="Q27" s="135" t="s">
        <v>130</v>
      </c>
      <c r="R27" s="132">
        <v>1</v>
      </c>
      <c r="S27" s="132">
        <v>2</v>
      </c>
      <c r="T27" s="144"/>
      <c r="U27" s="144"/>
    </row>
    <row r="28" spans="1:21" ht="43.5">
      <c r="A28" s="44" t="s">
        <v>41</v>
      </c>
      <c r="B28" s="45">
        <v>1</v>
      </c>
      <c r="C28" s="49" t="s">
        <v>42</v>
      </c>
      <c r="D28" s="47" t="s">
        <v>109</v>
      </c>
      <c r="E28" s="48" t="s">
        <v>110</v>
      </c>
      <c r="F28" s="16" t="s">
        <v>124</v>
      </c>
      <c r="G28" s="17" t="s">
        <v>125</v>
      </c>
      <c r="H28" s="16" t="s">
        <v>101</v>
      </c>
      <c r="I28" s="16" t="s">
        <v>102</v>
      </c>
      <c r="J28" s="18" t="str">
        <f t="shared" si="0"/>
        <v>Generar pertorbacions controlades</v>
      </c>
      <c r="K28" s="18"/>
      <c r="L28" s="22" t="s">
        <v>131</v>
      </c>
      <c r="M28" s="132" t="s">
        <v>132</v>
      </c>
      <c r="N28" s="154" t="s">
        <v>133</v>
      </c>
      <c r="O28" s="21" t="s">
        <v>52</v>
      </c>
      <c r="P28" s="19" t="s">
        <v>114</v>
      </c>
      <c r="Q28" s="135" t="s">
        <v>134</v>
      </c>
      <c r="R28" s="132">
        <v>1</v>
      </c>
      <c r="S28" s="132">
        <v>5</v>
      </c>
      <c r="T28" s="144"/>
      <c r="U28" s="144"/>
    </row>
    <row r="29" spans="1:21" ht="30" customHeight="1">
      <c r="A29" s="44" t="s">
        <v>41</v>
      </c>
      <c r="B29" s="45">
        <v>1</v>
      </c>
      <c r="C29" s="49" t="s">
        <v>42</v>
      </c>
      <c r="D29" s="47" t="s">
        <v>109</v>
      </c>
      <c r="E29" s="48" t="s">
        <v>110</v>
      </c>
      <c r="F29" s="16" t="s">
        <v>135</v>
      </c>
      <c r="G29" s="17" t="s">
        <v>136</v>
      </c>
      <c r="H29" s="16" t="s">
        <v>101</v>
      </c>
      <c r="I29" s="16" t="s">
        <v>102</v>
      </c>
      <c r="J29" s="18" t="s">
        <v>137</v>
      </c>
      <c r="K29" s="18" t="s">
        <v>138</v>
      </c>
      <c r="L29" s="22" t="s">
        <v>49</v>
      </c>
      <c r="M29" s="132" t="s">
        <v>50</v>
      </c>
      <c r="N29" s="157" t="s">
        <v>139</v>
      </c>
      <c r="O29" s="21" t="s">
        <v>52</v>
      </c>
      <c r="P29" s="19" t="s">
        <v>114</v>
      </c>
      <c r="Q29" s="135" t="s">
        <v>140</v>
      </c>
      <c r="R29" s="132">
        <v>1</v>
      </c>
      <c r="S29" s="132">
        <v>3</v>
      </c>
      <c r="T29" s="144"/>
      <c r="U29" s="144"/>
    </row>
    <row r="30" spans="1:21" ht="43.5">
      <c r="A30" s="44" t="s">
        <v>41</v>
      </c>
      <c r="B30" s="45">
        <v>1</v>
      </c>
      <c r="C30" s="49" t="s">
        <v>42</v>
      </c>
      <c r="D30" s="47" t="s">
        <v>109</v>
      </c>
      <c r="E30" s="48" t="s">
        <v>110</v>
      </c>
      <c r="F30" s="16" t="s">
        <v>135</v>
      </c>
      <c r="G30" s="17" t="s">
        <v>136</v>
      </c>
      <c r="H30" s="16" t="s">
        <v>101</v>
      </c>
      <c r="I30" s="16" t="s">
        <v>102</v>
      </c>
      <c r="J30" s="18" t="s">
        <v>137</v>
      </c>
      <c r="K30" s="18" t="s">
        <v>138</v>
      </c>
      <c r="L30" s="22" t="s">
        <v>49</v>
      </c>
      <c r="M30" s="132" t="s">
        <v>50</v>
      </c>
      <c r="N30" s="154" t="s">
        <v>141</v>
      </c>
      <c r="O30" s="21" t="s">
        <v>52</v>
      </c>
      <c r="P30" s="19" t="s">
        <v>114</v>
      </c>
      <c r="Q30" s="135" t="s">
        <v>142</v>
      </c>
      <c r="R30" s="132">
        <v>1</v>
      </c>
      <c r="S30" s="132">
        <v>20</v>
      </c>
      <c r="T30" s="144"/>
      <c r="U30" s="144"/>
    </row>
    <row r="31" spans="1:21" ht="43.5">
      <c r="A31" s="44" t="s">
        <v>41</v>
      </c>
      <c r="B31" s="45">
        <v>1</v>
      </c>
      <c r="C31" s="49" t="s">
        <v>42</v>
      </c>
      <c r="D31" s="47" t="s">
        <v>109</v>
      </c>
      <c r="E31" s="48" t="s">
        <v>110</v>
      </c>
      <c r="F31" s="16" t="s">
        <v>135</v>
      </c>
      <c r="G31" s="17" t="s">
        <v>136</v>
      </c>
      <c r="H31" s="16" t="s">
        <v>101</v>
      </c>
      <c r="I31" s="16" t="s">
        <v>102</v>
      </c>
      <c r="J31" s="18" t="s">
        <v>137</v>
      </c>
      <c r="K31" s="18" t="s">
        <v>138</v>
      </c>
      <c r="L31" s="22" t="s">
        <v>49</v>
      </c>
      <c r="M31" s="132" t="s">
        <v>50</v>
      </c>
      <c r="N31" s="154" t="s">
        <v>143</v>
      </c>
      <c r="O31" s="21" t="s">
        <v>52</v>
      </c>
      <c r="P31" s="19" t="s">
        <v>114</v>
      </c>
      <c r="Q31" s="135" t="s">
        <v>144</v>
      </c>
      <c r="R31" s="132">
        <v>1</v>
      </c>
      <c r="S31" s="132">
        <v>3</v>
      </c>
      <c r="T31" s="144"/>
      <c r="U31" s="144"/>
    </row>
    <row r="32" spans="1:21" ht="72.5">
      <c r="A32" s="44" t="s">
        <v>41</v>
      </c>
      <c r="B32" s="45">
        <v>1</v>
      </c>
      <c r="C32" s="49" t="s">
        <v>42</v>
      </c>
      <c r="D32" s="47" t="s">
        <v>109</v>
      </c>
      <c r="E32" s="48" t="s">
        <v>110</v>
      </c>
      <c r="F32" s="16" t="s">
        <v>145</v>
      </c>
      <c r="G32" s="17" t="s">
        <v>146</v>
      </c>
      <c r="H32" s="16" t="s">
        <v>101</v>
      </c>
      <c r="I32" s="16" t="s">
        <v>102</v>
      </c>
      <c r="J32" s="18" t="str">
        <f t="shared" ref="J32:J69" si="1">G32</f>
        <v>Fomentar el paisatge en mosaïc</v>
      </c>
      <c r="K32" s="18"/>
      <c r="L32" s="22" t="s">
        <v>49</v>
      </c>
      <c r="M32" s="132" t="s">
        <v>50</v>
      </c>
      <c r="N32" s="154" t="s">
        <v>147</v>
      </c>
      <c r="O32" s="21" t="s">
        <v>74</v>
      </c>
      <c r="P32" s="19" t="s">
        <v>114</v>
      </c>
      <c r="Q32" s="135" t="s">
        <v>148</v>
      </c>
      <c r="R32" s="132">
        <v>1</v>
      </c>
      <c r="S32" s="132">
        <v>1</v>
      </c>
      <c r="T32" s="144"/>
      <c r="U32" s="144"/>
    </row>
    <row r="33" spans="1:21" ht="60" customHeight="1">
      <c r="A33" s="44" t="s">
        <v>41</v>
      </c>
      <c r="B33" s="45">
        <v>1</v>
      </c>
      <c r="C33" s="49" t="s">
        <v>42</v>
      </c>
      <c r="D33" s="47" t="s">
        <v>109</v>
      </c>
      <c r="E33" s="48" t="s">
        <v>110</v>
      </c>
      <c r="F33" s="16" t="s">
        <v>145</v>
      </c>
      <c r="G33" s="17" t="s">
        <v>146</v>
      </c>
      <c r="H33" s="16" t="s">
        <v>101</v>
      </c>
      <c r="I33" s="16" t="s">
        <v>102</v>
      </c>
      <c r="J33" s="18" t="str">
        <f t="shared" si="1"/>
        <v>Fomentar el paisatge en mosaïc</v>
      </c>
      <c r="K33" s="18"/>
      <c r="L33" s="22" t="s">
        <v>49</v>
      </c>
      <c r="M33" s="132" t="s">
        <v>50</v>
      </c>
      <c r="N33" s="154" t="s">
        <v>149</v>
      </c>
      <c r="O33" s="21" t="s">
        <v>74</v>
      </c>
      <c r="P33" s="19" t="s">
        <v>114</v>
      </c>
      <c r="Q33" s="135" t="s">
        <v>150</v>
      </c>
      <c r="R33" s="132">
        <v>1</v>
      </c>
      <c r="S33" s="132">
        <v>1</v>
      </c>
      <c r="T33" s="144"/>
      <c r="U33" s="144"/>
    </row>
    <row r="34" spans="1:21" ht="60" customHeight="1">
      <c r="A34" s="44" t="s">
        <v>41</v>
      </c>
      <c r="B34" s="45">
        <v>1</v>
      </c>
      <c r="C34" s="49" t="s">
        <v>42</v>
      </c>
      <c r="D34" s="47" t="s">
        <v>109</v>
      </c>
      <c r="E34" s="48" t="s">
        <v>110</v>
      </c>
      <c r="F34" s="16" t="s">
        <v>145</v>
      </c>
      <c r="G34" s="17" t="s">
        <v>146</v>
      </c>
      <c r="H34" s="16" t="s">
        <v>101</v>
      </c>
      <c r="I34" s="16" t="s">
        <v>102</v>
      </c>
      <c r="J34" s="18" t="str">
        <f t="shared" si="1"/>
        <v>Fomentar el paisatge en mosaïc</v>
      </c>
      <c r="K34" s="18"/>
      <c r="L34" s="22" t="s">
        <v>49</v>
      </c>
      <c r="M34" s="132" t="s">
        <v>50</v>
      </c>
      <c r="N34" s="154" t="s">
        <v>151</v>
      </c>
      <c r="O34" s="21" t="s">
        <v>74</v>
      </c>
      <c r="P34" s="19" t="s">
        <v>114</v>
      </c>
      <c r="Q34" s="135" t="s">
        <v>152</v>
      </c>
      <c r="R34" s="132">
        <v>1</v>
      </c>
      <c r="S34" s="132">
        <v>1</v>
      </c>
      <c r="T34" s="144"/>
      <c r="U34" s="144"/>
    </row>
    <row r="35" spans="1:21" ht="30" customHeight="1">
      <c r="A35" s="44" t="s">
        <v>41</v>
      </c>
      <c r="B35" s="45">
        <v>1</v>
      </c>
      <c r="C35" s="49" t="s">
        <v>42</v>
      </c>
      <c r="D35" s="47" t="s">
        <v>109</v>
      </c>
      <c r="E35" s="48" t="s">
        <v>110</v>
      </c>
      <c r="F35" s="16" t="s">
        <v>145</v>
      </c>
      <c r="G35" s="17" t="s">
        <v>146</v>
      </c>
      <c r="H35" s="16" t="s">
        <v>101</v>
      </c>
      <c r="I35" s="16" t="s">
        <v>102</v>
      </c>
      <c r="J35" s="18" t="str">
        <f t="shared" si="1"/>
        <v>Fomentar el paisatge en mosaïc</v>
      </c>
      <c r="K35" s="18"/>
      <c r="L35" s="22" t="s">
        <v>49</v>
      </c>
      <c r="M35" s="132" t="s">
        <v>128</v>
      </c>
      <c r="N35" s="154" t="s">
        <v>153</v>
      </c>
      <c r="O35" s="21" t="s">
        <v>74</v>
      </c>
      <c r="P35" s="19" t="s">
        <v>114</v>
      </c>
      <c r="Q35" s="135" t="s">
        <v>154</v>
      </c>
      <c r="R35" s="132">
        <v>1</v>
      </c>
      <c r="S35" s="132">
        <v>4</v>
      </c>
      <c r="T35" s="144"/>
      <c r="U35" s="144"/>
    </row>
    <row r="36" spans="1:21" ht="45" customHeight="1">
      <c r="A36" s="44" t="s">
        <v>41</v>
      </c>
      <c r="B36" s="45">
        <v>1</v>
      </c>
      <c r="C36" s="49" t="s">
        <v>42</v>
      </c>
      <c r="D36" s="47" t="s">
        <v>109</v>
      </c>
      <c r="E36" s="48" t="s">
        <v>110</v>
      </c>
      <c r="F36" s="16" t="s">
        <v>145</v>
      </c>
      <c r="G36" s="17" t="s">
        <v>146</v>
      </c>
      <c r="H36" s="16" t="s">
        <v>101</v>
      </c>
      <c r="I36" s="16" t="s">
        <v>102</v>
      </c>
      <c r="J36" s="18" t="str">
        <f t="shared" si="1"/>
        <v>Fomentar el paisatge en mosaïc</v>
      </c>
      <c r="K36" s="18"/>
      <c r="L36" s="22" t="s">
        <v>49</v>
      </c>
      <c r="M36" s="132" t="s">
        <v>50</v>
      </c>
      <c r="N36" s="154" t="s">
        <v>155</v>
      </c>
      <c r="O36" s="21" t="s">
        <v>74</v>
      </c>
      <c r="P36" s="19" t="s">
        <v>114</v>
      </c>
      <c r="Q36" s="135" t="s">
        <v>156</v>
      </c>
      <c r="R36" s="132">
        <v>1</v>
      </c>
      <c r="S36" s="132">
        <v>4</v>
      </c>
      <c r="T36" s="144"/>
      <c r="U36" s="144"/>
    </row>
    <row r="37" spans="1:21" ht="60" customHeight="1">
      <c r="A37" s="44" t="s">
        <v>41</v>
      </c>
      <c r="B37" s="45">
        <v>1</v>
      </c>
      <c r="C37" s="49" t="s">
        <v>42</v>
      </c>
      <c r="D37" s="47" t="s">
        <v>109</v>
      </c>
      <c r="E37" s="48" t="s">
        <v>110</v>
      </c>
      <c r="F37" s="16" t="s">
        <v>157</v>
      </c>
      <c r="G37" s="17" t="s">
        <v>158</v>
      </c>
      <c r="H37" s="16" t="s">
        <v>101</v>
      </c>
      <c r="I37" s="16" t="s">
        <v>102</v>
      </c>
      <c r="J37" s="18" t="str">
        <f t="shared" si="1"/>
        <v>Gestionar i intervenir en la dinàmica de poblacions de fauna que no tenen depredador natural</v>
      </c>
      <c r="K37" s="18"/>
      <c r="L37" s="22" t="s">
        <v>49</v>
      </c>
      <c r="M37" s="132" t="s">
        <v>50</v>
      </c>
      <c r="N37" s="154" t="s">
        <v>159</v>
      </c>
      <c r="O37" s="21"/>
      <c r="P37" s="19" t="s">
        <v>114</v>
      </c>
      <c r="Q37" s="135" t="s">
        <v>160</v>
      </c>
      <c r="R37" s="132">
        <v>1</v>
      </c>
      <c r="S37" s="132">
        <v>6</v>
      </c>
      <c r="T37" s="144"/>
      <c r="U37" s="144"/>
    </row>
    <row r="38" spans="1:21" ht="29">
      <c r="A38" s="44" t="s">
        <v>41</v>
      </c>
      <c r="B38" s="45">
        <v>1</v>
      </c>
      <c r="C38" s="49" t="s">
        <v>42</v>
      </c>
      <c r="D38" s="47" t="s">
        <v>161</v>
      </c>
      <c r="E38" s="48" t="s">
        <v>162</v>
      </c>
      <c r="F38" s="16" t="s">
        <v>163</v>
      </c>
      <c r="G38" s="17" t="s">
        <v>164</v>
      </c>
      <c r="H38" s="16" t="s">
        <v>47</v>
      </c>
      <c r="I38" s="16" t="s">
        <v>102</v>
      </c>
      <c r="J38" s="18" t="str">
        <f t="shared" si="1"/>
        <v>Fomentar acords de custòdia en espais d'alt valor dins l'ENP per a la gestió dels elements prioritaris</v>
      </c>
      <c r="K38" s="18"/>
      <c r="L38" s="22" t="s">
        <v>49</v>
      </c>
      <c r="M38" s="132" t="s">
        <v>59</v>
      </c>
      <c r="N38" s="154" t="s">
        <v>165</v>
      </c>
      <c r="O38" s="21" t="s">
        <v>52</v>
      </c>
      <c r="P38" s="19" t="s">
        <v>166</v>
      </c>
      <c r="Q38" s="135" t="s">
        <v>167</v>
      </c>
      <c r="R38" s="132">
        <v>1</v>
      </c>
      <c r="S38" s="132">
        <v>2</v>
      </c>
      <c r="T38" s="144"/>
      <c r="U38" s="144"/>
    </row>
    <row r="39" spans="1:21" ht="30" customHeight="1">
      <c r="A39" s="44" t="s">
        <v>41</v>
      </c>
      <c r="B39" s="45">
        <v>1</v>
      </c>
      <c r="C39" s="49" t="s">
        <v>42</v>
      </c>
      <c r="D39" s="47" t="s">
        <v>161</v>
      </c>
      <c r="E39" s="48" t="s">
        <v>162</v>
      </c>
      <c r="F39" s="16" t="s">
        <v>168</v>
      </c>
      <c r="G39" s="17" t="s">
        <v>169</v>
      </c>
      <c r="H39" s="16" t="s">
        <v>47</v>
      </c>
      <c r="I39" s="16" t="s">
        <v>102</v>
      </c>
      <c r="J39" s="18" t="str">
        <f t="shared" si="1"/>
        <v>Fomentar bones pràctiques entre els col·lectius de propietaris i gestors del territori</v>
      </c>
      <c r="K39" s="18"/>
      <c r="L39" s="22" t="s">
        <v>49</v>
      </c>
      <c r="M39" s="132" t="s">
        <v>128</v>
      </c>
      <c r="N39" s="154" t="s">
        <v>170</v>
      </c>
      <c r="O39" s="21"/>
      <c r="P39" s="19"/>
      <c r="Q39" s="135" t="s">
        <v>171</v>
      </c>
      <c r="R39" s="132">
        <v>1</v>
      </c>
      <c r="S39" s="132">
        <v>4</v>
      </c>
      <c r="T39" s="144"/>
      <c r="U39" s="144"/>
    </row>
    <row r="40" spans="1:21" ht="60" customHeight="1">
      <c r="A40" s="44" t="s">
        <v>41</v>
      </c>
      <c r="B40" s="45">
        <v>1</v>
      </c>
      <c r="C40" s="49" t="s">
        <v>42</v>
      </c>
      <c r="D40" s="47" t="s">
        <v>161</v>
      </c>
      <c r="E40" s="48" t="s">
        <v>162</v>
      </c>
      <c r="F40" s="16" t="s">
        <v>172</v>
      </c>
      <c r="G40" s="17" t="s">
        <v>173</v>
      </c>
      <c r="H40" s="16" t="s">
        <v>101</v>
      </c>
      <c r="I40" s="16" t="s">
        <v>102</v>
      </c>
      <c r="J40" s="18" t="str">
        <f t="shared" si="1"/>
        <v>Impulsar la coordinació amb els ens locals en la gestió finques públiques situades dins d’ENP</v>
      </c>
      <c r="K40" s="18"/>
      <c r="L40" s="22" t="s">
        <v>49</v>
      </c>
      <c r="M40" s="132" t="s">
        <v>50</v>
      </c>
      <c r="N40" s="154" t="s">
        <v>174</v>
      </c>
      <c r="O40" s="21" t="s">
        <v>74</v>
      </c>
      <c r="P40" s="19"/>
      <c r="Q40" s="135" t="s">
        <v>175</v>
      </c>
      <c r="R40" s="132">
        <v>4</v>
      </c>
      <c r="S40" s="132">
        <v>16</v>
      </c>
      <c r="T40" s="144"/>
      <c r="U40" s="144"/>
    </row>
    <row r="41" spans="1:21" ht="43.5">
      <c r="A41" s="44" t="s">
        <v>41</v>
      </c>
      <c r="B41" s="45">
        <v>2</v>
      </c>
      <c r="C41" s="49" t="s">
        <v>176</v>
      </c>
      <c r="D41" s="47" t="s">
        <v>177</v>
      </c>
      <c r="E41" s="48" t="s">
        <v>178</v>
      </c>
      <c r="F41" s="16" t="s">
        <v>179</v>
      </c>
      <c r="G41" s="17" t="s">
        <v>180</v>
      </c>
      <c r="H41" s="16" t="s">
        <v>47</v>
      </c>
      <c r="I41" s="16" t="s">
        <v>48</v>
      </c>
      <c r="J41" s="18" t="str">
        <f t="shared" si="1"/>
        <v>Adaptar i implementar el Pla d'adaptació de l'ENP al canvi climàtic</v>
      </c>
      <c r="K41" s="18"/>
      <c r="L41" s="22" t="s">
        <v>49</v>
      </c>
      <c r="M41" s="132" t="s">
        <v>128</v>
      </c>
      <c r="N41" s="156" t="s">
        <v>181</v>
      </c>
      <c r="O41" s="21"/>
      <c r="P41" s="19" t="s">
        <v>182</v>
      </c>
      <c r="Q41" s="135" t="s">
        <v>183</v>
      </c>
      <c r="R41" s="132">
        <v>1</v>
      </c>
      <c r="S41" s="132">
        <v>1</v>
      </c>
      <c r="T41" s="144"/>
      <c r="U41" s="144"/>
    </row>
    <row r="42" spans="1:21" ht="60" customHeight="1">
      <c r="A42" s="44" t="s">
        <v>41</v>
      </c>
      <c r="B42" s="45">
        <v>2</v>
      </c>
      <c r="C42" s="49" t="s">
        <v>176</v>
      </c>
      <c r="D42" s="47" t="s">
        <v>177</v>
      </c>
      <c r="E42" s="48" t="s">
        <v>178</v>
      </c>
      <c r="F42" s="16" t="s">
        <v>179</v>
      </c>
      <c r="G42" s="17" t="s">
        <v>180</v>
      </c>
      <c r="H42" s="16" t="s">
        <v>47</v>
      </c>
      <c r="I42" s="16" t="s">
        <v>48</v>
      </c>
      <c r="J42" s="18" t="str">
        <f t="shared" si="1"/>
        <v>Adaptar i implementar el Pla d'adaptació de l'ENP al canvi climàtic</v>
      </c>
      <c r="K42" s="18"/>
      <c r="L42" s="22" t="s">
        <v>49</v>
      </c>
      <c r="M42" s="132" t="s">
        <v>50</v>
      </c>
      <c r="N42" s="157" t="s">
        <v>184</v>
      </c>
      <c r="O42" s="21"/>
      <c r="P42" s="19" t="s">
        <v>182</v>
      </c>
      <c r="Q42" s="135" t="s">
        <v>185</v>
      </c>
      <c r="R42" s="132">
        <v>1</v>
      </c>
      <c r="S42" s="132">
        <v>5</v>
      </c>
      <c r="T42" s="144"/>
      <c r="U42" s="144"/>
    </row>
    <row r="43" spans="1:21" ht="60" customHeight="1">
      <c r="A43" s="44" t="s">
        <v>41</v>
      </c>
      <c r="B43" s="45">
        <v>2</v>
      </c>
      <c r="C43" s="49" t="s">
        <v>176</v>
      </c>
      <c r="D43" s="47" t="s">
        <v>177</v>
      </c>
      <c r="E43" s="48" t="s">
        <v>178</v>
      </c>
      <c r="F43" s="16" t="s">
        <v>186</v>
      </c>
      <c r="G43" s="17" t="s">
        <v>187</v>
      </c>
      <c r="H43" s="16" t="s">
        <v>47</v>
      </c>
      <c r="I43" s="16" t="s">
        <v>72</v>
      </c>
      <c r="J43" s="18" t="str">
        <f t="shared" si="1"/>
        <v>Gestionar i planificar els recursos hídrics de l'ENP</v>
      </c>
      <c r="K43" s="18"/>
      <c r="L43" s="22" t="s">
        <v>49</v>
      </c>
      <c r="M43" s="132" t="s">
        <v>50</v>
      </c>
      <c r="N43" s="154" t="s">
        <v>188</v>
      </c>
      <c r="O43" s="21"/>
      <c r="P43" s="19"/>
      <c r="Q43" s="135" t="s">
        <v>189</v>
      </c>
      <c r="R43" s="132">
        <v>1</v>
      </c>
      <c r="S43" s="132">
        <v>12</v>
      </c>
      <c r="T43" s="144"/>
      <c r="U43" s="144"/>
    </row>
    <row r="44" spans="1:21" ht="75" customHeight="1">
      <c r="A44" s="44" t="s">
        <v>41</v>
      </c>
      <c r="B44" s="45">
        <v>2</v>
      </c>
      <c r="C44" s="49" t="s">
        <v>176</v>
      </c>
      <c r="D44" s="47" t="s">
        <v>177</v>
      </c>
      <c r="E44" s="48" t="s">
        <v>178</v>
      </c>
      <c r="F44" s="16" t="s">
        <v>190</v>
      </c>
      <c r="G44" s="17" t="s">
        <v>191</v>
      </c>
      <c r="H44" s="16" t="s">
        <v>101</v>
      </c>
      <c r="I44" s="16" t="s">
        <v>102</v>
      </c>
      <c r="J44" s="18" t="str">
        <f t="shared" si="1"/>
        <v>Participar en la redacció i execució dels instruments d'ordenació forestal sostenible i per la conservació en finques públiques</v>
      </c>
      <c r="K44" s="18"/>
      <c r="L44" s="22" t="s">
        <v>49</v>
      </c>
      <c r="M44" s="132" t="s">
        <v>50</v>
      </c>
      <c r="N44" s="154" t="s">
        <v>192</v>
      </c>
      <c r="O44" s="21"/>
      <c r="P44" s="19" t="s">
        <v>193</v>
      </c>
      <c r="Q44" s="135" t="s">
        <v>194</v>
      </c>
      <c r="R44" s="132">
        <v>4</v>
      </c>
      <c r="S44" s="132">
        <v>8</v>
      </c>
      <c r="T44" s="144"/>
      <c r="U44" s="144"/>
    </row>
    <row r="45" spans="1:21" ht="60" customHeight="1">
      <c r="A45" s="44" t="s">
        <v>41</v>
      </c>
      <c r="B45" s="45">
        <v>2</v>
      </c>
      <c r="C45" s="49" t="s">
        <v>176</v>
      </c>
      <c r="D45" s="47" t="s">
        <v>177</v>
      </c>
      <c r="E45" s="48" t="s">
        <v>178</v>
      </c>
      <c r="F45" s="16" t="s">
        <v>190</v>
      </c>
      <c r="G45" s="17" t="s">
        <v>191</v>
      </c>
      <c r="H45" s="16" t="s">
        <v>101</v>
      </c>
      <c r="I45" s="16" t="s">
        <v>102</v>
      </c>
      <c r="J45" s="18" t="str">
        <f t="shared" si="1"/>
        <v>Participar en la redacció i execució dels instruments d'ordenació forestal sostenible i per la conservació en finques públiques</v>
      </c>
      <c r="K45" s="18"/>
      <c r="L45" s="22" t="s">
        <v>49</v>
      </c>
      <c r="M45" s="132" t="s">
        <v>50</v>
      </c>
      <c r="N45" s="154" t="s">
        <v>192</v>
      </c>
      <c r="O45" s="21"/>
      <c r="P45" s="19" t="s">
        <v>193</v>
      </c>
      <c r="Q45" s="135" t="s">
        <v>195</v>
      </c>
      <c r="R45" s="132">
        <v>1</v>
      </c>
      <c r="S45" s="132">
        <v>8</v>
      </c>
      <c r="T45" s="144"/>
      <c r="U45" s="144"/>
    </row>
    <row r="46" spans="1:21" ht="30" customHeight="1">
      <c r="A46" s="44" t="s">
        <v>41</v>
      </c>
      <c r="B46" s="45">
        <v>2</v>
      </c>
      <c r="C46" s="49" t="s">
        <v>176</v>
      </c>
      <c r="D46" s="47" t="s">
        <v>177</v>
      </c>
      <c r="E46" s="48" t="s">
        <v>178</v>
      </c>
      <c r="F46" s="16" t="s">
        <v>190</v>
      </c>
      <c r="G46" s="17" t="s">
        <v>191</v>
      </c>
      <c r="H46" s="16" t="s">
        <v>101</v>
      </c>
      <c r="I46" s="16" t="s">
        <v>102</v>
      </c>
      <c r="J46" s="18" t="str">
        <f t="shared" si="1"/>
        <v>Participar en la redacció i execució dels instruments d'ordenació forestal sostenible i per la conservació en finques públiques</v>
      </c>
      <c r="K46" s="18"/>
      <c r="L46" s="22" t="s">
        <v>49</v>
      </c>
      <c r="M46" s="132" t="s">
        <v>50</v>
      </c>
      <c r="N46" s="154" t="s">
        <v>196</v>
      </c>
      <c r="O46" s="21"/>
      <c r="P46" s="19" t="s">
        <v>193</v>
      </c>
      <c r="Q46" s="135" t="s">
        <v>197</v>
      </c>
      <c r="R46" s="132">
        <v>1</v>
      </c>
      <c r="S46" s="132">
        <v>6</v>
      </c>
      <c r="T46" s="144"/>
      <c r="U46" s="144"/>
    </row>
    <row r="47" spans="1:21" ht="75" customHeight="1">
      <c r="A47" s="44" t="s">
        <v>41</v>
      </c>
      <c r="B47" s="45">
        <v>2</v>
      </c>
      <c r="C47" s="49" t="s">
        <v>176</v>
      </c>
      <c r="D47" s="47" t="s">
        <v>177</v>
      </c>
      <c r="E47" s="48" t="s">
        <v>178</v>
      </c>
      <c r="F47" s="16" t="s">
        <v>190</v>
      </c>
      <c r="G47" s="17" t="s">
        <v>191</v>
      </c>
      <c r="H47" s="16" t="s">
        <v>101</v>
      </c>
      <c r="I47" s="16" t="s">
        <v>102</v>
      </c>
      <c r="J47" s="18" t="str">
        <f t="shared" si="1"/>
        <v>Participar en la redacció i execució dels instruments d'ordenació forestal sostenible i per la conservació en finques públiques</v>
      </c>
      <c r="K47" s="18"/>
      <c r="L47" s="22" t="s">
        <v>49</v>
      </c>
      <c r="M47" s="132" t="s">
        <v>50</v>
      </c>
      <c r="N47" s="154" t="s">
        <v>198</v>
      </c>
      <c r="O47" s="21"/>
      <c r="P47" s="19" t="s">
        <v>193</v>
      </c>
      <c r="Q47" s="135" t="s">
        <v>199</v>
      </c>
      <c r="R47" s="132">
        <v>30</v>
      </c>
      <c r="S47" s="132">
        <v>60</v>
      </c>
      <c r="T47" s="144"/>
      <c r="U47" s="144"/>
    </row>
    <row r="48" spans="1:21" ht="45" customHeight="1">
      <c r="A48" s="44" t="s">
        <v>41</v>
      </c>
      <c r="B48" s="45">
        <v>2</v>
      </c>
      <c r="C48" s="49" t="s">
        <v>176</v>
      </c>
      <c r="D48" s="47" t="s">
        <v>177</v>
      </c>
      <c r="E48" s="48" t="s">
        <v>178</v>
      </c>
      <c r="F48" s="16" t="s">
        <v>190</v>
      </c>
      <c r="G48" s="17" t="s">
        <v>191</v>
      </c>
      <c r="H48" s="16" t="s">
        <v>101</v>
      </c>
      <c r="I48" s="16" t="s">
        <v>102</v>
      </c>
      <c r="J48" s="18" t="str">
        <f t="shared" si="1"/>
        <v>Participar en la redacció i execució dels instruments d'ordenació forestal sostenible i per la conservació en finques públiques</v>
      </c>
      <c r="K48" s="18"/>
      <c r="L48" s="22" t="s">
        <v>49</v>
      </c>
      <c r="M48" s="132" t="s">
        <v>59</v>
      </c>
      <c r="N48" s="154" t="s">
        <v>200</v>
      </c>
      <c r="O48" s="21"/>
      <c r="P48" s="19" t="s">
        <v>193</v>
      </c>
      <c r="Q48" s="135" t="s">
        <v>201</v>
      </c>
      <c r="R48" s="132">
        <v>1</v>
      </c>
      <c r="S48" s="132">
        <v>2</v>
      </c>
      <c r="T48" s="144"/>
      <c r="U48" s="144"/>
    </row>
    <row r="49" spans="1:21" ht="29">
      <c r="A49" s="44" t="s">
        <v>41</v>
      </c>
      <c r="B49" s="45">
        <v>2</v>
      </c>
      <c r="C49" s="49" t="s">
        <v>176</v>
      </c>
      <c r="D49" s="47" t="s">
        <v>177</v>
      </c>
      <c r="E49" s="48" t="s">
        <v>178</v>
      </c>
      <c r="F49" s="16" t="s">
        <v>202</v>
      </c>
      <c r="G49" s="17" t="s">
        <v>203</v>
      </c>
      <c r="H49" s="16" t="s">
        <v>101</v>
      </c>
      <c r="I49" s="16" t="s">
        <v>204</v>
      </c>
      <c r="J49" s="18" t="str">
        <f t="shared" si="1"/>
        <v>Promoure la redacció d'instruments d'ordenació forestal per reduir la sensibilitat i vulnerabilitat dels boscos al canvi climàtic en finques privades</v>
      </c>
      <c r="K49" s="18"/>
      <c r="L49" s="22" t="s">
        <v>49</v>
      </c>
      <c r="M49" s="132" t="s">
        <v>59</v>
      </c>
      <c r="N49" s="154" t="s">
        <v>205</v>
      </c>
      <c r="O49" s="21"/>
      <c r="P49" s="19"/>
      <c r="Q49" s="135" t="s">
        <v>206</v>
      </c>
      <c r="R49" s="132">
        <v>1</v>
      </c>
      <c r="S49" s="132">
        <v>1</v>
      </c>
      <c r="T49" s="144"/>
      <c r="U49" s="144"/>
    </row>
    <row r="50" spans="1:21" ht="45" customHeight="1">
      <c r="A50" s="44" t="s">
        <v>41</v>
      </c>
      <c r="B50" s="45">
        <v>2</v>
      </c>
      <c r="C50" s="49" t="s">
        <v>176</v>
      </c>
      <c r="D50" s="47" t="s">
        <v>207</v>
      </c>
      <c r="E50" s="48" t="s">
        <v>208</v>
      </c>
      <c r="F50" s="16" t="s">
        <v>209</v>
      </c>
      <c r="G50" s="17" t="s">
        <v>210</v>
      </c>
      <c r="H50" s="16" t="s">
        <v>47</v>
      </c>
      <c r="I50" s="16" t="s">
        <v>48</v>
      </c>
      <c r="J50" s="18" t="str">
        <f t="shared" si="1"/>
        <v xml:space="preserve">Redactar i implementar el Pla de Prevenció d'Incendis </v>
      </c>
      <c r="K50" s="18"/>
      <c r="L50" s="22" t="s">
        <v>49</v>
      </c>
      <c r="M50" s="132" t="s">
        <v>50</v>
      </c>
      <c r="N50" s="154" t="s">
        <v>211</v>
      </c>
      <c r="O50" s="21" t="s">
        <v>74</v>
      </c>
      <c r="P50" s="19" t="s">
        <v>212</v>
      </c>
      <c r="Q50" s="135" t="s">
        <v>213</v>
      </c>
      <c r="R50" s="132">
        <v>1</v>
      </c>
      <c r="S50" s="132">
        <v>1</v>
      </c>
      <c r="T50" s="144"/>
      <c r="U50" s="144"/>
    </row>
    <row r="51" spans="1:21" ht="29">
      <c r="A51" s="44" t="s">
        <v>41</v>
      </c>
      <c r="B51" s="45">
        <v>2</v>
      </c>
      <c r="C51" s="49" t="s">
        <v>176</v>
      </c>
      <c r="D51" s="47" t="s">
        <v>207</v>
      </c>
      <c r="E51" s="48" t="s">
        <v>208</v>
      </c>
      <c r="F51" s="16" t="s">
        <v>209</v>
      </c>
      <c r="G51" s="17" t="s">
        <v>210</v>
      </c>
      <c r="H51" s="16" t="s">
        <v>47</v>
      </c>
      <c r="I51" s="16" t="s">
        <v>48</v>
      </c>
      <c r="J51" s="18" t="str">
        <f t="shared" si="1"/>
        <v xml:space="preserve">Redactar i implementar el Pla de Prevenció d'Incendis </v>
      </c>
      <c r="K51" s="18"/>
      <c r="L51" s="22" t="s">
        <v>49</v>
      </c>
      <c r="M51" s="132" t="s">
        <v>50</v>
      </c>
      <c r="N51" s="154" t="s">
        <v>214</v>
      </c>
      <c r="O51" s="21" t="s">
        <v>74</v>
      </c>
      <c r="P51" s="19" t="s">
        <v>212</v>
      </c>
      <c r="Q51" s="135" t="s">
        <v>215</v>
      </c>
      <c r="R51" s="132">
        <v>4</v>
      </c>
      <c r="S51" s="132">
        <f>4*4</f>
        <v>16</v>
      </c>
      <c r="T51" s="144"/>
      <c r="U51" s="144"/>
    </row>
    <row r="52" spans="1:21" ht="29">
      <c r="A52" s="44" t="s">
        <v>41</v>
      </c>
      <c r="B52" s="45">
        <v>2</v>
      </c>
      <c r="C52" s="49" t="s">
        <v>176</v>
      </c>
      <c r="D52" s="47" t="s">
        <v>207</v>
      </c>
      <c r="E52" s="48" t="s">
        <v>208</v>
      </c>
      <c r="F52" s="16" t="s">
        <v>216</v>
      </c>
      <c r="G52" s="17" t="s">
        <v>217</v>
      </c>
      <c r="H52" s="16" t="s">
        <v>101</v>
      </c>
      <c r="I52" s="16" t="s">
        <v>102</v>
      </c>
      <c r="J52" s="18" t="str">
        <f t="shared" si="1"/>
        <v>Definir i planificar la gestió del foc per a la millora de l'ENP</v>
      </c>
      <c r="K52" s="18"/>
      <c r="L52" s="22" t="s">
        <v>49</v>
      </c>
      <c r="M52" s="132" t="s">
        <v>50</v>
      </c>
      <c r="N52" s="154" t="s">
        <v>218</v>
      </c>
      <c r="O52" s="21"/>
      <c r="P52" s="19" t="s">
        <v>219</v>
      </c>
      <c r="Q52" s="135" t="s">
        <v>220</v>
      </c>
      <c r="R52" s="132">
        <v>1</v>
      </c>
      <c r="S52" s="132">
        <v>1</v>
      </c>
      <c r="T52" s="144"/>
      <c r="U52" s="144"/>
    </row>
    <row r="53" spans="1:21" ht="30" customHeight="1">
      <c r="A53" s="44" t="s">
        <v>41</v>
      </c>
      <c r="B53" s="45">
        <v>2</v>
      </c>
      <c r="C53" s="49" t="s">
        <v>176</v>
      </c>
      <c r="D53" s="47" t="s">
        <v>207</v>
      </c>
      <c r="E53" s="48" t="s">
        <v>208</v>
      </c>
      <c r="F53" s="16" t="s">
        <v>221</v>
      </c>
      <c r="G53" s="17" t="s">
        <v>222</v>
      </c>
      <c r="H53" s="16" t="s">
        <v>47</v>
      </c>
      <c r="I53" s="16" t="s">
        <v>48</v>
      </c>
      <c r="J53" s="18" t="str">
        <f t="shared" si="1"/>
        <v>Treballar per a la prevenció d'incendis juntament amb els propietaris, ajuntaments, protecció civil, ADF i bombers.</v>
      </c>
      <c r="K53" s="18"/>
      <c r="L53" s="22" t="s">
        <v>49</v>
      </c>
      <c r="M53" s="132" t="s">
        <v>50</v>
      </c>
      <c r="N53" s="157" t="s">
        <v>223</v>
      </c>
      <c r="O53" s="21"/>
      <c r="P53" s="19"/>
      <c r="Q53" s="135" t="s">
        <v>224</v>
      </c>
      <c r="R53" s="132">
        <v>1</v>
      </c>
      <c r="S53" s="132">
        <v>8</v>
      </c>
      <c r="T53" s="144"/>
      <c r="U53" s="144"/>
    </row>
    <row r="54" spans="1:21" ht="90" customHeight="1">
      <c r="A54" s="44" t="s">
        <v>41</v>
      </c>
      <c r="B54" s="45">
        <v>3</v>
      </c>
      <c r="C54" s="49" t="s">
        <v>225</v>
      </c>
      <c r="D54" s="47" t="s">
        <v>226</v>
      </c>
      <c r="E54" s="48" t="s">
        <v>227</v>
      </c>
      <c r="F54" s="16" t="s">
        <v>228</v>
      </c>
      <c r="G54" s="17" t="s">
        <v>229</v>
      </c>
      <c r="H54" s="16" t="s">
        <v>47</v>
      </c>
      <c r="I54" s="16" t="s">
        <v>72</v>
      </c>
      <c r="J54" s="18" t="str">
        <f t="shared" si="1"/>
        <v>Participar en les consultes dels procesos d'Avaluació Ambiental que afectin directament o indirectament l’espai del ENP</v>
      </c>
      <c r="K54" s="18"/>
      <c r="L54" s="22" t="s">
        <v>49</v>
      </c>
      <c r="M54" s="132" t="s">
        <v>50</v>
      </c>
      <c r="N54" s="154" t="s">
        <v>230</v>
      </c>
      <c r="O54" s="21"/>
      <c r="P54" s="19"/>
      <c r="Q54" s="135" t="s">
        <v>231</v>
      </c>
      <c r="R54" s="132">
        <v>15</v>
      </c>
      <c r="S54" s="132">
        <f>60</f>
        <v>60</v>
      </c>
      <c r="T54" s="144"/>
      <c r="U54" s="144"/>
    </row>
    <row r="55" spans="1:21" ht="43.5">
      <c r="A55" s="44" t="s">
        <v>41</v>
      </c>
      <c r="B55" s="45">
        <v>3</v>
      </c>
      <c r="C55" s="49" t="s">
        <v>225</v>
      </c>
      <c r="D55" s="47" t="s">
        <v>226</v>
      </c>
      <c r="E55" s="48" t="s">
        <v>227</v>
      </c>
      <c r="F55" s="16" t="s">
        <v>232</v>
      </c>
      <c r="G55" s="17" t="s">
        <v>233</v>
      </c>
      <c r="H55" s="16" t="s">
        <v>47</v>
      </c>
      <c r="I55" s="16" t="s">
        <v>72</v>
      </c>
      <c r="J55" s="18" t="str">
        <f t="shared" si="1"/>
        <v>Exercir un seguiment efectiu de les obres al Parc juntament amb les Oficines Territorials d'Acció i Avaluació Ambiental als efectes d'assegurar la correcta translació de la tutela administrativa.</v>
      </c>
      <c r="K55" s="18"/>
      <c r="L55" s="22" t="s">
        <v>49</v>
      </c>
      <c r="M55" s="132" t="s">
        <v>50</v>
      </c>
      <c r="N55" s="154" t="s">
        <v>234</v>
      </c>
      <c r="O55" s="21"/>
      <c r="P55" s="19"/>
      <c r="Q55" s="135" t="s">
        <v>235</v>
      </c>
      <c r="R55" s="132">
        <v>15</v>
      </c>
      <c r="S55" s="132">
        <v>60</v>
      </c>
      <c r="T55" s="144"/>
      <c r="U55" s="144"/>
    </row>
    <row r="56" spans="1:21" ht="43.5">
      <c r="A56" s="44" t="s">
        <v>41</v>
      </c>
      <c r="B56" s="45">
        <v>3</v>
      </c>
      <c r="C56" s="49" t="s">
        <v>225</v>
      </c>
      <c r="D56" s="47" t="s">
        <v>226</v>
      </c>
      <c r="E56" s="48" t="s">
        <v>227</v>
      </c>
      <c r="F56" s="16" t="s">
        <v>236</v>
      </c>
      <c r="G56" s="17" t="s">
        <v>237</v>
      </c>
      <c r="H56" s="16" t="s">
        <v>47</v>
      </c>
      <c r="I56" s="16" t="s">
        <v>102</v>
      </c>
      <c r="J56" s="18" t="str">
        <f t="shared" si="1"/>
        <v>Participar en la compensació d'impactes residuals durant els processos d'avaluació ambiental mitjançant la identificació de necessitats d'actuació prioritària dins i fora dels límits de l’ENP</v>
      </c>
      <c r="K56" s="18"/>
      <c r="L56" s="22" t="s">
        <v>49</v>
      </c>
      <c r="M56" s="132" t="s">
        <v>50</v>
      </c>
      <c r="N56" s="154" t="s">
        <v>238</v>
      </c>
      <c r="O56" s="21"/>
      <c r="P56" s="19"/>
      <c r="Q56" s="135" t="s">
        <v>239</v>
      </c>
      <c r="R56" s="132">
        <v>1</v>
      </c>
      <c r="S56" s="132">
        <v>1</v>
      </c>
      <c r="T56" s="144"/>
      <c r="U56" s="144"/>
    </row>
    <row r="57" spans="1:21" ht="75" customHeight="1">
      <c r="A57" s="44" t="s">
        <v>41</v>
      </c>
      <c r="B57" s="45">
        <v>3</v>
      </c>
      <c r="C57" s="49" t="s">
        <v>225</v>
      </c>
      <c r="D57" s="47" t="s">
        <v>226</v>
      </c>
      <c r="E57" s="48" t="s">
        <v>227</v>
      </c>
      <c r="F57" s="16" t="s">
        <v>236</v>
      </c>
      <c r="G57" s="17" t="s">
        <v>237</v>
      </c>
      <c r="H57" s="16" t="s">
        <v>47</v>
      </c>
      <c r="I57" s="16" t="s">
        <v>102</v>
      </c>
      <c r="J57" s="18" t="str">
        <f t="shared" si="1"/>
        <v>Participar en la compensació d'impactes residuals durant els processos d'avaluació ambiental mitjançant la identificació de necessitats d'actuació prioritària dins i fora dels límits de l’ENP</v>
      </c>
      <c r="K57" s="18"/>
      <c r="L57" s="22" t="s">
        <v>49</v>
      </c>
      <c r="M57" s="132" t="s">
        <v>50</v>
      </c>
      <c r="N57" s="154" t="s">
        <v>240</v>
      </c>
      <c r="O57" s="21"/>
      <c r="P57" s="19"/>
      <c r="Q57" s="135" t="s">
        <v>241</v>
      </c>
      <c r="R57" s="132">
        <v>4</v>
      </c>
      <c r="S57" s="132">
        <f>S54/4</f>
        <v>15</v>
      </c>
      <c r="T57" s="144"/>
      <c r="U57" s="144"/>
    </row>
    <row r="58" spans="1:21" ht="60" customHeight="1">
      <c r="A58" s="44" t="s">
        <v>41</v>
      </c>
      <c r="B58" s="45">
        <v>3</v>
      </c>
      <c r="C58" s="49" t="s">
        <v>225</v>
      </c>
      <c r="D58" s="47" t="s">
        <v>242</v>
      </c>
      <c r="E58" s="48" t="s">
        <v>243</v>
      </c>
      <c r="F58" s="16" t="s">
        <v>244</v>
      </c>
      <c r="G58" s="17" t="s">
        <v>245</v>
      </c>
      <c r="H58" s="16" t="s">
        <v>47</v>
      </c>
      <c r="I58" s="16" t="s">
        <v>72</v>
      </c>
      <c r="J58" s="18" t="str">
        <f t="shared" si="1"/>
        <v>Participar en l'elaboració dels instruments de planificació de l'ENP</v>
      </c>
      <c r="K58" s="18"/>
      <c r="L58" s="22" t="s">
        <v>49</v>
      </c>
      <c r="M58" s="132" t="s">
        <v>59</v>
      </c>
      <c r="N58" s="154" t="s">
        <v>246</v>
      </c>
      <c r="O58" s="21"/>
      <c r="P58" s="19" t="s">
        <v>247</v>
      </c>
      <c r="Q58" s="135" t="s">
        <v>248</v>
      </c>
      <c r="R58" s="132">
        <v>1</v>
      </c>
      <c r="S58" s="132">
        <v>1</v>
      </c>
      <c r="T58" s="144"/>
      <c r="U58" s="144"/>
    </row>
    <row r="59" spans="1:21" ht="45" customHeight="1">
      <c r="A59" s="44" t="s">
        <v>41</v>
      </c>
      <c r="B59" s="45">
        <v>3</v>
      </c>
      <c r="C59" s="49" t="s">
        <v>225</v>
      </c>
      <c r="D59" s="47" t="s">
        <v>249</v>
      </c>
      <c r="E59" s="48" t="s">
        <v>250</v>
      </c>
      <c r="F59" s="16" t="s">
        <v>251</v>
      </c>
      <c r="G59" s="17" t="s">
        <v>252</v>
      </c>
      <c r="H59" s="16" t="s">
        <v>101</v>
      </c>
      <c r="I59" s="16" t="s">
        <v>204</v>
      </c>
      <c r="J59" s="18" t="str">
        <f t="shared" si="1"/>
        <v>Vetllar pel manteniment del cabal ecològic dels rius definit al Pla sectorial corresponent</v>
      </c>
      <c r="K59" s="18"/>
      <c r="L59" s="22" t="s">
        <v>49</v>
      </c>
      <c r="M59" s="132" t="s">
        <v>50</v>
      </c>
      <c r="N59" s="154" t="s">
        <v>253</v>
      </c>
      <c r="O59" s="21" t="s">
        <v>74</v>
      </c>
      <c r="P59" s="19" t="s">
        <v>254</v>
      </c>
      <c r="Q59" s="135" t="s">
        <v>255</v>
      </c>
      <c r="R59" s="132">
        <v>1</v>
      </c>
      <c r="S59" s="132">
        <v>1</v>
      </c>
      <c r="T59" s="144"/>
      <c r="U59" s="144"/>
    </row>
    <row r="60" spans="1:21" ht="30" customHeight="1">
      <c r="A60" s="44" t="s">
        <v>41</v>
      </c>
      <c r="B60" s="45">
        <v>3</v>
      </c>
      <c r="C60" s="49" t="s">
        <v>225</v>
      </c>
      <c r="D60" s="47" t="s">
        <v>249</v>
      </c>
      <c r="E60" s="48" t="s">
        <v>250</v>
      </c>
      <c r="F60" s="16" t="s">
        <v>251</v>
      </c>
      <c r="G60" s="17" t="s">
        <v>252</v>
      </c>
      <c r="H60" s="16" t="s">
        <v>101</v>
      </c>
      <c r="I60" s="16" t="s">
        <v>204</v>
      </c>
      <c r="J60" s="18" t="str">
        <f t="shared" si="1"/>
        <v>Vetllar pel manteniment del cabal ecològic dels rius definit al Pla sectorial corresponent</v>
      </c>
      <c r="K60" s="18"/>
      <c r="L60" s="22" t="s">
        <v>49</v>
      </c>
      <c r="M60" s="132" t="s">
        <v>128</v>
      </c>
      <c r="N60" s="154" t="s">
        <v>256</v>
      </c>
      <c r="O60" s="21" t="s">
        <v>74</v>
      </c>
      <c r="P60" s="19" t="s">
        <v>254</v>
      </c>
      <c r="Q60" s="135" t="s">
        <v>257</v>
      </c>
      <c r="R60" s="132">
        <v>10</v>
      </c>
      <c r="S60" s="132">
        <v>40</v>
      </c>
      <c r="T60" s="144"/>
      <c r="U60" s="144"/>
    </row>
    <row r="61" spans="1:21" ht="29">
      <c r="A61" s="44" t="s">
        <v>41</v>
      </c>
      <c r="B61" s="45">
        <v>3</v>
      </c>
      <c r="C61" s="49" t="s">
        <v>225</v>
      </c>
      <c r="D61" s="47" t="s">
        <v>249</v>
      </c>
      <c r="E61" s="48" t="s">
        <v>250</v>
      </c>
      <c r="F61" s="16" t="s">
        <v>251</v>
      </c>
      <c r="G61" s="17" t="s">
        <v>252</v>
      </c>
      <c r="H61" s="16" t="s">
        <v>101</v>
      </c>
      <c r="I61" s="16" t="s">
        <v>204</v>
      </c>
      <c r="J61" s="18" t="str">
        <f t="shared" si="1"/>
        <v>Vetllar pel manteniment del cabal ecològic dels rius definit al Pla sectorial corresponent</v>
      </c>
      <c r="K61" s="18"/>
      <c r="L61" s="22" t="s">
        <v>49</v>
      </c>
      <c r="M61" s="132" t="s">
        <v>50</v>
      </c>
      <c r="N61" s="154" t="s">
        <v>258</v>
      </c>
      <c r="O61" s="21" t="s">
        <v>74</v>
      </c>
      <c r="P61" s="19" t="s">
        <v>254</v>
      </c>
      <c r="Q61" s="135" t="s">
        <v>259</v>
      </c>
      <c r="R61" s="132">
        <v>1</v>
      </c>
      <c r="S61" s="132">
        <v>1</v>
      </c>
      <c r="T61" s="144"/>
      <c r="U61" s="144"/>
    </row>
    <row r="62" spans="1:21" ht="45" customHeight="1">
      <c r="A62" s="44" t="s">
        <v>41</v>
      </c>
      <c r="B62" s="45">
        <v>3</v>
      </c>
      <c r="C62" s="49" t="s">
        <v>225</v>
      </c>
      <c r="D62" s="47" t="s">
        <v>249</v>
      </c>
      <c r="E62" s="48" t="s">
        <v>250</v>
      </c>
      <c r="F62" s="16" t="s">
        <v>251</v>
      </c>
      <c r="G62" s="17" t="s">
        <v>252</v>
      </c>
      <c r="H62" s="16" t="s">
        <v>101</v>
      </c>
      <c r="I62" s="16" t="s">
        <v>204</v>
      </c>
      <c r="J62" s="18" t="str">
        <f t="shared" si="1"/>
        <v>Vetllar pel manteniment del cabal ecològic dels rius definit al Pla sectorial corresponent</v>
      </c>
      <c r="K62" s="18"/>
      <c r="L62" s="22" t="s">
        <v>49</v>
      </c>
      <c r="M62" s="132" t="s">
        <v>50</v>
      </c>
      <c r="N62" s="154" t="s">
        <v>260</v>
      </c>
      <c r="O62" s="21" t="s">
        <v>74</v>
      </c>
      <c r="P62" s="19" t="s">
        <v>254</v>
      </c>
      <c r="Q62" s="135" t="s">
        <v>261</v>
      </c>
      <c r="R62" s="132">
        <v>2</v>
      </c>
      <c r="S62" s="132">
        <v>8</v>
      </c>
      <c r="T62" s="144"/>
      <c r="U62" s="144"/>
    </row>
    <row r="63" spans="1:21" ht="30" customHeight="1">
      <c r="A63" s="44" t="s">
        <v>41</v>
      </c>
      <c r="B63" s="45">
        <v>3</v>
      </c>
      <c r="C63" s="49" t="s">
        <v>225</v>
      </c>
      <c r="D63" s="47" t="s">
        <v>249</v>
      </c>
      <c r="E63" s="48" t="s">
        <v>250</v>
      </c>
      <c r="F63" s="16" t="s">
        <v>262</v>
      </c>
      <c r="G63" s="17" t="s">
        <v>263</v>
      </c>
      <c r="H63" s="16" t="s">
        <v>101</v>
      </c>
      <c r="I63" s="16" t="s">
        <v>102</v>
      </c>
      <c r="J63" s="18" t="str">
        <f t="shared" si="1"/>
        <v>Vetllar per la regulació dels dragatges, canalitzacions o implantació d'activitats extractives que puguin modificar la llera i el cabal dels rius</v>
      </c>
      <c r="K63" s="18"/>
      <c r="L63" s="22" t="s">
        <v>49</v>
      </c>
      <c r="M63" s="132" t="s">
        <v>50</v>
      </c>
      <c r="N63" s="154" t="s">
        <v>264</v>
      </c>
      <c r="O63" s="21"/>
      <c r="P63" s="19"/>
      <c r="Q63" s="135" t="s">
        <v>265</v>
      </c>
      <c r="R63" s="132">
        <v>1</v>
      </c>
      <c r="S63" s="132">
        <v>4</v>
      </c>
      <c r="T63" s="144"/>
      <c r="U63" s="144"/>
    </row>
    <row r="64" spans="1:21" ht="30" customHeight="1">
      <c r="A64" s="44" t="s">
        <v>41</v>
      </c>
      <c r="B64" s="45">
        <v>3</v>
      </c>
      <c r="C64" s="49" t="s">
        <v>225</v>
      </c>
      <c r="D64" s="47" t="s">
        <v>249</v>
      </c>
      <c r="E64" s="48" t="s">
        <v>250</v>
      </c>
      <c r="F64" s="16" t="s">
        <v>266</v>
      </c>
      <c r="G64" s="17" t="s">
        <v>267</v>
      </c>
      <c r="H64" s="16" t="s">
        <v>101</v>
      </c>
      <c r="I64" s="16" t="s">
        <v>102</v>
      </c>
      <c r="J64" s="18" t="str">
        <f t="shared" si="1"/>
        <v>Avaluar i controlar les actuacions que produeixin drenatges, captacions o que puguin impedir l’arribada d’aigua tant superficial com freàtica</v>
      </c>
      <c r="K64" s="18"/>
      <c r="L64" s="22" t="s">
        <v>49</v>
      </c>
      <c r="M64" s="132" t="s">
        <v>50</v>
      </c>
      <c r="N64" s="154" t="s">
        <v>268</v>
      </c>
      <c r="O64" s="21"/>
      <c r="P64" s="19"/>
      <c r="Q64" s="135" t="s">
        <v>265</v>
      </c>
      <c r="R64" s="132">
        <v>1</v>
      </c>
      <c r="S64" s="132">
        <v>4</v>
      </c>
      <c r="T64" s="144"/>
      <c r="U64" s="144"/>
    </row>
    <row r="65" spans="1:21" ht="30" customHeight="1">
      <c r="A65" s="44" t="s">
        <v>41</v>
      </c>
      <c r="B65" s="45">
        <v>3</v>
      </c>
      <c r="C65" s="49" t="s">
        <v>225</v>
      </c>
      <c r="D65" s="47" t="s">
        <v>249</v>
      </c>
      <c r="E65" s="48" t="s">
        <v>250</v>
      </c>
      <c r="F65" s="16" t="s">
        <v>266</v>
      </c>
      <c r="G65" s="17" t="s">
        <v>267</v>
      </c>
      <c r="H65" s="16" t="s">
        <v>101</v>
      </c>
      <c r="I65" s="16" t="s">
        <v>102</v>
      </c>
      <c r="J65" s="18" t="str">
        <f t="shared" si="1"/>
        <v>Avaluar i controlar les actuacions que produeixin drenatges, captacions o que puguin impedir l’arribada d’aigua tant superficial com freàtica</v>
      </c>
      <c r="K65" s="18"/>
      <c r="L65" s="22" t="s">
        <v>49</v>
      </c>
      <c r="M65" s="132" t="s">
        <v>50</v>
      </c>
      <c r="N65" s="154" t="s">
        <v>269</v>
      </c>
      <c r="O65" s="21"/>
      <c r="P65" s="19"/>
      <c r="Q65" s="135" t="s">
        <v>270</v>
      </c>
      <c r="R65" s="132">
        <v>4</v>
      </c>
      <c r="S65" s="132">
        <v>16</v>
      </c>
      <c r="T65" s="144"/>
      <c r="U65" s="144"/>
    </row>
    <row r="66" spans="1:21" ht="45" customHeight="1">
      <c r="A66" s="44" t="s">
        <v>41</v>
      </c>
      <c r="B66" s="45">
        <v>3</v>
      </c>
      <c r="C66" s="49" t="s">
        <v>225</v>
      </c>
      <c r="D66" s="47" t="s">
        <v>249</v>
      </c>
      <c r="E66" s="48" t="s">
        <v>250</v>
      </c>
      <c r="F66" s="16" t="s">
        <v>271</v>
      </c>
      <c r="G66" s="17" t="s">
        <v>272</v>
      </c>
      <c r="H66" s="16" t="s">
        <v>101</v>
      </c>
      <c r="I66" s="16" t="s">
        <v>102</v>
      </c>
      <c r="J66" s="136" t="str">
        <f t="shared" si="1"/>
        <v>Vetllar pel compliment de la normativa de depuració dels efluents agroramaders, urbans, industrials i assimilables a domèstics que s'aboquen als cursos fluvials</v>
      </c>
      <c r="K66" s="136" t="s">
        <v>273</v>
      </c>
      <c r="L66" s="22" t="s">
        <v>49</v>
      </c>
      <c r="M66" s="133" t="s">
        <v>50</v>
      </c>
      <c r="N66" s="154" t="s">
        <v>274</v>
      </c>
      <c r="O66" s="21" t="s">
        <v>74</v>
      </c>
      <c r="P66" s="19"/>
      <c r="Q66" s="170" t="s">
        <v>275</v>
      </c>
      <c r="R66" s="132">
        <v>4</v>
      </c>
      <c r="S66" s="132">
        <v>13</v>
      </c>
      <c r="T66" s="144"/>
      <c r="U66" s="144"/>
    </row>
    <row r="67" spans="1:21" ht="30" customHeight="1">
      <c r="A67" s="44" t="s">
        <v>41</v>
      </c>
      <c r="B67" s="45">
        <v>3</v>
      </c>
      <c r="C67" s="49" t="s">
        <v>225</v>
      </c>
      <c r="D67" s="47" t="s">
        <v>276</v>
      </c>
      <c r="E67" s="48" t="s">
        <v>277</v>
      </c>
      <c r="F67" s="16" t="s">
        <v>278</v>
      </c>
      <c r="G67" s="17" t="s">
        <v>279</v>
      </c>
      <c r="H67" s="16" t="s">
        <v>47</v>
      </c>
      <c r="I67" s="16" t="s">
        <v>102</v>
      </c>
      <c r="J67" s="18" t="str">
        <f t="shared" si="1"/>
        <v xml:space="preserve">Identificar espais prioritaris per a la compra de terrenys de més valor dins l'ENP </v>
      </c>
      <c r="K67" s="18"/>
      <c r="L67" s="22" t="s">
        <v>49</v>
      </c>
      <c r="M67" s="132" t="s">
        <v>50</v>
      </c>
      <c r="N67" s="154" t="s">
        <v>280</v>
      </c>
      <c r="O67" s="21"/>
      <c r="P67" s="19" t="s">
        <v>281</v>
      </c>
      <c r="Q67" s="135" t="s">
        <v>282</v>
      </c>
      <c r="R67" s="132">
        <v>1</v>
      </c>
      <c r="S67" s="132">
        <v>1</v>
      </c>
      <c r="T67" s="144"/>
      <c r="U67" s="144"/>
    </row>
    <row r="68" spans="1:21" ht="30" customHeight="1">
      <c r="A68" s="44" t="s">
        <v>41</v>
      </c>
      <c r="B68" s="45">
        <v>3</v>
      </c>
      <c r="C68" s="49" t="s">
        <v>225</v>
      </c>
      <c r="D68" s="47" t="s">
        <v>276</v>
      </c>
      <c r="E68" s="48" t="s">
        <v>277</v>
      </c>
      <c r="F68" s="16" t="s">
        <v>283</v>
      </c>
      <c r="G68" s="17" t="s">
        <v>284</v>
      </c>
      <c r="H68" s="16" t="s">
        <v>47</v>
      </c>
      <c r="I68" s="16" t="s">
        <v>204</v>
      </c>
      <c r="J68" s="18" t="str">
        <f t="shared" si="1"/>
        <v>Identificar espais prioritaris per a la gestió directa</v>
      </c>
      <c r="K68" s="18"/>
      <c r="L68" s="22" t="s">
        <v>49</v>
      </c>
      <c r="M68" s="132" t="s">
        <v>50</v>
      </c>
      <c r="N68" s="154" t="s">
        <v>285</v>
      </c>
      <c r="O68" s="21"/>
      <c r="P68" s="19" t="s">
        <v>281</v>
      </c>
      <c r="Q68" s="135" t="s">
        <v>286</v>
      </c>
      <c r="R68" s="132">
        <v>1</v>
      </c>
      <c r="S68" s="132">
        <v>2</v>
      </c>
      <c r="T68" s="144"/>
      <c r="U68" s="144"/>
    </row>
    <row r="69" spans="1:21" ht="29">
      <c r="A69" s="50" t="s">
        <v>287</v>
      </c>
      <c r="B69" s="51">
        <v>4</v>
      </c>
      <c r="C69" s="52" t="s">
        <v>288</v>
      </c>
      <c r="D69" s="53" t="s">
        <v>289</v>
      </c>
      <c r="E69" s="54" t="s">
        <v>290</v>
      </c>
      <c r="F69" s="21" t="s">
        <v>291</v>
      </c>
      <c r="G69" s="19" t="s">
        <v>292</v>
      </c>
      <c r="H69" s="21" t="s">
        <v>47</v>
      </c>
      <c r="I69" s="21" t="s">
        <v>204</v>
      </c>
      <c r="J69" s="135" t="str">
        <f t="shared" si="1"/>
        <v>Elaborar l'inventari i cartografia de patrimoni cultural de l'ENP, que també inclogui el patrimoni etnològic i immaterial</v>
      </c>
      <c r="K69" s="135"/>
      <c r="L69" s="137"/>
      <c r="M69" s="132" t="s">
        <v>128</v>
      </c>
      <c r="N69" s="157" t="s">
        <v>293</v>
      </c>
      <c r="O69" s="21"/>
      <c r="P69" s="19"/>
      <c r="Q69" s="135" t="s">
        <v>294</v>
      </c>
      <c r="R69" s="132">
        <v>1</v>
      </c>
      <c r="S69" s="132">
        <v>1</v>
      </c>
      <c r="T69" s="144"/>
      <c r="U69" s="144"/>
    </row>
    <row r="70" spans="1:21" ht="60" customHeight="1">
      <c r="A70" s="55" t="s">
        <v>287</v>
      </c>
      <c r="B70" s="56">
        <v>4</v>
      </c>
      <c r="C70" s="57" t="s">
        <v>288</v>
      </c>
      <c r="D70" s="58" t="s">
        <v>289</v>
      </c>
      <c r="E70" s="59" t="s">
        <v>290</v>
      </c>
      <c r="F70" s="60" t="s">
        <v>291</v>
      </c>
      <c r="G70" s="61" t="s">
        <v>292</v>
      </c>
      <c r="H70" s="60" t="s">
        <v>47</v>
      </c>
      <c r="I70" s="60" t="s">
        <v>204</v>
      </c>
      <c r="J70" s="138" t="s">
        <v>292</v>
      </c>
      <c r="K70" s="138"/>
      <c r="L70" s="139"/>
      <c r="M70" s="140" t="s">
        <v>59</v>
      </c>
      <c r="N70" s="158" t="s">
        <v>292</v>
      </c>
      <c r="O70" s="146"/>
      <c r="P70" s="147"/>
      <c r="Q70" s="138" t="s">
        <v>295</v>
      </c>
      <c r="R70" s="140" t="s">
        <v>296</v>
      </c>
      <c r="S70" s="140" t="s">
        <v>297</v>
      </c>
      <c r="T70" s="144"/>
      <c r="U70" s="144"/>
    </row>
    <row r="71" spans="1:21" ht="29">
      <c r="A71" s="55" t="s">
        <v>287</v>
      </c>
      <c r="B71" s="56">
        <v>4</v>
      </c>
      <c r="C71" s="57" t="s">
        <v>288</v>
      </c>
      <c r="D71" s="58" t="s">
        <v>289</v>
      </c>
      <c r="E71" s="59" t="s">
        <v>290</v>
      </c>
      <c r="F71" s="60" t="s">
        <v>298</v>
      </c>
      <c r="G71" s="61" t="s">
        <v>299</v>
      </c>
      <c r="H71" s="60" t="s">
        <v>47</v>
      </c>
      <c r="I71" s="60" t="s">
        <v>204</v>
      </c>
      <c r="J71" s="138" t="s">
        <v>299</v>
      </c>
      <c r="K71" s="138"/>
      <c r="L71" s="139"/>
      <c r="M71" s="140" t="s">
        <v>59</v>
      </c>
      <c r="N71" s="158" t="s">
        <v>300</v>
      </c>
      <c r="O71" s="146"/>
      <c r="P71" s="147"/>
      <c r="Q71" s="138" t="s">
        <v>301</v>
      </c>
      <c r="R71" s="140">
        <v>1</v>
      </c>
      <c r="S71" s="140">
        <v>3</v>
      </c>
      <c r="T71" s="164"/>
      <c r="U71" s="164"/>
    </row>
    <row r="72" spans="1:21" ht="43.5">
      <c r="A72" s="50" t="s">
        <v>287</v>
      </c>
      <c r="B72" s="62">
        <v>4</v>
      </c>
      <c r="C72" s="63" t="s">
        <v>288</v>
      </c>
      <c r="D72" s="64" t="s">
        <v>289</v>
      </c>
      <c r="E72" s="65" t="s">
        <v>290</v>
      </c>
      <c r="F72" s="16" t="s">
        <v>302</v>
      </c>
      <c r="G72" s="17" t="s">
        <v>303</v>
      </c>
      <c r="H72" s="16" t="s">
        <v>47</v>
      </c>
      <c r="I72" s="16" t="s">
        <v>204</v>
      </c>
      <c r="J72" s="18" t="str">
        <f>G72</f>
        <v>Elaborar la cartografia de la xarxa de camins ramaders i senders tradicionals de l'ENP</v>
      </c>
      <c r="K72" s="18"/>
      <c r="L72" s="22" t="s">
        <v>49</v>
      </c>
      <c r="M72" s="132" t="s">
        <v>50</v>
      </c>
      <c r="N72" s="154" t="s">
        <v>304</v>
      </c>
      <c r="O72" s="21"/>
      <c r="P72" s="19"/>
      <c r="Q72" s="135" t="s">
        <v>305</v>
      </c>
      <c r="R72" s="132">
        <v>1</v>
      </c>
      <c r="S72" s="132">
        <v>1</v>
      </c>
      <c r="T72" s="164"/>
      <c r="U72" s="164"/>
    </row>
    <row r="73" spans="1:21" ht="60" customHeight="1">
      <c r="A73" s="55" t="s">
        <v>287</v>
      </c>
      <c r="B73" s="56">
        <v>4</v>
      </c>
      <c r="C73" s="57" t="s">
        <v>288</v>
      </c>
      <c r="D73" s="58" t="s">
        <v>289</v>
      </c>
      <c r="E73" s="59" t="s">
        <v>290</v>
      </c>
      <c r="F73" s="60" t="s">
        <v>302</v>
      </c>
      <c r="G73" s="61" t="s">
        <v>303</v>
      </c>
      <c r="H73" s="60" t="s">
        <v>47</v>
      </c>
      <c r="I73" s="60" t="s">
        <v>204</v>
      </c>
      <c r="J73" s="138" t="s">
        <v>303</v>
      </c>
      <c r="K73" s="138"/>
      <c r="L73" s="139"/>
      <c r="M73" s="140" t="s">
        <v>132</v>
      </c>
      <c r="N73" s="158" t="s">
        <v>306</v>
      </c>
      <c r="O73" s="146"/>
      <c r="P73" s="147"/>
      <c r="Q73" s="138" t="s">
        <v>307</v>
      </c>
      <c r="R73" s="140">
        <v>1</v>
      </c>
      <c r="S73" s="140">
        <v>2</v>
      </c>
      <c r="T73" s="144"/>
      <c r="U73" s="144"/>
    </row>
    <row r="74" spans="1:21" ht="45" customHeight="1">
      <c r="A74" s="55" t="s">
        <v>287</v>
      </c>
      <c r="B74" s="56">
        <v>4</v>
      </c>
      <c r="C74" s="57" t="s">
        <v>288</v>
      </c>
      <c r="D74" s="66" t="s">
        <v>308</v>
      </c>
      <c r="E74" s="59" t="s">
        <v>309</v>
      </c>
      <c r="F74" s="60" t="s">
        <v>310</v>
      </c>
      <c r="G74" s="61" t="s">
        <v>311</v>
      </c>
      <c r="H74" s="60" t="s">
        <v>47</v>
      </c>
      <c r="I74" s="60" t="s">
        <v>72</v>
      </c>
      <c r="J74" s="138" t="s">
        <v>311</v>
      </c>
      <c r="K74" s="138"/>
      <c r="L74" s="139"/>
      <c r="M74" s="140" t="s">
        <v>59</v>
      </c>
      <c r="N74" s="158" t="s">
        <v>312</v>
      </c>
      <c r="O74" s="146"/>
      <c r="P74" s="147"/>
      <c r="Q74" s="138" t="s">
        <v>313</v>
      </c>
      <c r="R74" s="140" t="s">
        <v>296</v>
      </c>
      <c r="S74" s="140" t="s">
        <v>297</v>
      </c>
      <c r="T74" s="164"/>
      <c r="U74" s="164"/>
    </row>
    <row r="75" spans="1:21" ht="29">
      <c r="A75" s="55" t="s">
        <v>287</v>
      </c>
      <c r="B75" s="56">
        <v>4</v>
      </c>
      <c r="C75" s="57" t="s">
        <v>288</v>
      </c>
      <c r="D75" s="66" t="s">
        <v>308</v>
      </c>
      <c r="E75" s="59" t="s">
        <v>309</v>
      </c>
      <c r="F75" s="60" t="s">
        <v>314</v>
      </c>
      <c r="G75" s="61" t="s">
        <v>315</v>
      </c>
      <c r="H75" s="60" t="s">
        <v>47</v>
      </c>
      <c r="I75" s="60" t="s">
        <v>204</v>
      </c>
      <c r="J75" s="138" t="s">
        <v>315</v>
      </c>
      <c r="K75" s="138"/>
      <c r="L75" s="139"/>
      <c r="M75" s="140" t="s">
        <v>59</v>
      </c>
      <c r="N75" s="158" t="s">
        <v>316</v>
      </c>
      <c r="O75" s="146"/>
      <c r="P75" s="147"/>
      <c r="Q75" s="138" t="s">
        <v>317</v>
      </c>
      <c r="R75" s="140" t="s">
        <v>296</v>
      </c>
      <c r="S75" s="140" t="s">
        <v>297</v>
      </c>
      <c r="T75" s="164"/>
      <c r="U75" s="164"/>
    </row>
    <row r="76" spans="1:21" ht="29">
      <c r="A76" s="55" t="s">
        <v>287</v>
      </c>
      <c r="B76" s="56">
        <v>4</v>
      </c>
      <c r="C76" s="57" t="s">
        <v>288</v>
      </c>
      <c r="D76" s="67" t="s">
        <v>308</v>
      </c>
      <c r="E76" s="54" t="s">
        <v>309</v>
      </c>
      <c r="F76" s="21" t="s">
        <v>318</v>
      </c>
      <c r="G76" s="19" t="s">
        <v>319</v>
      </c>
      <c r="H76" s="21" t="s">
        <v>47</v>
      </c>
      <c r="I76" s="21" t="s">
        <v>204</v>
      </c>
      <c r="J76" s="135" t="str">
        <f>G76</f>
        <v>Coordinar i participar dels treballs de restauració arquitectònica i del patrimoni cultural</v>
      </c>
      <c r="K76" s="135"/>
      <c r="L76" s="22" t="s">
        <v>49</v>
      </c>
      <c r="M76" s="132" t="s">
        <v>59</v>
      </c>
      <c r="N76" s="157" t="s">
        <v>320</v>
      </c>
      <c r="O76" s="21"/>
      <c r="P76" s="19"/>
      <c r="Q76" s="135" t="s">
        <v>321</v>
      </c>
      <c r="R76" s="132">
        <v>4</v>
      </c>
      <c r="S76" s="132">
        <v>12</v>
      </c>
      <c r="T76" s="164"/>
      <c r="U76" s="164"/>
    </row>
    <row r="77" spans="1:21" ht="29">
      <c r="A77" s="50" t="s">
        <v>287</v>
      </c>
      <c r="B77" s="51">
        <v>4</v>
      </c>
      <c r="C77" s="52" t="s">
        <v>288</v>
      </c>
      <c r="D77" s="67" t="s">
        <v>308</v>
      </c>
      <c r="E77" s="54" t="s">
        <v>309</v>
      </c>
      <c r="F77" s="21" t="s">
        <v>318</v>
      </c>
      <c r="G77" s="19" t="s">
        <v>319</v>
      </c>
      <c r="H77" s="21" t="s">
        <v>47</v>
      </c>
      <c r="I77" s="21" t="s">
        <v>204</v>
      </c>
      <c r="J77" s="135" t="str">
        <f>G77</f>
        <v>Coordinar i participar dels treballs de restauració arquitectònica i del patrimoni cultural</v>
      </c>
      <c r="K77" s="135"/>
      <c r="L77" s="22" t="s">
        <v>49</v>
      </c>
      <c r="M77" s="132" t="s">
        <v>59</v>
      </c>
      <c r="N77" s="157" t="s">
        <v>322</v>
      </c>
      <c r="O77" s="21"/>
      <c r="P77" s="19"/>
      <c r="Q77" s="135" t="s">
        <v>323</v>
      </c>
      <c r="R77" s="132">
        <v>1</v>
      </c>
      <c r="S77" s="132">
        <v>4</v>
      </c>
      <c r="T77" s="144"/>
      <c r="U77" s="144"/>
    </row>
    <row r="78" spans="1:21" ht="45" customHeight="1">
      <c r="A78" s="55" t="s">
        <v>287</v>
      </c>
      <c r="B78" s="56">
        <v>4</v>
      </c>
      <c r="C78" s="57" t="s">
        <v>288</v>
      </c>
      <c r="D78" s="66" t="s">
        <v>308</v>
      </c>
      <c r="E78" s="59" t="s">
        <v>309</v>
      </c>
      <c r="F78" s="60" t="s">
        <v>324</v>
      </c>
      <c r="G78" s="61" t="s">
        <v>325</v>
      </c>
      <c r="H78" s="60" t="s">
        <v>47</v>
      </c>
      <c r="I78" s="60" t="s">
        <v>48</v>
      </c>
      <c r="J78" s="138" t="s">
        <v>325</v>
      </c>
      <c r="K78" s="138"/>
      <c r="L78" s="139"/>
      <c r="M78" s="140" t="s">
        <v>59</v>
      </c>
      <c r="N78" s="158" t="s">
        <v>326</v>
      </c>
      <c r="O78" s="146"/>
      <c r="P78" s="147"/>
      <c r="Q78" s="138" t="s">
        <v>327</v>
      </c>
      <c r="R78" s="140" t="s">
        <v>296</v>
      </c>
      <c r="S78" s="140" t="s">
        <v>297</v>
      </c>
      <c r="T78" s="144"/>
      <c r="U78" s="144"/>
    </row>
    <row r="79" spans="1:21" ht="43.5">
      <c r="A79" s="50" t="s">
        <v>287</v>
      </c>
      <c r="B79" s="51">
        <v>4</v>
      </c>
      <c r="C79" s="52" t="s">
        <v>288</v>
      </c>
      <c r="D79" s="53" t="s">
        <v>328</v>
      </c>
      <c r="E79" s="54" t="s">
        <v>329</v>
      </c>
      <c r="F79" s="21" t="s">
        <v>330</v>
      </c>
      <c r="G79" s="19" t="s">
        <v>331</v>
      </c>
      <c r="H79" s="21" t="s">
        <v>47</v>
      </c>
      <c r="I79" s="21" t="s">
        <v>48</v>
      </c>
      <c r="J79" s="135" t="str">
        <f>G79</f>
        <v xml:space="preserve">Recuperar i conservar el patrimoni cultural rural immaterial associat a les activitats i aprofitaments tradicionals </v>
      </c>
      <c r="K79" s="135"/>
      <c r="L79" s="22" t="s">
        <v>49</v>
      </c>
      <c r="M79" s="132" t="s">
        <v>50</v>
      </c>
      <c r="N79" s="157" t="s">
        <v>332</v>
      </c>
      <c r="O79" s="21" t="s">
        <v>52</v>
      </c>
      <c r="P79" s="19"/>
      <c r="Q79" s="135" t="s">
        <v>333</v>
      </c>
      <c r="R79" s="132">
        <v>2</v>
      </c>
      <c r="S79" s="132">
        <v>8</v>
      </c>
      <c r="T79" s="164"/>
      <c r="U79" s="164"/>
    </row>
    <row r="80" spans="1:21" ht="75" customHeight="1">
      <c r="A80" s="55" t="s">
        <v>287</v>
      </c>
      <c r="B80" s="56">
        <v>4</v>
      </c>
      <c r="C80" s="57" t="s">
        <v>288</v>
      </c>
      <c r="D80" s="58" t="s">
        <v>328</v>
      </c>
      <c r="E80" s="59" t="s">
        <v>329</v>
      </c>
      <c r="F80" s="60" t="s">
        <v>330</v>
      </c>
      <c r="G80" s="61" t="s">
        <v>331</v>
      </c>
      <c r="H80" s="60" t="s">
        <v>47</v>
      </c>
      <c r="I80" s="60" t="s">
        <v>48</v>
      </c>
      <c r="J80" s="138" t="s">
        <v>331</v>
      </c>
      <c r="K80" s="138"/>
      <c r="L80" s="139"/>
      <c r="M80" s="140" t="s">
        <v>59</v>
      </c>
      <c r="N80" s="158" t="s">
        <v>334</v>
      </c>
      <c r="O80" s="146" t="s">
        <v>52</v>
      </c>
      <c r="P80" s="147"/>
      <c r="Q80" s="138" t="s">
        <v>335</v>
      </c>
      <c r="R80" s="140">
        <v>1</v>
      </c>
      <c r="S80" s="140">
        <v>2</v>
      </c>
      <c r="T80" s="144"/>
      <c r="U80" s="144"/>
    </row>
    <row r="81" spans="1:21" ht="29">
      <c r="A81" s="50" t="s">
        <v>287</v>
      </c>
      <c r="B81" s="51">
        <v>4</v>
      </c>
      <c r="C81" s="52" t="s">
        <v>288</v>
      </c>
      <c r="D81" s="53" t="s">
        <v>328</v>
      </c>
      <c r="E81" s="54" t="s">
        <v>329</v>
      </c>
      <c r="F81" s="21" t="s">
        <v>336</v>
      </c>
      <c r="G81" s="19" t="s">
        <v>337</v>
      </c>
      <c r="H81" s="21" t="s">
        <v>101</v>
      </c>
      <c r="I81" s="21" t="s">
        <v>48</v>
      </c>
      <c r="J81" s="135" t="str">
        <f>G81</f>
        <v>Recuperar i conservar el patrimoni cultural rural vinculat específicament a construccions de pedra en sec</v>
      </c>
      <c r="K81" s="135"/>
      <c r="L81" s="22" t="s">
        <v>49</v>
      </c>
      <c r="M81" s="132" t="s">
        <v>50</v>
      </c>
      <c r="N81" s="157" t="s">
        <v>338</v>
      </c>
      <c r="O81" s="21" t="s">
        <v>52</v>
      </c>
      <c r="P81" s="19"/>
      <c r="Q81" s="135" t="s">
        <v>339</v>
      </c>
      <c r="R81" s="132">
        <v>4</v>
      </c>
      <c r="S81" s="132">
        <v>8</v>
      </c>
      <c r="T81" s="164"/>
      <c r="U81" s="164"/>
    </row>
    <row r="82" spans="1:21" ht="45" customHeight="1">
      <c r="A82" s="50" t="s">
        <v>287</v>
      </c>
      <c r="B82" s="62">
        <v>4</v>
      </c>
      <c r="C82" s="63" t="s">
        <v>288</v>
      </c>
      <c r="D82" s="64" t="s">
        <v>328</v>
      </c>
      <c r="E82" s="65" t="s">
        <v>329</v>
      </c>
      <c r="F82" s="16" t="s">
        <v>340</v>
      </c>
      <c r="G82" s="17" t="s">
        <v>341</v>
      </c>
      <c r="H82" s="16" t="s">
        <v>47</v>
      </c>
      <c r="I82" s="16" t="s">
        <v>102</v>
      </c>
      <c r="J82" s="18" t="str">
        <f>G82</f>
        <v xml:space="preserve">Fomentar la recuperació i conservació de l'arquitectura tradicional d'interès de les edificacions i construccions </v>
      </c>
      <c r="K82" s="18"/>
      <c r="L82" s="141"/>
      <c r="M82" s="132" t="s">
        <v>128</v>
      </c>
      <c r="N82" s="156" t="s">
        <v>342</v>
      </c>
      <c r="O82" s="21"/>
      <c r="P82" s="19"/>
      <c r="Q82" s="170" t="s">
        <v>343</v>
      </c>
      <c r="R82" s="132">
        <v>2</v>
      </c>
      <c r="S82" s="132">
        <v>6</v>
      </c>
      <c r="T82" s="144"/>
      <c r="U82" s="144"/>
    </row>
    <row r="83" spans="1:21" ht="105" customHeight="1">
      <c r="A83" s="50" t="s">
        <v>287</v>
      </c>
      <c r="B83" s="62">
        <v>4</v>
      </c>
      <c r="C83" s="63" t="s">
        <v>288</v>
      </c>
      <c r="D83" s="64" t="s">
        <v>328</v>
      </c>
      <c r="E83" s="65" t="s">
        <v>329</v>
      </c>
      <c r="F83" s="16" t="s">
        <v>340</v>
      </c>
      <c r="G83" s="17" t="s">
        <v>341</v>
      </c>
      <c r="H83" s="16" t="s">
        <v>47</v>
      </c>
      <c r="I83" s="16" t="s">
        <v>102</v>
      </c>
      <c r="J83" s="18" t="s">
        <v>344</v>
      </c>
      <c r="K83" s="18"/>
      <c r="L83" s="141"/>
      <c r="M83" s="132" t="s">
        <v>59</v>
      </c>
      <c r="N83" s="154" t="s">
        <v>344</v>
      </c>
      <c r="O83" s="21"/>
      <c r="P83" s="19"/>
      <c r="Q83" s="135" t="s">
        <v>345</v>
      </c>
      <c r="R83" s="132">
        <v>1</v>
      </c>
      <c r="S83" s="132">
        <v>1</v>
      </c>
      <c r="T83" s="144"/>
      <c r="U83" s="144"/>
    </row>
    <row r="84" spans="1:21" ht="45" customHeight="1">
      <c r="A84" s="55" t="s">
        <v>287</v>
      </c>
      <c r="B84" s="56">
        <v>4</v>
      </c>
      <c r="C84" s="57" t="s">
        <v>288</v>
      </c>
      <c r="D84" s="58" t="s">
        <v>328</v>
      </c>
      <c r="E84" s="59" t="s">
        <v>329</v>
      </c>
      <c r="F84" s="16" t="s">
        <v>340</v>
      </c>
      <c r="G84" s="17" t="s">
        <v>341</v>
      </c>
      <c r="H84" s="60" t="s">
        <v>47</v>
      </c>
      <c r="I84" s="60" t="s">
        <v>102</v>
      </c>
      <c r="J84" s="138" t="s">
        <v>346</v>
      </c>
      <c r="K84" s="138"/>
      <c r="L84" s="139"/>
      <c r="M84" s="140" t="s">
        <v>59</v>
      </c>
      <c r="N84" s="158" t="s">
        <v>347</v>
      </c>
      <c r="O84" s="146"/>
      <c r="P84" s="147"/>
      <c r="Q84" s="138" t="s">
        <v>348</v>
      </c>
      <c r="R84" s="140">
        <v>1</v>
      </c>
      <c r="S84" s="140">
        <v>2</v>
      </c>
      <c r="T84" s="144"/>
      <c r="U84" s="144"/>
    </row>
    <row r="85" spans="1:21" ht="29">
      <c r="A85" s="55" t="s">
        <v>287</v>
      </c>
      <c r="B85" s="56">
        <v>4</v>
      </c>
      <c r="C85" s="57" t="s">
        <v>288</v>
      </c>
      <c r="D85" s="58" t="s">
        <v>328</v>
      </c>
      <c r="E85" s="59" t="s">
        <v>329</v>
      </c>
      <c r="F85" s="16" t="s">
        <v>340</v>
      </c>
      <c r="G85" s="17" t="s">
        <v>341</v>
      </c>
      <c r="H85" s="60" t="s">
        <v>47</v>
      </c>
      <c r="I85" s="60" t="s">
        <v>102</v>
      </c>
      <c r="J85" s="138" t="s">
        <v>346</v>
      </c>
      <c r="K85" s="138"/>
      <c r="L85" s="22" t="s">
        <v>49</v>
      </c>
      <c r="M85" s="140" t="s">
        <v>59</v>
      </c>
      <c r="N85" s="158" t="s">
        <v>349</v>
      </c>
      <c r="O85" s="146"/>
      <c r="P85" s="147"/>
      <c r="Q85" s="138" t="s">
        <v>348</v>
      </c>
      <c r="R85" s="140">
        <v>1</v>
      </c>
      <c r="S85" s="140">
        <v>1</v>
      </c>
      <c r="T85" s="164"/>
      <c r="U85" s="164"/>
    </row>
    <row r="86" spans="1:21" ht="29">
      <c r="A86" s="50" t="s">
        <v>287</v>
      </c>
      <c r="B86" s="62">
        <v>4</v>
      </c>
      <c r="C86" s="63" t="s">
        <v>288</v>
      </c>
      <c r="D86" s="64" t="s">
        <v>328</v>
      </c>
      <c r="E86" s="65" t="s">
        <v>329</v>
      </c>
      <c r="F86" s="16" t="s">
        <v>350</v>
      </c>
      <c r="G86" s="17" t="s">
        <v>351</v>
      </c>
      <c r="H86" s="16" t="s">
        <v>47</v>
      </c>
      <c r="I86" s="16" t="s">
        <v>72</v>
      </c>
      <c r="J86" s="18" t="str">
        <f>G86</f>
        <v>Identificar i conservar la diversitat domesticada de varietats agrícoles i ramaderes locals</v>
      </c>
      <c r="K86" s="18"/>
      <c r="L86" s="141"/>
      <c r="M86" s="132" t="s">
        <v>59</v>
      </c>
      <c r="N86" s="154" t="s">
        <v>352</v>
      </c>
      <c r="O86" s="21" t="s">
        <v>74</v>
      </c>
      <c r="P86" s="19"/>
      <c r="Q86" s="135" t="s">
        <v>353</v>
      </c>
      <c r="R86" s="132">
        <v>1</v>
      </c>
      <c r="S86" s="132">
        <v>4</v>
      </c>
      <c r="T86" s="164"/>
      <c r="U86" s="164"/>
    </row>
    <row r="87" spans="1:21" ht="43.5">
      <c r="A87" s="55" t="s">
        <v>287</v>
      </c>
      <c r="B87" s="56">
        <v>4</v>
      </c>
      <c r="C87" s="57" t="s">
        <v>288</v>
      </c>
      <c r="D87" s="58" t="s">
        <v>354</v>
      </c>
      <c r="E87" s="59" t="s">
        <v>355</v>
      </c>
      <c r="F87" s="60" t="s">
        <v>356</v>
      </c>
      <c r="G87" s="61" t="s">
        <v>357</v>
      </c>
      <c r="H87" s="60" t="s">
        <v>47</v>
      </c>
      <c r="I87" s="60" t="s">
        <v>48</v>
      </c>
      <c r="J87" s="138" t="s">
        <v>357</v>
      </c>
      <c r="K87" s="138"/>
      <c r="L87" s="139"/>
      <c r="M87" s="140" t="s">
        <v>59</v>
      </c>
      <c r="N87" s="158" t="s">
        <v>357</v>
      </c>
      <c r="O87" s="146"/>
      <c r="P87" s="147"/>
      <c r="Q87" s="138" t="s">
        <v>358</v>
      </c>
      <c r="R87" s="140">
        <v>4</v>
      </c>
      <c r="S87" s="140">
        <v>12</v>
      </c>
      <c r="T87" s="144"/>
      <c r="U87" s="144"/>
    </row>
    <row r="88" spans="1:21" ht="75" customHeight="1">
      <c r="A88" s="55" t="s">
        <v>287</v>
      </c>
      <c r="B88" s="56">
        <v>4</v>
      </c>
      <c r="C88" s="57" t="s">
        <v>288</v>
      </c>
      <c r="D88" s="58" t="s">
        <v>354</v>
      </c>
      <c r="E88" s="59" t="s">
        <v>355</v>
      </c>
      <c r="F88" s="60" t="s">
        <v>359</v>
      </c>
      <c r="G88" s="61" t="s">
        <v>360</v>
      </c>
      <c r="H88" s="60" t="s">
        <v>47</v>
      </c>
      <c r="I88" s="60" t="s">
        <v>48</v>
      </c>
      <c r="J88" s="138" t="s">
        <v>360</v>
      </c>
      <c r="K88" s="138"/>
      <c r="L88" s="139"/>
      <c r="M88" s="140" t="s">
        <v>59</v>
      </c>
      <c r="N88" s="158" t="s">
        <v>361</v>
      </c>
      <c r="O88" s="146"/>
      <c r="P88" s="147"/>
      <c r="Q88" s="138" t="s">
        <v>362</v>
      </c>
      <c r="R88" s="140" t="s">
        <v>296</v>
      </c>
      <c r="S88" s="140" t="s">
        <v>297</v>
      </c>
      <c r="T88" s="164"/>
      <c r="U88" s="164"/>
    </row>
    <row r="89" spans="1:21" ht="45" customHeight="1">
      <c r="A89" s="55" t="s">
        <v>287</v>
      </c>
      <c r="B89" s="56">
        <v>4</v>
      </c>
      <c r="C89" s="57" t="s">
        <v>288</v>
      </c>
      <c r="D89" s="58" t="s">
        <v>354</v>
      </c>
      <c r="E89" s="59" t="s">
        <v>355</v>
      </c>
      <c r="F89" s="60" t="s">
        <v>363</v>
      </c>
      <c r="G89" s="61" t="s">
        <v>364</v>
      </c>
      <c r="H89" s="60" t="s">
        <v>47</v>
      </c>
      <c r="I89" s="60" t="s">
        <v>48</v>
      </c>
      <c r="J89" s="138" t="s">
        <v>364</v>
      </c>
      <c r="K89" s="138"/>
      <c r="L89" s="139"/>
      <c r="M89" s="140" t="s">
        <v>59</v>
      </c>
      <c r="N89" s="158" t="s">
        <v>365</v>
      </c>
      <c r="O89" s="146"/>
      <c r="P89" s="147"/>
      <c r="Q89" s="138" t="s">
        <v>366</v>
      </c>
      <c r="R89" s="140">
        <v>1</v>
      </c>
      <c r="S89" s="140">
        <v>2</v>
      </c>
      <c r="T89" s="164"/>
      <c r="U89" s="164"/>
    </row>
    <row r="90" spans="1:21" ht="29">
      <c r="A90" s="50" t="s">
        <v>287</v>
      </c>
      <c r="B90" s="62">
        <v>5</v>
      </c>
      <c r="C90" s="63" t="s">
        <v>367</v>
      </c>
      <c r="D90" s="68" t="s">
        <v>368</v>
      </c>
      <c r="E90" s="65" t="s">
        <v>369</v>
      </c>
      <c r="F90" s="16" t="s">
        <v>370</v>
      </c>
      <c r="G90" s="17" t="s">
        <v>371</v>
      </c>
      <c r="H90" s="16" t="s">
        <v>47</v>
      </c>
      <c r="I90" s="16" t="s">
        <v>204</v>
      </c>
      <c r="J90" s="18" t="str">
        <f t="shared" ref="J90:J95" si="2">G90</f>
        <v xml:space="preserve">Elaborar un inventari d'elements d'interès paisatgístic de l'ENP d'acord amb el Catàleg de paisatge de la zona </v>
      </c>
      <c r="K90" s="18"/>
      <c r="L90" s="22" t="s">
        <v>49</v>
      </c>
      <c r="M90" s="132" t="s">
        <v>59</v>
      </c>
      <c r="N90" s="157" t="s">
        <v>372</v>
      </c>
      <c r="O90" s="21"/>
      <c r="P90" s="19"/>
      <c r="Q90" s="135" t="s">
        <v>373</v>
      </c>
      <c r="R90" s="132">
        <v>1</v>
      </c>
      <c r="S90" s="132">
        <v>1</v>
      </c>
      <c r="T90" s="164"/>
      <c r="U90" s="164"/>
    </row>
    <row r="91" spans="1:21" ht="45" customHeight="1">
      <c r="A91" s="50" t="s">
        <v>287</v>
      </c>
      <c r="B91" s="62">
        <v>5</v>
      </c>
      <c r="C91" s="63" t="s">
        <v>367</v>
      </c>
      <c r="D91" s="68" t="s">
        <v>374</v>
      </c>
      <c r="E91" s="65" t="s">
        <v>375</v>
      </c>
      <c r="F91" s="16" t="s">
        <v>376</v>
      </c>
      <c r="G91" s="17" t="s">
        <v>377</v>
      </c>
      <c r="H91" s="16" t="s">
        <v>47</v>
      </c>
      <c r="I91" s="16" t="s">
        <v>204</v>
      </c>
      <c r="J91" s="18" t="str">
        <f t="shared" si="2"/>
        <v>Desplegar actuacions de restauració dels elements d'interès paisatgístic degradats</v>
      </c>
      <c r="K91" s="18"/>
      <c r="L91" s="22" t="s">
        <v>49</v>
      </c>
      <c r="M91" s="132" t="s">
        <v>132</v>
      </c>
      <c r="N91" s="156" t="s">
        <v>378</v>
      </c>
      <c r="O91" s="21"/>
      <c r="P91" s="19"/>
      <c r="Q91" s="170" t="s">
        <v>379</v>
      </c>
      <c r="R91" s="132">
        <v>1</v>
      </c>
      <c r="S91" s="132">
        <v>6</v>
      </c>
      <c r="T91" s="144"/>
      <c r="U91" s="144"/>
    </row>
    <row r="92" spans="1:21" ht="43.5">
      <c r="A92" s="50" t="s">
        <v>287</v>
      </c>
      <c r="B92" s="62">
        <v>5</v>
      </c>
      <c r="C92" s="63" t="s">
        <v>367</v>
      </c>
      <c r="D92" s="68" t="s">
        <v>374</v>
      </c>
      <c r="E92" s="65" t="s">
        <v>375</v>
      </c>
      <c r="F92" s="16" t="s">
        <v>380</v>
      </c>
      <c r="G92" s="17" t="s">
        <v>381</v>
      </c>
      <c r="H92" s="16"/>
      <c r="I92" s="16"/>
      <c r="J92" s="18" t="str">
        <f t="shared" si="2"/>
        <v>Gestionar l'abandonament d'infraestructures i instal·lacions amb impactes sobre els valors de l'espai</v>
      </c>
      <c r="K92" s="18"/>
      <c r="L92" s="22" t="s">
        <v>49</v>
      </c>
      <c r="M92" s="132" t="s">
        <v>50</v>
      </c>
      <c r="N92" s="157" t="s">
        <v>382</v>
      </c>
      <c r="O92" s="21"/>
      <c r="P92" s="19"/>
      <c r="Q92" s="135" t="s">
        <v>383</v>
      </c>
      <c r="R92" s="132">
        <v>1</v>
      </c>
      <c r="S92" s="132">
        <v>1</v>
      </c>
      <c r="T92" s="144"/>
      <c r="U92" s="144"/>
    </row>
    <row r="93" spans="1:21" ht="43.5">
      <c r="A93" s="50" t="s">
        <v>287</v>
      </c>
      <c r="B93" s="62">
        <v>5</v>
      </c>
      <c r="C93" s="63" t="s">
        <v>367</v>
      </c>
      <c r="D93" s="68" t="s">
        <v>374</v>
      </c>
      <c r="E93" s="65" t="s">
        <v>375</v>
      </c>
      <c r="F93" s="16" t="s">
        <v>380</v>
      </c>
      <c r="G93" s="17" t="s">
        <v>381</v>
      </c>
      <c r="H93" s="16"/>
      <c r="I93" s="16"/>
      <c r="J93" s="18" t="str">
        <f t="shared" si="2"/>
        <v>Gestionar l'abandonament d'infraestructures i instal·lacions amb impactes sobre els valors de l'espai</v>
      </c>
      <c r="K93" s="18"/>
      <c r="L93" s="22" t="s">
        <v>49</v>
      </c>
      <c r="M93" s="132" t="s">
        <v>50</v>
      </c>
      <c r="N93" s="157" t="s">
        <v>384</v>
      </c>
      <c r="O93" s="21"/>
      <c r="P93" s="19"/>
      <c r="Q93" s="135" t="s">
        <v>385</v>
      </c>
      <c r="R93" s="132">
        <v>6</v>
      </c>
      <c r="S93" s="132">
        <v>12</v>
      </c>
      <c r="T93" s="144"/>
      <c r="U93" s="144"/>
    </row>
    <row r="94" spans="1:21" ht="90" customHeight="1">
      <c r="A94" s="50" t="s">
        <v>287</v>
      </c>
      <c r="B94" s="62">
        <v>5</v>
      </c>
      <c r="C94" s="63" t="s">
        <v>367</v>
      </c>
      <c r="D94" s="68" t="s">
        <v>374</v>
      </c>
      <c r="E94" s="65" t="s">
        <v>375</v>
      </c>
      <c r="F94" s="16" t="s">
        <v>380</v>
      </c>
      <c r="G94" s="17" t="s">
        <v>381</v>
      </c>
      <c r="H94" s="16"/>
      <c r="I94" s="16"/>
      <c r="J94" s="18" t="str">
        <f t="shared" si="2"/>
        <v>Gestionar l'abandonament d'infraestructures i instal·lacions amb impactes sobre els valors de l'espai</v>
      </c>
      <c r="K94" s="18"/>
      <c r="L94" s="22" t="s">
        <v>49</v>
      </c>
      <c r="M94" s="132" t="s">
        <v>50</v>
      </c>
      <c r="N94" s="157" t="s">
        <v>386</v>
      </c>
      <c r="O94" s="21"/>
      <c r="P94" s="19"/>
      <c r="Q94" s="135" t="s">
        <v>387</v>
      </c>
      <c r="R94" s="132">
        <v>1</v>
      </c>
      <c r="S94" s="132">
        <v>10</v>
      </c>
      <c r="T94" s="144"/>
      <c r="U94" s="144"/>
    </row>
    <row r="95" spans="1:21" ht="90" customHeight="1">
      <c r="A95" s="50" t="s">
        <v>287</v>
      </c>
      <c r="B95" s="62">
        <v>5</v>
      </c>
      <c r="C95" s="63" t="s">
        <v>367</v>
      </c>
      <c r="D95" s="68" t="s">
        <v>374</v>
      </c>
      <c r="E95" s="65" t="s">
        <v>375</v>
      </c>
      <c r="F95" s="16" t="s">
        <v>388</v>
      </c>
      <c r="G95" s="17" t="s">
        <v>389</v>
      </c>
      <c r="H95" s="16" t="s">
        <v>47</v>
      </c>
      <c r="I95" s="16" t="s">
        <v>72</v>
      </c>
      <c r="J95" s="18" t="str">
        <f t="shared" si="2"/>
        <v>Minimitzar la brutícia, deixalles, vandalisme i males praxis dins l'ENP</v>
      </c>
      <c r="K95" s="18"/>
      <c r="L95" s="22" t="s">
        <v>49</v>
      </c>
      <c r="M95" s="132" t="s">
        <v>50</v>
      </c>
      <c r="N95" s="157" t="s">
        <v>390</v>
      </c>
      <c r="O95" s="21"/>
      <c r="P95" s="19"/>
      <c r="Q95" s="135" t="s">
        <v>391</v>
      </c>
      <c r="R95" s="132">
        <v>1000</v>
      </c>
      <c r="S95" s="132">
        <v>2000</v>
      </c>
      <c r="T95" s="144"/>
      <c r="U95" s="144"/>
    </row>
    <row r="96" spans="1:21" ht="75" customHeight="1">
      <c r="A96" s="50" t="s">
        <v>287</v>
      </c>
      <c r="B96" s="62">
        <v>5</v>
      </c>
      <c r="C96" s="63" t="s">
        <v>367</v>
      </c>
      <c r="D96" s="66" t="s">
        <v>374</v>
      </c>
      <c r="E96" s="59" t="s">
        <v>375</v>
      </c>
      <c r="F96" s="60" t="s">
        <v>388</v>
      </c>
      <c r="G96" s="61" t="s">
        <v>389</v>
      </c>
      <c r="H96" s="60" t="s">
        <v>47</v>
      </c>
      <c r="I96" s="60" t="s">
        <v>72</v>
      </c>
      <c r="J96" s="138" t="s">
        <v>389</v>
      </c>
      <c r="K96" s="138"/>
      <c r="L96" s="22" t="s">
        <v>49</v>
      </c>
      <c r="M96" s="140" t="s">
        <v>128</v>
      </c>
      <c r="N96" s="158" t="s">
        <v>392</v>
      </c>
      <c r="O96" s="146"/>
      <c r="P96" s="147"/>
      <c r="Q96" s="138" t="s">
        <v>393</v>
      </c>
      <c r="R96" s="140">
        <v>2</v>
      </c>
      <c r="S96" s="140">
        <v>4</v>
      </c>
      <c r="T96" s="144"/>
      <c r="U96" s="144"/>
    </row>
    <row r="97" spans="1:21" ht="29">
      <c r="A97" s="50" t="s">
        <v>287</v>
      </c>
      <c r="B97" s="56">
        <v>5</v>
      </c>
      <c r="C97" s="57" t="s">
        <v>367</v>
      </c>
      <c r="D97" s="66" t="s">
        <v>374</v>
      </c>
      <c r="E97" s="59" t="s">
        <v>375</v>
      </c>
      <c r="F97" s="60" t="s">
        <v>388</v>
      </c>
      <c r="G97" s="61" t="s">
        <v>389</v>
      </c>
      <c r="H97" s="60" t="s">
        <v>47</v>
      </c>
      <c r="I97" s="60" t="s">
        <v>72</v>
      </c>
      <c r="J97" s="138" t="s">
        <v>389</v>
      </c>
      <c r="K97" s="138"/>
      <c r="L97" s="139"/>
      <c r="M97" s="140" t="s">
        <v>128</v>
      </c>
      <c r="N97" s="158" t="s">
        <v>394</v>
      </c>
      <c r="O97" s="146"/>
      <c r="P97" s="147"/>
      <c r="Q97" s="138" t="s">
        <v>393</v>
      </c>
      <c r="R97" s="140">
        <v>2</v>
      </c>
      <c r="S97" s="140">
        <v>4</v>
      </c>
      <c r="T97" s="164"/>
      <c r="U97" s="164"/>
    </row>
    <row r="98" spans="1:21" ht="29">
      <c r="A98" s="50" t="s">
        <v>287</v>
      </c>
      <c r="B98" s="62">
        <v>5</v>
      </c>
      <c r="C98" s="63" t="s">
        <v>367</v>
      </c>
      <c r="D98" s="68" t="s">
        <v>395</v>
      </c>
      <c r="E98" s="65" t="s">
        <v>396</v>
      </c>
      <c r="F98" s="16" t="s">
        <v>397</v>
      </c>
      <c r="G98" s="17" t="s">
        <v>398</v>
      </c>
      <c r="H98" s="16" t="s">
        <v>101</v>
      </c>
      <c r="I98" s="16" t="s">
        <v>204</v>
      </c>
      <c r="J98" s="18" t="str">
        <f>G98</f>
        <v>Promoure la certificació de qualitat del cel nocturn</v>
      </c>
      <c r="K98" s="18"/>
      <c r="L98" s="22" t="s">
        <v>49</v>
      </c>
      <c r="M98" s="132" t="s">
        <v>50</v>
      </c>
      <c r="N98" s="157" t="s">
        <v>399</v>
      </c>
      <c r="O98" s="21" t="s">
        <v>74</v>
      </c>
      <c r="P98" s="19"/>
      <c r="Q98" s="135" t="s">
        <v>400</v>
      </c>
      <c r="R98" s="132">
        <v>1</v>
      </c>
      <c r="S98" s="132">
        <v>2</v>
      </c>
      <c r="T98" s="164"/>
      <c r="U98" s="164"/>
    </row>
    <row r="99" spans="1:21" ht="45" customHeight="1">
      <c r="A99" s="50" t="s">
        <v>287</v>
      </c>
      <c r="B99" s="56">
        <v>5</v>
      </c>
      <c r="C99" s="57" t="s">
        <v>367</v>
      </c>
      <c r="D99" s="66" t="s">
        <v>395</v>
      </c>
      <c r="E99" s="59" t="s">
        <v>396</v>
      </c>
      <c r="F99" s="60" t="s">
        <v>397</v>
      </c>
      <c r="G99" s="61" t="s">
        <v>398</v>
      </c>
      <c r="H99" s="60" t="s">
        <v>101</v>
      </c>
      <c r="I99" s="60" t="s">
        <v>204</v>
      </c>
      <c r="J99" s="138" t="s">
        <v>398</v>
      </c>
      <c r="K99" s="138"/>
      <c r="L99" s="139"/>
      <c r="M99" s="140" t="s">
        <v>59</v>
      </c>
      <c r="N99" s="158" t="s">
        <v>401</v>
      </c>
      <c r="O99" s="146"/>
      <c r="P99" s="147"/>
      <c r="Q99" s="138" t="s">
        <v>402</v>
      </c>
      <c r="R99" s="171">
        <v>0.5</v>
      </c>
      <c r="S99" s="171">
        <v>1</v>
      </c>
      <c r="T99" s="144"/>
      <c r="U99" s="144"/>
    </row>
    <row r="100" spans="1:21" ht="45" customHeight="1">
      <c r="A100" s="50" t="s">
        <v>287</v>
      </c>
      <c r="B100" s="56">
        <v>5</v>
      </c>
      <c r="C100" s="57" t="s">
        <v>367</v>
      </c>
      <c r="D100" s="66" t="s">
        <v>395</v>
      </c>
      <c r="E100" s="59" t="s">
        <v>396</v>
      </c>
      <c r="F100" s="60" t="s">
        <v>397</v>
      </c>
      <c r="G100" s="61" t="s">
        <v>398</v>
      </c>
      <c r="H100" s="60" t="s">
        <v>101</v>
      </c>
      <c r="I100" s="60" t="s">
        <v>204</v>
      </c>
      <c r="J100" s="138" t="s">
        <v>398</v>
      </c>
      <c r="K100" s="138"/>
      <c r="L100" s="22" t="s">
        <v>49</v>
      </c>
      <c r="M100" s="140" t="s">
        <v>59</v>
      </c>
      <c r="N100" s="158" t="s">
        <v>403</v>
      </c>
      <c r="O100" s="146" t="s">
        <v>74</v>
      </c>
      <c r="P100" s="147"/>
      <c r="Q100" s="138" t="s">
        <v>404</v>
      </c>
      <c r="R100" s="140">
        <v>2</v>
      </c>
      <c r="S100" s="140">
        <v>4</v>
      </c>
      <c r="T100" s="166"/>
      <c r="U100" s="166"/>
    </row>
    <row r="101" spans="1:21" ht="150" customHeight="1">
      <c r="A101" s="50" t="s">
        <v>287</v>
      </c>
      <c r="B101" s="62">
        <v>5</v>
      </c>
      <c r="C101" s="63" t="s">
        <v>367</v>
      </c>
      <c r="D101" s="68" t="s">
        <v>395</v>
      </c>
      <c r="E101" s="65" t="s">
        <v>396</v>
      </c>
      <c r="F101" s="60" t="s">
        <v>397</v>
      </c>
      <c r="G101" s="17" t="s">
        <v>398</v>
      </c>
      <c r="H101" s="16" t="s">
        <v>101</v>
      </c>
      <c r="I101" s="16" t="s">
        <v>204</v>
      </c>
      <c r="J101" s="18" t="str">
        <f>G101</f>
        <v>Promoure la certificació de qualitat del cel nocturn</v>
      </c>
      <c r="K101" s="18"/>
      <c r="L101" s="22" t="s">
        <v>49</v>
      </c>
      <c r="M101" s="132" t="s">
        <v>50</v>
      </c>
      <c r="N101" s="159" t="s">
        <v>405</v>
      </c>
      <c r="O101" s="21" t="s">
        <v>74</v>
      </c>
      <c r="P101" s="19"/>
      <c r="Q101" s="135" t="s">
        <v>406</v>
      </c>
      <c r="R101" s="132">
        <v>3</v>
      </c>
      <c r="S101" s="132">
        <v>6</v>
      </c>
      <c r="T101" s="164"/>
      <c r="U101" s="164"/>
    </row>
    <row r="102" spans="1:21" ht="60" customHeight="1">
      <c r="A102" s="50" t="s">
        <v>287</v>
      </c>
      <c r="B102" s="56">
        <v>5</v>
      </c>
      <c r="C102" s="57" t="s">
        <v>367</v>
      </c>
      <c r="D102" s="66" t="s">
        <v>395</v>
      </c>
      <c r="E102" s="59" t="s">
        <v>396</v>
      </c>
      <c r="F102" s="60" t="s">
        <v>407</v>
      </c>
      <c r="G102" s="61" t="s">
        <v>408</v>
      </c>
      <c r="H102" s="60" t="s">
        <v>101</v>
      </c>
      <c r="I102" s="60" t="s">
        <v>204</v>
      </c>
      <c r="J102" s="138" t="s">
        <v>408</v>
      </c>
      <c r="K102" s="138"/>
      <c r="L102" s="22" t="s">
        <v>49</v>
      </c>
      <c r="M102" s="140" t="s">
        <v>59</v>
      </c>
      <c r="N102" s="158" t="s">
        <v>409</v>
      </c>
      <c r="O102" s="146" t="s">
        <v>74</v>
      </c>
      <c r="P102" s="147"/>
      <c r="Q102" s="138" t="s">
        <v>410</v>
      </c>
      <c r="R102" s="140" t="s">
        <v>296</v>
      </c>
      <c r="S102" s="140" t="s">
        <v>297</v>
      </c>
      <c r="T102" s="144"/>
      <c r="U102" s="144"/>
    </row>
    <row r="103" spans="1:21" ht="29">
      <c r="A103" s="50" t="s">
        <v>287</v>
      </c>
      <c r="B103" s="62">
        <v>5</v>
      </c>
      <c r="C103" s="63" t="s">
        <v>367</v>
      </c>
      <c r="D103" s="66" t="s">
        <v>395</v>
      </c>
      <c r="E103" s="59" t="s">
        <v>396</v>
      </c>
      <c r="F103" s="60" t="s">
        <v>407</v>
      </c>
      <c r="G103" s="61" t="s">
        <v>408</v>
      </c>
      <c r="H103" s="60" t="s">
        <v>101</v>
      </c>
      <c r="I103" s="60" t="s">
        <v>204</v>
      </c>
      <c r="J103" s="138" t="s">
        <v>408</v>
      </c>
      <c r="K103" s="138"/>
      <c r="L103" s="22" t="s">
        <v>49</v>
      </c>
      <c r="M103" s="140" t="s">
        <v>59</v>
      </c>
      <c r="N103" s="158" t="s">
        <v>411</v>
      </c>
      <c r="O103" s="146" t="s">
        <v>74</v>
      </c>
      <c r="P103" s="147"/>
      <c r="Q103" s="138" t="s">
        <v>412</v>
      </c>
      <c r="R103" s="140" t="s">
        <v>296</v>
      </c>
      <c r="S103" s="140" t="s">
        <v>297</v>
      </c>
      <c r="T103" s="164"/>
      <c r="U103" s="164"/>
    </row>
    <row r="104" spans="1:21" ht="29">
      <c r="A104" s="50" t="s">
        <v>287</v>
      </c>
      <c r="B104" s="62">
        <v>5</v>
      </c>
      <c r="C104" s="63" t="s">
        <v>367</v>
      </c>
      <c r="D104" s="68" t="s">
        <v>395</v>
      </c>
      <c r="E104" s="65" t="s">
        <v>396</v>
      </c>
      <c r="F104" s="60" t="s">
        <v>407</v>
      </c>
      <c r="G104" s="61" t="s">
        <v>408</v>
      </c>
      <c r="H104" s="16" t="s">
        <v>101</v>
      </c>
      <c r="I104" s="16" t="s">
        <v>204</v>
      </c>
      <c r="J104" s="136" t="str">
        <f t="shared" ref="J104:J112" si="3">G104</f>
        <v>Promoure la certificació de zones d'especial protecció de la qualitat acústica</v>
      </c>
      <c r="K104" s="18"/>
      <c r="L104" s="22" t="s">
        <v>49</v>
      </c>
      <c r="M104" s="132" t="s">
        <v>50</v>
      </c>
      <c r="N104" s="157" t="s">
        <v>413</v>
      </c>
      <c r="O104" s="21" t="s">
        <v>74</v>
      </c>
      <c r="P104" s="19"/>
      <c r="Q104" s="135" t="s">
        <v>414</v>
      </c>
      <c r="R104" s="132">
        <v>1</v>
      </c>
      <c r="S104" s="132">
        <v>1</v>
      </c>
      <c r="T104" s="164"/>
      <c r="U104" s="164"/>
    </row>
    <row r="105" spans="1:21" ht="29">
      <c r="A105" s="50" t="s">
        <v>287</v>
      </c>
      <c r="B105" s="62">
        <v>5</v>
      </c>
      <c r="C105" s="63" t="s">
        <v>367</v>
      </c>
      <c r="D105" s="68" t="s">
        <v>395</v>
      </c>
      <c r="E105" s="65" t="s">
        <v>396</v>
      </c>
      <c r="F105" s="60" t="s">
        <v>407</v>
      </c>
      <c r="G105" s="61" t="s">
        <v>408</v>
      </c>
      <c r="H105" s="16" t="s">
        <v>101</v>
      </c>
      <c r="I105" s="16" t="s">
        <v>204</v>
      </c>
      <c r="J105" s="136" t="str">
        <f t="shared" si="3"/>
        <v>Promoure la certificació de zones d'especial protecció de la qualitat acústica</v>
      </c>
      <c r="K105" s="18"/>
      <c r="L105" s="22" t="s">
        <v>49</v>
      </c>
      <c r="M105" s="132" t="s">
        <v>50</v>
      </c>
      <c r="N105" s="157" t="s">
        <v>415</v>
      </c>
      <c r="O105" s="21" t="s">
        <v>74</v>
      </c>
      <c r="P105" s="19"/>
      <c r="Q105" s="135" t="s">
        <v>416</v>
      </c>
      <c r="R105" s="132">
        <v>3</v>
      </c>
      <c r="S105" s="132">
        <v>6</v>
      </c>
      <c r="T105" s="144"/>
      <c r="U105" s="144"/>
    </row>
    <row r="106" spans="1:21" ht="60" customHeight="1">
      <c r="A106" s="69" t="s">
        <v>417</v>
      </c>
      <c r="B106" s="70">
        <v>6</v>
      </c>
      <c r="C106" s="71" t="s">
        <v>418</v>
      </c>
      <c r="D106" s="72" t="s">
        <v>419</v>
      </c>
      <c r="E106" s="73" t="s">
        <v>420</v>
      </c>
      <c r="F106" s="16" t="s">
        <v>421</v>
      </c>
      <c r="G106" s="23" t="s">
        <v>422</v>
      </c>
      <c r="H106" s="16" t="s">
        <v>47</v>
      </c>
      <c r="I106" s="16" t="s">
        <v>72</v>
      </c>
      <c r="J106" s="18" t="str">
        <f t="shared" si="3"/>
        <v>Identificar i prioritzar els elements clau i d'interès per la gestió de la biodiversitat i geodiversitat de Catalunya es troben dins l'ENP (especies amenaçades, espècies exòtiques invasores,.. )</v>
      </c>
      <c r="K106" s="18"/>
      <c r="L106" s="22" t="s">
        <v>49</v>
      </c>
      <c r="M106" s="132" t="s">
        <v>50</v>
      </c>
      <c r="N106" s="154" t="s">
        <v>423</v>
      </c>
      <c r="O106" s="21" t="s">
        <v>424</v>
      </c>
      <c r="P106" s="19" t="s">
        <v>425</v>
      </c>
      <c r="Q106" s="135" t="s">
        <v>426</v>
      </c>
      <c r="R106" s="132">
        <v>2</v>
      </c>
      <c r="S106" s="132">
        <v>8</v>
      </c>
      <c r="T106" s="144"/>
      <c r="U106" s="144"/>
    </row>
    <row r="107" spans="1:21" ht="60" customHeight="1">
      <c r="A107" s="69" t="s">
        <v>417</v>
      </c>
      <c r="B107" s="70">
        <v>6</v>
      </c>
      <c r="C107" s="71" t="s">
        <v>418</v>
      </c>
      <c r="D107" s="72" t="s">
        <v>419</v>
      </c>
      <c r="E107" s="73" t="s">
        <v>420</v>
      </c>
      <c r="F107" s="16" t="s">
        <v>421</v>
      </c>
      <c r="G107" s="23" t="s">
        <v>422</v>
      </c>
      <c r="H107" s="16" t="s">
        <v>47</v>
      </c>
      <c r="I107" s="16" t="s">
        <v>72</v>
      </c>
      <c r="J107" s="18" t="str">
        <f t="shared" si="3"/>
        <v>Identificar i prioritzar els elements clau i d'interès per la gestió de la biodiversitat i geodiversitat de Catalunya es troben dins l'ENP (especies amenaçades, espècies exòtiques invasores,.. )</v>
      </c>
      <c r="K107" s="18"/>
      <c r="L107" s="22" t="s">
        <v>49</v>
      </c>
      <c r="M107" s="132" t="s">
        <v>50</v>
      </c>
      <c r="N107" s="154" t="s">
        <v>427</v>
      </c>
      <c r="O107" s="21" t="s">
        <v>424</v>
      </c>
      <c r="P107" s="19" t="s">
        <v>425</v>
      </c>
      <c r="Q107" s="135" t="s">
        <v>428</v>
      </c>
      <c r="R107" s="132">
        <v>2</v>
      </c>
      <c r="S107" s="132">
        <v>4</v>
      </c>
      <c r="T107" s="144"/>
      <c r="U107" s="144"/>
    </row>
    <row r="108" spans="1:21" ht="60" customHeight="1">
      <c r="A108" s="69" t="s">
        <v>417</v>
      </c>
      <c r="B108" s="70">
        <v>6</v>
      </c>
      <c r="C108" s="71" t="s">
        <v>418</v>
      </c>
      <c r="D108" s="72" t="s">
        <v>419</v>
      </c>
      <c r="E108" s="73" t="s">
        <v>420</v>
      </c>
      <c r="F108" s="16" t="s">
        <v>421</v>
      </c>
      <c r="G108" s="23" t="s">
        <v>422</v>
      </c>
      <c r="H108" s="16" t="s">
        <v>47</v>
      </c>
      <c r="I108" s="16" t="s">
        <v>72</v>
      </c>
      <c r="J108" s="18" t="str">
        <f t="shared" si="3"/>
        <v>Identificar i prioritzar els elements clau i d'interès per la gestió de la biodiversitat i geodiversitat de Catalunya es troben dins l'ENP (especies amenaçades, espècies exòtiques invasores,.. )</v>
      </c>
      <c r="K108" s="18"/>
      <c r="L108" s="22" t="s">
        <v>49</v>
      </c>
      <c r="M108" s="132" t="s">
        <v>50</v>
      </c>
      <c r="N108" s="154" t="s">
        <v>429</v>
      </c>
      <c r="O108" s="21" t="s">
        <v>424</v>
      </c>
      <c r="P108" s="19" t="s">
        <v>425</v>
      </c>
      <c r="Q108" s="135" t="s">
        <v>430</v>
      </c>
      <c r="R108" s="132">
        <v>1</v>
      </c>
      <c r="S108" s="132">
        <v>4</v>
      </c>
      <c r="T108" s="144"/>
      <c r="U108" s="144"/>
    </row>
    <row r="109" spans="1:21" ht="60" customHeight="1">
      <c r="A109" s="69" t="s">
        <v>417</v>
      </c>
      <c r="B109" s="70">
        <v>6</v>
      </c>
      <c r="C109" s="71" t="s">
        <v>418</v>
      </c>
      <c r="D109" s="72" t="s">
        <v>419</v>
      </c>
      <c r="E109" s="73" t="s">
        <v>420</v>
      </c>
      <c r="F109" s="16" t="s">
        <v>421</v>
      </c>
      <c r="G109" s="23" t="s">
        <v>422</v>
      </c>
      <c r="H109" s="16" t="s">
        <v>47</v>
      </c>
      <c r="I109" s="16" t="s">
        <v>72</v>
      </c>
      <c r="J109" s="18" t="str">
        <f t="shared" si="3"/>
        <v>Identificar i prioritzar els elements clau i d'interès per la gestió de la biodiversitat i geodiversitat de Catalunya es troben dins l'ENP (especies amenaçades, espècies exòtiques invasores,.. )</v>
      </c>
      <c r="K109" s="18"/>
      <c r="L109" s="22" t="s">
        <v>49</v>
      </c>
      <c r="M109" s="132" t="s">
        <v>59</v>
      </c>
      <c r="N109" s="160" t="s">
        <v>431</v>
      </c>
      <c r="O109" s="21" t="s">
        <v>424</v>
      </c>
      <c r="P109" s="19" t="s">
        <v>425</v>
      </c>
      <c r="Q109" s="135" t="s">
        <v>432</v>
      </c>
      <c r="R109" s="132">
        <v>1</v>
      </c>
      <c r="S109" s="132">
        <v>1</v>
      </c>
      <c r="T109" s="144"/>
      <c r="U109" s="144"/>
    </row>
    <row r="110" spans="1:21" ht="29">
      <c r="A110" s="69" t="s">
        <v>417</v>
      </c>
      <c r="B110" s="70">
        <v>6</v>
      </c>
      <c r="C110" s="71" t="s">
        <v>418</v>
      </c>
      <c r="D110" s="72" t="s">
        <v>419</v>
      </c>
      <c r="E110" s="73" t="s">
        <v>420</v>
      </c>
      <c r="F110" s="16" t="s">
        <v>433</v>
      </c>
      <c r="G110" s="17" t="s">
        <v>434</v>
      </c>
      <c r="H110" s="16" t="s">
        <v>47</v>
      </c>
      <c r="I110" s="16" t="s">
        <v>72</v>
      </c>
      <c r="J110" s="18" t="str">
        <f t="shared" si="3"/>
        <v>Definir espais fràgils i zones d'especial atenció</v>
      </c>
      <c r="K110" s="18"/>
      <c r="L110" s="22" t="s">
        <v>49</v>
      </c>
      <c r="M110" s="132" t="s">
        <v>50</v>
      </c>
      <c r="N110" s="154" t="s">
        <v>435</v>
      </c>
      <c r="O110" s="21"/>
      <c r="P110" s="19" t="s">
        <v>436</v>
      </c>
      <c r="Q110" s="135" t="s">
        <v>437</v>
      </c>
      <c r="R110" s="132">
        <v>1</v>
      </c>
      <c r="S110" s="132">
        <v>1</v>
      </c>
      <c r="T110" s="144"/>
      <c r="U110" s="144"/>
    </row>
    <row r="111" spans="1:21" ht="45" customHeight="1">
      <c r="A111" s="69" t="s">
        <v>417</v>
      </c>
      <c r="B111" s="70">
        <v>6</v>
      </c>
      <c r="C111" s="71" t="s">
        <v>418</v>
      </c>
      <c r="D111" s="72" t="s">
        <v>419</v>
      </c>
      <c r="E111" s="73" t="s">
        <v>420</v>
      </c>
      <c r="F111" s="16" t="s">
        <v>433</v>
      </c>
      <c r="G111" s="17" t="s">
        <v>434</v>
      </c>
      <c r="H111" s="16" t="s">
        <v>47</v>
      </c>
      <c r="I111" s="16" t="s">
        <v>72</v>
      </c>
      <c r="J111" s="18" t="str">
        <f t="shared" si="3"/>
        <v>Definir espais fràgils i zones d'especial atenció</v>
      </c>
      <c r="K111" s="18"/>
      <c r="L111" s="22" t="s">
        <v>49</v>
      </c>
      <c r="M111" s="132" t="s">
        <v>50</v>
      </c>
      <c r="N111" s="154" t="s">
        <v>438</v>
      </c>
      <c r="O111" s="21"/>
      <c r="P111" s="19" t="s">
        <v>436</v>
      </c>
      <c r="Q111" s="135" t="s">
        <v>439</v>
      </c>
      <c r="R111" s="132">
        <v>1</v>
      </c>
      <c r="S111" s="132">
        <v>4</v>
      </c>
      <c r="T111" s="144"/>
      <c r="U111" s="144"/>
    </row>
    <row r="112" spans="1:21" ht="120" customHeight="1">
      <c r="A112" s="69" t="s">
        <v>417</v>
      </c>
      <c r="B112" s="70">
        <v>6</v>
      </c>
      <c r="C112" s="71" t="s">
        <v>418</v>
      </c>
      <c r="D112" s="72" t="s">
        <v>419</v>
      </c>
      <c r="E112" s="73" t="s">
        <v>420</v>
      </c>
      <c r="F112" s="16" t="s">
        <v>433</v>
      </c>
      <c r="G112" s="17" t="s">
        <v>434</v>
      </c>
      <c r="H112" s="16" t="s">
        <v>47</v>
      </c>
      <c r="I112" s="16" t="s">
        <v>72</v>
      </c>
      <c r="J112" s="18" t="str">
        <f t="shared" si="3"/>
        <v>Definir espais fràgils i zones d'especial atenció</v>
      </c>
      <c r="K112" s="18"/>
      <c r="L112" s="22" t="s">
        <v>49</v>
      </c>
      <c r="M112" s="132" t="s">
        <v>128</v>
      </c>
      <c r="N112" s="154" t="s">
        <v>440</v>
      </c>
      <c r="O112" s="21"/>
      <c r="P112" s="19" t="s">
        <v>436</v>
      </c>
      <c r="Q112" s="135" t="s">
        <v>441</v>
      </c>
      <c r="R112" s="132">
        <v>1</v>
      </c>
      <c r="S112" s="132">
        <v>4</v>
      </c>
      <c r="T112" s="144"/>
      <c r="U112" s="144"/>
    </row>
    <row r="113" spans="1:21" ht="45" customHeight="1">
      <c r="A113" s="74" t="s">
        <v>417</v>
      </c>
      <c r="B113" s="75">
        <v>6</v>
      </c>
      <c r="C113" s="76" t="s">
        <v>418</v>
      </c>
      <c r="D113" s="77" t="s">
        <v>419</v>
      </c>
      <c r="E113" s="78" t="s">
        <v>420</v>
      </c>
      <c r="F113" s="60" t="s">
        <v>433</v>
      </c>
      <c r="G113" s="61" t="s">
        <v>434</v>
      </c>
      <c r="H113" s="60" t="s">
        <v>47</v>
      </c>
      <c r="I113" s="60" t="s">
        <v>72</v>
      </c>
      <c r="J113" s="138" t="s">
        <v>434</v>
      </c>
      <c r="K113" s="138"/>
      <c r="L113" s="140" t="s">
        <v>49</v>
      </c>
      <c r="M113" s="140" t="s">
        <v>50</v>
      </c>
      <c r="N113" s="158" t="s">
        <v>442</v>
      </c>
      <c r="O113" s="146"/>
      <c r="P113" s="147" t="s">
        <v>436</v>
      </c>
      <c r="Q113" s="138" t="s">
        <v>443</v>
      </c>
      <c r="R113" s="140" t="s">
        <v>296</v>
      </c>
      <c r="S113" s="140" t="s">
        <v>297</v>
      </c>
      <c r="T113" s="144"/>
      <c r="U113" s="144"/>
    </row>
    <row r="114" spans="1:21" ht="45" customHeight="1">
      <c r="A114" s="69" t="s">
        <v>417</v>
      </c>
      <c r="B114" s="70">
        <v>6</v>
      </c>
      <c r="C114" s="71" t="s">
        <v>418</v>
      </c>
      <c r="D114" s="72" t="s">
        <v>444</v>
      </c>
      <c r="E114" s="73" t="s">
        <v>445</v>
      </c>
      <c r="F114" s="16" t="s">
        <v>446</v>
      </c>
      <c r="G114" s="17" t="s">
        <v>447</v>
      </c>
      <c r="H114" s="16" t="s">
        <v>47</v>
      </c>
      <c r="I114" s="16" t="s">
        <v>72</v>
      </c>
      <c r="J114" s="18" t="str">
        <f>G114</f>
        <v>Participar en l'elaboració de la cartografia que elabora la UIC</v>
      </c>
      <c r="K114" s="18"/>
      <c r="L114" s="22" t="s">
        <v>49</v>
      </c>
      <c r="M114" s="132" t="s">
        <v>50</v>
      </c>
      <c r="N114" s="154" t="s">
        <v>448</v>
      </c>
      <c r="O114" s="21" t="s">
        <v>74</v>
      </c>
      <c r="P114" s="19" t="s">
        <v>449</v>
      </c>
      <c r="Q114" s="135" t="s">
        <v>450</v>
      </c>
      <c r="R114" s="132">
        <v>1</v>
      </c>
      <c r="S114" s="132">
        <v>2</v>
      </c>
      <c r="T114" s="164"/>
      <c r="U114" s="164"/>
    </row>
    <row r="115" spans="1:21" ht="43.5">
      <c r="A115" s="69" t="s">
        <v>417</v>
      </c>
      <c r="B115" s="70">
        <v>6</v>
      </c>
      <c r="C115" s="71" t="s">
        <v>418</v>
      </c>
      <c r="D115" s="72" t="s">
        <v>444</v>
      </c>
      <c r="E115" s="73" t="s">
        <v>445</v>
      </c>
      <c r="F115" s="16" t="s">
        <v>451</v>
      </c>
      <c r="G115" s="17" t="s">
        <v>452</v>
      </c>
      <c r="H115" s="16" t="s">
        <v>47</v>
      </c>
      <c r="I115" s="16" t="s">
        <v>72</v>
      </c>
      <c r="J115" s="18" t="str">
        <f>G115</f>
        <v>Conèixer i estudiar els processos naturals propis de l’espai, la seva funcionalitat, i ecologia en referència als ecosistemes</v>
      </c>
      <c r="K115" s="18"/>
      <c r="L115" s="22" t="s">
        <v>49</v>
      </c>
      <c r="M115" s="132" t="s">
        <v>50</v>
      </c>
      <c r="N115" s="154" t="s">
        <v>453</v>
      </c>
      <c r="O115" s="21"/>
      <c r="P115" s="19"/>
      <c r="Q115" s="135" t="s">
        <v>454</v>
      </c>
      <c r="R115" s="132">
        <v>80</v>
      </c>
      <c r="S115" s="132">
        <v>100</v>
      </c>
      <c r="T115" s="144"/>
      <c r="U115" s="144"/>
    </row>
    <row r="116" spans="1:21" ht="58">
      <c r="A116" s="69" t="s">
        <v>417</v>
      </c>
      <c r="B116" s="70">
        <v>6</v>
      </c>
      <c r="C116" s="71" t="s">
        <v>418</v>
      </c>
      <c r="D116" s="72" t="s">
        <v>444</v>
      </c>
      <c r="E116" s="73" t="s">
        <v>445</v>
      </c>
      <c r="F116" s="16" t="s">
        <v>451</v>
      </c>
      <c r="G116" s="17" t="s">
        <v>452</v>
      </c>
      <c r="H116" s="16" t="s">
        <v>47</v>
      </c>
      <c r="I116" s="16" t="s">
        <v>72</v>
      </c>
      <c r="J116" s="18" t="str">
        <f>G116</f>
        <v>Conèixer i estudiar els processos naturals propis de l’espai, la seva funcionalitat, i ecologia en referència als ecosistemes</v>
      </c>
      <c r="K116" s="18"/>
      <c r="L116" s="22" t="s">
        <v>49</v>
      </c>
      <c r="M116" s="132" t="s">
        <v>128</v>
      </c>
      <c r="N116" s="154" t="s">
        <v>455</v>
      </c>
      <c r="O116" s="21"/>
      <c r="P116" s="19"/>
      <c r="Q116" s="135" t="s">
        <v>456</v>
      </c>
      <c r="R116" s="132">
        <v>1</v>
      </c>
      <c r="S116" s="132">
        <v>4</v>
      </c>
      <c r="T116" s="144"/>
      <c r="U116" s="144"/>
    </row>
    <row r="117" spans="1:21" ht="45" customHeight="1">
      <c r="A117" s="69" t="s">
        <v>417</v>
      </c>
      <c r="B117" s="70">
        <v>6</v>
      </c>
      <c r="C117" s="71" t="s">
        <v>418</v>
      </c>
      <c r="D117" s="77" t="s">
        <v>444</v>
      </c>
      <c r="E117" s="78" t="s">
        <v>445</v>
      </c>
      <c r="F117" s="60" t="s">
        <v>451</v>
      </c>
      <c r="G117" s="61" t="s">
        <v>452</v>
      </c>
      <c r="H117" s="60" t="s">
        <v>47</v>
      </c>
      <c r="I117" s="60" t="s">
        <v>72</v>
      </c>
      <c r="J117" s="138" t="s">
        <v>452</v>
      </c>
      <c r="K117" s="138"/>
      <c r="L117" s="22" t="s">
        <v>49</v>
      </c>
      <c r="M117" s="140" t="s">
        <v>59</v>
      </c>
      <c r="N117" s="158" t="s">
        <v>457</v>
      </c>
      <c r="O117" s="146"/>
      <c r="P117" s="147"/>
      <c r="Q117" s="138" t="s">
        <v>458</v>
      </c>
      <c r="R117" s="140">
        <v>4</v>
      </c>
      <c r="S117" s="140">
        <v>16</v>
      </c>
      <c r="T117" s="144"/>
      <c r="U117" s="144"/>
    </row>
    <row r="118" spans="1:21" ht="45" customHeight="1">
      <c r="A118" s="69" t="s">
        <v>417</v>
      </c>
      <c r="B118" s="70">
        <v>6</v>
      </c>
      <c r="C118" s="71" t="s">
        <v>418</v>
      </c>
      <c r="D118" s="72" t="s">
        <v>444</v>
      </c>
      <c r="E118" s="73" t="s">
        <v>445</v>
      </c>
      <c r="F118" s="16" t="s">
        <v>459</v>
      </c>
      <c r="G118" s="17" t="s">
        <v>460</v>
      </c>
      <c r="H118" s="16" t="s">
        <v>47</v>
      </c>
      <c r="I118" s="16" t="s">
        <v>72</v>
      </c>
      <c r="J118" s="18" t="str">
        <f>G118</f>
        <v>Conèixer els usos i factors de canvi rellevants en l'evolució dels elements de conservació, i avaluar els efectes que generen en l’espai (pressions i amenaces)</v>
      </c>
      <c r="K118" s="18"/>
      <c r="L118" s="22" t="s">
        <v>49</v>
      </c>
      <c r="M118" s="132" t="s">
        <v>128</v>
      </c>
      <c r="N118" s="154" t="s">
        <v>461</v>
      </c>
      <c r="O118" s="21" t="s">
        <v>74</v>
      </c>
      <c r="P118" s="19" t="s">
        <v>462</v>
      </c>
      <c r="Q118" s="172" t="s">
        <v>463</v>
      </c>
      <c r="R118" s="132">
        <v>2</v>
      </c>
      <c r="S118" s="132">
        <v>4</v>
      </c>
      <c r="T118" s="164"/>
      <c r="U118" s="164"/>
    </row>
    <row r="119" spans="1:21" ht="75" customHeight="1">
      <c r="A119" s="69" t="s">
        <v>417</v>
      </c>
      <c r="B119" s="70">
        <v>6</v>
      </c>
      <c r="C119" s="71" t="s">
        <v>418</v>
      </c>
      <c r="D119" s="72" t="s">
        <v>444</v>
      </c>
      <c r="E119" s="73" t="s">
        <v>445</v>
      </c>
      <c r="F119" s="16" t="s">
        <v>459</v>
      </c>
      <c r="G119" s="17" t="s">
        <v>460</v>
      </c>
      <c r="H119" s="16" t="s">
        <v>47</v>
      </c>
      <c r="I119" s="16" t="s">
        <v>72</v>
      </c>
      <c r="J119" s="18" t="str">
        <f>G119</f>
        <v>Conèixer els usos i factors de canvi rellevants en l'evolució dels elements de conservació, i avaluar els efectes que generen en l’espai (pressions i amenaces)</v>
      </c>
      <c r="K119" s="18"/>
      <c r="L119" s="22" t="s">
        <v>49</v>
      </c>
      <c r="M119" s="132" t="s">
        <v>128</v>
      </c>
      <c r="N119" s="154" t="s">
        <v>464</v>
      </c>
      <c r="O119" s="21" t="s">
        <v>74</v>
      </c>
      <c r="P119" s="19" t="s">
        <v>462</v>
      </c>
      <c r="Q119" s="172" t="s">
        <v>465</v>
      </c>
      <c r="R119" s="132">
        <v>1</v>
      </c>
      <c r="S119" s="132">
        <v>4</v>
      </c>
      <c r="T119" s="144"/>
      <c r="U119" s="144"/>
    </row>
    <row r="120" spans="1:21" ht="43.5">
      <c r="A120" s="69" t="s">
        <v>417</v>
      </c>
      <c r="B120" s="70">
        <v>6</v>
      </c>
      <c r="C120" s="71" t="s">
        <v>418</v>
      </c>
      <c r="D120" s="72" t="s">
        <v>444</v>
      </c>
      <c r="E120" s="73" t="s">
        <v>445</v>
      </c>
      <c r="F120" s="16" t="s">
        <v>459</v>
      </c>
      <c r="G120" s="17" t="s">
        <v>460</v>
      </c>
      <c r="H120" s="16" t="s">
        <v>47</v>
      </c>
      <c r="I120" s="16" t="s">
        <v>72</v>
      </c>
      <c r="J120" s="18" t="str">
        <f>G120</f>
        <v>Conèixer els usos i factors de canvi rellevants en l'evolució dels elements de conservació, i avaluar els efectes que generen en l’espai (pressions i amenaces)</v>
      </c>
      <c r="K120" s="18"/>
      <c r="L120" s="22" t="s">
        <v>49</v>
      </c>
      <c r="M120" s="132" t="s">
        <v>128</v>
      </c>
      <c r="N120" s="154" t="s">
        <v>466</v>
      </c>
      <c r="O120" s="21" t="s">
        <v>74</v>
      </c>
      <c r="P120" s="19" t="s">
        <v>462</v>
      </c>
      <c r="Q120" s="135" t="s">
        <v>467</v>
      </c>
      <c r="R120" s="132">
        <v>1</v>
      </c>
      <c r="S120" s="132">
        <v>3</v>
      </c>
      <c r="T120" s="144"/>
      <c r="U120" s="144"/>
    </row>
    <row r="121" spans="1:21" ht="43.5">
      <c r="A121" s="69" t="s">
        <v>417</v>
      </c>
      <c r="B121" s="70">
        <v>6</v>
      </c>
      <c r="C121" s="71" t="s">
        <v>418</v>
      </c>
      <c r="D121" s="72" t="s">
        <v>444</v>
      </c>
      <c r="E121" s="73" t="s">
        <v>445</v>
      </c>
      <c r="F121" s="16" t="s">
        <v>459</v>
      </c>
      <c r="G121" s="17" t="s">
        <v>460</v>
      </c>
      <c r="H121" s="16" t="s">
        <v>47</v>
      </c>
      <c r="I121" s="16" t="s">
        <v>72</v>
      </c>
      <c r="J121" s="18" t="str">
        <f>G121</f>
        <v>Conèixer els usos i factors de canvi rellevants en l'evolució dels elements de conservació, i avaluar els efectes que generen en l’espai (pressions i amenaces)</v>
      </c>
      <c r="K121" s="18"/>
      <c r="L121" s="22" t="s">
        <v>49</v>
      </c>
      <c r="M121" s="132" t="s">
        <v>50</v>
      </c>
      <c r="N121" s="154" t="s">
        <v>468</v>
      </c>
      <c r="O121" s="21" t="s">
        <v>74</v>
      </c>
      <c r="P121" s="19" t="s">
        <v>462</v>
      </c>
      <c r="Q121" s="135" t="s">
        <v>469</v>
      </c>
      <c r="R121" s="132">
        <v>4</v>
      </c>
      <c r="S121" s="132">
        <v>12</v>
      </c>
      <c r="T121" s="144"/>
      <c r="U121" s="144"/>
    </row>
    <row r="122" spans="1:21" ht="43.5">
      <c r="A122" s="74" t="s">
        <v>417</v>
      </c>
      <c r="B122" s="75">
        <v>6</v>
      </c>
      <c r="C122" s="76" t="s">
        <v>418</v>
      </c>
      <c r="D122" s="77" t="s">
        <v>444</v>
      </c>
      <c r="E122" s="78" t="s">
        <v>445</v>
      </c>
      <c r="F122" s="60" t="s">
        <v>459</v>
      </c>
      <c r="G122" s="61" t="s">
        <v>460</v>
      </c>
      <c r="H122" s="60" t="s">
        <v>47</v>
      </c>
      <c r="I122" s="60" t="s">
        <v>72</v>
      </c>
      <c r="J122" s="138" t="s">
        <v>460</v>
      </c>
      <c r="K122" s="138"/>
      <c r="L122" s="22" t="s">
        <v>49</v>
      </c>
      <c r="M122" s="140" t="s">
        <v>128</v>
      </c>
      <c r="N122" s="158" t="s">
        <v>470</v>
      </c>
      <c r="O122" s="146" t="s">
        <v>74</v>
      </c>
      <c r="P122" s="147" t="s">
        <v>462</v>
      </c>
      <c r="Q122" s="138" t="s">
        <v>471</v>
      </c>
      <c r="R122" s="140">
        <v>4</v>
      </c>
      <c r="S122" s="140">
        <v>16</v>
      </c>
      <c r="T122" s="144"/>
      <c r="U122" s="144"/>
    </row>
    <row r="123" spans="1:21" ht="43.5">
      <c r="A123" s="69" t="s">
        <v>417</v>
      </c>
      <c r="B123" s="70">
        <v>6</v>
      </c>
      <c r="C123" s="71" t="s">
        <v>418</v>
      </c>
      <c r="D123" s="72" t="s">
        <v>444</v>
      </c>
      <c r="E123" s="73" t="s">
        <v>445</v>
      </c>
      <c r="F123" s="16" t="s">
        <v>472</v>
      </c>
      <c r="G123" s="17" t="s">
        <v>473</v>
      </c>
      <c r="H123" s="16" t="s">
        <v>47</v>
      </c>
      <c r="I123" s="16" t="s">
        <v>204</v>
      </c>
      <c r="J123" s="18" t="str">
        <f t="shared" ref="J123:J152" si="4">G123</f>
        <v>Conèixer l'impacte de les gestió de l'aigua, sobre la biodiversitat.</v>
      </c>
      <c r="K123" s="18"/>
      <c r="L123" s="22" t="s">
        <v>49</v>
      </c>
      <c r="M123" s="132" t="s">
        <v>128</v>
      </c>
      <c r="N123" s="154" t="s">
        <v>474</v>
      </c>
      <c r="O123" s="21"/>
      <c r="P123" s="19"/>
      <c r="Q123" s="135" t="s">
        <v>475</v>
      </c>
      <c r="R123" s="132">
        <v>1</v>
      </c>
      <c r="S123" s="132">
        <v>1</v>
      </c>
      <c r="T123" s="164"/>
      <c r="U123" s="164"/>
    </row>
    <row r="124" spans="1:21" ht="45" customHeight="1">
      <c r="A124" s="69" t="s">
        <v>417</v>
      </c>
      <c r="B124" s="70">
        <v>6</v>
      </c>
      <c r="C124" s="71" t="s">
        <v>418</v>
      </c>
      <c r="D124" s="72" t="s">
        <v>444</v>
      </c>
      <c r="E124" s="73" t="s">
        <v>445</v>
      </c>
      <c r="F124" s="16" t="s">
        <v>472</v>
      </c>
      <c r="G124" s="17" t="s">
        <v>473</v>
      </c>
      <c r="H124" s="16" t="s">
        <v>47</v>
      </c>
      <c r="I124" s="16" t="s">
        <v>204</v>
      </c>
      <c r="J124" s="18" t="str">
        <f t="shared" si="4"/>
        <v>Conèixer l'impacte de les gestió de l'aigua, sobre la biodiversitat.</v>
      </c>
      <c r="K124" s="18"/>
      <c r="L124" s="22" t="s">
        <v>49</v>
      </c>
      <c r="M124" s="132" t="s">
        <v>50</v>
      </c>
      <c r="N124" s="154" t="s">
        <v>476</v>
      </c>
      <c r="O124" s="21"/>
      <c r="P124" s="19"/>
      <c r="Q124" s="135" t="s">
        <v>477</v>
      </c>
      <c r="R124" s="132">
        <v>4</v>
      </c>
      <c r="S124" s="132">
        <v>8</v>
      </c>
      <c r="T124" s="144"/>
      <c r="U124" s="144"/>
    </row>
    <row r="125" spans="1:21" ht="60" customHeight="1">
      <c r="A125" s="69" t="s">
        <v>417</v>
      </c>
      <c r="B125" s="70">
        <v>6</v>
      </c>
      <c r="C125" s="71" t="s">
        <v>418</v>
      </c>
      <c r="D125" s="72" t="s">
        <v>444</v>
      </c>
      <c r="E125" s="73" t="s">
        <v>445</v>
      </c>
      <c r="F125" s="16" t="s">
        <v>478</v>
      </c>
      <c r="G125" s="17" t="s">
        <v>479</v>
      </c>
      <c r="H125" s="16" t="s">
        <v>47</v>
      </c>
      <c r="I125" s="16" t="s">
        <v>204</v>
      </c>
      <c r="J125" s="18" t="str">
        <f t="shared" si="4"/>
        <v>Participar en el coneixement de la tendència d'espècies plaga amb afectacions sobre ecosistemes o activitats econòmiques dins l'ENP</v>
      </c>
      <c r="K125" s="18"/>
      <c r="L125" s="22" t="s">
        <v>49</v>
      </c>
      <c r="M125" s="132" t="s">
        <v>50</v>
      </c>
      <c r="N125" s="154" t="s">
        <v>480</v>
      </c>
      <c r="O125" s="21"/>
      <c r="P125" s="19"/>
      <c r="Q125" s="170" t="s">
        <v>481</v>
      </c>
      <c r="R125" s="132">
        <v>2</v>
      </c>
      <c r="S125" s="132">
        <v>4</v>
      </c>
      <c r="T125" s="144"/>
      <c r="U125" s="144"/>
    </row>
    <row r="126" spans="1:21" ht="45" customHeight="1">
      <c r="A126" s="69" t="s">
        <v>417</v>
      </c>
      <c r="B126" s="70">
        <v>6</v>
      </c>
      <c r="C126" s="71" t="s">
        <v>418</v>
      </c>
      <c r="D126" s="72" t="s">
        <v>444</v>
      </c>
      <c r="E126" s="73" t="s">
        <v>445</v>
      </c>
      <c r="F126" s="16" t="s">
        <v>478</v>
      </c>
      <c r="G126" s="17" t="s">
        <v>479</v>
      </c>
      <c r="H126" s="16" t="s">
        <v>47</v>
      </c>
      <c r="I126" s="16" t="s">
        <v>204</v>
      </c>
      <c r="J126" s="18" t="str">
        <f t="shared" si="4"/>
        <v>Participar en el coneixement de la tendència d'espècies plaga amb afectacions sobre ecosistemes o activitats econòmiques dins l'ENP</v>
      </c>
      <c r="K126" s="18"/>
      <c r="L126" s="22" t="s">
        <v>49</v>
      </c>
      <c r="M126" s="132" t="s">
        <v>128</v>
      </c>
      <c r="N126" s="156" t="s">
        <v>482</v>
      </c>
      <c r="O126" s="21"/>
      <c r="P126" s="19"/>
      <c r="Q126" s="170" t="s">
        <v>483</v>
      </c>
      <c r="R126" s="132">
        <v>1</v>
      </c>
      <c r="S126" s="132">
        <v>4</v>
      </c>
      <c r="T126" s="144"/>
      <c r="U126" s="144"/>
    </row>
    <row r="127" spans="1:21" ht="60" customHeight="1">
      <c r="A127" s="69" t="s">
        <v>417</v>
      </c>
      <c r="B127" s="70">
        <v>6</v>
      </c>
      <c r="C127" s="71" t="s">
        <v>418</v>
      </c>
      <c r="D127" s="72" t="s">
        <v>444</v>
      </c>
      <c r="E127" s="73" t="s">
        <v>445</v>
      </c>
      <c r="F127" s="16" t="s">
        <v>484</v>
      </c>
      <c r="G127" s="17" t="s">
        <v>485</v>
      </c>
      <c r="H127" s="16" t="s">
        <v>47</v>
      </c>
      <c r="I127" s="16" t="s">
        <v>72</v>
      </c>
      <c r="J127" s="18" t="str">
        <f t="shared" si="4"/>
        <v>Conèixer la tendència d'espècies exòtiques invasores amb afectacions sobre ecosistemes o activitats econòmiques dins l'ENP</v>
      </c>
      <c r="K127" s="18"/>
      <c r="L127" s="22" t="s">
        <v>49</v>
      </c>
      <c r="M127" s="132" t="s">
        <v>50</v>
      </c>
      <c r="N127" s="154" t="s">
        <v>486</v>
      </c>
      <c r="O127" s="21" t="s">
        <v>74</v>
      </c>
      <c r="P127" s="19"/>
      <c r="Q127" s="135" t="s">
        <v>487</v>
      </c>
      <c r="R127" s="132">
        <v>1</v>
      </c>
      <c r="S127" s="132">
        <v>2</v>
      </c>
      <c r="T127" s="144"/>
      <c r="U127" s="144"/>
    </row>
    <row r="128" spans="1:21" ht="75" customHeight="1">
      <c r="A128" s="69" t="s">
        <v>417</v>
      </c>
      <c r="B128" s="70">
        <v>6</v>
      </c>
      <c r="C128" s="71" t="s">
        <v>418</v>
      </c>
      <c r="D128" s="72" t="s">
        <v>444</v>
      </c>
      <c r="E128" s="73" t="s">
        <v>445</v>
      </c>
      <c r="F128" s="16" t="s">
        <v>488</v>
      </c>
      <c r="G128" s="17" t="s">
        <v>489</v>
      </c>
      <c r="H128" s="16" t="s">
        <v>47</v>
      </c>
      <c r="I128" s="16" t="s">
        <v>204</v>
      </c>
      <c r="J128" s="18" t="str">
        <f t="shared" si="4"/>
        <v>Coneixer com millorar la connectivitat de forma coordinada amb altres ENP</v>
      </c>
      <c r="K128" s="18"/>
      <c r="L128" s="22" t="s">
        <v>49</v>
      </c>
      <c r="M128" s="132" t="s">
        <v>128</v>
      </c>
      <c r="N128" s="154" t="s">
        <v>490</v>
      </c>
      <c r="O128" s="21" t="s">
        <v>74</v>
      </c>
      <c r="P128" s="19"/>
      <c r="Q128" s="135" t="s">
        <v>491</v>
      </c>
      <c r="R128" s="132">
        <v>1</v>
      </c>
      <c r="S128" s="132">
        <v>1</v>
      </c>
      <c r="T128" s="144"/>
      <c r="U128" s="144"/>
    </row>
    <row r="129" spans="1:21" ht="45" customHeight="1">
      <c r="A129" s="69" t="s">
        <v>417</v>
      </c>
      <c r="B129" s="70">
        <v>6</v>
      </c>
      <c r="C129" s="71" t="s">
        <v>418</v>
      </c>
      <c r="D129" s="72" t="s">
        <v>492</v>
      </c>
      <c r="E129" s="73" t="s">
        <v>493</v>
      </c>
      <c r="F129" s="16" t="s">
        <v>494</v>
      </c>
      <c r="G129" s="17" t="s">
        <v>495</v>
      </c>
      <c r="H129" s="16" t="s">
        <v>47</v>
      </c>
      <c r="I129" s="16" t="s">
        <v>72</v>
      </c>
      <c r="J129" s="18" t="str">
        <f t="shared" si="4"/>
        <v>Participar en la definició del sistema estàndard de seguiment de flora, fauna i hàbitats de la DG</v>
      </c>
      <c r="K129" s="18"/>
      <c r="L129" s="22" t="s">
        <v>49</v>
      </c>
      <c r="M129" s="132" t="s">
        <v>128</v>
      </c>
      <c r="N129" s="154" t="s">
        <v>496</v>
      </c>
      <c r="O129" s="21" t="s">
        <v>74</v>
      </c>
      <c r="P129" s="19" t="s">
        <v>497</v>
      </c>
      <c r="Q129" s="135" t="s">
        <v>498</v>
      </c>
      <c r="R129" s="132">
        <v>4</v>
      </c>
      <c r="S129" s="132">
        <f>4*4</f>
        <v>16</v>
      </c>
      <c r="T129" s="144"/>
      <c r="U129" s="144"/>
    </row>
    <row r="130" spans="1:21" ht="30" customHeight="1">
      <c r="A130" s="69" t="s">
        <v>417</v>
      </c>
      <c r="B130" s="70">
        <v>6</v>
      </c>
      <c r="C130" s="71" t="s">
        <v>418</v>
      </c>
      <c r="D130" s="72" t="s">
        <v>492</v>
      </c>
      <c r="E130" s="73" t="s">
        <v>493</v>
      </c>
      <c r="F130" s="16" t="s">
        <v>499</v>
      </c>
      <c r="G130" s="17" t="s">
        <v>500</v>
      </c>
      <c r="H130" s="16" t="s">
        <v>47</v>
      </c>
      <c r="I130" s="16" t="s">
        <v>72</v>
      </c>
      <c r="J130" s="18" t="str">
        <f t="shared" si="4"/>
        <v>Adequar i executar el sistema de seguiment periòdic dels grups clau de l'ENP al sistema estàndard de seguiment</v>
      </c>
      <c r="K130" s="18"/>
      <c r="L130" s="22" t="s">
        <v>49</v>
      </c>
      <c r="M130" s="132" t="s">
        <v>128</v>
      </c>
      <c r="N130" s="154" t="s">
        <v>501</v>
      </c>
      <c r="O130" s="21" t="s">
        <v>74</v>
      </c>
      <c r="P130" s="19" t="s">
        <v>502</v>
      </c>
      <c r="Q130" s="135" t="s">
        <v>503</v>
      </c>
      <c r="R130" s="132">
        <v>1</v>
      </c>
      <c r="S130" s="132">
        <v>1</v>
      </c>
      <c r="T130" s="144"/>
      <c r="U130" s="144"/>
    </row>
    <row r="131" spans="1:21" ht="30" customHeight="1">
      <c r="A131" s="69" t="s">
        <v>417</v>
      </c>
      <c r="B131" s="70">
        <v>6</v>
      </c>
      <c r="C131" s="71" t="s">
        <v>418</v>
      </c>
      <c r="D131" s="72" t="s">
        <v>492</v>
      </c>
      <c r="E131" s="73" t="s">
        <v>493</v>
      </c>
      <c r="F131" s="16" t="s">
        <v>499</v>
      </c>
      <c r="G131" s="17" t="s">
        <v>500</v>
      </c>
      <c r="H131" s="16" t="s">
        <v>47</v>
      </c>
      <c r="I131" s="16" t="s">
        <v>72</v>
      </c>
      <c r="J131" s="18" t="str">
        <f t="shared" si="4"/>
        <v>Adequar i executar el sistema de seguiment periòdic dels grups clau de l'ENP al sistema estàndard de seguiment</v>
      </c>
      <c r="K131" s="18"/>
      <c r="L131" s="22" t="s">
        <v>49</v>
      </c>
      <c r="M131" s="132" t="s">
        <v>50</v>
      </c>
      <c r="N131" s="154" t="s">
        <v>504</v>
      </c>
      <c r="O131" s="21" t="s">
        <v>74</v>
      </c>
      <c r="P131" s="19" t="s">
        <v>502</v>
      </c>
      <c r="Q131" s="135" t="s">
        <v>505</v>
      </c>
      <c r="R131" s="132">
        <v>14</v>
      </c>
      <c r="S131" s="132">
        <v>18</v>
      </c>
      <c r="T131" s="144"/>
      <c r="U131" s="144"/>
    </row>
    <row r="132" spans="1:21" ht="45" customHeight="1">
      <c r="A132" s="69" t="s">
        <v>417</v>
      </c>
      <c r="B132" s="70">
        <v>6</v>
      </c>
      <c r="C132" s="71" t="s">
        <v>418</v>
      </c>
      <c r="D132" s="72" t="s">
        <v>492</v>
      </c>
      <c r="E132" s="73" t="s">
        <v>493</v>
      </c>
      <c r="F132" s="16" t="s">
        <v>499</v>
      </c>
      <c r="G132" s="17" t="s">
        <v>500</v>
      </c>
      <c r="H132" s="16" t="s">
        <v>47</v>
      </c>
      <c r="I132" s="16" t="s">
        <v>72</v>
      </c>
      <c r="J132" s="18" t="str">
        <f t="shared" si="4"/>
        <v>Adequar i executar el sistema de seguiment periòdic dels grups clau de l'ENP al sistema estàndard de seguiment</v>
      </c>
      <c r="K132" s="18"/>
      <c r="L132" s="22" t="s">
        <v>49</v>
      </c>
      <c r="M132" s="132" t="s">
        <v>50</v>
      </c>
      <c r="N132" s="154" t="s">
        <v>506</v>
      </c>
      <c r="O132" s="21" t="s">
        <v>74</v>
      </c>
      <c r="P132" s="19" t="s">
        <v>502</v>
      </c>
      <c r="Q132" s="135" t="s">
        <v>507</v>
      </c>
      <c r="R132" s="132">
        <v>6</v>
      </c>
      <c r="S132" s="132">
        <v>8</v>
      </c>
      <c r="T132" s="144"/>
      <c r="U132" s="144"/>
    </row>
    <row r="133" spans="1:21" ht="45" customHeight="1">
      <c r="A133" s="69" t="s">
        <v>417</v>
      </c>
      <c r="B133" s="79">
        <v>6</v>
      </c>
      <c r="C133" s="80" t="s">
        <v>418</v>
      </c>
      <c r="D133" s="81" t="s">
        <v>492</v>
      </c>
      <c r="E133" s="82" t="s">
        <v>493</v>
      </c>
      <c r="F133" s="21" t="s">
        <v>499</v>
      </c>
      <c r="G133" s="19" t="s">
        <v>500</v>
      </c>
      <c r="H133" s="21" t="s">
        <v>47</v>
      </c>
      <c r="I133" s="21" t="s">
        <v>72</v>
      </c>
      <c r="J133" s="135" t="str">
        <f t="shared" si="4"/>
        <v>Adequar i executar el sistema de seguiment periòdic dels grups clau de l'ENP al sistema estàndard de seguiment</v>
      </c>
      <c r="K133" s="135"/>
      <c r="L133" s="132" t="s">
        <v>49</v>
      </c>
      <c r="M133" s="132" t="s">
        <v>128</v>
      </c>
      <c r="N133" s="157" t="s">
        <v>508</v>
      </c>
      <c r="O133" s="21" t="s">
        <v>74</v>
      </c>
      <c r="P133" s="19" t="s">
        <v>502</v>
      </c>
      <c r="Q133" s="135" t="s">
        <v>509</v>
      </c>
      <c r="R133" s="132">
        <v>30</v>
      </c>
      <c r="S133" s="132">
        <v>120</v>
      </c>
      <c r="T133" s="144"/>
      <c r="U133" s="144"/>
    </row>
    <row r="134" spans="1:21" ht="45" customHeight="1">
      <c r="A134" s="69" t="s">
        <v>417</v>
      </c>
      <c r="B134" s="70">
        <v>6</v>
      </c>
      <c r="C134" s="71" t="s">
        <v>418</v>
      </c>
      <c r="D134" s="72" t="s">
        <v>492</v>
      </c>
      <c r="E134" s="73" t="s">
        <v>493</v>
      </c>
      <c r="F134" s="16" t="s">
        <v>499</v>
      </c>
      <c r="G134" s="17" t="s">
        <v>500</v>
      </c>
      <c r="H134" s="16" t="s">
        <v>47</v>
      </c>
      <c r="I134" s="16" t="s">
        <v>72</v>
      </c>
      <c r="J134" s="18" t="str">
        <f t="shared" si="4"/>
        <v>Adequar i executar el sistema de seguiment periòdic dels grups clau de l'ENP al sistema estàndard de seguiment</v>
      </c>
      <c r="K134" s="18"/>
      <c r="L134" s="22" t="s">
        <v>49</v>
      </c>
      <c r="M134" s="132" t="s">
        <v>59</v>
      </c>
      <c r="N134" s="154" t="s">
        <v>510</v>
      </c>
      <c r="O134" s="21" t="s">
        <v>74</v>
      </c>
      <c r="P134" s="19" t="s">
        <v>502</v>
      </c>
      <c r="Q134" s="135" t="s">
        <v>511</v>
      </c>
      <c r="R134" s="132">
        <v>1</v>
      </c>
      <c r="S134" s="132">
        <v>8</v>
      </c>
      <c r="T134" s="144"/>
      <c r="U134" s="144"/>
    </row>
    <row r="135" spans="1:21" ht="45" customHeight="1">
      <c r="A135" s="69" t="s">
        <v>417</v>
      </c>
      <c r="B135" s="79">
        <v>6</v>
      </c>
      <c r="C135" s="80" t="s">
        <v>418</v>
      </c>
      <c r="D135" s="81" t="s">
        <v>492</v>
      </c>
      <c r="E135" s="82" t="s">
        <v>493</v>
      </c>
      <c r="F135" s="21" t="s">
        <v>512</v>
      </c>
      <c r="G135" s="19" t="s">
        <v>513</v>
      </c>
      <c r="H135" s="21" t="s">
        <v>47</v>
      </c>
      <c r="I135" s="21" t="s">
        <v>72</v>
      </c>
      <c r="J135" s="135" t="str">
        <f t="shared" si="4"/>
        <v xml:space="preserve">Mantenir una base de dades de seguiment de patrimoni natural de l'ENP actualitzada i ordenada </v>
      </c>
      <c r="K135" s="135"/>
      <c r="L135" s="132" t="s">
        <v>49</v>
      </c>
      <c r="M135" s="132" t="s">
        <v>50</v>
      </c>
      <c r="N135" s="157" t="s">
        <v>514</v>
      </c>
      <c r="O135" s="21"/>
      <c r="P135" s="19"/>
      <c r="Q135" s="135" t="s">
        <v>515</v>
      </c>
      <c r="R135" s="132">
        <v>1</v>
      </c>
      <c r="S135" s="132">
        <v>1</v>
      </c>
      <c r="T135" s="144"/>
      <c r="U135" s="144"/>
    </row>
    <row r="136" spans="1:21" ht="75" customHeight="1">
      <c r="A136" s="69" t="s">
        <v>417</v>
      </c>
      <c r="B136" s="70">
        <v>6</v>
      </c>
      <c r="C136" s="71" t="s">
        <v>418</v>
      </c>
      <c r="D136" s="72" t="s">
        <v>492</v>
      </c>
      <c r="E136" s="73" t="s">
        <v>493</v>
      </c>
      <c r="F136" s="16" t="s">
        <v>516</v>
      </c>
      <c r="G136" s="17" t="s">
        <v>517</v>
      </c>
      <c r="H136" s="16" t="s">
        <v>47</v>
      </c>
      <c r="I136" s="16" t="s">
        <v>72</v>
      </c>
      <c r="J136" s="18" t="str">
        <f t="shared" si="4"/>
        <v>Participar en el grups de treball per a la definició i organització del SINATCAT</v>
      </c>
      <c r="K136" s="18"/>
      <c r="L136" s="22" t="s">
        <v>49</v>
      </c>
      <c r="M136" s="132" t="s">
        <v>128</v>
      </c>
      <c r="N136" s="154" t="s">
        <v>518</v>
      </c>
      <c r="O136" s="21"/>
      <c r="P136" s="19" t="s">
        <v>519</v>
      </c>
      <c r="Q136" s="135" t="s">
        <v>426</v>
      </c>
      <c r="R136" s="132">
        <v>4</v>
      </c>
      <c r="S136" s="132">
        <v>16</v>
      </c>
      <c r="T136" s="144"/>
      <c r="U136" s="144"/>
    </row>
    <row r="137" spans="1:21" ht="43.5">
      <c r="A137" s="69" t="s">
        <v>417</v>
      </c>
      <c r="B137" s="79">
        <v>6</v>
      </c>
      <c r="C137" s="80" t="s">
        <v>418</v>
      </c>
      <c r="D137" s="81" t="s">
        <v>520</v>
      </c>
      <c r="E137" s="82" t="s">
        <v>521</v>
      </c>
      <c r="F137" s="21" t="s">
        <v>522</v>
      </c>
      <c r="G137" s="19" t="s">
        <v>523</v>
      </c>
      <c r="H137" s="21" t="s">
        <v>47</v>
      </c>
      <c r="I137" s="21" t="s">
        <v>204</v>
      </c>
      <c r="J137" s="135" t="str">
        <f t="shared" si="4"/>
        <v>Crear sinèrgies i col·laborar amb museus i equipaments de referència per definir línies d'actuació conjunta entre patrimoni cultural i natural</v>
      </c>
      <c r="K137" s="135"/>
      <c r="L137" s="22" t="s">
        <v>49</v>
      </c>
      <c r="M137" s="132" t="s">
        <v>59</v>
      </c>
      <c r="N137" s="157" t="s">
        <v>524</v>
      </c>
      <c r="O137" s="21"/>
      <c r="P137" s="19" t="s">
        <v>525</v>
      </c>
      <c r="Q137" s="135" t="s">
        <v>526</v>
      </c>
      <c r="R137" s="132">
        <v>1</v>
      </c>
      <c r="S137" s="132">
        <v>4</v>
      </c>
      <c r="T137" s="144"/>
      <c r="U137" s="144"/>
    </row>
    <row r="138" spans="1:21" ht="60" customHeight="1">
      <c r="A138" s="69" t="s">
        <v>417</v>
      </c>
      <c r="B138" s="79">
        <v>6</v>
      </c>
      <c r="C138" s="80" t="s">
        <v>418</v>
      </c>
      <c r="D138" s="81" t="s">
        <v>520</v>
      </c>
      <c r="E138" s="82" t="s">
        <v>521</v>
      </c>
      <c r="F138" s="21" t="s">
        <v>527</v>
      </c>
      <c r="G138" s="19" t="s">
        <v>528</v>
      </c>
      <c r="H138" s="21" t="s">
        <v>47</v>
      </c>
      <c r="I138" s="21" t="s">
        <v>204</v>
      </c>
      <c r="J138" s="135" t="str">
        <f t="shared" si="4"/>
        <v>Establir acords amb les institucions de recerca i naturalistes per al desenvolupament d'estudis i inventaris dins l'ENP en el marc de les seves línies de recerca</v>
      </c>
      <c r="K138" s="135"/>
      <c r="L138" s="132" t="s">
        <v>49</v>
      </c>
      <c r="M138" s="132" t="s">
        <v>128</v>
      </c>
      <c r="N138" s="157" t="s">
        <v>529</v>
      </c>
      <c r="O138" s="21"/>
      <c r="P138" s="19" t="s">
        <v>530</v>
      </c>
      <c r="Q138" s="135" t="s">
        <v>531</v>
      </c>
      <c r="R138" s="132">
        <v>2</v>
      </c>
      <c r="S138" s="132">
        <v>6</v>
      </c>
      <c r="T138" s="144"/>
      <c r="U138" s="144"/>
    </row>
    <row r="139" spans="1:21" ht="90" customHeight="1">
      <c r="A139" s="69" t="s">
        <v>417</v>
      </c>
      <c r="B139" s="70">
        <v>6</v>
      </c>
      <c r="C139" s="71" t="s">
        <v>418</v>
      </c>
      <c r="D139" s="72" t="s">
        <v>520</v>
      </c>
      <c r="E139" s="73" t="s">
        <v>521</v>
      </c>
      <c r="F139" s="16" t="s">
        <v>532</v>
      </c>
      <c r="G139" s="17" t="s">
        <v>533</v>
      </c>
      <c r="H139" s="16" t="s">
        <v>47</v>
      </c>
      <c r="I139" s="16" t="s">
        <v>204</v>
      </c>
      <c r="J139" s="18" t="str">
        <f t="shared" si="4"/>
        <v xml:space="preserve">Potenciar la ciència ciutadana en l’ENP com a eina per generar coneixement </v>
      </c>
      <c r="K139" s="18"/>
      <c r="L139" s="22" t="s">
        <v>49</v>
      </c>
      <c r="M139" s="132" t="s">
        <v>128</v>
      </c>
      <c r="N139" s="154" t="s">
        <v>534</v>
      </c>
      <c r="O139" s="21"/>
      <c r="P139" s="19"/>
      <c r="Q139" s="135" t="s">
        <v>535</v>
      </c>
      <c r="R139" s="132">
        <v>2</v>
      </c>
      <c r="S139" s="132">
        <v>6</v>
      </c>
      <c r="T139" s="144"/>
      <c r="U139" s="144"/>
    </row>
    <row r="140" spans="1:21" ht="75" customHeight="1">
      <c r="A140" s="69" t="s">
        <v>417</v>
      </c>
      <c r="B140" s="79">
        <v>6</v>
      </c>
      <c r="C140" s="80" t="s">
        <v>418</v>
      </c>
      <c r="D140" s="81" t="s">
        <v>520</v>
      </c>
      <c r="E140" s="82" t="s">
        <v>521</v>
      </c>
      <c r="F140" s="21" t="s">
        <v>536</v>
      </c>
      <c r="G140" s="19" t="s">
        <v>537</v>
      </c>
      <c r="H140" s="21" t="s">
        <v>47</v>
      </c>
      <c r="I140" s="21" t="s">
        <v>204</v>
      </c>
      <c r="J140" s="135" t="str">
        <f t="shared" si="4"/>
        <v xml:space="preserve">Crear i desenvolupar jornades de recerca de l'ENP de forma anual on els diferents centres mostrin els estudis realizats en l'ENP </v>
      </c>
      <c r="K140" s="135"/>
      <c r="L140" s="132" t="s">
        <v>49</v>
      </c>
      <c r="M140" s="132" t="s">
        <v>50</v>
      </c>
      <c r="N140" s="157" t="s">
        <v>538</v>
      </c>
      <c r="O140" s="21"/>
      <c r="P140" s="19" t="s">
        <v>539</v>
      </c>
      <c r="Q140" s="135" t="s">
        <v>540</v>
      </c>
      <c r="R140" s="132"/>
      <c r="S140" s="132"/>
      <c r="T140" s="144"/>
      <c r="U140" s="144"/>
    </row>
    <row r="141" spans="1:21" ht="43.5">
      <c r="A141" s="69" t="s">
        <v>417</v>
      </c>
      <c r="B141" s="70">
        <v>6</v>
      </c>
      <c r="C141" s="71" t="s">
        <v>418</v>
      </c>
      <c r="D141" s="72" t="s">
        <v>520</v>
      </c>
      <c r="E141" s="73" t="s">
        <v>521</v>
      </c>
      <c r="F141" s="16" t="s">
        <v>541</v>
      </c>
      <c r="G141" s="17" t="s">
        <v>542</v>
      </c>
      <c r="H141" s="16" t="s">
        <v>47</v>
      </c>
      <c r="I141" s="16" t="s">
        <v>204</v>
      </c>
      <c r="J141" s="18" t="str">
        <f t="shared" si="4"/>
        <v>Posar a disposició de la recerca, equipaments i serveis de l'ENP</v>
      </c>
      <c r="K141" s="18"/>
      <c r="L141" s="22" t="s">
        <v>49</v>
      </c>
      <c r="M141" s="132" t="s">
        <v>50</v>
      </c>
      <c r="N141" s="160" t="s">
        <v>543</v>
      </c>
      <c r="O141" s="21" t="s">
        <v>74</v>
      </c>
      <c r="P141" s="19"/>
      <c r="Q141" s="135" t="s">
        <v>544</v>
      </c>
      <c r="R141" s="132">
        <v>1</v>
      </c>
      <c r="S141" s="132">
        <v>1</v>
      </c>
      <c r="T141" s="144"/>
      <c r="U141" s="144"/>
    </row>
    <row r="142" spans="1:21" ht="43.5">
      <c r="A142" s="69" t="s">
        <v>417</v>
      </c>
      <c r="B142" s="70">
        <v>6</v>
      </c>
      <c r="C142" s="71" t="s">
        <v>418</v>
      </c>
      <c r="D142" s="72" t="s">
        <v>520</v>
      </c>
      <c r="E142" s="73" t="s">
        <v>521</v>
      </c>
      <c r="F142" s="16" t="s">
        <v>541</v>
      </c>
      <c r="G142" s="17" t="s">
        <v>542</v>
      </c>
      <c r="H142" s="16" t="s">
        <v>47</v>
      </c>
      <c r="I142" s="16" t="s">
        <v>204</v>
      </c>
      <c r="J142" s="18" t="str">
        <f t="shared" si="4"/>
        <v>Posar a disposició de la recerca, equipaments i serveis de l'ENP</v>
      </c>
      <c r="K142" s="18"/>
      <c r="L142" s="22" t="s">
        <v>49</v>
      </c>
      <c r="M142" s="132" t="s">
        <v>50</v>
      </c>
      <c r="N142" s="160" t="s">
        <v>545</v>
      </c>
      <c r="O142" s="21" t="s">
        <v>74</v>
      </c>
      <c r="P142" s="19"/>
      <c r="Q142" s="135" t="s">
        <v>544</v>
      </c>
      <c r="R142" s="132">
        <v>1</v>
      </c>
      <c r="S142" s="132">
        <v>1</v>
      </c>
      <c r="T142" s="144"/>
      <c r="U142" s="144"/>
    </row>
    <row r="143" spans="1:21" ht="43.5">
      <c r="A143" s="69" t="s">
        <v>417</v>
      </c>
      <c r="B143" s="70">
        <v>6</v>
      </c>
      <c r="C143" s="71" t="s">
        <v>418</v>
      </c>
      <c r="D143" s="72" t="s">
        <v>520</v>
      </c>
      <c r="E143" s="73" t="s">
        <v>521</v>
      </c>
      <c r="F143" s="16" t="s">
        <v>541</v>
      </c>
      <c r="G143" s="17" t="s">
        <v>542</v>
      </c>
      <c r="H143" s="16" t="s">
        <v>47</v>
      </c>
      <c r="I143" s="16" t="s">
        <v>204</v>
      </c>
      <c r="J143" s="18" t="str">
        <f t="shared" si="4"/>
        <v>Posar a disposició de la recerca, equipaments i serveis de l'ENP</v>
      </c>
      <c r="K143" s="18"/>
      <c r="L143" s="22" t="s">
        <v>49</v>
      </c>
      <c r="M143" s="132" t="s">
        <v>50</v>
      </c>
      <c r="N143" s="160" t="s">
        <v>546</v>
      </c>
      <c r="O143" s="21" t="s">
        <v>74</v>
      </c>
      <c r="P143" s="19"/>
      <c r="Q143" s="135" t="s">
        <v>547</v>
      </c>
      <c r="R143" s="132">
        <v>1</v>
      </c>
      <c r="S143" s="132">
        <v>2</v>
      </c>
      <c r="T143" s="144"/>
      <c r="U143" s="144"/>
    </row>
    <row r="144" spans="1:21" ht="43.5">
      <c r="A144" s="69" t="s">
        <v>417</v>
      </c>
      <c r="B144" s="79">
        <v>6</v>
      </c>
      <c r="C144" s="80" t="s">
        <v>418</v>
      </c>
      <c r="D144" s="81" t="s">
        <v>520</v>
      </c>
      <c r="E144" s="82" t="s">
        <v>521</v>
      </c>
      <c r="F144" s="21" t="s">
        <v>548</v>
      </c>
      <c r="G144" s="19" t="s">
        <v>549</v>
      </c>
      <c r="H144" s="21" t="s">
        <v>47</v>
      </c>
      <c r="I144" s="21" t="s">
        <v>204</v>
      </c>
      <c r="J144" s="135" t="str">
        <f t="shared" si="4"/>
        <v xml:space="preserve">Crear l'Observatori de recerca de l'ENP vinculat a l'Observatori del Patrimoni natural i la biodiversitat </v>
      </c>
      <c r="K144" s="135"/>
      <c r="L144" s="132" t="s">
        <v>49</v>
      </c>
      <c r="M144" s="132" t="s">
        <v>59</v>
      </c>
      <c r="N144" s="157" t="s">
        <v>550</v>
      </c>
      <c r="O144" s="21"/>
      <c r="P144" s="19" t="s">
        <v>551</v>
      </c>
      <c r="Q144" s="135"/>
      <c r="R144" s="132"/>
      <c r="S144" s="132"/>
      <c r="T144" s="144"/>
      <c r="U144" s="144"/>
    </row>
    <row r="145" spans="1:21" ht="29">
      <c r="A145" s="69" t="s">
        <v>417</v>
      </c>
      <c r="B145" s="79">
        <v>6</v>
      </c>
      <c r="C145" s="80" t="s">
        <v>418</v>
      </c>
      <c r="D145" s="81" t="s">
        <v>552</v>
      </c>
      <c r="E145" s="82" t="s">
        <v>553</v>
      </c>
      <c r="F145" s="21" t="s">
        <v>554</v>
      </c>
      <c r="G145" s="19" t="s">
        <v>555</v>
      </c>
      <c r="H145" s="21" t="s">
        <v>47</v>
      </c>
      <c r="I145" s="21" t="s">
        <v>72</v>
      </c>
      <c r="J145" s="135" t="str">
        <f t="shared" si="4"/>
        <v>Participar en la definició del sistema estándard de seguiment de l'ús públic amb el SENP</v>
      </c>
      <c r="K145" s="135"/>
      <c r="L145" s="22" t="s">
        <v>49</v>
      </c>
      <c r="M145" s="132" t="s">
        <v>59</v>
      </c>
      <c r="N145" s="157"/>
      <c r="O145" s="21"/>
      <c r="P145" s="19" t="s">
        <v>556</v>
      </c>
      <c r="Q145" s="135" t="s">
        <v>557</v>
      </c>
      <c r="R145" s="132">
        <v>1</v>
      </c>
      <c r="S145" s="132">
        <v>4</v>
      </c>
      <c r="T145" s="144"/>
      <c r="U145" s="144"/>
    </row>
    <row r="146" spans="1:21" ht="43.5">
      <c r="A146" s="69" t="s">
        <v>417</v>
      </c>
      <c r="B146" s="79">
        <v>6</v>
      </c>
      <c r="C146" s="80" t="s">
        <v>418</v>
      </c>
      <c r="D146" s="81" t="s">
        <v>552</v>
      </c>
      <c r="E146" s="82" t="s">
        <v>553</v>
      </c>
      <c r="F146" s="21" t="s">
        <v>558</v>
      </c>
      <c r="G146" s="19" t="s">
        <v>559</v>
      </c>
      <c r="H146" s="21" t="s">
        <v>47</v>
      </c>
      <c r="I146" s="21" t="s">
        <v>72</v>
      </c>
      <c r="J146" s="135" t="str">
        <f t="shared" si="4"/>
        <v xml:space="preserve">Disposar de dades de freqüentació i perfil d'usuari en l'ENP i en especial en equipaments i en zones d'alta freqüentació segons el model de DG </v>
      </c>
      <c r="K146" s="135"/>
      <c r="L146" s="22" t="s">
        <v>49</v>
      </c>
      <c r="M146" s="132" t="s">
        <v>50</v>
      </c>
      <c r="N146" s="157" t="s">
        <v>560</v>
      </c>
      <c r="O146" s="21"/>
      <c r="P146" s="19" t="s">
        <v>561</v>
      </c>
      <c r="Q146" s="135" t="s">
        <v>562</v>
      </c>
      <c r="R146" s="132">
        <v>1</v>
      </c>
      <c r="S146" s="132">
        <v>1</v>
      </c>
      <c r="T146" s="144"/>
      <c r="U146" s="144"/>
    </row>
    <row r="147" spans="1:21" ht="30" customHeight="1">
      <c r="A147" s="69" t="s">
        <v>417</v>
      </c>
      <c r="B147" s="79">
        <v>6</v>
      </c>
      <c r="C147" s="80" t="s">
        <v>418</v>
      </c>
      <c r="D147" s="81" t="s">
        <v>552</v>
      </c>
      <c r="E147" s="82" t="s">
        <v>553</v>
      </c>
      <c r="F147" s="21" t="s">
        <v>563</v>
      </c>
      <c r="G147" s="19" t="s">
        <v>564</v>
      </c>
      <c r="H147" s="21" t="s">
        <v>47</v>
      </c>
      <c r="I147" s="21" t="s">
        <v>72</v>
      </c>
      <c r="J147" s="135" t="str">
        <f t="shared" si="4"/>
        <v>Identificar les activitats i actors de l’espai.</v>
      </c>
      <c r="K147" s="135"/>
      <c r="L147" s="22" t="s">
        <v>49</v>
      </c>
      <c r="M147" s="132" t="s">
        <v>59</v>
      </c>
      <c r="N147" s="157" t="s">
        <v>565</v>
      </c>
      <c r="O147" s="21"/>
      <c r="P147" s="19"/>
      <c r="Q147" s="135" t="s">
        <v>566</v>
      </c>
      <c r="R147" s="132">
        <v>1</v>
      </c>
      <c r="S147" s="132">
        <v>1</v>
      </c>
      <c r="T147" s="144"/>
      <c r="U147" s="144"/>
    </row>
    <row r="148" spans="1:21" ht="45" customHeight="1">
      <c r="A148" s="69" t="s">
        <v>417</v>
      </c>
      <c r="B148" s="79">
        <v>6</v>
      </c>
      <c r="C148" s="80" t="s">
        <v>418</v>
      </c>
      <c r="D148" s="81" t="s">
        <v>552</v>
      </c>
      <c r="E148" s="82" t="s">
        <v>553</v>
      </c>
      <c r="F148" s="21" t="s">
        <v>567</v>
      </c>
      <c r="G148" s="19" t="s">
        <v>568</v>
      </c>
      <c r="H148" s="21"/>
      <c r="I148" s="21"/>
      <c r="J148" s="135" t="str">
        <f t="shared" si="4"/>
        <v>Identificar en cartografia les males praxis i punts de massificació</v>
      </c>
      <c r="K148" s="135"/>
      <c r="L148" s="132" t="s">
        <v>49</v>
      </c>
      <c r="M148" s="132" t="s">
        <v>59</v>
      </c>
      <c r="N148" s="157" t="s">
        <v>569</v>
      </c>
      <c r="O148" s="21"/>
      <c r="P148" s="19"/>
      <c r="Q148" s="135" t="s">
        <v>570</v>
      </c>
      <c r="R148" s="132">
        <v>1</v>
      </c>
      <c r="S148" s="132">
        <v>1</v>
      </c>
      <c r="T148" s="144"/>
      <c r="U148" s="144"/>
    </row>
    <row r="149" spans="1:21" ht="60" customHeight="1">
      <c r="A149" s="69" t="s">
        <v>417</v>
      </c>
      <c r="B149" s="70">
        <v>6</v>
      </c>
      <c r="C149" s="71" t="s">
        <v>418</v>
      </c>
      <c r="D149" s="72" t="s">
        <v>552</v>
      </c>
      <c r="E149" s="73" t="s">
        <v>553</v>
      </c>
      <c r="F149" s="16" t="s">
        <v>571</v>
      </c>
      <c r="G149" s="17" t="s">
        <v>572</v>
      </c>
      <c r="H149" s="16" t="s">
        <v>47</v>
      </c>
      <c r="I149" s="16" t="s">
        <v>72</v>
      </c>
      <c r="J149" s="18" t="str">
        <f t="shared" si="4"/>
        <v>Identificar els impactes (positius i negatius) que generen les activitats d'ús públic dins l'ENP</v>
      </c>
      <c r="K149" s="18"/>
      <c r="L149" s="22" t="s">
        <v>49</v>
      </c>
      <c r="M149" s="132" t="s">
        <v>59</v>
      </c>
      <c r="N149" s="156" t="s">
        <v>573</v>
      </c>
      <c r="O149" s="21" t="s">
        <v>74</v>
      </c>
      <c r="P149" s="19"/>
      <c r="Q149" s="170" t="s">
        <v>574</v>
      </c>
      <c r="R149" s="132">
        <v>1</v>
      </c>
      <c r="S149" s="132">
        <v>1</v>
      </c>
      <c r="T149" s="144"/>
      <c r="U149" s="144"/>
    </row>
    <row r="150" spans="1:21" ht="45" customHeight="1">
      <c r="A150" s="69" t="s">
        <v>417</v>
      </c>
      <c r="B150" s="70">
        <v>6</v>
      </c>
      <c r="C150" s="71" t="s">
        <v>418</v>
      </c>
      <c r="D150" s="72" t="s">
        <v>552</v>
      </c>
      <c r="E150" s="73" t="s">
        <v>553</v>
      </c>
      <c r="F150" s="16" t="s">
        <v>571</v>
      </c>
      <c r="G150" s="17" t="s">
        <v>572</v>
      </c>
      <c r="H150" s="16" t="s">
        <v>47</v>
      </c>
      <c r="I150" s="16" t="s">
        <v>72</v>
      </c>
      <c r="J150" s="18" t="str">
        <f t="shared" si="4"/>
        <v>Identificar els impactes (positius i negatius) que generen les activitats d'ús públic dins l'ENP</v>
      </c>
      <c r="K150" s="18"/>
      <c r="L150" s="22" t="s">
        <v>49</v>
      </c>
      <c r="M150" s="132" t="s">
        <v>128</v>
      </c>
      <c r="N150" s="156" t="s">
        <v>575</v>
      </c>
      <c r="O150" s="21" t="s">
        <v>74</v>
      </c>
      <c r="P150" s="19"/>
      <c r="Q150" s="170" t="s">
        <v>576</v>
      </c>
      <c r="R150" s="132">
        <v>4</v>
      </c>
      <c r="S150" s="132">
        <v>8</v>
      </c>
      <c r="T150" s="144"/>
      <c r="U150" s="144"/>
    </row>
    <row r="151" spans="1:21" ht="30" customHeight="1">
      <c r="A151" s="83" t="s">
        <v>577</v>
      </c>
      <c r="B151" s="84">
        <v>7</v>
      </c>
      <c r="C151" s="85" t="s">
        <v>578</v>
      </c>
      <c r="D151" s="86" t="s">
        <v>579</v>
      </c>
      <c r="E151" s="87" t="s">
        <v>580</v>
      </c>
      <c r="F151" s="21" t="s">
        <v>581</v>
      </c>
      <c r="G151" s="19" t="s">
        <v>582</v>
      </c>
      <c r="H151" s="21" t="s">
        <v>47</v>
      </c>
      <c r="I151" s="21" t="s">
        <v>48</v>
      </c>
      <c r="J151" s="135" t="str">
        <f t="shared" si="4"/>
        <v xml:space="preserve">Promoure i col·laborar en l'aplicació de Plans de Desenvolupament Local Sostenible </v>
      </c>
      <c r="K151" s="135"/>
      <c r="L151" s="22" t="s">
        <v>49</v>
      </c>
      <c r="M151" s="132" t="s">
        <v>59</v>
      </c>
      <c r="N151" s="157" t="s">
        <v>583</v>
      </c>
      <c r="O151" s="21"/>
      <c r="P151" s="19"/>
      <c r="Q151" s="135" t="s">
        <v>557</v>
      </c>
      <c r="R151" s="132">
        <v>1</v>
      </c>
      <c r="S151" s="132">
        <v>1</v>
      </c>
      <c r="T151" s="144"/>
      <c r="U151" s="144"/>
    </row>
    <row r="152" spans="1:21" ht="45" customHeight="1">
      <c r="A152" s="83" t="s">
        <v>577</v>
      </c>
      <c r="B152" s="84">
        <v>7</v>
      </c>
      <c r="C152" s="85" t="s">
        <v>578</v>
      </c>
      <c r="D152" s="86" t="s">
        <v>579</v>
      </c>
      <c r="E152" s="87" t="s">
        <v>580</v>
      </c>
      <c r="F152" s="21" t="s">
        <v>581</v>
      </c>
      <c r="G152" s="19" t="s">
        <v>582</v>
      </c>
      <c r="H152" s="21" t="s">
        <v>47</v>
      </c>
      <c r="I152" s="21" t="s">
        <v>48</v>
      </c>
      <c r="J152" s="135" t="str">
        <f t="shared" si="4"/>
        <v xml:space="preserve">Promoure i col·laborar en l'aplicació de Plans de Desenvolupament Local Sostenible </v>
      </c>
      <c r="K152" s="135"/>
      <c r="L152" s="22" t="s">
        <v>49</v>
      </c>
      <c r="M152" s="132" t="s">
        <v>59</v>
      </c>
      <c r="N152" s="157" t="s">
        <v>584</v>
      </c>
      <c r="O152" s="21"/>
      <c r="P152" s="19"/>
      <c r="Q152" s="135" t="s">
        <v>585</v>
      </c>
      <c r="R152" s="132">
        <v>1</v>
      </c>
      <c r="S152" s="132">
        <v>1</v>
      </c>
      <c r="T152" s="144"/>
      <c r="U152" s="144"/>
    </row>
    <row r="153" spans="1:21" ht="45" customHeight="1">
      <c r="A153" s="88" t="s">
        <v>577</v>
      </c>
      <c r="B153" s="89">
        <v>7</v>
      </c>
      <c r="C153" s="90" t="s">
        <v>578</v>
      </c>
      <c r="D153" s="91" t="s">
        <v>579</v>
      </c>
      <c r="E153" s="92" t="s">
        <v>580</v>
      </c>
      <c r="F153" s="60" t="s">
        <v>581</v>
      </c>
      <c r="G153" s="61" t="s">
        <v>582</v>
      </c>
      <c r="H153" s="60" t="s">
        <v>47</v>
      </c>
      <c r="I153" s="60" t="s">
        <v>48</v>
      </c>
      <c r="J153" s="138" t="s">
        <v>582</v>
      </c>
      <c r="K153" s="138"/>
      <c r="L153" s="139"/>
      <c r="M153" s="140" t="s">
        <v>59</v>
      </c>
      <c r="N153" s="161" t="s">
        <v>586</v>
      </c>
      <c r="O153" s="146"/>
      <c r="P153" s="147"/>
      <c r="Q153" s="138" t="s">
        <v>587</v>
      </c>
      <c r="R153" s="140">
        <v>1</v>
      </c>
      <c r="S153" s="140">
        <v>4</v>
      </c>
      <c r="T153" s="144"/>
      <c r="U153" s="144"/>
    </row>
    <row r="154" spans="1:21" ht="43.5">
      <c r="A154" s="83" t="s">
        <v>577</v>
      </c>
      <c r="B154" s="93">
        <v>8</v>
      </c>
      <c r="C154" s="94" t="s">
        <v>588</v>
      </c>
      <c r="D154" s="95" t="s">
        <v>589</v>
      </c>
      <c r="E154" s="96" t="s">
        <v>590</v>
      </c>
      <c r="F154" s="16" t="s">
        <v>591</v>
      </c>
      <c r="G154" s="17" t="s">
        <v>592</v>
      </c>
      <c r="H154" s="16" t="s">
        <v>47</v>
      </c>
      <c r="I154" s="16" t="s">
        <v>48</v>
      </c>
      <c r="J154" s="18" t="str">
        <f>G154</f>
        <v xml:space="preserve">Acompanyar i assessorar els productors agraris per millorar les tècniques productives agràries i afavorir la conservació dels hàbitats i paisatges </v>
      </c>
      <c r="K154" s="18"/>
      <c r="L154" s="22" t="s">
        <v>49</v>
      </c>
      <c r="M154" s="132" t="s">
        <v>128</v>
      </c>
      <c r="N154" s="157" t="s">
        <v>593</v>
      </c>
      <c r="O154" s="21"/>
      <c r="P154" s="19"/>
      <c r="Q154" s="135" t="s">
        <v>594</v>
      </c>
      <c r="R154" s="173">
        <v>1</v>
      </c>
      <c r="S154" s="173">
        <v>2</v>
      </c>
      <c r="T154" s="164"/>
      <c r="U154" s="164"/>
    </row>
    <row r="155" spans="1:21" ht="60" customHeight="1">
      <c r="A155" s="88" t="s">
        <v>577</v>
      </c>
      <c r="B155" s="89">
        <v>8</v>
      </c>
      <c r="C155" s="90" t="s">
        <v>588</v>
      </c>
      <c r="D155" s="91" t="s">
        <v>589</v>
      </c>
      <c r="E155" s="92" t="s">
        <v>590</v>
      </c>
      <c r="F155" s="60" t="s">
        <v>591</v>
      </c>
      <c r="G155" s="61" t="s">
        <v>592</v>
      </c>
      <c r="H155" s="60" t="s">
        <v>47</v>
      </c>
      <c r="I155" s="60" t="s">
        <v>48</v>
      </c>
      <c r="J155" s="138" t="s">
        <v>592</v>
      </c>
      <c r="K155" s="138"/>
      <c r="L155" s="22" t="s">
        <v>49</v>
      </c>
      <c r="M155" s="140" t="s">
        <v>59</v>
      </c>
      <c r="N155" s="158" t="s">
        <v>595</v>
      </c>
      <c r="O155" s="146"/>
      <c r="P155" s="147"/>
      <c r="Q155" s="138" t="s">
        <v>596</v>
      </c>
      <c r="R155" s="140" t="s">
        <v>296</v>
      </c>
      <c r="S155" s="140" t="s">
        <v>297</v>
      </c>
      <c r="T155" s="168"/>
      <c r="U155" s="168"/>
    </row>
    <row r="156" spans="1:21" ht="43.5">
      <c r="A156" s="83" t="s">
        <v>577</v>
      </c>
      <c r="B156" s="93">
        <v>8</v>
      </c>
      <c r="C156" s="94" t="s">
        <v>588</v>
      </c>
      <c r="D156" s="95" t="s">
        <v>589</v>
      </c>
      <c r="E156" s="96" t="s">
        <v>590</v>
      </c>
      <c r="F156" s="16" t="s">
        <v>597</v>
      </c>
      <c r="G156" s="17" t="s">
        <v>598</v>
      </c>
      <c r="H156" s="16" t="s">
        <v>47</v>
      </c>
      <c r="I156" s="16" t="s">
        <v>48</v>
      </c>
      <c r="J156" s="18" t="str">
        <f>G156</f>
        <v xml:space="preserve">Oferir formació als productors agraris per millorar el seu coneixement sobre tècniques eficients i respectuoses amb la conservació del patrimoni natural i cultural </v>
      </c>
      <c r="K156" s="18"/>
      <c r="L156" s="22" t="s">
        <v>49</v>
      </c>
      <c r="M156" s="133" t="s">
        <v>59</v>
      </c>
      <c r="N156" s="162" t="s">
        <v>599</v>
      </c>
      <c r="O156" s="21"/>
      <c r="P156" s="19"/>
      <c r="Q156" s="135" t="s">
        <v>600</v>
      </c>
      <c r="R156" s="173">
        <v>2</v>
      </c>
      <c r="S156" s="173">
        <v>8</v>
      </c>
      <c r="T156" s="164"/>
      <c r="U156" s="164"/>
    </row>
    <row r="157" spans="1:21" ht="43.5">
      <c r="A157" s="83" t="s">
        <v>577</v>
      </c>
      <c r="B157" s="93">
        <v>8</v>
      </c>
      <c r="C157" s="94" t="s">
        <v>588</v>
      </c>
      <c r="D157" s="95" t="s">
        <v>589</v>
      </c>
      <c r="E157" s="96" t="s">
        <v>590</v>
      </c>
      <c r="F157" s="16" t="s">
        <v>601</v>
      </c>
      <c r="G157" s="17" t="s">
        <v>602</v>
      </c>
      <c r="H157" s="16" t="s">
        <v>101</v>
      </c>
      <c r="I157" s="16" t="s">
        <v>204</v>
      </c>
      <c r="J157" s="18" t="str">
        <f>G157</f>
        <v>Promoure la recuperació i conservació de marges i punts d'aigua associats a la ramaderia i l'agricultura i d'interès per la biodiversitat</v>
      </c>
      <c r="K157" s="18"/>
      <c r="L157" s="22" t="s">
        <v>49</v>
      </c>
      <c r="M157" s="132" t="s">
        <v>50</v>
      </c>
      <c r="N157" s="157" t="s">
        <v>603</v>
      </c>
      <c r="O157" s="21"/>
      <c r="P157" s="19"/>
      <c r="Q157" s="135" t="s">
        <v>604</v>
      </c>
      <c r="R157" s="132">
        <v>1</v>
      </c>
      <c r="S157" s="132">
        <v>4</v>
      </c>
      <c r="T157" s="168"/>
      <c r="U157" s="168"/>
    </row>
    <row r="158" spans="1:21" ht="60" customHeight="1">
      <c r="A158" s="83" t="s">
        <v>577</v>
      </c>
      <c r="B158" s="93">
        <v>8</v>
      </c>
      <c r="C158" s="94" t="s">
        <v>588</v>
      </c>
      <c r="D158" s="95" t="s">
        <v>589</v>
      </c>
      <c r="E158" s="96" t="s">
        <v>590</v>
      </c>
      <c r="F158" s="16" t="s">
        <v>601</v>
      </c>
      <c r="G158" s="17" t="s">
        <v>602</v>
      </c>
      <c r="H158" s="16" t="s">
        <v>101</v>
      </c>
      <c r="I158" s="16" t="s">
        <v>204</v>
      </c>
      <c r="J158" s="18" t="str">
        <f>G158</f>
        <v>Promoure la recuperació i conservació de marges i punts d'aigua associats a la ramaderia i l'agricultura i d'interès per la biodiversitat</v>
      </c>
      <c r="K158" s="18"/>
      <c r="L158" s="22" t="s">
        <v>49</v>
      </c>
      <c r="M158" s="132" t="s">
        <v>50</v>
      </c>
      <c r="N158" s="157" t="s">
        <v>605</v>
      </c>
      <c r="O158" s="21"/>
      <c r="P158" s="19"/>
      <c r="Q158" s="135" t="s">
        <v>606</v>
      </c>
      <c r="R158" s="132">
        <v>1</v>
      </c>
      <c r="S158" s="132">
        <v>2</v>
      </c>
      <c r="T158" s="144"/>
      <c r="U158" s="144"/>
    </row>
    <row r="159" spans="1:21" ht="43.5">
      <c r="A159" s="88" t="s">
        <v>577</v>
      </c>
      <c r="B159" s="89">
        <v>8</v>
      </c>
      <c r="C159" s="90" t="s">
        <v>588</v>
      </c>
      <c r="D159" s="91" t="s">
        <v>607</v>
      </c>
      <c r="E159" s="92" t="s">
        <v>608</v>
      </c>
      <c r="F159" s="60" t="s">
        <v>609</v>
      </c>
      <c r="G159" s="61" t="s">
        <v>610</v>
      </c>
      <c r="H159" s="16" t="s">
        <v>47</v>
      </c>
      <c r="I159" s="16" t="s">
        <v>48</v>
      </c>
      <c r="J159" s="138" t="s">
        <v>610</v>
      </c>
      <c r="K159" s="138"/>
      <c r="L159" s="22" t="s">
        <v>49</v>
      </c>
      <c r="M159" s="140" t="s">
        <v>128</v>
      </c>
      <c r="N159" s="158" t="s">
        <v>611</v>
      </c>
      <c r="O159" s="146" t="s">
        <v>74</v>
      </c>
      <c r="P159" s="147"/>
      <c r="Q159" s="138" t="s">
        <v>612</v>
      </c>
      <c r="R159" s="140">
        <v>1</v>
      </c>
      <c r="S159" s="140">
        <v>4</v>
      </c>
      <c r="T159" s="144"/>
      <c r="U159" s="144"/>
    </row>
    <row r="160" spans="1:21" ht="43.5">
      <c r="A160" s="88" t="s">
        <v>577</v>
      </c>
      <c r="B160" s="89">
        <v>8</v>
      </c>
      <c r="C160" s="90" t="s">
        <v>588</v>
      </c>
      <c r="D160" s="91" t="s">
        <v>607</v>
      </c>
      <c r="E160" s="92" t="s">
        <v>608</v>
      </c>
      <c r="F160" s="60" t="s">
        <v>609</v>
      </c>
      <c r="G160" s="61" t="s">
        <v>610</v>
      </c>
      <c r="H160" s="16" t="s">
        <v>47</v>
      </c>
      <c r="I160" s="16" t="s">
        <v>48</v>
      </c>
      <c r="J160" s="138" t="s">
        <v>610</v>
      </c>
      <c r="K160" s="138"/>
      <c r="L160" s="22" t="s">
        <v>49</v>
      </c>
      <c r="M160" s="140" t="s">
        <v>128</v>
      </c>
      <c r="N160" s="158" t="s">
        <v>613</v>
      </c>
      <c r="O160" s="146" t="s">
        <v>74</v>
      </c>
      <c r="P160" s="147"/>
      <c r="Q160" s="138" t="s">
        <v>612</v>
      </c>
      <c r="R160" s="140">
        <v>1</v>
      </c>
      <c r="S160" s="140">
        <v>4</v>
      </c>
      <c r="T160" s="164"/>
      <c r="U160" s="164"/>
    </row>
    <row r="161" spans="1:21" ht="43.5">
      <c r="A161" s="88" t="s">
        <v>577</v>
      </c>
      <c r="B161" s="89">
        <v>8</v>
      </c>
      <c r="C161" s="90" t="s">
        <v>588</v>
      </c>
      <c r="D161" s="91" t="s">
        <v>607</v>
      </c>
      <c r="E161" s="92" t="s">
        <v>608</v>
      </c>
      <c r="F161" s="60" t="s">
        <v>609</v>
      </c>
      <c r="G161" s="61" t="s">
        <v>610</v>
      </c>
      <c r="H161" s="16" t="s">
        <v>47</v>
      </c>
      <c r="I161" s="16" t="s">
        <v>48</v>
      </c>
      <c r="J161" s="138" t="s">
        <v>610</v>
      </c>
      <c r="K161" s="138"/>
      <c r="L161" s="22" t="s">
        <v>49</v>
      </c>
      <c r="M161" s="140" t="s">
        <v>128</v>
      </c>
      <c r="N161" s="158" t="s">
        <v>614</v>
      </c>
      <c r="O161" s="146" t="s">
        <v>74</v>
      </c>
      <c r="P161" s="147"/>
      <c r="Q161" s="138" t="s">
        <v>612</v>
      </c>
      <c r="R161" s="140">
        <v>1</v>
      </c>
      <c r="S161" s="140">
        <v>4</v>
      </c>
      <c r="T161" s="164"/>
      <c r="U161" s="164"/>
    </row>
    <row r="162" spans="1:21" ht="43.5">
      <c r="A162" s="88" t="s">
        <v>577</v>
      </c>
      <c r="B162" s="89">
        <v>8</v>
      </c>
      <c r="C162" s="90" t="s">
        <v>588</v>
      </c>
      <c r="D162" s="91" t="s">
        <v>607</v>
      </c>
      <c r="E162" s="92" t="s">
        <v>608</v>
      </c>
      <c r="F162" s="60" t="s">
        <v>609</v>
      </c>
      <c r="G162" s="61" t="s">
        <v>610</v>
      </c>
      <c r="H162" s="16" t="s">
        <v>47</v>
      </c>
      <c r="I162" s="16" t="s">
        <v>48</v>
      </c>
      <c r="J162" s="138" t="s">
        <v>610</v>
      </c>
      <c r="K162" s="138"/>
      <c r="L162" s="22" t="s">
        <v>49</v>
      </c>
      <c r="M162" s="140" t="s">
        <v>128</v>
      </c>
      <c r="N162" s="158" t="s">
        <v>615</v>
      </c>
      <c r="O162" s="146" t="s">
        <v>74</v>
      </c>
      <c r="P162" s="147"/>
      <c r="Q162" s="138" t="s">
        <v>612</v>
      </c>
      <c r="R162" s="140">
        <v>1</v>
      </c>
      <c r="S162" s="140">
        <v>4</v>
      </c>
      <c r="T162" s="164"/>
      <c r="U162" s="164"/>
    </row>
    <row r="163" spans="1:21" ht="43.5">
      <c r="A163" s="88" t="s">
        <v>577</v>
      </c>
      <c r="B163" s="89">
        <v>8</v>
      </c>
      <c r="C163" s="90" t="s">
        <v>588</v>
      </c>
      <c r="D163" s="91" t="s">
        <v>607</v>
      </c>
      <c r="E163" s="92" t="s">
        <v>608</v>
      </c>
      <c r="F163" s="60" t="s">
        <v>609</v>
      </c>
      <c r="G163" s="61" t="s">
        <v>610</v>
      </c>
      <c r="H163" s="16" t="s">
        <v>47</v>
      </c>
      <c r="I163" s="16" t="s">
        <v>48</v>
      </c>
      <c r="J163" s="138" t="s">
        <v>610</v>
      </c>
      <c r="K163" s="138"/>
      <c r="L163" s="22" t="s">
        <v>49</v>
      </c>
      <c r="M163" s="140" t="s">
        <v>128</v>
      </c>
      <c r="N163" s="158" t="s">
        <v>616</v>
      </c>
      <c r="O163" s="146" t="s">
        <v>74</v>
      </c>
      <c r="P163" s="147"/>
      <c r="Q163" s="138" t="s">
        <v>612</v>
      </c>
      <c r="R163" s="140">
        <v>1</v>
      </c>
      <c r="S163" s="140">
        <v>4</v>
      </c>
      <c r="T163" s="164"/>
      <c r="U163" s="164"/>
    </row>
    <row r="164" spans="1:21" ht="43.5">
      <c r="A164" s="88" t="s">
        <v>577</v>
      </c>
      <c r="B164" s="89">
        <v>8</v>
      </c>
      <c r="C164" s="90" t="s">
        <v>588</v>
      </c>
      <c r="D164" s="91" t="s">
        <v>607</v>
      </c>
      <c r="E164" s="92" t="s">
        <v>608</v>
      </c>
      <c r="F164" s="60" t="s">
        <v>609</v>
      </c>
      <c r="G164" s="61" t="s">
        <v>610</v>
      </c>
      <c r="H164" s="16" t="s">
        <v>47</v>
      </c>
      <c r="I164" s="16" t="s">
        <v>48</v>
      </c>
      <c r="J164" s="138" t="s">
        <v>610</v>
      </c>
      <c r="K164" s="138"/>
      <c r="L164" s="22" t="s">
        <v>49</v>
      </c>
      <c r="M164" s="140" t="s">
        <v>128</v>
      </c>
      <c r="N164" s="158" t="s">
        <v>617</v>
      </c>
      <c r="O164" s="146" t="s">
        <v>74</v>
      </c>
      <c r="P164" s="147"/>
      <c r="Q164" s="138" t="s">
        <v>612</v>
      </c>
      <c r="R164" s="140">
        <v>1</v>
      </c>
      <c r="S164" s="140">
        <v>4</v>
      </c>
      <c r="T164" s="164"/>
      <c r="U164" s="164"/>
    </row>
    <row r="165" spans="1:21" ht="45" customHeight="1">
      <c r="A165" s="88" t="s">
        <v>577</v>
      </c>
      <c r="B165" s="89">
        <v>8</v>
      </c>
      <c r="C165" s="90" t="s">
        <v>588</v>
      </c>
      <c r="D165" s="91" t="s">
        <v>607</v>
      </c>
      <c r="E165" s="92" t="s">
        <v>608</v>
      </c>
      <c r="F165" s="60" t="s">
        <v>609</v>
      </c>
      <c r="G165" s="61" t="s">
        <v>610</v>
      </c>
      <c r="H165" s="16" t="s">
        <v>47</v>
      </c>
      <c r="I165" s="16" t="s">
        <v>48</v>
      </c>
      <c r="J165" s="138" t="s">
        <v>610</v>
      </c>
      <c r="K165" s="138"/>
      <c r="L165" s="22" t="s">
        <v>49</v>
      </c>
      <c r="M165" s="140" t="s">
        <v>128</v>
      </c>
      <c r="N165" s="158" t="s">
        <v>618</v>
      </c>
      <c r="O165" s="146" t="s">
        <v>74</v>
      </c>
      <c r="P165" s="147"/>
      <c r="Q165" s="138" t="s">
        <v>612</v>
      </c>
      <c r="R165" s="140">
        <v>1</v>
      </c>
      <c r="S165" s="140">
        <v>4</v>
      </c>
      <c r="T165" s="164"/>
      <c r="U165" s="164"/>
    </row>
    <row r="166" spans="1:21" ht="43.5">
      <c r="A166" s="88" t="s">
        <v>577</v>
      </c>
      <c r="B166" s="89">
        <v>8</v>
      </c>
      <c r="C166" s="90" t="s">
        <v>588</v>
      </c>
      <c r="D166" s="91" t="s">
        <v>607</v>
      </c>
      <c r="E166" s="92" t="s">
        <v>608</v>
      </c>
      <c r="F166" s="60" t="s">
        <v>609</v>
      </c>
      <c r="G166" s="61" t="s">
        <v>610</v>
      </c>
      <c r="H166" s="16" t="s">
        <v>47</v>
      </c>
      <c r="I166" s="16" t="s">
        <v>48</v>
      </c>
      <c r="J166" s="138" t="s">
        <v>610</v>
      </c>
      <c r="K166" s="138"/>
      <c r="L166" s="22" t="s">
        <v>49</v>
      </c>
      <c r="M166" s="140" t="s">
        <v>128</v>
      </c>
      <c r="N166" s="158" t="s">
        <v>619</v>
      </c>
      <c r="O166" s="146" t="s">
        <v>74</v>
      </c>
      <c r="P166" s="147"/>
      <c r="Q166" s="135" t="s">
        <v>585</v>
      </c>
      <c r="R166" s="132">
        <v>1</v>
      </c>
      <c r="S166" s="132">
        <v>1</v>
      </c>
      <c r="T166" s="164"/>
      <c r="U166" s="164"/>
    </row>
    <row r="167" spans="1:21" ht="43.5">
      <c r="A167" s="88" t="s">
        <v>577</v>
      </c>
      <c r="B167" s="89">
        <v>8</v>
      </c>
      <c r="C167" s="90" t="s">
        <v>588</v>
      </c>
      <c r="D167" s="91" t="s">
        <v>607</v>
      </c>
      <c r="E167" s="92" t="s">
        <v>608</v>
      </c>
      <c r="F167" s="60" t="s">
        <v>609</v>
      </c>
      <c r="G167" s="61" t="s">
        <v>610</v>
      </c>
      <c r="H167" s="16" t="s">
        <v>47</v>
      </c>
      <c r="I167" s="16" t="s">
        <v>48</v>
      </c>
      <c r="J167" s="138" t="s">
        <v>610</v>
      </c>
      <c r="K167" s="138"/>
      <c r="L167" s="22" t="s">
        <v>49</v>
      </c>
      <c r="M167" s="140" t="s">
        <v>128</v>
      </c>
      <c r="N167" s="158" t="s">
        <v>620</v>
      </c>
      <c r="O167" s="146" t="s">
        <v>74</v>
      </c>
      <c r="P167" s="147"/>
      <c r="Q167" s="138" t="s">
        <v>612</v>
      </c>
      <c r="R167" s="140">
        <v>1</v>
      </c>
      <c r="S167" s="140">
        <v>4</v>
      </c>
      <c r="T167" s="144"/>
      <c r="U167" s="144"/>
    </row>
    <row r="168" spans="1:21" ht="43.5">
      <c r="A168" s="88" t="s">
        <v>577</v>
      </c>
      <c r="B168" s="89">
        <v>8</v>
      </c>
      <c r="C168" s="90" t="s">
        <v>588</v>
      </c>
      <c r="D168" s="91" t="s">
        <v>607</v>
      </c>
      <c r="E168" s="92" t="s">
        <v>608</v>
      </c>
      <c r="F168" s="60" t="s">
        <v>609</v>
      </c>
      <c r="G168" s="61" t="s">
        <v>610</v>
      </c>
      <c r="H168" s="16" t="s">
        <v>47</v>
      </c>
      <c r="I168" s="16" t="s">
        <v>48</v>
      </c>
      <c r="J168" s="138" t="s">
        <v>610</v>
      </c>
      <c r="K168" s="138"/>
      <c r="L168" s="22" t="s">
        <v>49</v>
      </c>
      <c r="M168" s="140" t="s">
        <v>128</v>
      </c>
      <c r="N168" s="158" t="s">
        <v>621</v>
      </c>
      <c r="O168" s="146" t="s">
        <v>74</v>
      </c>
      <c r="P168" s="147"/>
      <c r="Q168" s="138" t="s">
        <v>612</v>
      </c>
      <c r="R168" s="140">
        <v>1</v>
      </c>
      <c r="S168" s="140">
        <v>4</v>
      </c>
      <c r="T168" s="164"/>
      <c r="U168" s="164"/>
    </row>
    <row r="169" spans="1:21" ht="43.5">
      <c r="A169" s="88" t="s">
        <v>577</v>
      </c>
      <c r="B169" s="89">
        <v>8</v>
      </c>
      <c r="C169" s="90" t="s">
        <v>588</v>
      </c>
      <c r="D169" s="91" t="s">
        <v>622</v>
      </c>
      <c r="E169" s="92" t="s">
        <v>623</v>
      </c>
      <c r="F169" s="60" t="s">
        <v>624</v>
      </c>
      <c r="G169" s="61" t="s">
        <v>625</v>
      </c>
      <c r="H169" s="60" t="s">
        <v>47</v>
      </c>
      <c r="I169" s="60" t="s">
        <v>204</v>
      </c>
      <c r="J169" s="138" t="s">
        <v>625</v>
      </c>
      <c r="K169" s="138"/>
      <c r="L169" s="22" t="s">
        <v>49</v>
      </c>
      <c r="M169" s="140" t="s">
        <v>59</v>
      </c>
      <c r="N169" s="158" t="s">
        <v>626</v>
      </c>
      <c r="O169" s="146" t="s">
        <v>74</v>
      </c>
      <c r="P169" s="147" t="s">
        <v>627</v>
      </c>
      <c r="Q169" s="138" t="s">
        <v>628</v>
      </c>
      <c r="R169" s="140" t="s">
        <v>296</v>
      </c>
      <c r="S169" s="140" t="s">
        <v>297</v>
      </c>
      <c r="T169" s="164"/>
      <c r="U169" s="164"/>
    </row>
    <row r="170" spans="1:21" ht="43.5">
      <c r="A170" s="88" t="s">
        <v>577</v>
      </c>
      <c r="B170" s="89">
        <v>8</v>
      </c>
      <c r="C170" s="90" t="s">
        <v>588</v>
      </c>
      <c r="D170" s="91" t="s">
        <v>622</v>
      </c>
      <c r="E170" s="92" t="s">
        <v>623</v>
      </c>
      <c r="F170" s="60" t="s">
        <v>629</v>
      </c>
      <c r="G170" s="61" t="s">
        <v>630</v>
      </c>
      <c r="H170" s="60" t="s">
        <v>47</v>
      </c>
      <c r="I170" s="60" t="s">
        <v>72</v>
      </c>
      <c r="J170" s="138" t="s">
        <v>630</v>
      </c>
      <c r="K170" s="138"/>
      <c r="L170" s="22" t="s">
        <v>49</v>
      </c>
      <c r="M170" s="140" t="s">
        <v>59</v>
      </c>
      <c r="N170" s="158" t="s">
        <v>631</v>
      </c>
      <c r="O170" s="146" t="s">
        <v>632</v>
      </c>
      <c r="P170" s="147"/>
      <c r="Q170" s="138" t="s">
        <v>633</v>
      </c>
      <c r="R170" s="140" t="s">
        <v>296</v>
      </c>
      <c r="S170" s="140" t="s">
        <v>297</v>
      </c>
      <c r="T170" s="164"/>
      <c r="U170" s="164"/>
    </row>
    <row r="171" spans="1:21" ht="43.5">
      <c r="A171" s="88" t="s">
        <v>577</v>
      </c>
      <c r="B171" s="89">
        <v>8</v>
      </c>
      <c r="C171" s="90" t="s">
        <v>588</v>
      </c>
      <c r="D171" s="91" t="s">
        <v>622</v>
      </c>
      <c r="E171" s="92" t="s">
        <v>623</v>
      </c>
      <c r="F171" s="60" t="s">
        <v>634</v>
      </c>
      <c r="G171" s="61" t="s">
        <v>635</v>
      </c>
      <c r="H171" s="60" t="s">
        <v>47</v>
      </c>
      <c r="I171" s="60" t="s">
        <v>204</v>
      </c>
      <c r="J171" s="138" t="s">
        <v>635</v>
      </c>
      <c r="K171" s="138"/>
      <c r="L171" s="22" t="s">
        <v>49</v>
      </c>
      <c r="M171" s="140" t="s">
        <v>132</v>
      </c>
      <c r="N171" s="158" t="s">
        <v>636</v>
      </c>
      <c r="O171" s="146"/>
      <c r="P171" s="147"/>
      <c r="Q171" s="138" t="s">
        <v>637</v>
      </c>
      <c r="R171" s="140">
        <v>4</v>
      </c>
      <c r="S171" s="140">
        <v>8</v>
      </c>
      <c r="T171" s="164"/>
      <c r="U171" s="164"/>
    </row>
    <row r="172" spans="1:21" ht="43.5">
      <c r="A172" s="88" t="s">
        <v>577</v>
      </c>
      <c r="B172" s="89">
        <v>8</v>
      </c>
      <c r="C172" s="90" t="s">
        <v>588</v>
      </c>
      <c r="D172" s="91" t="s">
        <v>622</v>
      </c>
      <c r="E172" s="92" t="s">
        <v>623</v>
      </c>
      <c r="F172" s="60" t="s">
        <v>638</v>
      </c>
      <c r="G172" s="61" t="s">
        <v>639</v>
      </c>
      <c r="H172" s="60" t="s">
        <v>47</v>
      </c>
      <c r="I172" s="60" t="s">
        <v>204</v>
      </c>
      <c r="J172" s="138" t="s">
        <v>639</v>
      </c>
      <c r="K172" s="138"/>
      <c r="L172" s="22" t="s">
        <v>49</v>
      </c>
      <c r="M172" s="140" t="s">
        <v>59</v>
      </c>
      <c r="N172" s="158" t="s">
        <v>640</v>
      </c>
      <c r="O172" s="146" t="s">
        <v>632</v>
      </c>
      <c r="P172" s="147"/>
      <c r="Q172" s="138" t="s">
        <v>641</v>
      </c>
      <c r="R172" s="140" t="s">
        <v>296</v>
      </c>
      <c r="S172" s="140" t="s">
        <v>297</v>
      </c>
      <c r="T172" s="164"/>
      <c r="U172" s="164"/>
    </row>
    <row r="173" spans="1:21" ht="43.5">
      <c r="A173" s="88" t="s">
        <v>577</v>
      </c>
      <c r="B173" s="89">
        <v>8</v>
      </c>
      <c r="C173" s="90" t="s">
        <v>588</v>
      </c>
      <c r="D173" s="91" t="s">
        <v>622</v>
      </c>
      <c r="E173" s="92" t="s">
        <v>623</v>
      </c>
      <c r="F173" s="60" t="s">
        <v>642</v>
      </c>
      <c r="G173" s="61" t="s">
        <v>643</v>
      </c>
      <c r="H173" s="60" t="s">
        <v>47</v>
      </c>
      <c r="I173" s="60" t="s">
        <v>204</v>
      </c>
      <c r="J173" s="138" t="s">
        <v>643</v>
      </c>
      <c r="K173" s="138"/>
      <c r="L173" s="22" t="s">
        <v>49</v>
      </c>
      <c r="M173" s="140" t="s">
        <v>59</v>
      </c>
      <c r="N173" s="158" t="s">
        <v>640</v>
      </c>
      <c r="O173" s="146" t="s">
        <v>74</v>
      </c>
      <c r="P173" s="147"/>
      <c r="Q173" s="138" t="s">
        <v>641</v>
      </c>
      <c r="R173" s="140" t="s">
        <v>296</v>
      </c>
      <c r="S173" s="140" t="s">
        <v>297</v>
      </c>
      <c r="T173" s="164"/>
      <c r="U173" s="164"/>
    </row>
    <row r="174" spans="1:21" ht="45" customHeight="1">
      <c r="A174" s="88" t="s">
        <v>577</v>
      </c>
      <c r="B174" s="89">
        <v>8</v>
      </c>
      <c r="C174" s="90" t="s">
        <v>588</v>
      </c>
      <c r="D174" s="91" t="s">
        <v>622</v>
      </c>
      <c r="E174" s="92" t="s">
        <v>623</v>
      </c>
      <c r="F174" s="60" t="s">
        <v>644</v>
      </c>
      <c r="G174" s="61" t="s">
        <v>645</v>
      </c>
      <c r="H174" s="60" t="s">
        <v>47</v>
      </c>
      <c r="I174" s="60" t="s">
        <v>204</v>
      </c>
      <c r="J174" s="138" t="s">
        <v>645</v>
      </c>
      <c r="K174" s="138"/>
      <c r="L174" s="22" t="s">
        <v>49</v>
      </c>
      <c r="M174" s="140" t="s">
        <v>132</v>
      </c>
      <c r="N174" s="158" t="s">
        <v>640</v>
      </c>
      <c r="O174" s="146"/>
      <c r="P174" s="147"/>
      <c r="Q174" s="138" t="s">
        <v>641</v>
      </c>
      <c r="R174" s="140" t="s">
        <v>296</v>
      </c>
      <c r="S174" s="140" t="s">
        <v>297</v>
      </c>
      <c r="T174" s="164"/>
      <c r="U174" s="164"/>
    </row>
    <row r="175" spans="1:21" ht="43.5">
      <c r="A175" s="83" t="s">
        <v>577</v>
      </c>
      <c r="B175" s="93">
        <v>8</v>
      </c>
      <c r="C175" s="94" t="s">
        <v>588</v>
      </c>
      <c r="D175" s="95" t="s">
        <v>646</v>
      </c>
      <c r="E175" s="96" t="s">
        <v>647</v>
      </c>
      <c r="F175" s="16" t="s">
        <v>648</v>
      </c>
      <c r="G175" s="17" t="s">
        <v>649</v>
      </c>
      <c r="H175" s="16" t="s">
        <v>47</v>
      </c>
      <c r="I175" s="16" t="s">
        <v>72</v>
      </c>
      <c r="J175" s="18" t="str">
        <f>G175</f>
        <v>Treballar amb l'autoritat competent per garantir objectius de conservació d’espècies i hàbitats en la revisió dels Plans de Gestió Cinegètica</v>
      </c>
      <c r="K175" s="18"/>
      <c r="L175" s="22" t="s">
        <v>49</v>
      </c>
      <c r="M175" s="132" t="s">
        <v>128</v>
      </c>
      <c r="N175" s="154" t="s">
        <v>650</v>
      </c>
      <c r="O175" s="21" t="s">
        <v>52</v>
      </c>
      <c r="P175" s="19"/>
      <c r="Q175" s="135" t="s">
        <v>651</v>
      </c>
      <c r="R175" s="132">
        <v>1</v>
      </c>
      <c r="S175" s="132">
        <v>4</v>
      </c>
      <c r="T175" s="164"/>
      <c r="U175" s="164"/>
    </row>
    <row r="176" spans="1:21" ht="43.5">
      <c r="A176" s="83" t="s">
        <v>577</v>
      </c>
      <c r="B176" s="93">
        <v>8</v>
      </c>
      <c r="C176" s="94" t="s">
        <v>588</v>
      </c>
      <c r="D176" s="95" t="s">
        <v>646</v>
      </c>
      <c r="E176" s="96" t="s">
        <v>647</v>
      </c>
      <c r="F176" s="16" t="s">
        <v>648</v>
      </c>
      <c r="G176" s="17" t="s">
        <v>649</v>
      </c>
      <c r="H176" s="16" t="s">
        <v>47</v>
      </c>
      <c r="I176" s="16" t="s">
        <v>72</v>
      </c>
      <c r="J176" s="18" t="str">
        <f>G176</f>
        <v>Treballar amb l'autoritat competent per garantir objectius de conservació d’espècies i hàbitats en la revisió dels Plans de Gestió Cinegètica</v>
      </c>
      <c r="K176" s="18"/>
      <c r="L176" s="22" t="s">
        <v>49</v>
      </c>
      <c r="M176" s="132" t="s">
        <v>128</v>
      </c>
      <c r="N176" s="154" t="s">
        <v>652</v>
      </c>
      <c r="O176" s="21" t="s">
        <v>52</v>
      </c>
      <c r="P176" s="19"/>
      <c r="Q176" s="135" t="s">
        <v>653</v>
      </c>
      <c r="R176" s="132">
        <v>2</v>
      </c>
      <c r="S176" s="132">
        <v>8</v>
      </c>
      <c r="T176" s="144"/>
      <c r="U176" s="144"/>
    </row>
    <row r="177" spans="1:21" ht="43.5">
      <c r="A177" s="83" t="s">
        <v>577</v>
      </c>
      <c r="B177" s="93">
        <v>8</v>
      </c>
      <c r="C177" s="94" t="s">
        <v>588</v>
      </c>
      <c r="D177" s="95" t="s">
        <v>646</v>
      </c>
      <c r="E177" s="96" t="s">
        <v>647</v>
      </c>
      <c r="F177" s="16" t="s">
        <v>654</v>
      </c>
      <c r="G177" s="17" t="s">
        <v>655</v>
      </c>
      <c r="H177" s="16" t="s">
        <v>47</v>
      </c>
      <c r="I177" s="16" t="s">
        <v>72</v>
      </c>
      <c r="J177" s="18" t="str">
        <f>G177</f>
        <v>Col·laborar en la regulació i ordenació de la caça i la pesca en zones sensibles o amb risc d'afectació d'elements clau objecte de conservació</v>
      </c>
      <c r="K177" s="18"/>
      <c r="L177" s="22" t="s">
        <v>49</v>
      </c>
      <c r="M177" s="132" t="s">
        <v>59</v>
      </c>
      <c r="N177" s="154" t="s">
        <v>656</v>
      </c>
      <c r="O177" s="21" t="s">
        <v>52</v>
      </c>
      <c r="P177" s="19"/>
      <c r="Q177" s="135" t="s">
        <v>657</v>
      </c>
      <c r="R177" s="132">
        <v>1</v>
      </c>
      <c r="S177" s="132">
        <v>4</v>
      </c>
      <c r="T177" s="144"/>
      <c r="U177" s="144"/>
    </row>
    <row r="178" spans="1:21" ht="43.5">
      <c r="A178" s="83" t="s">
        <v>577</v>
      </c>
      <c r="B178" s="93">
        <v>8</v>
      </c>
      <c r="C178" s="94" t="s">
        <v>588</v>
      </c>
      <c r="D178" s="95" t="s">
        <v>646</v>
      </c>
      <c r="E178" s="96" t="s">
        <v>647</v>
      </c>
      <c r="F178" s="16" t="s">
        <v>654</v>
      </c>
      <c r="G178" s="17" t="s">
        <v>655</v>
      </c>
      <c r="H178" s="16" t="s">
        <v>47</v>
      </c>
      <c r="I178" s="16" t="s">
        <v>72</v>
      </c>
      <c r="J178" s="18" t="str">
        <f>G178</f>
        <v>Col·laborar en la regulació i ordenació de la caça i la pesca en zones sensibles o amb risc d'afectació d'elements clau objecte de conservació</v>
      </c>
      <c r="K178" s="18"/>
      <c r="L178" s="22" t="s">
        <v>49</v>
      </c>
      <c r="M178" s="132" t="s">
        <v>128</v>
      </c>
      <c r="N178" s="154" t="s">
        <v>658</v>
      </c>
      <c r="O178" s="21" t="s">
        <v>52</v>
      </c>
      <c r="P178" s="19"/>
      <c r="Q178" s="135" t="s">
        <v>450</v>
      </c>
      <c r="R178" s="132">
        <v>1</v>
      </c>
      <c r="S178" s="132">
        <v>4</v>
      </c>
      <c r="T178" s="144"/>
      <c r="U178" s="144"/>
    </row>
    <row r="179" spans="1:21" ht="43.5">
      <c r="A179" s="83" t="s">
        <v>577</v>
      </c>
      <c r="B179" s="93">
        <v>8</v>
      </c>
      <c r="C179" s="94" t="s">
        <v>588</v>
      </c>
      <c r="D179" s="95" t="s">
        <v>646</v>
      </c>
      <c r="E179" s="96" t="s">
        <v>647</v>
      </c>
      <c r="F179" s="16" t="s">
        <v>659</v>
      </c>
      <c r="G179" s="17" t="s">
        <v>660</v>
      </c>
      <c r="H179" s="16" t="s">
        <v>47</v>
      </c>
      <c r="I179" s="16" t="s">
        <v>72</v>
      </c>
      <c r="J179" s="18" t="str">
        <f>G179</f>
        <v>Donar suport en la gestió de poblacions que generen danys a les activitats econòmiques de l'ENP</v>
      </c>
      <c r="K179" s="18"/>
      <c r="L179" s="22" t="s">
        <v>49</v>
      </c>
      <c r="M179" s="132" t="s">
        <v>59</v>
      </c>
      <c r="N179" s="154" t="s">
        <v>661</v>
      </c>
      <c r="O179" s="21"/>
      <c r="P179" s="19"/>
      <c r="Q179" s="135" t="s">
        <v>662</v>
      </c>
      <c r="R179" s="132">
        <v>1</v>
      </c>
      <c r="S179" s="132">
        <v>2</v>
      </c>
      <c r="T179" s="144"/>
      <c r="U179" s="144"/>
    </row>
    <row r="180" spans="1:21" ht="29">
      <c r="A180" s="88" t="s">
        <v>577</v>
      </c>
      <c r="B180" s="89">
        <v>9</v>
      </c>
      <c r="C180" s="90" t="s">
        <v>663</v>
      </c>
      <c r="D180" s="91" t="s">
        <v>664</v>
      </c>
      <c r="E180" s="92" t="s">
        <v>665</v>
      </c>
      <c r="F180" s="60" t="s">
        <v>666</v>
      </c>
      <c r="G180" s="61" t="s">
        <v>667</v>
      </c>
      <c r="H180" s="60" t="s">
        <v>47</v>
      </c>
      <c r="I180" s="60" t="s">
        <v>204</v>
      </c>
      <c r="J180" s="138" t="s">
        <v>667</v>
      </c>
      <c r="K180" s="138"/>
      <c r="L180" s="22" t="s">
        <v>49</v>
      </c>
      <c r="M180" s="140" t="s">
        <v>59</v>
      </c>
      <c r="N180" s="158" t="s">
        <v>668</v>
      </c>
      <c r="O180" s="146" t="s">
        <v>74</v>
      </c>
      <c r="P180" s="147"/>
      <c r="Q180" s="138" t="s">
        <v>669</v>
      </c>
      <c r="R180" s="140" t="s">
        <v>296</v>
      </c>
      <c r="S180" s="140" t="s">
        <v>297</v>
      </c>
      <c r="T180" s="144"/>
      <c r="U180" s="144"/>
    </row>
    <row r="181" spans="1:21" ht="29">
      <c r="A181" s="88" t="s">
        <v>577</v>
      </c>
      <c r="B181" s="89">
        <v>9</v>
      </c>
      <c r="C181" s="90" t="s">
        <v>663</v>
      </c>
      <c r="D181" s="91" t="s">
        <v>664</v>
      </c>
      <c r="E181" s="92" t="s">
        <v>665</v>
      </c>
      <c r="F181" s="60" t="s">
        <v>670</v>
      </c>
      <c r="G181" s="61" t="s">
        <v>671</v>
      </c>
      <c r="H181" s="60" t="s">
        <v>47</v>
      </c>
      <c r="I181" s="60" t="s">
        <v>204</v>
      </c>
      <c r="J181" s="138" t="s">
        <v>671</v>
      </c>
      <c r="K181" s="138"/>
      <c r="L181" s="22" t="s">
        <v>49</v>
      </c>
      <c r="M181" s="140" t="s">
        <v>132</v>
      </c>
      <c r="N181" s="158" t="s">
        <v>672</v>
      </c>
      <c r="O181" s="146"/>
      <c r="P181" s="147"/>
      <c r="Q181" s="138" t="s">
        <v>673</v>
      </c>
      <c r="R181" s="140">
        <v>0</v>
      </c>
      <c r="S181" s="140">
        <v>4</v>
      </c>
      <c r="T181" s="164"/>
      <c r="U181" s="164"/>
    </row>
    <row r="182" spans="1:21" ht="29">
      <c r="A182" s="88" t="s">
        <v>577</v>
      </c>
      <c r="B182" s="89">
        <v>9</v>
      </c>
      <c r="C182" s="90" t="s">
        <v>663</v>
      </c>
      <c r="D182" s="91" t="s">
        <v>674</v>
      </c>
      <c r="E182" s="92" t="s">
        <v>675</v>
      </c>
      <c r="F182" s="60" t="s">
        <v>676</v>
      </c>
      <c r="G182" s="61" t="s">
        <v>677</v>
      </c>
      <c r="H182" s="60" t="s">
        <v>47</v>
      </c>
      <c r="I182" s="60" t="s">
        <v>204</v>
      </c>
      <c r="J182" s="138" t="s">
        <v>677</v>
      </c>
      <c r="K182" s="138"/>
      <c r="L182" s="22" t="s">
        <v>49</v>
      </c>
      <c r="M182" s="140" t="s">
        <v>59</v>
      </c>
      <c r="N182" s="161" t="s">
        <v>678</v>
      </c>
      <c r="O182" s="146" t="s">
        <v>74</v>
      </c>
      <c r="P182" s="147"/>
      <c r="Q182" s="138" t="s">
        <v>679</v>
      </c>
      <c r="R182" s="140">
        <v>1</v>
      </c>
      <c r="S182" s="140">
        <v>4</v>
      </c>
      <c r="T182" s="164"/>
      <c r="U182" s="164"/>
    </row>
    <row r="183" spans="1:21" ht="29">
      <c r="A183" s="88" t="s">
        <v>577</v>
      </c>
      <c r="B183" s="89">
        <v>9</v>
      </c>
      <c r="C183" s="90" t="s">
        <v>663</v>
      </c>
      <c r="D183" s="91" t="s">
        <v>674</v>
      </c>
      <c r="E183" s="92" t="s">
        <v>675</v>
      </c>
      <c r="F183" s="60" t="s">
        <v>680</v>
      </c>
      <c r="G183" s="61" t="s">
        <v>681</v>
      </c>
      <c r="H183" s="60" t="s">
        <v>47</v>
      </c>
      <c r="I183" s="60" t="s">
        <v>204</v>
      </c>
      <c r="J183" s="138" t="s">
        <v>681</v>
      </c>
      <c r="K183" s="138"/>
      <c r="L183" s="22" t="s">
        <v>49</v>
      </c>
      <c r="M183" s="140" t="s">
        <v>128</v>
      </c>
      <c r="N183" s="158" t="s">
        <v>682</v>
      </c>
      <c r="O183" s="146" t="s">
        <v>74</v>
      </c>
      <c r="P183" s="147"/>
      <c r="Q183" s="148" t="s">
        <v>683</v>
      </c>
      <c r="R183" s="140">
        <v>4</v>
      </c>
      <c r="S183" s="140">
        <v>8</v>
      </c>
      <c r="T183" s="164"/>
      <c r="U183" s="164"/>
    </row>
    <row r="184" spans="1:21" ht="30" customHeight="1">
      <c r="A184" s="97" t="s">
        <v>684</v>
      </c>
      <c r="B184" s="98">
        <v>10</v>
      </c>
      <c r="C184" s="99" t="s">
        <v>685</v>
      </c>
      <c r="D184" s="100" t="s">
        <v>686</v>
      </c>
      <c r="E184" s="101" t="s">
        <v>687</v>
      </c>
      <c r="F184" s="16" t="s">
        <v>688</v>
      </c>
      <c r="G184" s="17" t="s">
        <v>689</v>
      </c>
      <c r="H184" s="16" t="s">
        <v>47</v>
      </c>
      <c r="I184" s="16" t="s">
        <v>72</v>
      </c>
      <c r="J184" s="136" t="s">
        <v>690</v>
      </c>
      <c r="K184" s="18" t="s">
        <v>691</v>
      </c>
      <c r="L184" s="22" t="s">
        <v>49</v>
      </c>
      <c r="M184" s="132" t="s">
        <v>59</v>
      </c>
      <c r="N184" s="163" t="s">
        <v>692</v>
      </c>
      <c r="O184" s="21"/>
      <c r="P184" s="19" t="s">
        <v>693</v>
      </c>
      <c r="Q184" s="135" t="s">
        <v>694</v>
      </c>
      <c r="R184" s="132">
        <v>1</v>
      </c>
      <c r="S184" s="132">
        <v>1</v>
      </c>
      <c r="T184" s="164"/>
      <c r="U184" s="164"/>
    </row>
    <row r="185" spans="1:21" ht="75" customHeight="1">
      <c r="A185" s="97" t="s">
        <v>684</v>
      </c>
      <c r="B185" s="98">
        <v>10</v>
      </c>
      <c r="C185" s="99" t="s">
        <v>685</v>
      </c>
      <c r="D185" s="100" t="s">
        <v>686</v>
      </c>
      <c r="E185" s="101" t="s">
        <v>687</v>
      </c>
      <c r="F185" s="16" t="s">
        <v>688</v>
      </c>
      <c r="G185" s="17" t="s">
        <v>689</v>
      </c>
      <c r="H185" s="16" t="s">
        <v>47</v>
      </c>
      <c r="I185" s="16" t="s">
        <v>72</v>
      </c>
      <c r="J185" s="136" t="s">
        <v>690</v>
      </c>
      <c r="K185" s="18" t="s">
        <v>691</v>
      </c>
      <c r="L185" s="22" t="s">
        <v>49</v>
      </c>
      <c r="M185" s="132" t="s">
        <v>128</v>
      </c>
      <c r="N185" s="163" t="s">
        <v>695</v>
      </c>
      <c r="O185" s="21"/>
      <c r="P185" s="19" t="s">
        <v>693</v>
      </c>
      <c r="Q185" s="135" t="s">
        <v>696</v>
      </c>
      <c r="R185" s="132">
        <v>1</v>
      </c>
      <c r="S185" s="132">
        <v>1</v>
      </c>
      <c r="T185" s="144"/>
      <c r="U185" s="144"/>
    </row>
    <row r="186" spans="1:21" ht="75" customHeight="1">
      <c r="A186" s="102" t="s">
        <v>684</v>
      </c>
      <c r="B186" s="103">
        <v>11</v>
      </c>
      <c r="C186" s="104" t="s">
        <v>697</v>
      </c>
      <c r="D186" s="105" t="s">
        <v>698</v>
      </c>
      <c r="E186" s="106" t="s">
        <v>699</v>
      </c>
      <c r="F186" s="60" t="s">
        <v>700</v>
      </c>
      <c r="G186" s="61" t="s">
        <v>701</v>
      </c>
      <c r="H186" s="60" t="s">
        <v>47</v>
      </c>
      <c r="I186" s="60" t="s">
        <v>72</v>
      </c>
      <c r="J186" s="138" t="s">
        <v>701</v>
      </c>
      <c r="K186" s="138"/>
      <c r="L186" s="22" t="s">
        <v>49</v>
      </c>
      <c r="M186" s="140" t="s">
        <v>128</v>
      </c>
      <c r="N186" s="158" t="s">
        <v>702</v>
      </c>
      <c r="O186" s="146"/>
      <c r="P186" s="147" t="s">
        <v>693</v>
      </c>
      <c r="Q186" s="148" t="s">
        <v>703</v>
      </c>
      <c r="R186" s="140" t="s">
        <v>296</v>
      </c>
      <c r="S186" s="140" t="s">
        <v>297</v>
      </c>
      <c r="T186" s="144"/>
      <c r="U186" s="144"/>
    </row>
    <row r="187" spans="1:21" ht="29">
      <c r="A187" s="102" t="s">
        <v>684</v>
      </c>
      <c r="B187" s="103">
        <v>11</v>
      </c>
      <c r="C187" s="104" t="s">
        <v>697</v>
      </c>
      <c r="D187" s="105" t="s">
        <v>698</v>
      </c>
      <c r="E187" s="106" t="s">
        <v>699</v>
      </c>
      <c r="F187" s="60" t="s">
        <v>704</v>
      </c>
      <c r="G187" s="61" t="s">
        <v>705</v>
      </c>
      <c r="H187" s="60" t="s">
        <v>101</v>
      </c>
      <c r="I187" s="60" t="s">
        <v>72</v>
      </c>
      <c r="J187" s="138" t="s">
        <v>705</v>
      </c>
      <c r="K187" s="138"/>
      <c r="L187" s="140" t="s">
        <v>131</v>
      </c>
      <c r="M187" s="140" t="s">
        <v>128</v>
      </c>
      <c r="N187" s="161" t="s">
        <v>706</v>
      </c>
      <c r="O187" s="146"/>
      <c r="P187" s="147" t="s">
        <v>693</v>
      </c>
      <c r="Q187" s="148" t="s">
        <v>707</v>
      </c>
      <c r="R187" s="140" t="s">
        <v>707</v>
      </c>
      <c r="S187" s="140" t="s">
        <v>707</v>
      </c>
      <c r="T187" s="164"/>
      <c r="U187" s="164"/>
    </row>
    <row r="188" spans="1:21" ht="29">
      <c r="A188" s="102" t="s">
        <v>684</v>
      </c>
      <c r="B188" s="103">
        <v>11</v>
      </c>
      <c r="C188" s="104" t="s">
        <v>697</v>
      </c>
      <c r="D188" s="105" t="s">
        <v>698</v>
      </c>
      <c r="E188" s="106" t="s">
        <v>699</v>
      </c>
      <c r="F188" s="60" t="s">
        <v>708</v>
      </c>
      <c r="G188" s="61" t="s">
        <v>709</v>
      </c>
      <c r="H188" s="60" t="s">
        <v>47</v>
      </c>
      <c r="I188" s="60" t="s">
        <v>72</v>
      </c>
      <c r="J188" s="138" t="s">
        <v>709</v>
      </c>
      <c r="K188" s="138"/>
      <c r="L188" s="22" t="s">
        <v>49</v>
      </c>
      <c r="M188" s="140" t="s">
        <v>50</v>
      </c>
      <c r="N188" s="161" t="s">
        <v>710</v>
      </c>
      <c r="O188" s="146"/>
      <c r="P188" s="147" t="s">
        <v>693</v>
      </c>
      <c r="Q188" s="148" t="s">
        <v>711</v>
      </c>
      <c r="R188" s="140">
        <v>10</v>
      </c>
      <c r="S188" s="140">
        <v>50</v>
      </c>
      <c r="T188" s="164"/>
      <c r="U188" s="164"/>
    </row>
    <row r="189" spans="1:21" ht="29">
      <c r="A189" s="102" t="s">
        <v>684</v>
      </c>
      <c r="B189" s="103">
        <v>11</v>
      </c>
      <c r="C189" s="104" t="s">
        <v>697</v>
      </c>
      <c r="D189" s="105" t="s">
        <v>698</v>
      </c>
      <c r="E189" s="106" t="s">
        <v>699</v>
      </c>
      <c r="F189" s="60" t="s">
        <v>708</v>
      </c>
      <c r="G189" s="61" t="s">
        <v>709</v>
      </c>
      <c r="H189" s="60" t="s">
        <v>47</v>
      </c>
      <c r="I189" s="60" t="s">
        <v>72</v>
      </c>
      <c r="J189" s="138" t="s">
        <v>709</v>
      </c>
      <c r="K189" s="138"/>
      <c r="L189" s="22" t="s">
        <v>49</v>
      </c>
      <c r="M189" s="140" t="s">
        <v>50</v>
      </c>
      <c r="N189" s="161" t="s">
        <v>710</v>
      </c>
      <c r="O189" s="146"/>
      <c r="P189" s="147" t="s">
        <v>693</v>
      </c>
      <c r="Q189" s="148" t="s">
        <v>712</v>
      </c>
      <c r="R189" s="140">
        <v>50</v>
      </c>
      <c r="S189" s="140">
        <v>300</v>
      </c>
      <c r="T189" s="164"/>
      <c r="U189" s="164"/>
    </row>
    <row r="190" spans="1:21" ht="45" customHeight="1">
      <c r="A190" s="97" t="s">
        <v>684</v>
      </c>
      <c r="B190" s="98">
        <v>11</v>
      </c>
      <c r="C190" s="99" t="s">
        <v>697</v>
      </c>
      <c r="D190" s="100" t="s">
        <v>698</v>
      </c>
      <c r="E190" s="101" t="s">
        <v>687</v>
      </c>
      <c r="F190" s="16" t="s">
        <v>713</v>
      </c>
      <c r="G190" s="17" t="s">
        <v>714</v>
      </c>
      <c r="H190" s="16" t="s">
        <v>47</v>
      </c>
      <c r="I190" s="16" t="s">
        <v>72</v>
      </c>
      <c r="J190" s="136" t="str">
        <f>G190</f>
        <v>Regular lels activitats d'educació ambiental i el lleure educatiu</v>
      </c>
      <c r="K190" s="18"/>
      <c r="L190" s="22" t="s">
        <v>49</v>
      </c>
      <c r="M190" s="132" t="s">
        <v>50</v>
      </c>
      <c r="N190" s="162" t="s">
        <v>715</v>
      </c>
      <c r="O190" s="21"/>
      <c r="P190" s="19" t="s">
        <v>693</v>
      </c>
      <c r="Q190" s="135" t="s">
        <v>716</v>
      </c>
      <c r="R190" s="132">
        <v>1</v>
      </c>
      <c r="S190" s="132">
        <v>12</v>
      </c>
      <c r="T190" s="164"/>
      <c r="U190" s="164"/>
    </row>
    <row r="191" spans="1:21" ht="29">
      <c r="A191" s="102" t="s">
        <v>684</v>
      </c>
      <c r="B191" s="103">
        <v>11</v>
      </c>
      <c r="C191" s="104" t="s">
        <v>697</v>
      </c>
      <c r="D191" s="105" t="s">
        <v>698</v>
      </c>
      <c r="E191" s="106" t="s">
        <v>699</v>
      </c>
      <c r="F191" s="60" t="s">
        <v>713</v>
      </c>
      <c r="G191" s="61" t="s">
        <v>714</v>
      </c>
      <c r="H191" s="60" t="s">
        <v>47</v>
      </c>
      <c r="I191" s="60" t="s">
        <v>72</v>
      </c>
      <c r="J191" s="138" t="s">
        <v>714</v>
      </c>
      <c r="K191" s="138"/>
      <c r="L191" s="22" t="s">
        <v>49</v>
      </c>
      <c r="M191" s="140" t="s">
        <v>59</v>
      </c>
      <c r="N191" s="158" t="s">
        <v>717</v>
      </c>
      <c r="O191" s="146"/>
      <c r="P191" s="147" t="s">
        <v>693</v>
      </c>
      <c r="Q191" s="148" t="s">
        <v>718</v>
      </c>
      <c r="R191" s="140">
        <v>1</v>
      </c>
      <c r="S191" s="140">
        <v>5</v>
      </c>
      <c r="T191" s="144"/>
      <c r="U191" s="144"/>
    </row>
    <row r="192" spans="1:21" ht="45" customHeight="1">
      <c r="A192" s="107" t="s">
        <v>684</v>
      </c>
      <c r="B192" s="98">
        <v>11</v>
      </c>
      <c r="C192" s="99" t="s">
        <v>697</v>
      </c>
      <c r="D192" s="100" t="s">
        <v>698</v>
      </c>
      <c r="E192" s="108" t="s">
        <v>687</v>
      </c>
      <c r="F192" s="16" t="s">
        <v>719</v>
      </c>
      <c r="G192" s="17" t="s">
        <v>720</v>
      </c>
      <c r="H192" s="16" t="s">
        <v>47</v>
      </c>
      <c r="I192" s="16" t="s">
        <v>72</v>
      </c>
      <c r="J192" s="136" t="s">
        <v>721</v>
      </c>
      <c r="K192" s="18" t="s">
        <v>691</v>
      </c>
      <c r="L192" s="22" t="s">
        <v>49</v>
      </c>
      <c r="M192" s="22" t="s">
        <v>50</v>
      </c>
      <c r="N192" s="154" t="s">
        <v>722</v>
      </c>
      <c r="O192" s="16"/>
      <c r="P192" s="17" t="s">
        <v>693</v>
      </c>
      <c r="Q192" s="138" t="s">
        <v>612</v>
      </c>
      <c r="R192" s="140">
        <v>1</v>
      </c>
      <c r="S192" s="140">
        <v>4</v>
      </c>
      <c r="T192" s="164"/>
      <c r="U192" s="164"/>
    </row>
    <row r="193" spans="1:21" ht="45" customHeight="1">
      <c r="A193" s="102" t="s">
        <v>684</v>
      </c>
      <c r="B193" s="103">
        <v>11</v>
      </c>
      <c r="C193" s="104" t="s">
        <v>697</v>
      </c>
      <c r="D193" s="105" t="s">
        <v>698</v>
      </c>
      <c r="E193" s="106" t="s">
        <v>699</v>
      </c>
      <c r="F193" s="60" t="s">
        <v>719</v>
      </c>
      <c r="G193" s="61" t="s">
        <v>720</v>
      </c>
      <c r="H193" s="60" t="s">
        <v>47</v>
      </c>
      <c r="I193" s="60" t="s">
        <v>72</v>
      </c>
      <c r="J193" s="138" t="s">
        <v>720</v>
      </c>
      <c r="K193" s="138"/>
      <c r="L193" s="22" t="s">
        <v>49</v>
      </c>
      <c r="M193" s="140" t="s">
        <v>128</v>
      </c>
      <c r="N193" s="158" t="s">
        <v>723</v>
      </c>
      <c r="O193" s="146"/>
      <c r="P193" s="147" t="s">
        <v>693</v>
      </c>
      <c r="Q193" s="148" t="s">
        <v>724</v>
      </c>
      <c r="R193" s="140" t="s">
        <v>296</v>
      </c>
      <c r="S193" s="140" t="s">
        <v>297</v>
      </c>
      <c r="T193" s="164"/>
      <c r="U193" s="164"/>
    </row>
    <row r="194" spans="1:21" ht="90" customHeight="1">
      <c r="A194" s="97" t="s">
        <v>684</v>
      </c>
      <c r="B194" s="98">
        <v>11</v>
      </c>
      <c r="C194" s="99" t="s">
        <v>697</v>
      </c>
      <c r="D194" s="100" t="s">
        <v>698</v>
      </c>
      <c r="E194" s="101" t="s">
        <v>687</v>
      </c>
      <c r="F194" s="16" t="s">
        <v>725</v>
      </c>
      <c r="G194" s="17" t="s">
        <v>726</v>
      </c>
      <c r="H194" s="16" t="s">
        <v>101</v>
      </c>
      <c r="I194" s="16" t="s">
        <v>72</v>
      </c>
      <c r="J194" s="18" t="str">
        <f>G194</f>
        <v>Regular l'escalada i alpinisme, barranquisme, i espeleologia  en base al model de Pla de protecció</v>
      </c>
      <c r="K194" s="18" t="s">
        <v>691</v>
      </c>
      <c r="L194" s="22" t="s">
        <v>49</v>
      </c>
      <c r="M194" s="132" t="s">
        <v>59</v>
      </c>
      <c r="N194" s="154" t="s">
        <v>727</v>
      </c>
      <c r="O194" s="21"/>
      <c r="P194" s="19" t="s">
        <v>693</v>
      </c>
      <c r="Q194" s="135" t="s">
        <v>728</v>
      </c>
      <c r="R194" s="132">
        <v>1</v>
      </c>
      <c r="S194" s="132">
        <v>1</v>
      </c>
      <c r="T194" s="164"/>
      <c r="U194" s="164"/>
    </row>
    <row r="195" spans="1:21" ht="45" customHeight="1">
      <c r="A195" s="97" t="s">
        <v>684</v>
      </c>
      <c r="B195" s="98">
        <v>11</v>
      </c>
      <c r="C195" s="99" t="s">
        <v>697</v>
      </c>
      <c r="D195" s="100" t="s">
        <v>698</v>
      </c>
      <c r="E195" s="101" t="s">
        <v>687</v>
      </c>
      <c r="F195" s="16" t="s">
        <v>725</v>
      </c>
      <c r="G195" s="17" t="s">
        <v>726</v>
      </c>
      <c r="H195" s="16" t="s">
        <v>101</v>
      </c>
      <c r="I195" s="16" t="s">
        <v>72</v>
      </c>
      <c r="J195" s="18" t="s">
        <v>729</v>
      </c>
      <c r="K195" s="18" t="s">
        <v>691</v>
      </c>
      <c r="L195" s="22" t="s">
        <v>49</v>
      </c>
      <c r="M195" s="132" t="s">
        <v>50</v>
      </c>
      <c r="N195" s="154" t="s">
        <v>730</v>
      </c>
      <c r="O195" s="21"/>
      <c r="P195" s="19" t="s">
        <v>693</v>
      </c>
      <c r="Q195" s="135" t="s">
        <v>731</v>
      </c>
      <c r="R195" s="132">
        <v>4</v>
      </c>
      <c r="S195" s="132">
        <v>10</v>
      </c>
      <c r="T195" s="144"/>
      <c r="U195" s="144"/>
    </row>
    <row r="196" spans="1:21" ht="45" customHeight="1">
      <c r="A196" s="102" t="s">
        <v>684</v>
      </c>
      <c r="B196" s="103">
        <v>11</v>
      </c>
      <c r="C196" s="104" t="s">
        <v>697</v>
      </c>
      <c r="D196" s="105" t="s">
        <v>698</v>
      </c>
      <c r="E196" s="106" t="s">
        <v>699</v>
      </c>
      <c r="F196" s="60" t="s">
        <v>725</v>
      </c>
      <c r="G196" s="61" t="s">
        <v>726</v>
      </c>
      <c r="H196" s="60" t="s">
        <v>101</v>
      </c>
      <c r="I196" s="60" t="s">
        <v>72</v>
      </c>
      <c r="J196" s="18" t="s">
        <v>729</v>
      </c>
      <c r="K196" s="18" t="s">
        <v>691</v>
      </c>
      <c r="L196" s="22" t="s">
        <v>49</v>
      </c>
      <c r="M196" s="140" t="s">
        <v>59</v>
      </c>
      <c r="N196" s="158" t="s">
        <v>732</v>
      </c>
      <c r="O196" s="146"/>
      <c r="P196" s="147" t="s">
        <v>693</v>
      </c>
      <c r="Q196" s="148" t="s">
        <v>733</v>
      </c>
      <c r="R196" s="140" t="s">
        <v>296</v>
      </c>
      <c r="S196" s="140" t="s">
        <v>297</v>
      </c>
      <c r="T196" s="144"/>
      <c r="U196" s="144"/>
    </row>
    <row r="197" spans="1:21" ht="135" customHeight="1">
      <c r="A197" s="97" t="s">
        <v>684</v>
      </c>
      <c r="B197" s="98">
        <v>11</v>
      </c>
      <c r="C197" s="99" t="s">
        <v>697</v>
      </c>
      <c r="D197" s="100" t="s">
        <v>698</v>
      </c>
      <c r="E197" s="101" t="s">
        <v>687</v>
      </c>
      <c r="F197" s="16" t="s">
        <v>734</v>
      </c>
      <c r="G197" s="17" t="s">
        <v>735</v>
      </c>
      <c r="H197" s="16" t="s">
        <v>47</v>
      </c>
      <c r="I197" s="16" t="s">
        <v>72</v>
      </c>
      <c r="J197" s="136" t="s">
        <v>736</v>
      </c>
      <c r="K197" s="18" t="s">
        <v>691</v>
      </c>
      <c r="L197" s="22" t="s">
        <v>49</v>
      </c>
      <c r="M197" s="132" t="s">
        <v>50</v>
      </c>
      <c r="N197" s="154" t="s">
        <v>737</v>
      </c>
      <c r="O197" s="21"/>
      <c r="P197" s="19" t="s">
        <v>693</v>
      </c>
      <c r="Q197" s="135" t="s">
        <v>738</v>
      </c>
      <c r="R197" s="132">
        <v>1</v>
      </c>
      <c r="S197" s="132">
        <v>1</v>
      </c>
      <c r="T197" s="164"/>
      <c r="U197" s="164"/>
    </row>
    <row r="198" spans="1:21" ht="29">
      <c r="A198" s="97" t="s">
        <v>684</v>
      </c>
      <c r="B198" s="98">
        <v>11</v>
      </c>
      <c r="C198" s="99" t="s">
        <v>697</v>
      </c>
      <c r="D198" s="100" t="s">
        <v>698</v>
      </c>
      <c r="E198" s="101" t="s">
        <v>687</v>
      </c>
      <c r="F198" s="16" t="s">
        <v>734</v>
      </c>
      <c r="G198" s="17" t="s">
        <v>735</v>
      </c>
      <c r="H198" s="16" t="s">
        <v>47</v>
      </c>
      <c r="I198" s="16" t="s">
        <v>72</v>
      </c>
      <c r="J198" s="136" t="s">
        <v>736</v>
      </c>
      <c r="K198" s="18" t="s">
        <v>691</v>
      </c>
      <c r="L198" s="22" t="s">
        <v>49</v>
      </c>
      <c r="M198" s="132" t="s">
        <v>50</v>
      </c>
      <c r="N198" s="154" t="s">
        <v>739</v>
      </c>
      <c r="O198" s="21"/>
      <c r="P198" s="19" t="s">
        <v>693</v>
      </c>
      <c r="Q198" s="135" t="s">
        <v>716</v>
      </c>
      <c r="R198" s="132">
        <v>8</v>
      </c>
      <c r="S198" s="132">
        <v>12</v>
      </c>
      <c r="T198" s="144"/>
      <c r="U198" s="144"/>
    </row>
    <row r="199" spans="1:21" ht="29">
      <c r="A199" s="97" t="s">
        <v>684</v>
      </c>
      <c r="B199" s="98">
        <v>11</v>
      </c>
      <c r="C199" s="99" t="s">
        <v>697</v>
      </c>
      <c r="D199" s="100" t="s">
        <v>698</v>
      </c>
      <c r="E199" s="101" t="s">
        <v>687</v>
      </c>
      <c r="F199" s="16" t="s">
        <v>734</v>
      </c>
      <c r="G199" s="17" t="s">
        <v>735</v>
      </c>
      <c r="H199" s="16" t="s">
        <v>47</v>
      </c>
      <c r="I199" s="16" t="s">
        <v>72</v>
      </c>
      <c r="J199" s="136" t="s">
        <v>736</v>
      </c>
      <c r="K199" s="18" t="s">
        <v>691</v>
      </c>
      <c r="L199" s="22" t="s">
        <v>49</v>
      </c>
      <c r="M199" s="132" t="s">
        <v>59</v>
      </c>
      <c r="N199" s="162" t="s">
        <v>740</v>
      </c>
      <c r="O199" s="21"/>
      <c r="P199" s="19" t="s">
        <v>693</v>
      </c>
      <c r="Q199" s="135" t="s">
        <v>741</v>
      </c>
      <c r="R199" s="132">
        <v>1</v>
      </c>
      <c r="S199" s="132">
        <v>1</v>
      </c>
      <c r="T199" s="144"/>
      <c r="U199" s="144"/>
    </row>
    <row r="200" spans="1:21" ht="29">
      <c r="A200" s="97" t="s">
        <v>684</v>
      </c>
      <c r="B200" s="98">
        <v>11</v>
      </c>
      <c r="C200" s="99" t="s">
        <v>697</v>
      </c>
      <c r="D200" s="100" t="s">
        <v>698</v>
      </c>
      <c r="E200" s="101" t="s">
        <v>687</v>
      </c>
      <c r="F200" s="16" t="s">
        <v>742</v>
      </c>
      <c r="G200" s="17" t="s">
        <v>743</v>
      </c>
      <c r="H200" s="16" t="s">
        <v>47</v>
      </c>
      <c r="I200" s="16" t="s">
        <v>72</v>
      </c>
      <c r="J200" s="18" t="s">
        <v>744</v>
      </c>
      <c r="K200" s="18" t="s">
        <v>691</v>
      </c>
      <c r="L200" s="22" t="s">
        <v>49</v>
      </c>
      <c r="M200" s="132" t="s">
        <v>50</v>
      </c>
      <c r="N200" s="154" t="s">
        <v>745</v>
      </c>
      <c r="O200" s="21"/>
      <c r="P200" s="19" t="s">
        <v>693</v>
      </c>
      <c r="Q200" s="135" t="s">
        <v>716</v>
      </c>
      <c r="R200" s="132">
        <v>30</v>
      </c>
      <c r="S200" s="132">
        <v>50</v>
      </c>
      <c r="T200" s="144"/>
      <c r="U200" s="144"/>
    </row>
    <row r="201" spans="1:21" ht="29">
      <c r="A201" s="97" t="s">
        <v>684</v>
      </c>
      <c r="B201" s="98">
        <v>11</v>
      </c>
      <c r="C201" s="99" t="s">
        <v>697</v>
      </c>
      <c r="D201" s="100" t="s">
        <v>698</v>
      </c>
      <c r="E201" s="101" t="s">
        <v>687</v>
      </c>
      <c r="F201" s="16" t="s">
        <v>746</v>
      </c>
      <c r="G201" s="17" t="s">
        <v>747</v>
      </c>
      <c r="H201" s="16" t="s">
        <v>47</v>
      </c>
      <c r="I201" s="16" t="s">
        <v>72</v>
      </c>
      <c r="J201" s="18" t="s">
        <v>748</v>
      </c>
      <c r="K201" s="18" t="s">
        <v>691</v>
      </c>
      <c r="L201" s="22" t="s">
        <v>49</v>
      </c>
      <c r="M201" s="132" t="s">
        <v>50</v>
      </c>
      <c r="N201" s="162" t="s">
        <v>749</v>
      </c>
      <c r="O201" s="21"/>
      <c r="P201" s="19" t="s">
        <v>693</v>
      </c>
      <c r="Q201" s="135" t="s">
        <v>716</v>
      </c>
      <c r="R201" s="132">
        <v>40</v>
      </c>
      <c r="S201" s="132">
        <v>65</v>
      </c>
      <c r="T201" s="144"/>
      <c r="U201" s="144"/>
    </row>
    <row r="202" spans="1:21" ht="29">
      <c r="A202" s="97" t="s">
        <v>684</v>
      </c>
      <c r="B202" s="98">
        <v>11</v>
      </c>
      <c r="C202" s="99" t="s">
        <v>697</v>
      </c>
      <c r="D202" s="100" t="s">
        <v>698</v>
      </c>
      <c r="E202" s="101" t="s">
        <v>687</v>
      </c>
      <c r="F202" s="16" t="s">
        <v>746</v>
      </c>
      <c r="G202" s="17" t="s">
        <v>747</v>
      </c>
      <c r="H202" s="16" t="s">
        <v>47</v>
      </c>
      <c r="I202" s="16" t="s">
        <v>72</v>
      </c>
      <c r="J202" s="18" t="s">
        <v>748</v>
      </c>
      <c r="K202" s="18" t="s">
        <v>691</v>
      </c>
      <c r="L202" s="22" t="s">
        <v>49</v>
      </c>
      <c r="M202" s="132" t="s">
        <v>50</v>
      </c>
      <c r="N202" s="154" t="s">
        <v>750</v>
      </c>
      <c r="O202" s="21"/>
      <c r="P202" s="19" t="s">
        <v>693</v>
      </c>
      <c r="Q202" s="135" t="s">
        <v>751</v>
      </c>
      <c r="R202" s="132">
        <v>1</v>
      </c>
      <c r="S202" s="132">
        <v>1</v>
      </c>
      <c r="T202" s="144"/>
      <c r="U202" s="144"/>
    </row>
    <row r="203" spans="1:21" ht="45" customHeight="1">
      <c r="A203" s="102" t="s">
        <v>684</v>
      </c>
      <c r="B203" s="103">
        <v>11</v>
      </c>
      <c r="C203" s="104" t="s">
        <v>697</v>
      </c>
      <c r="D203" s="105" t="s">
        <v>698</v>
      </c>
      <c r="E203" s="106" t="s">
        <v>699</v>
      </c>
      <c r="F203" s="60" t="s">
        <v>746</v>
      </c>
      <c r="G203" s="61" t="s">
        <v>747</v>
      </c>
      <c r="H203" s="60" t="s">
        <v>47</v>
      </c>
      <c r="I203" s="60" t="s">
        <v>72</v>
      </c>
      <c r="J203" s="18" t="s">
        <v>748</v>
      </c>
      <c r="K203" s="18" t="s">
        <v>691</v>
      </c>
      <c r="L203" s="22" t="s">
        <v>49</v>
      </c>
      <c r="M203" s="140" t="s">
        <v>128</v>
      </c>
      <c r="N203" s="158" t="s">
        <v>752</v>
      </c>
      <c r="O203" s="146"/>
      <c r="P203" s="147" t="s">
        <v>693</v>
      </c>
      <c r="Q203" s="148" t="s">
        <v>753</v>
      </c>
      <c r="R203" s="140" t="s">
        <v>754</v>
      </c>
      <c r="S203" s="140" t="s">
        <v>755</v>
      </c>
      <c r="T203" s="144"/>
      <c r="U203" s="144"/>
    </row>
    <row r="204" spans="1:21" ht="75" customHeight="1">
      <c r="A204" s="102" t="s">
        <v>684</v>
      </c>
      <c r="B204" s="103">
        <v>11</v>
      </c>
      <c r="C204" s="104" t="s">
        <v>697</v>
      </c>
      <c r="D204" s="105" t="s">
        <v>698</v>
      </c>
      <c r="E204" s="106" t="s">
        <v>699</v>
      </c>
      <c r="F204" s="60" t="s">
        <v>756</v>
      </c>
      <c r="G204" s="61" t="s">
        <v>757</v>
      </c>
      <c r="H204" s="60" t="s">
        <v>101</v>
      </c>
      <c r="I204" s="60" t="s">
        <v>72</v>
      </c>
      <c r="J204" s="138" t="s">
        <v>757</v>
      </c>
      <c r="K204" s="138"/>
      <c r="L204" s="22" t="s">
        <v>49</v>
      </c>
      <c r="M204" s="140" t="s">
        <v>50</v>
      </c>
      <c r="N204" s="161" t="s">
        <v>758</v>
      </c>
      <c r="O204" s="146"/>
      <c r="P204" s="147" t="s">
        <v>693</v>
      </c>
      <c r="Q204" s="148" t="s">
        <v>711</v>
      </c>
      <c r="R204" s="140" t="s">
        <v>759</v>
      </c>
      <c r="S204" s="140" t="s">
        <v>760</v>
      </c>
      <c r="T204" s="164"/>
      <c r="U204" s="164"/>
    </row>
    <row r="205" spans="1:21" ht="29">
      <c r="A205" s="102" t="s">
        <v>684</v>
      </c>
      <c r="B205" s="103">
        <v>11</v>
      </c>
      <c r="C205" s="104" t="s">
        <v>697</v>
      </c>
      <c r="D205" s="105" t="s">
        <v>698</v>
      </c>
      <c r="E205" s="106" t="s">
        <v>699</v>
      </c>
      <c r="F205" s="60" t="s">
        <v>761</v>
      </c>
      <c r="G205" s="61" t="s">
        <v>762</v>
      </c>
      <c r="H205" s="60" t="s">
        <v>101</v>
      </c>
      <c r="I205" s="60" t="s">
        <v>72</v>
      </c>
      <c r="J205" s="138" t="s">
        <v>762</v>
      </c>
      <c r="K205" s="138"/>
      <c r="L205" s="140" t="s">
        <v>131</v>
      </c>
      <c r="M205" s="140" t="s">
        <v>132</v>
      </c>
      <c r="N205" s="161" t="s">
        <v>763</v>
      </c>
      <c r="O205" s="146"/>
      <c r="P205" s="147" t="s">
        <v>693</v>
      </c>
      <c r="Q205" s="148" t="s">
        <v>707</v>
      </c>
      <c r="R205" s="140" t="s">
        <v>707</v>
      </c>
      <c r="S205" s="140" t="s">
        <v>707</v>
      </c>
      <c r="T205" s="164"/>
      <c r="U205" s="164"/>
    </row>
    <row r="206" spans="1:21" ht="29">
      <c r="A206" s="102" t="s">
        <v>684</v>
      </c>
      <c r="B206" s="103">
        <v>11</v>
      </c>
      <c r="C206" s="104" t="s">
        <v>697</v>
      </c>
      <c r="D206" s="105" t="s">
        <v>698</v>
      </c>
      <c r="E206" s="106" t="s">
        <v>699</v>
      </c>
      <c r="F206" s="60" t="s">
        <v>764</v>
      </c>
      <c r="G206" s="61" t="s">
        <v>765</v>
      </c>
      <c r="H206" s="60" t="s">
        <v>101</v>
      </c>
      <c r="I206" s="60" t="s">
        <v>72</v>
      </c>
      <c r="J206" s="138" t="s">
        <v>765</v>
      </c>
      <c r="K206" s="138"/>
      <c r="L206" s="140" t="s">
        <v>131</v>
      </c>
      <c r="M206" s="140" t="s">
        <v>132</v>
      </c>
      <c r="N206" s="161" t="s">
        <v>766</v>
      </c>
      <c r="O206" s="146"/>
      <c r="P206" s="147" t="s">
        <v>693</v>
      </c>
      <c r="Q206" s="148" t="s">
        <v>707</v>
      </c>
      <c r="R206" s="140" t="s">
        <v>707</v>
      </c>
      <c r="S206" s="140" t="s">
        <v>707</v>
      </c>
      <c r="T206" s="164"/>
      <c r="U206" s="164"/>
    </row>
    <row r="207" spans="1:21" ht="29">
      <c r="A207" s="97" t="s">
        <v>684</v>
      </c>
      <c r="B207" s="98">
        <v>11</v>
      </c>
      <c r="C207" s="99" t="s">
        <v>697</v>
      </c>
      <c r="D207" s="100" t="s">
        <v>767</v>
      </c>
      <c r="E207" s="108" t="s">
        <v>768</v>
      </c>
      <c r="F207" s="16" t="s">
        <v>769</v>
      </c>
      <c r="G207" s="17" t="s">
        <v>770</v>
      </c>
      <c r="H207" s="16" t="s">
        <v>47</v>
      </c>
      <c r="I207" s="16" t="s">
        <v>72</v>
      </c>
      <c r="J207" s="136" t="str">
        <f>G207</f>
        <v xml:space="preserve">Identificar i classificar la xarxa viària bàsica, secundària, senders i itineraris senyalitzats d'acord amb els ajuntaments </v>
      </c>
      <c r="K207" s="18"/>
      <c r="L207" s="22" t="s">
        <v>49</v>
      </c>
      <c r="M207" s="132" t="s">
        <v>50</v>
      </c>
      <c r="N207" s="154" t="s">
        <v>771</v>
      </c>
      <c r="O207" s="21"/>
      <c r="P207" s="17" t="s">
        <v>772</v>
      </c>
      <c r="Q207" s="135" t="s">
        <v>773</v>
      </c>
      <c r="R207" s="132">
        <v>1</v>
      </c>
      <c r="S207" s="132">
        <v>1</v>
      </c>
      <c r="T207" s="164"/>
      <c r="U207" s="164"/>
    </row>
    <row r="208" spans="1:21" ht="29">
      <c r="A208" s="97" t="s">
        <v>684</v>
      </c>
      <c r="B208" s="98">
        <v>11</v>
      </c>
      <c r="C208" s="99" t="s">
        <v>697</v>
      </c>
      <c r="D208" s="100" t="s">
        <v>767</v>
      </c>
      <c r="E208" s="108" t="s">
        <v>768</v>
      </c>
      <c r="F208" s="16" t="s">
        <v>769</v>
      </c>
      <c r="G208" s="17" t="s">
        <v>770</v>
      </c>
      <c r="H208" s="16" t="s">
        <v>47</v>
      </c>
      <c r="I208" s="16" t="s">
        <v>72</v>
      </c>
      <c r="J208" s="136" t="str">
        <f>G208</f>
        <v xml:space="preserve">Identificar i classificar la xarxa viària bàsica, secundària, senders i itineraris senyalitzats d'acord amb els ajuntaments </v>
      </c>
      <c r="K208" s="18"/>
      <c r="L208" s="22" t="s">
        <v>49</v>
      </c>
      <c r="M208" s="132" t="s">
        <v>50</v>
      </c>
      <c r="N208" s="154" t="s">
        <v>774</v>
      </c>
      <c r="O208" s="21"/>
      <c r="P208" s="17" t="s">
        <v>772</v>
      </c>
      <c r="Q208" s="135" t="s">
        <v>775</v>
      </c>
      <c r="R208" s="132">
        <v>1</v>
      </c>
      <c r="S208" s="132">
        <v>1</v>
      </c>
      <c r="T208" s="144"/>
      <c r="U208" s="144"/>
    </row>
    <row r="209" spans="1:21" ht="29">
      <c r="A209" s="102" t="s">
        <v>684</v>
      </c>
      <c r="B209" s="103">
        <v>11</v>
      </c>
      <c r="C209" s="104" t="s">
        <v>697</v>
      </c>
      <c r="D209" s="105" t="s">
        <v>767</v>
      </c>
      <c r="E209" s="106" t="s">
        <v>768</v>
      </c>
      <c r="F209" s="60" t="s">
        <v>776</v>
      </c>
      <c r="G209" s="61" t="s">
        <v>777</v>
      </c>
      <c r="H209" s="60" t="s">
        <v>47</v>
      </c>
      <c r="I209" s="60" t="s">
        <v>72</v>
      </c>
      <c r="J209" s="138" t="s">
        <v>777</v>
      </c>
      <c r="K209" s="138"/>
      <c r="L209" s="22" t="s">
        <v>49</v>
      </c>
      <c r="M209" s="140" t="s">
        <v>128</v>
      </c>
      <c r="N209" s="161" t="s">
        <v>778</v>
      </c>
      <c r="O209" s="146"/>
      <c r="P209" s="147" t="s">
        <v>779</v>
      </c>
      <c r="Q209" s="148" t="s">
        <v>780</v>
      </c>
      <c r="R209" s="140">
        <v>5</v>
      </c>
      <c r="S209" s="140">
        <v>10</v>
      </c>
      <c r="T209" s="144"/>
      <c r="U209" s="144"/>
    </row>
    <row r="210" spans="1:21" ht="29">
      <c r="A210" s="107" t="s">
        <v>684</v>
      </c>
      <c r="B210" s="98">
        <v>11</v>
      </c>
      <c r="C210" s="99" t="s">
        <v>697</v>
      </c>
      <c r="D210" s="100" t="s">
        <v>781</v>
      </c>
      <c r="E210" s="108" t="s">
        <v>782</v>
      </c>
      <c r="F210" s="16" t="s">
        <v>783</v>
      </c>
      <c r="G210" s="17" t="s">
        <v>784</v>
      </c>
      <c r="H210" s="16" t="s">
        <v>47</v>
      </c>
      <c r="I210" s="16" t="s">
        <v>72</v>
      </c>
      <c r="J210" s="18" t="str">
        <f>G210</f>
        <v>Regular l'accés i la circulació</v>
      </c>
      <c r="K210" s="18"/>
      <c r="L210" s="22" t="s">
        <v>49</v>
      </c>
      <c r="M210" s="22" t="s">
        <v>50</v>
      </c>
      <c r="N210" s="154" t="s">
        <v>785</v>
      </c>
      <c r="O210" s="16"/>
      <c r="P210" s="17" t="s">
        <v>693</v>
      </c>
      <c r="Q210" s="18" t="s">
        <v>786</v>
      </c>
      <c r="R210" s="132">
        <v>1</v>
      </c>
      <c r="S210" s="132">
        <v>1</v>
      </c>
      <c r="T210" s="164"/>
      <c r="U210" s="164"/>
    </row>
    <row r="211" spans="1:21" ht="45" customHeight="1">
      <c r="A211" s="102" t="s">
        <v>684</v>
      </c>
      <c r="B211" s="103">
        <v>11</v>
      </c>
      <c r="C211" s="104" t="s">
        <v>697</v>
      </c>
      <c r="D211" s="105" t="s">
        <v>781</v>
      </c>
      <c r="E211" s="106" t="s">
        <v>782</v>
      </c>
      <c r="F211" s="60" t="s">
        <v>783</v>
      </c>
      <c r="G211" s="61" t="s">
        <v>784</v>
      </c>
      <c r="H211" s="60" t="s">
        <v>47</v>
      </c>
      <c r="I211" s="60" t="s">
        <v>72</v>
      </c>
      <c r="J211" s="138" t="s">
        <v>784</v>
      </c>
      <c r="K211" s="138"/>
      <c r="L211" s="22" t="s">
        <v>49</v>
      </c>
      <c r="M211" s="140" t="s">
        <v>128</v>
      </c>
      <c r="N211" s="161" t="s">
        <v>787</v>
      </c>
      <c r="O211" s="146"/>
      <c r="P211" s="147" t="s">
        <v>693</v>
      </c>
      <c r="Q211" s="148" t="s">
        <v>788</v>
      </c>
      <c r="R211" s="140">
        <v>1</v>
      </c>
      <c r="S211" s="140">
        <v>3</v>
      </c>
      <c r="T211" s="144"/>
      <c r="U211" s="144"/>
    </row>
    <row r="212" spans="1:21" ht="30" customHeight="1">
      <c r="A212" s="97" t="s">
        <v>684</v>
      </c>
      <c r="B212" s="98">
        <v>11</v>
      </c>
      <c r="C212" s="99" t="s">
        <v>697</v>
      </c>
      <c r="D212" s="105" t="s">
        <v>781</v>
      </c>
      <c r="E212" s="106" t="s">
        <v>782</v>
      </c>
      <c r="F212" s="16" t="s">
        <v>783</v>
      </c>
      <c r="G212" s="17" t="s">
        <v>784</v>
      </c>
      <c r="H212" s="16" t="s">
        <v>47</v>
      </c>
      <c r="I212" s="16" t="s">
        <v>72</v>
      </c>
      <c r="J212" s="18" t="str">
        <f t="shared" ref="J212:J217" si="5">G212</f>
        <v>Regular l'accés i la circulació</v>
      </c>
      <c r="K212" s="138"/>
      <c r="L212" s="22" t="s">
        <v>49</v>
      </c>
      <c r="M212" s="22" t="s">
        <v>50</v>
      </c>
      <c r="N212" s="158" t="s">
        <v>789</v>
      </c>
      <c r="O212" s="146"/>
      <c r="P212" s="147"/>
      <c r="Q212" s="148" t="s">
        <v>790</v>
      </c>
      <c r="R212" s="140" t="s">
        <v>296</v>
      </c>
      <c r="S212" s="140" t="s">
        <v>297</v>
      </c>
      <c r="T212" s="164"/>
      <c r="U212" s="164"/>
    </row>
    <row r="213" spans="1:21" ht="29">
      <c r="A213" s="97" t="s">
        <v>684</v>
      </c>
      <c r="B213" s="98">
        <v>11</v>
      </c>
      <c r="C213" s="99" t="s">
        <v>697</v>
      </c>
      <c r="D213" s="105" t="s">
        <v>781</v>
      </c>
      <c r="E213" s="106" t="s">
        <v>782</v>
      </c>
      <c r="F213" s="16" t="s">
        <v>783</v>
      </c>
      <c r="G213" s="17" t="s">
        <v>784</v>
      </c>
      <c r="H213" s="16" t="s">
        <v>47</v>
      </c>
      <c r="I213" s="16" t="s">
        <v>72</v>
      </c>
      <c r="J213" s="18" t="str">
        <f t="shared" si="5"/>
        <v>Regular l'accés i la circulació</v>
      </c>
      <c r="K213" s="138"/>
      <c r="L213" s="22" t="s">
        <v>49</v>
      </c>
      <c r="M213" s="22" t="s">
        <v>50</v>
      </c>
      <c r="N213" s="158" t="s">
        <v>791</v>
      </c>
      <c r="O213" s="146"/>
      <c r="P213" s="147"/>
      <c r="Q213" s="148" t="s">
        <v>790</v>
      </c>
      <c r="R213" s="140" t="s">
        <v>296</v>
      </c>
      <c r="S213" s="140" t="s">
        <v>297</v>
      </c>
      <c r="T213" s="164"/>
      <c r="U213" s="164"/>
    </row>
    <row r="214" spans="1:21" ht="45" customHeight="1">
      <c r="A214" s="97" t="s">
        <v>684</v>
      </c>
      <c r="B214" s="98">
        <v>11</v>
      </c>
      <c r="C214" s="99" t="s">
        <v>697</v>
      </c>
      <c r="D214" s="105" t="s">
        <v>781</v>
      </c>
      <c r="E214" s="106" t="s">
        <v>782</v>
      </c>
      <c r="F214" s="16" t="s">
        <v>783</v>
      </c>
      <c r="G214" s="17" t="s">
        <v>784</v>
      </c>
      <c r="H214" s="16" t="s">
        <v>47</v>
      </c>
      <c r="I214" s="16" t="s">
        <v>72</v>
      </c>
      <c r="J214" s="18" t="str">
        <f t="shared" si="5"/>
        <v>Regular l'accés i la circulació</v>
      </c>
      <c r="K214" s="138"/>
      <c r="L214" s="22" t="s">
        <v>49</v>
      </c>
      <c r="M214" s="22" t="s">
        <v>50</v>
      </c>
      <c r="N214" s="158" t="s">
        <v>792</v>
      </c>
      <c r="O214" s="146"/>
      <c r="P214" s="147"/>
      <c r="Q214" s="148" t="s">
        <v>793</v>
      </c>
      <c r="R214" s="140" t="s">
        <v>296</v>
      </c>
      <c r="S214" s="140" t="s">
        <v>297</v>
      </c>
      <c r="T214" s="164"/>
      <c r="U214" s="164"/>
    </row>
    <row r="215" spans="1:21" ht="29">
      <c r="A215" s="97" t="s">
        <v>684</v>
      </c>
      <c r="B215" s="98">
        <v>11</v>
      </c>
      <c r="C215" s="99" t="s">
        <v>697</v>
      </c>
      <c r="D215" s="105" t="s">
        <v>781</v>
      </c>
      <c r="E215" s="106" t="s">
        <v>782</v>
      </c>
      <c r="F215" s="16" t="s">
        <v>783</v>
      </c>
      <c r="G215" s="17" t="s">
        <v>784</v>
      </c>
      <c r="H215" s="16" t="s">
        <v>47</v>
      </c>
      <c r="I215" s="16" t="s">
        <v>72</v>
      </c>
      <c r="J215" s="18" t="str">
        <f t="shared" si="5"/>
        <v>Regular l'accés i la circulació</v>
      </c>
      <c r="K215" s="138"/>
      <c r="L215" s="22" t="s">
        <v>49</v>
      </c>
      <c r="M215" s="22" t="s">
        <v>50</v>
      </c>
      <c r="N215" s="158" t="s">
        <v>794</v>
      </c>
      <c r="O215" s="146"/>
      <c r="P215" s="147"/>
      <c r="Q215" s="148" t="s">
        <v>793</v>
      </c>
      <c r="R215" s="140" t="s">
        <v>296</v>
      </c>
      <c r="S215" s="140" t="s">
        <v>297</v>
      </c>
      <c r="T215" s="164"/>
      <c r="U215" s="164"/>
    </row>
    <row r="216" spans="1:21" ht="29">
      <c r="A216" s="97" t="s">
        <v>684</v>
      </c>
      <c r="B216" s="98">
        <v>11</v>
      </c>
      <c r="C216" s="99" t="s">
        <v>697</v>
      </c>
      <c r="D216" s="105" t="s">
        <v>781</v>
      </c>
      <c r="E216" s="106" t="s">
        <v>782</v>
      </c>
      <c r="F216" s="16" t="s">
        <v>783</v>
      </c>
      <c r="G216" s="17" t="s">
        <v>784</v>
      </c>
      <c r="H216" s="16" t="s">
        <v>47</v>
      </c>
      <c r="I216" s="16" t="s">
        <v>72</v>
      </c>
      <c r="J216" s="18" t="str">
        <f t="shared" si="5"/>
        <v>Regular l'accés i la circulació</v>
      </c>
      <c r="K216" s="138"/>
      <c r="L216" s="22" t="s">
        <v>49</v>
      </c>
      <c r="M216" s="22" t="s">
        <v>50</v>
      </c>
      <c r="N216" s="158" t="s">
        <v>795</v>
      </c>
      <c r="O216" s="146"/>
      <c r="P216" s="147"/>
      <c r="Q216" s="148" t="s">
        <v>796</v>
      </c>
      <c r="R216" s="140">
        <v>1</v>
      </c>
      <c r="S216" s="140">
        <v>3</v>
      </c>
      <c r="T216" s="164"/>
      <c r="U216" s="164"/>
    </row>
    <row r="217" spans="1:21" ht="29">
      <c r="A217" s="97" t="s">
        <v>684</v>
      </c>
      <c r="B217" s="98">
        <v>11</v>
      </c>
      <c r="C217" s="99" t="s">
        <v>697</v>
      </c>
      <c r="D217" s="100" t="s">
        <v>781</v>
      </c>
      <c r="E217" s="108" t="s">
        <v>782</v>
      </c>
      <c r="F217" s="16" t="s">
        <v>797</v>
      </c>
      <c r="G217" s="17" t="s">
        <v>798</v>
      </c>
      <c r="H217" s="16" t="s">
        <v>47</v>
      </c>
      <c r="I217" s="16" t="s">
        <v>72</v>
      </c>
      <c r="J217" s="136" t="str">
        <f t="shared" si="5"/>
        <v>Regular la xarxa viària principal, secundària i restringida</v>
      </c>
      <c r="K217" s="18"/>
      <c r="L217" s="22" t="s">
        <v>49</v>
      </c>
      <c r="M217" s="132" t="s">
        <v>50</v>
      </c>
      <c r="N217" s="154" t="s">
        <v>799</v>
      </c>
      <c r="O217" s="21"/>
      <c r="P217" s="19" t="s">
        <v>693</v>
      </c>
      <c r="Q217" s="135" t="s">
        <v>800</v>
      </c>
      <c r="R217" s="132">
        <v>10</v>
      </c>
      <c r="S217" s="132">
        <v>30</v>
      </c>
      <c r="T217" s="164"/>
      <c r="U217" s="164"/>
    </row>
    <row r="218" spans="1:21" ht="29">
      <c r="A218" s="102" t="s">
        <v>684</v>
      </c>
      <c r="B218" s="103">
        <v>11</v>
      </c>
      <c r="C218" s="104" t="s">
        <v>697</v>
      </c>
      <c r="D218" s="105" t="s">
        <v>781</v>
      </c>
      <c r="E218" s="106" t="s">
        <v>782</v>
      </c>
      <c r="F218" s="60" t="s">
        <v>797</v>
      </c>
      <c r="G218" s="61" t="s">
        <v>798</v>
      </c>
      <c r="H218" s="60" t="s">
        <v>47</v>
      </c>
      <c r="I218" s="60" t="s">
        <v>72</v>
      </c>
      <c r="J218" s="138" t="s">
        <v>798</v>
      </c>
      <c r="K218" s="138"/>
      <c r="L218" s="22" t="s">
        <v>49</v>
      </c>
      <c r="M218" s="140" t="s">
        <v>59</v>
      </c>
      <c r="N218" s="158" t="s">
        <v>801</v>
      </c>
      <c r="O218" s="146"/>
      <c r="P218" s="147" t="s">
        <v>693</v>
      </c>
      <c r="Q218" s="148" t="s">
        <v>802</v>
      </c>
      <c r="R218" s="140">
        <v>1</v>
      </c>
      <c r="S218" s="140">
        <v>3</v>
      </c>
      <c r="T218" s="144"/>
      <c r="U218" s="144"/>
    </row>
    <row r="219" spans="1:21" ht="29">
      <c r="A219" s="102" t="s">
        <v>684</v>
      </c>
      <c r="B219" s="103">
        <v>11</v>
      </c>
      <c r="C219" s="104" t="s">
        <v>697</v>
      </c>
      <c r="D219" s="105" t="s">
        <v>781</v>
      </c>
      <c r="E219" s="106" t="s">
        <v>782</v>
      </c>
      <c r="F219" s="60" t="s">
        <v>803</v>
      </c>
      <c r="G219" s="61" t="s">
        <v>804</v>
      </c>
      <c r="H219" s="60" t="s">
        <v>101</v>
      </c>
      <c r="I219" s="60" t="s">
        <v>72</v>
      </c>
      <c r="J219" s="138" t="s">
        <v>804</v>
      </c>
      <c r="K219" s="138"/>
      <c r="L219" s="22" t="s">
        <v>49</v>
      </c>
      <c r="M219" s="140" t="s">
        <v>59</v>
      </c>
      <c r="N219" s="161" t="s">
        <v>805</v>
      </c>
      <c r="O219" s="146"/>
      <c r="P219" s="147" t="s">
        <v>693</v>
      </c>
      <c r="Q219" s="148" t="s">
        <v>793</v>
      </c>
      <c r="R219" s="140" t="s">
        <v>296</v>
      </c>
      <c r="S219" s="140" t="s">
        <v>296</v>
      </c>
      <c r="T219" s="164"/>
      <c r="U219" s="164"/>
    </row>
    <row r="220" spans="1:21" ht="43.5">
      <c r="A220" s="97" t="s">
        <v>684</v>
      </c>
      <c r="B220" s="98">
        <v>11</v>
      </c>
      <c r="C220" s="99" t="s">
        <v>697</v>
      </c>
      <c r="D220" s="100" t="s">
        <v>781</v>
      </c>
      <c r="E220" s="108" t="s">
        <v>782</v>
      </c>
      <c r="F220" s="16" t="s">
        <v>806</v>
      </c>
      <c r="G220" s="17" t="s">
        <v>807</v>
      </c>
      <c r="H220" s="16" t="s">
        <v>47</v>
      </c>
      <c r="I220" s="16" t="s">
        <v>72</v>
      </c>
      <c r="J220" s="18" t="str">
        <f>G220</f>
        <v>Aplicar limitacions temporals d'accés o circulació</v>
      </c>
      <c r="K220" s="18"/>
      <c r="L220" s="22" t="s">
        <v>49</v>
      </c>
      <c r="M220" s="132" t="s">
        <v>50</v>
      </c>
      <c r="N220" s="154" t="s">
        <v>808</v>
      </c>
      <c r="O220" s="21"/>
      <c r="P220" s="19" t="s">
        <v>693</v>
      </c>
      <c r="Q220" s="135" t="s">
        <v>809</v>
      </c>
      <c r="R220" s="132">
        <v>2</v>
      </c>
      <c r="S220" s="132">
        <v>4</v>
      </c>
      <c r="T220" s="164"/>
      <c r="U220" s="164"/>
    </row>
    <row r="221" spans="1:21" ht="45" customHeight="1">
      <c r="A221" s="102" t="s">
        <v>684</v>
      </c>
      <c r="B221" s="103">
        <v>11</v>
      </c>
      <c r="C221" s="104" t="s">
        <v>697</v>
      </c>
      <c r="D221" s="105" t="s">
        <v>781</v>
      </c>
      <c r="E221" s="106" t="s">
        <v>782</v>
      </c>
      <c r="F221" s="60" t="s">
        <v>806</v>
      </c>
      <c r="G221" s="61" t="s">
        <v>807</v>
      </c>
      <c r="H221" s="60" t="s">
        <v>47</v>
      </c>
      <c r="I221" s="60" t="s">
        <v>72</v>
      </c>
      <c r="J221" s="138" t="s">
        <v>807</v>
      </c>
      <c r="K221" s="138"/>
      <c r="L221" s="22" t="s">
        <v>49</v>
      </c>
      <c r="M221" s="140" t="s">
        <v>59</v>
      </c>
      <c r="N221" s="158" t="s">
        <v>810</v>
      </c>
      <c r="O221" s="146"/>
      <c r="P221" s="147" t="s">
        <v>693</v>
      </c>
      <c r="Q221" s="148" t="s">
        <v>811</v>
      </c>
      <c r="R221" s="140" t="s">
        <v>296</v>
      </c>
      <c r="S221" s="140" t="s">
        <v>297</v>
      </c>
      <c r="T221" s="144"/>
      <c r="U221" s="144"/>
    </row>
    <row r="222" spans="1:21" ht="90" customHeight="1">
      <c r="A222" s="102" t="s">
        <v>684</v>
      </c>
      <c r="B222" s="103">
        <v>11</v>
      </c>
      <c r="C222" s="104" t="s">
        <v>697</v>
      </c>
      <c r="D222" s="105" t="s">
        <v>781</v>
      </c>
      <c r="E222" s="106" t="s">
        <v>782</v>
      </c>
      <c r="F222" s="60" t="s">
        <v>812</v>
      </c>
      <c r="G222" s="61" t="s">
        <v>813</v>
      </c>
      <c r="H222" s="60" t="s">
        <v>47</v>
      </c>
      <c r="I222" s="60" t="s">
        <v>72</v>
      </c>
      <c r="J222" s="138" t="s">
        <v>813</v>
      </c>
      <c r="K222" s="138"/>
      <c r="L222" s="22" t="s">
        <v>49</v>
      </c>
      <c r="M222" s="140" t="s">
        <v>128</v>
      </c>
      <c r="N222" s="161" t="s">
        <v>814</v>
      </c>
      <c r="O222" s="146"/>
      <c r="P222" s="147" t="s">
        <v>693</v>
      </c>
      <c r="Q222" s="148" t="s">
        <v>815</v>
      </c>
      <c r="R222" s="140" t="s">
        <v>296</v>
      </c>
      <c r="S222" s="140" t="s">
        <v>297</v>
      </c>
      <c r="T222" s="164"/>
      <c r="U222" s="164"/>
    </row>
    <row r="223" spans="1:21" ht="29">
      <c r="A223" s="102" t="s">
        <v>684</v>
      </c>
      <c r="B223" s="103">
        <v>11</v>
      </c>
      <c r="C223" s="104" t="s">
        <v>697</v>
      </c>
      <c r="D223" s="105" t="s">
        <v>816</v>
      </c>
      <c r="E223" s="106" t="s">
        <v>817</v>
      </c>
      <c r="F223" s="60" t="s">
        <v>818</v>
      </c>
      <c r="G223" s="61" t="s">
        <v>819</v>
      </c>
      <c r="H223" s="60" t="s">
        <v>47</v>
      </c>
      <c r="I223" s="60" t="s">
        <v>72</v>
      </c>
      <c r="J223" s="138" t="s">
        <v>819</v>
      </c>
      <c r="K223" s="138"/>
      <c r="L223" s="22" t="s">
        <v>49</v>
      </c>
      <c r="M223" s="140" t="s">
        <v>128</v>
      </c>
      <c r="N223" s="158" t="s">
        <v>820</v>
      </c>
      <c r="O223" s="146"/>
      <c r="P223" s="147"/>
      <c r="Q223" s="148" t="s">
        <v>821</v>
      </c>
      <c r="R223" s="171">
        <v>0.5</v>
      </c>
      <c r="S223" s="171">
        <v>1</v>
      </c>
      <c r="T223" s="164"/>
      <c r="U223" s="164"/>
    </row>
    <row r="224" spans="1:21" ht="30" customHeight="1">
      <c r="A224" s="102" t="s">
        <v>684</v>
      </c>
      <c r="B224" s="103">
        <v>11</v>
      </c>
      <c r="C224" s="104" t="s">
        <v>697</v>
      </c>
      <c r="D224" s="105" t="s">
        <v>816</v>
      </c>
      <c r="E224" s="106" t="s">
        <v>817</v>
      </c>
      <c r="F224" s="60" t="s">
        <v>818</v>
      </c>
      <c r="G224" s="61" t="s">
        <v>819</v>
      </c>
      <c r="H224" s="60" t="s">
        <v>47</v>
      </c>
      <c r="I224" s="60" t="s">
        <v>72</v>
      </c>
      <c r="J224" s="138" t="s">
        <v>819</v>
      </c>
      <c r="K224" s="138"/>
      <c r="L224" s="22" t="s">
        <v>49</v>
      </c>
      <c r="M224" s="140" t="s">
        <v>128</v>
      </c>
      <c r="N224" s="161" t="s">
        <v>822</v>
      </c>
      <c r="O224" s="146"/>
      <c r="P224" s="147"/>
      <c r="Q224" s="148" t="s">
        <v>821</v>
      </c>
      <c r="R224" s="171">
        <v>0.5</v>
      </c>
      <c r="S224" s="171">
        <v>1</v>
      </c>
      <c r="T224" s="166"/>
      <c r="U224" s="166"/>
    </row>
    <row r="225" spans="1:21" ht="29">
      <c r="A225" s="102" t="s">
        <v>684</v>
      </c>
      <c r="B225" s="103">
        <v>11</v>
      </c>
      <c r="C225" s="104" t="s">
        <v>697</v>
      </c>
      <c r="D225" s="105" t="s">
        <v>816</v>
      </c>
      <c r="E225" s="106" t="s">
        <v>817</v>
      </c>
      <c r="F225" s="60" t="s">
        <v>818</v>
      </c>
      <c r="G225" s="61" t="s">
        <v>819</v>
      </c>
      <c r="H225" s="60" t="s">
        <v>47</v>
      </c>
      <c r="I225" s="60" t="s">
        <v>72</v>
      </c>
      <c r="J225" s="138" t="s">
        <v>819</v>
      </c>
      <c r="K225" s="138"/>
      <c r="L225" s="22" t="s">
        <v>49</v>
      </c>
      <c r="M225" s="140" t="s">
        <v>128</v>
      </c>
      <c r="N225" s="161" t="s">
        <v>823</v>
      </c>
      <c r="O225" s="146"/>
      <c r="P225" s="147"/>
      <c r="Q225" s="148" t="s">
        <v>824</v>
      </c>
      <c r="R225" s="140" t="s">
        <v>296</v>
      </c>
      <c r="S225" s="140" t="s">
        <v>297</v>
      </c>
      <c r="T225" s="166"/>
      <c r="U225" s="166"/>
    </row>
    <row r="226" spans="1:21" ht="29">
      <c r="A226" s="102" t="s">
        <v>684</v>
      </c>
      <c r="B226" s="103">
        <v>11</v>
      </c>
      <c r="C226" s="104" t="s">
        <v>697</v>
      </c>
      <c r="D226" s="105" t="s">
        <v>816</v>
      </c>
      <c r="E226" s="106" t="s">
        <v>817</v>
      </c>
      <c r="F226" s="60" t="s">
        <v>825</v>
      </c>
      <c r="G226" s="61" t="s">
        <v>826</v>
      </c>
      <c r="H226" s="60" t="s">
        <v>47</v>
      </c>
      <c r="I226" s="60" t="s">
        <v>72</v>
      </c>
      <c r="J226" s="138" t="s">
        <v>826</v>
      </c>
      <c r="K226" s="138"/>
      <c r="L226" s="22" t="s">
        <v>49</v>
      </c>
      <c r="M226" s="140" t="s">
        <v>59</v>
      </c>
      <c r="N226" s="159" t="s">
        <v>827</v>
      </c>
      <c r="O226" s="146"/>
      <c r="P226" s="147"/>
      <c r="Q226" s="148" t="s">
        <v>828</v>
      </c>
      <c r="R226" s="140">
        <v>1</v>
      </c>
      <c r="S226" s="140">
        <v>3</v>
      </c>
      <c r="T226" s="164"/>
      <c r="U226" s="164"/>
    </row>
    <row r="227" spans="1:21" ht="45" customHeight="1">
      <c r="A227" s="97" t="s">
        <v>684</v>
      </c>
      <c r="B227" s="98">
        <v>11</v>
      </c>
      <c r="C227" s="99" t="s">
        <v>697</v>
      </c>
      <c r="D227" s="100" t="s">
        <v>829</v>
      </c>
      <c r="E227" s="108" t="s">
        <v>830</v>
      </c>
      <c r="F227" s="16" t="s">
        <v>831</v>
      </c>
      <c r="G227" s="17" t="s">
        <v>832</v>
      </c>
      <c r="H227" s="16" t="s">
        <v>47</v>
      </c>
      <c r="I227" s="16" t="s">
        <v>72</v>
      </c>
      <c r="J227" s="18" t="str">
        <f>G227</f>
        <v>Realitzar l'inventari de senyalètica de l'ENP</v>
      </c>
      <c r="K227" s="18"/>
      <c r="L227" s="22" t="s">
        <v>49</v>
      </c>
      <c r="M227" s="132" t="s">
        <v>50</v>
      </c>
      <c r="N227" s="157" t="s">
        <v>833</v>
      </c>
      <c r="O227" s="21"/>
      <c r="P227" s="19"/>
      <c r="Q227" s="135" t="s">
        <v>834</v>
      </c>
      <c r="R227" s="132">
        <v>1</v>
      </c>
      <c r="S227" s="132">
        <v>1</v>
      </c>
      <c r="T227" s="164"/>
      <c r="U227" s="164"/>
    </row>
    <row r="228" spans="1:21" ht="45" customHeight="1">
      <c r="A228" s="97" t="s">
        <v>684</v>
      </c>
      <c r="B228" s="109">
        <v>11</v>
      </c>
      <c r="C228" s="110" t="s">
        <v>697</v>
      </c>
      <c r="D228" s="111" t="s">
        <v>829</v>
      </c>
      <c r="E228" s="112" t="s">
        <v>830</v>
      </c>
      <c r="F228" s="21" t="s">
        <v>835</v>
      </c>
      <c r="G228" s="19" t="s">
        <v>836</v>
      </c>
      <c r="H228" s="21" t="s">
        <v>47</v>
      </c>
      <c r="I228" s="21" t="s">
        <v>72</v>
      </c>
      <c r="J228" s="134" t="str">
        <f>G228</f>
        <v xml:space="preserve">Implantar el programa de senyalització i manteniment </v>
      </c>
      <c r="K228" s="135"/>
      <c r="L228" s="22" t="s">
        <v>49</v>
      </c>
      <c r="M228" s="132" t="s">
        <v>50</v>
      </c>
      <c r="N228" s="157" t="s">
        <v>837</v>
      </c>
      <c r="O228" s="21" t="s">
        <v>92</v>
      </c>
      <c r="P228" s="19" t="s">
        <v>838</v>
      </c>
      <c r="Q228" s="135" t="s">
        <v>839</v>
      </c>
      <c r="R228" s="132">
        <v>50</v>
      </c>
      <c r="S228" s="132">
        <v>300</v>
      </c>
      <c r="T228" s="144"/>
      <c r="U228" s="144"/>
    </row>
    <row r="229" spans="1:21" ht="60" customHeight="1">
      <c r="A229" s="97" t="s">
        <v>684</v>
      </c>
      <c r="B229" s="109">
        <v>11</v>
      </c>
      <c r="C229" s="110" t="s">
        <v>697</v>
      </c>
      <c r="D229" s="111" t="s">
        <v>840</v>
      </c>
      <c r="E229" s="112" t="s">
        <v>841</v>
      </c>
      <c r="F229" s="21" t="s">
        <v>842</v>
      </c>
      <c r="G229" s="19" t="s">
        <v>843</v>
      </c>
      <c r="H229" s="21" t="s">
        <v>47</v>
      </c>
      <c r="I229" s="21" t="s">
        <v>204</v>
      </c>
      <c r="J229" s="134" t="str">
        <f>G229</f>
        <v xml:space="preserve">Potenciar la visita a espais alternatius dins de l'àmbit d'influència de l'espai natural per reduir la pressió en zones sensibles </v>
      </c>
      <c r="K229" s="135"/>
      <c r="L229" s="22" t="s">
        <v>49</v>
      </c>
      <c r="M229" s="132" t="s">
        <v>59</v>
      </c>
      <c r="N229" s="157" t="str">
        <f>J229</f>
        <v xml:space="preserve">Potenciar la visita a espais alternatius dins de l'àmbit d'influència de l'espai natural per reduir la pressió en zones sensibles </v>
      </c>
      <c r="O229" s="21"/>
      <c r="P229" s="19"/>
      <c r="Q229" s="135" t="s">
        <v>844</v>
      </c>
      <c r="R229" s="132">
        <v>2</v>
      </c>
      <c r="S229" s="132">
        <v>6</v>
      </c>
      <c r="T229" s="144"/>
      <c r="U229" s="144"/>
    </row>
    <row r="230" spans="1:21" ht="60" customHeight="1">
      <c r="A230" s="102" t="s">
        <v>684</v>
      </c>
      <c r="B230" s="103">
        <v>11</v>
      </c>
      <c r="C230" s="104" t="s">
        <v>697</v>
      </c>
      <c r="D230" s="105" t="s">
        <v>840</v>
      </c>
      <c r="E230" s="106" t="s">
        <v>841</v>
      </c>
      <c r="F230" s="60" t="s">
        <v>842</v>
      </c>
      <c r="G230" s="61" t="s">
        <v>843</v>
      </c>
      <c r="H230" s="60" t="s">
        <v>47</v>
      </c>
      <c r="I230" s="60" t="s">
        <v>204</v>
      </c>
      <c r="J230" s="138" t="s">
        <v>843</v>
      </c>
      <c r="K230" s="138"/>
      <c r="L230" s="22" t="s">
        <v>49</v>
      </c>
      <c r="M230" s="140" t="s">
        <v>59</v>
      </c>
      <c r="N230" s="161" t="s">
        <v>845</v>
      </c>
      <c r="O230" s="146"/>
      <c r="P230" s="147"/>
      <c r="Q230" s="148" t="s">
        <v>846</v>
      </c>
      <c r="R230" s="140" t="s">
        <v>847</v>
      </c>
      <c r="S230" s="140" t="s">
        <v>848</v>
      </c>
      <c r="T230" s="144"/>
      <c r="U230" s="144"/>
    </row>
    <row r="231" spans="1:21" ht="60" customHeight="1">
      <c r="A231" s="97" t="s">
        <v>684</v>
      </c>
      <c r="B231" s="98">
        <v>11</v>
      </c>
      <c r="C231" s="99" t="s">
        <v>697</v>
      </c>
      <c r="D231" s="100" t="s">
        <v>840</v>
      </c>
      <c r="E231" s="108" t="s">
        <v>841</v>
      </c>
      <c r="F231" s="16" t="s">
        <v>849</v>
      </c>
      <c r="G231" s="23" t="s">
        <v>850</v>
      </c>
      <c r="H231" s="16" t="s">
        <v>47</v>
      </c>
      <c r="I231" s="16" t="s">
        <v>204</v>
      </c>
      <c r="J231" s="136" t="str">
        <f>G231</f>
        <v xml:space="preserve">Implementar les mesures extraordinàries de regulació de l'ús públic </v>
      </c>
      <c r="K231" s="18"/>
      <c r="L231" s="22" t="s">
        <v>49</v>
      </c>
      <c r="M231" s="132" t="s">
        <v>50</v>
      </c>
      <c r="N231" s="154" t="s">
        <v>851</v>
      </c>
      <c r="O231" s="21"/>
      <c r="P231" s="19"/>
      <c r="Q231" s="135" t="s">
        <v>852</v>
      </c>
      <c r="R231" s="132">
        <v>8</v>
      </c>
      <c r="S231" s="132">
        <v>24</v>
      </c>
      <c r="T231" s="164"/>
      <c r="U231" s="164"/>
    </row>
    <row r="232" spans="1:21" ht="60" customHeight="1">
      <c r="A232" s="102" t="s">
        <v>684</v>
      </c>
      <c r="B232" s="103">
        <v>11</v>
      </c>
      <c r="C232" s="104" t="s">
        <v>697</v>
      </c>
      <c r="D232" s="105" t="s">
        <v>840</v>
      </c>
      <c r="E232" s="106" t="s">
        <v>841</v>
      </c>
      <c r="F232" s="60" t="s">
        <v>849</v>
      </c>
      <c r="G232" s="61" t="s">
        <v>850</v>
      </c>
      <c r="H232" s="60" t="s">
        <v>47</v>
      </c>
      <c r="I232" s="60" t="s">
        <v>204</v>
      </c>
      <c r="J232" s="138" t="s">
        <v>850</v>
      </c>
      <c r="K232" s="138"/>
      <c r="L232" s="22" t="s">
        <v>49</v>
      </c>
      <c r="M232" s="140" t="s">
        <v>50</v>
      </c>
      <c r="N232" s="158" t="s">
        <v>853</v>
      </c>
      <c r="O232" s="146"/>
      <c r="P232" s="147"/>
      <c r="Q232" s="148" t="s">
        <v>854</v>
      </c>
      <c r="R232" s="140" t="s">
        <v>855</v>
      </c>
      <c r="S232" s="140" t="s">
        <v>856</v>
      </c>
      <c r="T232" s="144"/>
      <c r="U232" s="144"/>
    </row>
    <row r="233" spans="1:21" ht="45" customHeight="1">
      <c r="A233" s="97" t="s">
        <v>684</v>
      </c>
      <c r="B233" s="98">
        <v>11</v>
      </c>
      <c r="C233" s="99" t="s">
        <v>697</v>
      </c>
      <c r="D233" s="100" t="s">
        <v>857</v>
      </c>
      <c r="E233" s="108" t="s">
        <v>858</v>
      </c>
      <c r="F233" s="16" t="s">
        <v>859</v>
      </c>
      <c r="G233" s="17" t="s">
        <v>860</v>
      </c>
      <c r="H233" s="16" t="s">
        <v>47</v>
      </c>
      <c r="I233" s="16" t="s">
        <v>72</v>
      </c>
      <c r="J233" s="18" t="str">
        <f>G233</f>
        <v>Adequar els principals accessos, aparcaments i centres d'interès amb un ús elevat</v>
      </c>
      <c r="K233" s="18"/>
      <c r="L233" s="22" t="s">
        <v>49</v>
      </c>
      <c r="M233" s="132" t="s">
        <v>50</v>
      </c>
      <c r="N233" s="154" t="s">
        <v>861</v>
      </c>
      <c r="O233" s="21"/>
      <c r="P233" s="19"/>
      <c r="Q233" s="135" t="s">
        <v>862</v>
      </c>
      <c r="R233" s="132">
        <v>4</v>
      </c>
      <c r="S233" s="132">
        <v>8</v>
      </c>
      <c r="T233" s="164"/>
      <c r="U233" s="164"/>
    </row>
    <row r="234" spans="1:21" ht="75" customHeight="1">
      <c r="A234" s="97" t="s">
        <v>684</v>
      </c>
      <c r="B234" s="98">
        <v>11</v>
      </c>
      <c r="C234" s="99" t="s">
        <v>697</v>
      </c>
      <c r="D234" s="100" t="s">
        <v>857</v>
      </c>
      <c r="E234" s="108" t="s">
        <v>858</v>
      </c>
      <c r="F234" s="16" t="s">
        <v>859</v>
      </c>
      <c r="G234" s="17" t="s">
        <v>860</v>
      </c>
      <c r="H234" s="16" t="s">
        <v>47</v>
      </c>
      <c r="I234" s="16" t="s">
        <v>72</v>
      </c>
      <c r="J234" s="18" t="str">
        <f>G234</f>
        <v>Adequar els principals accessos, aparcaments i centres d'interès amb un ús elevat</v>
      </c>
      <c r="K234" s="18"/>
      <c r="L234" s="22" t="s">
        <v>49</v>
      </c>
      <c r="M234" s="132" t="s">
        <v>50</v>
      </c>
      <c r="N234" s="154" t="s">
        <v>863</v>
      </c>
      <c r="O234" s="21"/>
      <c r="P234" s="19"/>
      <c r="Q234" s="135" t="s">
        <v>864</v>
      </c>
      <c r="R234" s="132">
        <v>20</v>
      </c>
      <c r="S234" s="132">
        <f>20*4</f>
        <v>80</v>
      </c>
      <c r="T234" s="144"/>
      <c r="U234" s="144"/>
    </row>
    <row r="235" spans="1:21" ht="75" customHeight="1">
      <c r="A235" s="97" t="s">
        <v>684</v>
      </c>
      <c r="B235" s="98">
        <v>11</v>
      </c>
      <c r="C235" s="99" t="s">
        <v>697</v>
      </c>
      <c r="D235" s="100" t="s">
        <v>857</v>
      </c>
      <c r="E235" s="108" t="s">
        <v>858</v>
      </c>
      <c r="F235" s="16" t="s">
        <v>859</v>
      </c>
      <c r="G235" s="17" t="s">
        <v>860</v>
      </c>
      <c r="H235" s="16" t="s">
        <v>47</v>
      </c>
      <c r="I235" s="16" t="s">
        <v>72</v>
      </c>
      <c r="J235" s="18" t="str">
        <f>G235</f>
        <v>Adequar els principals accessos, aparcaments i centres d'interès amb un ús elevat</v>
      </c>
      <c r="K235" s="18"/>
      <c r="L235" s="22" t="s">
        <v>49</v>
      </c>
      <c r="M235" s="132" t="s">
        <v>50</v>
      </c>
      <c r="N235" s="154" t="s">
        <v>865</v>
      </c>
      <c r="O235" s="21"/>
      <c r="P235" s="19"/>
      <c r="Q235" s="135" t="s">
        <v>866</v>
      </c>
      <c r="R235" s="132">
        <v>20</v>
      </c>
      <c r="S235" s="132">
        <f>20*4</f>
        <v>80</v>
      </c>
      <c r="T235" s="144"/>
      <c r="U235" s="144"/>
    </row>
    <row r="236" spans="1:21" ht="105" customHeight="1">
      <c r="A236" s="102" t="s">
        <v>684</v>
      </c>
      <c r="B236" s="103">
        <v>11</v>
      </c>
      <c r="C236" s="104" t="s">
        <v>697</v>
      </c>
      <c r="D236" s="105" t="s">
        <v>857</v>
      </c>
      <c r="E236" s="106" t="s">
        <v>858</v>
      </c>
      <c r="F236" s="60" t="s">
        <v>859</v>
      </c>
      <c r="G236" s="61" t="s">
        <v>860</v>
      </c>
      <c r="H236" s="60" t="s">
        <v>47</v>
      </c>
      <c r="I236" s="60" t="s">
        <v>72</v>
      </c>
      <c r="J236" s="138" t="s">
        <v>860</v>
      </c>
      <c r="K236" s="138"/>
      <c r="L236" s="22" t="s">
        <v>49</v>
      </c>
      <c r="M236" s="140" t="s">
        <v>50</v>
      </c>
      <c r="N236" s="161" t="s">
        <v>867</v>
      </c>
      <c r="O236" s="146"/>
      <c r="P236" s="147"/>
      <c r="Q236" s="148" t="s">
        <v>868</v>
      </c>
      <c r="R236" s="140">
        <v>1</v>
      </c>
      <c r="S236" s="140">
        <v>5</v>
      </c>
      <c r="T236" s="144"/>
      <c r="U236" s="144"/>
    </row>
    <row r="237" spans="1:21" ht="30" customHeight="1">
      <c r="A237" s="97" t="s">
        <v>684</v>
      </c>
      <c r="B237" s="98">
        <v>11</v>
      </c>
      <c r="C237" s="99" t="s">
        <v>697</v>
      </c>
      <c r="D237" s="100" t="s">
        <v>857</v>
      </c>
      <c r="E237" s="108" t="s">
        <v>858</v>
      </c>
      <c r="F237" s="16" t="s">
        <v>869</v>
      </c>
      <c r="G237" s="23" t="s">
        <v>870</v>
      </c>
      <c r="H237" s="16" t="s">
        <v>47</v>
      </c>
      <c r="I237" s="16" t="s">
        <v>72</v>
      </c>
      <c r="J237" s="18" t="str">
        <f t="shared" ref="J237:J243" si="6">G237</f>
        <v>Disposar dels equipaments i infraestructures necessàries i accessibles per acollir, informar, facilitar la visita i garantir la seguretat dels visitants i la protecció de l'entorn</v>
      </c>
      <c r="K237" s="18"/>
      <c r="L237" s="22" t="s">
        <v>49</v>
      </c>
      <c r="M237" s="133" t="s">
        <v>50</v>
      </c>
      <c r="N237" s="162" t="s">
        <v>871</v>
      </c>
      <c r="O237" s="21"/>
      <c r="P237" s="19"/>
      <c r="Q237" s="135" t="s">
        <v>872</v>
      </c>
      <c r="R237" s="132">
        <v>1</v>
      </c>
      <c r="S237" s="132">
        <v>1</v>
      </c>
      <c r="T237" s="164"/>
      <c r="U237" s="164"/>
    </row>
    <row r="238" spans="1:21" ht="30" customHeight="1">
      <c r="A238" s="97" t="s">
        <v>684</v>
      </c>
      <c r="B238" s="98">
        <v>11</v>
      </c>
      <c r="C238" s="99" t="s">
        <v>697</v>
      </c>
      <c r="D238" s="100" t="s">
        <v>857</v>
      </c>
      <c r="E238" s="108" t="s">
        <v>858</v>
      </c>
      <c r="F238" s="16" t="s">
        <v>869</v>
      </c>
      <c r="G238" s="23" t="s">
        <v>870</v>
      </c>
      <c r="H238" s="16" t="s">
        <v>47</v>
      </c>
      <c r="I238" s="16" t="s">
        <v>72</v>
      </c>
      <c r="J238" s="18" t="str">
        <f t="shared" si="6"/>
        <v>Disposar dels equipaments i infraestructures necessàries i accessibles per acollir, informar, facilitar la visita i garantir la seguretat dels visitants i la protecció de l'entorn</v>
      </c>
      <c r="K238" s="18"/>
      <c r="L238" s="22" t="s">
        <v>49</v>
      </c>
      <c r="M238" s="133" t="s">
        <v>50</v>
      </c>
      <c r="N238" s="162" t="s">
        <v>873</v>
      </c>
      <c r="O238" s="21"/>
      <c r="P238" s="19"/>
      <c r="Q238" s="135" t="s">
        <v>874</v>
      </c>
      <c r="R238" s="132">
        <v>1</v>
      </c>
      <c r="S238" s="132">
        <v>1</v>
      </c>
      <c r="T238" s="144"/>
      <c r="U238" s="144"/>
    </row>
    <row r="239" spans="1:21" ht="30" customHeight="1">
      <c r="A239" s="97" t="s">
        <v>684</v>
      </c>
      <c r="B239" s="98">
        <v>11</v>
      </c>
      <c r="C239" s="99" t="s">
        <v>697</v>
      </c>
      <c r="D239" s="100" t="s">
        <v>857</v>
      </c>
      <c r="E239" s="108" t="s">
        <v>858</v>
      </c>
      <c r="F239" s="16" t="s">
        <v>869</v>
      </c>
      <c r="G239" s="23" t="s">
        <v>870</v>
      </c>
      <c r="H239" s="16" t="s">
        <v>47</v>
      </c>
      <c r="I239" s="16" t="s">
        <v>72</v>
      </c>
      <c r="J239" s="18" t="str">
        <f t="shared" si="6"/>
        <v>Disposar dels equipaments i infraestructures necessàries i accessibles per acollir, informar, facilitar la visita i garantir la seguretat dels visitants i la protecció de l'entorn</v>
      </c>
      <c r="K239" s="18"/>
      <c r="L239" s="22" t="s">
        <v>49</v>
      </c>
      <c r="M239" s="133" t="s">
        <v>50</v>
      </c>
      <c r="N239" s="162" t="s">
        <v>875</v>
      </c>
      <c r="O239" s="21"/>
      <c r="P239" s="19"/>
      <c r="Q239" s="135" t="s">
        <v>876</v>
      </c>
      <c r="R239" s="132">
        <v>1</v>
      </c>
      <c r="S239" s="132">
        <v>2</v>
      </c>
      <c r="T239" s="144"/>
      <c r="U239" s="144"/>
    </row>
    <row r="240" spans="1:21" ht="30" customHeight="1">
      <c r="A240" s="97" t="s">
        <v>684</v>
      </c>
      <c r="B240" s="98">
        <v>11</v>
      </c>
      <c r="C240" s="99" t="s">
        <v>697</v>
      </c>
      <c r="D240" s="100" t="s">
        <v>857</v>
      </c>
      <c r="E240" s="108" t="s">
        <v>858</v>
      </c>
      <c r="F240" s="16" t="s">
        <v>869</v>
      </c>
      <c r="G240" s="23" t="s">
        <v>870</v>
      </c>
      <c r="H240" s="16" t="s">
        <v>47</v>
      </c>
      <c r="I240" s="16" t="s">
        <v>72</v>
      </c>
      <c r="J240" s="18" t="str">
        <f t="shared" si="6"/>
        <v>Disposar dels equipaments i infraestructures necessàries i accessibles per acollir, informar, facilitar la visita i garantir la seguretat dels visitants i la protecció de l'entorn</v>
      </c>
      <c r="K240" s="18"/>
      <c r="L240" s="22" t="s">
        <v>49</v>
      </c>
      <c r="M240" s="133" t="s">
        <v>50</v>
      </c>
      <c r="N240" s="162" t="s">
        <v>877</v>
      </c>
      <c r="O240" s="21"/>
      <c r="P240" s="19"/>
      <c r="Q240" s="135" t="s">
        <v>878</v>
      </c>
      <c r="R240" s="132">
        <v>2</v>
      </c>
      <c r="S240" s="132">
        <v>6</v>
      </c>
      <c r="T240" s="144"/>
      <c r="U240" s="144"/>
    </row>
    <row r="241" spans="1:21" ht="105" customHeight="1">
      <c r="A241" s="97" t="s">
        <v>684</v>
      </c>
      <c r="B241" s="98">
        <v>11</v>
      </c>
      <c r="C241" s="99" t="s">
        <v>697</v>
      </c>
      <c r="D241" s="100" t="s">
        <v>857</v>
      </c>
      <c r="E241" s="108" t="s">
        <v>858</v>
      </c>
      <c r="F241" s="16" t="s">
        <v>869</v>
      </c>
      <c r="G241" s="23" t="s">
        <v>870</v>
      </c>
      <c r="H241" s="16" t="s">
        <v>47</v>
      </c>
      <c r="I241" s="16" t="s">
        <v>72</v>
      </c>
      <c r="J241" s="18" t="str">
        <f t="shared" si="6"/>
        <v>Disposar dels equipaments i infraestructures necessàries i accessibles per acollir, informar, facilitar la visita i garantir la seguretat dels visitants i la protecció de l'entorn</v>
      </c>
      <c r="K241" s="18"/>
      <c r="L241" s="22" t="s">
        <v>49</v>
      </c>
      <c r="M241" s="133" t="s">
        <v>50</v>
      </c>
      <c r="N241" s="162" t="s">
        <v>879</v>
      </c>
      <c r="O241" s="21"/>
      <c r="P241" s="19"/>
      <c r="Q241" s="135" t="s">
        <v>880</v>
      </c>
      <c r="R241" s="132">
        <v>1</v>
      </c>
      <c r="S241" s="132">
        <v>6</v>
      </c>
      <c r="T241" s="144"/>
      <c r="U241" s="144"/>
    </row>
    <row r="242" spans="1:21" ht="30" customHeight="1">
      <c r="A242" s="97" t="s">
        <v>684</v>
      </c>
      <c r="B242" s="98">
        <v>11</v>
      </c>
      <c r="C242" s="99" t="s">
        <v>697</v>
      </c>
      <c r="D242" s="100" t="s">
        <v>857</v>
      </c>
      <c r="E242" s="108" t="s">
        <v>858</v>
      </c>
      <c r="F242" s="16" t="s">
        <v>869</v>
      </c>
      <c r="G242" s="23" t="s">
        <v>870</v>
      </c>
      <c r="H242" s="16" t="s">
        <v>47</v>
      </c>
      <c r="I242" s="16" t="s">
        <v>72</v>
      </c>
      <c r="J242" s="18" t="str">
        <f t="shared" si="6"/>
        <v>Disposar dels equipaments i infraestructures necessàries i accessibles per acollir, informar, facilitar la visita i garantir la seguretat dels visitants i la protecció de l'entorn</v>
      </c>
      <c r="K242" s="18"/>
      <c r="L242" s="22" t="s">
        <v>49</v>
      </c>
      <c r="M242" s="133" t="s">
        <v>59</v>
      </c>
      <c r="N242" s="162" t="s">
        <v>881</v>
      </c>
      <c r="O242" s="21"/>
      <c r="P242" s="19"/>
      <c r="Q242" s="135" t="s">
        <v>882</v>
      </c>
      <c r="R242" s="132">
        <v>1</v>
      </c>
      <c r="S242" s="132">
        <v>1</v>
      </c>
      <c r="T242" s="144"/>
      <c r="U242" s="144"/>
    </row>
    <row r="243" spans="1:21" ht="43.5">
      <c r="A243" s="97" t="s">
        <v>684</v>
      </c>
      <c r="B243" s="98">
        <v>11</v>
      </c>
      <c r="C243" s="99" t="s">
        <v>697</v>
      </c>
      <c r="D243" s="100" t="s">
        <v>857</v>
      </c>
      <c r="E243" s="108" t="s">
        <v>858</v>
      </c>
      <c r="F243" s="16" t="s">
        <v>869</v>
      </c>
      <c r="G243" s="23" t="s">
        <v>870</v>
      </c>
      <c r="H243" s="16" t="s">
        <v>47</v>
      </c>
      <c r="I243" s="16" t="s">
        <v>72</v>
      </c>
      <c r="J243" s="18" t="str">
        <f t="shared" si="6"/>
        <v>Disposar dels equipaments i infraestructures necessàries i accessibles per acollir, informar, facilitar la visita i garantir la seguretat dels visitants i la protecció de l'entorn</v>
      </c>
      <c r="K243" s="18"/>
      <c r="L243" s="22" t="s">
        <v>49</v>
      </c>
      <c r="M243" s="133" t="s">
        <v>50</v>
      </c>
      <c r="N243" s="162" t="s">
        <v>883</v>
      </c>
      <c r="O243" s="21"/>
      <c r="P243" s="19"/>
      <c r="Q243" s="135" t="s">
        <v>884</v>
      </c>
      <c r="R243" s="132">
        <v>1</v>
      </c>
      <c r="S243" s="132">
        <v>1</v>
      </c>
      <c r="T243" s="144"/>
      <c r="U243" s="144"/>
    </row>
    <row r="244" spans="1:21" ht="30" customHeight="1">
      <c r="A244" s="97" t="s">
        <v>684</v>
      </c>
      <c r="B244" s="98">
        <v>11</v>
      </c>
      <c r="C244" s="99" t="s">
        <v>697</v>
      </c>
      <c r="D244" s="105" t="s">
        <v>857</v>
      </c>
      <c r="E244" s="106" t="s">
        <v>858</v>
      </c>
      <c r="F244" s="60" t="s">
        <v>869</v>
      </c>
      <c r="G244" s="61" t="s">
        <v>870</v>
      </c>
      <c r="H244" s="60" t="s">
        <v>47</v>
      </c>
      <c r="I244" s="60" t="s">
        <v>72</v>
      </c>
      <c r="J244" s="138" t="s">
        <v>870</v>
      </c>
      <c r="K244" s="138"/>
      <c r="L244" s="22" t="s">
        <v>49</v>
      </c>
      <c r="M244" s="140" t="s">
        <v>128</v>
      </c>
      <c r="N244" s="161" t="s">
        <v>885</v>
      </c>
      <c r="O244" s="146"/>
      <c r="P244" s="147"/>
      <c r="Q244" s="148" t="s">
        <v>886</v>
      </c>
      <c r="R244" s="174" t="s">
        <v>296</v>
      </c>
      <c r="S244" s="174" t="s">
        <v>297</v>
      </c>
      <c r="T244" s="144"/>
      <c r="U244" s="144"/>
    </row>
    <row r="245" spans="1:21" ht="43.5">
      <c r="A245" s="97" t="s">
        <v>684</v>
      </c>
      <c r="B245" s="98">
        <v>11</v>
      </c>
      <c r="C245" s="99" t="s">
        <v>697</v>
      </c>
      <c r="D245" s="105" t="s">
        <v>857</v>
      </c>
      <c r="E245" s="106" t="s">
        <v>858</v>
      </c>
      <c r="F245" s="60" t="s">
        <v>869</v>
      </c>
      <c r="G245" s="61" t="s">
        <v>870</v>
      </c>
      <c r="H245" s="60" t="s">
        <v>47</v>
      </c>
      <c r="I245" s="60" t="s">
        <v>72</v>
      </c>
      <c r="J245" s="138" t="s">
        <v>870</v>
      </c>
      <c r="K245" s="138"/>
      <c r="L245" s="22" t="s">
        <v>49</v>
      </c>
      <c r="M245" s="140" t="s">
        <v>128</v>
      </c>
      <c r="N245" s="161" t="s">
        <v>887</v>
      </c>
      <c r="O245" s="146"/>
      <c r="P245" s="147"/>
      <c r="Q245" s="148" t="s">
        <v>886</v>
      </c>
      <c r="R245" s="174" t="s">
        <v>296</v>
      </c>
      <c r="S245" s="174" t="s">
        <v>297</v>
      </c>
      <c r="T245" s="167"/>
      <c r="U245" s="167"/>
    </row>
    <row r="246" spans="1:21" ht="45" customHeight="1">
      <c r="A246" s="102" t="s">
        <v>684</v>
      </c>
      <c r="B246" s="103">
        <v>11</v>
      </c>
      <c r="C246" s="104" t="s">
        <v>697</v>
      </c>
      <c r="D246" s="105" t="s">
        <v>857</v>
      </c>
      <c r="E246" s="106" t="s">
        <v>858</v>
      </c>
      <c r="F246" s="60" t="s">
        <v>888</v>
      </c>
      <c r="G246" s="61" t="s">
        <v>889</v>
      </c>
      <c r="H246" s="60" t="s">
        <v>47</v>
      </c>
      <c r="I246" s="60" t="s">
        <v>72</v>
      </c>
      <c r="J246" s="138" t="s">
        <v>889</v>
      </c>
      <c r="K246" s="138"/>
      <c r="L246" s="22" t="s">
        <v>49</v>
      </c>
      <c r="M246" s="140" t="s">
        <v>50</v>
      </c>
      <c r="N246" s="161" t="s">
        <v>890</v>
      </c>
      <c r="O246" s="146"/>
      <c r="P246" s="147" t="s">
        <v>891</v>
      </c>
      <c r="Q246" s="148" t="s">
        <v>892</v>
      </c>
      <c r="R246" s="140" t="s">
        <v>296</v>
      </c>
      <c r="S246" s="140" t="s">
        <v>297</v>
      </c>
      <c r="T246" s="167"/>
      <c r="U246" s="167"/>
    </row>
    <row r="247" spans="1:21" ht="29">
      <c r="A247" s="102" t="s">
        <v>684</v>
      </c>
      <c r="B247" s="103">
        <v>11</v>
      </c>
      <c r="C247" s="104" t="s">
        <v>697</v>
      </c>
      <c r="D247" s="105" t="s">
        <v>857</v>
      </c>
      <c r="E247" s="106" t="s">
        <v>858</v>
      </c>
      <c r="F247" s="60" t="s">
        <v>893</v>
      </c>
      <c r="G247" s="61" t="s">
        <v>894</v>
      </c>
      <c r="H247" s="60" t="s">
        <v>47</v>
      </c>
      <c r="I247" s="60" t="s">
        <v>72</v>
      </c>
      <c r="J247" s="138" t="s">
        <v>894</v>
      </c>
      <c r="K247" s="138"/>
      <c r="L247" s="22" t="s">
        <v>49</v>
      </c>
      <c r="M247" s="140" t="s">
        <v>128</v>
      </c>
      <c r="N247" s="158" t="s">
        <v>895</v>
      </c>
      <c r="O247" s="146" t="s">
        <v>52</v>
      </c>
      <c r="P247" s="147" t="s">
        <v>896</v>
      </c>
      <c r="Q247" s="148" t="s">
        <v>897</v>
      </c>
      <c r="R247" s="140">
        <v>2</v>
      </c>
      <c r="S247" s="140">
        <v>7</v>
      </c>
      <c r="T247" s="164"/>
      <c r="U247" s="164"/>
    </row>
    <row r="248" spans="1:21" ht="29">
      <c r="A248" s="97" t="s">
        <v>684</v>
      </c>
      <c r="B248" s="98">
        <v>11</v>
      </c>
      <c r="C248" s="99" t="s">
        <v>697</v>
      </c>
      <c r="D248" s="100" t="s">
        <v>898</v>
      </c>
      <c r="E248" s="108" t="s">
        <v>899</v>
      </c>
      <c r="F248" s="16" t="s">
        <v>900</v>
      </c>
      <c r="G248" s="17" t="s">
        <v>901</v>
      </c>
      <c r="H248" s="16" t="s">
        <v>47</v>
      </c>
      <c r="I248" s="16" t="s">
        <v>204</v>
      </c>
      <c r="J248" s="136" t="str">
        <f>G248</f>
        <v>Elaborar i executar el Pla de vigilància de l’espai d'acord amb els cossos d’inspecció i seguretat</v>
      </c>
      <c r="K248" s="136"/>
      <c r="L248" s="22" t="s">
        <v>49</v>
      </c>
      <c r="M248" s="133" t="s">
        <v>59</v>
      </c>
      <c r="N248" s="162" t="s">
        <v>902</v>
      </c>
      <c r="O248" s="21"/>
      <c r="P248" s="19"/>
      <c r="Q248" s="135" t="s">
        <v>903</v>
      </c>
      <c r="R248" s="132">
        <v>1</v>
      </c>
      <c r="S248" s="132">
        <v>1</v>
      </c>
      <c r="T248" s="164"/>
      <c r="U248" s="164"/>
    </row>
    <row r="249" spans="1:21" ht="45" customHeight="1">
      <c r="A249" s="97" t="s">
        <v>684</v>
      </c>
      <c r="B249" s="98">
        <v>11</v>
      </c>
      <c r="C249" s="99" t="s">
        <v>697</v>
      </c>
      <c r="D249" s="100" t="s">
        <v>898</v>
      </c>
      <c r="E249" s="108" t="s">
        <v>899</v>
      </c>
      <c r="F249" s="16" t="s">
        <v>900</v>
      </c>
      <c r="G249" s="17" t="s">
        <v>901</v>
      </c>
      <c r="H249" s="16" t="s">
        <v>47</v>
      </c>
      <c r="I249" s="16" t="s">
        <v>204</v>
      </c>
      <c r="J249" s="136" t="str">
        <f>G249</f>
        <v>Elaborar i executar el Pla de vigilància de l’espai d'acord amb els cossos d’inspecció i seguretat</v>
      </c>
      <c r="K249" s="136"/>
      <c r="L249" s="22" t="s">
        <v>49</v>
      </c>
      <c r="M249" s="133" t="s">
        <v>50</v>
      </c>
      <c r="N249" s="162" t="s">
        <v>904</v>
      </c>
      <c r="O249" s="21"/>
      <c r="P249" s="19"/>
      <c r="Q249" s="135" t="s">
        <v>905</v>
      </c>
      <c r="R249" s="132">
        <v>8</v>
      </c>
      <c r="S249" s="132">
        <v>16</v>
      </c>
      <c r="T249" s="144"/>
      <c r="U249" s="144"/>
    </row>
    <row r="250" spans="1:21" ht="60" customHeight="1">
      <c r="A250" s="97" t="s">
        <v>684</v>
      </c>
      <c r="B250" s="98">
        <v>11</v>
      </c>
      <c r="C250" s="99" t="s">
        <v>697</v>
      </c>
      <c r="D250" s="100" t="s">
        <v>898</v>
      </c>
      <c r="E250" s="108" t="s">
        <v>899</v>
      </c>
      <c r="F250" s="16" t="s">
        <v>906</v>
      </c>
      <c r="G250" s="17" t="s">
        <v>907</v>
      </c>
      <c r="H250" s="16" t="s">
        <v>47</v>
      </c>
      <c r="I250" s="16" t="s">
        <v>72</v>
      </c>
      <c r="J250" s="136" t="str">
        <f>G250</f>
        <v>Millorar la coordinació amb els cossos de seguretat per efectuar accions de control i vigilància</v>
      </c>
      <c r="K250" s="136"/>
      <c r="L250" s="22" t="s">
        <v>49</v>
      </c>
      <c r="M250" s="133" t="s">
        <v>50</v>
      </c>
      <c r="N250" s="154" t="s">
        <v>908</v>
      </c>
      <c r="O250" s="21"/>
      <c r="P250" s="19"/>
      <c r="Q250" s="135" t="s">
        <v>909</v>
      </c>
      <c r="R250" s="132">
        <v>6</v>
      </c>
      <c r="S250" s="132">
        <v>24</v>
      </c>
      <c r="T250" s="144"/>
      <c r="U250" s="144"/>
    </row>
    <row r="251" spans="1:21" ht="75" customHeight="1">
      <c r="A251" s="102" t="s">
        <v>684</v>
      </c>
      <c r="B251" s="103">
        <v>11</v>
      </c>
      <c r="C251" s="104" t="s">
        <v>697</v>
      </c>
      <c r="D251" s="105" t="s">
        <v>898</v>
      </c>
      <c r="E251" s="106" t="s">
        <v>899</v>
      </c>
      <c r="F251" s="60" t="s">
        <v>906</v>
      </c>
      <c r="G251" s="61" t="s">
        <v>907</v>
      </c>
      <c r="H251" s="60" t="s">
        <v>47</v>
      </c>
      <c r="I251" s="60" t="s">
        <v>72</v>
      </c>
      <c r="J251" s="138" t="s">
        <v>907</v>
      </c>
      <c r="K251" s="138"/>
      <c r="L251" s="22" t="s">
        <v>49</v>
      </c>
      <c r="M251" s="140" t="s">
        <v>128</v>
      </c>
      <c r="N251" s="158" t="s">
        <v>910</v>
      </c>
      <c r="O251" s="146"/>
      <c r="P251" s="147"/>
      <c r="Q251" s="148" t="s">
        <v>911</v>
      </c>
      <c r="R251" s="140">
        <v>2</v>
      </c>
      <c r="S251" s="140">
        <v>6</v>
      </c>
      <c r="T251" s="144"/>
      <c r="U251" s="144"/>
    </row>
    <row r="252" spans="1:21" ht="30" customHeight="1">
      <c r="A252" s="97" t="s">
        <v>684</v>
      </c>
      <c r="B252" s="98">
        <v>11</v>
      </c>
      <c r="C252" s="99" t="s">
        <v>697</v>
      </c>
      <c r="D252" s="100" t="s">
        <v>898</v>
      </c>
      <c r="E252" s="108" t="s">
        <v>899</v>
      </c>
      <c r="F252" s="16" t="s">
        <v>912</v>
      </c>
      <c r="G252" s="17" t="s">
        <v>913</v>
      </c>
      <c r="H252" s="16" t="s">
        <v>47</v>
      </c>
      <c r="I252" s="16" t="s">
        <v>72</v>
      </c>
      <c r="J252" s="136" t="str">
        <f>G252</f>
        <v>Vetllar pel compliment d'informes i la vigilància tècnica de l'espai</v>
      </c>
      <c r="K252" s="18"/>
      <c r="L252" s="22" t="s">
        <v>49</v>
      </c>
      <c r="M252" s="132" t="s">
        <v>50</v>
      </c>
      <c r="N252" s="154" t="s">
        <v>914</v>
      </c>
      <c r="O252" s="21"/>
      <c r="P252" s="19"/>
      <c r="Q252" s="135" t="s">
        <v>915</v>
      </c>
      <c r="R252" s="132">
        <v>6</v>
      </c>
      <c r="S252" s="132">
        <v>24</v>
      </c>
      <c r="T252" s="164"/>
      <c r="U252" s="164"/>
    </row>
    <row r="253" spans="1:21" ht="75" customHeight="1">
      <c r="A253" s="102" t="s">
        <v>684</v>
      </c>
      <c r="B253" s="103">
        <v>11</v>
      </c>
      <c r="C253" s="104" t="s">
        <v>697</v>
      </c>
      <c r="D253" s="105" t="s">
        <v>898</v>
      </c>
      <c r="E253" s="106" t="s">
        <v>899</v>
      </c>
      <c r="F253" s="60" t="s">
        <v>912</v>
      </c>
      <c r="G253" s="61" t="s">
        <v>913</v>
      </c>
      <c r="H253" s="60" t="s">
        <v>47</v>
      </c>
      <c r="I253" s="60" t="s">
        <v>72</v>
      </c>
      <c r="J253" s="138" t="s">
        <v>913</v>
      </c>
      <c r="K253" s="138"/>
      <c r="L253" s="22" t="s">
        <v>49</v>
      </c>
      <c r="M253" s="140" t="s">
        <v>128</v>
      </c>
      <c r="N253" s="158" t="s">
        <v>916</v>
      </c>
      <c r="O253" s="146"/>
      <c r="P253" s="147"/>
      <c r="Q253" s="148" t="s">
        <v>917</v>
      </c>
      <c r="R253" s="140">
        <v>5</v>
      </c>
      <c r="S253" s="140" t="s">
        <v>918</v>
      </c>
      <c r="T253" s="144"/>
      <c r="U253" s="144"/>
    </row>
    <row r="254" spans="1:21" ht="15" customHeight="1">
      <c r="A254" s="97" t="s">
        <v>684</v>
      </c>
      <c r="B254" s="98">
        <v>12</v>
      </c>
      <c r="C254" s="99" t="s">
        <v>919</v>
      </c>
      <c r="D254" s="100" t="s">
        <v>920</v>
      </c>
      <c r="E254" s="108" t="s">
        <v>921</v>
      </c>
      <c r="F254" s="16" t="s">
        <v>922</v>
      </c>
      <c r="G254" s="17" t="s">
        <v>923</v>
      </c>
      <c r="H254" s="16" t="s">
        <v>47</v>
      </c>
      <c r="I254" s="16" t="s">
        <v>72</v>
      </c>
      <c r="J254" s="136" t="str">
        <f>G254</f>
        <v>Ordenar el pla d’emergències</v>
      </c>
      <c r="K254" s="136"/>
      <c r="L254" s="22" t="s">
        <v>49</v>
      </c>
      <c r="M254" s="133" t="s">
        <v>50</v>
      </c>
      <c r="N254" s="162" t="s">
        <v>924</v>
      </c>
      <c r="O254" s="21"/>
      <c r="P254" s="19"/>
      <c r="Q254" s="135" t="s">
        <v>925</v>
      </c>
      <c r="R254" s="132">
        <v>1</v>
      </c>
      <c r="S254" s="132">
        <v>1</v>
      </c>
      <c r="T254" s="164"/>
      <c r="U254" s="164"/>
    </row>
    <row r="255" spans="1:21" ht="29">
      <c r="A255" s="97" t="s">
        <v>684</v>
      </c>
      <c r="B255" s="98">
        <v>12</v>
      </c>
      <c r="C255" s="99" t="s">
        <v>919</v>
      </c>
      <c r="D255" s="100" t="s">
        <v>920</v>
      </c>
      <c r="E255" s="108" t="s">
        <v>921</v>
      </c>
      <c r="F255" s="16" t="s">
        <v>926</v>
      </c>
      <c r="G255" s="17" t="s">
        <v>927</v>
      </c>
      <c r="H255" s="16" t="s">
        <v>47</v>
      </c>
      <c r="I255" s="16" t="s">
        <v>72</v>
      </c>
      <c r="J255" s="18" t="str">
        <f>G255</f>
        <v>Contribuir a la protecció dels assentaments humans respecte dels riscos naturals</v>
      </c>
      <c r="K255" s="18"/>
      <c r="L255" s="22" t="s">
        <v>49</v>
      </c>
      <c r="M255" s="132" t="s">
        <v>50</v>
      </c>
      <c r="N255" s="154" t="s">
        <v>928</v>
      </c>
      <c r="O255" s="21"/>
      <c r="P255" s="19"/>
      <c r="Q255" s="135" t="s">
        <v>929</v>
      </c>
      <c r="R255" s="132">
        <v>1</v>
      </c>
      <c r="S255" s="132">
        <v>50</v>
      </c>
      <c r="T255" s="144"/>
      <c r="U255" s="144"/>
    </row>
    <row r="256" spans="1:21" ht="45" customHeight="1">
      <c r="A256" s="97" t="s">
        <v>684</v>
      </c>
      <c r="B256" s="98">
        <v>12</v>
      </c>
      <c r="C256" s="99" t="s">
        <v>919</v>
      </c>
      <c r="D256" s="100" t="s">
        <v>920</v>
      </c>
      <c r="E256" s="108" t="s">
        <v>921</v>
      </c>
      <c r="F256" s="16" t="s">
        <v>926</v>
      </c>
      <c r="G256" s="17" t="s">
        <v>927</v>
      </c>
      <c r="H256" s="16" t="s">
        <v>47</v>
      </c>
      <c r="I256" s="16" t="s">
        <v>72</v>
      </c>
      <c r="J256" s="136" t="str">
        <f>G256</f>
        <v>Contribuir a la protecció dels assentaments humans respecte dels riscos naturals</v>
      </c>
      <c r="K256" s="136"/>
      <c r="L256" s="22" t="s">
        <v>49</v>
      </c>
      <c r="M256" s="133" t="s">
        <v>132</v>
      </c>
      <c r="N256" s="162" t="s">
        <v>930</v>
      </c>
      <c r="O256" s="21"/>
      <c r="P256" s="19"/>
      <c r="Q256" s="175" t="s">
        <v>707</v>
      </c>
      <c r="R256" s="132" t="s">
        <v>707</v>
      </c>
      <c r="S256" s="132" t="s">
        <v>707</v>
      </c>
      <c r="T256" s="144"/>
      <c r="U256" s="144"/>
    </row>
    <row r="257" spans="1:21" ht="60" customHeight="1">
      <c r="A257" s="113" t="s">
        <v>931</v>
      </c>
      <c r="B257" s="60">
        <v>13</v>
      </c>
      <c r="C257" s="61" t="s">
        <v>932</v>
      </c>
      <c r="D257" s="114" t="s">
        <v>933</v>
      </c>
      <c r="E257" s="115" t="s">
        <v>934</v>
      </c>
      <c r="F257" s="60" t="s">
        <v>935</v>
      </c>
      <c r="G257" s="61" t="s">
        <v>936</v>
      </c>
      <c r="H257" s="60" t="s">
        <v>47</v>
      </c>
      <c r="I257" s="60" t="s">
        <v>72</v>
      </c>
      <c r="J257" s="138" t="s">
        <v>936</v>
      </c>
      <c r="K257" s="138"/>
      <c r="L257" s="22" t="s">
        <v>49</v>
      </c>
      <c r="M257" s="140" t="s">
        <v>59</v>
      </c>
      <c r="N257" s="158" t="s">
        <v>937</v>
      </c>
      <c r="O257" s="146"/>
      <c r="P257" s="147"/>
      <c r="Q257" s="148" t="s">
        <v>938</v>
      </c>
      <c r="R257" s="140" t="s">
        <v>296</v>
      </c>
      <c r="S257" s="140" t="s">
        <v>297</v>
      </c>
      <c r="T257" s="144"/>
      <c r="U257" s="144"/>
    </row>
    <row r="258" spans="1:21" ht="30" customHeight="1">
      <c r="A258" s="113" t="s">
        <v>931</v>
      </c>
      <c r="B258" s="60">
        <v>13</v>
      </c>
      <c r="C258" s="61" t="s">
        <v>932</v>
      </c>
      <c r="D258" s="114" t="s">
        <v>933</v>
      </c>
      <c r="E258" s="115" t="s">
        <v>934</v>
      </c>
      <c r="F258" s="60" t="s">
        <v>935</v>
      </c>
      <c r="G258" s="61" t="s">
        <v>936</v>
      </c>
      <c r="H258" s="60" t="s">
        <v>47</v>
      </c>
      <c r="I258" s="60" t="s">
        <v>72</v>
      </c>
      <c r="J258" s="138" t="s">
        <v>936</v>
      </c>
      <c r="K258" s="138"/>
      <c r="L258" s="22" t="s">
        <v>49</v>
      </c>
      <c r="M258" s="140" t="s">
        <v>59</v>
      </c>
      <c r="N258" s="161" t="s">
        <v>939</v>
      </c>
      <c r="O258" s="146" t="s">
        <v>940</v>
      </c>
      <c r="P258" s="147"/>
      <c r="Q258" s="148" t="s">
        <v>941</v>
      </c>
      <c r="R258" s="140">
        <v>2</v>
      </c>
      <c r="S258" s="140">
        <v>4</v>
      </c>
      <c r="T258" s="164"/>
      <c r="U258" s="164"/>
    </row>
    <row r="259" spans="1:21" ht="29">
      <c r="A259" s="113" t="s">
        <v>931</v>
      </c>
      <c r="B259" s="60">
        <v>13</v>
      </c>
      <c r="C259" s="61" t="s">
        <v>932</v>
      </c>
      <c r="D259" s="114" t="s">
        <v>933</v>
      </c>
      <c r="E259" s="115" t="s">
        <v>934</v>
      </c>
      <c r="F259" s="60" t="s">
        <v>942</v>
      </c>
      <c r="G259" s="61" t="s">
        <v>943</v>
      </c>
      <c r="H259" s="60" t="s">
        <v>47</v>
      </c>
      <c r="I259" s="60" t="s">
        <v>72</v>
      </c>
      <c r="J259" s="138" t="s">
        <v>943</v>
      </c>
      <c r="K259" s="138"/>
      <c r="L259" s="22" t="s">
        <v>49</v>
      </c>
      <c r="M259" s="140" t="s">
        <v>59</v>
      </c>
      <c r="N259" s="161" t="s">
        <v>944</v>
      </c>
      <c r="O259" s="146"/>
      <c r="P259" s="147"/>
      <c r="Q259" s="148" t="s">
        <v>945</v>
      </c>
      <c r="R259" s="171">
        <v>0.5</v>
      </c>
      <c r="S259" s="171">
        <v>1</v>
      </c>
      <c r="T259" s="164"/>
      <c r="U259" s="164"/>
    </row>
    <row r="260" spans="1:21" ht="29">
      <c r="A260" s="113" t="s">
        <v>931</v>
      </c>
      <c r="B260" s="60">
        <v>13</v>
      </c>
      <c r="C260" s="61" t="s">
        <v>932</v>
      </c>
      <c r="D260" s="114" t="s">
        <v>933</v>
      </c>
      <c r="E260" s="115" t="s">
        <v>934</v>
      </c>
      <c r="F260" s="60" t="s">
        <v>942</v>
      </c>
      <c r="G260" s="61" t="s">
        <v>943</v>
      </c>
      <c r="H260" s="60" t="s">
        <v>47</v>
      </c>
      <c r="I260" s="60" t="s">
        <v>72</v>
      </c>
      <c r="J260" s="138" t="s">
        <v>943</v>
      </c>
      <c r="K260" s="138"/>
      <c r="L260" s="22" t="s">
        <v>49</v>
      </c>
      <c r="M260" s="140" t="s">
        <v>59</v>
      </c>
      <c r="N260" s="161" t="s">
        <v>946</v>
      </c>
      <c r="O260" s="146" t="s">
        <v>940</v>
      </c>
      <c r="P260" s="147" t="s">
        <v>947</v>
      </c>
      <c r="Q260" s="148" t="s">
        <v>948</v>
      </c>
      <c r="R260" s="176">
        <v>2</v>
      </c>
      <c r="S260" s="176">
        <v>4</v>
      </c>
      <c r="T260" s="166"/>
      <c r="U260" s="166"/>
    </row>
    <row r="261" spans="1:21" ht="45" customHeight="1">
      <c r="A261" s="113" t="s">
        <v>931</v>
      </c>
      <c r="B261" s="60">
        <v>13</v>
      </c>
      <c r="C261" s="61" t="s">
        <v>932</v>
      </c>
      <c r="D261" s="114" t="s">
        <v>933</v>
      </c>
      <c r="E261" s="115" t="s">
        <v>934</v>
      </c>
      <c r="F261" s="60" t="s">
        <v>949</v>
      </c>
      <c r="G261" s="61" t="s">
        <v>950</v>
      </c>
      <c r="H261" s="60" t="s">
        <v>47</v>
      </c>
      <c r="I261" s="60" t="s">
        <v>72</v>
      </c>
      <c r="J261" s="138" t="s">
        <v>950</v>
      </c>
      <c r="K261" s="138"/>
      <c r="L261" s="22" t="s">
        <v>49</v>
      </c>
      <c r="M261" s="140" t="s">
        <v>59</v>
      </c>
      <c r="N261" s="161" t="s">
        <v>951</v>
      </c>
      <c r="O261" s="146" t="s">
        <v>940</v>
      </c>
      <c r="P261" s="147"/>
      <c r="Q261" s="148" t="s">
        <v>952</v>
      </c>
      <c r="R261" s="140">
        <v>1</v>
      </c>
      <c r="S261" s="140">
        <v>3</v>
      </c>
      <c r="T261" s="169"/>
      <c r="U261" s="169"/>
    </row>
    <row r="262" spans="1:21" ht="29">
      <c r="A262" s="113" t="s">
        <v>931</v>
      </c>
      <c r="B262" s="60">
        <v>13</v>
      </c>
      <c r="C262" s="61" t="s">
        <v>932</v>
      </c>
      <c r="D262" s="114" t="s">
        <v>953</v>
      </c>
      <c r="E262" s="115" t="s">
        <v>954</v>
      </c>
      <c r="F262" s="60" t="s">
        <v>955</v>
      </c>
      <c r="G262" s="61" t="s">
        <v>956</v>
      </c>
      <c r="H262" s="60" t="s">
        <v>47</v>
      </c>
      <c r="I262" s="60" t="s">
        <v>72</v>
      </c>
      <c r="J262" s="138" t="s">
        <v>956</v>
      </c>
      <c r="K262" s="138"/>
      <c r="L262" s="22" t="s">
        <v>49</v>
      </c>
      <c r="M262" s="140" t="s">
        <v>128</v>
      </c>
      <c r="N262" s="161" t="s">
        <v>957</v>
      </c>
      <c r="O262" s="146"/>
      <c r="P262" s="147"/>
      <c r="Q262" s="148" t="s">
        <v>958</v>
      </c>
      <c r="R262" s="140">
        <v>2</v>
      </c>
      <c r="S262" s="140">
        <v>4</v>
      </c>
      <c r="T262" s="164"/>
      <c r="U262" s="164"/>
    </row>
    <row r="263" spans="1:21" ht="29">
      <c r="A263" s="113" t="s">
        <v>931</v>
      </c>
      <c r="B263" s="60">
        <v>13</v>
      </c>
      <c r="C263" s="61" t="s">
        <v>932</v>
      </c>
      <c r="D263" s="114" t="s">
        <v>953</v>
      </c>
      <c r="E263" s="115" t="s">
        <v>954</v>
      </c>
      <c r="F263" s="60" t="s">
        <v>955</v>
      </c>
      <c r="G263" s="61" t="s">
        <v>956</v>
      </c>
      <c r="H263" s="60" t="s">
        <v>47</v>
      </c>
      <c r="I263" s="60" t="s">
        <v>72</v>
      </c>
      <c r="J263" s="138" t="s">
        <v>956</v>
      </c>
      <c r="K263" s="138"/>
      <c r="L263" s="22" t="s">
        <v>49</v>
      </c>
      <c r="M263" s="140" t="s">
        <v>128</v>
      </c>
      <c r="N263" s="161" t="s">
        <v>959</v>
      </c>
      <c r="O263" s="146" t="s">
        <v>940</v>
      </c>
      <c r="P263" s="147" t="s">
        <v>960</v>
      </c>
      <c r="Q263" s="148" t="s">
        <v>961</v>
      </c>
      <c r="R263" s="140">
        <v>2</v>
      </c>
      <c r="S263" s="140">
        <v>4</v>
      </c>
      <c r="T263" s="164"/>
      <c r="U263" s="164"/>
    </row>
    <row r="264" spans="1:21" ht="30" customHeight="1">
      <c r="A264" s="113" t="s">
        <v>931</v>
      </c>
      <c r="B264" s="60">
        <v>13</v>
      </c>
      <c r="C264" s="61" t="s">
        <v>932</v>
      </c>
      <c r="D264" s="114" t="s">
        <v>953</v>
      </c>
      <c r="E264" s="115" t="s">
        <v>954</v>
      </c>
      <c r="F264" s="60" t="s">
        <v>962</v>
      </c>
      <c r="G264" s="61" t="s">
        <v>963</v>
      </c>
      <c r="H264" s="60" t="s">
        <v>47</v>
      </c>
      <c r="I264" s="60" t="s">
        <v>204</v>
      </c>
      <c r="J264" s="138" t="s">
        <v>963</v>
      </c>
      <c r="K264" s="138"/>
      <c r="L264" s="22" t="s">
        <v>49</v>
      </c>
      <c r="M264" s="140" t="s">
        <v>132</v>
      </c>
      <c r="N264" s="158" t="s">
        <v>964</v>
      </c>
      <c r="O264" s="146"/>
      <c r="P264" s="147"/>
      <c r="Q264" s="148" t="s">
        <v>965</v>
      </c>
      <c r="R264" s="174">
        <v>1</v>
      </c>
      <c r="S264" s="174">
        <v>2</v>
      </c>
      <c r="T264" s="164"/>
      <c r="U264" s="164"/>
    </row>
    <row r="265" spans="1:21" ht="30" customHeight="1">
      <c r="A265" s="113" t="s">
        <v>931</v>
      </c>
      <c r="B265" s="60">
        <v>13</v>
      </c>
      <c r="C265" s="61" t="s">
        <v>932</v>
      </c>
      <c r="D265" s="114" t="s">
        <v>953</v>
      </c>
      <c r="E265" s="115" t="s">
        <v>954</v>
      </c>
      <c r="F265" s="60" t="s">
        <v>962</v>
      </c>
      <c r="G265" s="61" t="s">
        <v>963</v>
      </c>
      <c r="H265" s="60" t="s">
        <v>47</v>
      </c>
      <c r="I265" s="60" t="s">
        <v>204</v>
      </c>
      <c r="J265" s="138" t="s">
        <v>963</v>
      </c>
      <c r="K265" s="138"/>
      <c r="L265" s="22" t="s">
        <v>49</v>
      </c>
      <c r="M265" s="140" t="s">
        <v>132</v>
      </c>
      <c r="N265" s="158" t="s">
        <v>966</v>
      </c>
      <c r="O265" s="146" t="s">
        <v>940</v>
      </c>
      <c r="P265" s="147"/>
      <c r="Q265" s="148" t="s">
        <v>967</v>
      </c>
      <c r="R265" s="174" t="s">
        <v>296</v>
      </c>
      <c r="S265" s="174" t="s">
        <v>297</v>
      </c>
      <c r="T265" s="167"/>
      <c r="U265" s="167"/>
    </row>
    <row r="266" spans="1:21" ht="30" customHeight="1">
      <c r="A266" s="113" t="s">
        <v>931</v>
      </c>
      <c r="B266" s="60">
        <v>13</v>
      </c>
      <c r="C266" s="61" t="s">
        <v>932</v>
      </c>
      <c r="D266" s="116" t="s">
        <v>953</v>
      </c>
      <c r="E266" s="117" t="s">
        <v>954</v>
      </c>
      <c r="F266" s="60" t="s">
        <v>962</v>
      </c>
      <c r="G266" s="61" t="s">
        <v>963</v>
      </c>
      <c r="H266" s="16" t="s">
        <v>47</v>
      </c>
      <c r="I266" s="16" t="s">
        <v>204</v>
      </c>
      <c r="J266" s="138" t="s">
        <v>963</v>
      </c>
      <c r="K266" s="18"/>
      <c r="L266" s="22" t="s">
        <v>49</v>
      </c>
      <c r="M266" s="22" t="s">
        <v>128</v>
      </c>
      <c r="N266" s="154" t="s">
        <v>968</v>
      </c>
      <c r="O266" s="24" t="s">
        <v>940</v>
      </c>
      <c r="P266" s="17"/>
      <c r="Q266" s="138" t="s">
        <v>612</v>
      </c>
      <c r="R266" s="140">
        <v>1</v>
      </c>
      <c r="S266" s="140">
        <v>4</v>
      </c>
      <c r="T266" s="167"/>
      <c r="U266" s="167"/>
    </row>
    <row r="267" spans="1:21" ht="43.5">
      <c r="A267" s="113" t="s">
        <v>931</v>
      </c>
      <c r="B267" s="60">
        <v>13</v>
      </c>
      <c r="C267" s="61" t="s">
        <v>932</v>
      </c>
      <c r="D267" s="116" t="s">
        <v>953</v>
      </c>
      <c r="E267" s="117" t="s">
        <v>954</v>
      </c>
      <c r="F267" s="60" t="s">
        <v>962</v>
      </c>
      <c r="G267" s="61" t="s">
        <v>963</v>
      </c>
      <c r="H267" s="16" t="s">
        <v>47</v>
      </c>
      <c r="I267" s="16" t="s">
        <v>204</v>
      </c>
      <c r="J267" s="138" t="s">
        <v>963</v>
      </c>
      <c r="K267" s="18"/>
      <c r="L267" s="22" t="s">
        <v>49</v>
      </c>
      <c r="M267" s="22" t="s">
        <v>128</v>
      </c>
      <c r="N267" s="154" t="s">
        <v>969</v>
      </c>
      <c r="O267" s="24" t="s">
        <v>940</v>
      </c>
      <c r="P267" s="17"/>
      <c r="Q267" s="138" t="s">
        <v>612</v>
      </c>
      <c r="R267" s="140">
        <v>1</v>
      </c>
      <c r="S267" s="140">
        <v>4</v>
      </c>
      <c r="T267" s="164"/>
      <c r="U267" s="164"/>
    </row>
    <row r="268" spans="1:21" ht="43.5">
      <c r="A268" s="118" t="s">
        <v>931</v>
      </c>
      <c r="B268" s="16">
        <v>13</v>
      </c>
      <c r="C268" s="17" t="s">
        <v>932</v>
      </c>
      <c r="D268" s="116" t="s">
        <v>953</v>
      </c>
      <c r="E268" s="117" t="s">
        <v>954</v>
      </c>
      <c r="F268" s="60" t="s">
        <v>962</v>
      </c>
      <c r="G268" s="61" t="s">
        <v>963</v>
      </c>
      <c r="H268" s="16" t="s">
        <v>47</v>
      </c>
      <c r="I268" s="16" t="s">
        <v>204</v>
      </c>
      <c r="J268" s="138" t="s">
        <v>963</v>
      </c>
      <c r="K268" s="18"/>
      <c r="L268" s="22" t="s">
        <v>49</v>
      </c>
      <c r="M268" s="22" t="s">
        <v>128</v>
      </c>
      <c r="N268" s="154" t="s">
        <v>970</v>
      </c>
      <c r="O268" s="24" t="s">
        <v>940</v>
      </c>
      <c r="P268" s="17"/>
      <c r="Q268" s="138" t="s">
        <v>612</v>
      </c>
      <c r="R268" s="140">
        <v>1</v>
      </c>
      <c r="S268" s="140">
        <v>4</v>
      </c>
      <c r="T268" s="164"/>
      <c r="U268" s="164"/>
    </row>
    <row r="269" spans="1:21" ht="43.5">
      <c r="A269" s="113" t="s">
        <v>931</v>
      </c>
      <c r="B269" s="60">
        <v>13</v>
      </c>
      <c r="C269" s="61" t="s">
        <v>932</v>
      </c>
      <c r="D269" s="116" t="s">
        <v>953</v>
      </c>
      <c r="E269" s="117" t="s">
        <v>954</v>
      </c>
      <c r="F269" s="60" t="s">
        <v>962</v>
      </c>
      <c r="G269" s="61" t="s">
        <v>963</v>
      </c>
      <c r="H269" s="16" t="s">
        <v>47</v>
      </c>
      <c r="I269" s="16" t="s">
        <v>204</v>
      </c>
      <c r="J269" s="138" t="s">
        <v>963</v>
      </c>
      <c r="K269" s="18"/>
      <c r="L269" s="22" t="s">
        <v>49</v>
      </c>
      <c r="M269" s="22" t="s">
        <v>128</v>
      </c>
      <c r="N269" s="154" t="s">
        <v>971</v>
      </c>
      <c r="O269" s="24" t="s">
        <v>940</v>
      </c>
      <c r="P269" s="17"/>
      <c r="Q269" s="138" t="s">
        <v>612</v>
      </c>
      <c r="R269" s="140">
        <v>1</v>
      </c>
      <c r="S269" s="140">
        <v>4</v>
      </c>
      <c r="T269" s="164"/>
      <c r="U269" s="164"/>
    </row>
    <row r="270" spans="1:21" ht="43.5">
      <c r="A270" s="113" t="s">
        <v>931</v>
      </c>
      <c r="B270" s="60">
        <v>13</v>
      </c>
      <c r="C270" s="61" t="s">
        <v>932</v>
      </c>
      <c r="D270" s="114" t="s">
        <v>953</v>
      </c>
      <c r="E270" s="115" t="s">
        <v>954</v>
      </c>
      <c r="F270" s="60" t="s">
        <v>972</v>
      </c>
      <c r="G270" s="61" t="s">
        <v>973</v>
      </c>
      <c r="H270" s="60" t="s">
        <v>47</v>
      </c>
      <c r="I270" s="60" t="s">
        <v>204</v>
      </c>
      <c r="J270" s="138" t="s">
        <v>973</v>
      </c>
      <c r="K270" s="138"/>
      <c r="L270" s="22" t="s">
        <v>49</v>
      </c>
      <c r="M270" s="140" t="s">
        <v>59</v>
      </c>
      <c r="N270" s="161" t="s">
        <v>974</v>
      </c>
      <c r="O270" s="146" t="s">
        <v>940</v>
      </c>
      <c r="P270" s="147"/>
      <c r="Q270" s="148" t="s">
        <v>975</v>
      </c>
      <c r="R270" s="140">
        <v>1</v>
      </c>
      <c r="S270" s="140">
        <v>2</v>
      </c>
      <c r="T270" s="164"/>
      <c r="U270" s="164"/>
    </row>
    <row r="271" spans="1:21" ht="30" customHeight="1">
      <c r="A271" s="119" t="s">
        <v>931</v>
      </c>
      <c r="B271" s="16">
        <v>13</v>
      </c>
      <c r="C271" s="17" t="s">
        <v>932</v>
      </c>
      <c r="D271" s="116" t="s">
        <v>953</v>
      </c>
      <c r="E271" s="117" t="s">
        <v>954</v>
      </c>
      <c r="F271" s="16" t="s">
        <v>976</v>
      </c>
      <c r="G271" s="17" t="s">
        <v>977</v>
      </c>
      <c r="H271" s="16" t="s">
        <v>47</v>
      </c>
      <c r="I271" s="16" t="s">
        <v>204</v>
      </c>
      <c r="J271" s="136" t="str">
        <f>G271</f>
        <v>Oferir projectes de recerca vinculats a l'espai natural per a l'alumnat universitari i de la XEEN</v>
      </c>
      <c r="K271" s="18"/>
      <c r="L271" s="22" t="s">
        <v>49</v>
      </c>
      <c r="M271" s="132" t="s">
        <v>50</v>
      </c>
      <c r="N271" s="162" t="s">
        <v>978</v>
      </c>
      <c r="O271" s="24" t="s">
        <v>940</v>
      </c>
      <c r="P271" s="19"/>
      <c r="Q271" s="135" t="s">
        <v>979</v>
      </c>
      <c r="R271" s="132">
        <v>1</v>
      </c>
      <c r="S271" s="132">
        <v>1</v>
      </c>
      <c r="T271" s="164"/>
      <c r="U271" s="164"/>
    </row>
    <row r="272" spans="1:21" ht="105" customHeight="1">
      <c r="A272" s="119" t="s">
        <v>931</v>
      </c>
      <c r="B272" s="16">
        <v>13</v>
      </c>
      <c r="C272" s="17" t="s">
        <v>932</v>
      </c>
      <c r="D272" s="116" t="s">
        <v>953</v>
      </c>
      <c r="E272" s="117" t="s">
        <v>954</v>
      </c>
      <c r="F272" s="16" t="s">
        <v>976</v>
      </c>
      <c r="G272" s="17" t="s">
        <v>977</v>
      </c>
      <c r="H272" s="16" t="s">
        <v>47</v>
      </c>
      <c r="I272" s="16" t="s">
        <v>204</v>
      </c>
      <c r="J272" s="136" t="str">
        <f>G272</f>
        <v>Oferir projectes de recerca vinculats a l'espai natural per a l'alumnat universitari i de la XEEN</v>
      </c>
      <c r="K272" s="18"/>
      <c r="L272" s="22" t="s">
        <v>49</v>
      </c>
      <c r="M272" s="132" t="s">
        <v>50</v>
      </c>
      <c r="N272" s="162" t="s">
        <v>980</v>
      </c>
      <c r="O272" s="24" t="s">
        <v>940</v>
      </c>
      <c r="P272" s="19"/>
      <c r="Q272" s="135" t="s">
        <v>981</v>
      </c>
      <c r="R272" s="132">
        <v>1</v>
      </c>
      <c r="S272" s="132">
        <v>4</v>
      </c>
      <c r="T272" s="144"/>
      <c r="U272" s="144"/>
    </row>
    <row r="273" spans="1:21" ht="90" customHeight="1">
      <c r="A273" s="113" t="s">
        <v>931</v>
      </c>
      <c r="B273" s="60">
        <v>13</v>
      </c>
      <c r="C273" s="61" t="s">
        <v>932</v>
      </c>
      <c r="D273" s="114" t="s">
        <v>953</v>
      </c>
      <c r="E273" s="115" t="s">
        <v>954</v>
      </c>
      <c r="F273" s="60" t="s">
        <v>976</v>
      </c>
      <c r="G273" s="61" t="s">
        <v>977</v>
      </c>
      <c r="H273" s="60" t="s">
        <v>47</v>
      </c>
      <c r="I273" s="60" t="s">
        <v>204</v>
      </c>
      <c r="J273" s="138" t="s">
        <v>977</v>
      </c>
      <c r="K273" s="138"/>
      <c r="L273" s="22" t="s">
        <v>49</v>
      </c>
      <c r="M273" s="140" t="s">
        <v>128</v>
      </c>
      <c r="N273" s="158" t="s">
        <v>982</v>
      </c>
      <c r="O273" s="146"/>
      <c r="P273" s="147"/>
      <c r="Q273" s="148" t="s">
        <v>983</v>
      </c>
      <c r="R273" s="140">
        <v>4</v>
      </c>
      <c r="S273" s="140">
        <v>8</v>
      </c>
      <c r="T273" s="144"/>
      <c r="U273" s="144"/>
    </row>
    <row r="274" spans="1:21" ht="29">
      <c r="A274" s="113" t="s">
        <v>931</v>
      </c>
      <c r="B274" s="60">
        <v>13</v>
      </c>
      <c r="C274" s="61" t="s">
        <v>932</v>
      </c>
      <c r="D274" s="114" t="s">
        <v>953</v>
      </c>
      <c r="E274" s="115" t="s">
        <v>954</v>
      </c>
      <c r="F274" s="60" t="s">
        <v>976</v>
      </c>
      <c r="G274" s="61" t="s">
        <v>977</v>
      </c>
      <c r="H274" s="60" t="s">
        <v>47</v>
      </c>
      <c r="I274" s="60" t="s">
        <v>204</v>
      </c>
      <c r="J274" s="138" t="s">
        <v>977</v>
      </c>
      <c r="K274" s="138"/>
      <c r="L274" s="22" t="s">
        <v>49</v>
      </c>
      <c r="M274" s="140" t="s">
        <v>128</v>
      </c>
      <c r="N274" s="158" t="s">
        <v>984</v>
      </c>
      <c r="O274" s="146" t="s">
        <v>940</v>
      </c>
      <c r="P274" s="147"/>
      <c r="Q274" s="148" t="s">
        <v>985</v>
      </c>
      <c r="R274" s="140">
        <v>2</v>
      </c>
      <c r="S274" s="140">
        <v>4</v>
      </c>
      <c r="T274" s="164"/>
      <c r="U274" s="164"/>
    </row>
    <row r="275" spans="1:21" ht="29">
      <c r="A275" s="113" t="s">
        <v>931</v>
      </c>
      <c r="B275" s="60">
        <v>13</v>
      </c>
      <c r="C275" s="61" t="s">
        <v>932</v>
      </c>
      <c r="D275" s="114" t="s">
        <v>986</v>
      </c>
      <c r="E275" s="115" t="s">
        <v>987</v>
      </c>
      <c r="F275" s="60" t="s">
        <v>988</v>
      </c>
      <c r="G275" s="61" t="s">
        <v>989</v>
      </c>
      <c r="H275" s="60" t="s">
        <v>47</v>
      </c>
      <c r="I275" s="60" t="s">
        <v>72</v>
      </c>
      <c r="J275" s="138" t="s">
        <v>989</v>
      </c>
      <c r="K275" s="138"/>
      <c r="L275" s="22" t="s">
        <v>49</v>
      </c>
      <c r="M275" s="140" t="s">
        <v>132</v>
      </c>
      <c r="N275" s="158" t="s">
        <v>990</v>
      </c>
      <c r="O275" s="146" t="s">
        <v>940</v>
      </c>
      <c r="P275" s="147"/>
      <c r="Q275" s="148" t="s">
        <v>991</v>
      </c>
      <c r="R275" s="140">
        <v>1</v>
      </c>
      <c r="S275" s="140">
        <v>2</v>
      </c>
      <c r="T275" s="164"/>
      <c r="U275" s="164"/>
    </row>
    <row r="276" spans="1:21" ht="29">
      <c r="A276" s="113" t="s">
        <v>931</v>
      </c>
      <c r="B276" s="60">
        <v>13</v>
      </c>
      <c r="C276" s="61" t="s">
        <v>932</v>
      </c>
      <c r="D276" s="114" t="s">
        <v>986</v>
      </c>
      <c r="E276" s="115" t="s">
        <v>987</v>
      </c>
      <c r="F276" s="60" t="s">
        <v>992</v>
      </c>
      <c r="G276" s="61" t="s">
        <v>993</v>
      </c>
      <c r="H276" s="60" t="s">
        <v>47</v>
      </c>
      <c r="I276" s="60" t="s">
        <v>72</v>
      </c>
      <c r="J276" s="138" t="s">
        <v>993</v>
      </c>
      <c r="K276" s="138"/>
      <c r="L276" s="22" t="s">
        <v>49</v>
      </c>
      <c r="M276" s="140" t="s">
        <v>132</v>
      </c>
      <c r="N276" s="161" t="s">
        <v>994</v>
      </c>
      <c r="O276" s="146" t="s">
        <v>940</v>
      </c>
      <c r="P276" s="147"/>
      <c r="Q276" s="148" t="s">
        <v>995</v>
      </c>
      <c r="R276" s="140">
        <v>1</v>
      </c>
      <c r="S276" s="140">
        <v>3</v>
      </c>
      <c r="T276" s="164"/>
      <c r="U276" s="164"/>
    </row>
    <row r="277" spans="1:21" ht="29">
      <c r="A277" s="113" t="s">
        <v>931</v>
      </c>
      <c r="B277" s="60">
        <v>13</v>
      </c>
      <c r="C277" s="61" t="s">
        <v>932</v>
      </c>
      <c r="D277" s="114" t="s">
        <v>986</v>
      </c>
      <c r="E277" s="115" t="s">
        <v>987</v>
      </c>
      <c r="F277" s="60" t="s">
        <v>996</v>
      </c>
      <c r="G277" s="61" t="s">
        <v>997</v>
      </c>
      <c r="H277" s="60" t="s">
        <v>47</v>
      </c>
      <c r="I277" s="60" t="s">
        <v>72</v>
      </c>
      <c r="J277" s="138" t="s">
        <v>997</v>
      </c>
      <c r="K277" s="138"/>
      <c r="L277" s="22" t="s">
        <v>49</v>
      </c>
      <c r="M277" s="140" t="s">
        <v>128</v>
      </c>
      <c r="N277" s="158" t="s">
        <v>998</v>
      </c>
      <c r="O277" s="146"/>
      <c r="P277" s="147"/>
      <c r="Q277" s="148" t="s">
        <v>793</v>
      </c>
      <c r="R277" s="140" t="s">
        <v>296</v>
      </c>
      <c r="S277" s="140" t="s">
        <v>297</v>
      </c>
      <c r="T277" s="164"/>
      <c r="U277" s="164"/>
    </row>
    <row r="278" spans="1:21" ht="29">
      <c r="A278" s="113" t="s">
        <v>931</v>
      </c>
      <c r="B278" s="60">
        <v>13</v>
      </c>
      <c r="C278" s="61" t="s">
        <v>932</v>
      </c>
      <c r="D278" s="114" t="s">
        <v>986</v>
      </c>
      <c r="E278" s="115" t="s">
        <v>987</v>
      </c>
      <c r="F278" s="60" t="s">
        <v>996</v>
      </c>
      <c r="G278" s="61" t="s">
        <v>997</v>
      </c>
      <c r="H278" s="60" t="s">
        <v>47</v>
      </c>
      <c r="I278" s="60" t="s">
        <v>72</v>
      </c>
      <c r="J278" s="138" t="s">
        <v>997</v>
      </c>
      <c r="K278" s="138"/>
      <c r="L278" s="22" t="s">
        <v>49</v>
      </c>
      <c r="M278" s="140" t="s">
        <v>128</v>
      </c>
      <c r="N278" s="158" t="s">
        <v>999</v>
      </c>
      <c r="O278" s="146"/>
      <c r="P278" s="147"/>
      <c r="Q278" s="148" t="s">
        <v>1000</v>
      </c>
      <c r="R278" s="140">
        <v>2</v>
      </c>
      <c r="S278" s="140">
        <v>4</v>
      </c>
      <c r="T278" s="164"/>
      <c r="U278" s="164"/>
    </row>
    <row r="279" spans="1:21" ht="29">
      <c r="A279" s="113" t="s">
        <v>931</v>
      </c>
      <c r="B279" s="60">
        <v>13</v>
      </c>
      <c r="C279" s="61" t="s">
        <v>932</v>
      </c>
      <c r="D279" s="114" t="s">
        <v>986</v>
      </c>
      <c r="E279" s="115" t="s">
        <v>987</v>
      </c>
      <c r="F279" s="60" t="s">
        <v>996</v>
      </c>
      <c r="G279" s="61" t="s">
        <v>997</v>
      </c>
      <c r="H279" s="60" t="s">
        <v>47</v>
      </c>
      <c r="I279" s="60" t="s">
        <v>72</v>
      </c>
      <c r="J279" s="138" t="s">
        <v>997</v>
      </c>
      <c r="K279" s="138"/>
      <c r="L279" s="22" t="s">
        <v>49</v>
      </c>
      <c r="M279" s="140" t="s">
        <v>128</v>
      </c>
      <c r="N279" s="158" t="s">
        <v>1001</v>
      </c>
      <c r="O279" s="146" t="s">
        <v>940</v>
      </c>
      <c r="P279" s="147" t="s">
        <v>1002</v>
      </c>
      <c r="Q279" s="148" t="s">
        <v>1000</v>
      </c>
      <c r="R279" s="140">
        <v>1</v>
      </c>
      <c r="S279" s="140">
        <v>2</v>
      </c>
      <c r="T279" s="164"/>
      <c r="U279" s="164"/>
    </row>
    <row r="280" spans="1:21" ht="29">
      <c r="A280" s="119" t="s">
        <v>931</v>
      </c>
      <c r="B280" s="16">
        <v>13</v>
      </c>
      <c r="C280" s="17" t="s">
        <v>932</v>
      </c>
      <c r="D280" s="116" t="s">
        <v>1003</v>
      </c>
      <c r="E280" s="120" t="s">
        <v>1004</v>
      </c>
      <c r="F280" s="16" t="s">
        <v>1005</v>
      </c>
      <c r="G280" s="17" t="s">
        <v>1006</v>
      </c>
      <c r="H280" s="16" t="s">
        <v>47</v>
      </c>
      <c r="I280" s="16" t="s">
        <v>72</v>
      </c>
      <c r="J280" s="136" t="str">
        <f>G280</f>
        <v>Desplegar en el territori les campanyes de sensibilització i bones pràctiques que s'impulsin des de la DG</v>
      </c>
      <c r="K280" s="18"/>
      <c r="L280" s="22" t="s">
        <v>49</v>
      </c>
      <c r="M280" s="132" t="s">
        <v>50</v>
      </c>
      <c r="N280" s="162" t="s">
        <v>1007</v>
      </c>
      <c r="O280" s="24" t="s">
        <v>940</v>
      </c>
      <c r="P280" s="17" t="s">
        <v>1008</v>
      </c>
      <c r="Q280" s="135" t="s">
        <v>1009</v>
      </c>
      <c r="R280" s="132">
        <v>12</v>
      </c>
      <c r="S280" s="132">
        <f>R280*4</f>
        <v>48</v>
      </c>
      <c r="T280" s="164"/>
      <c r="U280" s="164"/>
    </row>
    <row r="281" spans="1:21" ht="60" customHeight="1">
      <c r="A281" s="113" t="s">
        <v>931</v>
      </c>
      <c r="B281" s="60">
        <v>13</v>
      </c>
      <c r="C281" s="61" t="s">
        <v>932</v>
      </c>
      <c r="D281" s="114" t="s">
        <v>1003</v>
      </c>
      <c r="E281" s="121" t="s">
        <v>1004</v>
      </c>
      <c r="F281" s="60" t="s">
        <v>1005</v>
      </c>
      <c r="G281" s="61" t="s">
        <v>1006</v>
      </c>
      <c r="H281" s="60" t="s">
        <v>47</v>
      </c>
      <c r="I281" s="60" t="s">
        <v>72</v>
      </c>
      <c r="J281" s="138" t="s">
        <v>1006</v>
      </c>
      <c r="K281" s="138"/>
      <c r="L281" s="22" t="s">
        <v>49</v>
      </c>
      <c r="M281" s="140" t="s">
        <v>128</v>
      </c>
      <c r="N281" s="158" t="s">
        <v>1007</v>
      </c>
      <c r="O281" s="146"/>
      <c r="P281" s="147"/>
      <c r="Q281" s="148" t="s">
        <v>1010</v>
      </c>
      <c r="R281" s="140">
        <v>2</v>
      </c>
      <c r="S281" s="140">
        <v>4</v>
      </c>
      <c r="T281" s="144"/>
      <c r="U281" s="144"/>
    </row>
    <row r="282" spans="1:21" ht="29">
      <c r="A282" s="113" t="s">
        <v>931</v>
      </c>
      <c r="B282" s="60">
        <v>13</v>
      </c>
      <c r="C282" s="61" t="s">
        <v>932</v>
      </c>
      <c r="D282" s="114" t="s">
        <v>1003</v>
      </c>
      <c r="E282" s="121" t="s">
        <v>1004</v>
      </c>
      <c r="F282" s="60" t="s">
        <v>1005</v>
      </c>
      <c r="G282" s="61" t="s">
        <v>1006</v>
      </c>
      <c r="H282" s="60" t="s">
        <v>47</v>
      </c>
      <c r="I282" s="60" t="s">
        <v>72</v>
      </c>
      <c r="J282" s="138" t="s">
        <v>1006</v>
      </c>
      <c r="K282" s="138"/>
      <c r="L282" s="22" t="s">
        <v>49</v>
      </c>
      <c r="M282" s="140" t="s">
        <v>128</v>
      </c>
      <c r="N282" s="158" t="s">
        <v>1011</v>
      </c>
      <c r="O282" s="146" t="s">
        <v>940</v>
      </c>
      <c r="P282" s="147" t="s">
        <v>1008</v>
      </c>
      <c r="Q282" s="148" t="s">
        <v>1012</v>
      </c>
      <c r="R282" s="140">
        <v>4</v>
      </c>
      <c r="S282" s="140">
        <v>8</v>
      </c>
      <c r="T282" s="164"/>
      <c r="U282" s="164"/>
    </row>
    <row r="283" spans="1:21" ht="29">
      <c r="A283" s="113" t="s">
        <v>931</v>
      </c>
      <c r="B283" s="60">
        <v>13</v>
      </c>
      <c r="C283" s="61" t="s">
        <v>932</v>
      </c>
      <c r="D283" s="114" t="s">
        <v>1003</v>
      </c>
      <c r="E283" s="121" t="s">
        <v>1004</v>
      </c>
      <c r="F283" s="60" t="s">
        <v>1013</v>
      </c>
      <c r="G283" s="61" t="s">
        <v>1014</v>
      </c>
      <c r="H283" s="60" t="s">
        <v>47</v>
      </c>
      <c r="I283" s="60" t="s">
        <v>204</v>
      </c>
      <c r="J283" s="138" t="s">
        <v>1014</v>
      </c>
      <c r="K283" s="138"/>
      <c r="L283" s="22" t="s">
        <v>49</v>
      </c>
      <c r="M283" s="140" t="s">
        <v>128</v>
      </c>
      <c r="N283" s="158" t="s">
        <v>1015</v>
      </c>
      <c r="O283" s="146"/>
      <c r="P283" s="147"/>
      <c r="Q283" s="148" t="s">
        <v>975</v>
      </c>
      <c r="R283" s="140">
        <v>15</v>
      </c>
      <c r="S283" s="140">
        <v>25</v>
      </c>
      <c r="T283" s="164"/>
      <c r="U283" s="164"/>
    </row>
    <row r="284" spans="1:21" ht="29">
      <c r="A284" s="113" t="s">
        <v>931</v>
      </c>
      <c r="B284" s="60">
        <v>13</v>
      </c>
      <c r="C284" s="61" t="s">
        <v>932</v>
      </c>
      <c r="D284" s="114" t="s">
        <v>1003</v>
      </c>
      <c r="E284" s="121" t="s">
        <v>1004</v>
      </c>
      <c r="F284" s="60" t="s">
        <v>1013</v>
      </c>
      <c r="G284" s="61" t="s">
        <v>1014</v>
      </c>
      <c r="H284" s="60" t="s">
        <v>47</v>
      </c>
      <c r="I284" s="60" t="s">
        <v>204</v>
      </c>
      <c r="J284" s="138" t="s">
        <v>1014</v>
      </c>
      <c r="K284" s="138"/>
      <c r="L284" s="22" t="s">
        <v>49</v>
      </c>
      <c r="M284" s="140" t="s">
        <v>128</v>
      </c>
      <c r="N284" s="158" t="s">
        <v>1016</v>
      </c>
      <c r="O284" s="146" t="s">
        <v>940</v>
      </c>
      <c r="P284" s="149"/>
      <c r="Q284" s="148" t="s">
        <v>975</v>
      </c>
      <c r="R284" s="140">
        <v>15</v>
      </c>
      <c r="S284" s="140">
        <v>25</v>
      </c>
      <c r="T284" s="164"/>
      <c r="U284" s="164"/>
    </row>
    <row r="285" spans="1:21" ht="29">
      <c r="A285" s="113" t="s">
        <v>931</v>
      </c>
      <c r="B285" s="60">
        <v>13</v>
      </c>
      <c r="C285" s="61" t="s">
        <v>932</v>
      </c>
      <c r="D285" s="114" t="s">
        <v>1003</v>
      </c>
      <c r="E285" s="121" t="s">
        <v>1004</v>
      </c>
      <c r="F285" s="60" t="s">
        <v>1017</v>
      </c>
      <c r="G285" s="61" t="s">
        <v>1018</v>
      </c>
      <c r="H285" s="60" t="s">
        <v>47</v>
      </c>
      <c r="I285" s="60" t="s">
        <v>204</v>
      </c>
      <c r="J285" s="138" t="s">
        <v>1018</v>
      </c>
      <c r="K285" s="138"/>
      <c r="L285" s="22" t="s">
        <v>49</v>
      </c>
      <c r="M285" s="140" t="s">
        <v>128</v>
      </c>
      <c r="N285" s="158" t="s">
        <v>1019</v>
      </c>
      <c r="O285" s="146"/>
      <c r="P285" s="149"/>
      <c r="Q285" s="148" t="s">
        <v>975</v>
      </c>
      <c r="R285" s="140">
        <v>2</v>
      </c>
      <c r="S285" s="140">
        <v>4</v>
      </c>
      <c r="T285" s="164"/>
      <c r="U285" s="164"/>
    </row>
    <row r="286" spans="1:21" ht="29">
      <c r="A286" s="113" t="s">
        <v>931</v>
      </c>
      <c r="B286" s="60">
        <v>13</v>
      </c>
      <c r="C286" s="61" t="s">
        <v>932</v>
      </c>
      <c r="D286" s="114" t="s">
        <v>1003</v>
      </c>
      <c r="E286" s="121" t="s">
        <v>1004</v>
      </c>
      <c r="F286" s="60" t="s">
        <v>1017</v>
      </c>
      <c r="G286" s="61" t="s">
        <v>1018</v>
      </c>
      <c r="H286" s="60" t="s">
        <v>47</v>
      </c>
      <c r="I286" s="60" t="s">
        <v>204</v>
      </c>
      <c r="J286" s="138" t="s">
        <v>1018</v>
      </c>
      <c r="K286" s="138"/>
      <c r="L286" s="22" t="s">
        <v>49</v>
      </c>
      <c r="M286" s="140" t="s">
        <v>128</v>
      </c>
      <c r="N286" s="158" t="s">
        <v>1020</v>
      </c>
      <c r="O286" s="146" t="s">
        <v>940</v>
      </c>
      <c r="P286" s="149"/>
      <c r="Q286" s="148" t="s">
        <v>975</v>
      </c>
      <c r="R286" s="140">
        <v>2</v>
      </c>
      <c r="S286" s="140">
        <v>4</v>
      </c>
      <c r="T286" s="164"/>
      <c r="U286" s="164"/>
    </row>
    <row r="287" spans="1:21" ht="29">
      <c r="A287" s="113" t="s">
        <v>931</v>
      </c>
      <c r="B287" s="60">
        <v>13</v>
      </c>
      <c r="C287" s="61" t="s">
        <v>932</v>
      </c>
      <c r="D287" s="114" t="s">
        <v>1003</v>
      </c>
      <c r="E287" s="121" t="s">
        <v>1004</v>
      </c>
      <c r="F287" s="60" t="s">
        <v>1021</v>
      </c>
      <c r="G287" s="61" t="s">
        <v>1022</v>
      </c>
      <c r="H287" s="60" t="s">
        <v>47</v>
      </c>
      <c r="I287" s="60" t="s">
        <v>204</v>
      </c>
      <c r="J287" s="138" t="s">
        <v>1022</v>
      </c>
      <c r="K287" s="138"/>
      <c r="L287" s="22" t="s">
        <v>49</v>
      </c>
      <c r="M287" s="140" t="s">
        <v>59</v>
      </c>
      <c r="N287" s="158" t="s">
        <v>1023</v>
      </c>
      <c r="O287" s="146" t="s">
        <v>940</v>
      </c>
      <c r="P287" s="149"/>
      <c r="Q287" s="148" t="s">
        <v>975</v>
      </c>
      <c r="R287" s="140">
        <v>2</v>
      </c>
      <c r="S287" s="140">
        <v>4</v>
      </c>
      <c r="T287" s="164"/>
      <c r="U287" s="164"/>
    </row>
    <row r="288" spans="1:21" ht="29">
      <c r="A288" s="113" t="s">
        <v>931</v>
      </c>
      <c r="B288" s="60">
        <v>13</v>
      </c>
      <c r="C288" s="61" t="s">
        <v>932</v>
      </c>
      <c r="D288" s="114" t="s">
        <v>1024</v>
      </c>
      <c r="E288" s="115" t="s">
        <v>1025</v>
      </c>
      <c r="F288" s="60" t="s">
        <v>1026</v>
      </c>
      <c r="G288" s="61" t="s">
        <v>1027</v>
      </c>
      <c r="H288" s="60" t="s">
        <v>47</v>
      </c>
      <c r="I288" s="60" t="s">
        <v>72</v>
      </c>
      <c r="J288" s="138" t="s">
        <v>1027</v>
      </c>
      <c r="K288" s="138"/>
      <c r="L288" s="22" t="s">
        <v>49</v>
      </c>
      <c r="M288" s="140" t="s">
        <v>50</v>
      </c>
      <c r="N288" s="158" t="s">
        <v>1028</v>
      </c>
      <c r="O288" s="146" t="s">
        <v>940</v>
      </c>
      <c r="P288" s="147"/>
      <c r="Q288" s="148" t="s">
        <v>793</v>
      </c>
      <c r="R288" s="140" t="s">
        <v>296</v>
      </c>
      <c r="S288" s="140" t="s">
        <v>297</v>
      </c>
      <c r="T288" s="164"/>
      <c r="U288" s="164"/>
    </row>
    <row r="289" spans="1:21" ht="30" customHeight="1">
      <c r="A289" s="113" t="s">
        <v>931</v>
      </c>
      <c r="B289" s="60">
        <v>13</v>
      </c>
      <c r="C289" s="61" t="s">
        <v>932</v>
      </c>
      <c r="D289" s="114" t="s">
        <v>1024</v>
      </c>
      <c r="E289" s="115" t="s">
        <v>1025</v>
      </c>
      <c r="F289" s="60" t="s">
        <v>1029</v>
      </c>
      <c r="G289" s="61" t="s">
        <v>1030</v>
      </c>
      <c r="H289" s="60" t="s">
        <v>47</v>
      </c>
      <c r="I289" s="60" t="s">
        <v>204</v>
      </c>
      <c r="J289" s="138" t="s">
        <v>1030</v>
      </c>
      <c r="K289" s="138"/>
      <c r="L289" s="22" t="s">
        <v>49</v>
      </c>
      <c r="M289" s="140" t="s">
        <v>128</v>
      </c>
      <c r="N289" s="158" t="s">
        <v>1031</v>
      </c>
      <c r="O289" s="146"/>
      <c r="P289" s="147"/>
      <c r="Q289" s="148" t="s">
        <v>1032</v>
      </c>
      <c r="R289" s="140">
        <v>2</v>
      </c>
      <c r="S289" s="140">
        <v>4</v>
      </c>
      <c r="T289" s="164"/>
      <c r="U289" s="164"/>
    </row>
    <row r="290" spans="1:21" ht="29">
      <c r="A290" s="113" t="s">
        <v>931</v>
      </c>
      <c r="B290" s="60">
        <v>13</v>
      </c>
      <c r="C290" s="61" t="s">
        <v>932</v>
      </c>
      <c r="D290" s="114" t="s">
        <v>1024</v>
      </c>
      <c r="E290" s="115" t="s">
        <v>1025</v>
      </c>
      <c r="F290" s="60" t="s">
        <v>1029</v>
      </c>
      <c r="G290" s="61" t="s">
        <v>1030</v>
      </c>
      <c r="H290" s="60" t="s">
        <v>47</v>
      </c>
      <c r="I290" s="60" t="s">
        <v>204</v>
      </c>
      <c r="J290" s="138" t="s">
        <v>1030</v>
      </c>
      <c r="K290" s="138"/>
      <c r="L290" s="22" t="s">
        <v>49</v>
      </c>
      <c r="M290" s="140" t="s">
        <v>128</v>
      </c>
      <c r="N290" s="158" t="s">
        <v>1033</v>
      </c>
      <c r="O290" s="146" t="s">
        <v>940</v>
      </c>
      <c r="P290" s="149"/>
      <c r="Q290" s="148" t="s">
        <v>1032</v>
      </c>
      <c r="R290" s="140">
        <v>2</v>
      </c>
      <c r="S290" s="140">
        <v>4</v>
      </c>
      <c r="T290" s="164"/>
      <c r="U290" s="164"/>
    </row>
    <row r="291" spans="1:21" ht="45" customHeight="1">
      <c r="A291" s="113" t="s">
        <v>931</v>
      </c>
      <c r="B291" s="60">
        <v>13</v>
      </c>
      <c r="C291" s="61" t="s">
        <v>932</v>
      </c>
      <c r="D291" s="114" t="s">
        <v>1024</v>
      </c>
      <c r="E291" s="115" t="s">
        <v>1025</v>
      </c>
      <c r="F291" s="60" t="s">
        <v>1034</v>
      </c>
      <c r="G291" s="61" t="s">
        <v>1035</v>
      </c>
      <c r="H291" s="60" t="s">
        <v>47</v>
      </c>
      <c r="I291" s="60" t="s">
        <v>204</v>
      </c>
      <c r="J291" s="138" t="s">
        <v>1035</v>
      </c>
      <c r="K291" s="138"/>
      <c r="L291" s="22" t="s">
        <v>49</v>
      </c>
      <c r="M291" s="140" t="s">
        <v>59</v>
      </c>
      <c r="N291" s="158" t="s">
        <v>1036</v>
      </c>
      <c r="O291" s="146" t="s">
        <v>940</v>
      </c>
      <c r="P291" s="149"/>
      <c r="Q291" s="148" t="s">
        <v>1037</v>
      </c>
      <c r="R291" s="140">
        <v>1</v>
      </c>
      <c r="S291" s="140">
        <v>2</v>
      </c>
      <c r="T291" s="164"/>
      <c r="U291" s="164"/>
    </row>
    <row r="292" spans="1:21" ht="30" customHeight="1">
      <c r="A292" s="113" t="s">
        <v>931</v>
      </c>
      <c r="B292" s="60">
        <v>13</v>
      </c>
      <c r="C292" s="61" t="s">
        <v>932</v>
      </c>
      <c r="D292" s="114" t="s">
        <v>1024</v>
      </c>
      <c r="E292" s="115" t="s">
        <v>1025</v>
      </c>
      <c r="F292" s="60" t="s">
        <v>1038</v>
      </c>
      <c r="G292" s="61" t="s">
        <v>1039</v>
      </c>
      <c r="H292" s="60" t="s">
        <v>47</v>
      </c>
      <c r="I292" s="60" t="s">
        <v>204</v>
      </c>
      <c r="J292" s="138" t="s">
        <v>1039</v>
      </c>
      <c r="K292" s="138"/>
      <c r="L292" s="22" t="s">
        <v>49</v>
      </c>
      <c r="M292" s="140" t="s">
        <v>50</v>
      </c>
      <c r="N292" s="161" t="s">
        <v>1040</v>
      </c>
      <c r="O292" s="146" t="s">
        <v>940</v>
      </c>
      <c r="P292" s="149"/>
      <c r="Q292" s="148" t="s">
        <v>1037</v>
      </c>
      <c r="R292" s="140">
        <v>2</v>
      </c>
      <c r="S292" s="140">
        <v>4</v>
      </c>
      <c r="T292" s="164"/>
      <c r="U292" s="164"/>
    </row>
    <row r="293" spans="1:21" ht="43.5">
      <c r="A293" s="113" t="s">
        <v>931</v>
      </c>
      <c r="B293" s="60">
        <v>13</v>
      </c>
      <c r="C293" s="61" t="s">
        <v>932</v>
      </c>
      <c r="D293" s="114" t="s">
        <v>1024</v>
      </c>
      <c r="E293" s="115" t="s">
        <v>1025</v>
      </c>
      <c r="F293" s="60" t="s">
        <v>1041</v>
      </c>
      <c r="G293" s="61" t="s">
        <v>1042</v>
      </c>
      <c r="H293" s="60" t="s">
        <v>47</v>
      </c>
      <c r="I293" s="60" t="s">
        <v>72</v>
      </c>
      <c r="J293" s="138" t="s">
        <v>1042</v>
      </c>
      <c r="K293" s="138"/>
      <c r="L293" s="22" t="s">
        <v>49</v>
      </c>
      <c r="M293" s="140" t="s">
        <v>50</v>
      </c>
      <c r="N293" s="158" t="s">
        <v>1043</v>
      </c>
      <c r="O293" s="146"/>
      <c r="P293" s="149"/>
      <c r="Q293" s="148" t="s">
        <v>1044</v>
      </c>
      <c r="R293" s="140">
        <v>3</v>
      </c>
      <c r="S293" s="140">
        <v>6</v>
      </c>
      <c r="T293" s="164"/>
      <c r="U293" s="164"/>
    </row>
    <row r="294" spans="1:21" ht="43.5">
      <c r="A294" s="113" t="s">
        <v>931</v>
      </c>
      <c r="B294" s="60">
        <v>13</v>
      </c>
      <c r="C294" s="61" t="s">
        <v>932</v>
      </c>
      <c r="D294" s="114" t="s">
        <v>1024</v>
      </c>
      <c r="E294" s="115" t="s">
        <v>1025</v>
      </c>
      <c r="F294" s="60" t="s">
        <v>1041</v>
      </c>
      <c r="G294" s="61" t="s">
        <v>1042</v>
      </c>
      <c r="H294" s="60" t="s">
        <v>47</v>
      </c>
      <c r="I294" s="60" t="s">
        <v>72</v>
      </c>
      <c r="J294" s="138" t="s">
        <v>1042</v>
      </c>
      <c r="K294" s="138"/>
      <c r="L294" s="22" t="s">
        <v>49</v>
      </c>
      <c r="M294" s="140" t="s">
        <v>50</v>
      </c>
      <c r="N294" s="158" t="s">
        <v>1045</v>
      </c>
      <c r="O294" s="146" t="s">
        <v>940</v>
      </c>
      <c r="P294" s="147"/>
      <c r="Q294" s="148" t="s">
        <v>1046</v>
      </c>
      <c r="R294" s="140">
        <v>1</v>
      </c>
      <c r="S294" s="140">
        <v>2</v>
      </c>
      <c r="T294" s="164"/>
      <c r="U294" s="164"/>
    </row>
    <row r="295" spans="1:21" ht="72.5">
      <c r="A295" s="119" t="s">
        <v>931</v>
      </c>
      <c r="B295" s="16">
        <v>13</v>
      </c>
      <c r="C295" s="17" t="s">
        <v>932</v>
      </c>
      <c r="D295" s="116" t="s">
        <v>1047</v>
      </c>
      <c r="E295" s="122" t="s">
        <v>1048</v>
      </c>
      <c r="F295" s="16" t="s">
        <v>1049</v>
      </c>
      <c r="G295" s="17" t="s">
        <v>1050</v>
      </c>
      <c r="H295" s="16" t="s">
        <v>47</v>
      </c>
      <c r="I295" s="16" t="s">
        <v>72</v>
      </c>
      <c r="J295" s="136" t="str">
        <f>G295</f>
        <v>Identificar els programes, projectes i accions en marxa o previstos a l’ENP que poden rebre el suport del voluntariat</v>
      </c>
      <c r="K295" s="18"/>
      <c r="L295" s="22" t="s">
        <v>49</v>
      </c>
      <c r="M295" s="132" t="s">
        <v>50</v>
      </c>
      <c r="N295" s="155" t="s">
        <v>1051</v>
      </c>
      <c r="O295" s="24" t="s">
        <v>940</v>
      </c>
      <c r="P295" s="19"/>
      <c r="Q295" s="135" t="s">
        <v>1052</v>
      </c>
      <c r="R295" s="132">
        <v>1</v>
      </c>
      <c r="S295" s="132">
        <v>1</v>
      </c>
      <c r="T295" s="164"/>
      <c r="U295" s="164"/>
    </row>
    <row r="296" spans="1:21" ht="105" customHeight="1">
      <c r="A296" s="113" t="s">
        <v>931</v>
      </c>
      <c r="B296" s="60">
        <v>13</v>
      </c>
      <c r="C296" s="61" t="s">
        <v>932</v>
      </c>
      <c r="D296" s="114" t="s">
        <v>1047</v>
      </c>
      <c r="E296" s="115" t="s">
        <v>1048</v>
      </c>
      <c r="F296" s="60" t="s">
        <v>1049</v>
      </c>
      <c r="G296" s="61" t="s">
        <v>1050</v>
      </c>
      <c r="H296" s="60" t="s">
        <v>47</v>
      </c>
      <c r="I296" s="60" t="s">
        <v>72</v>
      </c>
      <c r="J296" s="138" t="s">
        <v>1050</v>
      </c>
      <c r="K296" s="138"/>
      <c r="L296" s="22" t="s">
        <v>49</v>
      </c>
      <c r="M296" s="140" t="s">
        <v>128</v>
      </c>
      <c r="N296" s="161" t="s">
        <v>1053</v>
      </c>
      <c r="O296" s="146" t="s">
        <v>940</v>
      </c>
      <c r="P296" s="147"/>
      <c r="Q296" s="148" t="s">
        <v>1054</v>
      </c>
      <c r="R296" s="140">
        <v>2</v>
      </c>
      <c r="S296" s="140">
        <v>4</v>
      </c>
      <c r="T296" s="144"/>
      <c r="U296" s="144"/>
    </row>
    <row r="297" spans="1:21" ht="45" customHeight="1">
      <c r="A297" s="113" t="s">
        <v>931</v>
      </c>
      <c r="B297" s="60">
        <v>13</v>
      </c>
      <c r="C297" s="61" t="s">
        <v>932</v>
      </c>
      <c r="D297" s="114" t="s">
        <v>1047</v>
      </c>
      <c r="E297" s="115" t="s">
        <v>1048</v>
      </c>
      <c r="F297" s="60" t="s">
        <v>1055</v>
      </c>
      <c r="G297" s="61" t="s">
        <v>1056</v>
      </c>
      <c r="H297" s="60" t="s">
        <v>47</v>
      </c>
      <c r="I297" s="60" t="s">
        <v>72</v>
      </c>
      <c r="J297" s="138" t="s">
        <v>1056</v>
      </c>
      <c r="K297" s="138"/>
      <c r="L297" s="22" t="s">
        <v>49</v>
      </c>
      <c r="M297" s="140" t="s">
        <v>59</v>
      </c>
      <c r="N297" s="158" t="s">
        <v>1057</v>
      </c>
      <c r="O297" s="146"/>
      <c r="P297" s="147"/>
      <c r="Q297" s="148" t="s">
        <v>793</v>
      </c>
      <c r="R297" s="140" t="s">
        <v>297</v>
      </c>
      <c r="S297" s="140" t="s">
        <v>296</v>
      </c>
      <c r="T297" s="164"/>
      <c r="U297" s="164"/>
    </row>
    <row r="298" spans="1:21" ht="29">
      <c r="A298" s="113" t="s">
        <v>931</v>
      </c>
      <c r="B298" s="60">
        <v>13</v>
      </c>
      <c r="C298" s="61" t="s">
        <v>932</v>
      </c>
      <c r="D298" s="114" t="s">
        <v>1047</v>
      </c>
      <c r="E298" s="115" t="s">
        <v>1048</v>
      </c>
      <c r="F298" s="60" t="s">
        <v>1055</v>
      </c>
      <c r="G298" s="61" t="s">
        <v>1056</v>
      </c>
      <c r="H298" s="60" t="s">
        <v>47</v>
      </c>
      <c r="I298" s="60" t="s">
        <v>72</v>
      </c>
      <c r="J298" s="138" t="s">
        <v>1056</v>
      </c>
      <c r="K298" s="138"/>
      <c r="L298" s="22" t="s">
        <v>49</v>
      </c>
      <c r="M298" s="140" t="s">
        <v>59</v>
      </c>
      <c r="N298" s="158" t="s">
        <v>1058</v>
      </c>
      <c r="O298" s="146" t="s">
        <v>1059</v>
      </c>
      <c r="P298" s="147" t="s">
        <v>1060</v>
      </c>
      <c r="Q298" s="148" t="s">
        <v>1061</v>
      </c>
      <c r="R298" s="140">
        <v>2</v>
      </c>
      <c r="S298" s="140">
        <v>4</v>
      </c>
      <c r="T298" s="164"/>
      <c r="U298" s="164"/>
    </row>
    <row r="299" spans="1:21" ht="29">
      <c r="A299" s="113" t="s">
        <v>931</v>
      </c>
      <c r="B299" s="60">
        <v>13</v>
      </c>
      <c r="C299" s="61" t="s">
        <v>932</v>
      </c>
      <c r="D299" s="123" t="s">
        <v>1062</v>
      </c>
      <c r="E299" s="115" t="s">
        <v>1063</v>
      </c>
      <c r="F299" s="60" t="s">
        <v>1064</v>
      </c>
      <c r="G299" s="61" t="s">
        <v>1065</v>
      </c>
      <c r="H299" s="60" t="s">
        <v>47</v>
      </c>
      <c r="I299" s="60" t="s">
        <v>72</v>
      </c>
      <c r="J299" s="138" t="s">
        <v>1065</v>
      </c>
      <c r="K299" s="138"/>
      <c r="L299" s="22" t="s">
        <v>49</v>
      </c>
      <c r="M299" s="140" t="s">
        <v>128</v>
      </c>
      <c r="N299" s="161" t="s">
        <v>1066</v>
      </c>
      <c r="O299" s="146"/>
      <c r="P299" s="147"/>
      <c r="Q299" s="148" t="s">
        <v>793</v>
      </c>
      <c r="R299" s="140" t="s">
        <v>296</v>
      </c>
      <c r="S299" s="140" t="s">
        <v>297</v>
      </c>
      <c r="T299" s="164"/>
      <c r="U299" s="164"/>
    </row>
    <row r="300" spans="1:21" ht="29">
      <c r="A300" s="113" t="s">
        <v>931</v>
      </c>
      <c r="B300" s="60">
        <v>13</v>
      </c>
      <c r="C300" s="61" t="s">
        <v>932</v>
      </c>
      <c r="D300" s="123" t="s">
        <v>1062</v>
      </c>
      <c r="E300" s="115" t="s">
        <v>1063</v>
      </c>
      <c r="F300" s="60" t="s">
        <v>1064</v>
      </c>
      <c r="G300" s="61" t="s">
        <v>1065</v>
      </c>
      <c r="H300" s="60" t="s">
        <v>47</v>
      </c>
      <c r="I300" s="60" t="s">
        <v>72</v>
      </c>
      <c r="J300" s="138" t="s">
        <v>1065</v>
      </c>
      <c r="K300" s="138"/>
      <c r="L300" s="22" t="s">
        <v>49</v>
      </c>
      <c r="M300" s="140" t="s">
        <v>128</v>
      </c>
      <c r="N300" s="161" t="s">
        <v>1067</v>
      </c>
      <c r="O300" s="146"/>
      <c r="P300" s="147"/>
      <c r="Q300" s="148" t="s">
        <v>1068</v>
      </c>
      <c r="R300" s="140">
        <v>1</v>
      </c>
      <c r="S300" s="140">
        <v>2</v>
      </c>
      <c r="T300" s="164"/>
      <c r="U300" s="164"/>
    </row>
    <row r="301" spans="1:21" ht="29">
      <c r="A301" s="113" t="s">
        <v>931</v>
      </c>
      <c r="B301" s="60">
        <v>13</v>
      </c>
      <c r="C301" s="61" t="s">
        <v>932</v>
      </c>
      <c r="D301" s="123" t="s">
        <v>1062</v>
      </c>
      <c r="E301" s="115" t="s">
        <v>1063</v>
      </c>
      <c r="F301" s="60" t="s">
        <v>1064</v>
      </c>
      <c r="G301" s="61" t="s">
        <v>1065</v>
      </c>
      <c r="H301" s="60" t="s">
        <v>47</v>
      </c>
      <c r="I301" s="60" t="s">
        <v>72</v>
      </c>
      <c r="J301" s="138" t="s">
        <v>1065</v>
      </c>
      <c r="K301" s="138"/>
      <c r="L301" s="22" t="s">
        <v>49</v>
      </c>
      <c r="M301" s="140" t="s">
        <v>128</v>
      </c>
      <c r="N301" s="161" t="s">
        <v>1069</v>
      </c>
      <c r="O301" s="146" t="s">
        <v>940</v>
      </c>
      <c r="P301" s="149"/>
      <c r="Q301" s="148" t="s">
        <v>1070</v>
      </c>
      <c r="R301" s="140">
        <v>1</v>
      </c>
      <c r="S301" s="140">
        <v>2</v>
      </c>
      <c r="T301" s="164"/>
      <c r="U301" s="164"/>
    </row>
    <row r="302" spans="1:21" ht="29">
      <c r="A302" s="113" t="s">
        <v>931</v>
      </c>
      <c r="B302" s="60">
        <v>13</v>
      </c>
      <c r="C302" s="61" t="s">
        <v>932</v>
      </c>
      <c r="D302" s="123" t="s">
        <v>1062</v>
      </c>
      <c r="E302" s="115" t="s">
        <v>1063</v>
      </c>
      <c r="F302" s="60" t="s">
        <v>1071</v>
      </c>
      <c r="G302" s="61" t="s">
        <v>1072</v>
      </c>
      <c r="H302" s="60" t="s">
        <v>47</v>
      </c>
      <c r="I302" s="60" t="s">
        <v>204</v>
      </c>
      <c r="J302" s="138" t="s">
        <v>1072</v>
      </c>
      <c r="K302" s="138"/>
      <c r="L302" s="22" t="s">
        <v>49</v>
      </c>
      <c r="M302" s="140" t="s">
        <v>128</v>
      </c>
      <c r="N302" s="161" t="s">
        <v>1073</v>
      </c>
      <c r="O302" s="146" t="s">
        <v>940</v>
      </c>
      <c r="P302" s="147"/>
      <c r="Q302" s="148" t="s">
        <v>1074</v>
      </c>
      <c r="R302" s="140">
        <v>1</v>
      </c>
      <c r="S302" s="140">
        <v>2</v>
      </c>
      <c r="T302" s="164"/>
      <c r="U302" s="164"/>
    </row>
    <row r="303" spans="1:21" ht="29">
      <c r="A303" s="113" t="s">
        <v>931</v>
      </c>
      <c r="B303" s="60">
        <v>13</v>
      </c>
      <c r="C303" s="61" t="s">
        <v>932</v>
      </c>
      <c r="D303" s="123" t="s">
        <v>1062</v>
      </c>
      <c r="E303" s="115" t="s">
        <v>1063</v>
      </c>
      <c r="F303" s="60" t="s">
        <v>1075</v>
      </c>
      <c r="G303" s="61" t="s">
        <v>1076</v>
      </c>
      <c r="H303" s="60" t="s">
        <v>47</v>
      </c>
      <c r="I303" s="60" t="s">
        <v>72</v>
      </c>
      <c r="J303" s="138" t="s">
        <v>1076</v>
      </c>
      <c r="K303" s="138"/>
      <c r="L303" s="22" t="s">
        <v>49</v>
      </c>
      <c r="M303" s="140" t="s">
        <v>59</v>
      </c>
      <c r="N303" s="161" t="s">
        <v>1077</v>
      </c>
      <c r="O303" s="146" t="s">
        <v>940</v>
      </c>
      <c r="P303" s="147"/>
      <c r="Q303" s="148" t="s">
        <v>793</v>
      </c>
      <c r="R303" s="140" t="s">
        <v>296</v>
      </c>
      <c r="S303" s="140" t="s">
        <v>297</v>
      </c>
      <c r="T303" s="164"/>
      <c r="U303" s="164"/>
    </row>
    <row r="304" spans="1:21" ht="29">
      <c r="A304" s="113" t="s">
        <v>931</v>
      </c>
      <c r="B304" s="60">
        <v>13</v>
      </c>
      <c r="C304" s="61" t="s">
        <v>932</v>
      </c>
      <c r="D304" s="123" t="s">
        <v>1078</v>
      </c>
      <c r="E304" s="121" t="s">
        <v>1079</v>
      </c>
      <c r="F304" s="60" t="s">
        <v>1080</v>
      </c>
      <c r="G304" s="61" t="s">
        <v>1081</v>
      </c>
      <c r="H304" s="60" t="s">
        <v>47</v>
      </c>
      <c r="I304" s="60" t="s">
        <v>204</v>
      </c>
      <c r="J304" s="138" t="s">
        <v>1081</v>
      </c>
      <c r="K304" s="138"/>
      <c r="L304" s="22" t="s">
        <v>49</v>
      </c>
      <c r="M304" s="140" t="s">
        <v>128</v>
      </c>
      <c r="N304" s="158" t="s">
        <v>1082</v>
      </c>
      <c r="O304" s="146" t="s">
        <v>940</v>
      </c>
      <c r="P304" s="147"/>
      <c r="Q304" s="148" t="s">
        <v>1083</v>
      </c>
      <c r="R304" s="140">
        <v>1</v>
      </c>
      <c r="S304" s="140">
        <v>3</v>
      </c>
      <c r="T304" s="164"/>
      <c r="U304" s="164"/>
    </row>
    <row r="305" spans="1:21" ht="29">
      <c r="A305" s="113" t="s">
        <v>931</v>
      </c>
      <c r="B305" s="60">
        <v>13</v>
      </c>
      <c r="C305" s="61" t="s">
        <v>932</v>
      </c>
      <c r="D305" s="123" t="s">
        <v>1078</v>
      </c>
      <c r="E305" s="121" t="s">
        <v>1079</v>
      </c>
      <c r="F305" s="60" t="s">
        <v>1084</v>
      </c>
      <c r="G305" s="61" t="s">
        <v>1085</v>
      </c>
      <c r="H305" s="60" t="s">
        <v>47</v>
      </c>
      <c r="I305" s="60" t="s">
        <v>204</v>
      </c>
      <c r="J305" s="138" t="s">
        <v>1085</v>
      </c>
      <c r="K305" s="138"/>
      <c r="L305" s="22" t="s">
        <v>49</v>
      </c>
      <c r="M305" s="140" t="s">
        <v>132</v>
      </c>
      <c r="N305" s="158" t="s">
        <v>1086</v>
      </c>
      <c r="O305" s="146" t="s">
        <v>940</v>
      </c>
      <c r="P305" s="147"/>
      <c r="Q305" s="148" t="s">
        <v>1087</v>
      </c>
      <c r="R305" s="140">
        <v>1</v>
      </c>
      <c r="S305" s="140">
        <v>2</v>
      </c>
      <c r="T305" s="164"/>
      <c r="U305" s="164"/>
    </row>
    <row r="306" spans="1:21" ht="30" customHeight="1">
      <c r="A306" s="113" t="s">
        <v>931</v>
      </c>
      <c r="B306" s="60">
        <v>13</v>
      </c>
      <c r="C306" s="61" t="s">
        <v>932</v>
      </c>
      <c r="D306" s="123" t="s">
        <v>1078</v>
      </c>
      <c r="E306" s="121" t="s">
        <v>1079</v>
      </c>
      <c r="F306" s="60" t="s">
        <v>1088</v>
      </c>
      <c r="G306" s="61" t="s">
        <v>1089</v>
      </c>
      <c r="H306" s="60" t="s">
        <v>47</v>
      </c>
      <c r="I306" s="60" t="s">
        <v>204</v>
      </c>
      <c r="J306" s="138" t="s">
        <v>1089</v>
      </c>
      <c r="K306" s="138"/>
      <c r="L306" s="22" t="s">
        <v>49</v>
      </c>
      <c r="M306" s="140" t="s">
        <v>128</v>
      </c>
      <c r="N306" s="158" t="s">
        <v>1090</v>
      </c>
      <c r="O306" s="146" t="s">
        <v>940</v>
      </c>
      <c r="P306" s="147"/>
      <c r="Q306" s="148" t="s">
        <v>1091</v>
      </c>
      <c r="R306" s="140">
        <v>3</v>
      </c>
      <c r="S306" s="140">
        <v>6</v>
      </c>
      <c r="T306" s="164"/>
      <c r="U306" s="164"/>
    </row>
    <row r="307" spans="1:21" ht="29">
      <c r="A307" s="118" t="s">
        <v>931</v>
      </c>
      <c r="B307" s="16">
        <v>13</v>
      </c>
      <c r="C307" s="17" t="s">
        <v>932</v>
      </c>
      <c r="D307" s="124" t="s">
        <v>1078</v>
      </c>
      <c r="E307" s="122" t="s">
        <v>1079</v>
      </c>
      <c r="F307" s="24" t="s">
        <v>1092</v>
      </c>
      <c r="G307" s="23" t="s">
        <v>1093</v>
      </c>
      <c r="H307" s="16" t="s">
        <v>47</v>
      </c>
      <c r="I307" s="16" t="s">
        <v>204</v>
      </c>
      <c r="J307" s="18" t="str">
        <f>G307</f>
        <v>Participar a les Taules territorials de Salut i Natura</v>
      </c>
      <c r="K307" s="18"/>
      <c r="L307" s="22" t="s">
        <v>49</v>
      </c>
      <c r="M307" s="22" t="s">
        <v>128</v>
      </c>
      <c r="N307" s="154"/>
      <c r="O307" s="24" t="s">
        <v>940</v>
      </c>
      <c r="P307" s="17"/>
      <c r="Q307" s="138" t="s">
        <v>612</v>
      </c>
      <c r="R307" s="140">
        <v>1</v>
      </c>
      <c r="S307" s="140">
        <v>4</v>
      </c>
      <c r="T307" s="164"/>
      <c r="U307" s="164"/>
    </row>
    <row r="308" spans="1:21" ht="45" customHeight="1">
      <c r="A308" s="119" t="s">
        <v>931</v>
      </c>
      <c r="B308" s="16">
        <v>14</v>
      </c>
      <c r="C308" s="17" t="s">
        <v>1094</v>
      </c>
      <c r="D308" s="116" t="s">
        <v>1095</v>
      </c>
      <c r="E308" s="117" t="s">
        <v>1096</v>
      </c>
      <c r="F308" s="16" t="s">
        <v>1097</v>
      </c>
      <c r="G308" s="17" t="s">
        <v>1098</v>
      </c>
      <c r="H308" s="16" t="s">
        <v>47</v>
      </c>
      <c r="I308" s="16" t="s">
        <v>72</v>
      </c>
      <c r="J308" s="136" t="str">
        <f>G308</f>
        <v>Informar periòdicament sobre les tasques, projectes i actuacions que duu a terme l'ENP a la població</v>
      </c>
      <c r="K308" s="18"/>
      <c r="L308" s="22" t="s">
        <v>49</v>
      </c>
      <c r="M308" s="132" t="s">
        <v>50</v>
      </c>
      <c r="N308" s="154" t="s">
        <v>1099</v>
      </c>
      <c r="O308" s="21" t="s">
        <v>1100</v>
      </c>
      <c r="P308" s="19" t="s">
        <v>1101</v>
      </c>
      <c r="Q308" s="135" t="s">
        <v>1102</v>
      </c>
      <c r="R308" s="132">
        <f>4*12</f>
        <v>48</v>
      </c>
      <c r="S308" s="132">
        <f>R308*4</f>
        <v>192</v>
      </c>
      <c r="T308" s="164"/>
      <c r="U308" s="164"/>
    </row>
    <row r="309" spans="1:21" ht="45" customHeight="1">
      <c r="A309" s="113" t="s">
        <v>931</v>
      </c>
      <c r="B309" s="60">
        <v>14</v>
      </c>
      <c r="C309" s="61" t="s">
        <v>1094</v>
      </c>
      <c r="D309" s="114" t="s">
        <v>1095</v>
      </c>
      <c r="E309" s="115" t="s">
        <v>1096</v>
      </c>
      <c r="F309" s="60" t="s">
        <v>1097</v>
      </c>
      <c r="G309" s="61" t="s">
        <v>1098</v>
      </c>
      <c r="H309" s="60" t="s">
        <v>47</v>
      </c>
      <c r="I309" s="60" t="s">
        <v>72</v>
      </c>
      <c r="J309" s="138" t="s">
        <v>1098</v>
      </c>
      <c r="K309" s="138"/>
      <c r="L309" s="22" t="s">
        <v>49</v>
      </c>
      <c r="M309" s="140" t="s">
        <v>59</v>
      </c>
      <c r="N309" s="158" t="s">
        <v>1103</v>
      </c>
      <c r="O309" s="146"/>
      <c r="P309" s="147"/>
      <c r="Q309" s="148" t="s">
        <v>1104</v>
      </c>
      <c r="R309" s="140">
        <v>6</v>
      </c>
      <c r="S309" s="140">
        <v>10</v>
      </c>
      <c r="T309" s="144"/>
      <c r="U309" s="144"/>
    </row>
    <row r="310" spans="1:21" ht="29">
      <c r="A310" s="113" t="s">
        <v>931</v>
      </c>
      <c r="B310" s="60">
        <v>14</v>
      </c>
      <c r="C310" s="61" t="s">
        <v>1094</v>
      </c>
      <c r="D310" s="114" t="s">
        <v>1095</v>
      </c>
      <c r="E310" s="115" t="s">
        <v>1096</v>
      </c>
      <c r="F310" s="60" t="s">
        <v>1097</v>
      </c>
      <c r="G310" s="61" t="s">
        <v>1098</v>
      </c>
      <c r="H310" s="60" t="s">
        <v>47</v>
      </c>
      <c r="I310" s="60" t="s">
        <v>72</v>
      </c>
      <c r="J310" s="138" t="s">
        <v>1098</v>
      </c>
      <c r="K310" s="138"/>
      <c r="L310" s="22" t="s">
        <v>49</v>
      </c>
      <c r="M310" s="140" t="s">
        <v>59</v>
      </c>
      <c r="N310" s="158" t="s">
        <v>1105</v>
      </c>
      <c r="O310" s="146"/>
      <c r="P310" s="147"/>
      <c r="Q310" s="148" t="s">
        <v>1106</v>
      </c>
      <c r="R310" s="140">
        <v>5</v>
      </c>
      <c r="S310" s="140">
        <v>10</v>
      </c>
      <c r="T310" s="164"/>
      <c r="U310" s="164"/>
    </row>
    <row r="311" spans="1:21" ht="29">
      <c r="A311" s="113" t="s">
        <v>931</v>
      </c>
      <c r="B311" s="60">
        <v>14</v>
      </c>
      <c r="C311" s="61" t="s">
        <v>1094</v>
      </c>
      <c r="D311" s="114" t="s">
        <v>1095</v>
      </c>
      <c r="E311" s="115" t="s">
        <v>1096</v>
      </c>
      <c r="F311" s="60" t="s">
        <v>1097</v>
      </c>
      <c r="G311" s="61" t="s">
        <v>1098</v>
      </c>
      <c r="H311" s="60" t="s">
        <v>47</v>
      </c>
      <c r="I311" s="60" t="s">
        <v>72</v>
      </c>
      <c r="J311" s="138" t="s">
        <v>1098</v>
      </c>
      <c r="K311" s="138"/>
      <c r="L311" s="22" t="s">
        <v>49</v>
      </c>
      <c r="M311" s="140" t="s">
        <v>59</v>
      </c>
      <c r="N311" s="158" t="s">
        <v>1107</v>
      </c>
      <c r="O311" s="146"/>
      <c r="P311" s="147"/>
      <c r="Q311" s="148" t="s">
        <v>793</v>
      </c>
      <c r="R311" s="140" t="s">
        <v>296</v>
      </c>
      <c r="S311" s="140" t="s">
        <v>297</v>
      </c>
      <c r="T311" s="164"/>
      <c r="U311" s="164"/>
    </row>
    <row r="312" spans="1:21" ht="29">
      <c r="A312" s="113" t="s">
        <v>931</v>
      </c>
      <c r="B312" s="60">
        <v>14</v>
      </c>
      <c r="C312" s="61" t="s">
        <v>1094</v>
      </c>
      <c r="D312" s="114" t="s">
        <v>1095</v>
      </c>
      <c r="E312" s="115" t="s">
        <v>1096</v>
      </c>
      <c r="F312" s="60" t="s">
        <v>1097</v>
      </c>
      <c r="G312" s="61" t="s">
        <v>1098</v>
      </c>
      <c r="H312" s="60" t="s">
        <v>47</v>
      </c>
      <c r="I312" s="60" t="s">
        <v>72</v>
      </c>
      <c r="J312" s="138" t="s">
        <v>1098</v>
      </c>
      <c r="K312" s="138"/>
      <c r="L312" s="22" t="s">
        <v>49</v>
      </c>
      <c r="M312" s="140" t="s">
        <v>59</v>
      </c>
      <c r="N312" s="158" t="s">
        <v>1108</v>
      </c>
      <c r="O312" s="146"/>
      <c r="P312" s="147"/>
      <c r="Q312" s="148" t="s">
        <v>793</v>
      </c>
      <c r="R312" s="140" t="s">
        <v>296</v>
      </c>
      <c r="S312" s="140" t="s">
        <v>297</v>
      </c>
      <c r="T312" s="164"/>
      <c r="U312" s="164"/>
    </row>
    <row r="313" spans="1:21" ht="29">
      <c r="A313" s="113" t="s">
        <v>931</v>
      </c>
      <c r="B313" s="60">
        <v>14</v>
      </c>
      <c r="C313" s="61" t="s">
        <v>1094</v>
      </c>
      <c r="D313" s="114" t="s">
        <v>1095</v>
      </c>
      <c r="E313" s="115" t="s">
        <v>1096</v>
      </c>
      <c r="F313" s="60" t="s">
        <v>1097</v>
      </c>
      <c r="G313" s="61" t="s">
        <v>1098</v>
      </c>
      <c r="H313" s="60" t="s">
        <v>47</v>
      </c>
      <c r="I313" s="60" t="s">
        <v>72</v>
      </c>
      <c r="J313" s="138" t="s">
        <v>1098</v>
      </c>
      <c r="K313" s="138"/>
      <c r="L313" s="22" t="s">
        <v>49</v>
      </c>
      <c r="M313" s="140" t="s">
        <v>59</v>
      </c>
      <c r="N313" s="158" t="s">
        <v>1109</v>
      </c>
      <c r="O313" s="146"/>
      <c r="P313" s="147"/>
      <c r="Q313" s="148" t="s">
        <v>1110</v>
      </c>
      <c r="R313" s="140">
        <v>6</v>
      </c>
      <c r="S313" s="140">
        <v>8</v>
      </c>
      <c r="T313" s="164"/>
      <c r="U313" s="164"/>
    </row>
    <row r="314" spans="1:21" ht="29">
      <c r="A314" s="113" t="s">
        <v>931</v>
      </c>
      <c r="B314" s="60">
        <v>14</v>
      </c>
      <c r="C314" s="61" t="s">
        <v>1094</v>
      </c>
      <c r="D314" s="114" t="s">
        <v>1095</v>
      </c>
      <c r="E314" s="115" t="s">
        <v>1096</v>
      </c>
      <c r="F314" s="60" t="s">
        <v>1097</v>
      </c>
      <c r="G314" s="61" t="s">
        <v>1098</v>
      </c>
      <c r="H314" s="60" t="s">
        <v>47</v>
      </c>
      <c r="I314" s="60" t="s">
        <v>72</v>
      </c>
      <c r="J314" s="138" t="s">
        <v>1098</v>
      </c>
      <c r="K314" s="138"/>
      <c r="L314" s="22" t="s">
        <v>49</v>
      </c>
      <c r="M314" s="140" t="s">
        <v>59</v>
      </c>
      <c r="N314" s="158" t="s">
        <v>1111</v>
      </c>
      <c r="O314" s="146"/>
      <c r="P314" s="147"/>
      <c r="Q314" s="148" t="s">
        <v>793</v>
      </c>
      <c r="R314" s="140" t="s">
        <v>296</v>
      </c>
      <c r="S314" s="140" t="s">
        <v>297</v>
      </c>
      <c r="T314" s="164"/>
      <c r="U314" s="164"/>
    </row>
    <row r="315" spans="1:21" ht="29">
      <c r="A315" s="113" t="s">
        <v>931</v>
      </c>
      <c r="B315" s="60">
        <v>14</v>
      </c>
      <c r="C315" s="61" t="s">
        <v>1094</v>
      </c>
      <c r="D315" s="114" t="s">
        <v>1095</v>
      </c>
      <c r="E315" s="115" t="s">
        <v>1096</v>
      </c>
      <c r="F315" s="60" t="s">
        <v>1097</v>
      </c>
      <c r="G315" s="61" t="s">
        <v>1098</v>
      </c>
      <c r="H315" s="60" t="s">
        <v>47</v>
      </c>
      <c r="I315" s="60" t="s">
        <v>72</v>
      </c>
      <c r="J315" s="138" t="s">
        <v>1098</v>
      </c>
      <c r="K315" s="138"/>
      <c r="L315" s="142"/>
      <c r="M315" s="140" t="s">
        <v>59</v>
      </c>
      <c r="N315" s="158" t="s">
        <v>1112</v>
      </c>
      <c r="O315" s="146" t="s">
        <v>1100</v>
      </c>
      <c r="P315" s="147" t="s">
        <v>1101</v>
      </c>
      <c r="Q315" s="148" t="s">
        <v>793</v>
      </c>
      <c r="R315" s="140" t="s">
        <v>296</v>
      </c>
      <c r="S315" s="140" t="s">
        <v>297</v>
      </c>
      <c r="T315" s="164"/>
      <c r="U315" s="164"/>
    </row>
    <row r="316" spans="1:21" ht="29">
      <c r="A316" s="113" t="s">
        <v>931</v>
      </c>
      <c r="B316" s="60">
        <v>14</v>
      </c>
      <c r="C316" s="61" t="s">
        <v>1094</v>
      </c>
      <c r="D316" s="114" t="s">
        <v>1095</v>
      </c>
      <c r="E316" s="115" t="s">
        <v>1096</v>
      </c>
      <c r="F316" s="60" t="s">
        <v>1113</v>
      </c>
      <c r="G316" s="61" t="s">
        <v>1114</v>
      </c>
      <c r="H316" s="60" t="s">
        <v>47</v>
      </c>
      <c r="I316" s="60" t="s">
        <v>72</v>
      </c>
      <c r="J316" s="138" t="s">
        <v>1114</v>
      </c>
      <c r="K316" s="138"/>
      <c r="L316" s="22" t="s">
        <v>49</v>
      </c>
      <c r="M316" s="140" t="s">
        <v>59</v>
      </c>
      <c r="N316" s="158" t="s">
        <v>1115</v>
      </c>
      <c r="O316" s="146"/>
      <c r="P316" s="147"/>
      <c r="Q316" s="148" t="s">
        <v>1116</v>
      </c>
      <c r="R316" s="140">
        <v>2</v>
      </c>
      <c r="S316" s="140">
        <v>7</v>
      </c>
      <c r="T316" s="164"/>
      <c r="U316" s="164"/>
    </row>
    <row r="317" spans="1:21" ht="29">
      <c r="A317" s="113" t="s">
        <v>931</v>
      </c>
      <c r="B317" s="60">
        <v>14</v>
      </c>
      <c r="C317" s="61" t="s">
        <v>1094</v>
      </c>
      <c r="D317" s="114" t="s">
        <v>1095</v>
      </c>
      <c r="E317" s="115" t="s">
        <v>1096</v>
      </c>
      <c r="F317" s="60" t="s">
        <v>1113</v>
      </c>
      <c r="G317" s="61" t="s">
        <v>1114</v>
      </c>
      <c r="H317" s="60" t="s">
        <v>47</v>
      </c>
      <c r="I317" s="60" t="s">
        <v>72</v>
      </c>
      <c r="J317" s="138" t="s">
        <v>1114</v>
      </c>
      <c r="K317" s="138"/>
      <c r="L317" s="22" t="s">
        <v>49</v>
      </c>
      <c r="M317" s="140" t="s">
        <v>59</v>
      </c>
      <c r="N317" s="158" t="s">
        <v>1117</v>
      </c>
      <c r="O317" s="146"/>
      <c r="P317" s="147"/>
      <c r="Q317" s="148" t="s">
        <v>1118</v>
      </c>
      <c r="R317" s="140">
        <v>1</v>
      </c>
      <c r="S317" s="140">
        <v>2</v>
      </c>
      <c r="T317" s="164"/>
      <c r="U317" s="164"/>
    </row>
    <row r="318" spans="1:21" ht="29">
      <c r="A318" s="113" t="s">
        <v>931</v>
      </c>
      <c r="B318" s="60">
        <v>14</v>
      </c>
      <c r="C318" s="61" t="s">
        <v>1094</v>
      </c>
      <c r="D318" s="114" t="s">
        <v>1095</v>
      </c>
      <c r="E318" s="115" t="s">
        <v>1096</v>
      </c>
      <c r="F318" s="60" t="s">
        <v>1113</v>
      </c>
      <c r="G318" s="61" t="s">
        <v>1114</v>
      </c>
      <c r="H318" s="60" t="s">
        <v>47</v>
      </c>
      <c r="I318" s="60" t="s">
        <v>72</v>
      </c>
      <c r="J318" s="138" t="s">
        <v>1114</v>
      </c>
      <c r="K318" s="138"/>
      <c r="L318" s="22" t="s">
        <v>49</v>
      </c>
      <c r="M318" s="140" t="s">
        <v>59</v>
      </c>
      <c r="N318" s="158" t="s">
        <v>1119</v>
      </c>
      <c r="O318" s="146"/>
      <c r="P318" s="147"/>
      <c r="Q318" s="148" t="s">
        <v>793</v>
      </c>
      <c r="R318" s="140" t="s">
        <v>296</v>
      </c>
      <c r="S318" s="140" t="s">
        <v>297</v>
      </c>
      <c r="T318" s="164"/>
      <c r="U318" s="164"/>
    </row>
    <row r="319" spans="1:21" ht="30" customHeight="1">
      <c r="A319" s="113" t="s">
        <v>931</v>
      </c>
      <c r="B319" s="60">
        <v>14</v>
      </c>
      <c r="C319" s="61" t="s">
        <v>1094</v>
      </c>
      <c r="D319" s="114" t="s">
        <v>1120</v>
      </c>
      <c r="E319" s="115" t="s">
        <v>1121</v>
      </c>
      <c r="F319" s="60" t="s">
        <v>1122</v>
      </c>
      <c r="G319" s="61" t="s">
        <v>1123</v>
      </c>
      <c r="H319" s="60" t="s">
        <v>47</v>
      </c>
      <c r="I319" s="60" t="s">
        <v>72</v>
      </c>
      <c r="J319" s="138" t="s">
        <v>1123</v>
      </c>
      <c r="K319" s="138"/>
      <c r="L319" s="22" t="s">
        <v>49</v>
      </c>
      <c r="M319" s="140" t="s">
        <v>132</v>
      </c>
      <c r="N319" s="158" t="s">
        <v>1124</v>
      </c>
      <c r="O319" s="146"/>
      <c r="P319" s="147"/>
      <c r="Q319" s="148" t="s">
        <v>1125</v>
      </c>
      <c r="R319" s="140">
        <v>1</v>
      </c>
      <c r="S319" s="140">
        <v>2</v>
      </c>
      <c r="T319" s="164"/>
      <c r="U319" s="164"/>
    </row>
    <row r="320" spans="1:21" ht="29">
      <c r="A320" s="113" t="s">
        <v>931</v>
      </c>
      <c r="B320" s="60">
        <v>14</v>
      </c>
      <c r="C320" s="61" t="s">
        <v>1094</v>
      </c>
      <c r="D320" s="114" t="s">
        <v>1120</v>
      </c>
      <c r="E320" s="115" t="s">
        <v>1121</v>
      </c>
      <c r="F320" s="60" t="s">
        <v>1122</v>
      </c>
      <c r="G320" s="61" t="s">
        <v>1123</v>
      </c>
      <c r="H320" s="60" t="s">
        <v>47</v>
      </c>
      <c r="I320" s="60" t="s">
        <v>72</v>
      </c>
      <c r="J320" s="138" t="s">
        <v>1123</v>
      </c>
      <c r="K320" s="138"/>
      <c r="L320" s="22" t="s">
        <v>49</v>
      </c>
      <c r="M320" s="140" t="s">
        <v>132</v>
      </c>
      <c r="N320" s="158" t="s">
        <v>1126</v>
      </c>
      <c r="O320" s="146"/>
      <c r="P320" s="147"/>
      <c r="Q320" s="148" t="s">
        <v>1127</v>
      </c>
      <c r="R320" s="140">
        <v>1</v>
      </c>
      <c r="S320" s="140">
        <v>2</v>
      </c>
      <c r="T320" s="164"/>
      <c r="U320" s="164"/>
    </row>
    <row r="321" spans="1:21" ht="29">
      <c r="A321" s="113" t="s">
        <v>931</v>
      </c>
      <c r="B321" s="60">
        <v>14</v>
      </c>
      <c r="C321" s="61" t="s">
        <v>1094</v>
      </c>
      <c r="D321" s="114" t="s">
        <v>1120</v>
      </c>
      <c r="E321" s="115" t="s">
        <v>1121</v>
      </c>
      <c r="F321" s="60" t="s">
        <v>1122</v>
      </c>
      <c r="G321" s="61" t="s">
        <v>1123</v>
      </c>
      <c r="H321" s="60" t="s">
        <v>47</v>
      </c>
      <c r="I321" s="60" t="s">
        <v>72</v>
      </c>
      <c r="J321" s="138" t="s">
        <v>1123</v>
      </c>
      <c r="K321" s="138"/>
      <c r="L321" s="22" t="s">
        <v>49</v>
      </c>
      <c r="M321" s="140" t="s">
        <v>132</v>
      </c>
      <c r="N321" s="158" t="s">
        <v>1128</v>
      </c>
      <c r="O321" s="146"/>
      <c r="P321" s="147" t="s">
        <v>1129</v>
      </c>
      <c r="Q321" s="148" t="s">
        <v>1130</v>
      </c>
      <c r="R321" s="171">
        <v>0.5</v>
      </c>
      <c r="S321" s="171">
        <v>1</v>
      </c>
      <c r="T321" s="164"/>
      <c r="U321" s="164"/>
    </row>
    <row r="322" spans="1:21" ht="29">
      <c r="A322" s="113" t="s">
        <v>931</v>
      </c>
      <c r="B322" s="60">
        <v>14</v>
      </c>
      <c r="C322" s="61" t="s">
        <v>1094</v>
      </c>
      <c r="D322" s="114" t="s">
        <v>1131</v>
      </c>
      <c r="E322" s="115" t="s">
        <v>1132</v>
      </c>
      <c r="F322" s="60" t="s">
        <v>1133</v>
      </c>
      <c r="G322" s="61" t="s">
        <v>1134</v>
      </c>
      <c r="H322" s="60" t="s">
        <v>47</v>
      </c>
      <c r="I322" s="60" t="s">
        <v>72</v>
      </c>
      <c r="J322" s="138" t="s">
        <v>1134</v>
      </c>
      <c r="K322" s="138"/>
      <c r="L322" s="22" t="s">
        <v>49</v>
      </c>
      <c r="M322" s="140" t="s">
        <v>59</v>
      </c>
      <c r="N322" s="158" t="s">
        <v>1135</v>
      </c>
      <c r="O322" s="146"/>
      <c r="P322" s="147"/>
      <c r="Q322" s="148" t="s">
        <v>1136</v>
      </c>
      <c r="R322" s="140" t="s">
        <v>296</v>
      </c>
      <c r="S322" s="140" t="s">
        <v>297</v>
      </c>
      <c r="T322" s="166"/>
      <c r="U322" s="166"/>
    </row>
    <row r="323" spans="1:21" ht="29">
      <c r="A323" s="113" t="s">
        <v>931</v>
      </c>
      <c r="B323" s="60">
        <v>14</v>
      </c>
      <c r="C323" s="61" t="s">
        <v>1094</v>
      </c>
      <c r="D323" s="114" t="s">
        <v>1131</v>
      </c>
      <c r="E323" s="115" t="s">
        <v>1132</v>
      </c>
      <c r="F323" s="60" t="s">
        <v>1133</v>
      </c>
      <c r="G323" s="61" t="s">
        <v>1134</v>
      </c>
      <c r="H323" s="60" t="s">
        <v>47</v>
      </c>
      <c r="I323" s="60" t="s">
        <v>72</v>
      </c>
      <c r="J323" s="138" t="s">
        <v>1134</v>
      </c>
      <c r="K323" s="138"/>
      <c r="L323" s="22" t="s">
        <v>49</v>
      </c>
      <c r="M323" s="140" t="s">
        <v>59</v>
      </c>
      <c r="N323" s="158" t="s">
        <v>1137</v>
      </c>
      <c r="O323" s="146"/>
      <c r="P323" s="147"/>
      <c r="Q323" s="148" t="s">
        <v>1136</v>
      </c>
      <c r="R323" s="140" t="s">
        <v>296</v>
      </c>
      <c r="S323" s="140" t="s">
        <v>297</v>
      </c>
      <c r="T323" s="164"/>
      <c r="U323" s="164"/>
    </row>
    <row r="324" spans="1:21" ht="29">
      <c r="A324" s="113" t="s">
        <v>931</v>
      </c>
      <c r="B324" s="60">
        <v>14</v>
      </c>
      <c r="C324" s="61" t="s">
        <v>1094</v>
      </c>
      <c r="D324" s="114" t="s">
        <v>1131</v>
      </c>
      <c r="E324" s="115" t="s">
        <v>1132</v>
      </c>
      <c r="F324" s="60" t="s">
        <v>1133</v>
      </c>
      <c r="G324" s="61" t="s">
        <v>1134</v>
      </c>
      <c r="H324" s="60" t="s">
        <v>47</v>
      </c>
      <c r="I324" s="60" t="s">
        <v>72</v>
      </c>
      <c r="J324" s="138" t="s">
        <v>1134</v>
      </c>
      <c r="K324" s="138"/>
      <c r="L324" s="22" t="s">
        <v>49</v>
      </c>
      <c r="M324" s="140" t="s">
        <v>59</v>
      </c>
      <c r="N324" s="158" t="s">
        <v>1138</v>
      </c>
      <c r="O324" s="146"/>
      <c r="P324" s="147"/>
      <c r="Q324" s="148" t="s">
        <v>1136</v>
      </c>
      <c r="R324" s="140" t="s">
        <v>296</v>
      </c>
      <c r="S324" s="140" t="s">
        <v>297</v>
      </c>
      <c r="T324" s="164"/>
      <c r="U324" s="164"/>
    </row>
    <row r="325" spans="1:21" ht="29">
      <c r="A325" s="113" t="s">
        <v>931</v>
      </c>
      <c r="B325" s="60">
        <v>14</v>
      </c>
      <c r="C325" s="61" t="s">
        <v>1094</v>
      </c>
      <c r="D325" s="114" t="s">
        <v>1131</v>
      </c>
      <c r="E325" s="115" t="s">
        <v>1132</v>
      </c>
      <c r="F325" s="60" t="s">
        <v>1133</v>
      </c>
      <c r="G325" s="61" t="s">
        <v>1134</v>
      </c>
      <c r="H325" s="60" t="s">
        <v>47</v>
      </c>
      <c r="I325" s="60" t="s">
        <v>72</v>
      </c>
      <c r="J325" s="138" t="s">
        <v>1134</v>
      </c>
      <c r="K325" s="138"/>
      <c r="L325" s="22" t="s">
        <v>49</v>
      </c>
      <c r="M325" s="140" t="s">
        <v>59</v>
      </c>
      <c r="N325" s="158" t="s">
        <v>1139</v>
      </c>
      <c r="O325" s="146"/>
      <c r="P325" s="147"/>
      <c r="Q325" s="148" t="s">
        <v>1136</v>
      </c>
      <c r="R325" s="140" t="s">
        <v>296</v>
      </c>
      <c r="S325" s="140" t="s">
        <v>297</v>
      </c>
      <c r="T325" s="164"/>
      <c r="U325" s="164"/>
    </row>
    <row r="326" spans="1:21" ht="30" customHeight="1">
      <c r="A326" s="113" t="s">
        <v>931</v>
      </c>
      <c r="B326" s="60">
        <v>14</v>
      </c>
      <c r="C326" s="61" t="s">
        <v>1094</v>
      </c>
      <c r="D326" s="114" t="s">
        <v>1131</v>
      </c>
      <c r="E326" s="115" t="s">
        <v>1132</v>
      </c>
      <c r="F326" s="60" t="s">
        <v>1133</v>
      </c>
      <c r="G326" s="61" t="s">
        <v>1134</v>
      </c>
      <c r="H326" s="60" t="s">
        <v>47</v>
      </c>
      <c r="I326" s="60" t="s">
        <v>72</v>
      </c>
      <c r="J326" s="138" t="s">
        <v>1134</v>
      </c>
      <c r="K326" s="138"/>
      <c r="L326" s="22" t="s">
        <v>49</v>
      </c>
      <c r="M326" s="140" t="s">
        <v>59</v>
      </c>
      <c r="N326" s="158" t="s">
        <v>1140</v>
      </c>
      <c r="O326" s="146" t="s">
        <v>1100</v>
      </c>
      <c r="P326" s="147"/>
      <c r="Q326" s="148" t="s">
        <v>1141</v>
      </c>
      <c r="R326" s="140">
        <v>12</v>
      </c>
      <c r="S326" s="140">
        <v>24</v>
      </c>
      <c r="T326" s="164"/>
      <c r="U326" s="164"/>
    </row>
    <row r="327" spans="1:21" ht="45" customHeight="1">
      <c r="A327" s="113" t="s">
        <v>931</v>
      </c>
      <c r="B327" s="60">
        <v>14</v>
      </c>
      <c r="C327" s="61" t="s">
        <v>1094</v>
      </c>
      <c r="D327" s="114" t="s">
        <v>1131</v>
      </c>
      <c r="E327" s="115" t="s">
        <v>1132</v>
      </c>
      <c r="F327" s="60" t="s">
        <v>1142</v>
      </c>
      <c r="G327" s="61" t="s">
        <v>1143</v>
      </c>
      <c r="H327" s="60" t="s">
        <v>47</v>
      </c>
      <c r="I327" s="60" t="s">
        <v>72</v>
      </c>
      <c r="J327" s="138" t="s">
        <v>1143</v>
      </c>
      <c r="K327" s="138"/>
      <c r="L327" s="22" t="s">
        <v>49</v>
      </c>
      <c r="M327" s="140" t="s">
        <v>59</v>
      </c>
      <c r="N327" s="158" t="s">
        <v>1144</v>
      </c>
      <c r="O327" s="146" t="s">
        <v>1100</v>
      </c>
      <c r="P327" s="147"/>
      <c r="Q327" s="148" t="s">
        <v>793</v>
      </c>
      <c r="R327" s="140" t="s">
        <v>296</v>
      </c>
      <c r="S327" s="140" t="s">
        <v>297</v>
      </c>
      <c r="T327" s="164"/>
      <c r="U327" s="164"/>
    </row>
    <row r="328" spans="1:21" ht="29">
      <c r="A328" s="113" t="s">
        <v>931</v>
      </c>
      <c r="B328" s="60">
        <v>14</v>
      </c>
      <c r="C328" s="61" t="s">
        <v>1094</v>
      </c>
      <c r="D328" s="114" t="s">
        <v>1131</v>
      </c>
      <c r="E328" s="115" t="s">
        <v>1132</v>
      </c>
      <c r="F328" s="60" t="s">
        <v>1142</v>
      </c>
      <c r="G328" s="61" t="s">
        <v>1143</v>
      </c>
      <c r="H328" s="60" t="s">
        <v>47</v>
      </c>
      <c r="I328" s="60" t="s">
        <v>72</v>
      </c>
      <c r="J328" s="138" t="s">
        <v>1143</v>
      </c>
      <c r="K328" s="138"/>
      <c r="L328" s="22" t="s">
        <v>49</v>
      </c>
      <c r="M328" s="140" t="s">
        <v>59</v>
      </c>
      <c r="N328" s="158" t="s">
        <v>1145</v>
      </c>
      <c r="O328" s="146" t="s">
        <v>1100</v>
      </c>
      <c r="P328" s="147"/>
      <c r="Q328" s="148" t="s">
        <v>793</v>
      </c>
      <c r="R328" s="140" t="s">
        <v>296</v>
      </c>
      <c r="S328" s="140" t="s">
        <v>297</v>
      </c>
      <c r="T328" s="164"/>
      <c r="U328" s="164"/>
    </row>
    <row r="329" spans="1:21" ht="29">
      <c r="A329" s="113" t="s">
        <v>931</v>
      </c>
      <c r="B329" s="60">
        <v>14</v>
      </c>
      <c r="C329" s="61" t="s">
        <v>1094</v>
      </c>
      <c r="D329" s="114" t="s">
        <v>1131</v>
      </c>
      <c r="E329" s="115" t="s">
        <v>1132</v>
      </c>
      <c r="F329" s="60" t="s">
        <v>1142</v>
      </c>
      <c r="G329" s="61" t="s">
        <v>1143</v>
      </c>
      <c r="H329" s="60" t="s">
        <v>47</v>
      </c>
      <c r="I329" s="60" t="s">
        <v>72</v>
      </c>
      <c r="J329" s="138" t="s">
        <v>1143</v>
      </c>
      <c r="K329" s="138"/>
      <c r="L329" s="22" t="s">
        <v>49</v>
      </c>
      <c r="M329" s="140" t="s">
        <v>59</v>
      </c>
      <c r="N329" s="158" t="s">
        <v>1146</v>
      </c>
      <c r="O329" s="146" t="s">
        <v>1100</v>
      </c>
      <c r="P329" s="147"/>
      <c r="Q329" s="148" t="s">
        <v>793</v>
      </c>
      <c r="R329" s="140" t="s">
        <v>296</v>
      </c>
      <c r="S329" s="140" t="s">
        <v>297</v>
      </c>
      <c r="T329" s="164"/>
      <c r="U329" s="164"/>
    </row>
    <row r="330" spans="1:21" ht="29">
      <c r="A330" s="113" t="s">
        <v>931</v>
      </c>
      <c r="B330" s="60">
        <v>14</v>
      </c>
      <c r="C330" s="61" t="s">
        <v>1094</v>
      </c>
      <c r="D330" s="114" t="s">
        <v>1131</v>
      </c>
      <c r="E330" s="115" t="s">
        <v>1132</v>
      </c>
      <c r="F330" s="60" t="s">
        <v>1142</v>
      </c>
      <c r="G330" s="61" t="s">
        <v>1143</v>
      </c>
      <c r="H330" s="60" t="s">
        <v>47</v>
      </c>
      <c r="I330" s="60" t="s">
        <v>72</v>
      </c>
      <c r="J330" s="138" t="s">
        <v>1143</v>
      </c>
      <c r="K330" s="138"/>
      <c r="L330" s="22" t="s">
        <v>49</v>
      </c>
      <c r="M330" s="140" t="s">
        <v>59</v>
      </c>
      <c r="N330" s="158" t="s">
        <v>1147</v>
      </c>
      <c r="O330" s="146" t="s">
        <v>1100</v>
      </c>
      <c r="P330" s="147"/>
      <c r="Q330" s="148" t="s">
        <v>793</v>
      </c>
      <c r="R330" s="140" t="s">
        <v>296</v>
      </c>
      <c r="S330" s="140" t="s">
        <v>297</v>
      </c>
      <c r="T330" s="164"/>
      <c r="U330" s="164"/>
    </row>
    <row r="331" spans="1:21" ht="29">
      <c r="A331" s="113" t="s">
        <v>931</v>
      </c>
      <c r="B331" s="60">
        <v>14</v>
      </c>
      <c r="C331" s="61" t="s">
        <v>1094</v>
      </c>
      <c r="D331" s="114" t="s">
        <v>1131</v>
      </c>
      <c r="E331" s="115" t="s">
        <v>1132</v>
      </c>
      <c r="F331" s="60" t="s">
        <v>1142</v>
      </c>
      <c r="G331" s="61" t="s">
        <v>1143</v>
      </c>
      <c r="H331" s="60" t="s">
        <v>47</v>
      </c>
      <c r="I331" s="60" t="s">
        <v>72</v>
      </c>
      <c r="J331" s="138" t="s">
        <v>1143</v>
      </c>
      <c r="K331" s="138"/>
      <c r="L331" s="22" t="s">
        <v>49</v>
      </c>
      <c r="M331" s="140" t="s">
        <v>59</v>
      </c>
      <c r="N331" s="158" t="s">
        <v>1148</v>
      </c>
      <c r="O331" s="146" t="s">
        <v>1100</v>
      </c>
      <c r="P331" s="147"/>
      <c r="Q331" s="148" t="s">
        <v>793</v>
      </c>
      <c r="R331" s="140" t="s">
        <v>296</v>
      </c>
      <c r="S331" s="140" t="s">
        <v>297</v>
      </c>
      <c r="T331" s="164"/>
      <c r="U331" s="164"/>
    </row>
    <row r="332" spans="1:21" ht="29">
      <c r="A332" s="113" t="s">
        <v>931</v>
      </c>
      <c r="B332" s="60">
        <v>14</v>
      </c>
      <c r="C332" s="61" t="s">
        <v>1094</v>
      </c>
      <c r="D332" s="114" t="s">
        <v>1131</v>
      </c>
      <c r="E332" s="115" t="s">
        <v>1132</v>
      </c>
      <c r="F332" s="60" t="s">
        <v>1142</v>
      </c>
      <c r="G332" s="61" t="s">
        <v>1143</v>
      </c>
      <c r="H332" s="60" t="s">
        <v>47</v>
      </c>
      <c r="I332" s="60" t="s">
        <v>72</v>
      </c>
      <c r="J332" s="138" t="s">
        <v>1143</v>
      </c>
      <c r="K332" s="138"/>
      <c r="L332" s="22" t="s">
        <v>49</v>
      </c>
      <c r="M332" s="140" t="s">
        <v>128</v>
      </c>
      <c r="N332" s="158" t="s">
        <v>1149</v>
      </c>
      <c r="O332" s="146" t="s">
        <v>1100</v>
      </c>
      <c r="P332" s="147"/>
      <c r="Q332" s="138" t="s">
        <v>612</v>
      </c>
      <c r="R332" s="174">
        <v>40</v>
      </c>
      <c r="S332" s="174">
        <v>52</v>
      </c>
      <c r="T332" s="164"/>
      <c r="U332" s="164"/>
    </row>
    <row r="333" spans="1:21" ht="45" customHeight="1">
      <c r="A333" s="125" t="s">
        <v>1150</v>
      </c>
      <c r="B333" s="126">
        <v>15</v>
      </c>
      <c r="C333" s="127" t="s">
        <v>1151</v>
      </c>
      <c r="D333" s="128" t="s">
        <v>1152</v>
      </c>
      <c r="E333" s="129" t="s">
        <v>1153</v>
      </c>
      <c r="F333" s="16" t="s">
        <v>1154</v>
      </c>
      <c r="G333" s="17" t="s">
        <v>1155</v>
      </c>
      <c r="H333" s="16" t="s">
        <v>47</v>
      </c>
      <c r="I333" s="16" t="s">
        <v>204</v>
      </c>
      <c r="J333" s="18" t="str">
        <f t="shared" ref="J333:J387" si="7">G333</f>
        <v>Crear una taula de treball amb els agents prioritaris per a la gestió de l'ENP i els grups de treball temàtics necessaris</v>
      </c>
      <c r="K333" s="18"/>
      <c r="L333" s="22" t="s">
        <v>49</v>
      </c>
      <c r="M333" s="132" t="s">
        <v>59</v>
      </c>
      <c r="N333" s="154"/>
      <c r="O333" s="21"/>
      <c r="P333" s="20"/>
      <c r="Q333" s="175"/>
      <c r="R333" s="132"/>
      <c r="S333" s="132"/>
      <c r="T333" s="167"/>
      <c r="U333" s="167"/>
    </row>
    <row r="334" spans="1:21" ht="29">
      <c r="A334" s="125" t="s">
        <v>1150</v>
      </c>
      <c r="B334" s="126">
        <v>15</v>
      </c>
      <c r="C334" s="127" t="s">
        <v>1151</v>
      </c>
      <c r="D334" s="128" t="s">
        <v>1152</v>
      </c>
      <c r="E334" s="129" t="s">
        <v>1153</v>
      </c>
      <c r="F334" s="16" t="s">
        <v>1156</v>
      </c>
      <c r="G334" s="17" t="s">
        <v>1157</v>
      </c>
      <c r="H334" s="16" t="s">
        <v>47</v>
      </c>
      <c r="I334" s="16" t="s">
        <v>204</v>
      </c>
      <c r="J334" s="18" t="str">
        <f t="shared" si="7"/>
        <v>Disposar d'assessorament científic en l'ENP</v>
      </c>
      <c r="K334" s="18"/>
      <c r="L334" s="22" t="s">
        <v>49</v>
      </c>
      <c r="M334" s="132" t="s">
        <v>59</v>
      </c>
      <c r="N334" s="154"/>
      <c r="O334" s="21"/>
      <c r="P334" s="20"/>
      <c r="Q334" s="175"/>
      <c r="R334" s="132"/>
      <c r="S334" s="132"/>
      <c r="T334" s="144"/>
      <c r="U334" s="144"/>
    </row>
    <row r="335" spans="1:21" ht="29">
      <c r="A335" s="125" t="s">
        <v>1150</v>
      </c>
      <c r="B335" s="126">
        <v>15</v>
      </c>
      <c r="C335" s="127" t="s">
        <v>1151</v>
      </c>
      <c r="D335" s="128" t="s">
        <v>1152</v>
      </c>
      <c r="E335" s="129" t="s">
        <v>1153</v>
      </c>
      <c r="F335" s="16" t="s">
        <v>1158</v>
      </c>
      <c r="G335" s="17" t="s">
        <v>1159</v>
      </c>
      <c r="H335" s="16" t="s">
        <v>47</v>
      </c>
      <c r="I335" s="16" t="s">
        <v>204</v>
      </c>
      <c r="J335" s="18" t="str">
        <f t="shared" si="7"/>
        <v>Incloure entitats i organismes científics i culturals de referència en els mecanismes de presa de decisions de l'ENP</v>
      </c>
      <c r="K335" s="18"/>
      <c r="L335" s="22" t="s">
        <v>49</v>
      </c>
      <c r="M335" s="132" t="s">
        <v>59</v>
      </c>
      <c r="N335" s="154" t="s">
        <v>1160</v>
      </c>
      <c r="O335" s="21"/>
      <c r="P335" s="20"/>
      <c r="Q335" s="175"/>
      <c r="R335" s="132"/>
      <c r="S335" s="132"/>
      <c r="T335" s="144"/>
      <c r="U335" s="144"/>
    </row>
    <row r="336" spans="1:21" ht="29">
      <c r="A336" s="125" t="s">
        <v>1150</v>
      </c>
      <c r="B336" s="126">
        <v>15</v>
      </c>
      <c r="C336" s="127" t="s">
        <v>1151</v>
      </c>
      <c r="D336" s="128" t="s">
        <v>1152</v>
      </c>
      <c r="E336" s="129" t="s">
        <v>1153</v>
      </c>
      <c r="F336" s="16" t="s">
        <v>1158</v>
      </c>
      <c r="G336" s="17" t="s">
        <v>1159</v>
      </c>
      <c r="H336" s="16" t="s">
        <v>47</v>
      </c>
      <c r="I336" s="16" t="s">
        <v>204</v>
      </c>
      <c r="J336" s="18" t="str">
        <f t="shared" si="7"/>
        <v>Incloure entitats i organismes científics i culturals de referència en els mecanismes de presa de decisions de l'ENP</v>
      </c>
      <c r="K336" s="18"/>
      <c r="L336" s="22" t="s">
        <v>49</v>
      </c>
      <c r="M336" s="132" t="s">
        <v>59</v>
      </c>
      <c r="N336" s="154" t="s">
        <v>1161</v>
      </c>
      <c r="O336" s="21"/>
      <c r="P336" s="20"/>
      <c r="Q336" s="175"/>
      <c r="R336" s="132"/>
      <c r="S336" s="132"/>
      <c r="T336" s="144"/>
      <c r="U336" s="144"/>
    </row>
    <row r="337" spans="1:21" ht="29">
      <c r="A337" s="125" t="s">
        <v>1150</v>
      </c>
      <c r="B337" s="126">
        <v>15</v>
      </c>
      <c r="C337" s="127" t="s">
        <v>1151</v>
      </c>
      <c r="D337" s="128" t="s">
        <v>1152</v>
      </c>
      <c r="E337" s="129" t="s">
        <v>1153</v>
      </c>
      <c r="F337" s="16" t="s">
        <v>1162</v>
      </c>
      <c r="G337" s="17" t="s">
        <v>1163</v>
      </c>
      <c r="H337" s="16" t="s">
        <v>47</v>
      </c>
      <c r="I337" s="16" t="s">
        <v>72</v>
      </c>
      <c r="J337" s="18" t="str">
        <f t="shared" si="7"/>
        <v>Adaptar i desplegar el model de governança dels espais naturals protegits</v>
      </c>
      <c r="K337" s="18"/>
      <c r="L337" s="22" t="s">
        <v>49</v>
      </c>
      <c r="M337" s="132" t="s">
        <v>59</v>
      </c>
      <c r="N337" s="154" t="s">
        <v>1164</v>
      </c>
      <c r="O337" s="21"/>
      <c r="P337" s="17" t="s">
        <v>1165</v>
      </c>
      <c r="Q337" s="175"/>
      <c r="R337" s="132"/>
      <c r="S337" s="132"/>
      <c r="T337" s="144"/>
      <c r="U337" s="144"/>
    </row>
    <row r="338" spans="1:21" ht="72.5">
      <c r="A338" s="130" t="s">
        <v>1150</v>
      </c>
      <c r="B338" s="126">
        <v>16</v>
      </c>
      <c r="C338" s="131" t="s">
        <v>1166</v>
      </c>
      <c r="D338" s="128" t="s">
        <v>1167</v>
      </c>
      <c r="E338" s="129" t="s">
        <v>1168</v>
      </c>
      <c r="F338" s="16" t="s">
        <v>1169</v>
      </c>
      <c r="G338" s="17" t="s">
        <v>1170</v>
      </c>
      <c r="H338" s="16" t="s">
        <v>47</v>
      </c>
      <c r="I338" s="16" t="s">
        <v>72</v>
      </c>
      <c r="J338" s="18" t="str">
        <f t="shared" si="7"/>
        <v>Millorar el sistema de control de l'execució del pressupost, d'acord amb les indicacions de Serveis Centrals</v>
      </c>
      <c r="K338" s="18"/>
      <c r="L338" s="22" t="s">
        <v>49</v>
      </c>
      <c r="M338" s="22" t="s">
        <v>59</v>
      </c>
      <c r="N338" s="154" t="s">
        <v>1171</v>
      </c>
      <c r="O338" s="16"/>
      <c r="P338" s="17" t="s">
        <v>1172</v>
      </c>
      <c r="Q338" s="18"/>
      <c r="R338" s="22"/>
      <c r="S338" s="22"/>
      <c r="T338" s="144"/>
      <c r="U338" s="144"/>
    </row>
    <row r="339" spans="1:21" ht="45" customHeight="1">
      <c r="A339" s="130" t="s">
        <v>1150</v>
      </c>
      <c r="B339" s="126">
        <v>16</v>
      </c>
      <c r="C339" s="131" t="s">
        <v>1166</v>
      </c>
      <c r="D339" s="128" t="s">
        <v>1167</v>
      </c>
      <c r="E339" s="129" t="s">
        <v>1168</v>
      </c>
      <c r="F339" s="16" t="s">
        <v>1169</v>
      </c>
      <c r="G339" s="17" t="s">
        <v>1170</v>
      </c>
      <c r="H339" s="16" t="s">
        <v>47</v>
      </c>
      <c r="I339" s="16" t="s">
        <v>72</v>
      </c>
      <c r="J339" s="18" t="str">
        <f t="shared" si="7"/>
        <v>Millorar el sistema de control de l'execució del pressupost, d'acord amb les indicacions de Serveis Centrals</v>
      </c>
      <c r="K339" s="18"/>
      <c r="L339" s="22" t="s">
        <v>49</v>
      </c>
      <c r="M339" s="22" t="s">
        <v>59</v>
      </c>
      <c r="N339" s="154" t="s">
        <v>1173</v>
      </c>
      <c r="O339" s="16"/>
      <c r="P339" s="17" t="s">
        <v>1172</v>
      </c>
      <c r="Q339" s="18"/>
      <c r="R339" s="22"/>
      <c r="S339" s="22"/>
      <c r="T339" s="6"/>
      <c r="U339" s="6"/>
    </row>
    <row r="340" spans="1:21" ht="45" customHeight="1">
      <c r="A340" s="130" t="s">
        <v>1150</v>
      </c>
      <c r="B340" s="126">
        <v>16</v>
      </c>
      <c r="C340" s="131" t="s">
        <v>1166</v>
      </c>
      <c r="D340" s="128" t="s">
        <v>1167</v>
      </c>
      <c r="E340" s="129" t="s">
        <v>1168</v>
      </c>
      <c r="F340" s="16" t="s">
        <v>1169</v>
      </c>
      <c r="G340" s="17" t="s">
        <v>1170</v>
      </c>
      <c r="H340" s="16" t="s">
        <v>47</v>
      </c>
      <c r="I340" s="16" t="s">
        <v>72</v>
      </c>
      <c r="J340" s="18" t="str">
        <f t="shared" si="7"/>
        <v>Millorar el sistema de control de l'execució del pressupost, d'acord amb les indicacions de Serveis Centrals</v>
      </c>
      <c r="K340" s="18"/>
      <c r="L340" s="22" t="s">
        <v>49</v>
      </c>
      <c r="M340" s="22" t="s">
        <v>59</v>
      </c>
      <c r="N340" s="154" t="s">
        <v>1174</v>
      </c>
      <c r="O340" s="16"/>
      <c r="P340" s="17" t="s">
        <v>1172</v>
      </c>
      <c r="Q340" s="18"/>
      <c r="R340" s="22"/>
      <c r="S340" s="22"/>
      <c r="T340" s="6"/>
      <c r="U340" s="6"/>
    </row>
    <row r="341" spans="1:21" ht="45" customHeight="1">
      <c r="A341" s="125" t="s">
        <v>1150</v>
      </c>
      <c r="B341" s="126">
        <v>16</v>
      </c>
      <c r="C341" s="131" t="s">
        <v>1166</v>
      </c>
      <c r="D341" s="128" t="s">
        <v>1175</v>
      </c>
      <c r="E341" s="129" t="s">
        <v>1176</v>
      </c>
      <c r="F341" s="16" t="s">
        <v>1177</v>
      </c>
      <c r="G341" s="17" t="s">
        <v>1178</v>
      </c>
      <c r="H341" s="16" t="s">
        <v>47</v>
      </c>
      <c r="I341" s="16" t="s">
        <v>72</v>
      </c>
      <c r="J341" s="18" t="str">
        <f t="shared" si="7"/>
        <v>Planificar i detectar les necessitats de contractació del l'ENP per a l'optimització dels contractes a nivell de Xarxa</v>
      </c>
      <c r="K341" s="18"/>
      <c r="L341" s="22" t="s">
        <v>49</v>
      </c>
      <c r="M341" s="132" t="s">
        <v>50</v>
      </c>
      <c r="N341" s="154" t="s">
        <v>1179</v>
      </c>
      <c r="O341" s="21"/>
      <c r="P341" s="19" t="s">
        <v>1180</v>
      </c>
      <c r="Q341" s="135" t="s">
        <v>1181</v>
      </c>
      <c r="R341" s="132">
        <f>3*4</f>
        <v>12</v>
      </c>
      <c r="S341" s="132">
        <f>R341*4</f>
        <v>48</v>
      </c>
      <c r="T341" s="6"/>
      <c r="U341" s="6"/>
    </row>
    <row r="342" spans="1:21" ht="29">
      <c r="A342" s="130" t="s">
        <v>1150</v>
      </c>
      <c r="B342" s="126">
        <v>16</v>
      </c>
      <c r="C342" s="131" t="s">
        <v>1166</v>
      </c>
      <c r="D342" s="128" t="s">
        <v>1175</v>
      </c>
      <c r="E342" s="129" t="s">
        <v>1176</v>
      </c>
      <c r="F342" s="16" t="s">
        <v>1177</v>
      </c>
      <c r="G342" s="17" t="s">
        <v>1178</v>
      </c>
      <c r="H342" s="16" t="s">
        <v>47</v>
      </c>
      <c r="I342" s="16" t="s">
        <v>72</v>
      </c>
      <c r="J342" s="18" t="str">
        <f t="shared" si="7"/>
        <v>Planificar i detectar les necessitats de contractació del l'ENP per a l'optimització dels contractes a nivell de Xarxa</v>
      </c>
      <c r="K342" s="18"/>
      <c r="L342" s="22" t="s">
        <v>49</v>
      </c>
      <c r="M342" s="22" t="s">
        <v>50</v>
      </c>
      <c r="N342" s="154" t="s">
        <v>1182</v>
      </c>
      <c r="O342" s="16"/>
      <c r="P342" s="17" t="s">
        <v>1180</v>
      </c>
      <c r="Q342" s="18"/>
      <c r="R342" s="22"/>
      <c r="S342" s="22"/>
      <c r="T342" s="144"/>
      <c r="U342" s="144"/>
    </row>
    <row r="343" spans="1:21" ht="30" customHeight="1">
      <c r="A343" s="130" t="s">
        <v>1150</v>
      </c>
      <c r="B343" s="126">
        <v>16</v>
      </c>
      <c r="C343" s="131" t="s">
        <v>1166</v>
      </c>
      <c r="D343" s="128" t="s">
        <v>1175</v>
      </c>
      <c r="E343" s="129" t="s">
        <v>1176</v>
      </c>
      <c r="F343" s="16" t="s">
        <v>1177</v>
      </c>
      <c r="G343" s="17" t="s">
        <v>1178</v>
      </c>
      <c r="H343" s="16" t="s">
        <v>47</v>
      </c>
      <c r="I343" s="16" t="s">
        <v>72</v>
      </c>
      <c r="J343" s="18" t="str">
        <f t="shared" si="7"/>
        <v>Planificar i detectar les necessitats de contractació del l'ENP per a l'optimització dels contractes a nivell de Xarxa</v>
      </c>
      <c r="K343" s="18"/>
      <c r="L343" s="22" t="s">
        <v>49</v>
      </c>
      <c r="M343" s="22" t="s">
        <v>50</v>
      </c>
      <c r="N343" s="154" t="s">
        <v>1183</v>
      </c>
      <c r="O343" s="16"/>
      <c r="P343" s="17" t="s">
        <v>1180</v>
      </c>
      <c r="Q343" s="18"/>
      <c r="R343" s="22"/>
      <c r="S343" s="22"/>
      <c r="T343" s="6"/>
      <c r="U343" s="6"/>
    </row>
    <row r="344" spans="1:21" ht="30" customHeight="1">
      <c r="A344" s="130" t="s">
        <v>1150</v>
      </c>
      <c r="B344" s="126">
        <v>16</v>
      </c>
      <c r="C344" s="131" t="s">
        <v>1166</v>
      </c>
      <c r="D344" s="128" t="s">
        <v>1175</v>
      </c>
      <c r="E344" s="129" t="s">
        <v>1176</v>
      </c>
      <c r="F344" s="16" t="s">
        <v>1184</v>
      </c>
      <c r="G344" s="17" t="s">
        <v>1185</v>
      </c>
      <c r="H344" s="16" t="s">
        <v>47</v>
      </c>
      <c r="I344" s="16" t="s">
        <v>72</v>
      </c>
      <c r="J344" s="18" t="str">
        <f t="shared" si="7"/>
        <v>Planificar i detectar les tasques de convocatòries d'ajuts de l'ENP</v>
      </c>
      <c r="K344" s="18"/>
      <c r="L344" s="22" t="s">
        <v>49</v>
      </c>
      <c r="M344" s="22" t="s">
        <v>50</v>
      </c>
      <c r="N344" s="154" t="s">
        <v>1186</v>
      </c>
      <c r="O344" s="16"/>
      <c r="P344" s="17"/>
      <c r="Q344" s="18"/>
      <c r="R344" s="22"/>
      <c r="S344" s="22"/>
      <c r="T344" s="6"/>
      <c r="U344" s="6"/>
    </row>
    <row r="345" spans="1:21" ht="43.5">
      <c r="A345" s="125" t="s">
        <v>1150</v>
      </c>
      <c r="B345" s="126">
        <v>16</v>
      </c>
      <c r="C345" s="131" t="s">
        <v>1166</v>
      </c>
      <c r="D345" s="128" t="s">
        <v>1175</v>
      </c>
      <c r="E345" s="129" t="s">
        <v>1176</v>
      </c>
      <c r="F345" s="16" t="s">
        <v>1184</v>
      </c>
      <c r="G345" s="25" t="s">
        <v>1185</v>
      </c>
      <c r="H345" s="16" t="s">
        <v>47</v>
      </c>
      <c r="I345" s="16" t="s">
        <v>72</v>
      </c>
      <c r="J345" s="18" t="str">
        <f t="shared" si="7"/>
        <v>Planificar i detectar les tasques de convocatòries d'ajuts de l'ENP</v>
      </c>
      <c r="K345" s="18"/>
      <c r="L345" s="22" t="s">
        <v>49</v>
      </c>
      <c r="M345" s="132" t="s">
        <v>50</v>
      </c>
      <c r="N345" s="154" t="s">
        <v>1187</v>
      </c>
      <c r="O345" s="21"/>
      <c r="P345" s="19"/>
      <c r="Q345" s="170" t="s">
        <v>1188</v>
      </c>
      <c r="R345" s="132">
        <v>1</v>
      </c>
      <c r="S345" s="132">
        <v>1</v>
      </c>
      <c r="T345" s="6"/>
      <c r="U345" s="6"/>
    </row>
    <row r="346" spans="1:21" ht="45" customHeight="1">
      <c r="A346" s="125" t="s">
        <v>1150</v>
      </c>
      <c r="B346" s="126">
        <v>16</v>
      </c>
      <c r="C346" s="131" t="s">
        <v>1166</v>
      </c>
      <c r="D346" s="128" t="s">
        <v>1175</v>
      </c>
      <c r="E346" s="129" t="s">
        <v>1176</v>
      </c>
      <c r="F346" s="16" t="s">
        <v>1184</v>
      </c>
      <c r="G346" s="25" t="s">
        <v>1185</v>
      </c>
      <c r="H346" s="16" t="s">
        <v>47</v>
      </c>
      <c r="I346" s="16" t="s">
        <v>72</v>
      </c>
      <c r="J346" s="18" t="str">
        <f t="shared" si="7"/>
        <v>Planificar i detectar les tasques de convocatòries d'ajuts de l'ENP</v>
      </c>
      <c r="K346" s="18"/>
      <c r="L346" s="22" t="s">
        <v>49</v>
      </c>
      <c r="M346" s="132" t="s">
        <v>50</v>
      </c>
      <c r="N346" s="154" t="s">
        <v>1189</v>
      </c>
      <c r="O346" s="21"/>
      <c r="P346" s="19"/>
      <c r="Q346" s="135" t="s">
        <v>1190</v>
      </c>
      <c r="R346" s="132">
        <v>3</v>
      </c>
      <c r="S346" s="132">
        <v>5</v>
      </c>
      <c r="T346" s="144"/>
      <c r="U346" s="144"/>
    </row>
    <row r="347" spans="1:21" ht="105" customHeight="1">
      <c r="A347" s="125" t="s">
        <v>1150</v>
      </c>
      <c r="B347" s="126">
        <v>16</v>
      </c>
      <c r="C347" s="131" t="s">
        <v>1166</v>
      </c>
      <c r="D347" s="128" t="s">
        <v>1175</v>
      </c>
      <c r="E347" s="129" t="s">
        <v>1176</v>
      </c>
      <c r="F347" s="16" t="s">
        <v>1191</v>
      </c>
      <c r="G347" s="25" t="s">
        <v>1192</v>
      </c>
      <c r="H347" s="16" t="s">
        <v>47</v>
      </c>
      <c r="I347" s="16" t="s">
        <v>72</v>
      </c>
      <c r="J347" s="136" t="str">
        <f t="shared" si="7"/>
        <v>Establir i renovar en temps i forma convenis de col·laboració, convenis marc, acords, protocols i altres instruments de col·laboració.</v>
      </c>
      <c r="K347" s="18"/>
      <c r="L347" s="22" t="s">
        <v>49</v>
      </c>
      <c r="M347" s="132" t="s">
        <v>50</v>
      </c>
      <c r="N347" s="154" t="s">
        <v>1193</v>
      </c>
      <c r="O347" s="21"/>
      <c r="P347" s="19" t="s">
        <v>1194</v>
      </c>
      <c r="Q347" s="135" t="s">
        <v>1195</v>
      </c>
      <c r="R347" s="132">
        <v>1</v>
      </c>
      <c r="S347" s="132">
        <v>1</v>
      </c>
      <c r="T347" s="144"/>
      <c r="U347" s="144"/>
    </row>
    <row r="348" spans="1:21" ht="75" customHeight="1">
      <c r="A348" s="130" t="s">
        <v>1150</v>
      </c>
      <c r="B348" s="126">
        <v>16</v>
      </c>
      <c r="C348" s="131" t="s">
        <v>1166</v>
      </c>
      <c r="D348" s="128" t="s">
        <v>1175</v>
      </c>
      <c r="E348" s="129" t="s">
        <v>1176</v>
      </c>
      <c r="F348" s="16" t="s">
        <v>1191</v>
      </c>
      <c r="G348" s="17" t="s">
        <v>1192</v>
      </c>
      <c r="H348" s="16" t="s">
        <v>47</v>
      </c>
      <c r="I348" s="16" t="s">
        <v>72</v>
      </c>
      <c r="J348" s="136" t="str">
        <f t="shared" si="7"/>
        <v>Establir i renovar en temps i forma convenis de col·laboració, convenis marc, acords, protocols i altres instruments de col·laboració.</v>
      </c>
      <c r="K348" s="136"/>
      <c r="L348" s="22" t="s">
        <v>49</v>
      </c>
      <c r="M348" s="143" t="s">
        <v>59</v>
      </c>
      <c r="N348" s="162" t="s">
        <v>1196</v>
      </c>
      <c r="O348" s="16"/>
      <c r="P348" s="17" t="s">
        <v>1194</v>
      </c>
      <c r="Q348" s="18"/>
      <c r="R348" s="22"/>
      <c r="S348" s="22"/>
      <c r="T348" s="144"/>
      <c r="U348" s="144"/>
    </row>
    <row r="349" spans="1:21" ht="30" customHeight="1">
      <c r="A349" s="130" t="s">
        <v>1150</v>
      </c>
      <c r="B349" s="126">
        <v>16</v>
      </c>
      <c r="C349" s="131" t="s">
        <v>1166</v>
      </c>
      <c r="D349" s="128" t="s">
        <v>1175</v>
      </c>
      <c r="E349" s="129" t="s">
        <v>1176</v>
      </c>
      <c r="F349" s="16" t="s">
        <v>1191</v>
      </c>
      <c r="G349" s="17" t="s">
        <v>1192</v>
      </c>
      <c r="H349" s="16" t="s">
        <v>47</v>
      </c>
      <c r="I349" s="16" t="s">
        <v>72</v>
      </c>
      <c r="J349" s="136" t="str">
        <f t="shared" si="7"/>
        <v>Establir i renovar en temps i forma convenis de col·laboració, convenis marc, acords, protocols i altres instruments de col·laboració.</v>
      </c>
      <c r="K349" s="136"/>
      <c r="L349" s="22" t="s">
        <v>49</v>
      </c>
      <c r="M349" s="143" t="s">
        <v>59</v>
      </c>
      <c r="N349" s="162" t="s">
        <v>1197</v>
      </c>
      <c r="O349" s="16"/>
      <c r="P349" s="17" t="s">
        <v>1194</v>
      </c>
      <c r="Q349" s="18"/>
      <c r="R349" s="22"/>
      <c r="S349" s="22"/>
      <c r="T349" s="6"/>
      <c r="U349" s="6"/>
    </row>
    <row r="350" spans="1:21" ht="43.5">
      <c r="A350" s="130" t="s">
        <v>1150</v>
      </c>
      <c r="B350" s="126">
        <v>16</v>
      </c>
      <c r="C350" s="131" t="s">
        <v>1166</v>
      </c>
      <c r="D350" s="128" t="s">
        <v>1198</v>
      </c>
      <c r="E350" s="129" t="s">
        <v>1199</v>
      </c>
      <c r="F350" s="16" t="s">
        <v>1200</v>
      </c>
      <c r="G350" s="17" t="s">
        <v>1201</v>
      </c>
      <c r="H350" s="16" t="s">
        <v>47</v>
      </c>
      <c r="I350" s="16" t="s">
        <v>72</v>
      </c>
      <c r="J350" s="136" t="str">
        <f t="shared" si="7"/>
        <v>Optimitzar l'elaboració d'informes</v>
      </c>
      <c r="K350" s="18"/>
      <c r="L350" s="22" t="s">
        <v>49</v>
      </c>
      <c r="M350" s="22" t="s">
        <v>50</v>
      </c>
      <c r="N350" s="154" t="s">
        <v>1202</v>
      </c>
      <c r="O350" s="16"/>
      <c r="P350" s="17"/>
      <c r="Q350" s="18"/>
      <c r="R350" s="22"/>
      <c r="S350" s="22"/>
      <c r="T350" s="6"/>
      <c r="U350" s="6"/>
    </row>
    <row r="351" spans="1:21" ht="58">
      <c r="A351" s="130" t="s">
        <v>1150</v>
      </c>
      <c r="B351" s="126">
        <v>16</v>
      </c>
      <c r="C351" s="131" t="s">
        <v>1166</v>
      </c>
      <c r="D351" s="128" t="s">
        <v>1198</v>
      </c>
      <c r="E351" s="129" t="s">
        <v>1199</v>
      </c>
      <c r="F351" s="16" t="s">
        <v>1200</v>
      </c>
      <c r="G351" s="17" t="s">
        <v>1201</v>
      </c>
      <c r="H351" s="16" t="s">
        <v>47</v>
      </c>
      <c r="I351" s="16" t="s">
        <v>72</v>
      </c>
      <c r="J351" s="136" t="str">
        <f t="shared" si="7"/>
        <v>Optimitzar l'elaboració d'informes</v>
      </c>
      <c r="K351" s="18"/>
      <c r="L351" s="22" t="s">
        <v>49</v>
      </c>
      <c r="M351" s="22" t="s">
        <v>50</v>
      </c>
      <c r="N351" s="154" t="s">
        <v>1203</v>
      </c>
      <c r="O351" s="16"/>
      <c r="P351" s="17"/>
      <c r="Q351" s="18"/>
      <c r="R351" s="22"/>
      <c r="S351" s="22"/>
      <c r="T351" s="6"/>
      <c r="U351" s="6"/>
    </row>
    <row r="352" spans="1:21" ht="43.5">
      <c r="A352" s="125" t="s">
        <v>1150</v>
      </c>
      <c r="B352" s="126">
        <v>16</v>
      </c>
      <c r="C352" s="131" t="s">
        <v>1166</v>
      </c>
      <c r="D352" s="128" t="s">
        <v>1198</v>
      </c>
      <c r="E352" s="129" t="s">
        <v>1199</v>
      </c>
      <c r="F352" s="16" t="s">
        <v>1200</v>
      </c>
      <c r="G352" s="25" t="s">
        <v>1201</v>
      </c>
      <c r="H352" s="16" t="s">
        <v>47</v>
      </c>
      <c r="I352" s="16" t="s">
        <v>72</v>
      </c>
      <c r="J352" s="136" t="str">
        <f t="shared" si="7"/>
        <v>Optimitzar l'elaboració d'informes</v>
      </c>
      <c r="K352" s="18"/>
      <c r="L352" s="22" t="s">
        <v>49</v>
      </c>
      <c r="M352" s="132" t="s">
        <v>50</v>
      </c>
      <c r="N352" s="154" t="s">
        <v>1204</v>
      </c>
      <c r="O352" s="21"/>
      <c r="P352" s="19"/>
      <c r="Q352" s="135" t="s">
        <v>1205</v>
      </c>
      <c r="R352" s="132">
        <v>3</v>
      </c>
      <c r="S352" s="132">
        <v>6</v>
      </c>
      <c r="T352" s="6"/>
      <c r="U352" s="6"/>
    </row>
    <row r="353" spans="1:21" ht="58">
      <c r="A353" s="130" t="s">
        <v>1150</v>
      </c>
      <c r="B353" s="126">
        <v>16</v>
      </c>
      <c r="C353" s="131" t="s">
        <v>1166</v>
      </c>
      <c r="D353" s="128" t="s">
        <v>1198</v>
      </c>
      <c r="E353" s="129" t="s">
        <v>1199</v>
      </c>
      <c r="F353" s="16" t="s">
        <v>1200</v>
      </c>
      <c r="G353" s="17" t="s">
        <v>1201</v>
      </c>
      <c r="H353" s="16" t="s">
        <v>47</v>
      </c>
      <c r="I353" s="16" t="s">
        <v>72</v>
      </c>
      <c r="J353" s="136" t="str">
        <f t="shared" si="7"/>
        <v>Optimitzar l'elaboració d'informes</v>
      </c>
      <c r="K353" s="18"/>
      <c r="L353" s="22" t="s">
        <v>49</v>
      </c>
      <c r="M353" s="22" t="s">
        <v>50</v>
      </c>
      <c r="N353" s="154" t="s">
        <v>1206</v>
      </c>
      <c r="O353" s="16"/>
      <c r="P353" s="17"/>
      <c r="Q353" s="18"/>
      <c r="R353" s="22"/>
      <c r="S353" s="22"/>
      <c r="T353" s="144"/>
      <c r="U353" s="144"/>
    </row>
    <row r="354" spans="1:21" ht="30" customHeight="1">
      <c r="A354" s="125" t="s">
        <v>1150</v>
      </c>
      <c r="B354" s="126">
        <v>16</v>
      </c>
      <c r="C354" s="131" t="s">
        <v>1166</v>
      </c>
      <c r="D354" s="128" t="s">
        <v>1198</v>
      </c>
      <c r="E354" s="129" t="s">
        <v>1199</v>
      </c>
      <c r="F354" s="16" t="s">
        <v>1200</v>
      </c>
      <c r="G354" s="25" t="s">
        <v>1201</v>
      </c>
      <c r="H354" s="16" t="s">
        <v>47</v>
      </c>
      <c r="I354" s="16" t="s">
        <v>72</v>
      </c>
      <c r="J354" s="136" t="str">
        <f t="shared" si="7"/>
        <v>Optimitzar l'elaboració d'informes</v>
      </c>
      <c r="K354" s="18"/>
      <c r="L354" s="22" t="s">
        <v>49</v>
      </c>
      <c r="M354" s="132" t="s">
        <v>50</v>
      </c>
      <c r="N354" s="154" t="s">
        <v>1207</v>
      </c>
      <c r="O354" s="21"/>
      <c r="P354" s="19"/>
      <c r="Q354" s="135" t="s">
        <v>1208</v>
      </c>
      <c r="R354" s="132">
        <v>20</v>
      </c>
      <c r="S354" s="132">
        <v>50</v>
      </c>
      <c r="T354" s="6"/>
      <c r="U354" s="6"/>
    </row>
    <row r="355" spans="1:21" ht="75" customHeight="1">
      <c r="A355" s="125" t="s">
        <v>1150</v>
      </c>
      <c r="B355" s="126">
        <v>16</v>
      </c>
      <c r="C355" s="131" t="s">
        <v>1166</v>
      </c>
      <c r="D355" s="128" t="s">
        <v>1198</v>
      </c>
      <c r="E355" s="129" t="s">
        <v>1199</v>
      </c>
      <c r="F355" s="16" t="s">
        <v>1209</v>
      </c>
      <c r="G355" s="17" t="s">
        <v>1210</v>
      </c>
      <c r="H355" s="16" t="s">
        <v>47</v>
      </c>
      <c r="I355" s="16" t="s">
        <v>72</v>
      </c>
      <c r="J355" s="18" t="str">
        <f t="shared" si="7"/>
        <v>Adequar i actualitzar els procediments i tramitacions realitzats des de l'ENP als nous processos i eines conjuntes proposades des de Serveis Centrals</v>
      </c>
      <c r="K355" s="18"/>
      <c r="L355" s="22" t="s">
        <v>49</v>
      </c>
      <c r="M355" s="132" t="s">
        <v>59</v>
      </c>
      <c r="N355" s="154" t="s">
        <v>1211</v>
      </c>
      <c r="O355" s="21"/>
      <c r="P355" s="17" t="s">
        <v>1212</v>
      </c>
      <c r="Q355" s="175"/>
      <c r="R355" s="132"/>
      <c r="S355" s="132"/>
      <c r="T355" s="144"/>
      <c r="U355" s="144"/>
    </row>
    <row r="356" spans="1:21" ht="30" customHeight="1">
      <c r="A356" s="125" t="s">
        <v>1150</v>
      </c>
      <c r="B356" s="126">
        <v>16</v>
      </c>
      <c r="C356" s="131" t="s">
        <v>1166</v>
      </c>
      <c r="D356" s="128" t="s">
        <v>1198</v>
      </c>
      <c r="E356" s="129" t="s">
        <v>1199</v>
      </c>
      <c r="F356" s="16" t="s">
        <v>1209</v>
      </c>
      <c r="G356" s="17" t="s">
        <v>1210</v>
      </c>
      <c r="H356" s="16" t="s">
        <v>47</v>
      </c>
      <c r="I356" s="16" t="s">
        <v>72</v>
      </c>
      <c r="J356" s="18" t="str">
        <f t="shared" si="7"/>
        <v>Adequar i actualitzar els procediments i tramitacions realitzats des de l'ENP als nous processos i eines conjuntes proposades des de Serveis Centrals</v>
      </c>
      <c r="K356" s="18"/>
      <c r="L356" s="22" t="s">
        <v>49</v>
      </c>
      <c r="M356" s="132" t="s">
        <v>59</v>
      </c>
      <c r="N356" s="154" t="s">
        <v>1213</v>
      </c>
      <c r="O356" s="21"/>
      <c r="P356" s="17" t="s">
        <v>1212</v>
      </c>
      <c r="Q356" s="175"/>
      <c r="R356" s="132"/>
      <c r="S356" s="132"/>
      <c r="T356" s="144"/>
      <c r="U356" s="144"/>
    </row>
    <row r="357" spans="1:21" ht="30" customHeight="1">
      <c r="A357" s="125" t="s">
        <v>1150</v>
      </c>
      <c r="B357" s="126">
        <v>16</v>
      </c>
      <c r="C357" s="131" t="s">
        <v>1166</v>
      </c>
      <c r="D357" s="128" t="s">
        <v>1198</v>
      </c>
      <c r="E357" s="129" t="s">
        <v>1199</v>
      </c>
      <c r="F357" s="16" t="s">
        <v>1209</v>
      </c>
      <c r="G357" s="17" t="s">
        <v>1210</v>
      </c>
      <c r="H357" s="16" t="s">
        <v>47</v>
      </c>
      <c r="I357" s="16" t="s">
        <v>72</v>
      </c>
      <c r="J357" s="18" t="str">
        <f t="shared" si="7"/>
        <v>Adequar i actualitzar els procediments i tramitacions realitzats des de l'ENP als nous processos i eines conjuntes proposades des de Serveis Centrals</v>
      </c>
      <c r="K357" s="18"/>
      <c r="L357" s="22" t="s">
        <v>49</v>
      </c>
      <c r="M357" s="132" t="s">
        <v>59</v>
      </c>
      <c r="N357" s="154" t="s">
        <v>1214</v>
      </c>
      <c r="O357" s="21"/>
      <c r="P357" s="17" t="s">
        <v>1212</v>
      </c>
      <c r="Q357" s="175"/>
      <c r="R357" s="132"/>
      <c r="S357" s="132"/>
      <c r="T357" s="144"/>
      <c r="U357" s="144"/>
    </row>
    <row r="358" spans="1:21" ht="30" customHeight="1">
      <c r="A358" s="125" t="s">
        <v>1150</v>
      </c>
      <c r="B358" s="126">
        <v>16</v>
      </c>
      <c r="C358" s="131" t="s">
        <v>1166</v>
      </c>
      <c r="D358" s="128" t="s">
        <v>1198</v>
      </c>
      <c r="E358" s="129" t="s">
        <v>1199</v>
      </c>
      <c r="F358" s="16" t="s">
        <v>1215</v>
      </c>
      <c r="G358" s="25" t="s">
        <v>1216</v>
      </c>
      <c r="H358" s="16" t="s">
        <v>47</v>
      </c>
      <c r="I358" s="16" t="s">
        <v>72</v>
      </c>
      <c r="J358" s="18" t="str">
        <f t="shared" si="7"/>
        <v>Augmentar el coneixement de l'equip de treball en matèria de procediment administratiu</v>
      </c>
      <c r="K358" s="18"/>
      <c r="L358" s="22" t="s">
        <v>49</v>
      </c>
      <c r="M358" s="132" t="s">
        <v>59</v>
      </c>
      <c r="N358" s="154" t="s">
        <v>1217</v>
      </c>
      <c r="O358" s="21"/>
      <c r="P358" s="19"/>
      <c r="Q358" s="175"/>
      <c r="R358" s="132"/>
      <c r="S358" s="132"/>
      <c r="T358" s="144"/>
      <c r="U358" s="144"/>
    </row>
    <row r="359" spans="1:21" ht="29">
      <c r="A359" s="125" t="s">
        <v>1150</v>
      </c>
      <c r="B359" s="126">
        <v>16</v>
      </c>
      <c r="C359" s="131" t="s">
        <v>1166</v>
      </c>
      <c r="D359" s="128" t="s">
        <v>1198</v>
      </c>
      <c r="E359" s="129" t="s">
        <v>1199</v>
      </c>
      <c r="F359" s="16" t="s">
        <v>1215</v>
      </c>
      <c r="G359" s="25" t="s">
        <v>1216</v>
      </c>
      <c r="H359" s="16" t="s">
        <v>47</v>
      </c>
      <c r="I359" s="16" t="s">
        <v>72</v>
      </c>
      <c r="J359" s="18" t="str">
        <f t="shared" si="7"/>
        <v>Augmentar el coneixement de l'equip de treball en matèria de procediment administratiu</v>
      </c>
      <c r="K359" s="18"/>
      <c r="L359" s="22" t="s">
        <v>49</v>
      </c>
      <c r="M359" s="132" t="s">
        <v>59</v>
      </c>
      <c r="N359" s="154" t="s">
        <v>1218</v>
      </c>
      <c r="O359" s="21"/>
      <c r="P359" s="19"/>
      <c r="Q359" s="175"/>
      <c r="R359" s="132"/>
      <c r="S359" s="132"/>
      <c r="T359" s="144"/>
      <c r="U359" s="144"/>
    </row>
    <row r="360" spans="1:21" ht="45" customHeight="1">
      <c r="A360" s="125" t="s">
        <v>1150</v>
      </c>
      <c r="B360" s="126">
        <v>16</v>
      </c>
      <c r="C360" s="131" t="s">
        <v>1166</v>
      </c>
      <c r="D360" s="128" t="s">
        <v>1198</v>
      </c>
      <c r="E360" s="129" t="s">
        <v>1199</v>
      </c>
      <c r="F360" s="16" t="s">
        <v>1215</v>
      </c>
      <c r="G360" s="25" t="s">
        <v>1216</v>
      </c>
      <c r="H360" s="16" t="s">
        <v>47</v>
      </c>
      <c r="I360" s="16" t="s">
        <v>72</v>
      </c>
      <c r="J360" s="18" t="str">
        <f t="shared" si="7"/>
        <v>Augmentar el coneixement de l'equip de treball en matèria de procediment administratiu</v>
      </c>
      <c r="K360" s="18"/>
      <c r="L360" s="22" t="s">
        <v>49</v>
      </c>
      <c r="M360" s="132" t="s">
        <v>59</v>
      </c>
      <c r="N360" s="154" t="s">
        <v>1219</v>
      </c>
      <c r="O360" s="21"/>
      <c r="P360" s="19"/>
      <c r="Q360" s="175"/>
      <c r="R360" s="132"/>
      <c r="S360" s="132"/>
      <c r="T360" s="144"/>
      <c r="U360" s="144"/>
    </row>
    <row r="361" spans="1:21" ht="30" customHeight="1">
      <c r="A361" s="125" t="s">
        <v>1150</v>
      </c>
      <c r="B361" s="126">
        <v>16</v>
      </c>
      <c r="C361" s="131" t="s">
        <v>1166</v>
      </c>
      <c r="D361" s="128" t="s">
        <v>1198</v>
      </c>
      <c r="E361" s="129" t="s">
        <v>1199</v>
      </c>
      <c r="F361" s="16" t="s">
        <v>1220</v>
      </c>
      <c r="G361" s="17" t="s">
        <v>1221</v>
      </c>
      <c r="H361" s="16" t="s">
        <v>101</v>
      </c>
      <c r="I361" s="16" t="s">
        <v>72</v>
      </c>
      <c r="J361" s="136" t="str">
        <f t="shared" si="7"/>
        <v>Garantir la transparència administrativa</v>
      </c>
      <c r="K361" s="136"/>
      <c r="L361" s="22" t="s">
        <v>49</v>
      </c>
      <c r="M361" s="133" t="s">
        <v>59</v>
      </c>
      <c r="N361" s="162" t="s">
        <v>1222</v>
      </c>
      <c r="O361" s="21"/>
      <c r="P361" s="19"/>
      <c r="Q361" s="175"/>
      <c r="R361" s="132"/>
      <c r="S361" s="132"/>
      <c r="T361" s="144"/>
      <c r="U361" s="144"/>
    </row>
    <row r="362" spans="1:21" ht="30" customHeight="1">
      <c r="A362" s="125" t="s">
        <v>1150</v>
      </c>
      <c r="B362" s="126">
        <v>16</v>
      </c>
      <c r="C362" s="131" t="s">
        <v>1166</v>
      </c>
      <c r="D362" s="128" t="s">
        <v>1198</v>
      </c>
      <c r="E362" s="129" t="s">
        <v>1199</v>
      </c>
      <c r="F362" s="16" t="s">
        <v>1220</v>
      </c>
      <c r="G362" s="17" t="s">
        <v>1221</v>
      </c>
      <c r="H362" s="16" t="s">
        <v>101</v>
      </c>
      <c r="I362" s="16" t="s">
        <v>72</v>
      </c>
      <c r="J362" s="136" t="str">
        <f t="shared" si="7"/>
        <v>Garantir la transparència administrativa</v>
      </c>
      <c r="K362" s="136"/>
      <c r="L362" s="22" t="s">
        <v>49</v>
      </c>
      <c r="M362" s="133" t="s">
        <v>59</v>
      </c>
      <c r="N362" s="162" t="s">
        <v>1223</v>
      </c>
      <c r="O362" s="21"/>
      <c r="P362" s="19"/>
      <c r="Q362" s="175"/>
      <c r="R362" s="132"/>
      <c r="S362" s="132"/>
      <c r="T362" s="144"/>
      <c r="U362" s="144"/>
    </row>
    <row r="363" spans="1:21" ht="30" customHeight="1">
      <c r="A363" s="130" t="s">
        <v>1150</v>
      </c>
      <c r="B363" s="126">
        <v>16</v>
      </c>
      <c r="C363" s="131" t="s">
        <v>1166</v>
      </c>
      <c r="D363" s="128" t="s">
        <v>1198</v>
      </c>
      <c r="E363" s="129" t="s">
        <v>1199</v>
      </c>
      <c r="F363" s="16" t="s">
        <v>1224</v>
      </c>
      <c r="G363" s="17" t="s">
        <v>1225</v>
      </c>
      <c r="H363" s="16" t="s">
        <v>47</v>
      </c>
      <c r="I363" s="16" t="s">
        <v>204</v>
      </c>
      <c r="J363" s="136" t="str">
        <f t="shared" si="7"/>
        <v>Millorar i mantenir el material i infraestructures de gestió</v>
      </c>
      <c r="K363" s="18"/>
      <c r="L363" s="22" t="s">
        <v>49</v>
      </c>
      <c r="M363" s="22" t="s">
        <v>50</v>
      </c>
      <c r="N363" s="154" t="s">
        <v>1226</v>
      </c>
      <c r="O363" s="16"/>
      <c r="P363" s="17"/>
      <c r="Q363" s="175"/>
      <c r="R363" s="132"/>
      <c r="S363" s="132"/>
      <c r="T363" s="144"/>
      <c r="U363" s="144"/>
    </row>
    <row r="364" spans="1:21" ht="30" customHeight="1">
      <c r="A364" s="130" t="s">
        <v>1150</v>
      </c>
      <c r="B364" s="126">
        <v>16</v>
      </c>
      <c r="C364" s="131" t="s">
        <v>1166</v>
      </c>
      <c r="D364" s="128" t="s">
        <v>1198</v>
      </c>
      <c r="E364" s="129" t="s">
        <v>1199</v>
      </c>
      <c r="F364" s="16" t="s">
        <v>1224</v>
      </c>
      <c r="G364" s="17" t="s">
        <v>1225</v>
      </c>
      <c r="H364" s="16" t="s">
        <v>47</v>
      </c>
      <c r="I364" s="16" t="s">
        <v>204</v>
      </c>
      <c r="J364" s="136" t="str">
        <f t="shared" si="7"/>
        <v>Millorar i mantenir el material i infraestructures de gestió</v>
      </c>
      <c r="K364" s="18"/>
      <c r="L364" s="22" t="s">
        <v>49</v>
      </c>
      <c r="M364" s="22" t="s">
        <v>50</v>
      </c>
      <c r="N364" s="162" t="s">
        <v>1227</v>
      </c>
      <c r="O364" s="16"/>
      <c r="P364" s="17"/>
      <c r="Q364" s="175"/>
      <c r="R364" s="132"/>
      <c r="S364" s="132"/>
      <c r="T364" s="144"/>
      <c r="U364" s="144"/>
    </row>
    <row r="365" spans="1:21" ht="30" customHeight="1">
      <c r="A365" s="125" t="s">
        <v>1150</v>
      </c>
      <c r="B365" s="126">
        <v>16</v>
      </c>
      <c r="C365" s="131" t="s">
        <v>1166</v>
      </c>
      <c r="D365" s="128" t="s">
        <v>1198</v>
      </c>
      <c r="E365" s="129" t="s">
        <v>1199</v>
      </c>
      <c r="F365" s="16" t="s">
        <v>1224</v>
      </c>
      <c r="G365" s="17" t="s">
        <v>1225</v>
      </c>
      <c r="H365" s="16" t="s">
        <v>47</v>
      </c>
      <c r="I365" s="16" t="s">
        <v>204</v>
      </c>
      <c r="J365" s="18" t="str">
        <f t="shared" si="7"/>
        <v>Millorar i mantenir el material i infraestructures de gestió</v>
      </c>
      <c r="K365" s="18"/>
      <c r="L365" s="22" t="s">
        <v>49</v>
      </c>
      <c r="M365" s="132" t="s">
        <v>50</v>
      </c>
      <c r="N365" s="154" t="s">
        <v>1228</v>
      </c>
      <c r="O365" s="21"/>
      <c r="P365" s="17"/>
      <c r="Q365" s="135" t="s">
        <v>1229</v>
      </c>
      <c r="R365" s="132">
        <f>37.5*1.5*2</f>
        <v>112.5</v>
      </c>
      <c r="S365" s="132">
        <f>R365*4</f>
        <v>450</v>
      </c>
      <c r="T365" s="144"/>
      <c r="U365" s="144"/>
    </row>
    <row r="366" spans="1:21" ht="60" customHeight="1">
      <c r="A366" s="125" t="s">
        <v>1150</v>
      </c>
      <c r="B366" s="126">
        <v>16</v>
      </c>
      <c r="C366" s="131" t="s">
        <v>1166</v>
      </c>
      <c r="D366" s="128" t="s">
        <v>1198</v>
      </c>
      <c r="E366" s="129" t="s">
        <v>1199</v>
      </c>
      <c r="F366" s="16" t="s">
        <v>1224</v>
      </c>
      <c r="G366" s="17" t="s">
        <v>1225</v>
      </c>
      <c r="H366" s="16" t="s">
        <v>47</v>
      </c>
      <c r="I366" s="16" t="s">
        <v>204</v>
      </c>
      <c r="J366" s="136" t="str">
        <f t="shared" si="7"/>
        <v>Millorar i mantenir el material i infraestructures de gestió</v>
      </c>
      <c r="K366" s="18"/>
      <c r="L366" s="22" t="s">
        <v>49</v>
      </c>
      <c r="M366" s="132" t="s">
        <v>50</v>
      </c>
      <c r="N366" s="160" t="s">
        <v>1230</v>
      </c>
      <c r="O366" s="21"/>
      <c r="P366" s="17"/>
      <c r="Q366" s="135" t="s">
        <v>1231</v>
      </c>
      <c r="R366" s="132">
        <v>1</v>
      </c>
      <c r="S366" s="132">
        <v>1</v>
      </c>
      <c r="T366" s="144"/>
      <c r="U366" s="144"/>
    </row>
    <row r="367" spans="1:21" ht="43.5">
      <c r="A367" s="125" t="s">
        <v>1150</v>
      </c>
      <c r="B367" s="126">
        <v>16</v>
      </c>
      <c r="C367" s="131" t="s">
        <v>1166</v>
      </c>
      <c r="D367" s="128" t="s">
        <v>1198</v>
      </c>
      <c r="E367" s="129" t="s">
        <v>1199</v>
      </c>
      <c r="F367" s="16" t="s">
        <v>1224</v>
      </c>
      <c r="G367" s="17" t="s">
        <v>1225</v>
      </c>
      <c r="H367" s="16" t="s">
        <v>47</v>
      </c>
      <c r="I367" s="16" t="s">
        <v>204</v>
      </c>
      <c r="J367" s="136" t="str">
        <f t="shared" si="7"/>
        <v>Millorar i mantenir el material i infraestructures de gestió</v>
      </c>
      <c r="K367" s="18"/>
      <c r="L367" s="22" t="s">
        <v>49</v>
      </c>
      <c r="M367" s="132" t="s">
        <v>50</v>
      </c>
      <c r="N367" s="160" t="s">
        <v>1232</v>
      </c>
      <c r="O367" s="21"/>
      <c r="P367" s="17"/>
      <c r="Q367" s="135" t="s">
        <v>1233</v>
      </c>
      <c r="R367" s="132">
        <v>1</v>
      </c>
      <c r="S367" s="132">
        <v>1</v>
      </c>
      <c r="T367" s="144"/>
      <c r="U367" s="144"/>
    </row>
    <row r="368" spans="1:21" ht="60" customHeight="1">
      <c r="A368" s="125" t="s">
        <v>1150</v>
      </c>
      <c r="B368" s="126">
        <v>16</v>
      </c>
      <c r="C368" s="131" t="s">
        <v>1166</v>
      </c>
      <c r="D368" s="128" t="s">
        <v>1198</v>
      </c>
      <c r="E368" s="129" t="s">
        <v>1199</v>
      </c>
      <c r="F368" s="16" t="s">
        <v>1224</v>
      </c>
      <c r="G368" s="17" t="s">
        <v>1225</v>
      </c>
      <c r="H368" s="16" t="s">
        <v>47</v>
      </c>
      <c r="I368" s="16" t="s">
        <v>204</v>
      </c>
      <c r="J368" s="136" t="str">
        <f t="shared" si="7"/>
        <v>Millorar i mantenir el material i infraestructures de gestió</v>
      </c>
      <c r="K368" s="18"/>
      <c r="L368" s="22" t="s">
        <v>49</v>
      </c>
      <c r="M368" s="132" t="s">
        <v>50</v>
      </c>
      <c r="N368" s="160" t="s">
        <v>1234</v>
      </c>
      <c r="O368" s="21"/>
      <c r="P368" s="17"/>
      <c r="Q368" s="135" t="s">
        <v>1235</v>
      </c>
      <c r="R368" s="132">
        <v>1</v>
      </c>
      <c r="S368" s="132">
        <v>1</v>
      </c>
      <c r="T368" s="144"/>
      <c r="U368" s="144"/>
    </row>
    <row r="369" spans="1:21" ht="29">
      <c r="A369" s="125" t="s">
        <v>1150</v>
      </c>
      <c r="B369" s="126">
        <v>16</v>
      </c>
      <c r="C369" s="131" t="s">
        <v>1166</v>
      </c>
      <c r="D369" s="128" t="s">
        <v>1198</v>
      </c>
      <c r="E369" s="129" t="s">
        <v>1199</v>
      </c>
      <c r="F369" s="16" t="s">
        <v>1224</v>
      </c>
      <c r="G369" s="17" t="s">
        <v>1225</v>
      </c>
      <c r="H369" s="16" t="s">
        <v>47</v>
      </c>
      <c r="I369" s="16" t="s">
        <v>204</v>
      </c>
      <c r="J369" s="136" t="str">
        <f t="shared" si="7"/>
        <v>Millorar i mantenir el material i infraestructures de gestió</v>
      </c>
      <c r="K369" s="18"/>
      <c r="L369" s="22" t="s">
        <v>49</v>
      </c>
      <c r="M369" s="132" t="s">
        <v>50</v>
      </c>
      <c r="N369" s="160" t="s">
        <v>1236</v>
      </c>
      <c r="O369" s="21"/>
      <c r="P369" s="17"/>
      <c r="Q369" s="135" t="s">
        <v>1237</v>
      </c>
      <c r="R369" s="132">
        <v>1</v>
      </c>
      <c r="S369" s="132">
        <v>1</v>
      </c>
      <c r="T369" s="144"/>
      <c r="U369" s="144"/>
    </row>
    <row r="370" spans="1:21" ht="29">
      <c r="A370" s="125" t="s">
        <v>1150</v>
      </c>
      <c r="B370" s="126">
        <v>16</v>
      </c>
      <c r="C370" s="131" t="s">
        <v>1166</v>
      </c>
      <c r="D370" s="128" t="s">
        <v>1198</v>
      </c>
      <c r="E370" s="129" t="s">
        <v>1199</v>
      </c>
      <c r="F370" s="16" t="s">
        <v>1224</v>
      </c>
      <c r="G370" s="17" t="s">
        <v>1225</v>
      </c>
      <c r="H370" s="16" t="s">
        <v>47</v>
      </c>
      <c r="I370" s="16" t="s">
        <v>204</v>
      </c>
      <c r="J370" s="136" t="str">
        <f t="shared" si="7"/>
        <v>Millorar i mantenir el material i infraestructures de gestió</v>
      </c>
      <c r="K370" s="18"/>
      <c r="L370" s="22" t="s">
        <v>49</v>
      </c>
      <c r="M370" s="132" t="s">
        <v>50</v>
      </c>
      <c r="N370" s="160" t="s">
        <v>1238</v>
      </c>
      <c r="O370" s="21"/>
      <c r="P370" s="17"/>
      <c r="Q370" s="135" t="s">
        <v>1239</v>
      </c>
      <c r="R370" s="132">
        <v>1</v>
      </c>
      <c r="S370" s="132">
        <v>1</v>
      </c>
      <c r="T370" s="144"/>
      <c r="U370" s="144"/>
    </row>
    <row r="371" spans="1:21" ht="29">
      <c r="A371" s="125" t="s">
        <v>1150</v>
      </c>
      <c r="B371" s="126">
        <v>16</v>
      </c>
      <c r="C371" s="131" t="s">
        <v>1166</v>
      </c>
      <c r="D371" s="128" t="s">
        <v>1198</v>
      </c>
      <c r="E371" s="129" t="s">
        <v>1199</v>
      </c>
      <c r="F371" s="16" t="s">
        <v>1224</v>
      </c>
      <c r="G371" s="17" t="s">
        <v>1225</v>
      </c>
      <c r="H371" s="16" t="s">
        <v>47</v>
      </c>
      <c r="I371" s="16" t="s">
        <v>204</v>
      </c>
      <c r="J371" s="136" t="str">
        <f t="shared" si="7"/>
        <v>Millorar i mantenir el material i infraestructures de gestió</v>
      </c>
      <c r="K371" s="18"/>
      <c r="L371" s="22" t="s">
        <v>49</v>
      </c>
      <c r="M371" s="132" t="s">
        <v>50</v>
      </c>
      <c r="N371" s="160" t="s">
        <v>1240</v>
      </c>
      <c r="O371" s="21"/>
      <c r="P371" s="17"/>
      <c r="Q371" s="135" t="s">
        <v>1241</v>
      </c>
      <c r="R371" s="132">
        <v>1</v>
      </c>
      <c r="S371" s="132">
        <v>1</v>
      </c>
      <c r="T371" s="144"/>
      <c r="U371" s="144"/>
    </row>
    <row r="372" spans="1:21" ht="29">
      <c r="A372" s="125" t="s">
        <v>1150</v>
      </c>
      <c r="B372" s="126">
        <v>16</v>
      </c>
      <c r="C372" s="131" t="s">
        <v>1166</v>
      </c>
      <c r="D372" s="128" t="s">
        <v>1198</v>
      </c>
      <c r="E372" s="129" t="s">
        <v>1199</v>
      </c>
      <c r="F372" s="16" t="s">
        <v>1224</v>
      </c>
      <c r="G372" s="17" t="s">
        <v>1225</v>
      </c>
      <c r="H372" s="16" t="s">
        <v>47</v>
      </c>
      <c r="I372" s="16" t="s">
        <v>204</v>
      </c>
      <c r="J372" s="136" t="str">
        <f t="shared" si="7"/>
        <v>Millorar i mantenir el material i infraestructures de gestió</v>
      </c>
      <c r="K372" s="18"/>
      <c r="L372" s="22" t="s">
        <v>49</v>
      </c>
      <c r="M372" s="132" t="s">
        <v>59</v>
      </c>
      <c r="N372" s="160" t="s">
        <v>1240</v>
      </c>
      <c r="O372" s="21"/>
      <c r="P372" s="17"/>
      <c r="Q372" s="135" t="s">
        <v>1241</v>
      </c>
      <c r="R372" s="132">
        <v>1</v>
      </c>
      <c r="S372" s="132">
        <v>1</v>
      </c>
      <c r="T372" s="144"/>
      <c r="U372" s="144"/>
    </row>
    <row r="373" spans="1:21" ht="43.5">
      <c r="A373" s="125" t="s">
        <v>1150</v>
      </c>
      <c r="B373" s="126">
        <v>16</v>
      </c>
      <c r="C373" s="131" t="s">
        <v>1166</v>
      </c>
      <c r="D373" s="128" t="s">
        <v>1198</v>
      </c>
      <c r="E373" s="129" t="s">
        <v>1199</v>
      </c>
      <c r="F373" s="16" t="s">
        <v>1224</v>
      </c>
      <c r="G373" s="17" t="s">
        <v>1225</v>
      </c>
      <c r="H373" s="16" t="s">
        <v>47</v>
      </c>
      <c r="I373" s="16" t="s">
        <v>204</v>
      </c>
      <c r="J373" s="136" t="str">
        <f t="shared" si="7"/>
        <v>Millorar i mantenir el material i infraestructures de gestió</v>
      </c>
      <c r="K373" s="18"/>
      <c r="L373" s="22" t="s">
        <v>49</v>
      </c>
      <c r="M373" s="132" t="s">
        <v>50</v>
      </c>
      <c r="N373" s="160" t="s">
        <v>1242</v>
      </c>
      <c r="O373" s="21"/>
      <c r="P373" s="17"/>
      <c r="Q373" s="135" t="s">
        <v>1243</v>
      </c>
      <c r="R373" s="132">
        <v>1</v>
      </c>
      <c r="S373" s="132">
        <v>8</v>
      </c>
      <c r="T373" s="144"/>
      <c r="U373" s="144"/>
    </row>
    <row r="374" spans="1:21" ht="60" customHeight="1">
      <c r="A374" s="125" t="s">
        <v>1150</v>
      </c>
      <c r="B374" s="126">
        <v>16</v>
      </c>
      <c r="C374" s="131" t="s">
        <v>1166</v>
      </c>
      <c r="D374" s="128" t="s">
        <v>1244</v>
      </c>
      <c r="E374" s="129" t="s">
        <v>1245</v>
      </c>
      <c r="F374" s="16" t="s">
        <v>1246</v>
      </c>
      <c r="G374" s="17" t="s">
        <v>1247</v>
      </c>
      <c r="H374" s="16" t="s">
        <v>47</v>
      </c>
      <c r="I374" s="16" t="s">
        <v>72</v>
      </c>
      <c r="J374" s="18" t="str">
        <f t="shared" si="7"/>
        <v>Revisar l’estat dels béns patrimonials i la situació administrativa-legal dels equipaments del parc</v>
      </c>
      <c r="K374" s="18"/>
      <c r="L374" s="22" t="s">
        <v>49</v>
      </c>
      <c r="M374" s="132" t="s">
        <v>50</v>
      </c>
      <c r="N374" s="154" t="s">
        <v>1248</v>
      </c>
      <c r="O374" s="150"/>
      <c r="P374" s="17" t="s">
        <v>1249</v>
      </c>
      <c r="Q374" s="175"/>
      <c r="R374" s="132"/>
      <c r="S374" s="132"/>
      <c r="T374" s="144"/>
      <c r="U374" s="144"/>
    </row>
    <row r="375" spans="1:21" ht="30" customHeight="1">
      <c r="A375" s="125" t="s">
        <v>1150</v>
      </c>
      <c r="B375" s="126">
        <v>16</v>
      </c>
      <c r="C375" s="131" t="s">
        <v>1166</v>
      </c>
      <c r="D375" s="128" t="s">
        <v>1244</v>
      </c>
      <c r="E375" s="129" t="s">
        <v>1245</v>
      </c>
      <c r="F375" s="16" t="s">
        <v>1246</v>
      </c>
      <c r="G375" s="17" t="s">
        <v>1247</v>
      </c>
      <c r="H375" s="16" t="s">
        <v>47</v>
      </c>
      <c r="I375" s="16" t="s">
        <v>72</v>
      </c>
      <c r="J375" s="18" t="str">
        <f t="shared" si="7"/>
        <v>Revisar l’estat dels béns patrimonials i la situació administrativa-legal dels equipaments del parc</v>
      </c>
      <c r="K375" s="18"/>
      <c r="L375" s="22" t="s">
        <v>49</v>
      </c>
      <c r="M375" s="132" t="s">
        <v>50</v>
      </c>
      <c r="N375" s="154" t="s">
        <v>1250</v>
      </c>
      <c r="O375" s="21"/>
      <c r="P375" s="19" t="s">
        <v>1249</v>
      </c>
      <c r="Q375" s="135" t="s">
        <v>1251</v>
      </c>
      <c r="R375" s="132">
        <v>1</v>
      </c>
      <c r="S375" s="132">
        <v>9</v>
      </c>
      <c r="T375" s="144"/>
      <c r="U375" s="144"/>
    </row>
    <row r="376" spans="1:21" ht="45" customHeight="1">
      <c r="A376" s="125" t="s">
        <v>1150</v>
      </c>
      <c r="B376" s="126">
        <v>16</v>
      </c>
      <c r="C376" s="131" t="s">
        <v>1166</v>
      </c>
      <c r="D376" s="128" t="s">
        <v>1244</v>
      </c>
      <c r="E376" s="129" t="s">
        <v>1245</v>
      </c>
      <c r="F376" s="16" t="s">
        <v>1252</v>
      </c>
      <c r="G376" s="17" t="s">
        <v>1253</v>
      </c>
      <c r="H376" s="16" t="s">
        <v>47</v>
      </c>
      <c r="I376" s="16" t="s">
        <v>72</v>
      </c>
      <c r="J376" s="18" t="str">
        <f t="shared" si="7"/>
        <v>Tenir cobertes les pèrdues o danys materials del patrimoni de la Direcció General que hi ha a l'àmbit territorial del Parc, com a conseqüència de la materialització de qualsevol dels riscs emparats en el plec de prescripcions tècniques de la pòlissa.</v>
      </c>
      <c r="K376" s="18"/>
      <c r="L376" s="22" t="s">
        <v>49</v>
      </c>
      <c r="M376" s="22" t="s">
        <v>50</v>
      </c>
      <c r="N376" s="154" t="s">
        <v>1254</v>
      </c>
      <c r="O376" s="16"/>
      <c r="P376" s="17" t="s">
        <v>1255</v>
      </c>
      <c r="Q376" s="18"/>
      <c r="R376" s="22"/>
      <c r="S376" s="22"/>
      <c r="T376" s="144"/>
      <c r="U376" s="144"/>
    </row>
    <row r="377" spans="1:21" ht="45" customHeight="1">
      <c r="A377" s="130" t="s">
        <v>1150</v>
      </c>
      <c r="B377" s="126">
        <v>16</v>
      </c>
      <c r="C377" s="131" t="s">
        <v>1166</v>
      </c>
      <c r="D377" s="128" t="s">
        <v>1244</v>
      </c>
      <c r="E377" s="129" t="s">
        <v>1245</v>
      </c>
      <c r="F377" s="16" t="s">
        <v>1252</v>
      </c>
      <c r="G377" s="17" t="s">
        <v>1253</v>
      </c>
      <c r="H377" s="16" t="s">
        <v>47</v>
      </c>
      <c r="I377" s="16" t="s">
        <v>72</v>
      </c>
      <c r="J377" s="18" t="str">
        <f t="shared" si="7"/>
        <v>Tenir cobertes les pèrdues o danys materials del patrimoni de la Direcció General que hi ha a l'àmbit territorial del Parc, com a conseqüència de la materialització de qualsevol dels riscs emparats en el plec de prescripcions tècniques de la pòlissa.</v>
      </c>
      <c r="K377" s="18"/>
      <c r="L377" s="22" t="s">
        <v>49</v>
      </c>
      <c r="M377" s="22" t="s">
        <v>50</v>
      </c>
      <c r="N377" s="154" t="s">
        <v>1256</v>
      </c>
      <c r="O377" s="16"/>
      <c r="P377" s="17" t="s">
        <v>1255</v>
      </c>
      <c r="Q377" s="18"/>
      <c r="R377" s="22"/>
      <c r="S377" s="22"/>
      <c r="T377" s="6"/>
      <c r="U377" s="6"/>
    </row>
    <row r="378" spans="1:21" ht="29">
      <c r="A378" s="130" t="s">
        <v>1150</v>
      </c>
      <c r="B378" s="126">
        <v>16</v>
      </c>
      <c r="C378" s="131" t="s">
        <v>1166</v>
      </c>
      <c r="D378" s="128" t="s">
        <v>1257</v>
      </c>
      <c r="E378" s="129" t="s">
        <v>1258</v>
      </c>
      <c r="F378" s="16" t="s">
        <v>1259</v>
      </c>
      <c r="G378" s="17" t="s">
        <v>1260</v>
      </c>
      <c r="H378" s="16" t="s">
        <v>47</v>
      </c>
      <c r="I378" s="16" t="s">
        <v>72</v>
      </c>
      <c r="J378" s="18" t="str">
        <f t="shared" si="7"/>
        <v>Millorar l'accessibilitat i la gestió documental del centre o punt de documentació de l'ENP</v>
      </c>
      <c r="K378" s="18"/>
      <c r="L378" s="22" t="s">
        <v>49</v>
      </c>
      <c r="M378" s="22" t="s">
        <v>132</v>
      </c>
      <c r="N378" s="154" t="s">
        <v>1261</v>
      </c>
      <c r="O378" s="16"/>
      <c r="P378" s="17" t="s">
        <v>1262</v>
      </c>
      <c r="Q378" s="18"/>
      <c r="R378" s="22"/>
      <c r="S378" s="22"/>
      <c r="T378" s="6"/>
      <c r="U378" s="6"/>
    </row>
    <row r="379" spans="1:21" ht="29">
      <c r="A379" s="130" t="s">
        <v>1150</v>
      </c>
      <c r="B379" s="126">
        <v>16</v>
      </c>
      <c r="C379" s="131" t="s">
        <v>1166</v>
      </c>
      <c r="D379" s="128" t="s">
        <v>1257</v>
      </c>
      <c r="E379" s="129" t="s">
        <v>1258</v>
      </c>
      <c r="F379" s="16" t="s">
        <v>1259</v>
      </c>
      <c r="G379" s="17" t="s">
        <v>1260</v>
      </c>
      <c r="H379" s="16" t="s">
        <v>47</v>
      </c>
      <c r="I379" s="16" t="s">
        <v>72</v>
      </c>
      <c r="J379" s="18" t="str">
        <f t="shared" si="7"/>
        <v>Millorar l'accessibilitat i la gestió documental del centre o punt de documentació de l'ENP</v>
      </c>
      <c r="K379" s="18"/>
      <c r="L379" s="22" t="s">
        <v>49</v>
      </c>
      <c r="M379" s="22" t="s">
        <v>132</v>
      </c>
      <c r="N379" s="154" t="s">
        <v>1263</v>
      </c>
      <c r="O379" s="16"/>
      <c r="P379" s="17" t="s">
        <v>1262</v>
      </c>
      <c r="Q379" s="18"/>
      <c r="R379" s="22"/>
      <c r="S379" s="22"/>
      <c r="T379" s="6"/>
      <c r="U379" s="6"/>
    </row>
    <row r="380" spans="1:21" ht="29">
      <c r="A380" s="130" t="s">
        <v>1150</v>
      </c>
      <c r="B380" s="126">
        <v>16</v>
      </c>
      <c r="C380" s="131" t="s">
        <v>1166</v>
      </c>
      <c r="D380" s="128" t="s">
        <v>1257</v>
      </c>
      <c r="E380" s="129" t="s">
        <v>1258</v>
      </c>
      <c r="F380" s="16" t="s">
        <v>1259</v>
      </c>
      <c r="G380" s="17" t="s">
        <v>1260</v>
      </c>
      <c r="H380" s="16" t="s">
        <v>47</v>
      </c>
      <c r="I380" s="16" t="s">
        <v>72</v>
      </c>
      <c r="J380" s="18" t="str">
        <f t="shared" si="7"/>
        <v>Millorar l'accessibilitat i la gestió documental del centre o punt de documentació de l'ENP</v>
      </c>
      <c r="K380" s="18"/>
      <c r="L380" s="22" t="s">
        <v>49</v>
      </c>
      <c r="M380" s="22" t="s">
        <v>132</v>
      </c>
      <c r="N380" s="154" t="s">
        <v>1264</v>
      </c>
      <c r="O380" s="16"/>
      <c r="P380" s="17" t="s">
        <v>1262</v>
      </c>
      <c r="Q380" s="18"/>
      <c r="R380" s="22"/>
      <c r="S380" s="22"/>
      <c r="T380" s="6"/>
      <c r="U380" s="6"/>
    </row>
    <row r="381" spans="1:21" ht="29">
      <c r="A381" s="130" t="s">
        <v>1150</v>
      </c>
      <c r="B381" s="126">
        <v>16</v>
      </c>
      <c r="C381" s="131" t="s">
        <v>1166</v>
      </c>
      <c r="D381" s="128" t="s">
        <v>1257</v>
      </c>
      <c r="E381" s="129" t="s">
        <v>1258</v>
      </c>
      <c r="F381" s="16" t="s">
        <v>1259</v>
      </c>
      <c r="G381" s="17" t="s">
        <v>1260</v>
      </c>
      <c r="H381" s="16" t="s">
        <v>47</v>
      </c>
      <c r="I381" s="16" t="s">
        <v>72</v>
      </c>
      <c r="J381" s="18" t="str">
        <f t="shared" si="7"/>
        <v>Millorar l'accessibilitat i la gestió documental del centre o punt de documentació de l'ENP</v>
      </c>
      <c r="K381" s="18"/>
      <c r="L381" s="22" t="s">
        <v>49</v>
      </c>
      <c r="M381" s="22" t="s">
        <v>132</v>
      </c>
      <c r="N381" s="154" t="s">
        <v>1213</v>
      </c>
      <c r="O381" s="16"/>
      <c r="P381" s="17" t="s">
        <v>1262</v>
      </c>
      <c r="Q381" s="18"/>
      <c r="R381" s="22"/>
      <c r="S381" s="22"/>
      <c r="T381" s="6"/>
      <c r="U381" s="6"/>
    </row>
    <row r="382" spans="1:21" ht="29">
      <c r="A382" s="130" t="s">
        <v>1150</v>
      </c>
      <c r="B382" s="126">
        <v>16</v>
      </c>
      <c r="C382" s="131" t="s">
        <v>1166</v>
      </c>
      <c r="D382" s="128" t="s">
        <v>1257</v>
      </c>
      <c r="E382" s="129" t="s">
        <v>1258</v>
      </c>
      <c r="F382" s="16" t="s">
        <v>1259</v>
      </c>
      <c r="G382" s="17" t="s">
        <v>1260</v>
      </c>
      <c r="H382" s="16" t="s">
        <v>47</v>
      </c>
      <c r="I382" s="16" t="s">
        <v>72</v>
      </c>
      <c r="J382" s="18" t="str">
        <f t="shared" si="7"/>
        <v>Millorar l'accessibilitat i la gestió documental del centre o punt de documentació de l'ENP</v>
      </c>
      <c r="K382" s="18"/>
      <c r="L382" s="22" t="s">
        <v>49</v>
      </c>
      <c r="M382" s="22" t="s">
        <v>132</v>
      </c>
      <c r="N382" s="154" t="s">
        <v>1265</v>
      </c>
      <c r="O382" s="16"/>
      <c r="P382" s="17" t="s">
        <v>1262</v>
      </c>
      <c r="Q382" s="18"/>
      <c r="R382" s="22"/>
      <c r="S382" s="22"/>
      <c r="T382" s="6"/>
      <c r="U382" s="6"/>
    </row>
    <row r="383" spans="1:21" ht="15" customHeight="1">
      <c r="A383" s="125" t="s">
        <v>1150</v>
      </c>
      <c r="B383" s="126">
        <v>16</v>
      </c>
      <c r="C383" s="131" t="s">
        <v>1166</v>
      </c>
      <c r="D383" s="128" t="s">
        <v>1266</v>
      </c>
      <c r="E383" s="129" t="s">
        <v>1267</v>
      </c>
      <c r="F383" s="16" t="s">
        <v>1268</v>
      </c>
      <c r="G383" s="17" t="s">
        <v>1269</v>
      </c>
      <c r="H383" s="16" t="s">
        <v>101</v>
      </c>
      <c r="I383" s="16" t="s">
        <v>72</v>
      </c>
      <c r="J383" s="136" t="str">
        <f t="shared" si="7"/>
        <v>Gestió de la brigada de manteniment</v>
      </c>
      <c r="K383" s="18"/>
      <c r="L383" s="22" t="s">
        <v>49</v>
      </c>
      <c r="M383" s="132" t="s">
        <v>50</v>
      </c>
      <c r="N383" s="154" t="s">
        <v>1270</v>
      </c>
      <c r="O383" s="21"/>
      <c r="P383" s="19"/>
      <c r="Q383" s="135" t="s">
        <v>1271</v>
      </c>
      <c r="R383" s="132">
        <f>37.5*6*2</f>
        <v>450</v>
      </c>
      <c r="S383" s="132">
        <f>R383*4</f>
        <v>1800</v>
      </c>
      <c r="T383" s="6"/>
      <c r="U383" s="6"/>
    </row>
    <row r="384" spans="1:21" ht="45" customHeight="1">
      <c r="A384" s="125" t="s">
        <v>1150</v>
      </c>
      <c r="B384" s="126">
        <v>16</v>
      </c>
      <c r="C384" s="131" t="s">
        <v>1166</v>
      </c>
      <c r="D384" s="128" t="s">
        <v>1266</v>
      </c>
      <c r="E384" s="129" t="s">
        <v>1267</v>
      </c>
      <c r="F384" s="16" t="s">
        <v>1272</v>
      </c>
      <c r="G384" s="17" t="s">
        <v>1273</v>
      </c>
      <c r="H384" s="16" t="s">
        <v>101</v>
      </c>
      <c r="I384" s="16" t="s">
        <v>72</v>
      </c>
      <c r="J384" s="18" t="str">
        <f t="shared" si="7"/>
        <v>Gestió de personal</v>
      </c>
      <c r="K384" s="18"/>
      <c r="L384" s="22" t="s">
        <v>49</v>
      </c>
      <c r="M384" s="22" t="s">
        <v>50</v>
      </c>
      <c r="N384" s="154" t="s">
        <v>1274</v>
      </c>
      <c r="O384" s="16"/>
      <c r="P384" s="17"/>
      <c r="Q384" s="18"/>
      <c r="R384" s="22"/>
      <c r="S384" s="22"/>
      <c r="T384" s="144"/>
      <c r="U384" s="144"/>
    </row>
    <row r="385" spans="1:21" ht="15" customHeight="1">
      <c r="A385" s="125" t="s">
        <v>1150</v>
      </c>
      <c r="B385" s="126">
        <v>16</v>
      </c>
      <c r="C385" s="131" t="s">
        <v>1166</v>
      </c>
      <c r="D385" s="128" t="s">
        <v>1266</v>
      </c>
      <c r="E385" s="129" t="s">
        <v>1267</v>
      </c>
      <c r="F385" s="16" t="s">
        <v>1272</v>
      </c>
      <c r="G385" s="17" t="s">
        <v>1273</v>
      </c>
      <c r="H385" s="16" t="s">
        <v>101</v>
      </c>
      <c r="I385" s="16" t="s">
        <v>72</v>
      </c>
      <c r="J385" s="18" t="str">
        <f t="shared" si="7"/>
        <v>Gestió de personal</v>
      </c>
      <c r="K385" s="18"/>
      <c r="L385" s="22" t="s">
        <v>49</v>
      </c>
      <c r="M385" s="22" t="s">
        <v>50</v>
      </c>
      <c r="N385" s="154" t="s">
        <v>1275</v>
      </c>
      <c r="O385" s="16"/>
      <c r="P385" s="17"/>
      <c r="Q385" s="18"/>
      <c r="R385" s="22"/>
      <c r="S385" s="22"/>
      <c r="T385" s="6"/>
      <c r="U385" s="6"/>
    </row>
    <row r="386" spans="1:21">
      <c r="A386" s="125" t="s">
        <v>1150</v>
      </c>
      <c r="B386" s="126">
        <v>16</v>
      </c>
      <c r="C386" s="131" t="s">
        <v>1166</v>
      </c>
      <c r="D386" s="128" t="s">
        <v>1266</v>
      </c>
      <c r="E386" s="129" t="s">
        <v>1267</v>
      </c>
      <c r="F386" s="16" t="s">
        <v>1272</v>
      </c>
      <c r="G386" s="17" t="s">
        <v>1273</v>
      </c>
      <c r="H386" s="16" t="s">
        <v>101</v>
      </c>
      <c r="I386" s="16" t="s">
        <v>72</v>
      </c>
      <c r="J386" s="18" t="str">
        <f t="shared" si="7"/>
        <v>Gestió de personal</v>
      </c>
      <c r="K386" s="18"/>
      <c r="L386" s="22" t="s">
        <v>49</v>
      </c>
      <c r="M386" s="22" t="s">
        <v>50</v>
      </c>
      <c r="N386" s="154" t="s">
        <v>1276</v>
      </c>
      <c r="O386" s="16"/>
      <c r="P386" s="17"/>
      <c r="Q386" s="18"/>
      <c r="R386" s="22"/>
      <c r="S386" s="22"/>
      <c r="T386" s="6"/>
      <c r="U386" s="6"/>
    </row>
    <row r="387" spans="1:21" ht="29">
      <c r="A387" s="125" t="s">
        <v>1150</v>
      </c>
      <c r="B387" s="126">
        <v>16</v>
      </c>
      <c r="C387" s="131" t="s">
        <v>1166</v>
      </c>
      <c r="D387" s="128" t="s">
        <v>1266</v>
      </c>
      <c r="E387" s="129" t="s">
        <v>1267</v>
      </c>
      <c r="F387" s="16" t="s">
        <v>1272</v>
      </c>
      <c r="G387" s="17" t="s">
        <v>1273</v>
      </c>
      <c r="H387" s="16" t="s">
        <v>101</v>
      </c>
      <c r="I387" s="16" t="s">
        <v>72</v>
      </c>
      <c r="J387" s="18" t="str">
        <f t="shared" si="7"/>
        <v>Gestió de personal</v>
      </c>
      <c r="K387" s="18"/>
      <c r="L387" s="22" t="s">
        <v>49</v>
      </c>
      <c r="M387" s="22" t="s">
        <v>50</v>
      </c>
      <c r="N387" s="154" t="s">
        <v>1277</v>
      </c>
      <c r="O387" s="16"/>
      <c r="P387" s="17"/>
      <c r="Q387" s="18"/>
      <c r="R387" s="22"/>
      <c r="S387" s="22"/>
      <c r="T387" s="6"/>
      <c r="U387" s="6"/>
    </row>
    <row r="388" spans="1:21">
      <c r="O388" s="6"/>
      <c r="P388" s="5"/>
      <c r="Q388" s="5"/>
      <c r="R388" s="6"/>
      <c r="S388" s="6"/>
      <c r="T388" s="6"/>
      <c r="U388" s="6"/>
    </row>
  </sheetData>
  <autoFilter ref="A5:S387" xr:uid="{00000000-0009-0000-0000-000000000000}"/>
  <dataConsolidate/>
  <mergeCells count="2">
    <mergeCell ref="T4:U4"/>
    <mergeCell ref="R2:S2"/>
  </mergeCells>
  <conditionalFormatting sqref="H156:I156 K156">
    <cfRule type="duplicateValues" dxfId="42" priority="11"/>
  </conditionalFormatting>
  <conditionalFormatting sqref="H159:I159">
    <cfRule type="duplicateValues" dxfId="41" priority="10"/>
  </conditionalFormatting>
  <conditionalFormatting sqref="H160:I160">
    <cfRule type="duplicateValues" dxfId="40" priority="9"/>
  </conditionalFormatting>
  <conditionalFormatting sqref="H161:I161">
    <cfRule type="duplicateValues" dxfId="39" priority="8"/>
  </conditionalFormatting>
  <conditionalFormatting sqref="H162:I162">
    <cfRule type="duplicateValues" dxfId="38" priority="7"/>
  </conditionalFormatting>
  <conditionalFormatting sqref="H163:I163">
    <cfRule type="duplicateValues" dxfId="37" priority="6"/>
  </conditionalFormatting>
  <conditionalFormatting sqref="H164:I164">
    <cfRule type="duplicateValues" dxfId="36" priority="5"/>
  </conditionalFormatting>
  <conditionalFormatting sqref="H165:I165">
    <cfRule type="duplicateValues" dxfId="35" priority="4"/>
  </conditionalFormatting>
  <conditionalFormatting sqref="H166:I166">
    <cfRule type="duplicateValues" dxfId="34" priority="3"/>
  </conditionalFormatting>
  <conditionalFormatting sqref="H167:I167">
    <cfRule type="duplicateValues" dxfId="33" priority="2"/>
  </conditionalFormatting>
  <conditionalFormatting sqref="H168:I168">
    <cfRule type="duplicateValues" dxfId="32" priority="1"/>
  </conditionalFormatting>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'https://gencat.sharepoint.com/sites/PNAESM_EQUIP_TCNIC/Documents compartits/General/[Pla Estrategic ENP_v2024_Aigüestortes_MAG_251222_MES.xlsx]Full1'!#REF!</xm:f>
          </x14:formula1>
          <xm:sqref>L311:L387 L6:L309 M6:M251 H6:I251</xm:sqref>
        </x14:dataValidation>
        <x14:dataValidation type="list" allowBlank="1" showErrorMessage="1" xr:uid="{00000000-0002-0000-0000-000001000000}">
          <x14:formula1>
            <xm:f>'D:\45720148N\Desktop\[Pla Estrategic ENP_v2024_Aigüestortes_v2_UP.xlsx]Full1'!#REF!</xm:f>
          </x14:formula1>
          <xm:sqref>M252:M387 L310 H252:I387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75"/>
  <sheetViews>
    <sheetView workbookViewId="0">
      <selection activeCell="C2" sqref="C2"/>
    </sheetView>
  </sheetViews>
  <sheetFormatPr defaultColWidth="8.7265625" defaultRowHeight="14.5"/>
  <cols>
    <col min="1" max="1" width="22.7265625" bestFit="1" customWidth="1"/>
    <col min="2" max="2" width="35.453125" bestFit="1" customWidth="1"/>
    <col min="3" max="3" width="50.54296875" bestFit="1" customWidth="1"/>
    <col min="5" max="5" width="34.453125" bestFit="1" customWidth="1"/>
    <col min="7" max="7" width="74.26953125" bestFit="1" customWidth="1"/>
    <col min="9" max="9" width="114.54296875" bestFit="1" customWidth="1"/>
    <col min="11" max="11" width="17.453125" bestFit="1" customWidth="1"/>
  </cols>
  <sheetData>
    <row r="1" spans="1:11">
      <c r="B1" s="3" t="s">
        <v>1749</v>
      </c>
      <c r="C1" s="3" t="s">
        <v>1750</v>
      </c>
      <c r="D1" s="2"/>
      <c r="E1" s="32" t="s">
        <v>1751</v>
      </c>
      <c r="G1" s="36" t="s">
        <v>1752</v>
      </c>
      <c r="I1" t="s">
        <v>1753</v>
      </c>
      <c r="K1" t="s">
        <v>1316</v>
      </c>
    </row>
    <row r="2" spans="1:11">
      <c r="A2" t="s">
        <v>1754</v>
      </c>
      <c r="B2" s="34" t="s">
        <v>1320</v>
      </c>
      <c r="C2" s="33" t="s">
        <v>1345</v>
      </c>
      <c r="E2" s="27" t="s">
        <v>1344</v>
      </c>
      <c r="G2" s="37"/>
      <c r="K2" t="s">
        <v>1325</v>
      </c>
    </row>
    <row r="3" spans="1:11" ht="29">
      <c r="A3" t="s">
        <v>1754</v>
      </c>
      <c r="B3" s="34" t="s">
        <v>1689</v>
      </c>
      <c r="C3" s="33" t="s">
        <v>1322</v>
      </c>
      <c r="E3" s="27" t="s">
        <v>1419</v>
      </c>
      <c r="G3" s="37" t="s">
        <v>1755</v>
      </c>
      <c r="I3" s="38" t="s">
        <v>1756</v>
      </c>
      <c r="K3" t="s">
        <v>131</v>
      </c>
    </row>
    <row r="4" spans="1:11">
      <c r="A4" t="s">
        <v>1754</v>
      </c>
      <c r="B4" s="34" t="s">
        <v>1692</v>
      </c>
      <c r="C4" s="33" t="s">
        <v>1416</v>
      </c>
      <c r="E4" s="27" t="s">
        <v>1339</v>
      </c>
      <c r="G4" s="37" t="s">
        <v>1605</v>
      </c>
      <c r="I4" s="39" t="s">
        <v>1757</v>
      </c>
    </row>
    <row r="5" spans="1:11">
      <c r="A5" t="s">
        <v>1758</v>
      </c>
      <c r="B5" s="35" t="s">
        <v>1712</v>
      </c>
      <c r="C5" s="33" t="s">
        <v>1394</v>
      </c>
      <c r="E5" s="27" t="s">
        <v>1443</v>
      </c>
      <c r="G5" s="37" t="s">
        <v>1352</v>
      </c>
      <c r="I5" s="38" t="s">
        <v>1759</v>
      </c>
    </row>
    <row r="6" spans="1:11" ht="29">
      <c r="A6" t="s">
        <v>1758</v>
      </c>
      <c r="B6" s="35" t="s">
        <v>1760</v>
      </c>
      <c r="C6" s="33" t="s">
        <v>1761</v>
      </c>
      <c r="E6" s="27" t="s">
        <v>1351</v>
      </c>
      <c r="G6" s="37" t="s">
        <v>1463</v>
      </c>
      <c r="I6" s="39" t="s">
        <v>1762</v>
      </c>
    </row>
    <row r="7" spans="1:11" ht="29">
      <c r="A7" t="s">
        <v>1763</v>
      </c>
      <c r="B7" s="34" t="s">
        <v>1707</v>
      </c>
      <c r="C7" s="33" t="s">
        <v>1764</v>
      </c>
      <c r="E7" s="27" t="s">
        <v>1389</v>
      </c>
      <c r="G7" s="37" t="s">
        <v>1357</v>
      </c>
      <c r="I7" s="38" t="s">
        <v>1765</v>
      </c>
    </row>
    <row r="8" spans="1:11">
      <c r="A8" t="s">
        <v>1766</v>
      </c>
      <c r="B8" s="35" t="s">
        <v>1715</v>
      </c>
      <c r="C8" s="33" t="s">
        <v>1767</v>
      </c>
      <c r="E8" s="27" t="s">
        <v>1319</v>
      </c>
      <c r="G8" s="37" t="s">
        <v>1768</v>
      </c>
      <c r="I8" s="39" t="s">
        <v>1769</v>
      </c>
    </row>
    <row r="9" spans="1:11">
      <c r="A9" t="s">
        <v>1766</v>
      </c>
      <c r="B9" s="35" t="s">
        <v>1770</v>
      </c>
      <c r="C9" s="33" t="s">
        <v>1440</v>
      </c>
      <c r="G9" s="37" t="s">
        <v>1359</v>
      </c>
      <c r="I9" s="38" t="s">
        <v>1771</v>
      </c>
    </row>
    <row r="10" spans="1:11" ht="29">
      <c r="A10" t="s">
        <v>1766</v>
      </c>
      <c r="B10" s="35" t="s">
        <v>1772</v>
      </c>
      <c r="C10" s="33" t="s">
        <v>1446</v>
      </c>
      <c r="G10" s="37" t="s">
        <v>1470</v>
      </c>
      <c r="I10" s="39" t="s">
        <v>1773</v>
      </c>
    </row>
    <row r="11" spans="1:11" ht="29">
      <c r="A11" t="s">
        <v>1766</v>
      </c>
      <c r="B11" s="35" t="s">
        <v>1774</v>
      </c>
      <c r="C11" s="33" t="s">
        <v>1507</v>
      </c>
      <c r="G11" s="37" t="s">
        <v>1362</v>
      </c>
      <c r="I11" s="38" t="s">
        <v>1775</v>
      </c>
    </row>
    <row r="12" spans="1:11" ht="29">
      <c r="A12" t="s">
        <v>1766</v>
      </c>
      <c r="B12" s="35" t="s">
        <v>1776</v>
      </c>
      <c r="C12" s="33" t="s">
        <v>1777</v>
      </c>
      <c r="G12" s="37" t="s">
        <v>1365</v>
      </c>
      <c r="I12" s="39" t="s">
        <v>1778</v>
      </c>
    </row>
    <row r="13" spans="1:11" ht="29">
      <c r="A13" t="s">
        <v>1779</v>
      </c>
      <c r="B13" s="35" t="s">
        <v>1780</v>
      </c>
      <c r="C13" s="33" t="s">
        <v>1781</v>
      </c>
      <c r="G13" s="37" t="s">
        <v>1368</v>
      </c>
      <c r="I13" s="38" t="s">
        <v>1782</v>
      </c>
    </row>
    <row r="14" spans="1:11" ht="29">
      <c r="A14" t="s">
        <v>1779</v>
      </c>
      <c r="B14" s="35" t="s">
        <v>1783</v>
      </c>
      <c r="C14" s="33" t="s">
        <v>1456</v>
      </c>
      <c r="G14" s="37" t="s">
        <v>1784</v>
      </c>
      <c r="I14" s="39" t="s">
        <v>1785</v>
      </c>
    </row>
    <row r="15" spans="1:11" ht="29">
      <c r="A15" t="s">
        <v>1786</v>
      </c>
      <c r="B15" s="35" t="s">
        <v>1786</v>
      </c>
      <c r="C15" s="33" t="s">
        <v>1787</v>
      </c>
      <c r="G15" s="37" t="s">
        <v>1370</v>
      </c>
      <c r="I15" s="38" t="s">
        <v>1788</v>
      </c>
    </row>
    <row r="16" spans="1:11" ht="29">
      <c r="C16" s="33" t="s">
        <v>1789</v>
      </c>
      <c r="G16" s="37" t="s">
        <v>1373</v>
      </c>
      <c r="I16" s="39" t="s">
        <v>1790</v>
      </c>
    </row>
    <row r="17" spans="3:9" ht="29">
      <c r="C17" s="33" t="s">
        <v>1449</v>
      </c>
      <c r="G17" s="37" t="s">
        <v>1378</v>
      </c>
      <c r="I17" s="38" t="s">
        <v>1791</v>
      </c>
    </row>
    <row r="18" spans="3:9" ht="29">
      <c r="C18" s="33" t="s">
        <v>1792</v>
      </c>
      <c r="G18" s="37" t="s">
        <v>1381</v>
      </c>
      <c r="I18" s="39" t="s">
        <v>1793</v>
      </c>
    </row>
    <row r="19" spans="3:9">
      <c r="C19" s="33" t="s">
        <v>1786</v>
      </c>
      <c r="G19" s="37" t="s">
        <v>1384</v>
      </c>
      <c r="I19" s="38" t="s">
        <v>1794</v>
      </c>
    </row>
    <row r="20" spans="3:9">
      <c r="G20" s="37" t="s">
        <v>1795</v>
      </c>
      <c r="I20" s="39" t="s">
        <v>1796</v>
      </c>
    </row>
    <row r="21" spans="3:9">
      <c r="G21" s="37" t="s">
        <v>1321</v>
      </c>
      <c r="I21" s="38" t="s">
        <v>1797</v>
      </c>
    </row>
    <row r="22" spans="3:9">
      <c r="G22" s="37" t="s">
        <v>1485</v>
      </c>
      <c r="I22" s="39" t="s">
        <v>1798</v>
      </c>
    </row>
    <row r="23" spans="3:9">
      <c r="G23" s="37" t="s">
        <v>1328</v>
      </c>
      <c r="I23" s="38" t="s">
        <v>1799</v>
      </c>
    </row>
    <row r="24" spans="3:9">
      <c r="G24" s="37" t="s">
        <v>1800</v>
      </c>
      <c r="I24" s="39" t="s">
        <v>1801</v>
      </c>
    </row>
    <row r="25" spans="3:9">
      <c r="G25" s="37" t="s">
        <v>1334</v>
      </c>
      <c r="I25" s="38" t="s">
        <v>1802</v>
      </c>
    </row>
    <row r="26" spans="3:9">
      <c r="G26" s="37" t="s">
        <v>1651</v>
      </c>
      <c r="I26" s="39" t="s">
        <v>1803</v>
      </c>
    </row>
    <row r="27" spans="3:9">
      <c r="G27" s="37" t="s">
        <v>1804</v>
      </c>
      <c r="I27" s="38" t="s">
        <v>1805</v>
      </c>
    </row>
    <row r="28" spans="3:9">
      <c r="G28" s="37" t="s">
        <v>1806</v>
      </c>
      <c r="I28" s="39" t="s">
        <v>1807</v>
      </c>
    </row>
    <row r="29" spans="3:9">
      <c r="G29" s="37" t="s">
        <v>1340</v>
      </c>
      <c r="I29" s="38" t="s">
        <v>1808</v>
      </c>
    </row>
    <row r="30" spans="3:9">
      <c r="G30" s="37" t="s">
        <v>1402</v>
      </c>
      <c r="I30" s="39" t="s">
        <v>1809</v>
      </c>
    </row>
    <row r="31" spans="3:9">
      <c r="G31" s="37" t="s">
        <v>1810</v>
      </c>
      <c r="I31" s="38" t="s">
        <v>1811</v>
      </c>
    </row>
    <row r="32" spans="3:9">
      <c r="G32" s="37" t="s">
        <v>1577</v>
      </c>
      <c r="I32" s="39" t="s">
        <v>1812</v>
      </c>
    </row>
    <row r="33" spans="7:9">
      <c r="G33" s="37" t="s">
        <v>1813</v>
      </c>
      <c r="I33" s="38" t="s">
        <v>1814</v>
      </c>
    </row>
    <row r="34" spans="7:9">
      <c r="G34" s="37" t="s">
        <v>1410</v>
      </c>
      <c r="I34" s="39" t="s">
        <v>1815</v>
      </c>
    </row>
    <row r="35" spans="7:9">
      <c r="G35" s="37" t="s">
        <v>1413</v>
      </c>
      <c r="I35" s="38" t="s">
        <v>1816</v>
      </c>
    </row>
    <row r="36" spans="7:9">
      <c r="G36" s="37" t="s">
        <v>1817</v>
      </c>
      <c r="I36" s="39" t="s">
        <v>1808</v>
      </c>
    </row>
    <row r="37" spans="7:9">
      <c r="G37" s="37" t="s">
        <v>1599</v>
      </c>
      <c r="I37" s="38" t="s">
        <v>1818</v>
      </c>
    </row>
    <row r="38" spans="7:9">
      <c r="G38" s="37" t="s">
        <v>1602</v>
      </c>
      <c r="I38" s="39" t="s">
        <v>1819</v>
      </c>
    </row>
    <row r="39" spans="7:9">
      <c r="G39" s="37"/>
      <c r="I39" s="38" t="s">
        <v>1820</v>
      </c>
    </row>
    <row r="40" spans="7:9">
      <c r="I40" s="39" t="s">
        <v>1821</v>
      </c>
    </row>
    <row r="41" spans="7:9">
      <c r="I41" s="38" t="s">
        <v>1822</v>
      </c>
    </row>
    <row r="42" spans="7:9">
      <c r="I42" s="39" t="s">
        <v>1823</v>
      </c>
    </row>
    <row r="43" spans="7:9">
      <c r="I43" s="38" t="s">
        <v>1824</v>
      </c>
    </row>
    <row r="44" spans="7:9">
      <c r="I44" s="39" t="s">
        <v>1825</v>
      </c>
    </row>
    <row r="45" spans="7:9">
      <c r="I45" s="38" t="s">
        <v>1826</v>
      </c>
    </row>
    <row r="46" spans="7:9">
      <c r="I46" s="39" t="s">
        <v>1827</v>
      </c>
    </row>
    <row r="47" spans="7:9">
      <c r="I47" s="38" t="s">
        <v>1828</v>
      </c>
    </row>
    <row r="48" spans="7:9">
      <c r="I48" s="39" t="s">
        <v>1829</v>
      </c>
    </row>
    <row r="49" spans="9:9">
      <c r="I49" s="38" t="s">
        <v>1830</v>
      </c>
    </row>
    <row r="50" spans="9:9">
      <c r="I50" s="39" t="s">
        <v>1831</v>
      </c>
    </row>
    <row r="51" spans="9:9">
      <c r="I51" s="38" t="s">
        <v>1832</v>
      </c>
    </row>
    <row r="52" spans="9:9">
      <c r="I52" s="39" t="s">
        <v>1833</v>
      </c>
    </row>
    <row r="53" spans="9:9">
      <c r="I53" s="38" t="s">
        <v>1834</v>
      </c>
    </row>
    <row r="54" spans="9:9">
      <c r="I54" s="39" t="s">
        <v>1835</v>
      </c>
    </row>
    <row r="55" spans="9:9">
      <c r="I55" s="38" t="s">
        <v>1836</v>
      </c>
    </row>
    <row r="56" spans="9:9">
      <c r="I56" s="39" t="s">
        <v>1837</v>
      </c>
    </row>
    <row r="57" spans="9:9">
      <c r="I57" s="38" t="s">
        <v>1838</v>
      </c>
    </row>
    <row r="58" spans="9:9">
      <c r="I58" s="39" t="s">
        <v>1839</v>
      </c>
    </row>
    <row r="59" spans="9:9">
      <c r="I59" s="38" t="s">
        <v>1840</v>
      </c>
    </row>
    <row r="60" spans="9:9">
      <c r="I60" s="39" t="s">
        <v>1841</v>
      </c>
    </row>
    <row r="61" spans="9:9">
      <c r="I61" s="38" t="s">
        <v>1842</v>
      </c>
    </row>
    <row r="62" spans="9:9">
      <c r="I62" s="39" t="s">
        <v>1843</v>
      </c>
    </row>
    <row r="63" spans="9:9">
      <c r="I63" s="38" t="s">
        <v>1844</v>
      </c>
    </row>
    <row r="64" spans="9:9">
      <c r="I64" s="39" t="s">
        <v>1845</v>
      </c>
    </row>
    <row r="65" spans="9:9">
      <c r="I65" s="38" t="s">
        <v>1846</v>
      </c>
    </row>
    <row r="66" spans="9:9">
      <c r="I66" s="39" t="s">
        <v>1847</v>
      </c>
    </row>
    <row r="67" spans="9:9">
      <c r="I67" s="38" t="s">
        <v>1848</v>
      </c>
    </row>
    <row r="68" spans="9:9">
      <c r="I68" s="39" t="s">
        <v>1849</v>
      </c>
    </row>
    <row r="69" spans="9:9">
      <c r="I69" s="38" t="s">
        <v>1850</v>
      </c>
    </row>
    <row r="70" spans="9:9">
      <c r="I70" s="39" t="s">
        <v>1851</v>
      </c>
    </row>
    <row r="71" spans="9:9">
      <c r="I71" s="38" t="s">
        <v>1852</v>
      </c>
    </row>
    <row r="72" spans="9:9">
      <c r="I72" s="39" t="s">
        <v>1853</v>
      </c>
    </row>
    <row r="73" spans="9:9">
      <c r="I73" s="38" t="s">
        <v>1854</v>
      </c>
    </row>
    <row r="74" spans="9:9">
      <c r="I74" s="39" t="s">
        <v>1855</v>
      </c>
    </row>
    <row r="75" spans="9:9">
      <c r="I75" s="38" t="s">
        <v>1856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21"/>
  <sheetViews>
    <sheetView workbookViewId="0">
      <selection activeCell="F10" sqref="F10"/>
    </sheetView>
  </sheetViews>
  <sheetFormatPr defaultColWidth="9.1796875" defaultRowHeight="14.5"/>
  <cols>
    <col min="1" max="1" width="44.7265625" bestFit="1" customWidth="1"/>
    <col min="2" max="2" width="16.7265625" customWidth="1"/>
    <col min="4" max="4" width="11.453125" customWidth="1"/>
    <col min="5" max="5" width="22.26953125" customWidth="1"/>
    <col min="6" max="6" width="24.26953125" customWidth="1"/>
    <col min="7" max="7" width="14.1796875" customWidth="1"/>
    <col min="8" max="8" width="15.7265625" customWidth="1"/>
    <col min="9" max="9" width="18" customWidth="1"/>
    <col min="10" max="10" width="12.7265625" customWidth="1"/>
    <col min="11" max="11" width="18.7265625" customWidth="1"/>
    <col min="12" max="12" width="15.26953125" customWidth="1"/>
    <col min="13" max="13" width="28.7265625" customWidth="1"/>
    <col min="14" max="14" width="46.26953125" customWidth="1"/>
    <col min="15" max="15" width="38.26953125" customWidth="1"/>
    <col min="16" max="16" width="21.7265625" customWidth="1"/>
    <col min="17" max="17" width="16.54296875" customWidth="1"/>
  </cols>
  <sheetData>
    <row r="1" spans="1:17">
      <c r="A1" s="41" t="s">
        <v>1300</v>
      </c>
      <c r="B1" s="42" t="s">
        <v>1857</v>
      </c>
      <c r="D1" s="40" t="s">
        <v>1858</v>
      </c>
      <c r="E1" s="40" t="s">
        <v>1859</v>
      </c>
      <c r="F1" s="40" t="s">
        <v>1860</v>
      </c>
      <c r="G1" s="40" t="s">
        <v>1861</v>
      </c>
      <c r="H1" s="40" t="s">
        <v>1862</v>
      </c>
      <c r="I1" s="40" t="s">
        <v>1863</v>
      </c>
      <c r="J1" s="40" t="s">
        <v>1864</v>
      </c>
      <c r="K1" s="40" t="s">
        <v>1865</v>
      </c>
      <c r="L1" s="40" t="s">
        <v>1866</v>
      </c>
      <c r="M1" s="40" t="s">
        <v>1867</v>
      </c>
      <c r="N1" s="40" t="s">
        <v>1868</v>
      </c>
      <c r="O1" s="40" t="s">
        <v>1869</v>
      </c>
      <c r="P1" s="40" t="s">
        <v>1870</v>
      </c>
      <c r="Q1" s="40" t="s">
        <v>1871</v>
      </c>
    </row>
    <row r="2" spans="1:17">
      <c r="A2" s="40" t="s">
        <v>1858</v>
      </c>
      <c r="B2" t="s">
        <v>1872</v>
      </c>
      <c r="D2" s="40" t="s">
        <v>1873</v>
      </c>
      <c r="E2" s="40" t="s">
        <v>1874</v>
      </c>
      <c r="F2" s="40" t="s">
        <v>1875</v>
      </c>
      <c r="G2" s="40" t="s">
        <v>1876</v>
      </c>
      <c r="H2" s="40" t="s">
        <v>1877</v>
      </c>
      <c r="I2" s="40" t="s">
        <v>1878</v>
      </c>
      <c r="J2" s="40" t="s">
        <v>1879</v>
      </c>
      <c r="K2" s="40" t="s">
        <v>1880</v>
      </c>
      <c r="L2" s="40" t="s">
        <v>1881</v>
      </c>
      <c r="M2" s="40" t="s">
        <v>1882</v>
      </c>
      <c r="N2" s="40" t="s">
        <v>1883</v>
      </c>
      <c r="O2" s="40" t="s">
        <v>1884</v>
      </c>
      <c r="P2" s="40" t="s">
        <v>1885</v>
      </c>
      <c r="Q2" s="40" t="s">
        <v>1886</v>
      </c>
    </row>
    <row r="3" spans="1:17">
      <c r="A3" s="40" t="s">
        <v>1859</v>
      </c>
      <c r="B3" t="s">
        <v>1887</v>
      </c>
      <c r="D3" s="40" t="s">
        <v>1888</v>
      </c>
      <c r="E3" s="40" t="s">
        <v>1889</v>
      </c>
      <c r="F3" s="40" t="s">
        <v>1890</v>
      </c>
      <c r="G3" s="40" t="s">
        <v>1891</v>
      </c>
      <c r="H3" s="40" t="s">
        <v>1892</v>
      </c>
      <c r="I3" s="40" t="s">
        <v>1893</v>
      </c>
      <c r="J3" s="40" t="s">
        <v>1894</v>
      </c>
      <c r="K3" s="40" t="s">
        <v>1895</v>
      </c>
      <c r="L3" s="40" t="s">
        <v>1896</v>
      </c>
      <c r="M3" s="40" t="s">
        <v>1897</v>
      </c>
      <c r="N3" s="40" t="s">
        <v>1898</v>
      </c>
      <c r="O3" s="40" t="s">
        <v>1899</v>
      </c>
      <c r="P3" s="40" t="s">
        <v>1900</v>
      </c>
      <c r="Q3" s="40" t="s">
        <v>1901</v>
      </c>
    </row>
    <row r="4" spans="1:17">
      <c r="A4" s="40" t="s">
        <v>1860</v>
      </c>
      <c r="B4" t="s">
        <v>1</v>
      </c>
      <c r="D4" s="40" t="s">
        <v>1902</v>
      </c>
      <c r="E4" s="40" t="s">
        <v>1903</v>
      </c>
      <c r="F4" s="40" t="s">
        <v>1904</v>
      </c>
      <c r="G4" s="40" t="s">
        <v>1905</v>
      </c>
      <c r="H4" s="40" t="s">
        <v>1906</v>
      </c>
      <c r="I4" s="40" t="s">
        <v>1907</v>
      </c>
      <c r="J4" s="40" t="s">
        <v>1908</v>
      </c>
      <c r="K4" s="40" t="s">
        <v>1909</v>
      </c>
      <c r="L4" s="40" t="s">
        <v>1910</v>
      </c>
      <c r="M4" s="40" t="s">
        <v>1911</v>
      </c>
      <c r="N4" s="40" t="s">
        <v>1912</v>
      </c>
      <c r="O4" s="40" t="s">
        <v>1913</v>
      </c>
      <c r="P4" s="40" t="s">
        <v>1914</v>
      </c>
      <c r="Q4" s="40" t="s">
        <v>1915</v>
      </c>
    </row>
    <row r="5" spans="1:17">
      <c r="A5" s="40" t="s">
        <v>1861</v>
      </c>
      <c r="B5" t="s">
        <v>1916</v>
      </c>
      <c r="E5" s="40" t="s">
        <v>1917</v>
      </c>
      <c r="F5" s="40" t="s">
        <v>1918</v>
      </c>
      <c r="G5" s="40" t="s">
        <v>1919</v>
      </c>
      <c r="H5" s="40" t="s">
        <v>1920</v>
      </c>
      <c r="I5" s="40" t="s">
        <v>1921</v>
      </c>
      <c r="J5" s="40" t="s">
        <v>1922</v>
      </c>
      <c r="K5" s="40" t="s">
        <v>1923</v>
      </c>
      <c r="L5" s="40" t="s">
        <v>1924</v>
      </c>
      <c r="M5" s="40" t="s">
        <v>1925</v>
      </c>
      <c r="N5" s="40" t="s">
        <v>1926</v>
      </c>
      <c r="O5" s="40" t="s">
        <v>1927</v>
      </c>
      <c r="P5" s="40" t="s">
        <v>1928</v>
      </c>
      <c r="Q5" s="40" t="s">
        <v>1929</v>
      </c>
    </row>
    <row r="6" spans="1:17">
      <c r="A6" s="40" t="s">
        <v>1862</v>
      </c>
      <c r="B6" t="s">
        <v>1930</v>
      </c>
      <c r="E6" s="40" t="s">
        <v>1931</v>
      </c>
      <c r="F6" s="40" t="s">
        <v>1932</v>
      </c>
      <c r="G6" s="40" t="s">
        <v>1933</v>
      </c>
      <c r="H6" s="40" t="s">
        <v>1934</v>
      </c>
      <c r="I6" s="40" t="s">
        <v>1935</v>
      </c>
      <c r="J6" s="40" t="s">
        <v>1936</v>
      </c>
      <c r="K6" s="40" t="s">
        <v>1937</v>
      </c>
      <c r="L6" s="40" t="s">
        <v>1938</v>
      </c>
      <c r="M6" s="40" t="s">
        <v>1939</v>
      </c>
      <c r="N6" s="40" t="s">
        <v>1940</v>
      </c>
      <c r="O6" s="40" t="s">
        <v>1941</v>
      </c>
      <c r="P6" s="40" t="s">
        <v>1942</v>
      </c>
      <c r="Q6" s="40" t="s">
        <v>1943</v>
      </c>
    </row>
    <row r="7" spans="1:17">
      <c r="A7" s="40" t="s">
        <v>1863</v>
      </c>
      <c r="B7" t="s">
        <v>1944</v>
      </c>
      <c r="E7" s="40" t="s">
        <v>1945</v>
      </c>
      <c r="F7" s="40" t="s">
        <v>1946</v>
      </c>
      <c r="G7" s="40" t="s">
        <v>1947</v>
      </c>
      <c r="H7" s="40" t="s">
        <v>1948</v>
      </c>
      <c r="I7" s="40" t="s">
        <v>1949</v>
      </c>
      <c r="J7" s="40" t="s">
        <v>1950</v>
      </c>
      <c r="L7" s="40" t="s">
        <v>1951</v>
      </c>
      <c r="M7" s="40" t="s">
        <v>1952</v>
      </c>
      <c r="N7" s="40" t="s">
        <v>1953</v>
      </c>
      <c r="O7" s="40" t="s">
        <v>1954</v>
      </c>
      <c r="P7" s="40" t="s">
        <v>1955</v>
      </c>
      <c r="Q7" s="40" t="s">
        <v>1956</v>
      </c>
    </row>
    <row r="8" spans="1:17">
      <c r="A8" s="40" t="s">
        <v>1864</v>
      </c>
      <c r="B8" t="s">
        <v>1957</v>
      </c>
      <c r="F8" s="40" t="s">
        <v>1395</v>
      </c>
      <c r="G8" s="40" t="s">
        <v>1958</v>
      </c>
      <c r="H8" s="40" t="s">
        <v>1959</v>
      </c>
      <c r="I8" s="40" t="s">
        <v>1960</v>
      </c>
      <c r="J8" s="40" t="s">
        <v>1961</v>
      </c>
      <c r="L8" s="40" t="s">
        <v>1962</v>
      </c>
      <c r="M8" s="40" t="s">
        <v>1963</v>
      </c>
      <c r="N8" s="40" t="s">
        <v>1964</v>
      </c>
      <c r="O8" s="40" t="s">
        <v>1965</v>
      </c>
      <c r="P8" s="40" t="s">
        <v>1966</v>
      </c>
      <c r="Q8" s="40" t="s">
        <v>1967</v>
      </c>
    </row>
    <row r="9" spans="1:17">
      <c r="A9" s="40" t="s">
        <v>1865</v>
      </c>
      <c r="B9" t="s">
        <v>1968</v>
      </c>
      <c r="F9" s="40" t="s">
        <v>1969</v>
      </c>
      <c r="G9" s="40" t="s">
        <v>1970</v>
      </c>
      <c r="H9" s="40" t="s">
        <v>1971</v>
      </c>
      <c r="I9" s="40" t="s">
        <v>1972</v>
      </c>
      <c r="J9" s="40" t="s">
        <v>1973</v>
      </c>
      <c r="L9" s="40" t="s">
        <v>1974</v>
      </c>
      <c r="M9" s="40" t="s">
        <v>1975</v>
      </c>
      <c r="N9" s="40" t="s">
        <v>1976</v>
      </c>
      <c r="O9" s="40" t="s">
        <v>1977</v>
      </c>
      <c r="P9" s="40" t="s">
        <v>1978</v>
      </c>
    </row>
    <row r="10" spans="1:17">
      <c r="A10" s="40" t="s">
        <v>1866</v>
      </c>
      <c r="B10" t="s">
        <v>1979</v>
      </c>
      <c r="F10" s="40" t="s">
        <v>1980</v>
      </c>
      <c r="I10" s="40" t="s">
        <v>1981</v>
      </c>
      <c r="J10" s="40" t="s">
        <v>1982</v>
      </c>
      <c r="L10" s="40" t="s">
        <v>1983</v>
      </c>
      <c r="M10" s="40" t="s">
        <v>1984</v>
      </c>
      <c r="O10" s="40" t="s">
        <v>1985</v>
      </c>
      <c r="P10" s="40" t="s">
        <v>1986</v>
      </c>
    </row>
    <row r="11" spans="1:17">
      <c r="A11" s="40" t="s">
        <v>1867</v>
      </c>
      <c r="B11" t="s">
        <v>1987</v>
      </c>
      <c r="F11" s="40" t="s">
        <v>1323</v>
      </c>
      <c r="I11" s="40" t="s">
        <v>1988</v>
      </c>
      <c r="J11" s="40" t="s">
        <v>1989</v>
      </c>
      <c r="M11" s="40" t="s">
        <v>1990</v>
      </c>
      <c r="O11" s="40" t="s">
        <v>1991</v>
      </c>
      <c r="P11" s="40" t="s">
        <v>1992</v>
      </c>
    </row>
    <row r="12" spans="1:17">
      <c r="A12" s="40" t="s">
        <v>1868</v>
      </c>
      <c r="B12" t="s">
        <v>1993</v>
      </c>
      <c r="F12" s="40" t="s">
        <v>1994</v>
      </c>
      <c r="I12" s="40" t="s">
        <v>1995</v>
      </c>
      <c r="J12" s="40" t="s">
        <v>1996</v>
      </c>
      <c r="M12" s="40" t="s">
        <v>1997</v>
      </c>
      <c r="O12" s="40" t="s">
        <v>1998</v>
      </c>
      <c r="P12" s="40" t="s">
        <v>1999</v>
      </c>
    </row>
    <row r="13" spans="1:17">
      <c r="A13" s="40" t="s">
        <v>1869</v>
      </c>
      <c r="B13" t="s">
        <v>2000</v>
      </c>
      <c r="F13" s="40" t="s">
        <v>2001</v>
      </c>
      <c r="I13" s="40" t="s">
        <v>2002</v>
      </c>
      <c r="J13" s="40" t="s">
        <v>2003</v>
      </c>
      <c r="M13" s="40" t="s">
        <v>2004</v>
      </c>
      <c r="O13" s="40" t="s">
        <v>2005</v>
      </c>
      <c r="P13" s="40" t="s">
        <v>2006</v>
      </c>
    </row>
    <row r="14" spans="1:17">
      <c r="A14" s="40" t="s">
        <v>1870</v>
      </c>
      <c r="B14" t="s">
        <v>2007</v>
      </c>
      <c r="F14" s="40" t="s">
        <v>2008</v>
      </c>
      <c r="I14" s="40" t="s">
        <v>2009</v>
      </c>
      <c r="J14" s="40" t="s">
        <v>2010</v>
      </c>
      <c r="M14" s="40" t="s">
        <v>2011</v>
      </c>
      <c r="P14" s="40"/>
    </row>
    <row r="15" spans="1:17">
      <c r="A15" s="40" t="s">
        <v>1871</v>
      </c>
      <c r="B15" t="s">
        <v>2012</v>
      </c>
      <c r="F15" s="40" t="s">
        <v>2013</v>
      </c>
      <c r="I15" s="40" t="s">
        <v>2014</v>
      </c>
      <c r="J15" s="40" t="s">
        <v>2015</v>
      </c>
      <c r="M15" s="40" t="s">
        <v>2016</v>
      </c>
      <c r="P15" s="40"/>
    </row>
    <row r="16" spans="1:17">
      <c r="F16" s="40" t="s">
        <v>1467</v>
      </c>
      <c r="J16" s="40" t="s">
        <v>2017</v>
      </c>
      <c r="P16" s="40"/>
    </row>
    <row r="17" spans="6:6">
      <c r="F17" s="40" t="s">
        <v>2018</v>
      </c>
    </row>
    <row r="18" spans="6:6">
      <c r="F18" s="40" t="s">
        <v>1347</v>
      </c>
    </row>
    <row r="19" spans="6:6">
      <c r="F19" s="40" t="s">
        <v>1353</v>
      </c>
    </row>
    <row r="20" spans="6:6">
      <c r="F20" s="40" t="s">
        <v>2019</v>
      </c>
    </row>
    <row r="21" spans="6:6">
      <c r="F21" s="40" t="s">
        <v>1330</v>
      </c>
    </row>
  </sheetData>
  <sheetProtection algorithmName="SHA-512" hashValue="QbZHwe9dBgL6d0Po5KBx1a0aPbS4kno0QYFrteH2H+38Mi233BSKFVfrr/WmY820KDCGQLU3dWwGjvq1EA7IZQ==" saltValue="vsM57Is3kktw9eybBU9l3Q==" spinCount="100000" sheet="1" objects="1" scenarios="1"/>
  <dataValidations xWindow="1446" yWindow="699" count="2">
    <dataValidation type="textLength" operator="lessThanOrEqual" allowBlank="1" showInputMessage="1" showErrorMessage="1" errorTitle="S'ha superat la longitud" error="Aquest valor ha de ser menor o igual que 200 caràcters de longitud." promptTitle="Text" prompt="Longitud màxima: 200 caràcters." sqref="Q2:Q8 E2:E7 F2:F21 G2:H9 I2:I15 J2:J16 K2:K6 L2:L10 M2:M15 N2:N9 O2:P13 D2:D4 P14:P15" xr:uid="{00000000-0002-0000-0400-000000000000}">
      <formula1>200</formula1>
    </dataValidation>
    <dataValidation showInputMessage="1" showErrorMessage="1" error=" " promptTitle="Cerca (obligatori)" prompt="Aquest registre de tipus Unitat responsable ja ha d'existir al Microsoft Dynamics 365 o en aquest fitxer d'origen." sqref="A2:A15 D1:Q1" xr:uid="{00000000-0002-0000-0400-000001000000}"/>
  </dataValidations>
  <pageMargins left="0.7" right="0.7" top="0.75" bottom="0.75" header="0.3" footer="0.3"/>
  <pageSetup paperSize="9" orientation="portrait" r:id="rId1"/>
  <tableParts count="15">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81f7b61-b72b-4a21-bb24-e43f40679a49" xsi:nil="true"/>
    <lcf76f155ced4ddcb4097134ff3c332f xmlns="f26037a3-376c-4e35-9673-91218b302fb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205CEEF5B67654BB99FA91F3D8DF3AD" ma:contentTypeVersion="14" ma:contentTypeDescription="Crea un document nou" ma:contentTypeScope="" ma:versionID="e04f8550011c0fa287ef4aa6a3ecaa4a">
  <xsd:schema xmlns:xsd="http://www.w3.org/2001/XMLSchema" xmlns:xs="http://www.w3.org/2001/XMLSchema" xmlns:p="http://schemas.microsoft.com/office/2006/metadata/properties" xmlns:ns2="f26037a3-376c-4e35-9673-91218b302fbb" xmlns:ns3="281f7b61-b72b-4a21-bb24-e43f40679a49" targetNamespace="http://schemas.microsoft.com/office/2006/metadata/properties" ma:root="true" ma:fieldsID="062f520033c58143061b60085d9c524e" ns2:_="" ns3:_="">
    <xsd:import namespace="f26037a3-376c-4e35-9673-91218b302fbb"/>
    <xsd:import namespace="281f7b61-b72b-4a21-bb24-e43f40679a4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6037a3-376c-4e35-9673-91218b302f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Etiquetes de la imatge" ma:readOnly="false" ma:fieldId="{5cf76f15-5ced-4ddc-b409-7134ff3c332f}" ma:taxonomyMulti="true" ma:sspId="d19f90c4-00d9-45b7-bc62-04f95cbe7a8b"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81f7b61-b72b-4a21-bb24-e43f40679a49" elementFormDefault="qualified">
    <xsd:import namespace="http://schemas.microsoft.com/office/2006/documentManagement/types"/>
    <xsd:import namespace="http://schemas.microsoft.com/office/infopath/2007/PartnerControls"/>
    <xsd:element name="SharedWithUsers" ma:index="10" nillable="true" ma:displayName="Compartit amb"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 compartit amb detalls" ma:internalName="SharedWithDetails" ma:readOnly="true">
      <xsd:simpleType>
        <xsd:restriction base="dms:Note">
          <xsd:maxLength value="255"/>
        </xsd:restriction>
      </xsd:simpleType>
    </xsd:element>
    <xsd:element name="TaxCatchAll" ma:index="16" nillable="true" ma:displayName="Taxonomy Catch All Column" ma:hidden="true" ma:list="{f7e9ec61-e504-403b-b6cf-d739475b8ab3}" ma:internalName="TaxCatchAll" ma:showField="CatchAllData" ma:web="281f7b61-b72b-4a21-bb24-e43f40679a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us de contingut"/>
        <xsd:element ref="dc:title" minOccurs="0" maxOccurs="1" ma:index="4" ma:displayName="Títo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C3BBD1B-D8EB-4F55-AA85-1B39798B5B8A}">
  <ds:schemaRefs>
    <ds:schemaRef ds:uri="http://schemas.openxmlformats.org/package/2006/metadata/core-properties"/>
    <ds:schemaRef ds:uri="http://purl.org/dc/dcmitype/"/>
    <ds:schemaRef ds:uri="http://schemas.microsoft.com/office/2006/documentManagement/types"/>
    <ds:schemaRef ds:uri="http://schemas.microsoft.com/office/2006/metadata/properties"/>
    <ds:schemaRef ds:uri="9df76764-8f4e-40f1-95d2-abe6e60fc922"/>
    <ds:schemaRef ds:uri="http://purl.org/dc/elements/1.1/"/>
    <ds:schemaRef ds:uri="http://schemas.microsoft.com/office/infopath/2007/PartnerControls"/>
    <ds:schemaRef ds:uri="http://www.w3.org/XML/1998/namespace"/>
    <ds:schemaRef ds:uri="http://purl.org/dc/terms/"/>
  </ds:schemaRefs>
</ds:datastoreItem>
</file>

<file path=customXml/itemProps2.xml><?xml version="1.0" encoding="utf-8"?>
<ds:datastoreItem xmlns:ds="http://schemas.openxmlformats.org/officeDocument/2006/customXml" ds:itemID="{F0687FF4-492A-4708-A78D-9596ABEEFD47}">
  <ds:schemaRefs>
    <ds:schemaRef ds:uri="http://schemas.microsoft.com/sharepoint/v3/contenttype/forms"/>
  </ds:schemaRefs>
</ds:datastoreItem>
</file>

<file path=customXml/itemProps3.xml><?xml version="1.0" encoding="utf-8"?>
<ds:datastoreItem xmlns:ds="http://schemas.openxmlformats.org/officeDocument/2006/customXml" ds:itemID="{51A02C2F-D4E1-425A-9A84-492651F6866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5</vt:i4>
      </vt:variant>
    </vt:vector>
  </HeadingPairs>
  <TitlesOfParts>
    <vt:vector size="5" baseType="lpstr">
      <vt:lpstr>Instruccions</vt:lpstr>
      <vt:lpstr>PROGRAMA ANUAL</vt:lpstr>
      <vt:lpstr>PLA ESTRATÈGIC</vt:lpstr>
      <vt:lpstr>Llistes</vt:lpstr>
      <vt:lpstr>Gestors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Nuria Asensio Salvador</dc:creator>
  <cp:keywords/>
  <dc:description/>
  <cp:lastModifiedBy>Florit Molina, Lluís F.</cp:lastModifiedBy>
  <cp:revision/>
  <dcterms:created xsi:type="dcterms:W3CDTF">2015-06-05T18:17:20Z</dcterms:created>
  <dcterms:modified xsi:type="dcterms:W3CDTF">2026-03-09T10:59:32Z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0x010100F205CEEF5B67654BB99FA91F3D8DF3AD</vt:lpwstr>
  </property>
  <property fmtid="{D5CDD505-2E9C-101B-9397-08002B2CF9AE}" pid="3" name="_dlc_DocIdItemGuid">
    <vt:lpwstr>ff0341f0-9088-483e-b5f9-a8fd6d8609de</vt:lpwstr>
  </property>
  <property fmtid="{D5CDD505-2E9C-101B-9397-08002B2CF9AE}" pid="4" name="MediaServiceImageTags">
    <vt:lpwstr/>
  </property>
</Properties>
</file>